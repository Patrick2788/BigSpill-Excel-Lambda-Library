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atrickHogan\Downloads\"/>
    </mc:Choice>
  </mc:AlternateContent>
  <xr:revisionPtr revIDLastSave="0" documentId="13_ncr:1_{F438D02C-363E-4E5F-96F0-465FDF4114EE}" xr6:coauthVersionLast="47" xr6:coauthVersionMax="47" xr10:uidLastSave="{00000000-0000-0000-0000-000000000000}"/>
  <bookViews>
    <workbookView xWindow="28680" yWindow="-120" windowWidth="29040" windowHeight="15720" tabRatio="893" xr2:uid="{2BAC9648-7901-4C2D-8363-8B16D8920BAA}"/>
  </bookViews>
  <sheets>
    <sheet name="Introduction" sheetId="1" r:id="rId1"/>
    <sheet name="Magnify_Echo" sheetId="26" r:id="rId2"/>
    <sheet name="AlignRowsCols" sheetId="21" r:id="rId3"/>
    <sheet name="Fold" sheetId="22" r:id="rId4"/>
    <sheet name="Zip" sheetId="23" r:id="rId5"/>
    <sheet name="PTQWise" sheetId="24" r:id="rId6"/>
    <sheet name="Convolve" sheetId="27" r:id="rId7"/>
    <sheet name="Blocks" sheetId="16" r:id="rId8"/>
    <sheet name="Windowed" sheetId="3" r:id="rId9"/>
    <sheet name="GridLookup" sheetId="4" r:id="rId10"/>
    <sheet name="Navigate2D" sheetId="5" r:id="rId11"/>
    <sheet name="Match2D" sheetId="14" r:id="rId12"/>
    <sheet name="VSplit_HSplit" sheetId="20" r:id="rId13"/>
  </sheets>
  <externalReferences>
    <externalReference r:id="rId14"/>
  </externalReferences>
  <definedNames>
    <definedName name="AlignColsλ">_xlfn.LAMBDA(_xlpm.array,_xlop.sort_order, _xlfn.LET(_xlpm.sort_order, IF(_xlfn.ISOMITTED(_xlpm.sort_order), 1, _xlpm.sort_order), _xlpm.sorted, _xlfn._xlws.FLATTEN(_xlfn.BYCOL(_xlpm.array, _xlfn.LAMBDA(_xlpm.col, _xlfn._xlws.SORT(_xlpm.col, , _xlpm.sort_order)))), _xlpm.sorted))</definedName>
    <definedName name="AlignRowsλ">_xlfn.LAMBDA(_xlpm.array,_xlop.sort_order, _xlfn.LET(_xlpm.sort_order, IF(_xlfn.ISOMITTED(_xlpm.sort_order), 1, _xlpm.sort_order), _xlpm.sorted, _xlfn._xlws.FLATTEN(_xlfn.BYROW(_xlpm.array, _xlfn.LAMBDA(_xlpm.row, _xlfn._xlws.SORT(_xlpm.row, , _xlpm.sort_order, TRUE)))), _xlpm.sorted))</definedName>
    <definedName name="Amounts">Fold!$E$6:$E$25</definedName>
    <definedName name="Animals">Magnify_Echo!$W$6:$W$9</definedName>
    <definedName name="Blocksλ">_xlfn.LAMBDA(_xlpm.array_2D,_xlpm.depth,_xlpm.width, _xlfn.LET(_xlpm.h, ROWS(_xlpm.array_2D), _xlpm.w, COLUMNS(_xlpm.array_2D), _xlpm.x, ROUNDUP(_xlpm.h / _xlpm.depth, 0), _xlpm.y, ROUNDUP(_xlpm.w / _xlpm.width, 0), _xlpm.down, _xlfn.LAMBDA(_xlfn.SEQUENCE(_xlpm.x, , 1, _xlpm.depth) * _xlfn.SEQUENCE(, _xlpm.y, 1, 0)), _xlpm.across, _xlfn.LAMBDA(_xlfn.SEQUENCE(, _xlpm.y, 1, _xlpm.width) * _xlfn.SEQUENCE(_xlpm.x, , 1, 0)), _xlpm.ToListλ, _xlfn.LAMBDA(_xlpm.r,_xlpm.c, _xlfn.LET(_xlpm.i, _xlfn.LAMBDA(_xlfn.SEQUENCE(_xlpm.depth, , _xlpm.r) * _xlfn.SEQUENCE(, _xlpm.width, 1, 0)), _xlpm.j, _xlfn.LAMBDA(_xlfn.SEQUENCE(, _xlpm.width, _xlpm.c) * _xlfn.SEQUENCE(_xlpm.depth, , 1, 0)), _xlpm.block, INDEX(_xlpm.array_2D, _xlpm.i(), _xlpm.j()), _xlpm.result, _xlfn._ARRAY(_xlfn._ARRAYROW(_xlpm.block)), _xlpm.result)), _xlpm.deliver, _xlfn.MAP(_xlpm.down(), _xlpm.across(), _xlpm.ToListλ), _xlpm.deliver))</definedName>
    <definedName name="Classification">Zip!$H$7:$H$14</definedName>
    <definedName name="Colors">Fold!$B$6:$D$25</definedName>
    <definedName name="ConvolutionMatrix">Convolve!$B$5:$G$10</definedName>
    <definedName name="Convolveλ">_xlfn.LAMBDA(_xlpm.array,_xlpm.kernel,_xlop.function, _xlfn.LET(_xlpm.h, ROWS(_xlpm.array), _xlpm.w, COLUMNS(_xlpm.array), _xlpm.kernel_height, ROWS(_xlpm.kernel), _xlpm.kernel_width, COLUMNS(_xlpm.kernel), _xlpm.InvalidKernel?, OR(_xlpm.kernel_height &gt; _xlpm.h, _xlpm.kernel_width &gt; _xlpm.w), _xlpm.IsScalar?, AND(_xlpm.h = 1, _xlpm.w = 1), _xlpm.IsScalarKernel?, AND(_xlpm.kernel_height = 1, _xlpm.kernel_width = 1), _xlpm.function, IF(_xlfn.ISOMITTED(_xlpm.function), _xlfn.LAMBDA(_xlpm.v, SUM(_xlfn._xlws.FLATTEN(_xlpm.v) * _xlpm.kernel)), _xlpm.function), _xlpm.InvalidFunction?, TYPE(_xlpm.function) &lt;&gt; 128, _xlpm.StandardMap, _xlfn.LAMBDA(_xlfn.MAP(_xlpm.array, _xlpm.function)), IF(_xlpm.InvalidKernel?, "#KERNEL!", IF(_xlpm.InvalidFunction?, "#FUNCTION!", IF((_xlpm.IsScalar?) + (_xlpm.IsScalarKernel?), _xlpm.StandardMap(), _xlfn.LET(_xlpm.windows, Windowedλ(_xlpm.array, _xlpm.kernel_height, _xlpm.kernel_width), _xlpm.convolution, _xlfn.MAP(_xlpm.windows, _xlpm.function), _xlpm.convolution))))))</definedName>
    <definedName name="Data">AlignRowsCols!$B$5:$F$24</definedName>
    <definedName name="Department">Zip!$D$7:$D$14</definedName>
    <definedName name="DirCoding">GridLookup!$T$12:$V$14</definedName>
    <definedName name="Direction">GridLookup!$X$12:$Z$14</definedName>
    <definedName name="Echoλ">_xlfn.LAMBDA(_xlpm.vector,_xlpm.repeat, IF(OR(ISTEXT(_xlpm.repeat), _xlpm.repeat &lt;= 0), "#VALUE!", _xlfn.LET(_xlpm.vector, _xlfn.TOCOL(_xlpm.vector), _xlpm.repeat, _xlfn.TOCOL(_xlpm.repeat), _xlpm.Vh, ROWS(_xlpm.vector), _xlpm.Rh, ROWS(_xlpm.repeat), _xlpm.r, IF(_xlpm.Vh &lt;&gt; _xlpm.Rh, _xlfn.EXPAND(_xlpm.repeat, _xlpm.Vh, , _xlfn.SINGLE(_xlfn.TAKE(_xlpm.repeat, -1))), _xlpm.repeat), _xlpm.Extendλ, _xlfn.LAMBDA(_xlpm.each_element,_xlpm.r_, _xlfn.EXPAND(_xlpm.each_element, _xlpm.r_, , _xlpm.each_element)), _xlpm.deliver, _xlfn._xlws.FLATTEN(_xlfn.MAP(_xlpm.vector, _xlpm.r, _xlpm.Extendλ)), _xlpm.deliver)))</definedName>
    <definedName name="Elevation">Windowed!$G$9:$K$13</definedName>
    <definedName name="Fish">Magnify_Echo!$Y$6:$Z$7</definedName>
    <definedName name="Flow">GridLookup!$M$12:$R$17</definedName>
    <definedName name="fn_input">[1]Analyze!$E$17</definedName>
    <definedName name="Foldλ">_xlfn.LAMBDA(_xlpm.array,_xlop.values_array,_xlop.function, _xlfn.LET(_xlpm.values_array, IF(_xlfn.ISOMITTED(_xlpm.values_array), _xlfn.TAKE(_xlpm.array, , 1), _xlpm.values_array), _xlpm.function, IF(OR(_xlfn.ISOMITTED(_xlpm.function), _xlfn.ISOMITTED(_xlpm.values_array)), _xleta.COUNTA, _xlpm.function), IF(AND(NOT(_xlfn.ISOMITTED(_xlpm.values_array)), ROWS(_xlpm.array) &lt;&gt; ROWS(_xlpm.values_array)), "#VALUE!", IF(TYPE(_xlpm.function) &lt;&gt; 128, "#FUNCTION!", _xlfn.LET(_xlpm.aligned, AlignRowsλ(_xlpm.array), _xlpm.agg, _xlfn.GROUPBY(_xlpm.aligned, _xlpm.values_array, _xlpm.function, , 0), _xlpm.agg)))))</definedName>
    <definedName name="GameTIme">PTQWise!$F$8:$F$10</definedName>
    <definedName name="Grid">Navigate2D!$B$14:$G$20</definedName>
    <definedName name="GridLookupλ">_xlfn.LAMBDA(_xlpm.lookup_values,_xlpm.match_array,_xlpm.return_array,_xlop.if_not_found,_xlop.match_mode,_xlop.search_mode, _xlfn.LET(_xlpm.height₁, ROWS(_xlpm.match_array), _xlpm.width₁, COLUMNS(_xlpm.match_array), _xlpm.height₂, ROWS(_xlpm.return_array), _xlpm.width₂, COLUMNS(_xlpm.return_array), _xlpm.ShapeMisMatch?, OR(_xlpm.height₁ &lt;&gt; _xlpm.height₂, _xlpm.width₁ &lt;&gt; _xlpm.width₂), _xlpm.NotPresent?, NOT(_xlfn.HASALL(_xlpm.match_array, _xlpm.lookup_values)), IF(_xlpm.NotPresent?, #N/A, IF(_xlpm.ShapeMisMatch?, #VALUE!, _xlfn.LET(_xlpm.if_not_found, IF(_xlfn.ISOMITTED(_xlpm.if_not_found), NA(), _xlpm.if_not_found), _xlpm.match_mode, IF(_xlfn.ISOMITTED(_xlpm.match_mode), 0, _xlpm.match_mode), _xlpm.search_mode, IF(_xlfn.ISOMITTED(_xlpm.search_mode), 1, _xlpm.search_mode), _xlpm.R, _xlfn.XMATCH(_xlpm.lookup_values, _xlfn.TOCOL(_xlpm.match_array), _xlpm.match_mode, _xlpm.search_mode), _xlpm.i, QUOTIENT(_xlpm.R - 1, _xlpm.width₁) + 1, _xlpm.j, MOD(_xlpm.R - 1, _xlpm.width₁) + 1, _xlpm.final, _xlfn.IFNA(INDEX(_xlpm.return_array, _xlpm.i, _xlpm.j), _xlpm.if_not_found), _xlpm.final)))))</definedName>
    <definedName name="HSplitλ">_xlfn.LAMBDA(_xlpm.array,_xlpm.split_interval,_xlop.pad_with, _xlfn.LET(_xlpm.height, ROWS(_xlpm.array), _xlpm.width, COLUMNS(_xlpm.array), _xlpm.split_interval, INDEX(_xlpm.split_interval, 1, 1), _xlpm.IsScalar?, AND(_xlpm.height = 1, _xlpm.width = 1), _xlpm.IsNx1?, _xlpm.width = 1, _xlpm.InvalidSplit?, OR(ISTEXT(_xlpm.split_interval), _xlpm.split_interval &lt;= 0), IF(OR(_xlpm.IsScalar?, _xlpm.IsNx1?), _xlfn._ARRAY(_xlfn._ARRAYROW(_xlpm.array)), IF(_xlpm.InvalidSplit?, #VALUE!, _xlfn.LET(_xlpm.pad_with, IF(_xlfn.ISOMITTED(_xlpm.pad_with), NA(), INDEX(_xlpm.pad_with, 1, 1)), _xlpm.PadCols, MOD(-_xlpm.width, _xlpm.split_interval), _xlpm.new_array, _xlfn.EXPAND(_xlpm.array, , _xlpm.width + _xlpm.PadCols, _xlpm.pad_with), _xlpm.anchors, _xlfn.SEQUENCE(, (_xlpm.PadCols + _xlpm.width) / _xlpm.split_interval, 1, _xlpm.split_interval), _xlpm.step, _xlfn.SEQUENCE(_xlpm.split_interval, , 0), _xlpm.Partλ, _xlfn.LAMBDA(_xlpm.idx, _xlfn.LET(_xlpm.r, _xlpm.idx + _xlpm.step, _xlpm.part, _xlfn.CHOOSECOLS(_xlpm.new_array, _xlpm.r), _xlpm.part)), _xlpm.lists, _xlfn.MAP(_xlpm.anchors, _xlpm.Partλ), _xlpm.lists)))))</definedName>
    <definedName name="Icons">GridLookup!$G$12:$H$13</definedName>
    <definedName name="Kernel_1">Convolve!$I$5:$K$7</definedName>
    <definedName name="Kernel_2">Convolve!$I$9:$J$10</definedName>
    <definedName name="KernelA">Navigate2D!$C$25:$D$26</definedName>
    <definedName name="KernelABC">Match2D!$X$14:$Y$15</definedName>
    <definedName name="KernelB">Navigate2D!$J$25:$K$26</definedName>
    <definedName name="KernelC">Navigate2D!$P$25:$Q$26</definedName>
    <definedName name="KernelD">Navigate2D!$T$25:$U$26</definedName>
    <definedName name="KernelM">Match2D!$B$14:$C$15</definedName>
    <definedName name="KernelS">Match2D!$O$14:$O$18</definedName>
    <definedName name="Location">PTQWise!$H$8:$H$9</definedName>
    <definedName name="Magnifyλ">_xlfn.LAMBDA(_xlpm.array,_xlpm.height,_xlpm.width, IF(OR(COUNT(_xlpm.height) &lt;&gt; 1, COUNT(_xlpm.width) &lt;&gt; 1), "#VALUE!", IF(OR(ISTEXT(_xlpm.height), ISTEXT(_xlpm.width)), "#TEXT!", IF(OR(_xlpm.height &lt;= 0, _xlpm.width &lt;= 0), "#VALUE!", _xlfn.LET(_xlpm.magλ, _xlfn.LAMBDA(_xlpm.element, _xlfn.EXPAND(_xlpm.element, _xlpm.height, _xlpm.width, _xlpm.element)), _xlpm.magnified, _xlfn._xlws.FLATTEN(_xlfn.MAP(_xlpm.array, _xlpm.magλ)), _xlpm.magnified)))))</definedName>
    <definedName name="Match2Dλ">_xlfn.LAMBDA(_xlpm.lookup_kernel,_xlpm.match_array_2D, _xlfn.LET(_xlpm.Normalizeλ, _xlfn.LAMBDA(_xlpm.input, INT(INDEX(_xlpm.input, 1, 1))), _xlpm.height₁, ROWS(_xlpm.match_array_2D), _xlpm.width₁, COLUMNS(_xlpm.match_array_2D), _xlpm.height₂, ROWS(_xlpm.lookup_kernel), _xlpm.width₂, COLUMNS(_xlpm.lookup_kernel), _xlpm.BadKernel?, OR(_xlpm.height₂ &gt; _xlpm.height₁, _xlpm.width₂ &gt; _xlpm.width₁), _xlpm.NotPresent?, NOT(_xlfn.HASALL(_xlpm.match_array_2D, _xlpm.lookup_kernel)), IF(_xlpm.BadKernel?, #N/A, IF(_xlpm.NotPresent?, #N/A, _xlfn.LET(_xlpm.MatchKernelλ, _xlfn.LAMBDA(_xlpm.v, AND(_xlfn._xlws.FLATTEN(_xlpm.v) = _xlpm.lookup_kernel)), _xlpm.Found?, Convolveλ(_xlpm.match_array_2D, _xlpm.lookup_kernel, _xlpm.MatchKernelλ), _xlpm.Found1D?, OR(ROWS(_xlpm.Found?) = 1, COLUMNS(_xlpm.Found?) = 1), _xlpm.NotFound?, NOT(OR(_xlpm.Found?)), _xlpm.i, IF(_xlpm.Found1D?, _xlfn.XMATCH(TRUE, _xlpm.Found?), GridLookupλ(TRUE, _xlpm.Found?, MGridλ(_xlpm.Found?))), _xlpm.j, IF(_xlpm.Found1D?, 1, GridLookupλ(TRUE, _xlpm.Found?, MGridλ(_xlpm.Found?, 1))), _xlpm.q, Quadwiseλ(_xlpm.i, _xlpm.j, _xlfn.SEQUENCE(_xlpm.height₂, , 0, 1), _xlfn.SEQUENCE(_xlpm.width₂, , 0, 1)), _xlpm.final, _xlfn.HSTACK(_xlfn.TAKE(_xlpm.q, , 1) + _xlfn.CHOOSECOLS(_xlpm.q, 3), _xlfn.CHOOSECOLS(_xlpm.q, 2) + _xlfn.TAKE(_xlpm.q, , -1)), _xlpm.final)))))</definedName>
    <definedName name="MGridλ">_xlfn.LAMBDA(_xlpm.grid,_xlop.col_index, _xlfn.LET(_xlpm.RowIdx?, _xlfn.ISOMITTED(_xlpm.col_index), _xlpm.h, ROWS(_xlpm.grid), _xlpm.w, COLUMNS(_xlpm.grid), _xlpm.i, _xlfn.LAMBDA(Resizeλ(_xlfn.SEQUENCE(_xlpm.h), , _xlpm.w)), _xlpm.j, _xlfn.LAMBDA(Resizeλ(_xlfn.SEQUENCE(, _xlpm.w), _xlpm.h)), _xlpm.result, IF(_xlpm.RowIdx?, _xlpm.i(), _xlpm.j()), _xlpm.result))</definedName>
    <definedName name="Navigate2Dλ">_xlfn.LAMBDA(_xlpm.lookup_kernel,_xlpm.match_array_2D,_xlop.return_direction,_xlop.return_height,_xlop.return_width, _xlfn.LET(_xlpm.Normalizeλ, _xlfn.LAMBDA(_xlpm.input, INT(INDEX(_xlpm.input, 1, 1))), _xlpm.return_direction, _xlpm.Normalizeλ(IF(_xlfn.ISOMITTED(_xlpm.return_direction), 8, _xlpm.return_direction)), _xlpm.height₁, ROWS(_xlpm.match_array_2D), _xlpm.width₁, COLUMNS(_xlpm.match_array_2D), _xlpm.height₂, ROWS(_xlpm.lookup_kernel), _xlpm.width₂, COLUMNS(_xlpm.lookup_kernel), _xlpm.return_height, _xlpm.Normalizeλ(IF(_xlfn.ISOMITTED(_xlpm.return_height), _xlpm.height₂, _xlpm.return_height)), _xlpm.return_width, _xlpm.Normalizeλ(IF(_xlfn.ISOMITTED(_xlpm.return_width), _xlpm.width₂, _xlpm.return_width)), _xlpm.BadKernel?, OR(_xlpm.height₂ &gt; _xlpm.height₁, _xlpm.width₂ &gt; _xlpm.width₁), _xlpm.BadDir?, OR(_xlpm.return_direction &lt; 1, _xlpm.return_direction &gt; 9), _xlpm.BadReturn?, OR(_xlpm.return_height &lt; 1, _xlpm.return_width &lt; 1), _xlpm.Not2D?, OR(_xlpm.height₁ = 1, _xlpm.width₁ = 1), _xlpm.NotPresent?, NOT(_xlfn.HASALL(_xlpm.match_array_2D, _xlpm.lookup_kernel)), IF(_xlpm.Not2D?, #VALUE!, IF(_xlpm.BadKernel?, #N/A, IF(_xlpm.BadDir?, #VALUE!, IF(_xlpm.BadReturn?, #VALUE!, IF(_xlpm.NotPresent?, #N/A, _xlfn.LET(_xlpm.MatchKernelλ, _xlfn.LAMBDA(_xlpm.v, AND(_xlfn._xlws.FLATTEN(_xlpm.v) = _xlpm.lookup_kernel)), _xlpm.Found?, Convolveλ(_xlpm.match_array_2D, _xlpm.lookup_kernel, _xlpm.MatchKernelλ), _xlpm.Found1D?, OR(ROWS(_xlpm.Found?) = 1, COLUMNS(_xlpm.Found?) = 1), _xlpm.NotFound?, NOT(OR(_xlpm.Found?)), _xlpm.i, IF(_xlpm.Found1D?, _xlfn.XMATCH(TRUE, _xlpm.Found?), GridLookupλ(TRUE, _xlpm.Found?, MGridλ(_xlpm.Found?))), _xlpm.j, IF(_xlpm.Found1D?, 1, GridLookupλ(TRUE, _xlpm.Found?, MGridλ(_xlpm.Found?, 1))), _xlpm.x, CHOOSE(_xlpm.return_direction, _xlpm.i - _xlpm.height₂, _xlpm.i - _xlpm.height₂, _xlpm.i - _xlpm.height₂, _xlpm.i, _xlpm.i, _xlpm.i, _xlpm.i + _xlpm.height₂, _xlpm.i + _xlpm.height₂, _xlpm.i + _xlpm.height₂), _xlpm.y, CHOOSE(_xlpm.return_direction, _xlpm.j - _xlpm.width₂, _xlpm.j, _xlpm.j + _xlpm.width₂, _xlpm.j - _xlpm.width₂, _xlpm.j, _xlpm.j + _xlpm.width₂, _xlpm.j - _xlpm.width₂, _xlpm.j, _xlpm.j + _xlpm.width₂), _xlpm.r_kernel, Resizeλ(IF(_xlpm.return_height = 1, 0, _xlfn.SEQUENCE(_xlpm.return_height, , 0, 1)), , _xlpm.return_width), _xlpm.c_kernel, Resizeλ(IF(_xlpm.return_width = 1, 0, _xlfn.SEQUENCE(, _xlpm.return_width, 0, 1)), _xlpm.return_height), _xlpm.r, _xlpm.x + _xlpm.r_kernel, _xlpm.c, _xlpm.y + _xlpm.c_kernel, _xlpm.OffGrid?, OR(MIN(_xlpm.r) &lt; 1, MIN(_xlpm.c) &lt; 1, MAX(_xlpm.r) &gt; _xlpm.height₁, MAX(_xlpm.c) &gt; _xlpm.width₁), _xlpm.msg, "Kernel: R" &amp; _xlpm.i &amp; "C" &amp; _xlpm.j, _xlpm.final, IF(_xlpm.NotFound?, #N/A, IF(_xlpm.OffGrid?, _xlpm.msg, INDEX(_xlpm.match_array_2D, _xlpm.r, _xlpm.c))), _xlpm.final))))))))</definedName>
    <definedName name="NumberLookup">GridLookup!$E$22:$E$25</definedName>
    <definedName name="Numbers">GridLookup!$D$12:$E$13</definedName>
    <definedName name="Pairwiseλ">_xlfn.LAMBDA(_xlpm.vector_1,_xlpm.vector_2, _xlfn.LET(_xlpm.v, _xlfn.TOCOL(_xlpm.vector_1), _xlpm.v₂, _xlfn.TOCOL(_xlpm.vector_2), _xlpm.k, COUNTA(_xlpm.v), _xlpm.k₂, COUNTA(_xlpm.v₂), _xlpm.Is2Big?, _xlpm.k * _xlpm.k₂ &gt; 1000000, IF(_xlpm.Is2Big?, #NUM!, _xlfn.LET(_xlpm.JoinPairsλ, _xlfn.LAMBDA(_xlpm.each_element, _xlfn.HSTACK(_xlfn.EXPAND(_xlpm.each_element, _xlpm.k₂, , _xlpm.each_element), _xlpm.v₂)), _xlpm.pairs, _xlfn._xlws.FLATTEN(_xlfn.MAP(_xlpm.v, _xlpm.JoinPairsλ)), _xlpm.pairs))))</definedName>
    <definedName name="People">Zip!$B$7:$B$15</definedName>
    <definedName name="Places">Zip!$F$7:$F$14</definedName>
    <definedName name="PoolA">PTQWise!$B$8:$B$11</definedName>
    <definedName name="PoolB">PTQWise!$D$8:$D$10</definedName>
    <definedName name="ProfileCurvature">Windowed!$Q$9:$AB$20</definedName>
    <definedName name="Quadwiseλ">_xlfn.LAMBDA(_xlpm.set_1,_xlpm.set_2,_xlpm.set_3,_xlpm.set_4, _xlfn.LET(_xlpm.set_1, _xlfn.TOCOL(_xlpm.set_1), _xlpm.set_2, _xlfn.TOCOL(_xlpm.set_2), _xlpm.set_3, _xlfn.TOCOL(_xlpm.set_3), _xlpm.set_4, _xlfn.TOCOL(_xlpm.set_4), _xlpm.k, ROWS(_xlpm.set_4), _xlpm.d, IF(_xlpm.k &lt;&gt; 1, _xlpm.set_4, INDEX(_xlpm.set_4, 1)), _xlpm.thrice, Triplewiseλ(_xlpm.set_1, _xlpm.set_2, _xlpm.set_3), _xlpm.thrice_, RepeatRowsλ(_xlpm.thrice, _xlpm.k), _xlpm.k₂, ROWS(_xlpm.thrice_), _xlpm.four, Resizeλ(_xlpm.d, _xlpm.k₂ / _xlpm.k), _xlpm.final, _xlfn.HSTACK(_xlpm.thrice_, _xlpm.four), _xlpm.final))</definedName>
    <definedName name="RegionalData">VSplit_HSplit!$B$9:$E$13</definedName>
    <definedName name="RepeatColsλ">_xlfn.LAMBDA(_xlpm.array,_xlpm.repeat, IF(OR(ISTEXT(_xlpm.repeat), _xlpm.repeat &lt;= 0), "#VALUE!", _xlfn.LET(_xlpm.repeat, _xlfn.TOCOL(_xlpm.repeat), _xlpm.Aw, COLUMNS(_xlpm.array), _xlpm.Rh, ROWS(_xlpm.repeat), _xlpm.c, IF(_xlpm.Aw &lt;&gt; _xlpm.Rh, _xlfn.EXPAND(_xlpm.repeat, _xlpm.Aw, , _xlfn.SINGLE(_xlfn.TAKE(_xlpm.repeat, -1))), _xlpm.repeat), _xlpm.i, _xlfn.SEQUENCE(ROWS(_xlpm.c)), _xlpm.m, MAX(_xlpm.c), _xlpm.idx, _xlfn.LAMBDA(_xlfn.TOCOL(IF(SIGN(_xlpm.c - _xlfn.SEQUENCE(, _xlpm.m, 0)) = 1, _xlpm.i, NA()), 2)), _xlpm.deliver, _xlfn.CHOOSECOLS(_xlpm.array, _xlpm.idx()), _xlpm.deliver)))</definedName>
    <definedName name="RepeatRowsλ">_xlfn.LAMBDA(_xlpm.array,_xlpm.repeat, IF(OR(ISTEXT(_xlpm.repeat), _xlpm.repeat &lt;= 0), "#VALUE!", _xlfn.LET(_xlpm.repeat, _xlfn.TOCOL(_xlpm.repeat), _xlpm.Ah, ROWS(_xlpm.array), _xlpm.Rh, ROWS(_xlpm.repeat), _xlpm.r, IF(_xlpm.Ah &lt;&gt; _xlpm.Rh, _xlfn.EXPAND(_xlpm.repeat, _xlpm.Ah, , _xlfn.SINGLE(_xlfn.TAKE(_xlpm.repeat, -1))), _xlpm.repeat), _xlpm.i, _xlfn.SEQUENCE(ROWS(_xlpm.r)), _xlpm.m, MAX(_xlpm.r), _xlpm.idx, _xlfn.LAMBDA(_xlfn.TOCOL(IF(SIGN(_xlpm.r - _xlfn.SEQUENCE(, _xlpm.m, 0)) = 1, _xlpm.i, NA()), 2)), _xlpm.deliver, _xlfn.CHOOSEROWS(_xlpm.array, _xlpm.idx()), _xlpm.deliver)))</definedName>
    <definedName name="Resizeλ">_xlfn.LAMBDA(_xlpm.array,_xlop.height,_xlop.width, _xlfn.LET(_xlpm.h, ROWS(_xlpm.array), _xlpm.w, COLUMNS(_xlpm.array), _xlpm.HeightOmitted?, _xlfn.ISOMITTED(_xlpm.height), _xlpm.WidthOmitted?, _xlfn.ISOMITTED(_xlpm.width), _xlpm.NoHWInput?, _xlpm.HeightOmitted? + _xlpm.WidthOmitted? = 2, _xlpm.height, IF(OR(_xlpm.NoHWInput?, _xlpm.HeightOmitted?), 1, _xlpm.height), _xlpm.width, IF(OR(_xlpm.NoHWInput?, _xlpm.WidthOmitted?), 1, _xlpm.width), _xlpm.NoRepeat?, AND(_xlpm.height = 1, _xlpm.width = 1), _xlpm.IsScalar?, AND(_xlpm.h = 1, _xlpm.w = 1), _xlpm.ExpandScalar, _xlfn.EXPAND(_xlpm.array, _xlpm.height, _xlpm.width, _xlpm.array), _xlpm.InvalidRepeat?, OR(ISTEXT(_xlpm.height), ISTEXT(_xlpm.width), OR(AND(ISNUMBER(_xlpm.height), _xlpm.height &lt;= 0), AND(ISNUMBER(_xlpm.width), _xlpm.width &lt;= 0))), IF(_xlpm.NoRepeat?, _xlpm.array, IF(_xlpm.IsScalar?, _xlpm.ExpandScalar, IF(_xlpm.InvalidRepeat?, _xlpm.array, _xlfn.LET(_xlpm.k, _xlpm.h * _xlpm.height, _xlpm.k₂, _xlpm.w * _xlpm.width, _xlpm.i, _xlfn.LAMBDA(1 + MOD(_xlfn.SEQUENCE(_xlpm.k, , 0, ), _xlpm.h) * _xlfn.SEQUENCE(, _xlpm.k₂, 1, 0)), _xlpm.j, _xlfn.LAMBDA(1 + MOD(_xlfn.SEQUENCE(, _xlpm.k₂, 0), _xlpm.w) * _xlfn.SEQUENCE(_xlpm.k, , 1, 0)), _xlpm.result, INDEX(_xlpm.array, _xlpm.i(), _xlpm.j()), _xlpm.result))))))</definedName>
    <definedName name="SmallGrid">Match2D!$B$6:$F$10</definedName>
    <definedName name="TerrainMask">Navigate2D!$J$14:$T$22</definedName>
    <definedName name="ThisGrid">Match2D!$I$6:$AB$10</definedName>
    <definedName name="Triplewiseλ">_xlfn.LAMBDA(_xlpm.set_1,_xlpm.set_2,_xlpm.set_3, _xlfn.LET(_xlpm.set_1, _xlfn.TOCOL(_xlpm.set_1), _xlpm.set_2, _xlfn.TOCOL(_xlpm.set_2), _xlpm.set_3, _xlfn.TOCOL(_xlpm.set_3), _xlpm.pairs, Pairwiseλ(_xlpm.set_1, _xlpm.set_2), _xlpm.a, _xlfn.TAKE(_xlpm.pairs, , 1), _xlpm.b, _xlfn.TAKE(_xlpm.pairs, , -1), _xlpm.p_13, Pairwiseλ(_xlpm.a, _xlpm.set_3), _xlpm.p_23, Pairwiseλ(_xlpm.b, _xlpm.set_3), _xlpm.a_, _xlfn.TAKE(_xlpm.p_13, , 1), _xlpm.b_, _xlfn.TAKE(_xlpm.p_23, , 1), _xlpm.c_, _xlfn.TAKE(_xlpm.p_13, , -1), _xlpm.triple, _xlfn.HSTACK(_xlpm.a_, _xlpm.b_, _xlpm.c_), _xlpm.triple))</definedName>
    <definedName name="VSplitλ">_xlfn.LAMBDA(_xlpm.array,_xlpm.split_interval,_xlop.pad_with, _xlfn.LET(_xlpm.height, ROWS(_xlpm.array), _xlpm.width, COLUMNS(_xlpm.array), _xlpm.split_interval, INDEX(_xlpm.split_interval, 1, 1), _xlpm.IsScalar?, AND(_xlpm.height = 1, _xlpm.width = 1), _xlpm.Is1xN?, _xlpm.height = 1, _xlpm.InvalidSplit?, OR(ISTEXT(_xlpm.split_interval), _xlpm.split_interval &lt;= 0), IF(OR(_xlpm.IsScalar?, _xlpm.Is1xN?), _xlfn._ARRAY(_xlfn._ARRAYROW(_xlpm.array)), IF(_xlpm.InvalidSplit?, #VALUE!, _xlfn.LET(_xlpm.pad_with, IF(_xlfn.ISOMITTED(_xlpm.pad_with), NA(), INDEX(_xlpm.pad_with, 1, 1)), _xlpm.PadRows, MOD(-_xlpm.height, _xlpm.split_interval), _xlpm.new_array, _xlfn.EXPAND(_xlpm.array, _xlpm.height + _xlpm.PadRows, , _xlpm.pad_with), _xlpm.anchors, _xlfn.SEQUENCE((_xlpm.PadRows + _xlpm.height) / _xlpm.split_interval, , 1, _xlpm.split_interval), _xlpm.step, _xlfn.SEQUENCE(_xlpm.split_interval, , 0), _xlpm.Partλ, _xlfn.LAMBDA(_xlpm.idx, _xlfn.LET(_xlpm.r, _xlpm.idx + _xlpm.step, _xlpm.part, _xlfn.CHOOSEROWS(_xlpm.new_array, _xlpm.r), _xlpm.part)), _xlpm.lists, _xlfn.MAP(_xlpm.anchors, _xlpm.Partλ), _xlpm.lists)))))</definedName>
    <definedName name="Waldo">Match2D!$J$14:$L$15</definedName>
    <definedName name="WeeklyData">VSplit_HSplit!$H$8:$Q$11</definedName>
    <definedName name="Windowedλ">_xlfn.LAMBDA(_xlpm.array_2D,_xlpm.depth,_xlop.width, _xlfn.LET(_xlpm.width, IF(_xlfn.ISOMITTED(_xlpm.width), _xlpm.depth, _xlpm.width), _xlpm.kernel, _xlfn.EXPAND(0, _xlpm.depth, _xlpm.width, 0), _xlpm.h, ROWS(_xlpm.array_2D), _xlpm.w, COLUMNS(_xlpm.array_2D), _xlpm.InValidDW?, OR(ISTEXT(_xlpm.depth), ISTEXT(_xlpm.width), _xlpm.depth &lt; 1, _xlpm.width &lt; 1, _xlpm.depth &gt; _xlpm.h, _xlpm.width &gt; _xlpm.w), _xlpm.OneWindow?, AND(_xlpm.h = _xlpm.depth, _xlpm.w = _xlpm.width), IF(_xlpm.InValidDW?, #VALUE!, IF(_xlpm.OneWindow?, _xlfn._ARRAY(_xlfn._ARRAYROW(_xlpm.array_2D)), _xlfn.LET(_xlpm.k_h, _xlpm.h - _xlpm.depth + 1, _xlpm.k_w, _xlpm.w - _xlpm.width + 1, _xlpm.x, IF(_xlpm.depth = 1, _xlpm.kernel, MGridλ(_xlpm.kernel) - 1), _xlpm.y, IF(_xlpm.width = 1, _xlpm.kernel, MGridλ(_xlpm.kernel, 1) - 1), _xlpm.windows, _xlfn.MAKEARRAY(_xlpm.k_h, _xlpm.k_w, _xlfn.LAMBDA(_xlpm.i,_xlpm.j, INDEX(_xlpm.array_2D, _xlpm.i + _xlpm.x, _xlpm.j + _xlpm.y))), _xlpm.windows)))))</definedName>
    <definedName name="Zipλ">_xlfn.LAMBDA(_xlpm.array_1,_xlop.array_2,_xlop.array_3,_xlop.array_4,_xlop.zip_longest,_xlop.fill_value, _xlfn.LET(_xlpm.ZipLong?, IF(_xlfn.ISOMITTED(_xlpm.zip_longest), FALSE, _xlpm.zip_longest), _xlpm.fnλ, IF(_xlpm.ZipLong?, _xleta.MAX, _xleta.MIN), _xlpm.fill_value, IF(_xlpm.ZipLong?, IF(_xlfn.ISOMITTED(_xlpm.fill_value), NA(), _xlpm.fill_value), NA()), _xlpm.Two, NOT(_xlfn.ISOMITTED(_xlpm.array_2)), _xlpm.Three, NOT(_xlfn.ISOMITTED(_xlpm.array_3)), _xlpm.Four, NOT(_xlfn.ISOMITTED(_xlpm.array_4)), _xlpm.m, IF(_xlpm.Four, 4, IF(_xlpm.Three, 3, IF(_xlpm.Two, 2, 1))), _xlpm.array_1, _xlfn.TOCOL(_xlpm.array_1), _xlpm.array_2, IF(_xlpm.m &gt;= 2, _xlfn.TOCOL(_xlpm.array_2), FALSE), _xlpm.array_3, IF(_xlpm.m &gt;= 3, _xlfn.TOCOL(_xlpm.array_3), FALSE), _xlpm.array_4, IF(_xlpm.m = 4, _xlfn.TOCOL(_xlpm.array_4), FALSE), _xlpm.k₁, ROWS(_xlpm.array_1), _xlpm.k₂, ROWS(_xlpm.array_2), _xlpm.k₃, ROWS(_xlpm.array_3), _xlpm.k₄, ROWS(_xlpm.array_4), _xlpm.LZ, CHOOSE(_xlpm.m, _xlpm.k₁, _xlpm.fnλ(_xlpm.k₁, _xlpm.k₂), _xlpm.fnλ(_xlpm.k₁, _xlpm.k₂, _xlpm.k₃), _xlpm.fnλ(_xlpm.k₁, _xlpm.k₂, _xlpm.k₃, _xlpm.k₄)), _xlpm.Normalizeλ, _xlfn.LAMBDA(_xlpm.arr, IF(_xlpm.ZipLong?, _xlfn.EXPAND(_xlpm.arr, _xlpm.LZ, , _xlpm.fill_value), _xlfn.TAKE(_xlpm.arr, _xlpm.LZ))), _xlpm.a, _xlpm.Normalizeλ(_xlpm.array_1), _xlpm.b, _xlpm.Normalizeλ(_xlpm.array_2), _xlpm.c, _xlpm.Normalizeλ(_xlpm.array_3), _xlpm.d, _xlpm.Normalizeλ(_xlpm.array_4), _xlpm.arranged, CHOOSE(_xlpm.m, _xlpm.a, _xlfn.HSTACK(_xlpm.a, _xlpm.b), _xlfn.HSTACK(_xlpm.a, _xlpm.b, _xlpm.c), _xlfn.HSTACK(_xlpm.a, _xlpm.b, _xlpm.c, _xlpm.d)), _xlpm.zipped, _xlfn.BYROW(_xlpm.arranged, _xlfn.LAMBDA(_xlpm.row, _xlfn._ARRAY(_xlfn._ARRAYROW(_xlpm.row)))), _xlpm.zipped))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3" setVersion="3"/>
    </ext>
  </extLst>
</workbook>
</file>

<file path=xl/calcChain.xml><?xml version="1.0" encoding="utf-8"?>
<calcChain xmlns="http://schemas.openxmlformats.org/spreadsheetml/2006/main">
  <c r="I23" i="27" l="1" a="1"/>
  <c r="I15" i="27" a="1"/>
  <c r="B15" i="27" a="1"/>
  <c r="I16" i="24" a="1"/>
  <c r="E16" i="24" a="1"/>
  <c r="B16" i="24" a="1"/>
  <c r="H20" i="23" a="1"/>
  <c r="C20" i="23" a="1"/>
  <c r="Y13" i="26" a="1"/>
  <c r="M11" i="22" a="1"/>
  <c r="H18" i="22" a="1"/>
  <c r="H7" i="22" a="1"/>
  <c r="O5" i="21" a="1"/>
  <c r="I5" i="21" a="1"/>
  <c r="W13" i="26" a="1"/>
  <c r="O13" i="26" a="1"/>
  <c r="B13" i="26" a="1"/>
  <c r="B6" i="26" a="1"/>
  <c r="X22" i="14" a="1"/>
  <c r="T22" i="14" a="1"/>
  <c r="O22" i="14" a="1"/>
  <c r="J18" i="14" a="1"/>
  <c r="H26" i="20" a="1"/>
  <c r="H18" i="20" a="1"/>
  <c r="B18" i="20" a="1"/>
  <c r="B25" i="20" a="1"/>
  <c r="L19" i="3" a="1"/>
  <c r="B3" i="16" a="1"/>
  <c r="B18" i="14" a="1"/>
  <c r="M24" i="16" l="1" a="1"/>
  <c r="M15" i="16" a="1"/>
  <c r="P40" i="5" l="1" a="1"/>
  <c r="U34" i="5" a="1"/>
  <c r="P34" i="5" a="1"/>
  <c r="P30" i="5" a="1"/>
  <c r="J35" i="5" a="1"/>
  <c r="J30" i="5" a="1"/>
  <c r="C36" i="5" a="1"/>
  <c r="C30" i="5" a="1"/>
  <c r="G19" i="3" l="1" a="1"/>
  <c r="B9" i="3" a="1"/>
  <c r="F22" i="4" a="1"/>
  <c r="Q21" i="4" a="1"/>
  <c r="B19" i="3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8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</futureMetadata>
  <cellMetadata count="1">
    <bk>
      <rc t="1" v="0"/>
    </bk>
  </cellMetadata>
  <valueMetadata count="8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</valueMetadata>
</metadata>
</file>

<file path=xl/sharedStrings.xml><?xml version="1.0" encoding="utf-8"?>
<sst xmlns="http://schemas.openxmlformats.org/spreadsheetml/2006/main" count="563" uniqueCount="276">
  <si>
    <t>GridLookupλ - Searches a 2D array or range for a match and returns the corresponding items from the second 2D range or array</t>
  </si>
  <si>
    <t>N</t>
  </si>
  <si>
    <t>NW</t>
  </si>
  <si>
    <t>NE</t>
  </si>
  <si>
    <t>W</t>
  </si>
  <si>
    <t>E</t>
  </si>
  <si>
    <t>SW</t>
  </si>
  <si>
    <t>S</t>
  </si>
  <si>
    <t>SE</t>
  </si>
  <si>
    <t>Flow</t>
  </si>
  <si>
    <t>DirectionCoding</t>
  </si>
  <si>
    <t>Direction</t>
  </si>
  <si>
    <t>=GridLookupλ(Flow,DirCoding,Direction)</t>
  </si>
  <si>
    <t>Optional</t>
  </si>
  <si>
    <t>• lookup_values - Values to search for - can be an array or scalar</t>
  </si>
  <si>
    <t>• lookup_array - 2D array to search</t>
  </si>
  <si>
    <t>• return_array - 2D array to return</t>
  </si>
  <si>
    <t>Optional - All optional parameters share the same options and defaults as native XLOOKUP and XMATCH.</t>
  </si>
  <si>
    <t>• [if_not_found] - returned if no match found. If omitted, defaults to #N/A</t>
  </si>
  <si>
    <t>• [match_mode] - Specify how to match lookup_values against values in lookup_array. If omitted, defaults to 0 - exact match</t>
  </si>
  <si>
    <t>• [search_mode] - Specify the search mode to use. If omitted, defaults to first-to-last</t>
  </si>
  <si>
    <t>Numbers</t>
  </si>
  <si>
    <t>NumberLookup</t>
  </si>
  <si>
    <t>🍎</t>
  </si>
  <si>
    <t>🍌</t>
  </si>
  <si>
    <t>🍇</t>
  </si>
  <si>
    <t>🍊</t>
  </si>
  <si>
    <t>Icons</t>
  </si>
  <si>
    <t>=GridLookupλ(NumberLookup,Numbers,Icons)</t>
  </si>
  <si>
    <t>Windowedλ - Extracts all overlapping windows of size depth x width from a 2D array</t>
  </si>
  <si>
    <t>=Windowedλ(B9#,2,2)</t>
  </si>
  <si>
    <t>B9#</t>
  </si>
  <si>
    <t>• array_2D - array (1D arrays, scalars are rejected)</t>
  </si>
  <si>
    <t>• depth - total rows in each window</t>
  </si>
  <si>
    <t>• [width] - total columns in each window. If omitted, defaults to depth.</t>
  </si>
  <si>
    <t>Elevation</t>
  </si>
  <si>
    <t>=Windowedλ(Elevation,3,4)</t>
  </si>
  <si>
    <t>Navigate2D - Locates a lookup_kernel (2D array) in match_array_2D and returns a shape from the Moore neighborhood relative to the match location.</t>
  </si>
  <si>
    <t>Moore neighborhood</t>
  </si>
  <si>
    <t>• lookup_kernel - 2D shape or array to locate</t>
  </si>
  <si>
    <t>• match_array_2D - 2D source array in which to locate the kernel</t>
  </si>
  <si>
    <t>[return_direction] - Integer (1 to 9) indicating which Moore neighborhood to return</t>
  </si>
  <si>
    <t>[return_height] - Rows included in the return</t>
  </si>
  <si>
    <t>[return_width] - Columns included in the return</t>
  </si>
  <si>
    <t>• If omitted, defaults to 8, directly below the matched kernel.</t>
  </si>
  <si>
    <t>• If height/width are omitted - defaults to height/width of lookup_kernel</t>
  </si>
  <si>
    <t>5 = position of lookup_kernel in match_array_2D</t>
  </si>
  <si>
    <t>Grid</t>
  </si>
  <si>
    <t>KernelA</t>
  </si>
  <si>
    <t>=Navigate2Dλ(C24:D25,Grid)</t>
  </si>
  <si>
    <t>return_direction omitted = 8 (below)</t>
  </si>
  <si>
    <t>=Navigate2Dλ(KernelA,Grid,3)</t>
  </si>
  <si>
    <t>3 = Northeast</t>
  </si>
  <si>
    <t>R</t>
  </si>
  <si>
    <t>V</t>
  </si>
  <si>
    <t>K</t>
  </si>
  <si>
    <t>TerrainMask</t>
  </si>
  <si>
    <t>KernelB</t>
  </si>
  <si>
    <t>KernelC</t>
  </si>
  <si>
    <t>R - Ridge</t>
  </si>
  <si>
    <t>S - Slope</t>
  </si>
  <si>
    <t>V- Valley</t>
  </si>
  <si>
    <t>=Navigate2Dλ(KernelB,TerrainMask,1)</t>
  </si>
  <si>
    <t>Northwest</t>
  </si>
  <si>
    <t>=Navigate2Dλ(KernelB,TerrainMask,9,3,3)</t>
  </si>
  <si>
    <t>Southeast (3 x 3 return height/width)</t>
  </si>
  <si>
    <t>=Navigate2Dλ(KernelC,TerrainMask,2)</t>
  </si>
  <si>
    <t>West</t>
  </si>
  <si>
    <t>=Navigate2Dλ(KernelC,TerrainMask,,4,2)</t>
  </si>
  <si>
    <t>South (4 x 2 return height/width)</t>
  </si>
  <si>
    <t>Off Grid Result - Kernel location provided</t>
  </si>
  <si>
    <t>KernelD</t>
  </si>
  <si>
    <t>Z</t>
  </si>
  <si>
    <t>=Navigate2Dλ(KernelD,TerrainMask,6)</t>
  </si>
  <si>
    <t>Kernel not found</t>
  </si>
  <si>
    <t>=Navigate2Dλ(KernelC,TerrainMask,4)</t>
  </si>
  <si>
    <t>KernelM</t>
  </si>
  <si>
    <t>SmallGrid</t>
  </si>
  <si>
    <t>Match2Dλ</t>
  </si>
  <si>
    <t>Navigate2Dλ</t>
  </si>
  <si>
    <t>Expands each element into a depth×width block.</t>
  </si>
  <si>
    <t>Sorts each row alphabetically or by sort order. Revised Alignλ.</t>
  </si>
  <si>
    <t>Sorts each column alphabetically or by sort order. Revised Alignλ.</t>
  </si>
  <si>
    <t>Zips 1–4 arrays into row‑records. Now returns a list.</t>
  </si>
  <si>
    <t>Cartesian pairing of two inputs.</t>
  </si>
  <si>
    <t>Triplewiseλ</t>
  </si>
  <si>
    <t>Cartesian product of 3 sets.</t>
  </si>
  <si>
    <t>Cartesian product of 4 sets.</t>
  </si>
  <si>
    <t>Repeats each element according to repeat counts.</t>
  </si>
  <si>
    <t>Sliding‑window convolution using a reducer.</t>
  </si>
  <si>
    <t>Partitions a 2D array into depth×width blocks.</t>
  </si>
  <si>
    <t>Extracts overlapping depth×width windows.</t>
  </si>
  <si>
    <t>GridLookupλ</t>
  </si>
  <si>
    <t>2D lookup returning corresponding values from a second grid.</t>
  </si>
  <si>
    <t>Locates a kernel in a 2D array and returns a Moore‑neighborhood shape.</t>
  </si>
  <si>
    <t>Locates a kernel in a 2D array and returns match coordinates.</t>
  </si>
  <si>
    <t>Splits a 2D array into vertical row‑segments of size split interval</t>
  </si>
  <si>
    <t>Splits a 2D array into horizontal column‑segments of size split interval</t>
  </si>
  <si>
    <t>Magnifyλ</t>
  </si>
  <si>
    <t>AlignRowsλ</t>
  </si>
  <si>
    <t>AlignColsλ</t>
  </si>
  <si>
    <t>Foldλ</t>
  </si>
  <si>
    <t>Zipλ</t>
  </si>
  <si>
    <t>Pairwiseλ</t>
  </si>
  <si>
    <t>Quadwiseλ</t>
  </si>
  <si>
    <t>Echoλ</t>
  </si>
  <si>
    <t>Convolveλ</t>
  </si>
  <si>
    <t>Blocksλ</t>
  </si>
  <si>
    <t>Windowedλ</t>
  </si>
  <si>
    <t>VSplitλ</t>
  </si>
  <si>
    <t>HSplitλ</t>
  </si>
  <si>
    <t>New prototypes</t>
  </si>
  <si>
    <t>Simplified functions</t>
  </si>
  <si>
    <t>Groups identical rows and applies an aggregation reducer. Faster via simplified AlignRowsλ.</t>
  </si>
  <si>
    <t>How to use this workbook</t>
  </si>
  <si>
    <t>Each sheet demonstrates a function using a sample grid.</t>
  </si>
  <si>
    <t>Formula cells appear above each spill. Function listings and descriptions appear below.</t>
  </si>
  <si>
    <t>BigSpill 2.0 - Prototypes</t>
  </si>
  <si>
    <t>This workbook contains a selection of BigSpill prototypes - revisions of existing functions and 7 new functions.</t>
  </si>
  <si>
    <t>=Blocksλ(B3#,2,5)</t>
  </si>
  <si>
    <t>=Blocksλ(B3#,2,2)</t>
  </si>
  <si>
    <t>2 x 5 blocks</t>
  </si>
  <si>
    <t>2 x 2 blocks</t>
  </si>
  <si>
    <t>=Windowedλ(Elevation,2)</t>
  </si>
  <si>
    <t>=Match2Dλ(KernelM,SmallGrid)</t>
  </si>
  <si>
    <t>Blocksλ is repurposed Grainλ which does not flatten nor downsample submatrices. Instead, it returns an array of lists.</t>
  </si>
  <si>
    <t>For readability, some column widths have not been extended to show full lists.</t>
  </si>
  <si>
    <t>Match2Dλ - Locates a kernel in a 2D array and returns match coordinates.</t>
  </si>
  <si>
    <t>Name</t>
  </si>
  <si>
    <t>Dept</t>
  </si>
  <si>
    <t>Score</t>
  </si>
  <si>
    <t>Region</t>
  </si>
  <si>
    <t>Alice</t>
  </si>
  <si>
    <t>Sales</t>
  </si>
  <si>
    <t>East</t>
  </si>
  <si>
    <t>Bob</t>
  </si>
  <si>
    <t>Ops</t>
  </si>
  <si>
    <t>Cara</t>
  </si>
  <si>
    <t>HR</t>
  </si>
  <si>
    <t>Dan</t>
  </si>
  <si>
    <t>IT</t>
  </si>
  <si>
    <t>South</t>
  </si>
  <si>
    <t>Jack</t>
  </si>
  <si>
    <t>Legal</t>
  </si>
  <si>
    <t>RegionalData</t>
  </si>
  <si>
    <t>=HSplitλ(RegionalData,2)</t>
  </si>
  <si>
    <t>=VSplitλ(RegionalData,2,"")</t>
  </si>
  <si>
    <t>Split_interval = 2, Pad with ""</t>
  </si>
  <si>
    <t>Split_interval = 2</t>
  </si>
  <si>
    <t>WeeklyData</t>
  </si>
  <si>
    <t>=HSplitλ(WeeklyData,5)</t>
  </si>
  <si>
    <t>Split_interval = 5</t>
  </si>
  <si>
    <t>=VSplitλ(WeeklyData,1)</t>
  </si>
  <si>
    <t>Split_interval = 1</t>
  </si>
  <si>
    <t>Waldo</t>
  </si>
  <si>
    <t>Where</t>
  </si>
  <si>
    <t>is</t>
  </si>
  <si>
    <t>in</t>
  </si>
  <si>
    <t>this</t>
  </si>
  <si>
    <t>grid?</t>
  </si>
  <si>
    <t>ThisGrid</t>
  </si>
  <si>
    <t>=Match2Dλ(Waldo,ThisGrid)</t>
  </si>
  <si>
    <t>KernelS</t>
  </si>
  <si>
    <t>=Match2Dλ(KernelS,ThisGrid)</t>
  </si>
  <si>
    <t>Scalar match</t>
  </si>
  <si>
    <t>=Match2Dλ("Waldo",ThisGrid)</t>
  </si>
  <si>
    <t>A</t>
  </si>
  <si>
    <t>B</t>
  </si>
  <si>
    <t>C</t>
  </si>
  <si>
    <t>D</t>
  </si>
  <si>
    <t>KernelABC</t>
  </si>
  <si>
    <t>=Match2Dλ(KernelABC,ThisGrid)</t>
  </si>
  <si>
    <t>Not Found</t>
  </si>
  <si>
    <t>The function terminates early when HASALL</t>
  </si>
  <si>
    <t>determines membership of kernel elements in</t>
  </si>
  <si>
    <t>the 2D array is FALSE</t>
  </si>
  <si>
    <t>Magnifyλ - Expands each element into a depth×width block.</t>
  </si>
  <si>
    <t>B6#</t>
  </si>
  <si>
    <t>=Magnifyλ(B6#,3,4)</t>
  </si>
  <si>
    <t>=Magnifyλ(B6#,100,2)</t>
  </si>
  <si>
    <t>Echoλ - Repeats each element according to repeat counts.</t>
  </si>
  <si>
    <t>Height = 3, Width = 4</t>
  </si>
  <si>
    <t>Height = 100, Width = 2</t>
  </si>
  <si>
    <t>Animals</t>
  </si>
  <si>
    <t>Fish</t>
  </si>
  <si>
    <t>B3</t>
  </si>
  <si>
    <t>Trout</t>
  </si>
  <si>
    <t>Salmon</t>
  </si>
  <si>
    <t>Bass</t>
  </si>
  <si>
    <t>Walleye</t>
  </si>
  <si>
    <t>=Echoλ(Animals,3)</t>
  </si>
  <si>
    <t>=Echoλ(Fish,{2,4})</t>
  </si>
  <si>
    <t>Delta</t>
  </si>
  <si>
    <t>Charlie</t>
  </si>
  <si>
    <t>Bravo</t>
  </si>
  <si>
    <t>Alpha</t>
  </si>
  <si>
    <t>Data</t>
  </si>
  <si>
    <t>Sorts each row alphabetically or by sort order.</t>
  </si>
  <si>
    <t>Sorts each column alphabetically or by sort order.</t>
  </si>
  <si>
    <t>Foldλ - Groups identical rows and applies an aggregation reducer. Faster via simplified AlignRowsλ.</t>
  </si>
  <si>
    <t>Silver</t>
  </si>
  <si>
    <t>Gold</t>
  </si>
  <si>
    <t>Navy</t>
  </si>
  <si>
    <t>Colors</t>
  </si>
  <si>
    <t>Amounts</t>
  </si>
  <si>
    <t>Blue</t>
  </si>
  <si>
    <t>=Foldλ(Colors)</t>
  </si>
  <si>
    <t>=Foldλ(Colors,Amounts,SUM)</t>
  </si>
  <si>
    <t>=Foldλ(Colors,Amounts,MAX)</t>
  </si>
  <si>
    <t>lion</t>
  </si>
  <si>
    <t>tiger</t>
  </si>
  <si>
    <t>bear</t>
  </si>
  <si>
    <t>moose</t>
  </si>
  <si>
    <t>Zipλ - Zips 1–4 arrays into row‑records. Now returns a list.</t>
  </si>
  <si>
    <t>People</t>
  </si>
  <si>
    <t>Places</t>
  </si>
  <si>
    <t>Department</t>
  </si>
  <si>
    <t>Ned</t>
  </si>
  <si>
    <t>Ted</t>
  </si>
  <si>
    <t>Fred</t>
  </si>
  <si>
    <t>Bev</t>
  </si>
  <si>
    <t>Todd</t>
  </si>
  <si>
    <t>Mike</t>
  </si>
  <si>
    <t>Gus</t>
  </si>
  <si>
    <t>Hector</t>
  </si>
  <si>
    <t>Marketing</t>
  </si>
  <si>
    <t>Finance</t>
  </si>
  <si>
    <t>Security</t>
  </si>
  <si>
    <t>New York</t>
  </si>
  <si>
    <t>Sioux Falls</t>
  </si>
  <si>
    <t>Richmond</t>
  </si>
  <si>
    <t>San Antonio</t>
  </si>
  <si>
    <t>Boston</t>
  </si>
  <si>
    <t>Classification</t>
  </si>
  <si>
    <t>North America</t>
  </si>
  <si>
    <t>Taiwan</t>
  </si>
  <si>
    <t>Asia</t>
  </si>
  <si>
    <t>Paris</t>
  </si>
  <si>
    <t>Europe</t>
  </si>
  <si>
    <t>Madrid</t>
  </si>
  <si>
    <t>=Zipλ(People,Department,Places,Classification)</t>
  </si>
  <si>
    <t>=Zipλ(People,Department,Places,Classification,TRUE)</t>
  </si>
  <si>
    <t>zip_longest = TRUE, fill_value omitted (defaults to #NA</t>
  </si>
  <si>
    <t>Strict zip</t>
  </si>
  <si>
    <t>Pairwiseλ - Cartesian pairing of two inputs</t>
  </si>
  <si>
    <t>Triplewiseλ - Cartesian product of 3 sets</t>
  </si>
  <si>
    <t>Quadwiseλ - Cartesian product of 4 sets</t>
  </si>
  <si>
    <t>PoolA</t>
  </si>
  <si>
    <t>PoolB</t>
  </si>
  <si>
    <t>GameTime</t>
  </si>
  <si>
    <t>Location</t>
  </si>
  <si>
    <t>Bluebirds</t>
  </si>
  <si>
    <t>Stars</t>
  </si>
  <si>
    <t>Zephyrs</t>
  </si>
  <si>
    <t>Buzz</t>
  </si>
  <si>
    <t>Mammoths</t>
  </si>
  <si>
    <t>Griffons</t>
  </si>
  <si>
    <t>Wildcats</t>
  </si>
  <si>
    <t>Noon</t>
  </si>
  <si>
    <t>Gymnasium</t>
  </si>
  <si>
    <t>Outdoor court</t>
  </si>
  <si>
    <t>=Pairwiseλ(PoolA,PoolB)</t>
  </si>
  <si>
    <t>Morning</t>
  </si>
  <si>
    <t>Night</t>
  </si>
  <si>
    <t>=Triplewiseλ(PoolA,PoolB,GameTIme)</t>
  </si>
  <si>
    <t>=Quadwiseλ(PoolA,PoolB,GameTIme,Location)</t>
  </si>
  <si>
    <t>Convolveλ - Sliding‑window convolution using a reducer. Now built with Windowedλ as the engine.</t>
  </si>
  <si>
    <t>ConvolutionMatrix</t>
  </si>
  <si>
    <t>Kernel_1</t>
  </si>
  <si>
    <t>=Convolveλ(ConvolutionMatrix,Kernel_1)</t>
  </si>
  <si>
    <t>Dot product</t>
  </si>
  <si>
    <t>Kernel_2</t>
  </si>
  <si>
    <t>=Convolveλ(ConvolutionMatrix,Kernel_2,AVERAGE)</t>
  </si>
  <si>
    <t>Average</t>
  </si>
  <si>
    <t>=Convolveλ(ConvolutionMatrix,Kernel_2,MAX)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</si>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</sst>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Segoe UI Variable Display"/>
      <family val="2"/>
    </font>
    <font>
      <sz val="10"/>
      <color theme="1"/>
      <name val="Segoe UI Variable Display"/>
      <family val="2"/>
    </font>
    <font>
      <i/>
      <sz val="10"/>
      <color theme="1"/>
      <name val="Segoe UI Variable Display"/>
    </font>
    <font>
      <sz val="11"/>
      <color theme="1"/>
      <name val="Bahnschrift"/>
      <family val="2"/>
    </font>
    <font>
      <i/>
      <sz val="11"/>
      <color theme="1"/>
      <name val="Segoe UI Variable Display"/>
    </font>
    <font>
      <sz val="10"/>
      <color theme="1"/>
      <name val="Bahnschrift"/>
      <family val="2"/>
    </font>
    <font>
      <b/>
      <sz val="11"/>
      <color theme="1"/>
      <name val="Segoe UI Variable Display"/>
    </font>
    <font>
      <sz val="12"/>
      <color theme="1"/>
      <name val="Segoe UI Variable Display"/>
      <family val="2"/>
    </font>
    <font>
      <sz val="12"/>
      <color theme="1"/>
      <name val="Bahnschrift"/>
      <family val="2"/>
    </font>
    <font>
      <sz val="12"/>
      <color rgb="FFC00000"/>
      <name val="Bahnschrift"/>
      <family val="2"/>
    </font>
    <font>
      <sz val="12"/>
      <color rgb="FFFFC000"/>
      <name val="Bahnschrift"/>
      <family val="2"/>
    </font>
    <font>
      <sz val="12"/>
      <color rgb="FF7030A0"/>
      <name val="Bahnschrift"/>
      <family val="2"/>
    </font>
    <font>
      <sz val="12"/>
      <color theme="5"/>
      <name val="Bahnschrift"/>
      <family val="2"/>
    </font>
    <font>
      <sz val="10"/>
      <color theme="1"/>
      <name val="Segoe UI Variable Display"/>
    </font>
    <font>
      <b/>
      <i/>
      <sz val="10"/>
      <color theme="1"/>
      <name val="Segoe UI Variable Display"/>
    </font>
    <font>
      <b/>
      <sz val="11"/>
      <color theme="1"/>
      <name val="Bahnschrift"/>
      <family val="2"/>
    </font>
    <font>
      <b/>
      <sz val="10"/>
      <color theme="1"/>
      <name val="Segoe UI Variable Display"/>
    </font>
    <font>
      <sz val="11"/>
      <color theme="1"/>
      <name val="Segoe UI Variable Display"/>
    </font>
    <font>
      <sz val="10"/>
      <name val="Segoe UI Variable Display"/>
      <family val="2"/>
    </font>
    <font>
      <b/>
      <sz val="12"/>
      <color theme="1"/>
      <name val="Bahnschrift"/>
      <family val="2"/>
    </font>
    <font>
      <b/>
      <sz val="10"/>
      <name val="Segoe UI Variable Display"/>
    </font>
    <font>
      <sz val="14"/>
      <color theme="1"/>
      <name val="Bahnschrift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DFA6A5"/>
        <bgColor indexed="64"/>
      </patternFill>
    </fill>
    <fill>
      <patternFill patternType="solid">
        <fgColor rgb="FFC6DDFF"/>
        <bgColor indexed="64"/>
      </patternFill>
    </fill>
    <fill>
      <patternFill patternType="solid">
        <fgColor rgb="FFFFECB3"/>
        <bgColor indexed="64"/>
      </patternFill>
    </fill>
  </fills>
  <borders count="2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ck">
        <color theme="4" tint="0.59996337778862885"/>
      </right>
      <top style="thin">
        <color rgb="FFC0C0C0"/>
      </top>
      <bottom style="thick">
        <color theme="4" tint="0.59996337778862885"/>
      </bottom>
      <diagonal/>
    </border>
    <border>
      <left/>
      <right style="thick">
        <color theme="4" tint="0.59996337778862885"/>
      </right>
      <top style="thick">
        <color theme="4" tint="0.59996337778862885"/>
      </top>
      <bottom style="thin">
        <color rgb="FFC0C0C0"/>
      </bottom>
      <diagonal/>
    </border>
    <border>
      <left/>
      <right style="thick">
        <color theme="4" tint="0.59996337778862885"/>
      </right>
      <top style="thin">
        <color rgb="FFC0C0C0"/>
      </top>
      <bottom style="thin">
        <color rgb="FFC0C0C0"/>
      </bottom>
      <diagonal/>
    </border>
    <border>
      <left style="thick">
        <color theme="4" tint="0.59996337778862885"/>
      </left>
      <right style="thin">
        <color rgb="FFC0C0C0"/>
      </right>
      <top/>
      <bottom style="thick">
        <color theme="4" tint="0.59996337778862885"/>
      </bottom>
      <diagonal/>
    </border>
    <border>
      <left style="thin">
        <color rgb="FFC0C0C0"/>
      </left>
      <right style="thin">
        <color rgb="FFC0C0C0"/>
      </right>
      <top/>
      <bottom style="thick">
        <color theme="4" tint="0.59996337778862885"/>
      </bottom>
      <diagonal/>
    </border>
    <border>
      <left style="thick">
        <color rgb="FFFFECB3"/>
      </left>
      <right style="thin">
        <color rgb="FFC0C0C0"/>
      </right>
      <top style="thick">
        <color rgb="FFFFECB3"/>
      </top>
      <bottom style="thin">
        <color rgb="FFC0C0C0"/>
      </bottom>
      <diagonal/>
    </border>
    <border>
      <left style="thin">
        <color rgb="FFC0C0C0"/>
      </left>
      <right style="thick">
        <color rgb="FFFFECB3"/>
      </right>
      <top style="thick">
        <color rgb="FFFFECB3"/>
      </top>
      <bottom style="thin">
        <color rgb="FFC0C0C0"/>
      </bottom>
      <diagonal/>
    </border>
    <border>
      <left style="thick">
        <color rgb="FFFFECB3"/>
      </left>
      <right style="thin">
        <color rgb="FFC0C0C0"/>
      </right>
      <top style="thin">
        <color rgb="FFC0C0C0"/>
      </top>
      <bottom style="thick">
        <color rgb="FFFFECB3"/>
      </bottom>
      <diagonal/>
    </border>
    <border>
      <left style="thin">
        <color rgb="FFC0C0C0"/>
      </left>
      <right style="thick">
        <color rgb="FFFFECB3"/>
      </right>
      <top style="thin">
        <color rgb="FFC0C0C0"/>
      </top>
      <bottom style="thick">
        <color rgb="FFFFECB3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1" fillId="0" borderId="0" xfId="0" quotePrefix="1" applyFont="1"/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6" fillId="0" borderId="3" xfId="0" applyFont="1" applyBorder="1"/>
    <xf numFmtId="0" fontId="4" fillId="0" borderId="2" xfId="0" applyFont="1" applyBorder="1"/>
    <xf numFmtId="0" fontId="3" fillId="2" borderId="1" xfId="0" applyFont="1" applyFill="1" applyBorder="1" applyAlignment="1">
      <alignment horizontal="center"/>
    </xf>
    <xf numFmtId="0" fontId="14" fillId="0" borderId="0" xfId="0" applyFont="1"/>
    <xf numFmtId="0" fontId="13" fillId="0" borderId="0" xfId="0" quotePrefix="1" applyFont="1"/>
    <xf numFmtId="0" fontId="3" fillId="0" borderId="2" xfId="0" applyFont="1" applyBorder="1"/>
    <xf numFmtId="0" fontId="3" fillId="0" borderId="6" xfId="0" applyFont="1" applyBorder="1"/>
    <xf numFmtId="0" fontId="0" fillId="0" borderId="1" xfId="0" applyBorder="1" applyAlignment="1">
      <alignment horizontal="center"/>
    </xf>
    <xf numFmtId="0" fontId="16" fillId="0" borderId="0" xfId="0" applyFont="1"/>
    <xf numFmtId="0" fontId="3" fillId="5" borderId="1" xfId="0" applyFont="1" applyFill="1" applyBorder="1"/>
    <xf numFmtId="0" fontId="3" fillId="4" borderId="1" xfId="0" applyFont="1" applyFill="1" applyBorder="1"/>
    <xf numFmtId="0" fontId="3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4" xfId="0" applyFont="1" applyBorder="1"/>
    <xf numFmtId="0" fontId="3" fillId="8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15" fillId="3" borderId="1" xfId="0" applyFont="1" applyFill="1" applyBorder="1"/>
    <xf numFmtId="0" fontId="3" fillId="3" borderId="1" xfId="0" applyFont="1" applyFill="1" applyBorder="1"/>
    <xf numFmtId="0" fontId="15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6" fillId="0" borderId="4" xfId="0" applyFont="1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/>
    <xf numFmtId="0" fontId="17" fillId="0" borderId="0" xfId="0" applyFont="1"/>
    <xf numFmtId="0" fontId="6" fillId="0" borderId="0" xfId="0" applyFont="1" applyAlignment="1">
      <alignment vertical="center"/>
    </xf>
    <xf numFmtId="0" fontId="0" fillId="11" borderId="7" xfId="0" applyFill="1" applyBorder="1" applyAlignment="1">
      <alignment vertical="center"/>
    </xf>
    <xf numFmtId="0" fontId="0" fillId="11" borderId="8" xfId="0" applyFill="1" applyBorder="1" applyAlignment="1">
      <alignment vertical="center"/>
    </xf>
    <xf numFmtId="0" fontId="0" fillId="11" borderId="9" xfId="0" applyFill="1" applyBorder="1" applyAlignment="1">
      <alignment vertical="center"/>
    </xf>
    <xf numFmtId="0" fontId="0" fillId="12" borderId="7" xfId="0" applyFill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quotePrefix="1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/>
    <xf numFmtId="0" fontId="3" fillId="3" borderId="0" xfId="0" applyFont="1" applyFill="1" applyAlignment="1">
      <alignment horizontal="center"/>
    </xf>
    <xf numFmtId="0" fontId="13" fillId="0" borderId="0" xfId="0" applyFont="1"/>
    <xf numFmtId="0" fontId="5" fillId="0" borderId="0" xfId="0" applyFont="1"/>
    <xf numFmtId="0" fontId="5" fillId="0" borderId="0" xfId="0" quotePrefix="1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16" fillId="0" borderId="0" xfId="0" quotePrefix="1" applyFont="1"/>
    <xf numFmtId="0" fontId="3" fillId="12" borderId="1" xfId="0" applyFont="1" applyFill="1" applyBorder="1" applyAlignment="1">
      <alignment horizontal="center"/>
    </xf>
    <xf numFmtId="0" fontId="3" fillId="12" borderId="1" xfId="0" applyFont="1" applyFill="1" applyBorder="1"/>
    <xf numFmtId="0" fontId="18" fillId="0" borderId="0" xfId="0" quotePrefix="1" applyFont="1"/>
    <xf numFmtId="0" fontId="8" fillId="0" borderId="1" xfId="0" applyFont="1" applyBorder="1"/>
    <xf numFmtId="0" fontId="19" fillId="0" borderId="7" xfId="0" applyFont="1" applyBorder="1" applyAlignment="1">
      <alignment horizontal="center" vertical="center"/>
    </xf>
    <xf numFmtId="0" fontId="20" fillId="0" borderId="0" xfId="0" applyFont="1"/>
    <xf numFmtId="0" fontId="6" fillId="0" borderId="0" xfId="0" applyFont="1" applyAlignment="1">
      <alignment horizontal="center" wrapText="1"/>
    </xf>
    <xf numFmtId="0" fontId="3" fillId="12" borderId="1" xfId="0" applyFont="1" applyFill="1" applyBorder="1" applyAlignment="1">
      <alignment horizontal="center" wrapText="1"/>
    </xf>
    <xf numFmtId="0" fontId="3" fillId="11" borderId="1" xfId="0" applyFont="1" applyFill="1" applyBorder="1"/>
    <xf numFmtId="0" fontId="3" fillId="11" borderId="0" xfId="0" applyFont="1" applyFill="1"/>
    <xf numFmtId="18" fontId="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16">
    <dxf>
      <fill>
        <patternFill>
          <bgColor rgb="FF4DC22B"/>
        </patternFill>
      </fill>
    </dxf>
    <dxf>
      <fill>
        <patternFill>
          <bgColor rgb="FF007C3C"/>
        </patternFill>
      </fill>
    </dxf>
    <dxf>
      <fill>
        <patternFill>
          <bgColor rgb="FFA9CCE8"/>
        </patternFill>
      </fill>
    </dxf>
    <dxf>
      <fill>
        <patternFill>
          <bgColor rgb="FF5697CC"/>
        </patternFill>
      </fill>
    </dxf>
    <dxf>
      <fill>
        <patternFill>
          <bgColor rgb="FFC596E1"/>
        </patternFill>
      </fill>
    </dxf>
    <dxf>
      <fill>
        <patternFill>
          <bgColor rgb="FFE64817"/>
        </patternFill>
      </fill>
    </dxf>
    <dxf>
      <fill>
        <patternFill>
          <bgColor rgb="FFFBAF1D"/>
        </patternFill>
      </fill>
    </dxf>
    <dxf>
      <fill>
        <patternFill>
          <bgColor rgb="FF2E81C0"/>
        </patternFill>
      </fill>
    </dxf>
    <dxf>
      <fill>
        <patternFill>
          <bgColor rgb="FF4DC22B"/>
        </patternFill>
      </fill>
    </dxf>
    <dxf>
      <fill>
        <patternFill>
          <bgColor rgb="FF007C3C"/>
        </patternFill>
      </fill>
    </dxf>
    <dxf>
      <fill>
        <patternFill>
          <bgColor rgb="FFA9CCE8"/>
        </patternFill>
      </fill>
    </dxf>
    <dxf>
      <fill>
        <patternFill>
          <bgColor rgb="FF5697CC"/>
        </patternFill>
      </fill>
    </dxf>
    <dxf>
      <fill>
        <patternFill>
          <bgColor rgb="FFC596E1"/>
        </patternFill>
      </fill>
    </dxf>
    <dxf>
      <fill>
        <patternFill>
          <bgColor rgb="FFE64817"/>
        </patternFill>
      </fill>
    </dxf>
    <dxf>
      <fill>
        <patternFill>
          <bgColor rgb="FFFBAF1D"/>
        </patternFill>
      </fill>
    </dxf>
    <dxf>
      <fill>
        <patternFill>
          <bgColor rgb="FF2E81C0"/>
        </patternFill>
      </fill>
    </dxf>
  </dxfs>
  <tableStyles count="1" defaultTableStyle="TableStyleMedium2" defaultPivotStyle="PivotStyleLight16">
    <tableStyle name="Invisible" pivot="0" table="0" count="0" xr9:uid="{40DF921A-B1D8-44F7-B7EF-88081656B249}"/>
  </tableStyles>
  <colors>
    <mruColors>
      <color rgb="FFFFECB3"/>
      <color rgb="FFC0C0C0"/>
      <color rgb="FFDFA6A5"/>
      <color rgb="FFC6DDFF"/>
      <color rgb="FFFF8B8B"/>
      <color rgb="FFFFFFCC"/>
      <color rgb="FF339966"/>
      <color rgb="FFFF7C80"/>
      <color rgb="FFCF797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17/06/relationships/rdArray" Target="richData/rdarray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657225</xdr:colOff>
      <xdr:row>1</xdr:row>
      <xdr:rowOff>0</xdr:rowOff>
    </xdr:from>
    <xdr:to>
      <xdr:col>3</xdr:col>
      <xdr:colOff>2221440</xdr:colOff>
      <xdr:row>5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97DE6CD-6468-413B-91F4-D5467E6F6DDC}"/>
            </a:ext>
          </a:extLst>
        </xdr:cNvPr>
        <xdr:cNvSpPr>
          <a:spLocks noChangeAspect="1"/>
        </xdr:cNvSpPr>
      </xdr:nvSpPr>
      <xdr:spPr>
        <a:xfrm>
          <a:off x="1971675" y="209550"/>
          <a:ext cx="2611965" cy="914400"/>
        </a:xfrm>
        <a:prstGeom prst="rect">
          <a:avLst/>
        </a:prstGeom>
        <a:solidFill>
          <a:srgbClr val="333333"/>
        </a:solidFill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400" b="0" i="0" cap="none" spc="0">
              <a:ln w="22225">
                <a:noFill/>
                <a:prstDash val="solid"/>
              </a:ln>
              <a:solidFill>
                <a:schemeClr val="bg1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Big</a:t>
          </a:r>
          <a:r>
            <a:rPr lang="en-US" sz="5400" b="0" i="0" cap="none" spc="0">
              <a:ln w="22225">
                <a:noFill/>
                <a:prstDash val="solid"/>
              </a:ln>
              <a:solidFill>
                <a:srgbClr val="1F6F5B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Spill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rrain&#955;%20-%20Modular%20Terrain%20Analysis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QuickStart"/>
      <sheetName val="Input"/>
      <sheetName val="Analyze"/>
      <sheetName val="Export"/>
      <sheetName val="FAQ"/>
      <sheetName val="Glossary"/>
      <sheetName val="DEM-AmazonBasin"/>
      <sheetName val="DEM-DeathValley"/>
    </sheetNames>
    <sheetDataSet>
      <sheetData sheetId="0" refreshError="1"/>
      <sheetData sheetId="1" refreshError="1"/>
      <sheetData sheetId="2" refreshError="1"/>
      <sheetData sheetId="3">
        <row r="17">
          <cell r="E17" t="str">
            <v>Profile Curvature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25">
  <a r="1" c="4">
    <v t="s">Ned</v>
    <v t="s">Sales</v>
    <v t="s">Boston</v>
    <v t="s">North America</v>
  </a>
  <a r="1">
    <v t="a">0</v>
  </a>
  <a r="1" c="4">
    <v t="s">Ted</v>
    <v t="s">Marketing</v>
    <v t="s">Taiwan</v>
    <v t="s">Asia</v>
  </a>
  <a r="1">
    <v t="a">2</v>
  </a>
  <a r="1" c="4">
    <v t="s">Fred</v>
    <v t="s">Finance</v>
    <v t="s">New York</v>
    <v t="s">North America</v>
  </a>
  <a r="1">
    <v t="a">4</v>
  </a>
  <a r="1" c="4">
    <v t="s">Bev</v>
    <v t="s">Security</v>
    <v t="s">Sioux Falls</v>
    <v t="s">North America</v>
  </a>
  <a r="1">
    <v t="a">6</v>
  </a>
  <a r="1" c="4">
    <v t="s">Todd</v>
    <v t="s">HR</v>
    <v t="s">Richmond</v>
    <v t="s">North America</v>
  </a>
  <a r="1">
    <v t="a">8</v>
  </a>
  <a r="1" c="4">
    <v t="s">Mike</v>
    <v t="s">HR</v>
    <v t="s">San Antonio</v>
    <v t="s">North America</v>
  </a>
  <a r="1">
    <v t="a">10</v>
  </a>
  <a r="1" c="4">
    <v t="s">Bob</v>
    <v t="s">Legal</v>
    <v t="s">Paris</v>
    <v t="s">Europe</v>
  </a>
  <a r="1">
    <v t="a">12</v>
  </a>
  <a r="1" c="4">
    <v t="s">Gus</v>
    <v t="s">Security</v>
    <v t="s">Madrid</v>
    <v t="s">Europe</v>
  </a>
  <a r="1">
    <v t="a">14</v>
  </a>
  <a r="1" c="4">
    <v t="s">Hector</v>
    <v t="e">#N/A</v>
    <v t="e">#N/A</v>
    <v t="e">#N/A</v>
  </a>
  <a r="1">
    <v t="a">16</v>
  </a>
  <a r="2" c="2">
    <v>1</v>
    <v>2</v>
    <v>11</v>
    <v>12</v>
  </a>
  <a r="1">
    <v t="a">18</v>
  </a>
  <a r="2" c="2">
    <v>3</v>
    <v>4</v>
    <v>13</v>
    <v>14</v>
  </a>
  <a r="1">
    <v t="a">20</v>
  </a>
  <a r="2" c="2">
    <v>5</v>
    <v>6</v>
    <v>15</v>
    <v>16</v>
  </a>
  <a r="1">
    <v t="a">22</v>
  </a>
  <a r="2" c="2">
    <v>7</v>
    <v>8</v>
    <v>17</v>
    <v>18</v>
  </a>
  <a r="1">
    <v t="a">24</v>
  </a>
  <a r="2" c="2">
    <v>9</v>
    <v>10</v>
    <v>19</v>
    <v>20</v>
  </a>
  <a r="1">
    <v t="a">26</v>
  </a>
  <a r="2" c="2">
    <v>21</v>
    <v>22</v>
    <v>31</v>
    <v>32</v>
  </a>
  <a r="1">
    <v t="a">28</v>
  </a>
  <a r="2" c="2">
    <v>23</v>
    <v>24</v>
    <v>33</v>
    <v>34</v>
  </a>
  <a r="1">
    <v t="a">30</v>
  </a>
  <a r="2" c="2">
    <v>25</v>
    <v>26</v>
    <v>35</v>
    <v>36</v>
  </a>
  <a r="1">
    <v t="a">32</v>
  </a>
  <a r="2" c="2">
    <v>27</v>
    <v>28</v>
    <v>37</v>
    <v>38</v>
  </a>
  <a r="1">
    <v t="a">34</v>
  </a>
  <a r="2" c="2">
    <v>29</v>
    <v>30</v>
    <v>39</v>
    <v>40</v>
  </a>
  <a r="1">
    <v t="a">36</v>
  </a>
  <a r="2" c="2">
    <v>41</v>
    <v>42</v>
    <v>51</v>
    <v>52</v>
  </a>
  <a r="1">
    <v t="a">38</v>
  </a>
  <a r="2" c="2">
    <v>43</v>
    <v>44</v>
    <v>53</v>
    <v>54</v>
  </a>
  <a r="1">
    <v t="a">40</v>
  </a>
  <a r="2" c="2">
    <v>45</v>
    <v>46</v>
    <v>55</v>
    <v>56</v>
  </a>
  <a r="1">
    <v t="a">42</v>
  </a>
  <a r="2" c="2">
    <v>47</v>
    <v>48</v>
    <v>57</v>
    <v>58</v>
  </a>
  <a r="1">
    <v t="a">44</v>
  </a>
  <a r="2" c="2">
    <v>49</v>
    <v>50</v>
    <v>59</v>
    <v>60</v>
  </a>
  <a r="1">
    <v t="a">46</v>
  </a>
  <a r="2" c="2">
    <v>61</v>
    <v>62</v>
    <v>71</v>
    <v>72</v>
  </a>
  <a r="1">
    <v t="a">48</v>
  </a>
  <a r="2" c="2">
    <v>63</v>
    <v>64</v>
    <v>73</v>
    <v>74</v>
  </a>
  <a r="1">
    <v t="a">50</v>
  </a>
  <a r="2" c="2">
    <v>65</v>
    <v>66</v>
    <v>75</v>
    <v>76</v>
  </a>
  <a r="1">
    <v t="a">52</v>
  </a>
  <a r="2" c="2">
    <v>67</v>
    <v>68</v>
    <v>77</v>
    <v>78</v>
  </a>
  <a r="1">
    <v t="a">54</v>
  </a>
  <a r="2" c="2">
    <v>69</v>
    <v>70</v>
    <v>79</v>
    <v>80</v>
  </a>
  <a r="1">
    <v t="a">56</v>
  </a>
  <a r="2" c="2">
    <v>81</v>
    <v>82</v>
    <v>91</v>
    <v>92</v>
  </a>
  <a r="1">
    <v t="a">58</v>
  </a>
  <a r="2" c="2">
    <v>83</v>
    <v>84</v>
    <v>93</v>
    <v>94</v>
  </a>
  <a r="1">
    <v t="a">60</v>
  </a>
  <a r="2" c="2">
    <v>85</v>
    <v>86</v>
    <v>95</v>
    <v>96</v>
  </a>
  <a r="1">
    <v t="a">62</v>
  </a>
  <a r="2" c="2">
    <v>87</v>
    <v>88</v>
    <v>97</v>
    <v>98</v>
  </a>
  <a r="1">
    <v t="a">64</v>
  </a>
  <a r="2" c="2">
    <v>89</v>
    <v>90</v>
    <v>99</v>
    <v>100</v>
  </a>
  <a r="1">
    <v t="a">66</v>
  </a>
  <a r="2" c="5">
    <v>1</v>
    <v>2</v>
    <v>3</v>
    <v>4</v>
    <v>5</v>
    <v>11</v>
    <v>12</v>
    <v>13</v>
    <v>14</v>
    <v>15</v>
  </a>
  <a r="1">
    <v t="a">68</v>
  </a>
  <a r="2" c="5">
    <v>6</v>
    <v>7</v>
    <v>8</v>
    <v>9</v>
    <v>10</v>
    <v>16</v>
    <v>17</v>
    <v>18</v>
    <v>19</v>
    <v>20</v>
  </a>
  <a r="1">
    <v t="a">70</v>
  </a>
  <a r="2" c="5">
    <v>21</v>
    <v>22</v>
    <v>23</v>
    <v>24</v>
    <v>25</v>
    <v>31</v>
    <v>32</v>
    <v>33</v>
    <v>34</v>
    <v>35</v>
  </a>
  <a r="1">
    <v t="a">72</v>
  </a>
  <a r="2" c="5">
    <v>26</v>
    <v>27</v>
    <v>28</v>
    <v>29</v>
    <v>30</v>
    <v>36</v>
    <v>37</v>
    <v>38</v>
    <v>39</v>
    <v>40</v>
  </a>
  <a r="1">
    <v t="a">74</v>
  </a>
  <a r="2" c="5">
    <v>41</v>
    <v>42</v>
    <v>43</v>
    <v>44</v>
    <v>45</v>
    <v>51</v>
    <v>52</v>
    <v>53</v>
    <v>54</v>
    <v>55</v>
  </a>
  <a r="1">
    <v t="a">76</v>
  </a>
  <a r="2" c="5">
    <v>46</v>
    <v>47</v>
    <v>48</v>
    <v>49</v>
    <v>50</v>
    <v>56</v>
    <v>57</v>
    <v>58</v>
    <v>59</v>
    <v>60</v>
  </a>
  <a r="1">
    <v t="a">78</v>
  </a>
  <a r="2" c="5">
    <v>61</v>
    <v>62</v>
    <v>63</v>
    <v>64</v>
    <v>65</v>
    <v>71</v>
    <v>72</v>
    <v>73</v>
    <v>74</v>
    <v>75</v>
  </a>
  <a r="1">
    <v t="a">80</v>
  </a>
  <a r="2" c="5">
    <v>66</v>
    <v>67</v>
    <v>68</v>
    <v>69</v>
    <v>70</v>
    <v>76</v>
    <v>77</v>
    <v>78</v>
    <v>79</v>
    <v>80</v>
  </a>
  <a r="1">
    <v t="a">82</v>
  </a>
  <a r="2" c="5">
    <v>81</v>
    <v>82</v>
    <v>83</v>
    <v>84</v>
    <v>85</v>
    <v>91</v>
    <v>92</v>
    <v>93</v>
    <v>94</v>
    <v>95</v>
  </a>
  <a r="1">
    <v t="a">84</v>
  </a>
  <a r="2" c="5">
    <v>86</v>
    <v>87</v>
    <v>88</v>
    <v>89</v>
    <v>90</v>
    <v>96</v>
    <v>97</v>
    <v>98</v>
    <v>99</v>
    <v>100</v>
  </a>
  <a r="1">
    <v t="a">86</v>
  </a>
  <a r="2" c="2">
    <v>1</v>
    <v>2</v>
    <v>4</v>
    <v>5</v>
  </a>
  <a r="2" c="2">
    <v>2</v>
    <v>3</v>
    <v>5</v>
    <v>6</v>
  </a>
  <a r="3" c="4">
    <v>102</v>
    <v>105</v>
    <v>110</v>
    <v>115</v>
    <v>100</v>
    <v>103</v>
    <v>108</v>
    <v>112</v>
    <v>98</v>
    <v>101</v>
    <v>106</v>
    <v>109</v>
  </a>
  <a r="3" c="4">
    <v>105</v>
    <v>110</v>
    <v>115</v>
    <v>120</v>
    <v>103</v>
    <v>108</v>
    <v>112</v>
    <v>118</v>
    <v>101</v>
    <v>106</v>
    <v>109</v>
    <v>114</v>
  </a>
  <a r="2" c="2">
    <v>102</v>
    <v>105</v>
    <v>100</v>
    <v>103</v>
  </a>
  <a r="2" c="2">
    <v>105</v>
    <v>110</v>
    <v>103</v>
    <v>108</v>
  </a>
  <a r="2" c="2">
    <v>110</v>
    <v>115</v>
    <v>108</v>
    <v>112</v>
  </a>
  <a r="2" c="2">
    <v>115</v>
    <v>120</v>
    <v>112</v>
    <v>118</v>
  </a>
  <a r="2" c="2">
    <v>4</v>
    <v>5</v>
    <v>7</v>
    <v>8</v>
  </a>
  <a r="2" c="2">
    <v>5</v>
    <v>6</v>
    <v>8</v>
    <v>9</v>
  </a>
  <a r="3" c="4">
    <v>100</v>
    <v>103</v>
    <v>108</v>
    <v>112</v>
    <v>98</v>
    <v>101</v>
    <v>106</v>
    <v>109</v>
    <v>95</v>
    <v>99</v>
    <v>104</v>
    <v>107</v>
  </a>
  <a r="3" c="4">
    <v>103</v>
    <v>108</v>
    <v>112</v>
    <v>118</v>
    <v>101</v>
    <v>106</v>
    <v>109</v>
    <v>114</v>
    <v>99</v>
    <v>104</v>
    <v>107</v>
    <v>111</v>
  </a>
  <a r="2" c="2">
    <v>100</v>
    <v>103</v>
    <v>98</v>
    <v>101</v>
  </a>
  <a r="2" c="2">
    <v>103</v>
    <v>108</v>
    <v>101</v>
    <v>106</v>
  </a>
  <a r="2" c="2">
    <v>108</v>
    <v>112</v>
    <v>106</v>
    <v>109</v>
  </a>
  <a r="2" c="2">
    <v>112</v>
    <v>118</v>
    <v>109</v>
    <v>114</v>
  </a>
  <a r="3" c="4">
    <v>98</v>
    <v>101</v>
    <v>106</v>
    <v>109</v>
    <v>95</v>
    <v>99</v>
    <v>104</v>
    <v>107</v>
    <v>92</v>
    <v>96</v>
    <v>100</v>
    <v>103</v>
  </a>
  <a r="3" c="4">
    <v>101</v>
    <v>106</v>
    <v>109</v>
    <v>114</v>
    <v>99</v>
    <v>104</v>
    <v>107</v>
    <v>111</v>
    <v>96</v>
    <v>100</v>
    <v>103</v>
    <v>108</v>
  </a>
  <a r="2" c="2">
    <v>98</v>
    <v>101</v>
    <v>95</v>
    <v>99</v>
  </a>
  <a r="2" c="2">
    <v>101</v>
    <v>106</v>
    <v>99</v>
    <v>104</v>
  </a>
  <a r="2" c="2">
    <v>106</v>
    <v>109</v>
    <v>104</v>
    <v>107</v>
  </a>
  <a r="2" c="2">
    <v>109</v>
    <v>114</v>
    <v>107</v>
    <v>111</v>
  </a>
  <a r="2" c="2">
    <v>95</v>
    <v>99</v>
    <v>92</v>
    <v>96</v>
  </a>
  <a r="2" c="2">
    <v>99</v>
    <v>104</v>
    <v>96</v>
    <v>100</v>
  </a>
  <a r="2" c="2">
    <v>104</v>
    <v>107</v>
    <v>100</v>
    <v>103</v>
  </a>
  <a r="2" c="2">
    <v>107</v>
    <v>111</v>
    <v>103</v>
    <v>108</v>
  </a>
  <a r="2" c="4">
    <v t="s">Alice</v>
    <v t="s">Sales</v>
    <v>88</v>
    <v t="s">East</v>
    <v t="s">Bob</v>
    <v t="s">Ops</v>
    <v>92</v>
    <v t="s">West</v>
  </a>
  <a r="4" c="5">
    <v>69</v>
    <v>2</v>
    <v>32</v>
    <v>86</v>
    <v>15</v>
    <v>72</v>
    <v>35</v>
    <v>90</v>
    <v>53</v>
    <v>39</v>
    <v>57</v>
    <v>17</v>
    <v>18</v>
    <v>38</v>
    <v>28</v>
    <v>37</v>
    <v>66</v>
    <v>61</v>
    <v>100</v>
    <v>47</v>
  </a>
  <a r="4" c="5">
    <v>38</v>
    <v>86</v>
    <v>4</v>
    <v>6</v>
    <v>41</v>
    <v>56</v>
    <v>47</v>
    <v>68</v>
    <v>64</v>
    <v>5</v>
    <v>2</v>
    <v>66</v>
    <v>13</v>
    <v>82</v>
    <v>73</v>
    <v>68</v>
    <v>2</v>
    <v>93</v>
    <v>15</v>
    <v>100</v>
  </a>
  <a r="2" c="4">
    <v t="s">Cara</v>
    <v t="s">HR</v>
    <v>77</v>
    <v t="s">East</v>
    <v t="s">Dan</v>
    <v t="s">IT</v>
    <v>85</v>
    <v t="s">South</v>
  </a>
  <a r="2" c="4">
    <v t="s">Jack</v>
    <v t="s">Legal</v>
    <v>99</v>
    <v t="s">West</v>
    <v t="s"/>
    <v t="s"/>
    <v t="s"/>
    <v t="s"/>
  </a>
  <a r="5" c="2">
    <v t="s">Alice</v>
    <v t="s">Sales</v>
    <v t="s">Bob</v>
    <v t="s">Ops</v>
    <v t="s">Cara</v>
    <v t="s">HR</v>
    <v t="s">Dan</v>
    <v t="s">IT</v>
    <v t="s">Jack</v>
    <v t="s">Legal</v>
  </a>
  <a r="5" c="2">
    <v>88</v>
    <v t="s">East</v>
    <v>92</v>
    <v t="s">West</v>
    <v>77</v>
    <v t="s">East</v>
    <v>85</v>
    <v t="s">South</v>
    <v>99</v>
    <v t="s">West</v>
  </a>
  <a r="1" c="10">
    <v>69</v>
    <v>2</v>
    <v>32</v>
    <v>86</v>
    <v>15</v>
    <v>38</v>
    <v>86</v>
    <v>4</v>
    <v>6</v>
    <v>41</v>
  </a>
  <a r="1" c="10">
    <v>72</v>
    <v>35</v>
    <v>90</v>
    <v>53</v>
    <v>39</v>
    <v>56</v>
    <v>47</v>
    <v>68</v>
    <v>64</v>
    <v>5</v>
  </a>
  <a r="1" c="10">
    <v>57</v>
    <v>17</v>
    <v>18</v>
    <v>38</v>
    <v>28</v>
    <v>2</v>
    <v>66</v>
    <v>13</v>
    <v>82</v>
    <v>73</v>
  </a>
  <a r="1" c="10">
    <v>37</v>
    <v>66</v>
    <v>61</v>
    <v>100</v>
    <v>47</v>
    <v>68</v>
    <v>2</v>
    <v>93</v>
    <v>15</v>
    <v>100</v>
  </a>
</arrayData>
</file>

<file path=xl/richData/rdrichvalue.xml><?xml version="1.0" encoding="utf-8"?>
<rvData xmlns="http://schemas.microsoft.com/office/spreadsheetml/2017/richdata" count="81">
  <rv s="0">
    <v>1</v>
  </rv>
  <rv s="0">
    <v>3</v>
  </rv>
  <rv s="0">
    <v>5</v>
  </rv>
  <rv s="0">
    <v>7</v>
  </rv>
  <rv s="0">
    <v>9</v>
  </rv>
  <rv s="0">
    <v>11</v>
  </rv>
  <rv s="0">
    <v>13</v>
  </rv>
  <rv s="0">
    <v>15</v>
  </rv>
  <rv s="0">
    <v>17</v>
  </rv>
  <rv s="0">
    <v>19</v>
  </rv>
  <rv s="0">
    <v>21</v>
  </rv>
  <rv s="0">
    <v>23</v>
  </rv>
  <rv s="0">
    <v>25</v>
  </rv>
  <rv s="0">
    <v>27</v>
  </rv>
  <rv s="0">
    <v>29</v>
  </rv>
  <rv s="0">
    <v>31</v>
  </rv>
  <rv s="0">
    <v>33</v>
  </rv>
  <rv s="0">
    <v>35</v>
  </rv>
  <rv s="0">
    <v>37</v>
  </rv>
  <rv s="0">
    <v>39</v>
  </rv>
  <rv s="0">
    <v>41</v>
  </rv>
  <rv s="0">
    <v>43</v>
  </rv>
  <rv s="0">
    <v>45</v>
  </rv>
  <rv s="0">
    <v>47</v>
  </rv>
  <rv s="0">
    <v>49</v>
  </rv>
  <rv s="0">
    <v>51</v>
  </rv>
  <rv s="0">
    <v>53</v>
  </rv>
  <rv s="0">
    <v>55</v>
  </rv>
  <rv s="0">
    <v>57</v>
  </rv>
  <rv s="0">
    <v>59</v>
  </rv>
  <rv s="0">
    <v>61</v>
  </rv>
  <rv s="0">
    <v>63</v>
  </rv>
  <rv s="0">
    <v>65</v>
  </rv>
  <rv s="0">
    <v>67</v>
  </rv>
  <rv s="0">
    <v>69</v>
  </rv>
  <rv s="0">
    <v>71</v>
  </rv>
  <rv s="0">
    <v>73</v>
  </rv>
  <rv s="0">
    <v>75</v>
  </rv>
  <rv s="0">
    <v>77</v>
  </rv>
  <rv s="0">
    <v>79</v>
  </rv>
  <rv s="0">
    <v>81</v>
  </rv>
  <rv s="0">
    <v>83</v>
  </rv>
  <rv s="0">
    <v>85</v>
  </rv>
  <rv s="0">
    <v>87</v>
  </rv>
  <rv s="0">
    <v>88</v>
  </rv>
  <rv s="0">
    <v>89</v>
  </rv>
  <rv s="0">
    <v>90</v>
  </rv>
  <rv s="0">
    <v>91</v>
  </rv>
  <rv s="0">
    <v>92</v>
  </rv>
  <rv s="0">
    <v>93</v>
  </rv>
  <rv s="0">
    <v>94</v>
  </rv>
  <rv s="0">
    <v>95</v>
  </rv>
  <rv s="0">
    <v>96</v>
  </rv>
  <rv s="0">
    <v>97</v>
  </rv>
  <rv s="0">
    <v>98</v>
  </rv>
  <rv s="0">
    <v>99</v>
  </rv>
  <rv s="0">
    <v>100</v>
  </rv>
  <rv s="0">
    <v>101</v>
  </rv>
  <rv s="0">
    <v>102</v>
  </rv>
  <rv s="0">
    <v>103</v>
  </rv>
  <rv s="0">
    <v>104</v>
  </rv>
  <rv s="0">
    <v>105</v>
  </rv>
  <rv s="0">
    <v>106</v>
  </rv>
  <rv s="0">
    <v>107</v>
  </rv>
  <rv s="0">
    <v>108</v>
  </rv>
  <rv s="0">
    <v>109</v>
  </rv>
  <rv s="0">
    <v>110</v>
  </rv>
  <rv s="0">
    <v>111</v>
  </rv>
  <rv s="0">
    <v>112</v>
  </rv>
  <rv s="0">
    <v>113</v>
  </rv>
  <rv s="0">
    <v>114</v>
  </rv>
  <rv s="0">
    <v>115</v>
  </rv>
  <rv s="0">
    <v>116</v>
  </rv>
  <rv s="0">
    <v>117</v>
  </rv>
  <rv s="0">
    <v>118</v>
  </rv>
  <rv s="0">
    <v>119</v>
  </rv>
  <rv s="0">
    <v>120</v>
  </rv>
  <rv s="0">
    <v>121</v>
  </rv>
  <rv s="0">
    <v>122</v>
  </rv>
  <rv s="0">
    <v>123</v>
  </rv>
  <rv s="0">
    <v>124</v>
  </rv>
</rvData>
</file>

<file path=xl/richData/rdrichvaluestructure.xml><?xml version="1.0" encoding="utf-8"?>
<rvStructures xmlns="http://schemas.microsoft.com/office/spreadsheetml/2017/richdata" count="1">
  <s t="_array">
    <k n="array" t="a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63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2BF047-AEA8-419D-85BD-24B1822CF45F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EE160459-CB7B-49A1-B468-5AFE8BB7C891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5FBB8-7935-4CFF-AEE5-0E6D368B88AC}">
  <sheetPr codeName="Sheet1">
    <tabColor theme="0"/>
  </sheetPr>
  <dimension ref="A1:F37"/>
  <sheetViews>
    <sheetView showGridLines="0" tabSelected="1" workbookViewId="0"/>
  </sheetViews>
  <sheetFormatPr defaultColWidth="0" defaultRowHeight="16.5" customHeight="1" x14ac:dyDescent="0.45"/>
  <cols>
    <col min="1" max="2" width="8.6640625" customWidth="1"/>
    <col min="3" max="3" width="13.75" customWidth="1"/>
    <col min="4" max="4" width="75.6640625" customWidth="1"/>
    <col min="5" max="6" width="8.6640625" customWidth="1"/>
    <col min="7" max="16384" width="8.6640625" hidden="1"/>
  </cols>
  <sheetData>
    <row r="1" spans="3:3" x14ac:dyDescent="0.45"/>
    <row r="2" spans="3:3" x14ac:dyDescent="0.45"/>
    <row r="3" spans="3:3" x14ac:dyDescent="0.45"/>
    <row r="4" spans="3:3" x14ac:dyDescent="0.45"/>
    <row r="5" spans="3:3" x14ac:dyDescent="0.45"/>
    <row r="6" spans="3:3" x14ac:dyDescent="0.45"/>
    <row r="7" spans="3:3" x14ac:dyDescent="0.45">
      <c r="C7" s="38" t="s">
        <v>117</v>
      </c>
    </row>
    <row r="8" spans="3:3" x14ac:dyDescent="0.45">
      <c r="C8" t="s">
        <v>118</v>
      </c>
    </row>
    <row r="9" spans="3:3" x14ac:dyDescent="0.45"/>
    <row r="10" spans="3:3" x14ac:dyDescent="0.45"/>
    <row r="11" spans="3:3" x14ac:dyDescent="0.45">
      <c r="C11" s="38" t="s">
        <v>114</v>
      </c>
    </row>
    <row r="12" spans="3:3" x14ac:dyDescent="0.45">
      <c r="C12" s="39" t="s">
        <v>115</v>
      </c>
    </row>
    <row r="13" spans="3:3" x14ac:dyDescent="0.45">
      <c r="C13" s="39" t="s">
        <v>116</v>
      </c>
    </row>
    <row r="14" spans="3:3" x14ac:dyDescent="0.45">
      <c r="C14" s="49" t="s">
        <v>126</v>
      </c>
    </row>
    <row r="15" spans="3:3" x14ac:dyDescent="0.45">
      <c r="C15" s="39"/>
    </row>
    <row r="16" spans="3:3" x14ac:dyDescent="0.45">
      <c r="C16" s="38" t="s">
        <v>112</v>
      </c>
    </row>
    <row r="17" spans="3:4" x14ac:dyDescent="0.45"/>
    <row r="18" spans="3:4" ht="24" customHeight="1" x14ac:dyDescent="0.45">
      <c r="C18" s="41" t="s">
        <v>98</v>
      </c>
      <c r="D18" s="41" t="s">
        <v>80</v>
      </c>
    </row>
    <row r="19" spans="3:4" ht="24" customHeight="1" x14ac:dyDescent="0.45">
      <c r="C19" s="41" t="s">
        <v>99</v>
      </c>
      <c r="D19" s="41" t="s">
        <v>81</v>
      </c>
    </row>
    <row r="20" spans="3:4" ht="24" customHeight="1" x14ac:dyDescent="0.45">
      <c r="C20" s="41" t="s">
        <v>100</v>
      </c>
      <c r="D20" s="41" t="s">
        <v>82</v>
      </c>
    </row>
    <row r="21" spans="3:4" ht="24" customHeight="1" x14ac:dyDescent="0.45">
      <c r="C21" s="42" t="s">
        <v>101</v>
      </c>
      <c r="D21" s="43" t="s">
        <v>113</v>
      </c>
    </row>
    <row r="22" spans="3:4" ht="24" customHeight="1" x14ac:dyDescent="0.45">
      <c r="C22" s="41" t="s">
        <v>102</v>
      </c>
      <c r="D22" s="41" t="s">
        <v>83</v>
      </c>
    </row>
    <row r="23" spans="3:4" ht="24" customHeight="1" x14ac:dyDescent="0.45">
      <c r="C23" s="41" t="s">
        <v>103</v>
      </c>
      <c r="D23" s="41" t="s">
        <v>84</v>
      </c>
    </row>
    <row r="24" spans="3:4" ht="24" customHeight="1" x14ac:dyDescent="0.45">
      <c r="C24" s="41" t="s">
        <v>85</v>
      </c>
      <c r="D24" s="41" t="s">
        <v>86</v>
      </c>
    </row>
    <row r="25" spans="3:4" ht="24" customHeight="1" x14ac:dyDescent="0.45">
      <c r="C25" s="41" t="s">
        <v>104</v>
      </c>
      <c r="D25" s="41" t="s">
        <v>87</v>
      </c>
    </row>
    <row r="26" spans="3:4" ht="24" customHeight="1" x14ac:dyDescent="0.45">
      <c r="C26" s="41" t="s">
        <v>105</v>
      </c>
      <c r="D26" s="41" t="s">
        <v>88</v>
      </c>
    </row>
    <row r="27" spans="3:4" ht="24" customHeight="1" x14ac:dyDescent="0.45">
      <c r="C27" s="41" t="s">
        <v>106</v>
      </c>
      <c r="D27" s="41" t="s">
        <v>89</v>
      </c>
    </row>
    <row r="28" spans="3:4" ht="12" customHeight="1" x14ac:dyDescent="0.45">
      <c r="C28" s="37"/>
      <c r="D28" s="37"/>
    </row>
    <row r="29" spans="3:4" ht="24" customHeight="1" x14ac:dyDescent="0.45">
      <c r="C29" s="40" t="s">
        <v>111</v>
      </c>
      <c r="D29" s="37"/>
    </row>
    <row r="30" spans="3:4" ht="10.5" customHeight="1" x14ac:dyDescent="0.45">
      <c r="C30" s="37"/>
      <c r="D30" s="37"/>
    </row>
    <row r="31" spans="3:4" ht="24" customHeight="1" x14ac:dyDescent="0.45">
      <c r="C31" s="44" t="s">
        <v>107</v>
      </c>
      <c r="D31" s="44" t="s">
        <v>90</v>
      </c>
    </row>
    <row r="32" spans="3:4" ht="24" customHeight="1" x14ac:dyDescent="0.45">
      <c r="C32" s="44" t="s">
        <v>108</v>
      </c>
      <c r="D32" s="44" t="s">
        <v>91</v>
      </c>
    </row>
    <row r="33" spans="3:4" ht="24" customHeight="1" x14ac:dyDescent="0.45">
      <c r="C33" s="44" t="s">
        <v>92</v>
      </c>
      <c r="D33" s="44" t="s">
        <v>93</v>
      </c>
    </row>
    <row r="34" spans="3:4" ht="24" customHeight="1" x14ac:dyDescent="0.45">
      <c r="C34" s="44" t="s">
        <v>79</v>
      </c>
      <c r="D34" s="44" t="s">
        <v>94</v>
      </c>
    </row>
    <row r="35" spans="3:4" ht="24" customHeight="1" x14ac:dyDescent="0.45">
      <c r="C35" s="44" t="s">
        <v>78</v>
      </c>
      <c r="D35" s="44" t="s">
        <v>95</v>
      </c>
    </row>
    <row r="36" spans="3:4" ht="24" customHeight="1" x14ac:dyDescent="0.45">
      <c r="C36" s="44" t="s">
        <v>109</v>
      </c>
      <c r="D36" s="44" t="s">
        <v>96</v>
      </c>
    </row>
    <row r="37" spans="3:4" ht="24" customHeight="1" x14ac:dyDescent="0.45">
      <c r="C37" s="44" t="s">
        <v>110</v>
      </c>
      <c r="D37" s="44" t="s">
        <v>97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C51D-8121-4F63-8A5F-EEC7935015A2}">
  <sheetPr>
    <tabColor rgb="FFC6DDFF"/>
  </sheetPr>
  <dimension ref="B2:Z312"/>
  <sheetViews>
    <sheetView workbookViewId="0"/>
  </sheetViews>
  <sheetFormatPr defaultRowHeight="16.5" x14ac:dyDescent="0.45"/>
  <cols>
    <col min="1" max="1" width="5.08203125" customWidth="1"/>
    <col min="2" max="13" width="3.58203125" customWidth="1"/>
    <col min="15" max="20" width="2.25" bestFit="1" customWidth="1"/>
    <col min="22" max="22" width="2.4140625" customWidth="1"/>
  </cols>
  <sheetData>
    <row r="2" spans="2:26" x14ac:dyDescent="0.45">
      <c r="B2" s="38" t="s">
        <v>176</v>
      </c>
      <c r="W2" s="38" t="s">
        <v>180</v>
      </c>
    </row>
    <row r="5" spans="2:26" x14ac:dyDescent="0.45">
      <c r="B5" s="20" t="s">
        <v>177</v>
      </c>
      <c r="W5" s="67" t="s">
        <v>183</v>
      </c>
      <c r="Y5" s="67" t="s">
        <v>184</v>
      </c>
    </row>
    <row r="6" spans="2:26" x14ac:dyDescent="0.45">
      <c r="B6" s="70" cm="1">
        <f t="array" ref="B6:D8">_xlfn.SEQUENCE(3,3)</f>
        <v>1</v>
      </c>
      <c r="C6" s="70">
        <v>2</v>
      </c>
      <c r="D6" s="70">
        <v>3</v>
      </c>
      <c r="W6" s="70" t="s">
        <v>209</v>
      </c>
      <c r="Y6" s="70" t="s">
        <v>186</v>
      </c>
      <c r="Z6" s="70" t="s">
        <v>188</v>
      </c>
    </row>
    <row r="7" spans="2:26" x14ac:dyDescent="0.45">
      <c r="B7" s="70">
        <v>4</v>
      </c>
      <c r="C7" s="70">
        <v>5</v>
      </c>
      <c r="D7" s="70">
        <v>6</v>
      </c>
      <c r="W7" s="70" t="s">
        <v>210</v>
      </c>
      <c r="Y7" s="70" t="s">
        <v>187</v>
      </c>
      <c r="Z7" s="70" t="s">
        <v>189</v>
      </c>
    </row>
    <row r="8" spans="2:26" x14ac:dyDescent="0.45">
      <c r="B8" s="70">
        <v>7</v>
      </c>
      <c r="C8" s="70">
        <v>8</v>
      </c>
      <c r="D8" s="70">
        <v>9</v>
      </c>
      <c r="W8" s="70" t="s">
        <v>211</v>
      </c>
      <c r="Y8" s="3"/>
    </row>
    <row r="9" spans="2:26" x14ac:dyDescent="0.45">
      <c r="W9" s="70" t="s">
        <v>212</v>
      </c>
    </row>
    <row r="11" spans="2:26" x14ac:dyDescent="0.45">
      <c r="B11" s="67" t="s">
        <v>181</v>
      </c>
      <c r="O11" s="20" t="s">
        <v>182</v>
      </c>
    </row>
    <row r="12" spans="2:26" x14ac:dyDescent="0.45">
      <c r="B12" s="64" t="s">
        <v>178</v>
      </c>
      <c r="O12" s="4" t="s">
        <v>179</v>
      </c>
      <c r="W12" s="4" t="s">
        <v>190</v>
      </c>
      <c r="Y12" s="4" t="s">
        <v>191</v>
      </c>
    </row>
    <row r="13" spans="2:26" x14ac:dyDescent="0.45">
      <c r="B13" s="2" cm="1">
        <f t="array" ref="B13:M21">Magnifyλ(_xlfn.ANCHORARRAY(B6),3,4)</f>
        <v>1</v>
      </c>
      <c r="C13" s="2">
        <v>1</v>
      </c>
      <c r="D13" s="2">
        <v>1</v>
      </c>
      <c r="E13" s="2">
        <v>1</v>
      </c>
      <c r="F13" s="2">
        <v>2</v>
      </c>
      <c r="G13" s="2">
        <v>2</v>
      </c>
      <c r="H13" s="2">
        <v>2</v>
      </c>
      <c r="I13" s="2">
        <v>2</v>
      </c>
      <c r="J13" s="2">
        <v>3</v>
      </c>
      <c r="K13" s="2">
        <v>3</v>
      </c>
      <c r="L13" s="2">
        <v>3</v>
      </c>
      <c r="M13" s="2">
        <v>3</v>
      </c>
      <c r="O13" s="2" cm="1">
        <f t="array" ref="O13:T312">Magnifyλ(_xlfn.ANCHORARRAY(B6),100,2)</f>
        <v>1</v>
      </c>
      <c r="P13" s="2">
        <v>1</v>
      </c>
      <c r="Q13" s="2">
        <v>2</v>
      </c>
      <c r="R13" s="2">
        <v>2</v>
      </c>
      <c r="S13" s="2">
        <v>3</v>
      </c>
      <c r="T13" s="2">
        <v>3</v>
      </c>
      <c r="W13" s="2" t="str" cm="1">
        <f t="array" ref="W13:W24">Echoλ(Animals,3)</f>
        <v>lion</v>
      </c>
      <c r="Y13" s="2" t="str" cm="1">
        <f t="array" ref="Y13:Y25">Echoλ(Fish,{2,3,4})</f>
        <v>Trout</v>
      </c>
    </row>
    <row r="14" spans="2:26" x14ac:dyDescent="0.45">
      <c r="B14" s="2">
        <v>1</v>
      </c>
      <c r="C14" s="2">
        <v>1</v>
      </c>
      <c r="D14" s="2">
        <v>1</v>
      </c>
      <c r="E14" s="2">
        <v>1</v>
      </c>
      <c r="F14" s="2">
        <v>2</v>
      </c>
      <c r="G14" s="2">
        <v>2</v>
      </c>
      <c r="H14" s="2">
        <v>2</v>
      </c>
      <c r="I14" s="2">
        <v>2</v>
      </c>
      <c r="J14" s="2">
        <v>3</v>
      </c>
      <c r="K14" s="2">
        <v>3</v>
      </c>
      <c r="L14" s="2">
        <v>3</v>
      </c>
      <c r="M14" s="2">
        <v>3</v>
      </c>
      <c r="O14" s="2">
        <v>1</v>
      </c>
      <c r="P14" s="2">
        <v>1</v>
      </c>
      <c r="Q14" s="2">
        <v>2</v>
      </c>
      <c r="R14" s="2">
        <v>2</v>
      </c>
      <c r="S14" s="2">
        <v>3</v>
      </c>
      <c r="T14" s="2">
        <v>3</v>
      </c>
      <c r="W14" s="2" t="str">
        <v>lion</v>
      </c>
      <c r="Y14" s="2" t="str">
        <v>Trout</v>
      </c>
    </row>
    <row r="15" spans="2:26" x14ac:dyDescent="0.45">
      <c r="B15" s="2">
        <v>1</v>
      </c>
      <c r="C15" s="2">
        <v>1</v>
      </c>
      <c r="D15" s="2">
        <v>1</v>
      </c>
      <c r="E15" s="2">
        <v>1</v>
      </c>
      <c r="F15" s="2">
        <v>2</v>
      </c>
      <c r="G15" s="2">
        <v>2</v>
      </c>
      <c r="H15" s="2">
        <v>2</v>
      </c>
      <c r="I15" s="2">
        <v>2</v>
      </c>
      <c r="J15" s="2">
        <v>3</v>
      </c>
      <c r="K15" s="2">
        <v>3</v>
      </c>
      <c r="L15" s="2">
        <v>3</v>
      </c>
      <c r="M15" s="2">
        <v>3</v>
      </c>
      <c r="O15" s="2">
        <v>1</v>
      </c>
      <c r="P15" s="2">
        <v>1</v>
      </c>
      <c r="Q15" s="2">
        <v>2</v>
      </c>
      <c r="R15" s="2">
        <v>2</v>
      </c>
      <c r="S15" s="2">
        <v>3</v>
      </c>
      <c r="T15" s="2">
        <v>3</v>
      </c>
      <c r="W15" s="2" t="str">
        <v>lion</v>
      </c>
      <c r="Y15" s="2" t="str">
        <v>Bass</v>
      </c>
    </row>
    <row r="16" spans="2:26" x14ac:dyDescent="0.45">
      <c r="B16" s="2">
        <v>4</v>
      </c>
      <c r="C16" s="2">
        <v>4</v>
      </c>
      <c r="D16" s="2">
        <v>4</v>
      </c>
      <c r="E16" s="2">
        <v>4</v>
      </c>
      <c r="F16" s="2">
        <v>5</v>
      </c>
      <c r="G16" s="2">
        <v>5</v>
      </c>
      <c r="H16" s="2">
        <v>5</v>
      </c>
      <c r="I16" s="2">
        <v>5</v>
      </c>
      <c r="J16" s="2">
        <v>6</v>
      </c>
      <c r="K16" s="2">
        <v>6</v>
      </c>
      <c r="L16" s="2">
        <v>6</v>
      </c>
      <c r="M16" s="2">
        <v>6</v>
      </c>
      <c r="O16" s="2">
        <v>1</v>
      </c>
      <c r="P16" s="2">
        <v>1</v>
      </c>
      <c r="Q16" s="2">
        <v>2</v>
      </c>
      <c r="R16" s="2">
        <v>2</v>
      </c>
      <c r="S16" s="2">
        <v>3</v>
      </c>
      <c r="T16" s="2">
        <v>3</v>
      </c>
      <c r="W16" s="2" t="str">
        <v>tiger</v>
      </c>
      <c r="Y16" s="2" t="str">
        <v>Bass</v>
      </c>
    </row>
    <row r="17" spans="2:25" x14ac:dyDescent="0.45">
      <c r="B17" s="2">
        <v>4</v>
      </c>
      <c r="C17" s="2">
        <v>4</v>
      </c>
      <c r="D17" s="2">
        <v>4</v>
      </c>
      <c r="E17" s="2">
        <v>4</v>
      </c>
      <c r="F17" s="2">
        <v>5</v>
      </c>
      <c r="G17" s="2">
        <v>5</v>
      </c>
      <c r="H17" s="2">
        <v>5</v>
      </c>
      <c r="I17" s="2">
        <v>5</v>
      </c>
      <c r="J17" s="2">
        <v>6</v>
      </c>
      <c r="K17" s="2">
        <v>6</v>
      </c>
      <c r="L17" s="2">
        <v>6</v>
      </c>
      <c r="M17" s="2">
        <v>6</v>
      </c>
      <c r="O17" s="2">
        <v>1</v>
      </c>
      <c r="P17" s="2">
        <v>1</v>
      </c>
      <c r="Q17" s="2">
        <v>2</v>
      </c>
      <c r="R17" s="2">
        <v>2</v>
      </c>
      <c r="S17" s="2">
        <v>3</v>
      </c>
      <c r="T17" s="2">
        <v>3</v>
      </c>
      <c r="W17" s="2" t="str">
        <v>tiger</v>
      </c>
      <c r="Y17" s="2" t="str">
        <v>Bass</v>
      </c>
    </row>
    <row r="18" spans="2:25" x14ac:dyDescent="0.45">
      <c r="B18" s="2">
        <v>4</v>
      </c>
      <c r="C18" s="2">
        <v>4</v>
      </c>
      <c r="D18" s="2">
        <v>4</v>
      </c>
      <c r="E18" s="2">
        <v>4</v>
      </c>
      <c r="F18" s="2">
        <v>5</v>
      </c>
      <c r="G18" s="2">
        <v>5</v>
      </c>
      <c r="H18" s="2">
        <v>5</v>
      </c>
      <c r="I18" s="2">
        <v>5</v>
      </c>
      <c r="J18" s="2">
        <v>6</v>
      </c>
      <c r="K18" s="2">
        <v>6</v>
      </c>
      <c r="L18" s="2">
        <v>6</v>
      </c>
      <c r="M18" s="2">
        <v>6</v>
      </c>
      <c r="O18" s="2">
        <v>1</v>
      </c>
      <c r="P18" s="2">
        <v>1</v>
      </c>
      <c r="Q18" s="2">
        <v>2</v>
      </c>
      <c r="R18" s="2">
        <v>2</v>
      </c>
      <c r="S18" s="2">
        <v>3</v>
      </c>
      <c r="T18" s="2">
        <v>3</v>
      </c>
      <c r="W18" s="2" t="str">
        <v>tiger</v>
      </c>
      <c r="Y18" s="2" t="str">
        <v>Salmon</v>
      </c>
    </row>
    <row r="19" spans="2:25" x14ac:dyDescent="0.45">
      <c r="B19" s="2">
        <v>7</v>
      </c>
      <c r="C19" s="2">
        <v>7</v>
      </c>
      <c r="D19" s="2">
        <v>7</v>
      </c>
      <c r="E19" s="2">
        <v>7</v>
      </c>
      <c r="F19" s="2">
        <v>8</v>
      </c>
      <c r="G19" s="2">
        <v>8</v>
      </c>
      <c r="H19" s="2">
        <v>8</v>
      </c>
      <c r="I19" s="2">
        <v>8</v>
      </c>
      <c r="J19" s="2">
        <v>9</v>
      </c>
      <c r="K19" s="2">
        <v>9</v>
      </c>
      <c r="L19" s="2">
        <v>9</v>
      </c>
      <c r="M19" s="2">
        <v>9</v>
      </c>
      <c r="O19" s="2">
        <v>1</v>
      </c>
      <c r="P19" s="2">
        <v>1</v>
      </c>
      <c r="Q19" s="2">
        <v>2</v>
      </c>
      <c r="R19" s="2">
        <v>2</v>
      </c>
      <c r="S19" s="2">
        <v>3</v>
      </c>
      <c r="T19" s="2">
        <v>3</v>
      </c>
      <c r="W19" s="2" t="str">
        <v>bear</v>
      </c>
      <c r="Y19" s="2" t="str">
        <v>Salmon</v>
      </c>
    </row>
    <row r="20" spans="2:25" x14ac:dyDescent="0.45">
      <c r="B20" s="2">
        <v>7</v>
      </c>
      <c r="C20" s="2">
        <v>7</v>
      </c>
      <c r="D20" s="2">
        <v>7</v>
      </c>
      <c r="E20" s="2">
        <v>7</v>
      </c>
      <c r="F20" s="2">
        <v>8</v>
      </c>
      <c r="G20" s="2">
        <v>8</v>
      </c>
      <c r="H20" s="2">
        <v>8</v>
      </c>
      <c r="I20" s="2">
        <v>8</v>
      </c>
      <c r="J20" s="2">
        <v>9</v>
      </c>
      <c r="K20" s="2">
        <v>9</v>
      </c>
      <c r="L20" s="2">
        <v>9</v>
      </c>
      <c r="M20" s="2">
        <v>9</v>
      </c>
      <c r="O20" s="2">
        <v>1</v>
      </c>
      <c r="P20" s="2">
        <v>1</v>
      </c>
      <c r="Q20" s="2">
        <v>2</v>
      </c>
      <c r="R20" s="2">
        <v>2</v>
      </c>
      <c r="S20" s="2">
        <v>3</v>
      </c>
      <c r="T20" s="2">
        <v>3</v>
      </c>
      <c r="W20" s="2" t="str">
        <v>bear</v>
      </c>
      <c r="Y20" s="2" t="str">
        <v>Salmon</v>
      </c>
    </row>
    <row r="21" spans="2:25" x14ac:dyDescent="0.45">
      <c r="B21" s="2">
        <v>7</v>
      </c>
      <c r="C21" s="2">
        <v>7</v>
      </c>
      <c r="D21" s="2">
        <v>7</v>
      </c>
      <c r="E21" s="2">
        <v>7</v>
      </c>
      <c r="F21" s="2">
        <v>8</v>
      </c>
      <c r="G21" s="2">
        <v>8</v>
      </c>
      <c r="H21" s="2">
        <v>8</v>
      </c>
      <c r="I21" s="2">
        <v>8</v>
      </c>
      <c r="J21" s="2">
        <v>9</v>
      </c>
      <c r="K21" s="2">
        <v>9</v>
      </c>
      <c r="L21" s="2">
        <v>9</v>
      </c>
      <c r="M21" s="2">
        <v>9</v>
      </c>
      <c r="O21" s="2">
        <v>1</v>
      </c>
      <c r="P21" s="2">
        <v>1</v>
      </c>
      <c r="Q21" s="2">
        <v>2</v>
      </c>
      <c r="R21" s="2">
        <v>2</v>
      </c>
      <c r="S21" s="2">
        <v>3</v>
      </c>
      <c r="T21" s="2">
        <v>3</v>
      </c>
      <c r="W21" s="2" t="str">
        <v>bear</v>
      </c>
      <c r="Y21" s="2" t="str">
        <v>Salmon</v>
      </c>
    </row>
    <row r="22" spans="2:25" x14ac:dyDescent="0.45">
      <c r="O22" s="2">
        <v>1</v>
      </c>
      <c r="P22" s="2">
        <v>1</v>
      </c>
      <c r="Q22" s="2">
        <v>2</v>
      </c>
      <c r="R22" s="2">
        <v>2</v>
      </c>
      <c r="S22" s="2">
        <v>3</v>
      </c>
      <c r="T22" s="2">
        <v>3</v>
      </c>
      <c r="W22" s="2" t="str">
        <v>moose</v>
      </c>
      <c r="Y22" s="2" t="str">
        <v>Walleye</v>
      </c>
    </row>
    <row r="23" spans="2:25" x14ac:dyDescent="0.45">
      <c r="O23" s="2">
        <v>1</v>
      </c>
      <c r="P23" s="2">
        <v>1</v>
      </c>
      <c r="Q23" s="2">
        <v>2</v>
      </c>
      <c r="R23" s="2">
        <v>2</v>
      </c>
      <c r="S23" s="2">
        <v>3</v>
      </c>
      <c r="T23" s="2">
        <v>3</v>
      </c>
      <c r="W23" s="2" t="str">
        <v>moose</v>
      </c>
      <c r="Y23" s="2" t="str">
        <v>Walleye</v>
      </c>
    </row>
    <row r="24" spans="2:25" x14ac:dyDescent="0.45">
      <c r="O24" s="2">
        <v>1</v>
      </c>
      <c r="P24" s="2">
        <v>1</v>
      </c>
      <c r="Q24" s="2">
        <v>2</v>
      </c>
      <c r="R24" s="2">
        <v>2</v>
      </c>
      <c r="S24" s="2">
        <v>3</v>
      </c>
      <c r="T24" s="2">
        <v>3</v>
      </c>
      <c r="W24" s="2" t="str">
        <v>moose</v>
      </c>
      <c r="Y24" s="2" t="str">
        <v>Walleye</v>
      </c>
    </row>
    <row r="25" spans="2:25" x14ac:dyDescent="0.45">
      <c r="O25" s="2">
        <v>1</v>
      </c>
      <c r="P25" s="2">
        <v>1</v>
      </c>
      <c r="Q25" s="2">
        <v>2</v>
      </c>
      <c r="R25" s="2">
        <v>2</v>
      </c>
      <c r="S25" s="2">
        <v>3</v>
      </c>
      <c r="T25" s="2">
        <v>3</v>
      </c>
      <c r="Y25" s="2" t="str">
        <v>Walleye</v>
      </c>
    </row>
    <row r="26" spans="2:25" x14ac:dyDescent="0.45">
      <c r="O26" s="2">
        <v>1</v>
      </c>
      <c r="P26" s="2">
        <v>1</v>
      </c>
      <c r="Q26" s="2">
        <v>2</v>
      </c>
      <c r="R26" s="2">
        <v>2</v>
      </c>
      <c r="S26" s="2">
        <v>3</v>
      </c>
      <c r="T26" s="2">
        <v>3</v>
      </c>
      <c r="Y26" s="2"/>
    </row>
    <row r="27" spans="2:25" x14ac:dyDescent="0.45">
      <c r="O27" s="2">
        <v>1</v>
      </c>
      <c r="P27" s="2">
        <v>1</v>
      </c>
      <c r="Q27" s="2">
        <v>2</v>
      </c>
      <c r="R27" s="2">
        <v>2</v>
      </c>
      <c r="S27" s="2">
        <v>3</v>
      </c>
      <c r="T27" s="2">
        <v>3</v>
      </c>
    </row>
    <row r="28" spans="2:25" x14ac:dyDescent="0.45">
      <c r="O28" s="2">
        <v>1</v>
      </c>
      <c r="P28" s="2">
        <v>1</v>
      </c>
      <c r="Q28" s="2">
        <v>2</v>
      </c>
      <c r="R28" s="2">
        <v>2</v>
      </c>
      <c r="S28" s="2">
        <v>3</v>
      </c>
      <c r="T28" s="2">
        <v>3</v>
      </c>
    </row>
    <row r="29" spans="2:25" x14ac:dyDescent="0.45">
      <c r="O29" s="2">
        <v>1</v>
      </c>
      <c r="P29" s="2">
        <v>1</v>
      </c>
      <c r="Q29" s="2">
        <v>2</v>
      </c>
      <c r="R29" s="2">
        <v>2</v>
      </c>
      <c r="S29" s="2">
        <v>3</v>
      </c>
      <c r="T29" s="2">
        <v>3</v>
      </c>
    </row>
    <row r="30" spans="2:25" x14ac:dyDescent="0.45">
      <c r="O30" s="2">
        <v>1</v>
      </c>
      <c r="P30" s="2">
        <v>1</v>
      </c>
      <c r="Q30" s="2">
        <v>2</v>
      </c>
      <c r="R30" s="2">
        <v>2</v>
      </c>
      <c r="S30" s="2">
        <v>3</v>
      </c>
      <c r="T30" s="2">
        <v>3</v>
      </c>
    </row>
    <row r="31" spans="2:25" x14ac:dyDescent="0.45">
      <c r="O31" s="2">
        <v>1</v>
      </c>
      <c r="P31" s="2">
        <v>1</v>
      </c>
      <c r="Q31" s="2">
        <v>2</v>
      </c>
      <c r="R31" s="2">
        <v>2</v>
      </c>
      <c r="S31" s="2">
        <v>3</v>
      </c>
      <c r="T31" s="2">
        <v>3</v>
      </c>
    </row>
    <row r="32" spans="2:25" x14ac:dyDescent="0.45">
      <c r="O32" s="2">
        <v>1</v>
      </c>
      <c r="P32" s="2">
        <v>1</v>
      </c>
      <c r="Q32" s="2">
        <v>2</v>
      </c>
      <c r="R32" s="2">
        <v>2</v>
      </c>
      <c r="S32" s="2">
        <v>3</v>
      </c>
      <c r="T32" s="2">
        <v>3</v>
      </c>
    </row>
    <row r="33" spans="15:20" x14ac:dyDescent="0.45">
      <c r="O33" s="2">
        <v>1</v>
      </c>
      <c r="P33" s="2">
        <v>1</v>
      </c>
      <c r="Q33" s="2">
        <v>2</v>
      </c>
      <c r="R33" s="2">
        <v>2</v>
      </c>
      <c r="S33" s="2">
        <v>3</v>
      </c>
      <c r="T33" s="2">
        <v>3</v>
      </c>
    </row>
    <row r="34" spans="15:20" x14ac:dyDescent="0.45">
      <c r="O34" s="2">
        <v>1</v>
      </c>
      <c r="P34" s="2">
        <v>1</v>
      </c>
      <c r="Q34" s="2">
        <v>2</v>
      </c>
      <c r="R34" s="2">
        <v>2</v>
      </c>
      <c r="S34" s="2">
        <v>3</v>
      </c>
      <c r="T34" s="2">
        <v>3</v>
      </c>
    </row>
    <row r="35" spans="15:20" x14ac:dyDescent="0.45">
      <c r="O35" s="2">
        <v>1</v>
      </c>
      <c r="P35" s="2">
        <v>1</v>
      </c>
      <c r="Q35" s="2">
        <v>2</v>
      </c>
      <c r="R35" s="2">
        <v>2</v>
      </c>
      <c r="S35" s="2">
        <v>3</v>
      </c>
      <c r="T35" s="2">
        <v>3</v>
      </c>
    </row>
    <row r="36" spans="15:20" x14ac:dyDescent="0.45">
      <c r="O36" s="2">
        <v>1</v>
      </c>
      <c r="P36" s="2">
        <v>1</v>
      </c>
      <c r="Q36" s="2">
        <v>2</v>
      </c>
      <c r="R36" s="2">
        <v>2</v>
      </c>
      <c r="S36" s="2">
        <v>3</v>
      </c>
      <c r="T36" s="2">
        <v>3</v>
      </c>
    </row>
    <row r="37" spans="15:20" x14ac:dyDescent="0.45">
      <c r="O37" s="2">
        <v>1</v>
      </c>
      <c r="P37" s="2">
        <v>1</v>
      </c>
      <c r="Q37" s="2">
        <v>2</v>
      </c>
      <c r="R37" s="2">
        <v>2</v>
      </c>
      <c r="S37" s="2">
        <v>3</v>
      </c>
      <c r="T37" s="2">
        <v>3</v>
      </c>
    </row>
    <row r="38" spans="15:20" x14ac:dyDescent="0.45">
      <c r="O38" s="2">
        <v>1</v>
      </c>
      <c r="P38" s="2">
        <v>1</v>
      </c>
      <c r="Q38" s="2">
        <v>2</v>
      </c>
      <c r="R38" s="2">
        <v>2</v>
      </c>
      <c r="S38" s="2">
        <v>3</v>
      </c>
      <c r="T38" s="2">
        <v>3</v>
      </c>
    </row>
    <row r="39" spans="15:20" x14ac:dyDescent="0.45">
      <c r="O39" s="2">
        <v>1</v>
      </c>
      <c r="P39" s="2">
        <v>1</v>
      </c>
      <c r="Q39" s="2">
        <v>2</v>
      </c>
      <c r="R39" s="2">
        <v>2</v>
      </c>
      <c r="S39" s="2">
        <v>3</v>
      </c>
      <c r="T39" s="2">
        <v>3</v>
      </c>
    </row>
    <row r="40" spans="15:20" x14ac:dyDescent="0.45">
      <c r="O40" s="2">
        <v>1</v>
      </c>
      <c r="P40" s="2">
        <v>1</v>
      </c>
      <c r="Q40" s="2">
        <v>2</v>
      </c>
      <c r="R40" s="2">
        <v>2</v>
      </c>
      <c r="S40" s="2">
        <v>3</v>
      </c>
      <c r="T40" s="2">
        <v>3</v>
      </c>
    </row>
    <row r="41" spans="15:20" x14ac:dyDescent="0.45">
      <c r="O41" s="2">
        <v>1</v>
      </c>
      <c r="P41" s="2">
        <v>1</v>
      </c>
      <c r="Q41" s="2">
        <v>2</v>
      </c>
      <c r="R41" s="2">
        <v>2</v>
      </c>
      <c r="S41" s="2">
        <v>3</v>
      </c>
      <c r="T41" s="2">
        <v>3</v>
      </c>
    </row>
    <row r="42" spans="15:20" x14ac:dyDescent="0.45">
      <c r="O42" s="2">
        <v>1</v>
      </c>
      <c r="P42" s="2">
        <v>1</v>
      </c>
      <c r="Q42" s="2">
        <v>2</v>
      </c>
      <c r="R42" s="2">
        <v>2</v>
      </c>
      <c r="S42" s="2">
        <v>3</v>
      </c>
      <c r="T42" s="2">
        <v>3</v>
      </c>
    </row>
    <row r="43" spans="15:20" x14ac:dyDescent="0.45">
      <c r="O43" s="2">
        <v>1</v>
      </c>
      <c r="P43" s="2">
        <v>1</v>
      </c>
      <c r="Q43" s="2">
        <v>2</v>
      </c>
      <c r="R43" s="2">
        <v>2</v>
      </c>
      <c r="S43" s="2">
        <v>3</v>
      </c>
      <c r="T43" s="2">
        <v>3</v>
      </c>
    </row>
    <row r="44" spans="15:20" x14ac:dyDescent="0.45">
      <c r="O44" s="2">
        <v>1</v>
      </c>
      <c r="P44" s="2">
        <v>1</v>
      </c>
      <c r="Q44" s="2">
        <v>2</v>
      </c>
      <c r="R44" s="2">
        <v>2</v>
      </c>
      <c r="S44" s="2">
        <v>3</v>
      </c>
      <c r="T44" s="2">
        <v>3</v>
      </c>
    </row>
    <row r="45" spans="15:20" x14ac:dyDescent="0.45">
      <c r="O45" s="2">
        <v>1</v>
      </c>
      <c r="P45" s="2">
        <v>1</v>
      </c>
      <c r="Q45" s="2">
        <v>2</v>
      </c>
      <c r="R45" s="2">
        <v>2</v>
      </c>
      <c r="S45" s="2">
        <v>3</v>
      </c>
      <c r="T45" s="2">
        <v>3</v>
      </c>
    </row>
    <row r="46" spans="15:20" x14ac:dyDescent="0.45">
      <c r="O46" s="2">
        <v>1</v>
      </c>
      <c r="P46" s="2">
        <v>1</v>
      </c>
      <c r="Q46" s="2">
        <v>2</v>
      </c>
      <c r="R46" s="2">
        <v>2</v>
      </c>
      <c r="S46" s="2">
        <v>3</v>
      </c>
      <c r="T46" s="2">
        <v>3</v>
      </c>
    </row>
    <row r="47" spans="15:20" x14ac:dyDescent="0.45">
      <c r="O47" s="2">
        <v>1</v>
      </c>
      <c r="P47" s="2">
        <v>1</v>
      </c>
      <c r="Q47" s="2">
        <v>2</v>
      </c>
      <c r="R47" s="2">
        <v>2</v>
      </c>
      <c r="S47" s="2">
        <v>3</v>
      </c>
      <c r="T47" s="2">
        <v>3</v>
      </c>
    </row>
    <row r="48" spans="15:20" x14ac:dyDescent="0.45">
      <c r="O48" s="2">
        <v>1</v>
      </c>
      <c r="P48" s="2">
        <v>1</v>
      </c>
      <c r="Q48" s="2">
        <v>2</v>
      </c>
      <c r="R48" s="2">
        <v>2</v>
      </c>
      <c r="S48" s="2">
        <v>3</v>
      </c>
      <c r="T48" s="2">
        <v>3</v>
      </c>
    </row>
    <row r="49" spans="15:20" x14ac:dyDescent="0.45">
      <c r="O49" s="2">
        <v>1</v>
      </c>
      <c r="P49" s="2">
        <v>1</v>
      </c>
      <c r="Q49" s="2">
        <v>2</v>
      </c>
      <c r="R49" s="2">
        <v>2</v>
      </c>
      <c r="S49" s="2">
        <v>3</v>
      </c>
      <c r="T49" s="2">
        <v>3</v>
      </c>
    </row>
    <row r="50" spans="15:20" x14ac:dyDescent="0.45">
      <c r="O50" s="2">
        <v>1</v>
      </c>
      <c r="P50" s="2">
        <v>1</v>
      </c>
      <c r="Q50" s="2">
        <v>2</v>
      </c>
      <c r="R50" s="2">
        <v>2</v>
      </c>
      <c r="S50" s="2">
        <v>3</v>
      </c>
      <c r="T50" s="2">
        <v>3</v>
      </c>
    </row>
    <row r="51" spans="15:20" x14ac:dyDescent="0.45">
      <c r="O51" s="2">
        <v>1</v>
      </c>
      <c r="P51" s="2">
        <v>1</v>
      </c>
      <c r="Q51" s="2">
        <v>2</v>
      </c>
      <c r="R51" s="2">
        <v>2</v>
      </c>
      <c r="S51" s="2">
        <v>3</v>
      </c>
      <c r="T51" s="2">
        <v>3</v>
      </c>
    </row>
    <row r="52" spans="15:20" x14ac:dyDescent="0.45">
      <c r="O52" s="2">
        <v>1</v>
      </c>
      <c r="P52" s="2">
        <v>1</v>
      </c>
      <c r="Q52" s="2">
        <v>2</v>
      </c>
      <c r="R52" s="2">
        <v>2</v>
      </c>
      <c r="S52" s="2">
        <v>3</v>
      </c>
      <c r="T52" s="2">
        <v>3</v>
      </c>
    </row>
    <row r="53" spans="15:20" x14ac:dyDescent="0.45">
      <c r="O53" s="2">
        <v>1</v>
      </c>
      <c r="P53" s="2">
        <v>1</v>
      </c>
      <c r="Q53" s="2">
        <v>2</v>
      </c>
      <c r="R53" s="2">
        <v>2</v>
      </c>
      <c r="S53" s="2">
        <v>3</v>
      </c>
      <c r="T53" s="2">
        <v>3</v>
      </c>
    </row>
    <row r="54" spans="15:20" x14ac:dyDescent="0.45">
      <c r="O54" s="2">
        <v>1</v>
      </c>
      <c r="P54" s="2">
        <v>1</v>
      </c>
      <c r="Q54" s="2">
        <v>2</v>
      </c>
      <c r="R54" s="2">
        <v>2</v>
      </c>
      <c r="S54" s="2">
        <v>3</v>
      </c>
      <c r="T54" s="2">
        <v>3</v>
      </c>
    </row>
    <row r="55" spans="15:20" x14ac:dyDescent="0.45">
      <c r="O55" s="2">
        <v>1</v>
      </c>
      <c r="P55" s="2">
        <v>1</v>
      </c>
      <c r="Q55" s="2">
        <v>2</v>
      </c>
      <c r="R55" s="2">
        <v>2</v>
      </c>
      <c r="S55" s="2">
        <v>3</v>
      </c>
      <c r="T55" s="2">
        <v>3</v>
      </c>
    </row>
    <row r="56" spans="15:20" x14ac:dyDescent="0.45">
      <c r="O56" s="2">
        <v>1</v>
      </c>
      <c r="P56" s="2">
        <v>1</v>
      </c>
      <c r="Q56" s="2">
        <v>2</v>
      </c>
      <c r="R56" s="2">
        <v>2</v>
      </c>
      <c r="S56" s="2">
        <v>3</v>
      </c>
      <c r="T56" s="2">
        <v>3</v>
      </c>
    </row>
    <row r="57" spans="15:20" x14ac:dyDescent="0.45">
      <c r="O57" s="2">
        <v>1</v>
      </c>
      <c r="P57" s="2">
        <v>1</v>
      </c>
      <c r="Q57" s="2">
        <v>2</v>
      </c>
      <c r="R57" s="2">
        <v>2</v>
      </c>
      <c r="S57" s="2">
        <v>3</v>
      </c>
      <c r="T57" s="2">
        <v>3</v>
      </c>
    </row>
    <row r="58" spans="15:20" x14ac:dyDescent="0.45">
      <c r="O58" s="2">
        <v>1</v>
      </c>
      <c r="P58" s="2">
        <v>1</v>
      </c>
      <c r="Q58" s="2">
        <v>2</v>
      </c>
      <c r="R58" s="2">
        <v>2</v>
      </c>
      <c r="S58" s="2">
        <v>3</v>
      </c>
      <c r="T58" s="2">
        <v>3</v>
      </c>
    </row>
    <row r="59" spans="15:20" x14ac:dyDescent="0.45">
      <c r="O59" s="2">
        <v>1</v>
      </c>
      <c r="P59" s="2">
        <v>1</v>
      </c>
      <c r="Q59" s="2">
        <v>2</v>
      </c>
      <c r="R59" s="2">
        <v>2</v>
      </c>
      <c r="S59" s="2">
        <v>3</v>
      </c>
      <c r="T59" s="2">
        <v>3</v>
      </c>
    </row>
    <row r="60" spans="15:20" x14ac:dyDescent="0.45">
      <c r="O60" s="2">
        <v>1</v>
      </c>
      <c r="P60" s="2">
        <v>1</v>
      </c>
      <c r="Q60" s="2">
        <v>2</v>
      </c>
      <c r="R60" s="2">
        <v>2</v>
      </c>
      <c r="S60" s="2">
        <v>3</v>
      </c>
      <c r="T60" s="2">
        <v>3</v>
      </c>
    </row>
    <row r="61" spans="15:20" x14ac:dyDescent="0.45">
      <c r="O61" s="2">
        <v>1</v>
      </c>
      <c r="P61" s="2">
        <v>1</v>
      </c>
      <c r="Q61" s="2">
        <v>2</v>
      </c>
      <c r="R61" s="2">
        <v>2</v>
      </c>
      <c r="S61" s="2">
        <v>3</v>
      </c>
      <c r="T61" s="2">
        <v>3</v>
      </c>
    </row>
    <row r="62" spans="15:20" x14ac:dyDescent="0.45">
      <c r="O62" s="2">
        <v>1</v>
      </c>
      <c r="P62" s="2">
        <v>1</v>
      </c>
      <c r="Q62" s="2">
        <v>2</v>
      </c>
      <c r="R62" s="2">
        <v>2</v>
      </c>
      <c r="S62" s="2">
        <v>3</v>
      </c>
      <c r="T62" s="2">
        <v>3</v>
      </c>
    </row>
    <row r="63" spans="15:20" x14ac:dyDescent="0.45">
      <c r="O63" s="2">
        <v>1</v>
      </c>
      <c r="P63" s="2">
        <v>1</v>
      </c>
      <c r="Q63" s="2">
        <v>2</v>
      </c>
      <c r="R63" s="2">
        <v>2</v>
      </c>
      <c r="S63" s="2">
        <v>3</v>
      </c>
      <c r="T63" s="2">
        <v>3</v>
      </c>
    </row>
    <row r="64" spans="15:20" x14ac:dyDescent="0.45">
      <c r="O64" s="2">
        <v>1</v>
      </c>
      <c r="P64" s="2">
        <v>1</v>
      </c>
      <c r="Q64" s="2">
        <v>2</v>
      </c>
      <c r="R64" s="2">
        <v>2</v>
      </c>
      <c r="S64" s="2">
        <v>3</v>
      </c>
      <c r="T64" s="2">
        <v>3</v>
      </c>
    </row>
    <row r="65" spans="15:20" x14ac:dyDescent="0.45">
      <c r="O65" s="2">
        <v>1</v>
      </c>
      <c r="P65" s="2">
        <v>1</v>
      </c>
      <c r="Q65" s="2">
        <v>2</v>
      </c>
      <c r="R65" s="2">
        <v>2</v>
      </c>
      <c r="S65" s="2">
        <v>3</v>
      </c>
      <c r="T65" s="2">
        <v>3</v>
      </c>
    </row>
    <row r="66" spans="15:20" x14ac:dyDescent="0.45">
      <c r="O66" s="2">
        <v>1</v>
      </c>
      <c r="P66" s="2">
        <v>1</v>
      </c>
      <c r="Q66" s="2">
        <v>2</v>
      </c>
      <c r="R66" s="2">
        <v>2</v>
      </c>
      <c r="S66" s="2">
        <v>3</v>
      </c>
      <c r="T66" s="2">
        <v>3</v>
      </c>
    </row>
    <row r="67" spans="15:20" x14ac:dyDescent="0.45">
      <c r="O67" s="2">
        <v>1</v>
      </c>
      <c r="P67" s="2">
        <v>1</v>
      </c>
      <c r="Q67" s="2">
        <v>2</v>
      </c>
      <c r="R67" s="2">
        <v>2</v>
      </c>
      <c r="S67" s="2">
        <v>3</v>
      </c>
      <c r="T67" s="2">
        <v>3</v>
      </c>
    </row>
    <row r="68" spans="15:20" x14ac:dyDescent="0.45">
      <c r="O68" s="2">
        <v>1</v>
      </c>
      <c r="P68" s="2">
        <v>1</v>
      </c>
      <c r="Q68" s="2">
        <v>2</v>
      </c>
      <c r="R68" s="2">
        <v>2</v>
      </c>
      <c r="S68" s="2">
        <v>3</v>
      </c>
      <c r="T68" s="2">
        <v>3</v>
      </c>
    </row>
    <row r="69" spans="15:20" x14ac:dyDescent="0.45">
      <c r="O69" s="2">
        <v>1</v>
      </c>
      <c r="P69" s="2">
        <v>1</v>
      </c>
      <c r="Q69" s="2">
        <v>2</v>
      </c>
      <c r="R69" s="2">
        <v>2</v>
      </c>
      <c r="S69" s="2">
        <v>3</v>
      </c>
      <c r="T69" s="2">
        <v>3</v>
      </c>
    </row>
    <row r="70" spans="15:20" x14ac:dyDescent="0.45">
      <c r="O70" s="2">
        <v>1</v>
      </c>
      <c r="P70" s="2">
        <v>1</v>
      </c>
      <c r="Q70" s="2">
        <v>2</v>
      </c>
      <c r="R70" s="2">
        <v>2</v>
      </c>
      <c r="S70" s="2">
        <v>3</v>
      </c>
      <c r="T70" s="2">
        <v>3</v>
      </c>
    </row>
    <row r="71" spans="15:20" x14ac:dyDescent="0.45">
      <c r="O71" s="2">
        <v>1</v>
      </c>
      <c r="P71" s="2">
        <v>1</v>
      </c>
      <c r="Q71" s="2">
        <v>2</v>
      </c>
      <c r="R71" s="2">
        <v>2</v>
      </c>
      <c r="S71" s="2">
        <v>3</v>
      </c>
      <c r="T71" s="2">
        <v>3</v>
      </c>
    </row>
    <row r="72" spans="15:20" x14ac:dyDescent="0.45">
      <c r="O72" s="2">
        <v>1</v>
      </c>
      <c r="P72" s="2">
        <v>1</v>
      </c>
      <c r="Q72" s="2">
        <v>2</v>
      </c>
      <c r="R72" s="2">
        <v>2</v>
      </c>
      <c r="S72" s="2">
        <v>3</v>
      </c>
      <c r="T72" s="2">
        <v>3</v>
      </c>
    </row>
    <row r="73" spans="15:20" x14ac:dyDescent="0.45">
      <c r="O73" s="2">
        <v>1</v>
      </c>
      <c r="P73" s="2">
        <v>1</v>
      </c>
      <c r="Q73" s="2">
        <v>2</v>
      </c>
      <c r="R73" s="2">
        <v>2</v>
      </c>
      <c r="S73" s="2">
        <v>3</v>
      </c>
      <c r="T73" s="2">
        <v>3</v>
      </c>
    </row>
    <row r="74" spans="15:20" x14ac:dyDescent="0.45">
      <c r="O74" s="2">
        <v>1</v>
      </c>
      <c r="P74" s="2">
        <v>1</v>
      </c>
      <c r="Q74" s="2">
        <v>2</v>
      </c>
      <c r="R74" s="2">
        <v>2</v>
      </c>
      <c r="S74" s="2">
        <v>3</v>
      </c>
      <c r="T74" s="2">
        <v>3</v>
      </c>
    </row>
    <row r="75" spans="15:20" x14ac:dyDescent="0.45">
      <c r="O75" s="2">
        <v>1</v>
      </c>
      <c r="P75" s="2">
        <v>1</v>
      </c>
      <c r="Q75" s="2">
        <v>2</v>
      </c>
      <c r="R75" s="2">
        <v>2</v>
      </c>
      <c r="S75" s="2">
        <v>3</v>
      </c>
      <c r="T75" s="2">
        <v>3</v>
      </c>
    </row>
    <row r="76" spans="15:20" x14ac:dyDescent="0.45">
      <c r="O76" s="2">
        <v>1</v>
      </c>
      <c r="P76" s="2">
        <v>1</v>
      </c>
      <c r="Q76" s="2">
        <v>2</v>
      </c>
      <c r="R76" s="2">
        <v>2</v>
      </c>
      <c r="S76" s="2">
        <v>3</v>
      </c>
      <c r="T76" s="2">
        <v>3</v>
      </c>
    </row>
    <row r="77" spans="15:20" x14ac:dyDescent="0.45">
      <c r="O77" s="2">
        <v>1</v>
      </c>
      <c r="P77" s="2">
        <v>1</v>
      </c>
      <c r="Q77" s="2">
        <v>2</v>
      </c>
      <c r="R77" s="2">
        <v>2</v>
      </c>
      <c r="S77" s="2">
        <v>3</v>
      </c>
      <c r="T77" s="2">
        <v>3</v>
      </c>
    </row>
    <row r="78" spans="15:20" x14ac:dyDescent="0.45">
      <c r="O78" s="2">
        <v>1</v>
      </c>
      <c r="P78" s="2">
        <v>1</v>
      </c>
      <c r="Q78" s="2">
        <v>2</v>
      </c>
      <c r="R78" s="2">
        <v>2</v>
      </c>
      <c r="S78" s="2">
        <v>3</v>
      </c>
      <c r="T78" s="2">
        <v>3</v>
      </c>
    </row>
    <row r="79" spans="15:20" x14ac:dyDescent="0.45">
      <c r="O79" s="2">
        <v>1</v>
      </c>
      <c r="P79" s="2">
        <v>1</v>
      </c>
      <c r="Q79" s="2">
        <v>2</v>
      </c>
      <c r="R79" s="2">
        <v>2</v>
      </c>
      <c r="S79" s="2">
        <v>3</v>
      </c>
      <c r="T79" s="2">
        <v>3</v>
      </c>
    </row>
    <row r="80" spans="15:20" x14ac:dyDescent="0.45">
      <c r="O80" s="2">
        <v>1</v>
      </c>
      <c r="P80" s="2">
        <v>1</v>
      </c>
      <c r="Q80" s="2">
        <v>2</v>
      </c>
      <c r="R80" s="2">
        <v>2</v>
      </c>
      <c r="S80" s="2">
        <v>3</v>
      </c>
      <c r="T80" s="2">
        <v>3</v>
      </c>
    </row>
    <row r="81" spans="15:20" x14ac:dyDescent="0.45">
      <c r="O81" s="2">
        <v>1</v>
      </c>
      <c r="P81" s="2">
        <v>1</v>
      </c>
      <c r="Q81" s="2">
        <v>2</v>
      </c>
      <c r="R81" s="2">
        <v>2</v>
      </c>
      <c r="S81" s="2">
        <v>3</v>
      </c>
      <c r="T81" s="2">
        <v>3</v>
      </c>
    </row>
    <row r="82" spans="15:20" x14ac:dyDescent="0.45">
      <c r="O82" s="2">
        <v>1</v>
      </c>
      <c r="P82" s="2">
        <v>1</v>
      </c>
      <c r="Q82" s="2">
        <v>2</v>
      </c>
      <c r="R82" s="2">
        <v>2</v>
      </c>
      <c r="S82" s="2">
        <v>3</v>
      </c>
      <c r="T82" s="2">
        <v>3</v>
      </c>
    </row>
    <row r="83" spans="15:20" x14ac:dyDescent="0.45">
      <c r="O83" s="2">
        <v>1</v>
      </c>
      <c r="P83" s="2">
        <v>1</v>
      </c>
      <c r="Q83" s="2">
        <v>2</v>
      </c>
      <c r="R83" s="2">
        <v>2</v>
      </c>
      <c r="S83" s="2">
        <v>3</v>
      </c>
      <c r="T83" s="2">
        <v>3</v>
      </c>
    </row>
    <row r="84" spans="15:20" x14ac:dyDescent="0.45">
      <c r="O84" s="2">
        <v>1</v>
      </c>
      <c r="P84" s="2">
        <v>1</v>
      </c>
      <c r="Q84" s="2">
        <v>2</v>
      </c>
      <c r="R84" s="2">
        <v>2</v>
      </c>
      <c r="S84" s="2">
        <v>3</v>
      </c>
      <c r="T84" s="2">
        <v>3</v>
      </c>
    </row>
    <row r="85" spans="15:20" x14ac:dyDescent="0.45">
      <c r="O85" s="2">
        <v>1</v>
      </c>
      <c r="P85" s="2">
        <v>1</v>
      </c>
      <c r="Q85" s="2">
        <v>2</v>
      </c>
      <c r="R85" s="2">
        <v>2</v>
      </c>
      <c r="S85" s="2">
        <v>3</v>
      </c>
      <c r="T85" s="2">
        <v>3</v>
      </c>
    </row>
    <row r="86" spans="15:20" x14ac:dyDescent="0.45">
      <c r="O86" s="2">
        <v>1</v>
      </c>
      <c r="P86" s="2">
        <v>1</v>
      </c>
      <c r="Q86" s="2">
        <v>2</v>
      </c>
      <c r="R86" s="2">
        <v>2</v>
      </c>
      <c r="S86" s="2">
        <v>3</v>
      </c>
      <c r="T86" s="2">
        <v>3</v>
      </c>
    </row>
    <row r="87" spans="15:20" x14ac:dyDescent="0.45">
      <c r="O87" s="2">
        <v>1</v>
      </c>
      <c r="P87" s="2">
        <v>1</v>
      </c>
      <c r="Q87" s="2">
        <v>2</v>
      </c>
      <c r="R87" s="2">
        <v>2</v>
      </c>
      <c r="S87" s="2">
        <v>3</v>
      </c>
      <c r="T87" s="2">
        <v>3</v>
      </c>
    </row>
    <row r="88" spans="15:20" x14ac:dyDescent="0.45">
      <c r="O88" s="2">
        <v>1</v>
      </c>
      <c r="P88" s="2">
        <v>1</v>
      </c>
      <c r="Q88" s="2">
        <v>2</v>
      </c>
      <c r="R88" s="2">
        <v>2</v>
      </c>
      <c r="S88" s="2">
        <v>3</v>
      </c>
      <c r="T88" s="2">
        <v>3</v>
      </c>
    </row>
    <row r="89" spans="15:20" x14ac:dyDescent="0.45">
      <c r="O89" s="2">
        <v>1</v>
      </c>
      <c r="P89" s="2">
        <v>1</v>
      </c>
      <c r="Q89" s="2">
        <v>2</v>
      </c>
      <c r="R89" s="2">
        <v>2</v>
      </c>
      <c r="S89" s="2">
        <v>3</v>
      </c>
      <c r="T89" s="2">
        <v>3</v>
      </c>
    </row>
    <row r="90" spans="15:20" x14ac:dyDescent="0.45">
      <c r="O90" s="2">
        <v>1</v>
      </c>
      <c r="P90" s="2">
        <v>1</v>
      </c>
      <c r="Q90" s="2">
        <v>2</v>
      </c>
      <c r="R90" s="2">
        <v>2</v>
      </c>
      <c r="S90" s="2">
        <v>3</v>
      </c>
      <c r="T90" s="2">
        <v>3</v>
      </c>
    </row>
    <row r="91" spans="15:20" x14ac:dyDescent="0.45">
      <c r="O91" s="2">
        <v>1</v>
      </c>
      <c r="P91" s="2">
        <v>1</v>
      </c>
      <c r="Q91" s="2">
        <v>2</v>
      </c>
      <c r="R91" s="2">
        <v>2</v>
      </c>
      <c r="S91" s="2">
        <v>3</v>
      </c>
      <c r="T91" s="2">
        <v>3</v>
      </c>
    </row>
    <row r="92" spans="15:20" x14ac:dyDescent="0.45">
      <c r="O92" s="2">
        <v>1</v>
      </c>
      <c r="P92" s="2">
        <v>1</v>
      </c>
      <c r="Q92" s="2">
        <v>2</v>
      </c>
      <c r="R92" s="2">
        <v>2</v>
      </c>
      <c r="S92" s="2">
        <v>3</v>
      </c>
      <c r="T92" s="2">
        <v>3</v>
      </c>
    </row>
    <row r="93" spans="15:20" x14ac:dyDescent="0.45">
      <c r="O93" s="2">
        <v>1</v>
      </c>
      <c r="P93" s="2">
        <v>1</v>
      </c>
      <c r="Q93" s="2">
        <v>2</v>
      </c>
      <c r="R93" s="2">
        <v>2</v>
      </c>
      <c r="S93" s="2">
        <v>3</v>
      </c>
      <c r="T93" s="2">
        <v>3</v>
      </c>
    </row>
    <row r="94" spans="15:20" x14ac:dyDescent="0.45">
      <c r="O94" s="2">
        <v>1</v>
      </c>
      <c r="P94" s="2">
        <v>1</v>
      </c>
      <c r="Q94" s="2">
        <v>2</v>
      </c>
      <c r="R94" s="2">
        <v>2</v>
      </c>
      <c r="S94" s="2">
        <v>3</v>
      </c>
      <c r="T94" s="2">
        <v>3</v>
      </c>
    </row>
    <row r="95" spans="15:20" x14ac:dyDescent="0.45">
      <c r="O95" s="2">
        <v>1</v>
      </c>
      <c r="P95" s="2">
        <v>1</v>
      </c>
      <c r="Q95" s="2">
        <v>2</v>
      </c>
      <c r="R95" s="2">
        <v>2</v>
      </c>
      <c r="S95" s="2">
        <v>3</v>
      </c>
      <c r="T95" s="2">
        <v>3</v>
      </c>
    </row>
    <row r="96" spans="15:20" x14ac:dyDescent="0.45">
      <c r="O96" s="2">
        <v>1</v>
      </c>
      <c r="P96" s="2">
        <v>1</v>
      </c>
      <c r="Q96" s="2">
        <v>2</v>
      </c>
      <c r="R96" s="2">
        <v>2</v>
      </c>
      <c r="S96" s="2">
        <v>3</v>
      </c>
      <c r="T96" s="2">
        <v>3</v>
      </c>
    </row>
    <row r="97" spans="15:20" x14ac:dyDescent="0.45">
      <c r="O97" s="2">
        <v>1</v>
      </c>
      <c r="P97" s="2">
        <v>1</v>
      </c>
      <c r="Q97" s="2">
        <v>2</v>
      </c>
      <c r="R97" s="2">
        <v>2</v>
      </c>
      <c r="S97" s="2">
        <v>3</v>
      </c>
      <c r="T97" s="2">
        <v>3</v>
      </c>
    </row>
    <row r="98" spans="15:20" x14ac:dyDescent="0.45">
      <c r="O98" s="2">
        <v>1</v>
      </c>
      <c r="P98" s="2">
        <v>1</v>
      </c>
      <c r="Q98" s="2">
        <v>2</v>
      </c>
      <c r="R98" s="2">
        <v>2</v>
      </c>
      <c r="S98" s="2">
        <v>3</v>
      </c>
      <c r="T98" s="2">
        <v>3</v>
      </c>
    </row>
    <row r="99" spans="15:20" x14ac:dyDescent="0.45">
      <c r="O99" s="2">
        <v>1</v>
      </c>
      <c r="P99" s="2">
        <v>1</v>
      </c>
      <c r="Q99" s="2">
        <v>2</v>
      </c>
      <c r="R99" s="2">
        <v>2</v>
      </c>
      <c r="S99" s="2">
        <v>3</v>
      </c>
      <c r="T99" s="2">
        <v>3</v>
      </c>
    </row>
    <row r="100" spans="15:20" x14ac:dyDescent="0.45">
      <c r="O100" s="2">
        <v>1</v>
      </c>
      <c r="P100" s="2">
        <v>1</v>
      </c>
      <c r="Q100" s="2">
        <v>2</v>
      </c>
      <c r="R100" s="2">
        <v>2</v>
      </c>
      <c r="S100" s="2">
        <v>3</v>
      </c>
      <c r="T100" s="2">
        <v>3</v>
      </c>
    </row>
    <row r="101" spans="15:20" x14ac:dyDescent="0.45">
      <c r="O101" s="2">
        <v>1</v>
      </c>
      <c r="P101" s="2">
        <v>1</v>
      </c>
      <c r="Q101" s="2">
        <v>2</v>
      </c>
      <c r="R101" s="2">
        <v>2</v>
      </c>
      <c r="S101" s="2">
        <v>3</v>
      </c>
      <c r="T101" s="2">
        <v>3</v>
      </c>
    </row>
    <row r="102" spans="15:20" x14ac:dyDescent="0.45">
      <c r="O102" s="2">
        <v>1</v>
      </c>
      <c r="P102" s="2">
        <v>1</v>
      </c>
      <c r="Q102" s="2">
        <v>2</v>
      </c>
      <c r="R102" s="2">
        <v>2</v>
      </c>
      <c r="S102" s="2">
        <v>3</v>
      </c>
      <c r="T102" s="2">
        <v>3</v>
      </c>
    </row>
    <row r="103" spans="15:20" x14ac:dyDescent="0.45">
      <c r="O103" s="2">
        <v>1</v>
      </c>
      <c r="P103" s="2">
        <v>1</v>
      </c>
      <c r="Q103" s="2">
        <v>2</v>
      </c>
      <c r="R103" s="2">
        <v>2</v>
      </c>
      <c r="S103" s="2">
        <v>3</v>
      </c>
      <c r="T103" s="2">
        <v>3</v>
      </c>
    </row>
    <row r="104" spans="15:20" x14ac:dyDescent="0.45">
      <c r="O104" s="2">
        <v>1</v>
      </c>
      <c r="P104" s="2">
        <v>1</v>
      </c>
      <c r="Q104" s="2">
        <v>2</v>
      </c>
      <c r="R104" s="2">
        <v>2</v>
      </c>
      <c r="S104" s="2">
        <v>3</v>
      </c>
      <c r="T104" s="2">
        <v>3</v>
      </c>
    </row>
    <row r="105" spans="15:20" x14ac:dyDescent="0.45">
      <c r="O105" s="2">
        <v>1</v>
      </c>
      <c r="P105" s="2">
        <v>1</v>
      </c>
      <c r="Q105" s="2">
        <v>2</v>
      </c>
      <c r="R105" s="2">
        <v>2</v>
      </c>
      <c r="S105" s="2">
        <v>3</v>
      </c>
      <c r="T105" s="2">
        <v>3</v>
      </c>
    </row>
    <row r="106" spans="15:20" x14ac:dyDescent="0.45">
      <c r="O106" s="2">
        <v>1</v>
      </c>
      <c r="P106" s="2">
        <v>1</v>
      </c>
      <c r="Q106" s="2">
        <v>2</v>
      </c>
      <c r="R106" s="2">
        <v>2</v>
      </c>
      <c r="S106" s="2">
        <v>3</v>
      </c>
      <c r="T106" s="2">
        <v>3</v>
      </c>
    </row>
    <row r="107" spans="15:20" x14ac:dyDescent="0.45">
      <c r="O107" s="2">
        <v>1</v>
      </c>
      <c r="P107" s="2">
        <v>1</v>
      </c>
      <c r="Q107" s="2">
        <v>2</v>
      </c>
      <c r="R107" s="2">
        <v>2</v>
      </c>
      <c r="S107" s="2">
        <v>3</v>
      </c>
      <c r="T107" s="2">
        <v>3</v>
      </c>
    </row>
    <row r="108" spans="15:20" x14ac:dyDescent="0.45">
      <c r="O108" s="2">
        <v>1</v>
      </c>
      <c r="P108" s="2">
        <v>1</v>
      </c>
      <c r="Q108" s="2">
        <v>2</v>
      </c>
      <c r="R108" s="2">
        <v>2</v>
      </c>
      <c r="S108" s="2">
        <v>3</v>
      </c>
      <c r="T108" s="2">
        <v>3</v>
      </c>
    </row>
    <row r="109" spans="15:20" x14ac:dyDescent="0.45">
      <c r="O109" s="2">
        <v>1</v>
      </c>
      <c r="P109" s="2">
        <v>1</v>
      </c>
      <c r="Q109" s="2">
        <v>2</v>
      </c>
      <c r="R109" s="2">
        <v>2</v>
      </c>
      <c r="S109" s="2">
        <v>3</v>
      </c>
      <c r="T109" s="2">
        <v>3</v>
      </c>
    </row>
    <row r="110" spans="15:20" x14ac:dyDescent="0.45">
      <c r="O110" s="2">
        <v>1</v>
      </c>
      <c r="P110" s="2">
        <v>1</v>
      </c>
      <c r="Q110" s="2">
        <v>2</v>
      </c>
      <c r="R110" s="2">
        <v>2</v>
      </c>
      <c r="S110" s="2">
        <v>3</v>
      </c>
      <c r="T110" s="2">
        <v>3</v>
      </c>
    </row>
    <row r="111" spans="15:20" x14ac:dyDescent="0.45">
      <c r="O111" s="2">
        <v>1</v>
      </c>
      <c r="P111" s="2">
        <v>1</v>
      </c>
      <c r="Q111" s="2">
        <v>2</v>
      </c>
      <c r="R111" s="2">
        <v>2</v>
      </c>
      <c r="S111" s="2">
        <v>3</v>
      </c>
      <c r="T111" s="2">
        <v>3</v>
      </c>
    </row>
    <row r="112" spans="15:20" x14ac:dyDescent="0.45">
      <c r="O112" s="2">
        <v>1</v>
      </c>
      <c r="P112" s="2">
        <v>1</v>
      </c>
      <c r="Q112" s="2">
        <v>2</v>
      </c>
      <c r="R112" s="2">
        <v>2</v>
      </c>
      <c r="S112" s="2">
        <v>3</v>
      </c>
      <c r="T112" s="2">
        <v>3</v>
      </c>
    </row>
    <row r="113" spans="15:20" x14ac:dyDescent="0.45">
      <c r="O113" s="2">
        <v>4</v>
      </c>
      <c r="P113" s="2">
        <v>4</v>
      </c>
      <c r="Q113" s="2">
        <v>5</v>
      </c>
      <c r="R113" s="2">
        <v>5</v>
      </c>
      <c r="S113" s="2">
        <v>6</v>
      </c>
      <c r="T113" s="2">
        <v>6</v>
      </c>
    </row>
    <row r="114" spans="15:20" x14ac:dyDescent="0.45">
      <c r="O114" s="2">
        <v>4</v>
      </c>
      <c r="P114" s="2">
        <v>4</v>
      </c>
      <c r="Q114" s="2">
        <v>5</v>
      </c>
      <c r="R114" s="2">
        <v>5</v>
      </c>
      <c r="S114" s="2">
        <v>6</v>
      </c>
      <c r="T114" s="2">
        <v>6</v>
      </c>
    </row>
    <row r="115" spans="15:20" x14ac:dyDescent="0.45">
      <c r="O115" s="2">
        <v>4</v>
      </c>
      <c r="P115" s="2">
        <v>4</v>
      </c>
      <c r="Q115" s="2">
        <v>5</v>
      </c>
      <c r="R115" s="2">
        <v>5</v>
      </c>
      <c r="S115" s="2">
        <v>6</v>
      </c>
      <c r="T115" s="2">
        <v>6</v>
      </c>
    </row>
    <row r="116" spans="15:20" x14ac:dyDescent="0.45">
      <c r="O116" s="2">
        <v>4</v>
      </c>
      <c r="P116" s="2">
        <v>4</v>
      </c>
      <c r="Q116" s="2">
        <v>5</v>
      </c>
      <c r="R116" s="2">
        <v>5</v>
      </c>
      <c r="S116" s="2">
        <v>6</v>
      </c>
      <c r="T116" s="2">
        <v>6</v>
      </c>
    </row>
    <row r="117" spans="15:20" x14ac:dyDescent="0.45">
      <c r="O117" s="2">
        <v>4</v>
      </c>
      <c r="P117" s="2">
        <v>4</v>
      </c>
      <c r="Q117" s="2">
        <v>5</v>
      </c>
      <c r="R117" s="2">
        <v>5</v>
      </c>
      <c r="S117" s="2">
        <v>6</v>
      </c>
      <c r="T117" s="2">
        <v>6</v>
      </c>
    </row>
    <row r="118" spans="15:20" x14ac:dyDescent="0.45">
      <c r="O118" s="2">
        <v>4</v>
      </c>
      <c r="P118" s="2">
        <v>4</v>
      </c>
      <c r="Q118" s="2">
        <v>5</v>
      </c>
      <c r="R118" s="2">
        <v>5</v>
      </c>
      <c r="S118" s="2">
        <v>6</v>
      </c>
      <c r="T118" s="2">
        <v>6</v>
      </c>
    </row>
    <row r="119" spans="15:20" x14ac:dyDescent="0.45">
      <c r="O119" s="2">
        <v>4</v>
      </c>
      <c r="P119" s="2">
        <v>4</v>
      </c>
      <c r="Q119" s="2">
        <v>5</v>
      </c>
      <c r="R119" s="2">
        <v>5</v>
      </c>
      <c r="S119" s="2">
        <v>6</v>
      </c>
      <c r="T119" s="2">
        <v>6</v>
      </c>
    </row>
    <row r="120" spans="15:20" x14ac:dyDescent="0.45">
      <c r="O120" s="2">
        <v>4</v>
      </c>
      <c r="P120" s="2">
        <v>4</v>
      </c>
      <c r="Q120" s="2">
        <v>5</v>
      </c>
      <c r="R120" s="2">
        <v>5</v>
      </c>
      <c r="S120" s="2">
        <v>6</v>
      </c>
      <c r="T120" s="2">
        <v>6</v>
      </c>
    </row>
    <row r="121" spans="15:20" x14ac:dyDescent="0.45">
      <c r="O121" s="2">
        <v>4</v>
      </c>
      <c r="P121" s="2">
        <v>4</v>
      </c>
      <c r="Q121" s="2">
        <v>5</v>
      </c>
      <c r="R121" s="2">
        <v>5</v>
      </c>
      <c r="S121" s="2">
        <v>6</v>
      </c>
      <c r="T121" s="2">
        <v>6</v>
      </c>
    </row>
    <row r="122" spans="15:20" x14ac:dyDescent="0.45">
      <c r="O122" s="2">
        <v>4</v>
      </c>
      <c r="P122" s="2">
        <v>4</v>
      </c>
      <c r="Q122" s="2">
        <v>5</v>
      </c>
      <c r="R122" s="2">
        <v>5</v>
      </c>
      <c r="S122" s="2">
        <v>6</v>
      </c>
      <c r="T122" s="2">
        <v>6</v>
      </c>
    </row>
    <row r="123" spans="15:20" x14ac:dyDescent="0.45">
      <c r="O123" s="2">
        <v>4</v>
      </c>
      <c r="P123" s="2">
        <v>4</v>
      </c>
      <c r="Q123" s="2">
        <v>5</v>
      </c>
      <c r="R123" s="2">
        <v>5</v>
      </c>
      <c r="S123" s="2">
        <v>6</v>
      </c>
      <c r="T123" s="2">
        <v>6</v>
      </c>
    </row>
    <row r="124" spans="15:20" x14ac:dyDescent="0.45">
      <c r="O124" s="2">
        <v>4</v>
      </c>
      <c r="P124" s="2">
        <v>4</v>
      </c>
      <c r="Q124" s="2">
        <v>5</v>
      </c>
      <c r="R124" s="2">
        <v>5</v>
      </c>
      <c r="S124" s="2">
        <v>6</v>
      </c>
      <c r="T124" s="2">
        <v>6</v>
      </c>
    </row>
    <row r="125" spans="15:20" x14ac:dyDescent="0.45">
      <c r="O125" s="2">
        <v>4</v>
      </c>
      <c r="P125" s="2">
        <v>4</v>
      </c>
      <c r="Q125" s="2">
        <v>5</v>
      </c>
      <c r="R125" s="2">
        <v>5</v>
      </c>
      <c r="S125" s="2">
        <v>6</v>
      </c>
      <c r="T125" s="2">
        <v>6</v>
      </c>
    </row>
    <row r="126" spans="15:20" x14ac:dyDescent="0.45">
      <c r="O126" s="2">
        <v>4</v>
      </c>
      <c r="P126" s="2">
        <v>4</v>
      </c>
      <c r="Q126" s="2">
        <v>5</v>
      </c>
      <c r="R126" s="2">
        <v>5</v>
      </c>
      <c r="S126" s="2">
        <v>6</v>
      </c>
      <c r="T126" s="2">
        <v>6</v>
      </c>
    </row>
    <row r="127" spans="15:20" x14ac:dyDescent="0.45">
      <c r="O127" s="2">
        <v>4</v>
      </c>
      <c r="P127" s="2">
        <v>4</v>
      </c>
      <c r="Q127" s="2">
        <v>5</v>
      </c>
      <c r="R127" s="2">
        <v>5</v>
      </c>
      <c r="S127" s="2">
        <v>6</v>
      </c>
      <c r="T127" s="2">
        <v>6</v>
      </c>
    </row>
    <row r="128" spans="15:20" x14ac:dyDescent="0.45">
      <c r="O128" s="2">
        <v>4</v>
      </c>
      <c r="P128" s="2">
        <v>4</v>
      </c>
      <c r="Q128" s="2">
        <v>5</v>
      </c>
      <c r="R128" s="2">
        <v>5</v>
      </c>
      <c r="S128" s="2">
        <v>6</v>
      </c>
      <c r="T128" s="2">
        <v>6</v>
      </c>
    </row>
    <row r="129" spans="15:20" x14ac:dyDescent="0.45">
      <c r="O129" s="2">
        <v>4</v>
      </c>
      <c r="P129" s="2">
        <v>4</v>
      </c>
      <c r="Q129" s="2">
        <v>5</v>
      </c>
      <c r="R129" s="2">
        <v>5</v>
      </c>
      <c r="S129" s="2">
        <v>6</v>
      </c>
      <c r="T129" s="2">
        <v>6</v>
      </c>
    </row>
    <row r="130" spans="15:20" x14ac:dyDescent="0.45">
      <c r="O130" s="2">
        <v>4</v>
      </c>
      <c r="P130" s="2">
        <v>4</v>
      </c>
      <c r="Q130" s="2">
        <v>5</v>
      </c>
      <c r="R130" s="2">
        <v>5</v>
      </c>
      <c r="S130" s="2">
        <v>6</v>
      </c>
      <c r="T130" s="2">
        <v>6</v>
      </c>
    </row>
    <row r="131" spans="15:20" x14ac:dyDescent="0.45">
      <c r="O131" s="2">
        <v>4</v>
      </c>
      <c r="P131" s="2">
        <v>4</v>
      </c>
      <c r="Q131" s="2">
        <v>5</v>
      </c>
      <c r="R131" s="2">
        <v>5</v>
      </c>
      <c r="S131" s="2">
        <v>6</v>
      </c>
      <c r="T131" s="2">
        <v>6</v>
      </c>
    </row>
    <row r="132" spans="15:20" x14ac:dyDescent="0.45">
      <c r="O132" s="2">
        <v>4</v>
      </c>
      <c r="P132" s="2">
        <v>4</v>
      </c>
      <c r="Q132" s="2">
        <v>5</v>
      </c>
      <c r="R132" s="2">
        <v>5</v>
      </c>
      <c r="S132" s="2">
        <v>6</v>
      </c>
      <c r="T132" s="2">
        <v>6</v>
      </c>
    </row>
    <row r="133" spans="15:20" x14ac:dyDescent="0.45">
      <c r="O133" s="2">
        <v>4</v>
      </c>
      <c r="P133" s="2">
        <v>4</v>
      </c>
      <c r="Q133" s="2">
        <v>5</v>
      </c>
      <c r="R133" s="2">
        <v>5</v>
      </c>
      <c r="S133" s="2">
        <v>6</v>
      </c>
      <c r="T133" s="2">
        <v>6</v>
      </c>
    </row>
    <row r="134" spans="15:20" x14ac:dyDescent="0.45">
      <c r="O134" s="2">
        <v>4</v>
      </c>
      <c r="P134" s="2">
        <v>4</v>
      </c>
      <c r="Q134" s="2">
        <v>5</v>
      </c>
      <c r="R134" s="2">
        <v>5</v>
      </c>
      <c r="S134" s="2">
        <v>6</v>
      </c>
      <c r="T134" s="2">
        <v>6</v>
      </c>
    </row>
    <row r="135" spans="15:20" x14ac:dyDescent="0.45">
      <c r="O135" s="2">
        <v>4</v>
      </c>
      <c r="P135" s="2">
        <v>4</v>
      </c>
      <c r="Q135" s="2">
        <v>5</v>
      </c>
      <c r="R135" s="2">
        <v>5</v>
      </c>
      <c r="S135" s="2">
        <v>6</v>
      </c>
      <c r="T135" s="2">
        <v>6</v>
      </c>
    </row>
    <row r="136" spans="15:20" x14ac:dyDescent="0.45">
      <c r="O136" s="2">
        <v>4</v>
      </c>
      <c r="P136" s="2">
        <v>4</v>
      </c>
      <c r="Q136" s="2">
        <v>5</v>
      </c>
      <c r="R136" s="2">
        <v>5</v>
      </c>
      <c r="S136" s="2">
        <v>6</v>
      </c>
      <c r="T136" s="2">
        <v>6</v>
      </c>
    </row>
    <row r="137" spans="15:20" x14ac:dyDescent="0.45">
      <c r="O137" s="2">
        <v>4</v>
      </c>
      <c r="P137" s="2">
        <v>4</v>
      </c>
      <c r="Q137" s="2">
        <v>5</v>
      </c>
      <c r="R137" s="2">
        <v>5</v>
      </c>
      <c r="S137" s="2">
        <v>6</v>
      </c>
      <c r="T137" s="2">
        <v>6</v>
      </c>
    </row>
    <row r="138" spans="15:20" x14ac:dyDescent="0.45">
      <c r="O138" s="2">
        <v>4</v>
      </c>
      <c r="P138" s="2">
        <v>4</v>
      </c>
      <c r="Q138" s="2">
        <v>5</v>
      </c>
      <c r="R138" s="2">
        <v>5</v>
      </c>
      <c r="S138" s="2">
        <v>6</v>
      </c>
      <c r="T138" s="2">
        <v>6</v>
      </c>
    </row>
    <row r="139" spans="15:20" x14ac:dyDescent="0.45">
      <c r="O139" s="2">
        <v>4</v>
      </c>
      <c r="P139" s="2">
        <v>4</v>
      </c>
      <c r="Q139" s="2">
        <v>5</v>
      </c>
      <c r="R139" s="2">
        <v>5</v>
      </c>
      <c r="S139" s="2">
        <v>6</v>
      </c>
      <c r="T139" s="2">
        <v>6</v>
      </c>
    </row>
    <row r="140" spans="15:20" x14ac:dyDescent="0.45">
      <c r="O140" s="2">
        <v>4</v>
      </c>
      <c r="P140" s="2">
        <v>4</v>
      </c>
      <c r="Q140" s="2">
        <v>5</v>
      </c>
      <c r="R140" s="2">
        <v>5</v>
      </c>
      <c r="S140" s="2">
        <v>6</v>
      </c>
      <c r="T140" s="2">
        <v>6</v>
      </c>
    </row>
    <row r="141" spans="15:20" x14ac:dyDescent="0.45">
      <c r="O141" s="2">
        <v>4</v>
      </c>
      <c r="P141" s="2">
        <v>4</v>
      </c>
      <c r="Q141" s="2">
        <v>5</v>
      </c>
      <c r="R141" s="2">
        <v>5</v>
      </c>
      <c r="S141" s="2">
        <v>6</v>
      </c>
      <c r="T141" s="2">
        <v>6</v>
      </c>
    </row>
    <row r="142" spans="15:20" x14ac:dyDescent="0.45">
      <c r="O142" s="2">
        <v>4</v>
      </c>
      <c r="P142" s="2">
        <v>4</v>
      </c>
      <c r="Q142" s="2">
        <v>5</v>
      </c>
      <c r="R142" s="2">
        <v>5</v>
      </c>
      <c r="S142" s="2">
        <v>6</v>
      </c>
      <c r="T142" s="2">
        <v>6</v>
      </c>
    </row>
    <row r="143" spans="15:20" x14ac:dyDescent="0.45">
      <c r="O143" s="2">
        <v>4</v>
      </c>
      <c r="P143" s="2">
        <v>4</v>
      </c>
      <c r="Q143" s="2">
        <v>5</v>
      </c>
      <c r="R143" s="2">
        <v>5</v>
      </c>
      <c r="S143" s="2">
        <v>6</v>
      </c>
      <c r="T143" s="2">
        <v>6</v>
      </c>
    </row>
    <row r="144" spans="15:20" x14ac:dyDescent="0.45">
      <c r="O144" s="2">
        <v>4</v>
      </c>
      <c r="P144" s="2">
        <v>4</v>
      </c>
      <c r="Q144" s="2">
        <v>5</v>
      </c>
      <c r="R144" s="2">
        <v>5</v>
      </c>
      <c r="S144" s="2">
        <v>6</v>
      </c>
      <c r="T144" s="2">
        <v>6</v>
      </c>
    </row>
    <row r="145" spans="15:20" x14ac:dyDescent="0.45">
      <c r="O145" s="2">
        <v>4</v>
      </c>
      <c r="P145" s="2">
        <v>4</v>
      </c>
      <c r="Q145" s="2">
        <v>5</v>
      </c>
      <c r="R145" s="2">
        <v>5</v>
      </c>
      <c r="S145" s="2">
        <v>6</v>
      </c>
      <c r="T145" s="2">
        <v>6</v>
      </c>
    </row>
    <row r="146" spans="15:20" x14ac:dyDescent="0.45">
      <c r="O146" s="2">
        <v>4</v>
      </c>
      <c r="P146" s="2">
        <v>4</v>
      </c>
      <c r="Q146" s="2">
        <v>5</v>
      </c>
      <c r="R146" s="2">
        <v>5</v>
      </c>
      <c r="S146" s="2">
        <v>6</v>
      </c>
      <c r="T146" s="2">
        <v>6</v>
      </c>
    </row>
    <row r="147" spans="15:20" x14ac:dyDescent="0.45">
      <c r="O147" s="2">
        <v>4</v>
      </c>
      <c r="P147" s="2">
        <v>4</v>
      </c>
      <c r="Q147" s="2">
        <v>5</v>
      </c>
      <c r="R147" s="2">
        <v>5</v>
      </c>
      <c r="S147" s="2">
        <v>6</v>
      </c>
      <c r="T147" s="2">
        <v>6</v>
      </c>
    </row>
    <row r="148" spans="15:20" x14ac:dyDescent="0.45">
      <c r="O148" s="2">
        <v>4</v>
      </c>
      <c r="P148" s="2">
        <v>4</v>
      </c>
      <c r="Q148" s="2">
        <v>5</v>
      </c>
      <c r="R148" s="2">
        <v>5</v>
      </c>
      <c r="S148" s="2">
        <v>6</v>
      </c>
      <c r="T148" s="2">
        <v>6</v>
      </c>
    </row>
    <row r="149" spans="15:20" x14ac:dyDescent="0.45">
      <c r="O149" s="2">
        <v>4</v>
      </c>
      <c r="P149" s="2">
        <v>4</v>
      </c>
      <c r="Q149" s="2">
        <v>5</v>
      </c>
      <c r="R149" s="2">
        <v>5</v>
      </c>
      <c r="S149" s="2">
        <v>6</v>
      </c>
      <c r="T149" s="2">
        <v>6</v>
      </c>
    </row>
    <row r="150" spans="15:20" x14ac:dyDescent="0.45">
      <c r="O150" s="2">
        <v>4</v>
      </c>
      <c r="P150" s="2">
        <v>4</v>
      </c>
      <c r="Q150" s="2">
        <v>5</v>
      </c>
      <c r="R150" s="2">
        <v>5</v>
      </c>
      <c r="S150" s="2">
        <v>6</v>
      </c>
      <c r="T150" s="2">
        <v>6</v>
      </c>
    </row>
    <row r="151" spans="15:20" x14ac:dyDescent="0.45">
      <c r="O151" s="2">
        <v>4</v>
      </c>
      <c r="P151" s="2">
        <v>4</v>
      </c>
      <c r="Q151" s="2">
        <v>5</v>
      </c>
      <c r="R151" s="2">
        <v>5</v>
      </c>
      <c r="S151" s="2">
        <v>6</v>
      </c>
      <c r="T151" s="2">
        <v>6</v>
      </c>
    </row>
    <row r="152" spans="15:20" x14ac:dyDescent="0.45">
      <c r="O152" s="2">
        <v>4</v>
      </c>
      <c r="P152" s="2">
        <v>4</v>
      </c>
      <c r="Q152" s="2">
        <v>5</v>
      </c>
      <c r="R152" s="2">
        <v>5</v>
      </c>
      <c r="S152" s="2">
        <v>6</v>
      </c>
      <c r="T152" s="2">
        <v>6</v>
      </c>
    </row>
    <row r="153" spans="15:20" x14ac:dyDescent="0.45">
      <c r="O153" s="2">
        <v>4</v>
      </c>
      <c r="P153" s="2">
        <v>4</v>
      </c>
      <c r="Q153" s="2">
        <v>5</v>
      </c>
      <c r="R153" s="2">
        <v>5</v>
      </c>
      <c r="S153" s="2">
        <v>6</v>
      </c>
      <c r="T153" s="2">
        <v>6</v>
      </c>
    </row>
    <row r="154" spans="15:20" x14ac:dyDescent="0.45">
      <c r="O154" s="2">
        <v>4</v>
      </c>
      <c r="P154" s="2">
        <v>4</v>
      </c>
      <c r="Q154" s="2">
        <v>5</v>
      </c>
      <c r="R154" s="2">
        <v>5</v>
      </c>
      <c r="S154" s="2">
        <v>6</v>
      </c>
      <c r="T154" s="2">
        <v>6</v>
      </c>
    </row>
    <row r="155" spans="15:20" x14ac:dyDescent="0.45">
      <c r="O155" s="2">
        <v>4</v>
      </c>
      <c r="P155" s="2">
        <v>4</v>
      </c>
      <c r="Q155" s="2">
        <v>5</v>
      </c>
      <c r="R155" s="2">
        <v>5</v>
      </c>
      <c r="S155" s="2">
        <v>6</v>
      </c>
      <c r="T155" s="2">
        <v>6</v>
      </c>
    </row>
    <row r="156" spans="15:20" x14ac:dyDescent="0.45">
      <c r="O156" s="2">
        <v>4</v>
      </c>
      <c r="P156" s="2">
        <v>4</v>
      </c>
      <c r="Q156" s="2">
        <v>5</v>
      </c>
      <c r="R156" s="2">
        <v>5</v>
      </c>
      <c r="S156" s="2">
        <v>6</v>
      </c>
      <c r="T156" s="2">
        <v>6</v>
      </c>
    </row>
    <row r="157" spans="15:20" x14ac:dyDescent="0.45">
      <c r="O157" s="2">
        <v>4</v>
      </c>
      <c r="P157" s="2">
        <v>4</v>
      </c>
      <c r="Q157" s="2">
        <v>5</v>
      </c>
      <c r="R157" s="2">
        <v>5</v>
      </c>
      <c r="S157" s="2">
        <v>6</v>
      </c>
      <c r="T157" s="2">
        <v>6</v>
      </c>
    </row>
    <row r="158" spans="15:20" x14ac:dyDescent="0.45">
      <c r="O158" s="2">
        <v>4</v>
      </c>
      <c r="P158" s="2">
        <v>4</v>
      </c>
      <c r="Q158" s="2">
        <v>5</v>
      </c>
      <c r="R158" s="2">
        <v>5</v>
      </c>
      <c r="S158" s="2">
        <v>6</v>
      </c>
      <c r="T158" s="2">
        <v>6</v>
      </c>
    </row>
    <row r="159" spans="15:20" x14ac:dyDescent="0.45">
      <c r="O159" s="2">
        <v>4</v>
      </c>
      <c r="P159" s="2">
        <v>4</v>
      </c>
      <c r="Q159" s="2">
        <v>5</v>
      </c>
      <c r="R159" s="2">
        <v>5</v>
      </c>
      <c r="S159" s="2">
        <v>6</v>
      </c>
      <c r="T159" s="2">
        <v>6</v>
      </c>
    </row>
    <row r="160" spans="15:20" x14ac:dyDescent="0.45">
      <c r="O160" s="2">
        <v>4</v>
      </c>
      <c r="P160" s="2">
        <v>4</v>
      </c>
      <c r="Q160" s="2">
        <v>5</v>
      </c>
      <c r="R160" s="2">
        <v>5</v>
      </c>
      <c r="S160" s="2">
        <v>6</v>
      </c>
      <c r="T160" s="2">
        <v>6</v>
      </c>
    </row>
    <row r="161" spans="15:20" x14ac:dyDescent="0.45">
      <c r="O161" s="2">
        <v>4</v>
      </c>
      <c r="P161" s="2">
        <v>4</v>
      </c>
      <c r="Q161" s="2">
        <v>5</v>
      </c>
      <c r="R161" s="2">
        <v>5</v>
      </c>
      <c r="S161" s="2">
        <v>6</v>
      </c>
      <c r="T161" s="2">
        <v>6</v>
      </c>
    </row>
    <row r="162" spans="15:20" x14ac:dyDescent="0.45">
      <c r="O162" s="2">
        <v>4</v>
      </c>
      <c r="P162" s="2">
        <v>4</v>
      </c>
      <c r="Q162" s="2">
        <v>5</v>
      </c>
      <c r="R162" s="2">
        <v>5</v>
      </c>
      <c r="S162" s="2">
        <v>6</v>
      </c>
      <c r="T162" s="2">
        <v>6</v>
      </c>
    </row>
    <row r="163" spans="15:20" x14ac:dyDescent="0.45">
      <c r="O163" s="2">
        <v>4</v>
      </c>
      <c r="P163" s="2">
        <v>4</v>
      </c>
      <c r="Q163" s="2">
        <v>5</v>
      </c>
      <c r="R163" s="2">
        <v>5</v>
      </c>
      <c r="S163" s="2">
        <v>6</v>
      </c>
      <c r="T163" s="2">
        <v>6</v>
      </c>
    </row>
    <row r="164" spans="15:20" x14ac:dyDescent="0.45">
      <c r="O164" s="2">
        <v>4</v>
      </c>
      <c r="P164" s="2">
        <v>4</v>
      </c>
      <c r="Q164" s="2">
        <v>5</v>
      </c>
      <c r="R164" s="2">
        <v>5</v>
      </c>
      <c r="S164" s="2">
        <v>6</v>
      </c>
      <c r="T164" s="2">
        <v>6</v>
      </c>
    </row>
    <row r="165" spans="15:20" x14ac:dyDescent="0.45">
      <c r="O165" s="2">
        <v>4</v>
      </c>
      <c r="P165" s="2">
        <v>4</v>
      </c>
      <c r="Q165" s="2">
        <v>5</v>
      </c>
      <c r="R165" s="2">
        <v>5</v>
      </c>
      <c r="S165" s="2">
        <v>6</v>
      </c>
      <c r="T165" s="2">
        <v>6</v>
      </c>
    </row>
    <row r="166" spans="15:20" x14ac:dyDescent="0.45">
      <c r="O166" s="2">
        <v>4</v>
      </c>
      <c r="P166" s="2">
        <v>4</v>
      </c>
      <c r="Q166" s="2">
        <v>5</v>
      </c>
      <c r="R166" s="2">
        <v>5</v>
      </c>
      <c r="S166" s="2">
        <v>6</v>
      </c>
      <c r="T166" s="2">
        <v>6</v>
      </c>
    </row>
    <row r="167" spans="15:20" x14ac:dyDescent="0.45">
      <c r="O167" s="2">
        <v>4</v>
      </c>
      <c r="P167" s="2">
        <v>4</v>
      </c>
      <c r="Q167" s="2">
        <v>5</v>
      </c>
      <c r="R167" s="2">
        <v>5</v>
      </c>
      <c r="S167" s="2">
        <v>6</v>
      </c>
      <c r="T167" s="2">
        <v>6</v>
      </c>
    </row>
    <row r="168" spans="15:20" x14ac:dyDescent="0.45">
      <c r="O168" s="2">
        <v>4</v>
      </c>
      <c r="P168" s="2">
        <v>4</v>
      </c>
      <c r="Q168" s="2">
        <v>5</v>
      </c>
      <c r="R168" s="2">
        <v>5</v>
      </c>
      <c r="S168" s="2">
        <v>6</v>
      </c>
      <c r="T168" s="2">
        <v>6</v>
      </c>
    </row>
    <row r="169" spans="15:20" x14ac:dyDescent="0.45">
      <c r="O169" s="2">
        <v>4</v>
      </c>
      <c r="P169" s="2">
        <v>4</v>
      </c>
      <c r="Q169" s="2">
        <v>5</v>
      </c>
      <c r="R169" s="2">
        <v>5</v>
      </c>
      <c r="S169" s="2">
        <v>6</v>
      </c>
      <c r="T169" s="2">
        <v>6</v>
      </c>
    </row>
    <row r="170" spans="15:20" x14ac:dyDescent="0.45">
      <c r="O170" s="2">
        <v>4</v>
      </c>
      <c r="P170" s="2">
        <v>4</v>
      </c>
      <c r="Q170" s="2">
        <v>5</v>
      </c>
      <c r="R170" s="2">
        <v>5</v>
      </c>
      <c r="S170" s="2">
        <v>6</v>
      </c>
      <c r="T170" s="2">
        <v>6</v>
      </c>
    </row>
    <row r="171" spans="15:20" x14ac:dyDescent="0.45">
      <c r="O171" s="2">
        <v>4</v>
      </c>
      <c r="P171" s="2">
        <v>4</v>
      </c>
      <c r="Q171" s="2">
        <v>5</v>
      </c>
      <c r="R171" s="2">
        <v>5</v>
      </c>
      <c r="S171" s="2">
        <v>6</v>
      </c>
      <c r="T171" s="2">
        <v>6</v>
      </c>
    </row>
    <row r="172" spans="15:20" x14ac:dyDescent="0.45">
      <c r="O172" s="2">
        <v>4</v>
      </c>
      <c r="P172" s="2">
        <v>4</v>
      </c>
      <c r="Q172" s="2">
        <v>5</v>
      </c>
      <c r="R172" s="2">
        <v>5</v>
      </c>
      <c r="S172" s="2">
        <v>6</v>
      </c>
      <c r="T172" s="2">
        <v>6</v>
      </c>
    </row>
    <row r="173" spans="15:20" x14ac:dyDescent="0.45">
      <c r="O173" s="2">
        <v>4</v>
      </c>
      <c r="P173" s="2">
        <v>4</v>
      </c>
      <c r="Q173" s="2">
        <v>5</v>
      </c>
      <c r="R173" s="2">
        <v>5</v>
      </c>
      <c r="S173" s="2">
        <v>6</v>
      </c>
      <c r="T173" s="2">
        <v>6</v>
      </c>
    </row>
    <row r="174" spans="15:20" x14ac:dyDescent="0.45">
      <c r="O174" s="2">
        <v>4</v>
      </c>
      <c r="P174" s="2">
        <v>4</v>
      </c>
      <c r="Q174" s="2">
        <v>5</v>
      </c>
      <c r="R174" s="2">
        <v>5</v>
      </c>
      <c r="S174" s="2">
        <v>6</v>
      </c>
      <c r="T174" s="2">
        <v>6</v>
      </c>
    </row>
    <row r="175" spans="15:20" x14ac:dyDescent="0.45">
      <c r="O175" s="2">
        <v>4</v>
      </c>
      <c r="P175" s="2">
        <v>4</v>
      </c>
      <c r="Q175" s="2">
        <v>5</v>
      </c>
      <c r="R175" s="2">
        <v>5</v>
      </c>
      <c r="S175" s="2">
        <v>6</v>
      </c>
      <c r="T175" s="2">
        <v>6</v>
      </c>
    </row>
    <row r="176" spans="15:20" x14ac:dyDescent="0.45">
      <c r="O176" s="2">
        <v>4</v>
      </c>
      <c r="P176" s="2">
        <v>4</v>
      </c>
      <c r="Q176" s="2">
        <v>5</v>
      </c>
      <c r="R176" s="2">
        <v>5</v>
      </c>
      <c r="S176" s="2">
        <v>6</v>
      </c>
      <c r="T176" s="2">
        <v>6</v>
      </c>
    </row>
    <row r="177" spans="15:20" x14ac:dyDescent="0.45">
      <c r="O177" s="2">
        <v>4</v>
      </c>
      <c r="P177" s="2">
        <v>4</v>
      </c>
      <c r="Q177" s="2">
        <v>5</v>
      </c>
      <c r="R177" s="2">
        <v>5</v>
      </c>
      <c r="S177" s="2">
        <v>6</v>
      </c>
      <c r="T177" s="2">
        <v>6</v>
      </c>
    </row>
    <row r="178" spans="15:20" x14ac:dyDescent="0.45">
      <c r="O178" s="2">
        <v>4</v>
      </c>
      <c r="P178" s="2">
        <v>4</v>
      </c>
      <c r="Q178" s="2">
        <v>5</v>
      </c>
      <c r="R178" s="2">
        <v>5</v>
      </c>
      <c r="S178" s="2">
        <v>6</v>
      </c>
      <c r="T178" s="2">
        <v>6</v>
      </c>
    </row>
    <row r="179" spans="15:20" x14ac:dyDescent="0.45">
      <c r="O179" s="2">
        <v>4</v>
      </c>
      <c r="P179" s="2">
        <v>4</v>
      </c>
      <c r="Q179" s="2">
        <v>5</v>
      </c>
      <c r="R179" s="2">
        <v>5</v>
      </c>
      <c r="S179" s="2">
        <v>6</v>
      </c>
      <c r="T179" s="2">
        <v>6</v>
      </c>
    </row>
    <row r="180" spans="15:20" x14ac:dyDescent="0.45">
      <c r="O180" s="2">
        <v>4</v>
      </c>
      <c r="P180" s="2">
        <v>4</v>
      </c>
      <c r="Q180" s="2">
        <v>5</v>
      </c>
      <c r="R180" s="2">
        <v>5</v>
      </c>
      <c r="S180" s="2">
        <v>6</v>
      </c>
      <c r="T180" s="2">
        <v>6</v>
      </c>
    </row>
    <row r="181" spans="15:20" x14ac:dyDescent="0.45">
      <c r="O181" s="2">
        <v>4</v>
      </c>
      <c r="P181" s="2">
        <v>4</v>
      </c>
      <c r="Q181" s="2">
        <v>5</v>
      </c>
      <c r="R181" s="2">
        <v>5</v>
      </c>
      <c r="S181" s="2">
        <v>6</v>
      </c>
      <c r="T181" s="2">
        <v>6</v>
      </c>
    </row>
    <row r="182" spans="15:20" x14ac:dyDescent="0.45">
      <c r="O182" s="2">
        <v>4</v>
      </c>
      <c r="P182" s="2">
        <v>4</v>
      </c>
      <c r="Q182" s="2">
        <v>5</v>
      </c>
      <c r="R182" s="2">
        <v>5</v>
      </c>
      <c r="S182" s="2">
        <v>6</v>
      </c>
      <c r="T182" s="2">
        <v>6</v>
      </c>
    </row>
    <row r="183" spans="15:20" x14ac:dyDescent="0.45">
      <c r="O183" s="2">
        <v>4</v>
      </c>
      <c r="P183" s="2">
        <v>4</v>
      </c>
      <c r="Q183" s="2">
        <v>5</v>
      </c>
      <c r="R183" s="2">
        <v>5</v>
      </c>
      <c r="S183" s="2">
        <v>6</v>
      </c>
      <c r="T183" s="2">
        <v>6</v>
      </c>
    </row>
    <row r="184" spans="15:20" x14ac:dyDescent="0.45">
      <c r="O184" s="2">
        <v>4</v>
      </c>
      <c r="P184" s="2">
        <v>4</v>
      </c>
      <c r="Q184" s="2">
        <v>5</v>
      </c>
      <c r="R184" s="2">
        <v>5</v>
      </c>
      <c r="S184" s="2">
        <v>6</v>
      </c>
      <c r="T184" s="2">
        <v>6</v>
      </c>
    </row>
    <row r="185" spans="15:20" x14ac:dyDescent="0.45">
      <c r="O185" s="2">
        <v>4</v>
      </c>
      <c r="P185" s="2">
        <v>4</v>
      </c>
      <c r="Q185" s="2">
        <v>5</v>
      </c>
      <c r="R185" s="2">
        <v>5</v>
      </c>
      <c r="S185" s="2">
        <v>6</v>
      </c>
      <c r="T185" s="2">
        <v>6</v>
      </c>
    </row>
    <row r="186" spans="15:20" x14ac:dyDescent="0.45">
      <c r="O186" s="2">
        <v>4</v>
      </c>
      <c r="P186" s="2">
        <v>4</v>
      </c>
      <c r="Q186" s="2">
        <v>5</v>
      </c>
      <c r="R186" s="2">
        <v>5</v>
      </c>
      <c r="S186" s="2">
        <v>6</v>
      </c>
      <c r="T186" s="2">
        <v>6</v>
      </c>
    </row>
    <row r="187" spans="15:20" x14ac:dyDescent="0.45">
      <c r="O187" s="2">
        <v>4</v>
      </c>
      <c r="P187" s="2">
        <v>4</v>
      </c>
      <c r="Q187" s="2">
        <v>5</v>
      </c>
      <c r="R187" s="2">
        <v>5</v>
      </c>
      <c r="S187" s="2">
        <v>6</v>
      </c>
      <c r="T187" s="2">
        <v>6</v>
      </c>
    </row>
    <row r="188" spans="15:20" x14ac:dyDescent="0.45">
      <c r="O188" s="2">
        <v>4</v>
      </c>
      <c r="P188" s="2">
        <v>4</v>
      </c>
      <c r="Q188" s="2">
        <v>5</v>
      </c>
      <c r="R188" s="2">
        <v>5</v>
      </c>
      <c r="S188" s="2">
        <v>6</v>
      </c>
      <c r="T188" s="2">
        <v>6</v>
      </c>
    </row>
    <row r="189" spans="15:20" x14ac:dyDescent="0.45">
      <c r="O189" s="2">
        <v>4</v>
      </c>
      <c r="P189" s="2">
        <v>4</v>
      </c>
      <c r="Q189" s="2">
        <v>5</v>
      </c>
      <c r="R189" s="2">
        <v>5</v>
      </c>
      <c r="S189" s="2">
        <v>6</v>
      </c>
      <c r="T189" s="2">
        <v>6</v>
      </c>
    </row>
    <row r="190" spans="15:20" x14ac:dyDescent="0.45">
      <c r="O190" s="2">
        <v>4</v>
      </c>
      <c r="P190" s="2">
        <v>4</v>
      </c>
      <c r="Q190" s="2">
        <v>5</v>
      </c>
      <c r="R190" s="2">
        <v>5</v>
      </c>
      <c r="S190" s="2">
        <v>6</v>
      </c>
      <c r="T190" s="2">
        <v>6</v>
      </c>
    </row>
    <row r="191" spans="15:20" x14ac:dyDescent="0.45">
      <c r="O191" s="2">
        <v>4</v>
      </c>
      <c r="P191" s="2">
        <v>4</v>
      </c>
      <c r="Q191" s="2">
        <v>5</v>
      </c>
      <c r="R191" s="2">
        <v>5</v>
      </c>
      <c r="S191" s="2">
        <v>6</v>
      </c>
      <c r="T191" s="2">
        <v>6</v>
      </c>
    </row>
    <row r="192" spans="15:20" x14ac:dyDescent="0.45">
      <c r="O192" s="2">
        <v>4</v>
      </c>
      <c r="P192" s="2">
        <v>4</v>
      </c>
      <c r="Q192" s="2">
        <v>5</v>
      </c>
      <c r="R192" s="2">
        <v>5</v>
      </c>
      <c r="S192" s="2">
        <v>6</v>
      </c>
      <c r="T192" s="2">
        <v>6</v>
      </c>
    </row>
    <row r="193" spans="15:20" x14ac:dyDescent="0.45">
      <c r="O193" s="2">
        <v>4</v>
      </c>
      <c r="P193" s="2">
        <v>4</v>
      </c>
      <c r="Q193" s="2">
        <v>5</v>
      </c>
      <c r="R193" s="2">
        <v>5</v>
      </c>
      <c r="S193" s="2">
        <v>6</v>
      </c>
      <c r="T193" s="2">
        <v>6</v>
      </c>
    </row>
    <row r="194" spans="15:20" x14ac:dyDescent="0.45">
      <c r="O194" s="2">
        <v>4</v>
      </c>
      <c r="P194" s="2">
        <v>4</v>
      </c>
      <c r="Q194" s="2">
        <v>5</v>
      </c>
      <c r="R194" s="2">
        <v>5</v>
      </c>
      <c r="S194" s="2">
        <v>6</v>
      </c>
      <c r="T194" s="2">
        <v>6</v>
      </c>
    </row>
    <row r="195" spans="15:20" x14ac:dyDescent="0.45">
      <c r="O195" s="2">
        <v>4</v>
      </c>
      <c r="P195" s="2">
        <v>4</v>
      </c>
      <c r="Q195" s="2">
        <v>5</v>
      </c>
      <c r="R195" s="2">
        <v>5</v>
      </c>
      <c r="S195" s="2">
        <v>6</v>
      </c>
      <c r="T195" s="2">
        <v>6</v>
      </c>
    </row>
    <row r="196" spans="15:20" x14ac:dyDescent="0.45">
      <c r="O196" s="2">
        <v>4</v>
      </c>
      <c r="P196" s="2">
        <v>4</v>
      </c>
      <c r="Q196" s="2">
        <v>5</v>
      </c>
      <c r="R196" s="2">
        <v>5</v>
      </c>
      <c r="S196" s="2">
        <v>6</v>
      </c>
      <c r="T196" s="2">
        <v>6</v>
      </c>
    </row>
    <row r="197" spans="15:20" x14ac:dyDescent="0.45">
      <c r="O197" s="2">
        <v>4</v>
      </c>
      <c r="P197" s="2">
        <v>4</v>
      </c>
      <c r="Q197" s="2">
        <v>5</v>
      </c>
      <c r="R197" s="2">
        <v>5</v>
      </c>
      <c r="S197" s="2">
        <v>6</v>
      </c>
      <c r="T197" s="2">
        <v>6</v>
      </c>
    </row>
    <row r="198" spans="15:20" x14ac:dyDescent="0.45">
      <c r="O198" s="2">
        <v>4</v>
      </c>
      <c r="P198" s="2">
        <v>4</v>
      </c>
      <c r="Q198" s="2">
        <v>5</v>
      </c>
      <c r="R198" s="2">
        <v>5</v>
      </c>
      <c r="S198" s="2">
        <v>6</v>
      </c>
      <c r="T198" s="2">
        <v>6</v>
      </c>
    </row>
    <row r="199" spans="15:20" x14ac:dyDescent="0.45">
      <c r="O199" s="2">
        <v>4</v>
      </c>
      <c r="P199" s="2">
        <v>4</v>
      </c>
      <c r="Q199" s="2">
        <v>5</v>
      </c>
      <c r="R199" s="2">
        <v>5</v>
      </c>
      <c r="S199" s="2">
        <v>6</v>
      </c>
      <c r="T199" s="2">
        <v>6</v>
      </c>
    </row>
    <row r="200" spans="15:20" x14ac:dyDescent="0.45">
      <c r="O200" s="2">
        <v>4</v>
      </c>
      <c r="P200" s="2">
        <v>4</v>
      </c>
      <c r="Q200" s="2">
        <v>5</v>
      </c>
      <c r="R200" s="2">
        <v>5</v>
      </c>
      <c r="S200" s="2">
        <v>6</v>
      </c>
      <c r="T200" s="2">
        <v>6</v>
      </c>
    </row>
    <row r="201" spans="15:20" x14ac:dyDescent="0.45">
      <c r="O201" s="2">
        <v>4</v>
      </c>
      <c r="P201" s="2">
        <v>4</v>
      </c>
      <c r="Q201" s="2">
        <v>5</v>
      </c>
      <c r="R201" s="2">
        <v>5</v>
      </c>
      <c r="S201" s="2">
        <v>6</v>
      </c>
      <c r="T201" s="2">
        <v>6</v>
      </c>
    </row>
    <row r="202" spans="15:20" x14ac:dyDescent="0.45">
      <c r="O202" s="2">
        <v>4</v>
      </c>
      <c r="P202" s="2">
        <v>4</v>
      </c>
      <c r="Q202" s="2">
        <v>5</v>
      </c>
      <c r="R202" s="2">
        <v>5</v>
      </c>
      <c r="S202" s="2">
        <v>6</v>
      </c>
      <c r="T202" s="2">
        <v>6</v>
      </c>
    </row>
    <row r="203" spans="15:20" x14ac:dyDescent="0.45">
      <c r="O203" s="2">
        <v>4</v>
      </c>
      <c r="P203" s="2">
        <v>4</v>
      </c>
      <c r="Q203" s="2">
        <v>5</v>
      </c>
      <c r="R203" s="2">
        <v>5</v>
      </c>
      <c r="S203" s="2">
        <v>6</v>
      </c>
      <c r="T203" s="2">
        <v>6</v>
      </c>
    </row>
    <row r="204" spans="15:20" x14ac:dyDescent="0.45">
      <c r="O204" s="2">
        <v>4</v>
      </c>
      <c r="P204" s="2">
        <v>4</v>
      </c>
      <c r="Q204" s="2">
        <v>5</v>
      </c>
      <c r="R204" s="2">
        <v>5</v>
      </c>
      <c r="S204" s="2">
        <v>6</v>
      </c>
      <c r="T204" s="2">
        <v>6</v>
      </c>
    </row>
    <row r="205" spans="15:20" x14ac:dyDescent="0.45">
      <c r="O205" s="2">
        <v>4</v>
      </c>
      <c r="P205" s="2">
        <v>4</v>
      </c>
      <c r="Q205" s="2">
        <v>5</v>
      </c>
      <c r="R205" s="2">
        <v>5</v>
      </c>
      <c r="S205" s="2">
        <v>6</v>
      </c>
      <c r="T205" s="2">
        <v>6</v>
      </c>
    </row>
    <row r="206" spans="15:20" x14ac:dyDescent="0.45">
      <c r="O206" s="2">
        <v>4</v>
      </c>
      <c r="P206" s="2">
        <v>4</v>
      </c>
      <c r="Q206" s="2">
        <v>5</v>
      </c>
      <c r="R206" s="2">
        <v>5</v>
      </c>
      <c r="S206" s="2">
        <v>6</v>
      </c>
      <c r="T206" s="2">
        <v>6</v>
      </c>
    </row>
    <row r="207" spans="15:20" x14ac:dyDescent="0.45">
      <c r="O207" s="2">
        <v>4</v>
      </c>
      <c r="P207" s="2">
        <v>4</v>
      </c>
      <c r="Q207" s="2">
        <v>5</v>
      </c>
      <c r="R207" s="2">
        <v>5</v>
      </c>
      <c r="S207" s="2">
        <v>6</v>
      </c>
      <c r="T207" s="2">
        <v>6</v>
      </c>
    </row>
    <row r="208" spans="15:20" x14ac:dyDescent="0.45">
      <c r="O208" s="2">
        <v>4</v>
      </c>
      <c r="P208" s="2">
        <v>4</v>
      </c>
      <c r="Q208" s="2">
        <v>5</v>
      </c>
      <c r="R208" s="2">
        <v>5</v>
      </c>
      <c r="S208" s="2">
        <v>6</v>
      </c>
      <c r="T208" s="2">
        <v>6</v>
      </c>
    </row>
    <row r="209" spans="15:20" x14ac:dyDescent="0.45">
      <c r="O209" s="2">
        <v>4</v>
      </c>
      <c r="P209" s="2">
        <v>4</v>
      </c>
      <c r="Q209" s="2">
        <v>5</v>
      </c>
      <c r="R209" s="2">
        <v>5</v>
      </c>
      <c r="S209" s="2">
        <v>6</v>
      </c>
      <c r="T209" s="2">
        <v>6</v>
      </c>
    </row>
    <row r="210" spans="15:20" x14ac:dyDescent="0.45">
      <c r="O210" s="2">
        <v>4</v>
      </c>
      <c r="P210" s="2">
        <v>4</v>
      </c>
      <c r="Q210" s="2">
        <v>5</v>
      </c>
      <c r="R210" s="2">
        <v>5</v>
      </c>
      <c r="S210" s="2">
        <v>6</v>
      </c>
      <c r="T210" s="2">
        <v>6</v>
      </c>
    </row>
    <row r="211" spans="15:20" x14ac:dyDescent="0.45">
      <c r="O211" s="2">
        <v>4</v>
      </c>
      <c r="P211" s="2">
        <v>4</v>
      </c>
      <c r="Q211" s="2">
        <v>5</v>
      </c>
      <c r="R211" s="2">
        <v>5</v>
      </c>
      <c r="S211" s="2">
        <v>6</v>
      </c>
      <c r="T211" s="2">
        <v>6</v>
      </c>
    </row>
    <row r="212" spans="15:20" x14ac:dyDescent="0.45">
      <c r="O212" s="2">
        <v>4</v>
      </c>
      <c r="P212" s="2">
        <v>4</v>
      </c>
      <c r="Q212" s="2">
        <v>5</v>
      </c>
      <c r="R212" s="2">
        <v>5</v>
      </c>
      <c r="S212" s="2">
        <v>6</v>
      </c>
      <c r="T212" s="2">
        <v>6</v>
      </c>
    </row>
    <row r="213" spans="15:20" x14ac:dyDescent="0.45">
      <c r="O213" s="2">
        <v>7</v>
      </c>
      <c r="P213" s="2">
        <v>7</v>
      </c>
      <c r="Q213" s="2">
        <v>8</v>
      </c>
      <c r="R213" s="2">
        <v>8</v>
      </c>
      <c r="S213" s="2">
        <v>9</v>
      </c>
      <c r="T213" s="2">
        <v>9</v>
      </c>
    </row>
    <row r="214" spans="15:20" x14ac:dyDescent="0.45">
      <c r="O214" s="2">
        <v>7</v>
      </c>
      <c r="P214" s="2">
        <v>7</v>
      </c>
      <c r="Q214" s="2">
        <v>8</v>
      </c>
      <c r="R214" s="2">
        <v>8</v>
      </c>
      <c r="S214" s="2">
        <v>9</v>
      </c>
      <c r="T214" s="2">
        <v>9</v>
      </c>
    </row>
    <row r="215" spans="15:20" x14ac:dyDescent="0.45">
      <c r="O215" s="2">
        <v>7</v>
      </c>
      <c r="P215" s="2">
        <v>7</v>
      </c>
      <c r="Q215" s="2">
        <v>8</v>
      </c>
      <c r="R215" s="2">
        <v>8</v>
      </c>
      <c r="S215" s="2">
        <v>9</v>
      </c>
      <c r="T215" s="2">
        <v>9</v>
      </c>
    </row>
    <row r="216" spans="15:20" x14ac:dyDescent="0.45">
      <c r="O216" s="2">
        <v>7</v>
      </c>
      <c r="P216" s="2">
        <v>7</v>
      </c>
      <c r="Q216" s="2">
        <v>8</v>
      </c>
      <c r="R216" s="2">
        <v>8</v>
      </c>
      <c r="S216" s="2">
        <v>9</v>
      </c>
      <c r="T216" s="2">
        <v>9</v>
      </c>
    </row>
    <row r="217" spans="15:20" x14ac:dyDescent="0.45">
      <c r="O217" s="2">
        <v>7</v>
      </c>
      <c r="P217" s="2">
        <v>7</v>
      </c>
      <c r="Q217" s="2">
        <v>8</v>
      </c>
      <c r="R217" s="2">
        <v>8</v>
      </c>
      <c r="S217" s="2">
        <v>9</v>
      </c>
      <c r="T217" s="2">
        <v>9</v>
      </c>
    </row>
    <row r="218" spans="15:20" x14ac:dyDescent="0.45">
      <c r="O218" s="2">
        <v>7</v>
      </c>
      <c r="P218" s="2">
        <v>7</v>
      </c>
      <c r="Q218" s="2">
        <v>8</v>
      </c>
      <c r="R218" s="2">
        <v>8</v>
      </c>
      <c r="S218" s="2">
        <v>9</v>
      </c>
      <c r="T218" s="2">
        <v>9</v>
      </c>
    </row>
    <row r="219" spans="15:20" x14ac:dyDescent="0.45">
      <c r="O219" s="2">
        <v>7</v>
      </c>
      <c r="P219" s="2">
        <v>7</v>
      </c>
      <c r="Q219" s="2">
        <v>8</v>
      </c>
      <c r="R219" s="2">
        <v>8</v>
      </c>
      <c r="S219" s="2">
        <v>9</v>
      </c>
      <c r="T219" s="2">
        <v>9</v>
      </c>
    </row>
    <row r="220" spans="15:20" x14ac:dyDescent="0.45">
      <c r="O220" s="2">
        <v>7</v>
      </c>
      <c r="P220" s="2">
        <v>7</v>
      </c>
      <c r="Q220" s="2">
        <v>8</v>
      </c>
      <c r="R220" s="2">
        <v>8</v>
      </c>
      <c r="S220" s="2">
        <v>9</v>
      </c>
      <c r="T220" s="2">
        <v>9</v>
      </c>
    </row>
    <row r="221" spans="15:20" x14ac:dyDescent="0.45">
      <c r="O221" s="2">
        <v>7</v>
      </c>
      <c r="P221" s="2">
        <v>7</v>
      </c>
      <c r="Q221" s="2">
        <v>8</v>
      </c>
      <c r="R221" s="2">
        <v>8</v>
      </c>
      <c r="S221" s="2">
        <v>9</v>
      </c>
      <c r="T221" s="2">
        <v>9</v>
      </c>
    </row>
    <row r="222" spans="15:20" x14ac:dyDescent="0.45">
      <c r="O222" s="2">
        <v>7</v>
      </c>
      <c r="P222" s="2">
        <v>7</v>
      </c>
      <c r="Q222" s="2">
        <v>8</v>
      </c>
      <c r="R222" s="2">
        <v>8</v>
      </c>
      <c r="S222" s="2">
        <v>9</v>
      </c>
      <c r="T222" s="2">
        <v>9</v>
      </c>
    </row>
    <row r="223" spans="15:20" x14ac:dyDescent="0.45">
      <c r="O223" s="2">
        <v>7</v>
      </c>
      <c r="P223" s="2">
        <v>7</v>
      </c>
      <c r="Q223" s="2">
        <v>8</v>
      </c>
      <c r="R223" s="2">
        <v>8</v>
      </c>
      <c r="S223" s="2">
        <v>9</v>
      </c>
      <c r="T223" s="2">
        <v>9</v>
      </c>
    </row>
    <row r="224" spans="15:20" x14ac:dyDescent="0.45">
      <c r="O224" s="2">
        <v>7</v>
      </c>
      <c r="P224" s="2">
        <v>7</v>
      </c>
      <c r="Q224" s="2">
        <v>8</v>
      </c>
      <c r="R224" s="2">
        <v>8</v>
      </c>
      <c r="S224" s="2">
        <v>9</v>
      </c>
      <c r="T224" s="2">
        <v>9</v>
      </c>
    </row>
    <row r="225" spans="15:20" x14ac:dyDescent="0.45">
      <c r="O225" s="2">
        <v>7</v>
      </c>
      <c r="P225" s="2">
        <v>7</v>
      </c>
      <c r="Q225" s="2">
        <v>8</v>
      </c>
      <c r="R225" s="2">
        <v>8</v>
      </c>
      <c r="S225" s="2">
        <v>9</v>
      </c>
      <c r="T225" s="2">
        <v>9</v>
      </c>
    </row>
    <row r="226" spans="15:20" x14ac:dyDescent="0.45">
      <c r="O226" s="2">
        <v>7</v>
      </c>
      <c r="P226" s="2">
        <v>7</v>
      </c>
      <c r="Q226" s="2">
        <v>8</v>
      </c>
      <c r="R226" s="2">
        <v>8</v>
      </c>
      <c r="S226" s="2">
        <v>9</v>
      </c>
      <c r="T226" s="2">
        <v>9</v>
      </c>
    </row>
    <row r="227" spans="15:20" x14ac:dyDescent="0.45">
      <c r="O227" s="2">
        <v>7</v>
      </c>
      <c r="P227" s="2">
        <v>7</v>
      </c>
      <c r="Q227" s="2">
        <v>8</v>
      </c>
      <c r="R227" s="2">
        <v>8</v>
      </c>
      <c r="S227" s="2">
        <v>9</v>
      </c>
      <c r="T227" s="2">
        <v>9</v>
      </c>
    </row>
    <row r="228" spans="15:20" x14ac:dyDescent="0.45">
      <c r="O228" s="2">
        <v>7</v>
      </c>
      <c r="P228" s="2">
        <v>7</v>
      </c>
      <c r="Q228" s="2">
        <v>8</v>
      </c>
      <c r="R228" s="2">
        <v>8</v>
      </c>
      <c r="S228" s="2">
        <v>9</v>
      </c>
      <c r="T228" s="2">
        <v>9</v>
      </c>
    </row>
    <row r="229" spans="15:20" x14ac:dyDescent="0.45">
      <c r="O229" s="2">
        <v>7</v>
      </c>
      <c r="P229" s="2">
        <v>7</v>
      </c>
      <c r="Q229" s="2">
        <v>8</v>
      </c>
      <c r="R229" s="2">
        <v>8</v>
      </c>
      <c r="S229" s="2">
        <v>9</v>
      </c>
      <c r="T229" s="2">
        <v>9</v>
      </c>
    </row>
    <row r="230" spans="15:20" x14ac:dyDescent="0.45">
      <c r="O230" s="2">
        <v>7</v>
      </c>
      <c r="P230" s="2">
        <v>7</v>
      </c>
      <c r="Q230" s="2">
        <v>8</v>
      </c>
      <c r="R230" s="2">
        <v>8</v>
      </c>
      <c r="S230" s="2">
        <v>9</v>
      </c>
      <c r="T230" s="2">
        <v>9</v>
      </c>
    </row>
    <row r="231" spans="15:20" x14ac:dyDescent="0.45">
      <c r="O231" s="2">
        <v>7</v>
      </c>
      <c r="P231" s="2">
        <v>7</v>
      </c>
      <c r="Q231" s="2">
        <v>8</v>
      </c>
      <c r="R231" s="2">
        <v>8</v>
      </c>
      <c r="S231" s="2">
        <v>9</v>
      </c>
      <c r="T231" s="2">
        <v>9</v>
      </c>
    </row>
    <row r="232" spans="15:20" x14ac:dyDescent="0.45">
      <c r="O232" s="2">
        <v>7</v>
      </c>
      <c r="P232" s="2">
        <v>7</v>
      </c>
      <c r="Q232" s="2">
        <v>8</v>
      </c>
      <c r="R232" s="2">
        <v>8</v>
      </c>
      <c r="S232" s="2">
        <v>9</v>
      </c>
      <c r="T232" s="2">
        <v>9</v>
      </c>
    </row>
    <row r="233" spans="15:20" x14ac:dyDescent="0.45">
      <c r="O233" s="2">
        <v>7</v>
      </c>
      <c r="P233" s="2">
        <v>7</v>
      </c>
      <c r="Q233" s="2">
        <v>8</v>
      </c>
      <c r="R233" s="2">
        <v>8</v>
      </c>
      <c r="S233" s="2">
        <v>9</v>
      </c>
      <c r="T233" s="2">
        <v>9</v>
      </c>
    </row>
    <row r="234" spans="15:20" x14ac:dyDescent="0.45">
      <c r="O234" s="2">
        <v>7</v>
      </c>
      <c r="P234" s="2">
        <v>7</v>
      </c>
      <c r="Q234" s="2">
        <v>8</v>
      </c>
      <c r="R234" s="2">
        <v>8</v>
      </c>
      <c r="S234" s="2">
        <v>9</v>
      </c>
      <c r="T234" s="2">
        <v>9</v>
      </c>
    </row>
    <row r="235" spans="15:20" x14ac:dyDescent="0.45">
      <c r="O235" s="2">
        <v>7</v>
      </c>
      <c r="P235" s="2">
        <v>7</v>
      </c>
      <c r="Q235" s="2">
        <v>8</v>
      </c>
      <c r="R235" s="2">
        <v>8</v>
      </c>
      <c r="S235" s="2">
        <v>9</v>
      </c>
      <c r="T235" s="2">
        <v>9</v>
      </c>
    </row>
    <row r="236" spans="15:20" x14ac:dyDescent="0.45">
      <c r="O236" s="2">
        <v>7</v>
      </c>
      <c r="P236" s="2">
        <v>7</v>
      </c>
      <c r="Q236" s="2">
        <v>8</v>
      </c>
      <c r="R236" s="2">
        <v>8</v>
      </c>
      <c r="S236" s="2">
        <v>9</v>
      </c>
      <c r="T236" s="2">
        <v>9</v>
      </c>
    </row>
    <row r="237" spans="15:20" x14ac:dyDescent="0.45">
      <c r="O237" s="2">
        <v>7</v>
      </c>
      <c r="P237" s="2">
        <v>7</v>
      </c>
      <c r="Q237" s="2">
        <v>8</v>
      </c>
      <c r="R237" s="2">
        <v>8</v>
      </c>
      <c r="S237" s="2">
        <v>9</v>
      </c>
      <c r="T237" s="2">
        <v>9</v>
      </c>
    </row>
    <row r="238" spans="15:20" x14ac:dyDescent="0.45">
      <c r="O238" s="2">
        <v>7</v>
      </c>
      <c r="P238" s="2">
        <v>7</v>
      </c>
      <c r="Q238" s="2">
        <v>8</v>
      </c>
      <c r="R238" s="2">
        <v>8</v>
      </c>
      <c r="S238" s="2">
        <v>9</v>
      </c>
      <c r="T238" s="2">
        <v>9</v>
      </c>
    </row>
    <row r="239" spans="15:20" x14ac:dyDescent="0.45">
      <c r="O239" s="2">
        <v>7</v>
      </c>
      <c r="P239" s="2">
        <v>7</v>
      </c>
      <c r="Q239" s="2">
        <v>8</v>
      </c>
      <c r="R239" s="2">
        <v>8</v>
      </c>
      <c r="S239" s="2">
        <v>9</v>
      </c>
      <c r="T239" s="2">
        <v>9</v>
      </c>
    </row>
    <row r="240" spans="15:20" x14ac:dyDescent="0.45">
      <c r="O240" s="2">
        <v>7</v>
      </c>
      <c r="P240" s="2">
        <v>7</v>
      </c>
      <c r="Q240" s="2">
        <v>8</v>
      </c>
      <c r="R240" s="2">
        <v>8</v>
      </c>
      <c r="S240" s="2">
        <v>9</v>
      </c>
      <c r="T240" s="2">
        <v>9</v>
      </c>
    </row>
    <row r="241" spans="15:20" x14ac:dyDescent="0.45">
      <c r="O241" s="2">
        <v>7</v>
      </c>
      <c r="P241" s="2">
        <v>7</v>
      </c>
      <c r="Q241" s="2">
        <v>8</v>
      </c>
      <c r="R241" s="2">
        <v>8</v>
      </c>
      <c r="S241" s="2">
        <v>9</v>
      </c>
      <c r="T241" s="2">
        <v>9</v>
      </c>
    </row>
    <row r="242" spans="15:20" x14ac:dyDescent="0.45">
      <c r="O242" s="2">
        <v>7</v>
      </c>
      <c r="P242" s="2">
        <v>7</v>
      </c>
      <c r="Q242" s="2">
        <v>8</v>
      </c>
      <c r="R242" s="2">
        <v>8</v>
      </c>
      <c r="S242" s="2">
        <v>9</v>
      </c>
      <c r="T242" s="2">
        <v>9</v>
      </c>
    </row>
    <row r="243" spans="15:20" x14ac:dyDescent="0.45">
      <c r="O243" s="2">
        <v>7</v>
      </c>
      <c r="P243" s="2">
        <v>7</v>
      </c>
      <c r="Q243" s="2">
        <v>8</v>
      </c>
      <c r="R243" s="2">
        <v>8</v>
      </c>
      <c r="S243" s="2">
        <v>9</v>
      </c>
      <c r="T243" s="2">
        <v>9</v>
      </c>
    </row>
    <row r="244" spans="15:20" x14ac:dyDescent="0.45">
      <c r="O244" s="2">
        <v>7</v>
      </c>
      <c r="P244" s="2">
        <v>7</v>
      </c>
      <c r="Q244" s="2">
        <v>8</v>
      </c>
      <c r="R244" s="2">
        <v>8</v>
      </c>
      <c r="S244" s="2">
        <v>9</v>
      </c>
      <c r="T244" s="2">
        <v>9</v>
      </c>
    </row>
    <row r="245" spans="15:20" x14ac:dyDescent="0.45">
      <c r="O245" s="2">
        <v>7</v>
      </c>
      <c r="P245" s="2">
        <v>7</v>
      </c>
      <c r="Q245" s="2">
        <v>8</v>
      </c>
      <c r="R245" s="2">
        <v>8</v>
      </c>
      <c r="S245" s="2">
        <v>9</v>
      </c>
      <c r="T245" s="2">
        <v>9</v>
      </c>
    </row>
    <row r="246" spans="15:20" x14ac:dyDescent="0.45">
      <c r="O246" s="2">
        <v>7</v>
      </c>
      <c r="P246" s="2">
        <v>7</v>
      </c>
      <c r="Q246" s="2">
        <v>8</v>
      </c>
      <c r="R246" s="2">
        <v>8</v>
      </c>
      <c r="S246" s="2">
        <v>9</v>
      </c>
      <c r="T246" s="2">
        <v>9</v>
      </c>
    </row>
    <row r="247" spans="15:20" x14ac:dyDescent="0.45">
      <c r="O247" s="2">
        <v>7</v>
      </c>
      <c r="P247" s="2">
        <v>7</v>
      </c>
      <c r="Q247" s="2">
        <v>8</v>
      </c>
      <c r="R247" s="2">
        <v>8</v>
      </c>
      <c r="S247" s="2">
        <v>9</v>
      </c>
      <c r="T247" s="2">
        <v>9</v>
      </c>
    </row>
    <row r="248" spans="15:20" x14ac:dyDescent="0.45">
      <c r="O248" s="2">
        <v>7</v>
      </c>
      <c r="P248" s="2">
        <v>7</v>
      </c>
      <c r="Q248" s="2">
        <v>8</v>
      </c>
      <c r="R248" s="2">
        <v>8</v>
      </c>
      <c r="S248" s="2">
        <v>9</v>
      </c>
      <c r="T248" s="2">
        <v>9</v>
      </c>
    </row>
    <row r="249" spans="15:20" x14ac:dyDescent="0.45">
      <c r="O249" s="2">
        <v>7</v>
      </c>
      <c r="P249" s="2">
        <v>7</v>
      </c>
      <c r="Q249" s="2">
        <v>8</v>
      </c>
      <c r="R249" s="2">
        <v>8</v>
      </c>
      <c r="S249" s="2">
        <v>9</v>
      </c>
      <c r="T249" s="2">
        <v>9</v>
      </c>
    </row>
    <row r="250" spans="15:20" x14ac:dyDescent="0.45">
      <c r="O250" s="2">
        <v>7</v>
      </c>
      <c r="P250" s="2">
        <v>7</v>
      </c>
      <c r="Q250" s="2">
        <v>8</v>
      </c>
      <c r="R250" s="2">
        <v>8</v>
      </c>
      <c r="S250" s="2">
        <v>9</v>
      </c>
      <c r="T250" s="2">
        <v>9</v>
      </c>
    </row>
    <row r="251" spans="15:20" x14ac:dyDescent="0.45">
      <c r="O251" s="2">
        <v>7</v>
      </c>
      <c r="P251" s="2">
        <v>7</v>
      </c>
      <c r="Q251" s="2">
        <v>8</v>
      </c>
      <c r="R251" s="2">
        <v>8</v>
      </c>
      <c r="S251" s="2">
        <v>9</v>
      </c>
      <c r="T251" s="2">
        <v>9</v>
      </c>
    </row>
    <row r="252" spans="15:20" x14ac:dyDescent="0.45">
      <c r="O252" s="2">
        <v>7</v>
      </c>
      <c r="P252" s="2">
        <v>7</v>
      </c>
      <c r="Q252" s="2">
        <v>8</v>
      </c>
      <c r="R252" s="2">
        <v>8</v>
      </c>
      <c r="S252" s="2">
        <v>9</v>
      </c>
      <c r="T252" s="2">
        <v>9</v>
      </c>
    </row>
    <row r="253" spans="15:20" x14ac:dyDescent="0.45">
      <c r="O253" s="2">
        <v>7</v>
      </c>
      <c r="P253" s="2">
        <v>7</v>
      </c>
      <c r="Q253" s="2">
        <v>8</v>
      </c>
      <c r="R253" s="2">
        <v>8</v>
      </c>
      <c r="S253" s="2">
        <v>9</v>
      </c>
      <c r="T253" s="2">
        <v>9</v>
      </c>
    </row>
    <row r="254" spans="15:20" x14ac:dyDescent="0.45">
      <c r="O254" s="2">
        <v>7</v>
      </c>
      <c r="P254" s="2">
        <v>7</v>
      </c>
      <c r="Q254" s="2">
        <v>8</v>
      </c>
      <c r="R254" s="2">
        <v>8</v>
      </c>
      <c r="S254" s="2">
        <v>9</v>
      </c>
      <c r="T254" s="2">
        <v>9</v>
      </c>
    </row>
    <row r="255" spans="15:20" x14ac:dyDescent="0.45">
      <c r="O255" s="2">
        <v>7</v>
      </c>
      <c r="P255" s="2">
        <v>7</v>
      </c>
      <c r="Q255" s="2">
        <v>8</v>
      </c>
      <c r="R255" s="2">
        <v>8</v>
      </c>
      <c r="S255" s="2">
        <v>9</v>
      </c>
      <c r="T255" s="2">
        <v>9</v>
      </c>
    </row>
    <row r="256" spans="15:20" x14ac:dyDescent="0.45">
      <c r="O256" s="2">
        <v>7</v>
      </c>
      <c r="P256" s="2">
        <v>7</v>
      </c>
      <c r="Q256" s="2">
        <v>8</v>
      </c>
      <c r="R256" s="2">
        <v>8</v>
      </c>
      <c r="S256" s="2">
        <v>9</v>
      </c>
      <c r="T256" s="2">
        <v>9</v>
      </c>
    </row>
    <row r="257" spans="15:20" x14ac:dyDescent="0.45">
      <c r="O257" s="2">
        <v>7</v>
      </c>
      <c r="P257" s="2">
        <v>7</v>
      </c>
      <c r="Q257" s="2">
        <v>8</v>
      </c>
      <c r="R257" s="2">
        <v>8</v>
      </c>
      <c r="S257" s="2">
        <v>9</v>
      </c>
      <c r="T257" s="2">
        <v>9</v>
      </c>
    </row>
    <row r="258" spans="15:20" x14ac:dyDescent="0.45">
      <c r="O258" s="2">
        <v>7</v>
      </c>
      <c r="P258" s="2">
        <v>7</v>
      </c>
      <c r="Q258" s="2">
        <v>8</v>
      </c>
      <c r="R258" s="2">
        <v>8</v>
      </c>
      <c r="S258" s="2">
        <v>9</v>
      </c>
      <c r="T258" s="2">
        <v>9</v>
      </c>
    </row>
    <row r="259" spans="15:20" x14ac:dyDescent="0.45">
      <c r="O259" s="2">
        <v>7</v>
      </c>
      <c r="P259" s="2">
        <v>7</v>
      </c>
      <c r="Q259" s="2">
        <v>8</v>
      </c>
      <c r="R259" s="2">
        <v>8</v>
      </c>
      <c r="S259" s="2">
        <v>9</v>
      </c>
      <c r="T259" s="2">
        <v>9</v>
      </c>
    </row>
    <row r="260" spans="15:20" x14ac:dyDescent="0.45">
      <c r="O260" s="2">
        <v>7</v>
      </c>
      <c r="P260" s="2">
        <v>7</v>
      </c>
      <c r="Q260" s="2">
        <v>8</v>
      </c>
      <c r="R260" s="2">
        <v>8</v>
      </c>
      <c r="S260" s="2">
        <v>9</v>
      </c>
      <c r="T260" s="2">
        <v>9</v>
      </c>
    </row>
    <row r="261" spans="15:20" x14ac:dyDescent="0.45">
      <c r="O261" s="2">
        <v>7</v>
      </c>
      <c r="P261" s="2">
        <v>7</v>
      </c>
      <c r="Q261" s="2">
        <v>8</v>
      </c>
      <c r="R261" s="2">
        <v>8</v>
      </c>
      <c r="S261" s="2">
        <v>9</v>
      </c>
      <c r="T261" s="2">
        <v>9</v>
      </c>
    </row>
    <row r="262" spans="15:20" x14ac:dyDescent="0.45">
      <c r="O262" s="2">
        <v>7</v>
      </c>
      <c r="P262" s="2">
        <v>7</v>
      </c>
      <c r="Q262" s="2">
        <v>8</v>
      </c>
      <c r="R262" s="2">
        <v>8</v>
      </c>
      <c r="S262" s="2">
        <v>9</v>
      </c>
      <c r="T262" s="2">
        <v>9</v>
      </c>
    </row>
    <row r="263" spans="15:20" x14ac:dyDescent="0.45">
      <c r="O263" s="2">
        <v>7</v>
      </c>
      <c r="P263" s="2">
        <v>7</v>
      </c>
      <c r="Q263" s="2">
        <v>8</v>
      </c>
      <c r="R263" s="2">
        <v>8</v>
      </c>
      <c r="S263" s="2">
        <v>9</v>
      </c>
      <c r="T263" s="2">
        <v>9</v>
      </c>
    </row>
    <row r="264" spans="15:20" x14ac:dyDescent="0.45">
      <c r="O264" s="2">
        <v>7</v>
      </c>
      <c r="P264" s="2">
        <v>7</v>
      </c>
      <c r="Q264" s="2">
        <v>8</v>
      </c>
      <c r="R264" s="2">
        <v>8</v>
      </c>
      <c r="S264" s="2">
        <v>9</v>
      </c>
      <c r="T264" s="2">
        <v>9</v>
      </c>
    </row>
    <row r="265" spans="15:20" x14ac:dyDescent="0.45">
      <c r="O265" s="2">
        <v>7</v>
      </c>
      <c r="P265" s="2">
        <v>7</v>
      </c>
      <c r="Q265" s="2">
        <v>8</v>
      </c>
      <c r="R265" s="2">
        <v>8</v>
      </c>
      <c r="S265" s="2">
        <v>9</v>
      </c>
      <c r="T265" s="2">
        <v>9</v>
      </c>
    </row>
    <row r="266" spans="15:20" x14ac:dyDescent="0.45">
      <c r="O266" s="2">
        <v>7</v>
      </c>
      <c r="P266" s="2">
        <v>7</v>
      </c>
      <c r="Q266" s="2">
        <v>8</v>
      </c>
      <c r="R266" s="2">
        <v>8</v>
      </c>
      <c r="S266" s="2">
        <v>9</v>
      </c>
      <c r="T266" s="2">
        <v>9</v>
      </c>
    </row>
    <row r="267" spans="15:20" x14ac:dyDescent="0.45">
      <c r="O267" s="2">
        <v>7</v>
      </c>
      <c r="P267" s="2">
        <v>7</v>
      </c>
      <c r="Q267" s="2">
        <v>8</v>
      </c>
      <c r="R267" s="2">
        <v>8</v>
      </c>
      <c r="S267" s="2">
        <v>9</v>
      </c>
      <c r="T267" s="2">
        <v>9</v>
      </c>
    </row>
    <row r="268" spans="15:20" x14ac:dyDescent="0.45">
      <c r="O268" s="2">
        <v>7</v>
      </c>
      <c r="P268" s="2">
        <v>7</v>
      </c>
      <c r="Q268" s="2">
        <v>8</v>
      </c>
      <c r="R268" s="2">
        <v>8</v>
      </c>
      <c r="S268" s="2">
        <v>9</v>
      </c>
      <c r="T268" s="2">
        <v>9</v>
      </c>
    </row>
    <row r="269" spans="15:20" x14ac:dyDescent="0.45">
      <c r="O269" s="2">
        <v>7</v>
      </c>
      <c r="P269" s="2">
        <v>7</v>
      </c>
      <c r="Q269" s="2">
        <v>8</v>
      </c>
      <c r="R269" s="2">
        <v>8</v>
      </c>
      <c r="S269" s="2">
        <v>9</v>
      </c>
      <c r="T269" s="2">
        <v>9</v>
      </c>
    </row>
    <row r="270" spans="15:20" x14ac:dyDescent="0.45">
      <c r="O270" s="2">
        <v>7</v>
      </c>
      <c r="P270" s="2">
        <v>7</v>
      </c>
      <c r="Q270" s="2">
        <v>8</v>
      </c>
      <c r="R270" s="2">
        <v>8</v>
      </c>
      <c r="S270" s="2">
        <v>9</v>
      </c>
      <c r="T270" s="2">
        <v>9</v>
      </c>
    </row>
    <row r="271" spans="15:20" x14ac:dyDescent="0.45">
      <c r="O271" s="2">
        <v>7</v>
      </c>
      <c r="P271" s="2">
        <v>7</v>
      </c>
      <c r="Q271" s="2">
        <v>8</v>
      </c>
      <c r="R271" s="2">
        <v>8</v>
      </c>
      <c r="S271" s="2">
        <v>9</v>
      </c>
      <c r="T271" s="2">
        <v>9</v>
      </c>
    </row>
    <row r="272" spans="15:20" x14ac:dyDescent="0.45">
      <c r="O272" s="2">
        <v>7</v>
      </c>
      <c r="P272" s="2">
        <v>7</v>
      </c>
      <c r="Q272" s="2">
        <v>8</v>
      </c>
      <c r="R272" s="2">
        <v>8</v>
      </c>
      <c r="S272" s="2">
        <v>9</v>
      </c>
      <c r="T272" s="2">
        <v>9</v>
      </c>
    </row>
    <row r="273" spans="15:20" x14ac:dyDescent="0.45">
      <c r="O273" s="2">
        <v>7</v>
      </c>
      <c r="P273" s="2">
        <v>7</v>
      </c>
      <c r="Q273" s="2">
        <v>8</v>
      </c>
      <c r="R273" s="2">
        <v>8</v>
      </c>
      <c r="S273" s="2">
        <v>9</v>
      </c>
      <c r="T273" s="2">
        <v>9</v>
      </c>
    </row>
    <row r="274" spans="15:20" x14ac:dyDescent="0.45">
      <c r="O274" s="2">
        <v>7</v>
      </c>
      <c r="P274" s="2">
        <v>7</v>
      </c>
      <c r="Q274" s="2">
        <v>8</v>
      </c>
      <c r="R274" s="2">
        <v>8</v>
      </c>
      <c r="S274" s="2">
        <v>9</v>
      </c>
      <c r="T274" s="2">
        <v>9</v>
      </c>
    </row>
    <row r="275" spans="15:20" x14ac:dyDescent="0.45">
      <c r="O275" s="2">
        <v>7</v>
      </c>
      <c r="P275" s="2">
        <v>7</v>
      </c>
      <c r="Q275" s="2">
        <v>8</v>
      </c>
      <c r="R275" s="2">
        <v>8</v>
      </c>
      <c r="S275" s="2">
        <v>9</v>
      </c>
      <c r="T275" s="2">
        <v>9</v>
      </c>
    </row>
    <row r="276" spans="15:20" x14ac:dyDescent="0.45">
      <c r="O276" s="2">
        <v>7</v>
      </c>
      <c r="P276" s="2">
        <v>7</v>
      </c>
      <c r="Q276" s="2">
        <v>8</v>
      </c>
      <c r="R276" s="2">
        <v>8</v>
      </c>
      <c r="S276" s="2">
        <v>9</v>
      </c>
      <c r="T276" s="2">
        <v>9</v>
      </c>
    </row>
    <row r="277" spans="15:20" x14ac:dyDescent="0.45">
      <c r="O277" s="2">
        <v>7</v>
      </c>
      <c r="P277" s="2">
        <v>7</v>
      </c>
      <c r="Q277" s="2">
        <v>8</v>
      </c>
      <c r="R277" s="2">
        <v>8</v>
      </c>
      <c r="S277" s="2">
        <v>9</v>
      </c>
      <c r="T277" s="2">
        <v>9</v>
      </c>
    </row>
    <row r="278" spans="15:20" x14ac:dyDescent="0.45">
      <c r="O278" s="2">
        <v>7</v>
      </c>
      <c r="P278" s="2">
        <v>7</v>
      </c>
      <c r="Q278" s="2">
        <v>8</v>
      </c>
      <c r="R278" s="2">
        <v>8</v>
      </c>
      <c r="S278" s="2">
        <v>9</v>
      </c>
      <c r="T278" s="2">
        <v>9</v>
      </c>
    </row>
    <row r="279" spans="15:20" x14ac:dyDescent="0.45">
      <c r="O279" s="2">
        <v>7</v>
      </c>
      <c r="P279" s="2">
        <v>7</v>
      </c>
      <c r="Q279" s="2">
        <v>8</v>
      </c>
      <c r="R279" s="2">
        <v>8</v>
      </c>
      <c r="S279" s="2">
        <v>9</v>
      </c>
      <c r="T279" s="2">
        <v>9</v>
      </c>
    </row>
    <row r="280" spans="15:20" x14ac:dyDescent="0.45">
      <c r="O280" s="2">
        <v>7</v>
      </c>
      <c r="P280" s="2">
        <v>7</v>
      </c>
      <c r="Q280" s="2">
        <v>8</v>
      </c>
      <c r="R280" s="2">
        <v>8</v>
      </c>
      <c r="S280" s="2">
        <v>9</v>
      </c>
      <c r="T280" s="2">
        <v>9</v>
      </c>
    </row>
    <row r="281" spans="15:20" x14ac:dyDescent="0.45">
      <c r="O281" s="2">
        <v>7</v>
      </c>
      <c r="P281" s="2">
        <v>7</v>
      </c>
      <c r="Q281" s="2">
        <v>8</v>
      </c>
      <c r="R281" s="2">
        <v>8</v>
      </c>
      <c r="S281" s="2">
        <v>9</v>
      </c>
      <c r="T281" s="2">
        <v>9</v>
      </c>
    </row>
    <row r="282" spans="15:20" x14ac:dyDescent="0.45">
      <c r="O282" s="2">
        <v>7</v>
      </c>
      <c r="P282" s="2">
        <v>7</v>
      </c>
      <c r="Q282" s="2">
        <v>8</v>
      </c>
      <c r="R282" s="2">
        <v>8</v>
      </c>
      <c r="S282" s="2">
        <v>9</v>
      </c>
      <c r="T282" s="2">
        <v>9</v>
      </c>
    </row>
    <row r="283" spans="15:20" x14ac:dyDescent="0.45">
      <c r="O283" s="2">
        <v>7</v>
      </c>
      <c r="P283" s="2">
        <v>7</v>
      </c>
      <c r="Q283" s="2">
        <v>8</v>
      </c>
      <c r="R283" s="2">
        <v>8</v>
      </c>
      <c r="S283" s="2">
        <v>9</v>
      </c>
      <c r="T283" s="2">
        <v>9</v>
      </c>
    </row>
    <row r="284" spans="15:20" x14ac:dyDescent="0.45">
      <c r="O284" s="2">
        <v>7</v>
      </c>
      <c r="P284" s="2">
        <v>7</v>
      </c>
      <c r="Q284" s="2">
        <v>8</v>
      </c>
      <c r="R284" s="2">
        <v>8</v>
      </c>
      <c r="S284" s="2">
        <v>9</v>
      </c>
      <c r="T284" s="2">
        <v>9</v>
      </c>
    </row>
    <row r="285" spans="15:20" x14ac:dyDescent="0.45">
      <c r="O285" s="2">
        <v>7</v>
      </c>
      <c r="P285" s="2">
        <v>7</v>
      </c>
      <c r="Q285" s="2">
        <v>8</v>
      </c>
      <c r="R285" s="2">
        <v>8</v>
      </c>
      <c r="S285" s="2">
        <v>9</v>
      </c>
      <c r="T285" s="2">
        <v>9</v>
      </c>
    </row>
    <row r="286" spans="15:20" x14ac:dyDescent="0.45">
      <c r="O286" s="2">
        <v>7</v>
      </c>
      <c r="P286" s="2">
        <v>7</v>
      </c>
      <c r="Q286" s="2">
        <v>8</v>
      </c>
      <c r="R286" s="2">
        <v>8</v>
      </c>
      <c r="S286" s="2">
        <v>9</v>
      </c>
      <c r="T286" s="2">
        <v>9</v>
      </c>
    </row>
    <row r="287" spans="15:20" x14ac:dyDescent="0.45">
      <c r="O287" s="2">
        <v>7</v>
      </c>
      <c r="P287" s="2">
        <v>7</v>
      </c>
      <c r="Q287" s="2">
        <v>8</v>
      </c>
      <c r="R287" s="2">
        <v>8</v>
      </c>
      <c r="S287" s="2">
        <v>9</v>
      </c>
      <c r="T287" s="2">
        <v>9</v>
      </c>
    </row>
    <row r="288" spans="15:20" x14ac:dyDescent="0.45">
      <c r="O288" s="2">
        <v>7</v>
      </c>
      <c r="P288" s="2">
        <v>7</v>
      </c>
      <c r="Q288" s="2">
        <v>8</v>
      </c>
      <c r="R288" s="2">
        <v>8</v>
      </c>
      <c r="S288" s="2">
        <v>9</v>
      </c>
      <c r="T288" s="2">
        <v>9</v>
      </c>
    </row>
    <row r="289" spans="15:20" x14ac:dyDescent="0.45">
      <c r="O289" s="2">
        <v>7</v>
      </c>
      <c r="P289" s="2">
        <v>7</v>
      </c>
      <c r="Q289" s="2">
        <v>8</v>
      </c>
      <c r="R289" s="2">
        <v>8</v>
      </c>
      <c r="S289" s="2">
        <v>9</v>
      </c>
      <c r="T289" s="2">
        <v>9</v>
      </c>
    </row>
    <row r="290" spans="15:20" x14ac:dyDescent="0.45">
      <c r="O290" s="2">
        <v>7</v>
      </c>
      <c r="P290" s="2">
        <v>7</v>
      </c>
      <c r="Q290" s="2">
        <v>8</v>
      </c>
      <c r="R290" s="2">
        <v>8</v>
      </c>
      <c r="S290" s="2">
        <v>9</v>
      </c>
      <c r="T290" s="2">
        <v>9</v>
      </c>
    </row>
    <row r="291" spans="15:20" x14ac:dyDescent="0.45">
      <c r="O291" s="2">
        <v>7</v>
      </c>
      <c r="P291" s="2">
        <v>7</v>
      </c>
      <c r="Q291" s="2">
        <v>8</v>
      </c>
      <c r="R291" s="2">
        <v>8</v>
      </c>
      <c r="S291" s="2">
        <v>9</v>
      </c>
      <c r="T291" s="2">
        <v>9</v>
      </c>
    </row>
    <row r="292" spans="15:20" x14ac:dyDescent="0.45">
      <c r="O292" s="2">
        <v>7</v>
      </c>
      <c r="P292" s="2">
        <v>7</v>
      </c>
      <c r="Q292" s="2">
        <v>8</v>
      </c>
      <c r="R292" s="2">
        <v>8</v>
      </c>
      <c r="S292" s="2">
        <v>9</v>
      </c>
      <c r="T292" s="2">
        <v>9</v>
      </c>
    </row>
    <row r="293" spans="15:20" x14ac:dyDescent="0.45">
      <c r="O293" s="2">
        <v>7</v>
      </c>
      <c r="P293" s="2">
        <v>7</v>
      </c>
      <c r="Q293" s="2">
        <v>8</v>
      </c>
      <c r="R293" s="2">
        <v>8</v>
      </c>
      <c r="S293" s="2">
        <v>9</v>
      </c>
      <c r="T293" s="2">
        <v>9</v>
      </c>
    </row>
    <row r="294" spans="15:20" x14ac:dyDescent="0.45">
      <c r="O294" s="2">
        <v>7</v>
      </c>
      <c r="P294" s="2">
        <v>7</v>
      </c>
      <c r="Q294" s="2">
        <v>8</v>
      </c>
      <c r="R294" s="2">
        <v>8</v>
      </c>
      <c r="S294" s="2">
        <v>9</v>
      </c>
      <c r="T294" s="2">
        <v>9</v>
      </c>
    </row>
    <row r="295" spans="15:20" x14ac:dyDescent="0.45">
      <c r="O295" s="2">
        <v>7</v>
      </c>
      <c r="P295" s="2">
        <v>7</v>
      </c>
      <c r="Q295" s="2">
        <v>8</v>
      </c>
      <c r="R295" s="2">
        <v>8</v>
      </c>
      <c r="S295" s="2">
        <v>9</v>
      </c>
      <c r="T295" s="2">
        <v>9</v>
      </c>
    </row>
    <row r="296" spans="15:20" x14ac:dyDescent="0.45">
      <c r="O296" s="2">
        <v>7</v>
      </c>
      <c r="P296" s="2">
        <v>7</v>
      </c>
      <c r="Q296" s="2">
        <v>8</v>
      </c>
      <c r="R296" s="2">
        <v>8</v>
      </c>
      <c r="S296" s="2">
        <v>9</v>
      </c>
      <c r="T296" s="2">
        <v>9</v>
      </c>
    </row>
    <row r="297" spans="15:20" x14ac:dyDescent="0.45">
      <c r="O297" s="2">
        <v>7</v>
      </c>
      <c r="P297" s="2">
        <v>7</v>
      </c>
      <c r="Q297" s="2">
        <v>8</v>
      </c>
      <c r="R297" s="2">
        <v>8</v>
      </c>
      <c r="S297" s="2">
        <v>9</v>
      </c>
      <c r="T297" s="2">
        <v>9</v>
      </c>
    </row>
    <row r="298" spans="15:20" x14ac:dyDescent="0.45">
      <c r="O298" s="2">
        <v>7</v>
      </c>
      <c r="P298" s="2">
        <v>7</v>
      </c>
      <c r="Q298" s="2">
        <v>8</v>
      </c>
      <c r="R298" s="2">
        <v>8</v>
      </c>
      <c r="S298" s="2">
        <v>9</v>
      </c>
      <c r="T298" s="2">
        <v>9</v>
      </c>
    </row>
    <row r="299" spans="15:20" x14ac:dyDescent="0.45">
      <c r="O299" s="2">
        <v>7</v>
      </c>
      <c r="P299" s="2">
        <v>7</v>
      </c>
      <c r="Q299" s="2">
        <v>8</v>
      </c>
      <c r="R299" s="2">
        <v>8</v>
      </c>
      <c r="S299" s="2">
        <v>9</v>
      </c>
      <c r="T299" s="2">
        <v>9</v>
      </c>
    </row>
    <row r="300" spans="15:20" x14ac:dyDescent="0.45">
      <c r="O300" s="2">
        <v>7</v>
      </c>
      <c r="P300" s="2">
        <v>7</v>
      </c>
      <c r="Q300" s="2">
        <v>8</v>
      </c>
      <c r="R300" s="2">
        <v>8</v>
      </c>
      <c r="S300" s="2">
        <v>9</v>
      </c>
      <c r="T300" s="2">
        <v>9</v>
      </c>
    </row>
    <row r="301" spans="15:20" x14ac:dyDescent="0.45">
      <c r="O301" s="2">
        <v>7</v>
      </c>
      <c r="P301" s="2">
        <v>7</v>
      </c>
      <c r="Q301" s="2">
        <v>8</v>
      </c>
      <c r="R301" s="2">
        <v>8</v>
      </c>
      <c r="S301" s="2">
        <v>9</v>
      </c>
      <c r="T301" s="2">
        <v>9</v>
      </c>
    </row>
    <row r="302" spans="15:20" x14ac:dyDescent="0.45">
      <c r="O302" s="2">
        <v>7</v>
      </c>
      <c r="P302" s="2">
        <v>7</v>
      </c>
      <c r="Q302" s="2">
        <v>8</v>
      </c>
      <c r="R302" s="2">
        <v>8</v>
      </c>
      <c r="S302" s="2">
        <v>9</v>
      </c>
      <c r="T302" s="2">
        <v>9</v>
      </c>
    </row>
    <row r="303" spans="15:20" x14ac:dyDescent="0.45">
      <c r="O303" s="2">
        <v>7</v>
      </c>
      <c r="P303" s="2">
        <v>7</v>
      </c>
      <c r="Q303" s="2">
        <v>8</v>
      </c>
      <c r="R303" s="2">
        <v>8</v>
      </c>
      <c r="S303" s="2">
        <v>9</v>
      </c>
      <c r="T303" s="2">
        <v>9</v>
      </c>
    </row>
    <row r="304" spans="15:20" x14ac:dyDescent="0.45">
      <c r="O304" s="2">
        <v>7</v>
      </c>
      <c r="P304" s="2">
        <v>7</v>
      </c>
      <c r="Q304" s="2">
        <v>8</v>
      </c>
      <c r="R304" s="2">
        <v>8</v>
      </c>
      <c r="S304" s="2">
        <v>9</v>
      </c>
      <c r="T304" s="2">
        <v>9</v>
      </c>
    </row>
    <row r="305" spans="15:20" x14ac:dyDescent="0.45">
      <c r="O305" s="2">
        <v>7</v>
      </c>
      <c r="P305" s="2">
        <v>7</v>
      </c>
      <c r="Q305" s="2">
        <v>8</v>
      </c>
      <c r="R305" s="2">
        <v>8</v>
      </c>
      <c r="S305" s="2">
        <v>9</v>
      </c>
      <c r="T305" s="2">
        <v>9</v>
      </c>
    </row>
    <row r="306" spans="15:20" x14ac:dyDescent="0.45">
      <c r="O306" s="2">
        <v>7</v>
      </c>
      <c r="P306" s="2">
        <v>7</v>
      </c>
      <c r="Q306" s="2">
        <v>8</v>
      </c>
      <c r="R306" s="2">
        <v>8</v>
      </c>
      <c r="S306" s="2">
        <v>9</v>
      </c>
      <c r="T306" s="2">
        <v>9</v>
      </c>
    </row>
    <row r="307" spans="15:20" x14ac:dyDescent="0.45">
      <c r="O307" s="2">
        <v>7</v>
      </c>
      <c r="P307" s="2">
        <v>7</v>
      </c>
      <c r="Q307" s="2">
        <v>8</v>
      </c>
      <c r="R307" s="2">
        <v>8</v>
      </c>
      <c r="S307" s="2">
        <v>9</v>
      </c>
      <c r="T307" s="2">
        <v>9</v>
      </c>
    </row>
    <row r="308" spans="15:20" x14ac:dyDescent="0.45">
      <c r="O308" s="2">
        <v>7</v>
      </c>
      <c r="P308" s="2">
        <v>7</v>
      </c>
      <c r="Q308" s="2">
        <v>8</v>
      </c>
      <c r="R308" s="2">
        <v>8</v>
      </c>
      <c r="S308" s="2">
        <v>9</v>
      </c>
      <c r="T308" s="2">
        <v>9</v>
      </c>
    </row>
    <row r="309" spans="15:20" x14ac:dyDescent="0.45">
      <c r="O309" s="2">
        <v>7</v>
      </c>
      <c r="P309" s="2">
        <v>7</v>
      </c>
      <c r="Q309" s="2">
        <v>8</v>
      </c>
      <c r="R309" s="2">
        <v>8</v>
      </c>
      <c r="S309" s="2">
        <v>9</v>
      </c>
      <c r="T309" s="2">
        <v>9</v>
      </c>
    </row>
    <row r="310" spans="15:20" x14ac:dyDescent="0.45">
      <c r="O310" s="2">
        <v>7</v>
      </c>
      <c r="P310" s="2">
        <v>7</v>
      </c>
      <c r="Q310" s="2">
        <v>8</v>
      </c>
      <c r="R310" s="2">
        <v>8</v>
      </c>
      <c r="S310" s="2">
        <v>9</v>
      </c>
      <c r="T310" s="2">
        <v>9</v>
      </c>
    </row>
    <row r="311" spans="15:20" x14ac:dyDescent="0.45">
      <c r="O311" s="2">
        <v>7</v>
      </c>
      <c r="P311" s="2">
        <v>7</v>
      </c>
      <c r="Q311" s="2">
        <v>8</v>
      </c>
      <c r="R311" s="2">
        <v>8</v>
      </c>
      <c r="S311" s="2">
        <v>9</v>
      </c>
      <c r="T311" s="2">
        <v>9</v>
      </c>
    </row>
    <row r="312" spans="15:20" x14ac:dyDescent="0.45">
      <c r="O312" s="2">
        <v>7</v>
      </c>
      <c r="P312" s="2">
        <v>7</v>
      </c>
      <c r="Q312" s="2">
        <v>8</v>
      </c>
      <c r="R312" s="2">
        <v>8</v>
      </c>
      <c r="S312" s="2">
        <v>9</v>
      </c>
      <c r="T312" s="2">
        <v>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D15A-09A9-4478-9EC6-08D28BF05A9D}">
  <sheetPr>
    <tabColor rgb="FFC6DDFF"/>
  </sheetPr>
  <dimension ref="B2:S24"/>
  <sheetViews>
    <sheetView workbookViewId="0"/>
  </sheetViews>
  <sheetFormatPr defaultRowHeight="16.5" x14ac:dyDescent="0.45"/>
  <cols>
    <col min="1" max="1" width="5.08203125" customWidth="1"/>
    <col min="7" max="7" width="4.9140625" customWidth="1"/>
    <col min="8" max="8" width="3.75" customWidth="1"/>
  </cols>
  <sheetData>
    <row r="2" spans="2:19" x14ac:dyDescent="0.45">
      <c r="I2" s="38" t="s">
        <v>99</v>
      </c>
      <c r="O2" s="38" t="s">
        <v>100</v>
      </c>
    </row>
    <row r="3" spans="2:19" x14ac:dyDescent="0.45">
      <c r="I3" s="60" t="s">
        <v>197</v>
      </c>
      <c r="O3" s="60" t="s">
        <v>198</v>
      </c>
    </row>
    <row r="4" spans="2:19" x14ac:dyDescent="0.45">
      <c r="B4" s="20" t="s">
        <v>196</v>
      </c>
    </row>
    <row r="5" spans="2:19" x14ac:dyDescent="0.45">
      <c r="B5" s="70" t="s">
        <v>192</v>
      </c>
      <c r="C5" s="70" t="s">
        <v>194</v>
      </c>
      <c r="D5" s="70" t="s">
        <v>193</v>
      </c>
      <c r="E5" s="70" t="s">
        <v>192</v>
      </c>
      <c r="F5" s="70" t="s">
        <v>192</v>
      </c>
      <c r="I5" s="2" t="str" cm="1">
        <f t="array" ref="I5:M24">AlignRowsλ(Data)</f>
        <v>Bravo</v>
      </c>
      <c r="J5" s="2" t="str">
        <v>Charlie</v>
      </c>
      <c r="K5" s="2" t="str">
        <v>Delta</v>
      </c>
      <c r="L5" s="2" t="str">
        <v>Delta</v>
      </c>
      <c r="M5" s="2" t="str">
        <v>Delta</v>
      </c>
      <c r="O5" s="2" t="str" cm="1">
        <f t="array" ref="O5:S24">AlignColsλ(Data)</f>
        <v>Alpha</v>
      </c>
      <c r="P5" s="2" t="str">
        <v>Alpha</v>
      </c>
      <c r="Q5" s="2" t="str">
        <v>Alpha</v>
      </c>
      <c r="R5" s="2" t="str">
        <v>Alpha</v>
      </c>
      <c r="S5" s="2" t="str">
        <v>Alpha</v>
      </c>
    </row>
    <row r="6" spans="2:19" x14ac:dyDescent="0.45">
      <c r="B6" s="70" t="s">
        <v>193</v>
      </c>
      <c r="C6" s="70" t="s">
        <v>194</v>
      </c>
      <c r="D6" s="70" t="s">
        <v>195</v>
      </c>
      <c r="E6" s="70" t="s">
        <v>192</v>
      </c>
      <c r="F6" s="70" t="s">
        <v>194</v>
      </c>
      <c r="I6" s="2" t="str">
        <v>Alpha</v>
      </c>
      <c r="J6" s="2" t="str">
        <v>Bravo</v>
      </c>
      <c r="K6" s="2" t="str">
        <v>Bravo</v>
      </c>
      <c r="L6" s="2" t="str">
        <v>Charlie</v>
      </c>
      <c r="M6" s="2" t="str">
        <v>Delta</v>
      </c>
      <c r="O6" s="2" t="str">
        <v>Alpha</v>
      </c>
      <c r="P6" s="2" t="str">
        <v>Alpha</v>
      </c>
      <c r="Q6" s="2" t="str">
        <v>Bravo</v>
      </c>
      <c r="R6" s="2" t="str">
        <v>Alpha</v>
      </c>
      <c r="S6" s="2" t="str">
        <v>Alpha</v>
      </c>
    </row>
    <row r="7" spans="2:19" x14ac:dyDescent="0.45">
      <c r="B7" s="70" t="s">
        <v>192</v>
      </c>
      <c r="C7" s="70" t="s">
        <v>192</v>
      </c>
      <c r="D7" s="70" t="s">
        <v>194</v>
      </c>
      <c r="E7" s="70" t="s">
        <v>193</v>
      </c>
      <c r="F7" s="70" t="s">
        <v>194</v>
      </c>
      <c r="I7" s="2" t="str">
        <v>Bravo</v>
      </c>
      <c r="J7" s="2" t="str">
        <v>Bravo</v>
      </c>
      <c r="K7" s="2" t="str">
        <v>Charlie</v>
      </c>
      <c r="L7" s="2" t="str">
        <v>Delta</v>
      </c>
      <c r="M7" s="2" t="str">
        <v>Delta</v>
      </c>
      <c r="O7" s="2" t="str">
        <v>Alpha</v>
      </c>
      <c r="P7" s="2" t="str">
        <v>Alpha</v>
      </c>
      <c r="Q7" s="2" t="str">
        <v>Bravo</v>
      </c>
      <c r="R7" s="2" t="str">
        <v>Alpha</v>
      </c>
      <c r="S7" s="2" t="str">
        <v>Alpha</v>
      </c>
    </row>
    <row r="8" spans="2:19" x14ac:dyDescent="0.45">
      <c r="B8" s="70" t="s">
        <v>193</v>
      </c>
      <c r="C8" s="70" t="s">
        <v>192</v>
      </c>
      <c r="D8" s="70" t="s">
        <v>193</v>
      </c>
      <c r="E8" s="70" t="s">
        <v>194</v>
      </c>
      <c r="F8" s="70" t="s">
        <v>193</v>
      </c>
      <c r="I8" s="2" t="str">
        <v>Bravo</v>
      </c>
      <c r="J8" s="2" t="str">
        <v>Charlie</v>
      </c>
      <c r="K8" s="2" t="str">
        <v>Charlie</v>
      </c>
      <c r="L8" s="2" t="str">
        <v>Charlie</v>
      </c>
      <c r="M8" s="2" t="str">
        <v>Delta</v>
      </c>
      <c r="O8" s="2" t="str">
        <v>Bravo</v>
      </c>
      <c r="P8" s="2" t="str">
        <v>Alpha</v>
      </c>
      <c r="Q8" s="2" t="str">
        <v>Bravo</v>
      </c>
      <c r="R8" s="2" t="str">
        <v>Bravo</v>
      </c>
      <c r="S8" s="2" t="str">
        <v>Alpha</v>
      </c>
    </row>
    <row r="9" spans="2:19" x14ac:dyDescent="0.45">
      <c r="B9" s="70" t="s">
        <v>194</v>
      </c>
      <c r="C9" s="70" t="s">
        <v>192</v>
      </c>
      <c r="D9" s="70" t="s">
        <v>192</v>
      </c>
      <c r="E9" s="70" t="s">
        <v>195</v>
      </c>
      <c r="F9" s="70" t="s">
        <v>195</v>
      </c>
      <c r="I9" s="2" t="str">
        <v>Alpha</v>
      </c>
      <c r="J9" s="2" t="str">
        <v>Alpha</v>
      </c>
      <c r="K9" s="2" t="str">
        <v>Bravo</v>
      </c>
      <c r="L9" s="2" t="str">
        <v>Delta</v>
      </c>
      <c r="M9" s="2" t="str">
        <v>Delta</v>
      </c>
      <c r="O9" s="2" t="str">
        <v>Bravo</v>
      </c>
      <c r="P9" s="2" t="str">
        <v>Bravo</v>
      </c>
      <c r="Q9" s="2" t="str">
        <v>Bravo</v>
      </c>
      <c r="R9" s="2" t="str">
        <v>Bravo</v>
      </c>
      <c r="S9" s="2" t="str">
        <v>Alpha</v>
      </c>
    </row>
    <row r="10" spans="2:19" x14ac:dyDescent="0.45">
      <c r="B10" s="70" t="s">
        <v>193</v>
      </c>
      <c r="C10" s="70" t="s">
        <v>195</v>
      </c>
      <c r="D10" s="70" t="s">
        <v>192</v>
      </c>
      <c r="E10" s="70" t="s">
        <v>192</v>
      </c>
      <c r="F10" s="70" t="s">
        <v>194</v>
      </c>
      <c r="I10" s="2" t="str">
        <v>Alpha</v>
      </c>
      <c r="J10" s="2" t="str">
        <v>Bravo</v>
      </c>
      <c r="K10" s="2" t="str">
        <v>Charlie</v>
      </c>
      <c r="L10" s="2" t="str">
        <v>Delta</v>
      </c>
      <c r="M10" s="2" t="str">
        <v>Delta</v>
      </c>
      <c r="O10" s="2" t="str">
        <v>Bravo</v>
      </c>
      <c r="P10" s="2" t="str">
        <v>Bravo</v>
      </c>
      <c r="Q10" s="2" t="str">
        <v>Charlie</v>
      </c>
      <c r="R10" s="2" t="str">
        <v>Bravo</v>
      </c>
      <c r="S10" s="2" t="str">
        <v>Alpha</v>
      </c>
    </row>
    <row r="11" spans="2:19" x14ac:dyDescent="0.45">
      <c r="B11" s="70" t="s">
        <v>194</v>
      </c>
      <c r="C11" s="70" t="s">
        <v>195</v>
      </c>
      <c r="D11" s="70" t="s">
        <v>192</v>
      </c>
      <c r="E11" s="70" t="s">
        <v>192</v>
      </c>
      <c r="F11" s="70" t="s">
        <v>192</v>
      </c>
      <c r="I11" s="2" t="str">
        <v>Alpha</v>
      </c>
      <c r="J11" s="2" t="str">
        <v>Bravo</v>
      </c>
      <c r="K11" s="2" t="str">
        <v>Delta</v>
      </c>
      <c r="L11" s="2" t="str">
        <v>Delta</v>
      </c>
      <c r="M11" s="2" t="str">
        <v>Delta</v>
      </c>
      <c r="O11" s="2" t="str">
        <v>Bravo</v>
      </c>
      <c r="P11" s="2" t="str">
        <v>Bravo</v>
      </c>
      <c r="Q11" s="2" t="str">
        <v>Charlie</v>
      </c>
      <c r="R11" s="2" t="str">
        <v>Charlie</v>
      </c>
      <c r="S11" s="2" t="str">
        <v>Alpha</v>
      </c>
    </row>
    <row r="12" spans="2:19" x14ac:dyDescent="0.45">
      <c r="B12" s="70" t="s">
        <v>192</v>
      </c>
      <c r="C12" s="70" t="s">
        <v>193</v>
      </c>
      <c r="D12" s="70" t="s">
        <v>192</v>
      </c>
      <c r="E12" s="70" t="s">
        <v>192</v>
      </c>
      <c r="F12" s="70" t="s">
        <v>193</v>
      </c>
      <c r="I12" s="2" t="str">
        <v>Charlie</v>
      </c>
      <c r="J12" s="2" t="str">
        <v>Charlie</v>
      </c>
      <c r="K12" s="2" t="str">
        <v>Delta</v>
      </c>
      <c r="L12" s="2" t="str">
        <v>Delta</v>
      </c>
      <c r="M12" s="2" t="str">
        <v>Delta</v>
      </c>
      <c r="O12" s="2" t="str">
        <v>Bravo</v>
      </c>
      <c r="P12" s="2" t="str">
        <v>Charlie</v>
      </c>
      <c r="Q12" s="2" t="str">
        <v>Charlie</v>
      </c>
      <c r="R12" s="2" t="str">
        <v>Charlie</v>
      </c>
      <c r="S12" s="2" t="str">
        <v>Alpha</v>
      </c>
    </row>
    <row r="13" spans="2:19" x14ac:dyDescent="0.45">
      <c r="B13" s="70" t="s">
        <v>194</v>
      </c>
      <c r="C13" s="70" t="s">
        <v>192</v>
      </c>
      <c r="D13" s="70" t="s">
        <v>194</v>
      </c>
      <c r="E13" s="70" t="s">
        <v>192</v>
      </c>
      <c r="F13" s="70" t="s">
        <v>195</v>
      </c>
      <c r="I13" s="2" t="str">
        <v>Alpha</v>
      </c>
      <c r="J13" s="2" t="str">
        <v>Bravo</v>
      </c>
      <c r="K13" s="2" t="str">
        <v>Bravo</v>
      </c>
      <c r="L13" s="2" t="str">
        <v>Delta</v>
      </c>
      <c r="M13" s="2" t="str">
        <v>Delta</v>
      </c>
      <c r="O13" s="2" t="str">
        <v>Charlie</v>
      </c>
      <c r="P13" s="2" t="str">
        <v>Charlie</v>
      </c>
      <c r="Q13" s="2" t="str">
        <v>Charlie</v>
      </c>
      <c r="R13" s="2" t="str">
        <v>Charlie</v>
      </c>
      <c r="S13" s="2" t="str">
        <v>Bravo</v>
      </c>
    </row>
    <row r="14" spans="2:19" x14ac:dyDescent="0.45">
      <c r="B14" s="70" t="s">
        <v>194</v>
      </c>
      <c r="C14" s="70" t="s">
        <v>194</v>
      </c>
      <c r="D14" s="70" t="s">
        <v>192</v>
      </c>
      <c r="E14" s="70" t="s">
        <v>193</v>
      </c>
      <c r="F14" s="70" t="s">
        <v>192</v>
      </c>
      <c r="I14" s="2" t="str">
        <v>Bravo</v>
      </c>
      <c r="J14" s="2" t="str">
        <v>Bravo</v>
      </c>
      <c r="K14" s="2" t="str">
        <v>Charlie</v>
      </c>
      <c r="L14" s="2" t="str">
        <v>Delta</v>
      </c>
      <c r="M14" s="2" t="str">
        <v>Delta</v>
      </c>
      <c r="O14" s="2" t="str">
        <v>Charlie</v>
      </c>
      <c r="P14" s="2" t="str">
        <v>Charlie</v>
      </c>
      <c r="Q14" s="2" t="str">
        <v>Charlie</v>
      </c>
      <c r="R14" s="2" t="str">
        <v>Delta</v>
      </c>
      <c r="S14" s="2" t="str">
        <v>Bravo</v>
      </c>
    </row>
    <row r="15" spans="2:19" x14ac:dyDescent="0.45">
      <c r="B15" s="70" t="s">
        <v>195</v>
      </c>
      <c r="C15" s="70" t="s">
        <v>192</v>
      </c>
      <c r="D15" s="70" t="s">
        <v>193</v>
      </c>
      <c r="E15" s="70" t="s">
        <v>192</v>
      </c>
      <c r="F15" s="70" t="s">
        <v>195</v>
      </c>
      <c r="I15" s="2" t="str">
        <v>Alpha</v>
      </c>
      <c r="J15" s="2" t="str">
        <v>Alpha</v>
      </c>
      <c r="K15" s="2" t="str">
        <v>Charlie</v>
      </c>
      <c r="L15" s="2" t="str">
        <v>Delta</v>
      </c>
      <c r="M15" s="2" t="str">
        <v>Delta</v>
      </c>
      <c r="O15" s="2" t="str">
        <v>Charlie</v>
      </c>
      <c r="P15" s="2" t="str">
        <v>Delta</v>
      </c>
      <c r="Q15" s="2" t="str">
        <v>Charlie</v>
      </c>
      <c r="R15" s="2" t="str">
        <v>Delta</v>
      </c>
      <c r="S15" s="2" t="str">
        <v>Bravo</v>
      </c>
    </row>
    <row r="16" spans="2:19" x14ac:dyDescent="0.45">
      <c r="B16" s="70" t="s">
        <v>193</v>
      </c>
      <c r="C16" s="70" t="s">
        <v>192</v>
      </c>
      <c r="D16" s="70" t="s">
        <v>193</v>
      </c>
      <c r="E16" s="70" t="s">
        <v>194</v>
      </c>
      <c r="F16" s="70" t="s">
        <v>195</v>
      </c>
      <c r="I16" s="2" t="str">
        <v>Alpha</v>
      </c>
      <c r="J16" s="2" t="str">
        <v>Bravo</v>
      </c>
      <c r="K16" s="2" t="str">
        <v>Charlie</v>
      </c>
      <c r="L16" s="2" t="str">
        <v>Charlie</v>
      </c>
      <c r="M16" s="2" t="str">
        <v>Delta</v>
      </c>
      <c r="O16" s="2" t="str">
        <v>Charlie</v>
      </c>
      <c r="P16" s="2" t="str">
        <v>Delta</v>
      </c>
      <c r="Q16" s="2" t="str">
        <v>Delta</v>
      </c>
      <c r="R16" s="2" t="str">
        <v>Delta</v>
      </c>
      <c r="S16" s="2" t="str">
        <v>Charlie</v>
      </c>
    </row>
    <row r="17" spans="2:19" x14ac:dyDescent="0.45">
      <c r="B17" s="70" t="s">
        <v>193</v>
      </c>
      <c r="C17" s="70" t="s">
        <v>192</v>
      </c>
      <c r="D17" s="70" t="s">
        <v>192</v>
      </c>
      <c r="E17" s="70" t="s">
        <v>194</v>
      </c>
      <c r="F17" s="70" t="s">
        <v>195</v>
      </c>
      <c r="I17" s="2" t="str">
        <v>Alpha</v>
      </c>
      <c r="J17" s="2" t="str">
        <v>Bravo</v>
      </c>
      <c r="K17" s="2" t="str">
        <v>Charlie</v>
      </c>
      <c r="L17" s="2" t="str">
        <v>Delta</v>
      </c>
      <c r="M17" s="2" t="str">
        <v>Delta</v>
      </c>
      <c r="O17" s="2" t="str">
        <v>Charlie</v>
      </c>
      <c r="P17" s="2" t="str">
        <v>Delta</v>
      </c>
      <c r="Q17" s="2" t="str">
        <v>Delta</v>
      </c>
      <c r="R17" s="2" t="str">
        <v>Delta</v>
      </c>
      <c r="S17" s="2" t="str">
        <v>Charlie</v>
      </c>
    </row>
    <row r="18" spans="2:19" x14ac:dyDescent="0.45">
      <c r="B18" s="70" t="s">
        <v>193</v>
      </c>
      <c r="C18" s="70" t="s">
        <v>195</v>
      </c>
      <c r="D18" s="70" t="s">
        <v>194</v>
      </c>
      <c r="E18" s="70" t="s">
        <v>195</v>
      </c>
      <c r="F18" s="70" t="s">
        <v>192</v>
      </c>
      <c r="I18" s="2" t="str">
        <v>Alpha</v>
      </c>
      <c r="J18" s="2" t="str">
        <v>Alpha</v>
      </c>
      <c r="K18" s="2" t="str">
        <v>Bravo</v>
      </c>
      <c r="L18" s="2" t="str">
        <v>Charlie</v>
      </c>
      <c r="M18" s="2" t="str">
        <v>Delta</v>
      </c>
      <c r="O18" s="2" t="str">
        <v>Charlie</v>
      </c>
      <c r="P18" s="2" t="str">
        <v>Delta</v>
      </c>
      <c r="Q18" s="2" t="str">
        <v>Delta</v>
      </c>
      <c r="R18" s="2" t="str">
        <v>Delta</v>
      </c>
      <c r="S18" s="2" t="str">
        <v>Charlie</v>
      </c>
    </row>
    <row r="19" spans="2:19" x14ac:dyDescent="0.45">
      <c r="B19" s="70" t="s">
        <v>193</v>
      </c>
      <c r="C19" s="70" t="s">
        <v>193</v>
      </c>
      <c r="D19" s="70" t="s">
        <v>192</v>
      </c>
      <c r="E19" s="70" t="s">
        <v>192</v>
      </c>
      <c r="F19" s="70" t="s">
        <v>192</v>
      </c>
      <c r="I19" s="2" t="str">
        <v>Charlie</v>
      </c>
      <c r="J19" s="2" t="str">
        <v>Charlie</v>
      </c>
      <c r="K19" s="2" t="str">
        <v>Delta</v>
      </c>
      <c r="L19" s="2" t="str">
        <v>Delta</v>
      </c>
      <c r="M19" s="2" t="str">
        <v>Delta</v>
      </c>
      <c r="O19" s="2" t="str">
        <v>Charlie</v>
      </c>
      <c r="P19" s="2" t="str">
        <v>Delta</v>
      </c>
      <c r="Q19" s="2" t="str">
        <v>Delta</v>
      </c>
      <c r="R19" s="2" t="str">
        <v>Delta</v>
      </c>
      <c r="S19" s="2" t="str">
        <v>Charlie</v>
      </c>
    </row>
    <row r="20" spans="2:19" x14ac:dyDescent="0.45">
      <c r="B20" s="70" t="s">
        <v>194</v>
      </c>
      <c r="C20" s="70" t="s">
        <v>192</v>
      </c>
      <c r="D20" s="70" t="s">
        <v>193</v>
      </c>
      <c r="E20" s="70" t="s">
        <v>192</v>
      </c>
      <c r="F20" s="70" t="s">
        <v>193</v>
      </c>
      <c r="I20" s="2" t="str">
        <v>Bravo</v>
      </c>
      <c r="J20" s="2" t="str">
        <v>Charlie</v>
      </c>
      <c r="K20" s="2" t="str">
        <v>Charlie</v>
      </c>
      <c r="L20" s="2" t="str">
        <v>Delta</v>
      </c>
      <c r="M20" s="2" t="str">
        <v>Delta</v>
      </c>
      <c r="O20" s="2" t="str">
        <v>Delta</v>
      </c>
      <c r="P20" s="2" t="str">
        <v>Delta</v>
      </c>
      <c r="Q20" s="2" t="str">
        <v>Delta</v>
      </c>
      <c r="R20" s="2" t="str">
        <v>Delta</v>
      </c>
      <c r="S20" s="2" t="str">
        <v>Delta</v>
      </c>
    </row>
    <row r="21" spans="2:19" x14ac:dyDescent="0.45">
      <c r="B21" s="70" t="s">
        <v>195</v>
      </c>
      <c r="C21" s="70" t="s">
        <v>195</v>
      </c>
      <c r="D21" s="70" t="s">
        <v>194</v>
      </c>
      <c r="E21" s="70" t="s">
        <v>192</v>
      </c>
      <c r="F21" s="70" t="s">
        <v>195</v>
      </c>
      <c r="I21" s="2" t="str">
        <v>Alpha</v>
      </c>
      <c r="J21" s="2" t="str">
        <v>Alpha</v>
      </c>
      <c r="K21" s="2" t="str">
        <v>Alpha</v>
      </c>
      <c r="L21" s="2" t="str">
        <v>Bravo</v>
      </c>
      <c r="M21" s="2" t="str">
        <v>Delta</v>
      </c>
      <c r="O21" s="2" t="str">
        <v>Delta</v>
      </c>
      <c r="P21" s="2" t="str">
        <v>Delta</v>
      </c>
      <c r="Q21" s="2" t="str">
        <v>Delta</v>
      </c>
      <c r="R21" s="2" t="str">
        <v>Delta</v>
      </c>
      <c r="S21" s="2" t="str">
        <v>Delta</v>
      </c>
    </row>
    <row r="22" spans="2:19" x14ac:dyDescent="0.45">
      <c r="B22" s="70" t="s">
        <v>192</v>
      </c>
      <c r="C22" s="70" t="s">
        <v>192</v>
      </c>
      <c r="D22" s="70" t="s">
        <v>192</v>
      </c>
      <c r="E22" s="70" t="s">
        <v>195</v>
      </c>
      <c r="F22" s="70" t="s">
        <v>193</v>
      </c>
      <c r="I22" s="2" t="str">
        <v>Alpha</v>
      </c>
      <c r="J22" s="2" t="str">
        <v>Charlie</v>
      </c>
      <c r="K22" s="2" t="str">
        <v>Delta</v>
      </c>
      <c r="L22" s="2" t="str">
        <v>Delta</v>
      </c>
      <c r="M22" s="2" t="str">
        <v>Delta</v>
      </c>
      <c r="O22" s="2" t="str">
        <v>Delta</v>
      </c>
      <c r="P22" s="2" t="str">
        <v>Delta</v>
      </c>
      <c r="Q22" s="2" t="str">
        <v>Delta</v>
      </c>
      <c r="R22" s="2" t="str">
        <v>Delta</v>
      </c>
      <c r="S22" s="2" t="str">
        <v>Delta</v>
      </c>
    </row>
    <row r="23" spans="2:19" x14ac:dyDescent="0.45">
      <c r="B23" s="70" t="s">
        <v>195</v>
      </c>
      <c r="C23" s="70" t="s">
        <v>193</v>
      </c>
      <c r="D23" s="70" t="s">
        <v>192</v>
      </c>
      <c r="E23" s="70" t="s">
        <v>193</v>
      </c>
      <c r="F23" s="70" t="s">
        <v>195</v>
      </c>
      <c r="I23" s="2" t="str">
        <v>Alpha</v>
      </c>
      <c r="J23" s="2" t="str">
        <v>Alpha</v>
      </c>
      <c r="K23" s="2" t="str">
        <v>Charlie</v>
      </c>
      <c r="L23" s="2" t="str">
        <v>Charlie</v>
      </c>
      <c r="M23" s="2" t="str">
        <v>Delta</v>
      </c>
      <c r="O23" s="2" t="str">
        <v>Delta</v>
      </c>
      <c r="P23" s="2" t="str">
        <v>Delta</v>
      </c>
      <c r="Q23" s="2" t="str">
        <v>Delta</v>
      </c>
      <c r="R23" s="2" t="str">
        <v>Delta</v>
      </c>
      <c r="S23" s="2" t="str">
        <v>Delta</v>
      </c>
    </row>
    <row r="24" spans="2:19" x14ac:dyDescent="0.45">
      <c r="B24" s="70" t="s">
        <v>192</v>
      </c>
      <c r="C24" s="70" t="s">
        <v>192</v>
      </c>
      <c r="D24" s="70" t="s">
        <v>193</v>
      </c>
      <c r="E24" s="70" t="s">
        <v>192</v>
      </c>
      <c r="F24" s="70" t="s">
        <v>195</v>
      </c>
      <c r="I24" s="2" t="str">
        <v>Alpha</v>
      </c>
      <c r="J24" s="2" t="str">
        <v>Charlie</v>
      </c>
      <c r="K24" s="2" t="str">
        <v>Delta</v>
      </c>
      <c r="L24" s="2" t="str">
        <v>Delta</v>
      </c>
      <c r="M24" s="2" t="str">
        <v>Delta</v>
      </c>
      <c r="O24" s="2" t="str">
        <v>Delta</v>
      </c>
      <c r="P24" s="2" t="str">
        <v>Delta</v>
      </c>
      <c r="Q24" s="2" t="str">
        <v>Delta</v>
      </c>
      <c r="R24" s="2" t="str">
        <v>Delta</v>
      </c>
      <c r="S24" s="2" t="str">
        <v>Delta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0005-1C50-4BEE-9017-AA93DCAC9CB3}">
  <sheetPr>
    <tabColor rgb="FFC6DDFF"/>
  </sheetPr>
  <dimension ref="B2:P25"/>
  <sheetViews>
    <sheetView workbookViewId="0"/>
  </sheetViews>
  <sheetFormatPr defaultRowHeight="16.5" x14ac:dyDescent="0.45"/>
  <cols>
    <col min="1" max="1" width="5.08203125" customWidth="1"/>
    <col min="11" max="11" width="4.5" bestFit="1" customWidth="1"/>
    <col min="16" max="16" width="3.33203125" bestFit="1" customWidth="1"/>
  </cols>
  <sheetData>
    <row r="2" spans="2:16" x14ac:dyDescent="0.45">
      <c r="B2" s="38" t="s">
        <v>199</v>
      </c>
    </row>
    <row r="5" spans="2:16" x14ac:dyDescent="0.45">
      <c r="B5" s="20" t="s">
        <v>203</v>
      </c>
      <c r="E5" s="20" t="s">
        <v>204</v>
      </c>
    </row>
    <row r="6" spans="2:16" x14ac:dyDescent="0.45">
      <c r="B6" s="70" t="s">
        <v>200</v>
      </c>
      <c r="C6" s="70" t="s">
        <v>200</v>
      </c>
      <c r="D6" s="70" t="s">
        <v>201</v>
      </c>
      <c r="E6" s="70">
        <v>29</v>
      </c>
      <c r="H6" s="4" t="s">
        <v>206</v>
      </c>
    </row>
    <row r="7" spans="2:16" x14ac:dyDescent="0.45">
      <c r="B7" s="70" t="s">
        <v>201</v>
      </c>
      <c r="C7" s="70" t="s">
        <v>200</v>
      </c>
      <c r="D7" s="70" t="s">
        <v>202</v>
      </c>
      <c r="E7" s="70">
        <v>76</v>
      </c>
      <c r="H7" s="2" t="str" cm="1">
        <f t="array" ref="H7:K13">Foldλ(Colors)</f>
        <v>Blue</v>
      </c>
      <c r="I7" s="2" t="str">
        <v>Gold</v>
      </c>
      <c r="J7" s="2" t="str">
        <v>Navy</v>
      </c>
      <c r="K7" s="2">
        <v>2</v>
      </c>
    </row>
    <row r="8" spans="2:16" x14ac:dyDescent="0.45">
      <c r="B8" s="70" t="s">
        <v>200</v>
      </c>
      <c r="C8" s="70" t="s">
        <v>201</v>
      </c>
      <c r="D8" s="70" t="s">
        <v>202</v>
      </c>
      <c r="E8" s="70">
        <v>13</v>
      </c>
      <c r="H8" s="2" t="str">
        <v>Gold</v>
      </c>
      <c r="I8" s="2" t="str">
        <v>Navy</v>
      </c>
      <c r="J8" s="2" t="str">
        <v>Silver</v>
      </c>
      <c r="K8" s="2">
        <v>5</v>
      </c>
    </row>
    <row r="9" spans="2:16" x14ac:dyDescent="0.45">
      <c r="B9" s="70" t="s">
        <v>200</v>
      </c>
      <c r="C9" s="70" t="s">
        <v>200</v>
      </c>
      <c r="D9" s="70" t="s">
        <v>201</v>
      </c>
      <c r="E9" s="70">
        <v>96</v>
      </c>
      <c r="H9" s="2" t="str">
        <v>Gold</v>
      </c>
      <c r="I9" s="2" t="str">
        <v>Silver</v>
      </c>
      <c r="J9" s="2" t="str">
        <v>Silver</v>
      </c>
      <c r="K9" s="2">
        <v>4</v>
      </c>
    </row>
    <row r="10" spans="2:16" x14ac:dyDescent="0.45">
      <c r="B10" s="70" t="s">
        <v>202</v>
      </c>
      <c r="C10" s="70" t="s">
        <v>205</v>
      </c>
      <c r="D10" s="70" t="s">
        <v>201</v>
      </c>
      <c r="E10" s="70">
        <v>55</v>
      </c>
      <c r="H10" s="2" t="str">
        <v>Navy</v>
      </c>
      <c r="I10" s="2" t="str">
        <v>Navy</v>
      </c>
      <c r="J10" s="2" t="str">
        <v>Navy</v>
      </c>
      <c r="K10" s="2">
        <v>1</v>
      </c>
      <c r="M10" s="4" t="s">
        <v>208</v>
      </c>
    </row>
    <row r="11" spans="2:16" x14ac:dyDescent="0.45">
      <c r="B11" s="70" t="s">
        <v>200</v>
      </c>
      <c r="C11" s="70" t="s">
        <v>202</v>
      </c>
      <c r="D11" s="70" t="s">
        <v>200</v>
      </c>
      <c r="E11" s="70">
        <v>78</v>
      </c>
      <c r="H11" s="2" t="str">
        <v>Navy</v>
      </c>
      <c r="I11" s="2" t="str">
        <v>Navy</v>
      </c>
      <c r="J11" s="2" t="str">
        <v>Silver</v>
      </c>
      <c r="K11" s="2">
        <v>1</v>
      </c>
      <c r="M11" s="2" t="str" cm="1">
        <f t="array" ref="M11:P17">Foldλ(Colors,Amounts,_xleta.MAX)</f>
        <v>Blue</v>
      </c>
      <c r="N11" s="2" t="str">
        <v>Gold</v>
      </c>
      <c r="O11" s="2" t="str">
        <v>Navy</v>
      </c>
      <c r="P11" s="2">
        <v>55</v>
      </c>
    </row>
    <row r="12" spans="2:16" x14ac:dyDescent="0.45">
      <c r="B12" s="70" t="s">
        <v>200</v>
      </c>
      <c r="C12" s="70" t="s">
        <v>200</v>
      </c>
      <c r="D12" s="70" t="s">
        <v>201</v>
      </c>
      <c r="E12" s="70">
        <v>14</v>
      </c>
      <c r="H12" s="2" t="str">
        <v>Navy</v>
      </c>
      <c r="I12" s="2" t="str">
        <v>Silver</v>
      </c>
      <c r="J12" s="2" t="str">
        <v>Silver</v>
      </c>
      <c r="K12" s="2">
        <v>4</v>
      </c>
      <c r="M12" s="2" t="str">
        <v>Gold</v>
      </c>
      <c r="N12" s="2" t="str">
        <v>Navy</v>
      </c>
      <c r="O12" s="2" t="str">
        <v>Silver</v>
      </c>
      <c r="P12" s="2">
        <v>92</v>
      </c>
    </row>
    <row r="13" spans="2:16" x14ac:dyDescent="0.45">
      <c r="B13" s="70" t="s">
        <v>200</v>
      </c>
      <c r="C13" s="70" t="s">
        <v>202</v>
      </c>
      <c r="D13" s="70" t="s">
        <v>200</v>
      </c>
      <c r="E13" s="70">
        <v>76</v>
      </c>
      <c r="H13" s="2" t="str">
        <v>Silver</v>
      </c>
      <c r="I13" s="2" t="str">
        <v>Silver</v>
      </c>
      <c r="J13" s="2" t="str">
        <v>Silver</v>
      </c>
      <c r="K13" s="2">
        <v>3</v>
      </c>
      <c r="M13" s="2" t="str">
        <v>Gold</v>
      </c>
      <c r="N13" s="2" t="str">
        <v>Silver</v>
      </c>
      <c r="O13" s="2" t="str">
        <v>Silver</v>
      </c>
      <c r="P13" s="2">
        <v>96</v>
      </c>
    </row>
    <row r="14" spans="2:16" x14ac:dyDescent="0.45">
      <c r="B14" s="70" t="s">
        <v>200</v>
      </c>
      <c r="C14" s="70" t="s">
        <v>200</v>
      </c>
      <c r="D14" s="70" t="s">
        <v>200</v>
      </c>
      <c r="E14" s="70">
        <v>45</v>
      </c>
      <c r="M14" s="2" t="str">
        <v>Navy</v>
      </c>
      <c r="N14" s="2" t="str">
        <v>Navy</v>
      </c>
      <c r="O14" s="2" t="str">
        <v>Navy</v>
      </c>
      <c r="P14" s="2">
        <v>83</v>
      </c>
    </row>
    <row r="15" spans="2:16" x14ac:dyDescent="0.45">
      <c r="B15" s="70" t="s">
        <v>202</v>
      </c>
      <c r="C15" s="70" t="s">
        <v>205</v>
      </c>
      <c r="D15" s="70" t="s">
        <v>201</v>
      </c>
      <c r="E15" s="70">
        <v>53</v>
      </c>
      <c r="M15" s="2" t="str">
        <v>Navy</v>
      </c>
      <c r="N15" s="2" t="str">
        <v>Navy</v>
      </c>
      <c r="O15" s="2" t="str">
        <v>Silver</v>
      </c>
      <c r="P15" s="2">
        <v>32</v>
      </c>
    </row>
    <row r="16" spans="2:16" x14ac:dyDescent="0.45">
      <c r="B16" s="70" t="s">
        <v>200</v>
      </c>
      <c r="C16" s="70" t="s">
        <v>200</v>
      </c>
      <c r="D16" s="70" t="s">
        <v>200</v>
      </c>
      <c r="E16" s="70">
        <v>58</v>
      </c>
      <c r="M16" s="2" t="str">
        <v>Navy</v>
      </c>
      <c r="N16" s="2" t="str">
        <v>Silver</v>
      </c>
      <c r="O16" s="2" t="str">
        <v>Silver</v>
      </c>
      <c r="P16" s="2">
        <v>78</v>
      </c>
    </row>
    <row r="17" spans="2:16" x14ac:dyDescent="0.45">
      <c r="B17" s="70" t="s">
        <v>202</v>
      </c>
      <c r="C17" s="70" t="s">
        <v>202</v>
      </c>
      <c r="D17" s="70" t="s">
        <v>200</v>
      </c>
      <c r="E17" s="70">
        <v>32</v>
      </c>
      <c r="H17" s="4" t="s">
        <v>207</v>
      </c>
      <c r="M17" s="2" t="str">
        <v>Silver</v>
      </c>
      <c r="N17" s="2" t="str">
        <v>Silver</v>
      </c>
      <c r="O17" s="2" t="str">
        <v>Silver</v>
      </c>
      <c r="P17" s="2">
        <v>58</v>
      </c>
    </row>
    <row r="18" spans="2:16" x14ac:dyDescent="0.45">
      <c r="B18" s="70" t="s">
        <v>201</v>
      </c>
      <c r="C18" s="70" t="s">
        <v>202</v>
      </c>
      <c r="D18" s="70" t="s">
        <v>200</v>
      </c>
      <c r="E18" s="70">
        <v>92</v>
      </c>
      <c r="H18" s="2" t="str" cm="1">
        <f t="array" ref="H18:K24">Foldλ(Colors,Amounts,_xleta.SUM)</f>
        <v>Blue</v>
      </c>
      <c r="I18" s="2" t="str">
        <v>Gold</v>
      </c>
      <c r="J18" s="2" t="str">
        <v>Navy</v>
      </c>
      <c r="K18" s="2">
        <v>108</v>
      </c>
    </row>
    <row r="19" spans="2:16" x14ac:dyDescent="0.45">
      <c r="B19" s="70" t="s">
        <v>202</v>
      </c>
      <c r="C19" s="70" t="s">
        <v>202</v>
      </c>
      <c r="D19" s="70" t="s">
        <v>202</v>
      </c>
      <c r="E19" s="70">
        <v>83</v>
      </c>
      <c r="H19" s="2" t="str">
        <v>Gold</v>
      </c>
      <c r="I19" s="2" t="str">
        <v>Navy</v>
      </c>
      <c r="J19" s="2" t="str">
        <v>Silver</v>
      </c>
      <c r="K19" s="2">
        <v>278</v>
      </c>
    </row>
    <row r="20" spans="2:16" x14ac:dyDescent="0.45">
      <c r="B20" s="70" t="s">
        <v>202</v>
      </c>
      <c r="C20" s="70" t="s">
        <v>201</v>
      </c>
      <c r="D20" s="70" t="s">
        <v>200</v>
      </c>
      <c r="E20" s="70">
        <v>30</v>
      </c>
      <c r="H20" s="2" t="str">
        <v>Gold</v>
      </c>
      <c r="I20" s="2" t="str">
        <v>Silver</v>
      </c>
      <c r="J20" s="2" t="str">
        <v>Silver</v>
      </c>
      <c r="K20" s="2">
        <v>190</v>
      </c>
    </row>
    <row r="21" spans="2:16" x14ac:dyDescent="0.45">
      <c r="B21" s="70" t="s">
        <v>200</v>
      </c>
      <c r="C21" s="70" t="s">
        <v>202</v>
      </c>
      <c r="D21" s="70" t="s">
        <v>200</v>
      </c>
      <c r="E21" s="70">
        <v>42</v>
      </c>
      <c r="H21" s="2" t="str">
        <v>Navy</v>
      </c>
      <c r="I21" s="2" t="str">
        <v>Navy</v>
      </c>
      <c r="J21" s="2" t="str">
        <v>Navy</v>
      </c>
      <c r="K21" s="2">
        <v>83</v>
      </c>
    </row>
    <row r="22" spans="2:16" x14ac:dyDescent="0.45">
      <c r="B22" s="70" t="s">
        <v>200</v>
      </c>
      <c r="C22" s="70" t="s">
        <v>200</v>
      </c>
      <c r="D22" s="70" t="s">
        <v>200</v>
      </c>
      <c r="E22" s="70">
        <v>57</v>
      </c>
      <c r="H22" s="2" t="str">
        <v>Navy</v>
      </c>
      <c r="I22" s="2" t="str">
        <v>Navy</v>
      </c>
      <c r="J22" s="2" t="str">
        <v>Silver</v>
      </c>
      <c r="K22" s="2">
        <v>32</v>
      </c>
    </row>
    <row r="23" spans="2:16" x14ac:dyDescent="0.45">
      <c r="B23" s="70" t="s">
        <v>200</v>
      </c>
      <c r="C23" s="70" t="s">
        <v>202</v>
      </c>
      <c r="D23" s="70" t="s">
        <v>201</v>
      </c>
      <c r="E23" s="70">
        <v>67</v>
      </c>
      <c r="H23" s="2" t="str">
        <v>Navy</v>
      </c>
      <c r="I23" s="2" t="str">
        <v>Silver</v>
      </c>
      <c r="J23" s="2" t="str">
        <v>Silver</v>
      </c>
      <c r="K23" s="2">
        <v>247</v>
      </c>
    </row>
    <row r="24" spans="2:16" x14ac:dyDescent="0.45">
      <c r="B24" s="70" t="s">
        <v>201</v>
      </c>
      <c r="C24" s="70" t="s">
        <v>200</v>
      </c>
      <c r="D24" s="70" t="s">
        <v>200</v>
      </c>
      <c r="E24" s="70">
        <v>51</v>
      </c>
      <c r="H24" s="2" t="str">
        <v>Silver</v>
      </c>
      <c r="I24" s="2" t="str">
        <v>Silver</v>
      </c>
      <c r="J24" s="2" t="str">
        <v>Silver</v>
      </c>
      <c r="K24" s="2">
        <v>160</v>
      </c>
    </row>
    <row r="25" spans="2:16" x14ac:dyDescent="0.45">
      <c r="B25" s="70" t="s">
        <v>202</v>
      </c>
      <c r="C25" s="70" t="s">
        <v>200</v>
      </c>
      <c r="D25" s="70" t="s">
        <v>200</v>
      </c>
      <c r="E25" s="70">
        <v>51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0F08-AB3B-42B1-9AEA-3AC6A06526EB}">
  <sheetPr>
    <tabColor rgb="FFC6DDFF"/>
  </sheetPr>
  <dimension ref="B2:H28"/>
  <sheetViews>
    <sheetView workbookViewId="0"/>
  </sheetViews>
  <sheetFormatPr defaultRowHeight="16.5" x14ac:dyDescent="0.45"/>
  <cols>
    <col min="1" max="1" width="5.08203125" customWidth="1"/>
    <col min="4" max="4" width="10.58203125" bestFit="1" customWidth="1"/>
    <col min="6" max="6" width="11.9140625" customWidth="1"/>
    <col min="8" max="8" width="13" bestFit="1" customWidth="1"/>
  </cols>
  <sheetData>
    <row r="2" spans="2:8" x14ac:dyDescent="0.45">
      <c r="B2" s="38" t="s">
        <v>213</v>
      </c>
    </row>
    <row r="6" spans="2:8" x14ac:dyDescent="0.45">
      <c r="B6" s="20" t="s">
        <v>214</v>
      </c>
      <c r="D6" s="20" t="s">
        <v>216</v>
      </c>
      <c r="F6" s="20" t="s">
        <v>215</v>
      </c>
      <c r="H6" s="20" t="s">
        <v>233</v>
      </c>
    </row>
    <row r="7" spans="2:8" x14ac:dyDescent="0.45">
      <c r="B7" s="71" t="s">
        <v>217</v>
      </c>
      <c r="D7" s="71" t="s">
        <v>133</v>
      </c>
      <c r="F7" s="71" t="s">
        <v>232</v>
      </c>
      <c r="H7" s="71" t="s">
        <v>234</v>
      </c>
    </row>
    <row r="8" spans="2:8" x14ac:dyDescent="0.45">
      <c r="B8" s="71" t="s">
        <v>218</v>
      </c>
      <c r="D8" s="71" t="s">
        <v>225</v>
      </c>
      <c r="F8" s="71" t="s">
        <v>235</v>
      </c>
      <c r="H8" s="71" t="s">
        <v>236</v>
      </c>
    </row>
    <row r="9" spans="2:8" x14ac:dyDescent="0.45">
      <c r="B9" s="71" t="s">
        <v>219</v>
      </c>
      <c r="D9" s="71" t="s">
        <v>226</v>
      </c>
      <c r="F9" s="71" t="s">
        <v>228</v>
      </c>
      <c r="H9" s="71" t="s">
        <v>234</v>
      </c>
    </row>
    <row r="10" spans="2:8" x14ac:dyDescent="0.45">
      <c r="B10" s="71" t="s">
        <v>220</v>
      </c>
      <c r="D10" s="71" t="s">
        <v>227</v>
      </c>
      <c r="F10" s="71" t="s">
        <v>229</v>
      </c>
      <c r="H10" s="71" t="s">
        <v>234</v>
      </c>
    </row>
    <row r="11" spans="2:8" x14ac:dyDescent="0.45">
      <c r="B11" s="71" t="s">
        <v>221</v>
      </c>
      <c r="D11" s="71" t="s">
        <v>138</v>
      </c>
      <c r="F11" s="71" t="s">
        <v>230</v>
      </c>
      <c r="H11" s="71" t="s">
        <v>234</v>
      </c>
    </row>
    <row r="12" spans="2:8" x14ac:dyDescent="0.45">
      <c r="B12" s="71" t="s">
        <v>222</v>
      </c>
      <c r="D12" s="71" t="s">
        <v>138</v>
      </c>
      <c r="F12" s="71" t="s">
        <v>231</v>
      </c>
      <c r="H12" s="71" t="s">
        <v>234</v>
      </c>
    </row>
    <row r="13" spans="2:8" x14ac:dyDescent="0.45">
      <c r="B13" s="71" t="s">
        <v>135</v>
      </c>
      <c r="D13" s="71" t="s">
        <v>143</v>
      </c>
      <c r="F13" s="71" t="s">
        <v>237</v>
      </c>
      <c r="H13" s="71" t="s">
        <v>238</v>
      </c>
    </row>
    <row r="14" spans="2:8" x14ac:dyDescent="0.45">
      <c r="B14" s="71" t="s">
        <v>223</v>
      </c>
      <c r="D14" s="71" t="s">
        <v>227</v>
      </c>
      <c r="F14" s="71" t="s">
        <v>239</v>
      </c>
      <c r="H14" s="71" t="s">
        <v>238</v>
      </c>
    </row>
    <row r="15" spans="2:8" x14ac:dyDescent="0.45">
      <c r="B15" s="71" t="s">
        <v>224</v>
      </c>
    </row>
    <row r="18" spans="3:8" x14ac:dyDescent="0.45">
      <c r="C18" s="20" t="s">
        <v>243</v>
      </c>
      <c r="H18" s="20" t="s">
        <v>242</v>
      </c>
    </row>
    <row r="19" spans="3:8" x14ac:dyDescent="0.45">
      <c r="C19" s="4" t="s">
        <v>240</v>
      </c>
      <c r="H19" s="4" t="s">
        <v>241</v>
      </c>
    </row>
    <row r="20" spans="3:8" x14ac:dyDescent="0.45">
      <c r="C20" s="3" t="e" cm="1" vm="1">
        <f t="array" ref="C20:C27">Zipλ(People,Department,Places,Classification)</f>
        <v>#VALUE!</v>
      </c>
      <c r="H20" s="3" t="e" cm="1" vm="1">
        <f t="array" ref="H20:H28">Zipλ(People,Department,Places,Classification,TRUE)</f>
        <v>#VALUE!</v>
      </c>
    </row>
    <row r="21" spans="3:8" x14ac:dyDescent="0.45">
      <c r="C21" s="3" t="e" vm="2">
        <v>#VALUE!</v>
      </c>
      <c r="H21" s="3" t="e" vm="2">
        <v>#VALUE!</v>
      </c>
    </row>
    <row r="22" spans="3:8" x14ac:dyDescent="0.45">
      <c r="C22" s="3" t="e" vm="3">
        <v>#VALUE!</v>
      </c>
      <c r="H22" s="3" t="e" vm="3">
        <v>#VALUE!</v>
      </c>
    </row>
    <row r="23" spans="3:8" x14ac:dyDescent="0.45">
      <c r="C23" s="3" t="e" vm="4">
        <v>#VALUE!</v>
      </c>
      <c r="H23" s="3" t="e" vm="4">
        <v>#VALUE!</v>
      </c>
    </row>
    <row r="24" spans="3:8" x14ac:dyDescent="0.45">
      <c r="C24" s="3" t="e" vm="5">
        <v>#VALUE!</v>
      </c>
      <c r="H24" s="3" t="e" vm="5">
        <v>#VALUE!</v>
      </c>
    </row>
    <row r="25" spans="3:8" x14ac:dyDescent="0.45">
      <c r="C25" s="3" t="e" vm="6">
        <v>#VALUE!</v>
      </c>
      <c r="H25" s="3" t="e" vm="6">
        <v>#VALUE!</v>
      </c>
    </row>
    <row r="26" spans="3:8" x14ac:dyDescent="0.45">
      <c r="C26" s="3" t="e" vm="7">
        <v>#VALUE!</v>
      </c>
      <c r="H26" s="3" t="e" vm="7">
        <v>#VALUE!</v>
      </c>
    </row>
    <row r="27" spans="3:8" x14ac:dyDescent="0.45">
      <c r="C27" s="3" t="e" vm="8">
        <v>#VALUE!</v>
      </c>
      <c r="H27" s="3" t="e" vm="8">
        <v>#VALUE!</v>
      </c>
    </row>
    <row r="28" spans="3:8" x14ac:dyDescent="0.45">
      <c r="H28" s="3" t="e" vm="9">
        <v>#VALUE!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3122-AE94-444E-AA1E-CF435561CE9F}">
  <sheetPr>
    <tabColor rgb="FFC6DDFF"/>
  </sheetPr>
  <dimension ref="B2:L87"/>
  <sheetViews>
    <sheetView workbookViewId="0"/>
  </sheetViews>
  <sheetFormatPr defaultRowHeight="16.5" x14ac:dyDescent="0.45"/>
  <cols>
    <col min="1" max="1" width="5.08203125" customWidth="1"/>
    <col min="2" max="2" width="10.1640625" customWidth="1"/>
    <col min="4" max="4" width="10.25" bestFit="1" customWidth="1"/>
    <col min="5" max="5" width="12.1640625" customWidth="1"/>
    <col min="6" max="6" width="11.75" customWidth="1"/>
    <col min="7" max="7" width="12.75" bestFit="1" customWidth="1"/>
    <col min="8" max="8" width="12.5" bestFit="1" customWidth="1"/>
    <col min="10" max="10" width="7.83203125" bestFit="1" customWidth="1"/>
    <col min="12" max="12" width="12.5" bestFit="1" customWidth="1"/>
  </cols>
  <sheetData>
    <row r="2" spans="2:12" x14ac:dyDescent="0.45">
      <c r="B2" s="38" t="s">
        <v>244</v>
      </c>
    </row>
    <row r="3" spans="2:12" x14ac:dyDescent="0.45">
      <c r="B3" s="38" t="s">
        <v>245</v>
      </c>
    </row>
    <row r="4" spans="2:12" x14ac:dyDescent="0.45">
      <c r="B4" s="38" t="s">
        <v>246</v>
      </c>
    </row>
    <row r="7" spans="2:12" x14ac:dyDescent="0.45">
      <c r="B7" s="20" t="s">
        <v>247</v>
      </c>
      <c r="D7" s="20" t="s">
        <v>248</v>
      </c>
      <c r="F7" s="20" t="s">
        <v>249</v>
      </c>
      <c r="H7" s="20" t="s">
        <v>250</v>
      </c>
    </row>
    <row r="8" spans="2:12" x14ac:dyDescent="0.45">
      <c r="B8" s="71" t="s">
        <v>251</v>
      </c>
      <c r="D8" s="71" t="s">
        <v>252</v>
      </c>
      <c r="F8" s="72" t="s">
        <v>262</v>
      </c>
      <c r="H8" s="71" t="s">
        <v>259</v>
      </c>
    </row>
    <row r="9" spans="2:12" x14ac:dyDescent="0.45">
      <c r="B9" s="71" t="s">
        <v>253</v>
      </c>
      <c r="D9" s="71" t="s">
        <v>254</v>
      </c>
      <c r="F9" s="73" t="s">
        <v>258</v>
      </c>
      <c r="H9" s="71" t="s">
        <v>260</v>
      </c>
    </row>
    <row r="10" spans="2:12" x14ac:dyDescent="0.45">
      <c r="B10" s="71" t="s">
        <v>255</v>
      </c>
      <c r="D10" s="71" t="s">
        <v>256</v>
      </c>
      <c r="F10" s="72" t="s">
        <v>263</v>
      </c>
    </row>
    <row r="11" spans="2:12" x14ac:dyDescent="0.45">
      <c r="B11" s="71" t="s">
        <v>257</v>
      </c>
    </row>
    <row r="15" spans="2:12" x14ac:dyDescent="0.45">
      <c r="B15" s="4" t="s">
        <v>261</v>
      </c>
      <c r="E15" s="4" t="s">
        <v>264</v>
      </c>
      <c r="I15" s="4" t="s">
        <v>265</v>
      </c>
    </row>
    <row r="16" spans="2:12" x14ac:dyDescent="0.45">
      <c r="B16" s="3" t="str" cm="1">
        <f t="array" ref="B16:C27">Pairwiseλ(PoolA,PoolB)</f>
        <v>Bluebirds</v>
      </c>
      <c r="C16" s="3" t="str">
        <v>Stars</v>
      </c>
      <c r="E16" s="3" t="str" cm="1">
        <f t="array" ref="E16:G51">Triplewiseλ(PoolA,PoolB,GameTIme)</f>
        <v>Bluebirds</v>
      </c>
      <c r="F16" s="3" t="str">
        <v>Stars</v>
      </c>
      <c r="G16" s="3" t="str">
        <v>Morning</v>
      </c>
      <c r="I16" s="3" t="str" cm="1">
        <f t="array" ref="I16:L87">Quadwiseλ(PoolA,PoolB,GameTIme,Location)</f>
        <v>Bluebirds</v>
      </c>
      <c r="J16" s="3" t="str">
        <v>Stars</v>
      </c>
      <c r="K16" s="3" t="str">
        <v>Morning</v>
      </c>
      <c r="L16" s="3" t="str">
        <v>Gymnasium</v>
      </c>
    </row>
    <row r="17" spans="2:12" x14ac:dyDescent="0.45">
      <c r="B17" s="3" t="str">
        <v>Bluebirds</v>
      </c>
      <c r="C17" s="3" t="str">
        <v>Buzz</v>
      </c>
      <c r="E17" s="3" t="str">
        <v>Bluebirds</v>
      </c>
      <c r="F17" s="3" t="str">
        <v>Stars</v>
      </c>
      <c r="G17" s="3" t="str">
        <v>Noon</v>
      </c>
      <c r="I17" s="3" t="str">
        <v>Bluebirds</v>
      </c>
      <c r="J17" s="3" t="str">
        <v>Stars</v>
      </c>
      <c r="K17" s="3" t="str">
        <v>Morning</v>
      </c>
      <c r="L17" s="3" t="str">
        <v>Outdoor court</v>
      </c>
    </row>
    <row r="18" spans="2:12" x14ac:dyDescent="0.45">
      <c r="B18" s="3" t="str">
        <v>Bluebirds</v>
      </c>
      <c r="C18" s="3" t="str">
        <v>Griffons</v>
      </c>
      <c r="E18" s="3" t="str">
        <v>Bluebirds</v>
      </c>
      <c r="F18" s="3" t="str">
        <v>Stars</v>
      </c>
      <c r="G18" s="3" t="str">
        <v>Night</v>
      </c>
      <c r="I18" s="3" t="str">
        <v>Bluebirds</v>
      </c>
      <c r="J18" s="3" t="str">
        <v>Stars</v>
      </c>
      <c r="K18" s="3" t="str">
        <v>Noon</v>
      </c>
      <c r="L18" s="3" t="str">
        <v>Gymnasium</v>
      </c>
    </row>
    <row r="19" spans="2:12" x14ac:dyDescent="0.45">
      <c r="B19" s="3" t="str">
        <v>Zephyrs</v>
      </c>
      <c r="C19" s="3" t="str">
        <v>Stars</v>
      </c>
      <c r="E19" s="3" t="str">
        <v>Bluebirds</v>
      </c>
      <c r="F19" s="3" t="str">
        <v>Buzz</v>
      </c>
      <c r="G19" s="3" t="str">
        <v>Morning</v>
      </c>
      <c r="I19" s="3" t="str">
        <v>Bluebirds</v>
      </c>
      <c r="J19" s="3" t="str">
        <v>Stars</v>
      </c>
      <c r="K19" s="3" t="str">
        <v>Noon</v>
      </c>
      <c r="L19" s="3" t="str">
        <v>Outdoor court</v>
      </c>
    </row>
    <row r="20" spans="2:12" x14ac:dyDescent="0.45">
      <c r="B20" s="3" t="str">
        <v>Zephyrs</v>
      </c>
      <c r="C20" s="3" t="str">
        <v>Buzz</v>
      </c>
      <c r="E20" s="3" t="str">
        <v>Bluebirds</v>
      </c>
      <c r="F20" s="3" t="str">
        <v>Buzz</v>
      </c>
      <c r="G20" s="3" t="str">
        <v>Noon</v>
      </c>
      <c r="I20" s="3" t="str">
        <v>Bluebirds</v>
      </c>
      <c r="J20" s="3" t="str">
        <v>Stars</v>
      </c>
      <c r="K20" s="3" t="str">
        <v>Night</v>
      </c>
      <c r="L20" s="3" t="str">
        <v>Gymnasium</v>
      </c>
    </row>
    <row r="21" spans="2:12" x14ac:dyDescent="0.45">
      <c r="B21" s="3" t="str">
        <v>Zephyrs</v>
      </c>
      <c r="C21" s="3" t="str">
        <v>Griffons</v>
      </c>
      <c r="E21" s="3" t="str">
        <v>Bluebirds</v>
      </c>
      <c r="F21" s="3" t="str">
        <v>Buzz</v>
      </c>
      <c r="G21" s="3" t="str">
        <v>Night</v>
      </c>
      <c r="I21" s="3" t="str">
        <v>Bluebirds</v>
      </c>
      <c r="J21" s="3" t="str">
        <v>Stars</v>
      </c>
      <c r="K21" s="3" t="str">
        <v>Night</v>
      </c>
      <c r="L21" s="3" t="str">
        <v>Outdoor court</v>
      </c>
    </row>
    <row r="22" spans="2:12" x14ac:dyDescent="0.45">
      <c r="B22" s="3" t="str">
        <v>Mammoths</v>
      </c>
      <c r="C22" s="3" t="str">
        <v>Stars</v>
      </c>
      <c r="E22" s="3" t="str">
        <v>Bluebirds</v>
      </c>
      <c r="F22" s="3" t="str">
        <v>Griffons</v>
      </c>
      <c r="G22" s="3" t="str">
        <v>Morning</v>
      </c>
      <c r="I22" s="3" t="str">
        <v>Bluebirds</v>
      </c>
      <c r="J22" s="3" t="str">
        <v>Buzz</v>
      </c>
      <c r="K22" s="3" t="str">
        <v>Morning</v>
      </c>
      <c r="L22" s="3" t="str">
        <v>Gymnasium</v>
      </c>
    </row>
    <row r="23" spans="2:12" x14ac:dyDescent="0.45">
      <c r="B23" s="3" t="str">
        <v>Mammoths</v>
      </c>
      <c r="C23" s="3" t="str">
        <v>Buzz</v>
      </c>
      <c r="E23" s="3" t="str">
        <v>Bluebirds</v>
      </c>
      <c r="F23" s="3" t="str">
        <v>Griffons</v>
      </c>
      <c r="G23" s="3" t="str">
        <v>Noon</v>
      </c>
      <c r="I23" s="3" t="str">
        <v>Bluebirds</v>
      </c>
      <c r="J23" s="3" t="str">
        <v>Buzz</v>
      </c>
      <c r="K23" s="3" t="str">
        <v>Morning</v>
      </c>
      <c r="L23" s="3" t="str">
        <v>Outdoor court</v>
      </c>
    </row>
    <row r="24" spans="2:12" x14ac:dyDescent="0.45">
      <c r="B24" s="3" t="str">
        <v>Mammoths</v>
      </c>
      <c r="C24" s="3" t="str">
        <v>Griffons</v>
      </c>
      <c r="E24" s="3" t="str">
        <v>Bluebirds</v>
      </c>
      <c r="F24" s="3" t="str">
        <v>Griffons</v>
      </c>
      <c r="G24" s="3" t="str">
        <v>Night</v>
      </c>
      <c r="I24" s="3" t="str">
        <v>Bluebirds</v>
      </c>
      <c r="J24" s="3" t="str">
        <v>Buzz</v>
      </c>
      <c r="K24" s="3" t="str">
        <v>Noon</v>
      </c>
      <c r="L24" s="3" t="str">
        <v>Gymnasium</v>
      </c>
    </row>
    <row r="25" spans="2:12" x14ac:dyDescent="0.45">
      <c r="B25" s="3" t="str">
        <v>Wildcats</v>
      </c>
      <c r="C25" s="3" t="str">
        <v>Stars</v>
      </c>
      <c r="E25" s="3" t="str">
        <v>Zephyrs</v>
      </c>
      <c r="F25" s="3" t="str">
        <v>Stars</v>
      </c>
      <c r="G25" s="3" t="str">
        <v>Morning</v>
      </c>
      <c r="I25" s="3" t="str">
        <v>Bluebirds</v>
      </c>
      <c r="J25" s="3" t="str">
        <v>Buzz</v>
      </c>
      <c r="K25" s="3" t="str">
        <v>Noon</v>
      </c>
      <c r="L25" s="3" t="str">
        <v>Outdoor court</v>
      </c>
    </row>
    <row r="26" spans="2:12" x14ac:dyDescent="0.45">
      <c r="B26" s="3" t="str">
        <v>Wildcats</v>
      </c>
      <c r="C26" s="3" t="str">
        <v>Buzz</v>
      </c>
      <c r="E26" s="3" t="str">
        <v>Zephyrs</v>
      </c>
      <c r="F26" s="3" t="str">
        <v>Stars</v>
      </c>
      <c r="G26" s="3" t="str">
        <v>Noon</v>
      </c>
      <c r="I26" s="3" t="str">
        <v>Bluebirds</v>
      </c>
      <c r="J26" s="3" t="str">
        <v>Buzz</v>
      </c>
      <c r="K26" s="3" t="str">
        <v>Night</v>
      </c>
      <c r="L26" s="3" t="str">
        <v>Gymnasium</v>
      </c>
    </row>
    <row r="27" spans="2:12" x14ac:dyDescent="0.45">
      <c r="B27" s="3" t="str">
        <v>Wildcats</v>
      </c>
      <c r="C27" s="3" t="str">
        <v>Griffons</v>
      </c>
      <c r="E27" s="3" t="str">
        <v>Zephyrs</v>
      </c>
      <c r="F27" s="3" t="str">
        <v>Stars</v>
      </c>
      <c r="G27" s="3" t="str">
        <v>Night</v>
      </c>
      <c r="I27" s="3" t="str">
        <v>Bluebirds</v>
      </c>
      <c r="J27" s="3" t="str">
        <v>Buzz</v>
      </c>
      <c r="K27" s="3" t="str">
        <v>Night</v>
      </c>
      <c r="L27" s="3" t="str">
        <v>Outdoor court</v>
      </c>
    </row>
    <row r="28" spans="2:12" x14ac:dyDescent="0.45">
      <c r="E28" s="3" t="str">
        <v>Zephyrs</v>
      </c>
      <c r="F28" s="3" t="str">
        <v>Buzz</v>
      </c>
      <c r="G28" s="3" t="str">
        <v>Morning</v>
      </c>
      <c r="I28" s="3" t="str">
        <v>Bluebirds</v>
      </c>
      <c r="J28" s="3" t="str">
        <v>Griffons</v>
      </c>
      <c r="K28" s="3" t="str">
        <v>Morning</v>
      </c>
      <c r="L28" s="3" t="str">
        <v>Gymnasium</v>
      </c>
    </row>
    <row r="29" spans="2:12" x14ac:dyDescent="0.45">
      <c r="E29" s="3" t="str">
        <v>Zephyrs</v>
      </c>
      <c r="F29" s="3" t="str">
        <v>Buzz</v>
      </c>
      <c r="G29" s="3" t="str">
        <v>Noon</v>
      </c>
      <c r="I29" s="3" t="str">
        <v>Bluebirds</v>
      </c>
      <c r="J29" s="3" t="str">
        <v>Griffons</v>
      </c>
      <c r="K29" s="3" t="str">
        <v>Morning</v>
      </c>
      <c r="L29" s="3" t="str">
        <v>Outdoor court</v>
      </c>
    </row>
    <row r="30" spans="2:12" x14ac:dyDescent="0.45">
      <c r="E30" s="3" t="str">
        <v>Zephyrs</v>
      </c>
      <c r="F30" s="3" t="str">
        <v>Buzz</v>
      </c>
      <c r="G30" s="3" t="str">
        <v>Night</v>
      </c>
      <c r="I30" s="3" t="str">
        <v>Bluebirds</v>
      </c>
      <c r="J30" s="3" t="str">
        <v>Griffons</v>
      </c>
      <c r="K30" s="3" t="str">
        <v>Noon</v>
      </c>
      <c r="L30" s="3" t="str">
        <v>Gymnasium</v>
      </c>
    </row>
    <row r="31" spans="2:12" x14ac:dyDescent="0.45">
      <c r="E31" s="3" t="str">
        <v>Zephyrs</v>
      </c>
      <c r="F31" s="3" t="str">
        <v>Griffons</v>
      </c>
      <c r="G31" s="3" t="str">
        <v>Morning</v>
      </c>
      <c r="I31" s="3" t="str">
        <v>Bluebirds</v>
      </c>
      <c r="J31" s="3" t="str">
        <v>Griffons</v>
      </c>
      <c r="K31" s="3" t="str">
        <v>Noon</v>
      </c>
      <c r="L31" s="3" t="str">
        <v>Outdoor court</v>
      </c>
    </row>
    <row r="32" spans="2:12" x14ac:dyDescent="0.45">
      <c r="E32" s="3" t="str">
        <v>Zephyrs</v>
      </c>
      <c r="F32" s="3" t="str">
        <v>Griffons</v>
      </c>
      <c r="G32" s="3" t="str">
        <v>Noon</v>
      </c>
      <c r="I32" s="3" t="str">
        <v>Bluebirds</v>
      </c>
      <c r="J32" s="3" t="str">
        <v>Griffons</v>
      </c>
      <c r="K32" s="3" t="str">
        <v>Night</v>
      </c>
      <c r="L32" s="3" t="str">
        <v>Gymnasium</v>
      </c>
    </row>
    <row r="33" spans="5:12" x14ac:dyDescent="0.45">
      <c r="E33" s="3" t="str">
        <v>Zephyrs</v>
      </c>
      <c r="F33" s="3" t="str">
        <v>Griffons</v>
      </c>
      <c r="G33" s="3" t="str">
        <v>Night</v>
      </c>
      <c r="I33" s="3" t="str">
        <v>Bluebirds</v>
      </c>
      <c r="J33" s="3" t="str">
        <v>Griffons</v>
      </c>
      <c r="K33" s="3" t="str">
        <v>Night</v>
      </c>
      <c r="L33" s="3" t="str">
        <v>Outdoor court</v>
      </c>
    </row>
    <row r="34" spans="5:12" x14ac:dyDescent="0.45">
      <c r="E34" s="3" t="str">
        <v>Mammoths</v>
      </c>
      <c r="F34" s="3" t="str">
        <v>Stars</v>
      </c>
      <c r="G34" s="3" t="str">
        <v>Morning</v>
      </c>
      <c r="I34" s="3" t="str">
        <v>Zephyrs</v>
      </c>
      <c r="J34" s="3" t="str">
        <v>Stars</v>
      </c>
      <c r="K34" s="3" t="str">
        <v>Morning</v>
      </c>
      <c r="L34" s="3" t="str">
        <v>Gymnasium</v>
      </c>
    </row>
    <row r="35" spans="5:12" x14ac:dyDescent="0.45">
      <c r="E35" s="3" t="str">
        <v>Mammoths</v>
      </c>
      <c r="F35" s="3" t="str">
        <v>Stars</v>
      </c>
      <c r="G35" s="3" t="str">
        <v>Noon</v>
      </c>
      <c r="I35" s="3" t="str">
        <v>Zephyrs</v>
      </c>
      <c r="J35" s="3" t="str">
        <v>Stars</v>
      </c>
      <c r="K35" s="3" t="str">
        <v>Morning</v>
      </c>
      <c r="L35" s="3" t="str">
        <v>Outdoor court</v>
      </c>
    </row>
    <row r="36" spans="5:12" x14ac:dyDescent="0.45">
      <c r="E36" s="3" t="str">
        <v>Mammoths</v>
      </c>
      <c r="F36" s="3" t="str">
        <v>Stars</v>
      </c>
      <c r="G36" s="3" t="str">
        <v>Night</v>
      </c>
      <c r="I36" s="3" t="str">
        <v>Zephyrs</v>
      </c>
      <c r="J36" s="3" t="str">
        <v>Stars</v>
      </c>
      <c r="K36" s="3" t="str">
        <v>Noon</v>
      </c>
      <c r="L36" s="3" t="str">
        <v>Gymnasium</v>
      </c>
    </row>
    <row r="37" spans="5:12" x14ac:dyDescent="0.45">
      <c r="E37" s="3" t="str">
        <v>Mammoths</v>
      </c>
      <c r="F37" s="3" t="str">
        <v>Buzz</v>
      </c>
      <c r="G37" s="3" t="str">
        <v>Morning</v>
      </c>
      <c r="I37" s="3" t="str">
        <v>Zephyrs</v>
      </c>
      <c r="J37" s="3" t="str">
        <v>Stars</v>
      </c>
      <c r="K37" s="3" t="str">
        <v>Noon</v>
      </c>
      <c r="L37" s="3" t="str">
        <v>Outdoor court</v>
      </c>
    </row>
    <row r="38" spans="5:12" x14ac:dyDescent="0.45">
      <c r="E38" s="3" t="str">
        <v>Mammoths</v>
      </c>
      <c r="F38" s="3" t="str">
        <v>Buzz</v>
      </c>
      <c r="G38" s="3" t="str">
        <v>Noon</v>
      </c>
      <c r="I38" s="3" t="str">
        <v>Zephyrs</v>
      </c>
      <c r="J38" s="3" t="str">
        <v>Stars</v>
      </c>
      <c r="K38" s="3" t="str">
        <v>Night</v>
      </c>
      <c r="L38" s="3" t="str">
        <v>Gymnasium</v>
      </c>
    </row>
    <row r="39" spans="5:12" x14ac:dyDescent="0.45">
      <c r="E39" s="3" t="str">
        <v>Mammoths</v>
      </c>
      <c r="F39" s="3" t="str">
        <v>Buzz</v>
      </c>
      <c r="G39" s="3" t="str">
        <v>Night</v>
      </c>
      <c r="I39" s="3" t="str">
        <v>Zephyrs</v>
      </c>
      <c r="J39" s="3" t="str">
        <v>Stars</v>
      </c>
      <c r="K39" s="3" t="str">
        <v>Night</v>
      </c>
      <c r="L39" s="3" t="str">
        <v>Outdoor court</v>
      </c>
    </row>
    <row r="40" spans="5:12" x14ac:dyDescent="0.45">
      <c r="E40" s="3" t="str">
        <v>Mammoths</v>
      </c>
      <c r="F40" s="3" t="str">
        <v>Griffons</v>
      </c>
      <c r="G40" s="3" t="str">
        <v>Morning</v>
      </c>
      <c r="I40" s="3" t="str">
        <v>Zephyrs</v>
      </c>
      <c r="J40" s="3" t="str">
        <v>Buzz</v>
      </c>
      <c r="K40" s="3" t="str">
        <v>Morning</v>
      </c>
      <c r="L40" s="3" t="str">
        <v>Gymnasium</v>
      </c>
    </row>
    <row r="41" spans="5:12" x14ac:dyDescent="0.45">
      <c r="E41" s="3" t="str">
        <v>Mammoths</v>
      </c>
      <c r="F41" s="3" t="str">
        <v>Griffons</v>
      </c>
      <c r="G41" s="3" t="str">
        <v>Noon</v>
      </c>
      <c r="I41" s="3" t="str">
        <v>Zephyrs</v>
      </c>
      <c r="J41" s="3" t="str">
        <v>Buzz</v>
      </c>
      <c r="K41" s="3" t="str">
        <v>Morning</v>
      </c>
      <c r="L41" s="3" t="str">
        <v>Outdoor court</v>
      </c>
    </row>
    <row r="42" spans="5:12" x14ac:dyDescent="0.45">
      <c r="E42" s="3" t="str">
        <v>Mammoths</v>
      </c>
      <c r="F42" s="3" t="str">
        <v>Griffons</v>
      </c>
      <c r="G42" s="3" t="str">
        <v>Night</v>
      </c>
      <c r="I42" s="3" t="str">
        <v>Zephyrs</v>
      </c>
      <c r="J42" s="3" t="str">
        <v>Buzz</v>
      </c>
      <c r="K42" s="3" t="str">
        <v>Noon</v>
      </c>
      <c r="L42" s="3" t="str">
        <v>Gymnasium</v>
      </c>
    </row>
    <row r="43" spans="5:12" x14ac:dyDescent="0.45">
      <c r="E43" s="3" t="str">
        <v>Wildcats</v>
      </c>
      <c r="F43" s="3" t="str">
        <v>Stars</v>
      </c>
      <c r="G43" s="3" t="str">
        <v>Morning</v>
      </c>
      <c r="I43" s="3" t="str">
        <v>Zephyrs</v>
      </c>
      <c r="J43" s="3" t="str">
        <v>Buzz</v>
      </c>
      <c r="K43" s="3" t="str">
        <v>Noon</v>
      </c>
      <c r="L43" s="3" t="str">
        <v>Outdoor court</v>
      </c>
    </row>
    <row r="44" spans="5:12" x14ac:dyDescent="0.45">
      <c r="E44" s="3" t="str">
        <v>Wildcats</v>
      </c>
      <c r="F44" s="3" t="str">
        <v>Stars</v>
      </c>
      <c r="G44" s="3" t="str">
        <v>Noon</v>
      </c>
      <c r="I44" s="3" t="str">
        <v>Zephyrs</v>
      </c>
      <c r="J44" s="3" t="str">
        <v>Buzz</v>
      </c>
      <c r="K44" s="3" t="str">
        <v>Night</v>
      </c>
      <c r="L44" s="3" t="str">
        <v>Gymnasium</v>
      </c>
    </row>
    <row r="45" spans="5:12" x14ac:dyDescent="0.45">
      <c r="E45" s="3" t="str">
        <v>Wildcats</v>
      </c>
      <c r="F45" s="3" t="str">
        <v>Stars</v>
      </c>
      <c r="G45" s="3" t="str">
        <v>Night</v>
      </c>
      <c r="I45" s="3" t="str">
        <v>Zephyrs</v>
      </c>
      <c r="J45" s="3" t="str">
        <v>Buzz</v>
      </c>
      <c r="K45" s="3" t="str">
        <v>Night</v>
      </c>
      <c r="L45" s="3" t="str">
        <v>Outdoor court</v>
      </c>
    </row>
    <row r="46" spans="5:12" x14ac:dyDescent="0.45">
      <c r="E46" s="3" t="str">
        <v>Wildcats</v>
      </c>
      <c r="F46" s="3" t="str">
        <v>Buzz</v>
      </c>
      <c r="G46" s="3" t="str">
        <v>Morning</v>
      </c>
      <c r="I46" s="3" t="str">
        <v>Zephyrs</v>
      </c>
      <c r="J46" s="3" t="str">
        <v>Griffons</v>
      </c>
      <c r="K46" s="3" t="str">
        <v>Morning</v>
      </c>
      <c r="L46" s="3" t="str">
        <v>Gymnasium</v>
      </c>
    </row>
    <row r="47" spans="5:12" x14ac:dyDescent="0.45">
      <c r="E47" s="3" t="str">
        <v>Wildcats</v>
      </c>
      <c r="F47" s="3" t="str">
        <v>Buzz</v>
      </c>
      <c r="G47" s="3" t="str">
        <v>Noon</v>
      </c>
      <c r="I47" s="3" t="str">
        <v>Zephyrs</v>
      </c>
      <c r="J47" s="3" t="str">
        <v>Griffons</v>
      </c>
      <c r="K47" s="3" t="str">
        <v>Morning</v>
      </c>
      <c r="L47" s="3" t="str">
        <v>Outdoor court</v>
      </c>
    </row>
    <row r="48" spans="5:12" x14ac:dyDescent="0.45">
      <c r="E48" s="3" t="str">
        <v>Wildcats</v>
      </c>
      <c r="F48" s="3" t="str">
        <v>Buzz</v>
      </c>
      <c r="G48" s="3" t="str">
        <v>Night</v>
      </c>
      <c r="I48" s="3" t="str">
        <v>Zephyrs</v>
      </c>
      <c r="J48" s="3" t="str">
        <v>Griffons</v>
      </c>
      <c r="K48" s="3" t="str">
        <v>Noon</v>
      </c>
      <c r="L48" s="3" t="str">
        <v>Gymnasium</v>
      </c>
    </row>
    <row r="49" spans="5:12" x14ac:dyDescent="0.45">
      <c r="E49" s="3" t="str">
        <v>Wildcats</v>
      </c>
      <c r="F49" s="3" t="str">
        <v>Griffons</v>
      </c>
      <c r="G49" s="3" t="str">
        <v>Morning</v>
      </c>
      <c r="I49" s="3" t="str">
        <v>Zephyrs</v>
      </c>
      <c r="J49" s="3" t="str">
        <v>Griffons</v>
      </c>
      <c r="K49" s="3" t="str">
        <v>Noon</v>
      </c>
      <c r="L49" s="3" t="str">
        <v>Outdoor court</v>
      </c>
    </row>
    <row r="50" spans="5:12" x14ac:dyDescent="0.45">
      <c r="E50" s="3" t="str">
        <v>Wildcats</v>
      </c>
      <c r="F50" s="3" t="str">
        <v>Griffons</v>
      </c>
      <c r="G50" s="3" t="str">
        <v>Noon</v>
      </c>
      <c r="I50" s="3" t="str">
        <v>Zephyrs</v>
      </c>
      <c r="J50" s="3" t="str">
        <v>Griffons</v>
      </c>
      <c r="K50" s="3" t="str">
        <v>Night</v>
      </c>
      <c r="L50" s="3" t="str">
        <v>Gymnasium</v>
      </c>
    </row>
    <row r="51" spans="5:12" x14ac:dyDescent="0.45">
      <c r="E51" s="3" t="str">
        <v>Wildcats</v>
      </c>
      <c r="F51" s="3" t="str">
        <v>Griffons</v>
      </c>
      <c r="G51" s="3" t="str">
        <v>Night</v>
      </c>
      <c r="I51" s="3" t="str">
        <v>Zephyrs</v>
      </c>
      <c r="J51" s="3" t="str">
        <v>Griffons</v>
      </c>
      <c r="K51" s="3" t="str">
        <v>Night</v>
      </c>
      <c r="L51" s="3" t="str">
        <v>Outdoor court</v>
      </c>
    </row>
    <row r="52" spans="5:12" x14ac:dyDescent="0.45">
      <c r="I52" s="3" t="str">
        <v>Mammoths</v>
      </c>
      <c r="J52" s="3" t="str">
        <v>Stars</v>
      </c>
      <c r="K52" s="3" t="str">
        <v>Morning</v>
      </c>
      <c r="L52" s="3" t="str">
        <v>Gymnasium</v>
      </c>
    </row>
    <row r="53" spans="5:12" x14ac:dyDescent="0.45">
      <c r="I53" s="3" t="str">
        <v>Mammoths</v>
      </c>
      <c r="J53" s="3" t="str">
        <v>Stars</v>
      </c>
      <c r="K53" s="3" t="str">
        <v>Morning</v>
      </c>
      <c r="L53" s="3" t="str">
        <v>Outdoor court</v>
      </c>
    </row>
    <row r="54" spans="5:12" x14ac:dyDescent="0.45">
      <c r="I54" s="3" t="str">
        <v>Mammoths</v>
      </c>
      <c r="J54" s="3" t="str">
        <v>Stars</v>
      </c>
      <c r="K54" s="3" t="str">
        <v>Noon</v>
      </c>
      <c r="L54" s="3" t="str">
        <v>Gymnasium</v>
      </c>
    </row>
    <row r="55" spans="5:12" x14ac:dyDescent="0.45">
      <c r="I55" s="3" t="str">
        <v>Mammoths</v>
      </c>
      <c r="J55" s="3" t="str">
        <v>Stars</v>
      </c>
      <c r="K55" s="3" t="str">
        <v>Noon</v>
      </c>
      <c r="L55" s="3" t="str">
        <v>Outdoor court</v>
      </c>
    </row>
    <row r="56" spans="5:12" x14ac:dyDescent="0.45">
      <c r="I56" s="3" t="str">
        <v>Mammoths</v>
      </c>
      <c r="J56" s="3" t="str">
        <v>Stars</v>
      </c>
      <c r="K56" s="3" t="str">
        <v>Night</v>
      </c>
      <c r="L56" s="3" t="str">
        <v>Gymnasium</v>
      </c>
    </row>
    <row r="57" spans="5:12" x14ac:dyDescent="0.45">
      <c r="I57" s="3" t="str">
        <v>Mammoths</v>
      </c>
      <c r="J57" s="3" t="str">
        <v>Stars</v>
      </c>
      <c r="K57" s="3" t="str">
        <v>Night</v>
      </c>
      <c r="L57" s="3" t="str">
        <v>Outdoor court</v>
      </c>
    </row>
    <row r="58" spans="5:12" x14ac:dyDescent="0.45">
      <c r="I58" s="3" t="str">
        <v>Mammoths</v>
      </c>
      <c r="J58" s="3" t="str">
        <v>Buzz</v>
      </c>
      <c r="K58" s="3" t="str">
        <v>Morning</v>
      </c>
      <c r="L58" s="3" t="str">
        <v>Gymnasium</v>
      </c>
    </row>
    <row r="59" spans="5:12" x14ac:dyDescent="0.45">
      <c r="I59" s="3" t="str">
        <v>Mammoths</v>
      </c>
      <c r="J59" s="3" t="str">
        <v>Buzz</v>
      </c>
      <c r="K59" s="3" t="str">
        <v>Morning</v>
      </c>
      <c r="L59" s="3" t="str">
        <v>Outdoor court</v>
      </c>
    </row>
    <row r="60" spans="5:12" x14ac:dyDescent="0.45">
      <c r="I60" s="3" t="str">
        <v>Mammoths</v>
      </c>
      <c r="J60" s="3" t="str">
        <v>Buzz</v>
      </c>
      <c r="K60" s="3" t="str">
        <v>Noon</v>
      </c>
      <c r="L60" s="3" t="str">
        <v>Gymnasium</v>
      </c>
    </row>
    <row r="61" spans="5:12" x14ac:dyDescent="0.45">
      <c r="I61" s="3" t="str">
        <v>Mammoths</v>
      </c>
      <c r="J61" s="3" t="str">
        <v>Buzz</v>
      </c>
      <c r="K61" s="3" t="str">
        <v>Noon</v>
      </c>
      <c r="L61" s="3" t="str">
        <v>Outdoor court</v>
      </c>
    </row>
    <row r="62" spans="5:12" x14ac:dyDescent="0.45">
      <c r="I62" s="3" t="str">
        <v>Mammoths</v>
      </c>
      <c r="J62" s="3" t="str">
        <v>Buzz</v>
      </c>
      <c r="K62" s="3" t="str">
        <v>Night</v>
      </c>
      <c r="L62" s="3" t="str">
        <v>Gymnasium</v>
      </c>
    </row>
    <row r="63" spans="5:12" x14ac:dyDescent="0.45">
      <c r="I63" s="3" t="str">
        <v>Mammoths</v>
      </c>
      <c r="J63" s="3" t="str">
        <v>Buzz</v>
      </c>
      <c r="K63" s="3" t="str">
        <v>Night</v>
      </c>
      <c r="L63" s="3" t="str">
        <v>Outdoor court</v>
      </c>
    </row>
    <row r="64" spans="5:12" x14ac:dyDescent="0.45">
      <c r="I64" s="3" t="str">
        <v>Mammoths</v>
      </c>
      <c r="J64" s="3" t="str">
        <v>Griffons</v>
      </c>
      <c r="K64" s="3" t="str">
        <v>Morning</v>
      </c>
      <c r="L64" s="3" t="str">
        <v>Gymnasium</v>
      </c>
    </row>
    <row r="65" spans="9:12" x14ac:dyDescent="0.45">
      <c r="I65" s="3" t="str">
        <v>Mammoths</v>
      </c>
      <c r="J65" s="3" t="str">
        <v>Griffons</v>
      </c>
      <c r="K65" s="3" t="str">
        <v>Morning</v>
      </c>
      <c r="L65" s="3" t="str">
        <v>Outdoor court</v>
      </c>
    </row>
    <row r="66" spans="9:12" x14ac:dyDescent="0.45">
      <c r="I66" s="3" t="str">
        <v>Mammoths</v>
      </c>
      <c r="J66" s="3" t="str">
        <v>Griffons</v>
      </c>
      <c r="K66" s="3" t="str">
        <v>Noon</v>
      </c>
      <c r="L66" s="3" t="str">
        <v>Gymnasium</v>
      </c>
    </row>
    <row r="67" spans="9:12" x14ac:dyDescent="0.45">
      <c r="I67" s="3" t="str">
        <v>Mammoths</v>
      </c>
      <c r="J67" s="3" t="str">
        <v>Griffons</v>
      </c>
      <c r="K67" s="3" t="str">
        <v>Noon</v>
      </c>
      <c r="L67" s="3" t="str">
        <v>Outdoor court</v>
      </c>
    </row>
    <row r="68" spans="9:12" x14ac:dyDescent="0.45">
      <c r="I68" s="3" t="str">
        <v>Mammoths</v>
      </c>
      <c r="J68" s="3" t="str">
        <v>Griffons</v>
      </c>
      <c r="K68" s="3" t="str">
        <v>Night</v>
      </c>
      <c r="L68" s="3" t="str">
        <v>Gymnasium</v>
      </c>
    </row>
    <row r="69" spans="9:12" x14ac:dyDescent="0.45">
      <c r="I69" s="3" t="str">
        <v>Mammoths</v>
      </c>
      <c r="J69" s="3" t="str">
        <v>Griffons</v>
      </c>
      <c r="K69" s="3" t="str">
        <v>Night</v>
      </c>
      <c r="L69" s="3" t="str">
        <v>Outdoor court</v>
      </c>
    </row>
    <row r="70" spans="9:12" x14ac:dyDescent="0.45">
      <c r="I70" s="3" t="str">
        <v>Wildcats</v>
      </c>
      <c r="J70" s="3" t="str">
        <v>Stars</v>
      </c>
      <c r="K70" s="3" t="str">
        <v>Morning</v>
      </c>
      <c r="L70" s="3" t="str">
        <v>Gymnasium</v>
      </c>
    </row>
    <row r="71" spans="9:12" x14ac:dyDescent="0.45">
      <c r="I71" s="3" t="str">
        <v>Wildcats</v>
      </c>
      <c r="J71" s="3" t="str">
        <v>Stars</v>
      </c>
      <c r="K71" s="3" t="str">
        <v>Morning</v>
      </c>
      <c r="L71" s="3" t="str">
        <v>Outdoor court</v>
      </c>
    </row>
    <row r="72" spans="9:12" x14ac:dyDescent="0.45">
      <c r="I72" s="3" t="str">
        <v>Wildcats</v>
      </c>
      <c r="J72" s="3" t="str">
        <v>Stars</v>
      </c>
      <c r="K72" s="3" t="str">
        <v>Noon</v>
      </c>
      <c r="L72" s="3" t="str">
        <v>Gymnasium</v>
      </c>
    </row>
    <row r="73" spans="9:12" x14ac:dyDescent="0.45">
      <c r="I73" s="3" t="str">
        <v>Wildcats</v>
      </c>
      <c r="J73" s="3" t="str">
        <v>Stars</v>
      </c>
      <c r="K73" s="3" t="str">
        <v>Noon</v>
      </c>
      <c r="L73" s="3" t="str">
        <v>Outdoor court</v>
      </c>
    </row>
    <row r="74" spans="9:12" x14ac:dyDescent="0.45">
      <c r="I74" s="3" t="str">
        <v>Wildcats</v>
      </c>
      <c r="J74" s="3" t="str">
        <v>Stars</v>
      </c>
      <c r="K74" s="3" t="str">
        <v>Night</v>
      </c>
      <c r="L74" s="3" t="str">
        <v>Gymnasium</v>
      </c>
    </row>
    <row r="75" spans="9:12" x14ac:dyDescent="0.45">
      <c r="I75" s="3" t="str">
        <v>Wildcats</v>
      </c>
      <c r="J75" s="3" t="str">
        <v>Stars</v>
      </c>
      <c r="K75" s="3" t="str">
        <v>Night</v>
      </c>
      <c r="L75" s="3" t="str">
        <v>Outdoor court</v>
      </c>
    </row>
    <row r="76" spans="9:12" x14ac:dyDescent="0.45">
      <c r="I76" s="3" t="str">
        <v>Wildcats</v>
      </c>
      <c r="J76" s="3" t="str">
        <v>Buzz</v>
      </c>
      <c r="K76" s="3" t="str">
        <v>Morning</v>
      </c>
      <c r="L76" s="3" t="str">
        <v>Gymnasium</v>
      </c>
    </row>
    <row r="77" spans="9:12" x14ac:dyDescent="0.45">
      <c r="I77" s="3" t="str">
        <v>Wildcats</v>
      </c>
      <c r="J77" s="3" t="str">
        <v>Buzz</v>
      </c>
      <c r="K77" s="3" t="str">
        <v>Morning</v>
      </c>
      <c r="L77" s="3" t="str">
        <v>Outdoor court</v>
      </c>
    </row>
    <row r="78" spans="9:12" x14ac:dyDescent="0.45">
      <c r="I78" s="3" t="str">
        <v>Wildcats</v>
      </c>
      <c r="J78" s="3" t="str">
        <v>Buzz</v>
      </c>
      <c r="K78" s="3" t="str">
        <v>Noon</v>
      </c>
      <c r="L78" s="3" t="str">
        <v>Gymnasium</v>
      </c>
    </row>
    <row r="79" spans="9:12" x14ac:dyDescent="0.45">
      <c r="I79" s="3" t="str">
        <v>Wildcats</v>
      </c>
      <c r="J79" s="3" t="str">
        <v>Buzz</v>
      </c>
      <c r="K79" s="3" t="str">
        <v>Noon</v>
      </c>
      <c r="L79" s="3" t="str">
        <v>Outdoor court</v>
      </c>
    </row>
    <row r="80" spans="9:12" x14ac:dyDescent="0.45">
      <c r="I80" s="3" t="str">
        <v>Wildcats</v>
      </c>
      <c r="J80" s="3" t="str">
        <v>Buzz</v>
      </c>
      <c r="K80" s="3" t="str">
        <v>Night</v>
      </c>
      <c r="L80" s="3" t="str">
        <v>Gymnasium</v>
      </c>
    </row>
    <row r="81" spans="9:12" x14ac:dyDescent="0.45">
      <c r="I81" s="3" t="str">
        <v>Wildcats</v>
      </c>
      <c r="J81" s="3" t="str">
        <v>Buzz</v>
      </c>
      <c r="K81" s="3" t="str">
        <v>Night</v>
      </c>
      <c r="L81" s="3" t="str">
        <v>Outdoor court</v>
      </c>
    </row>
    <row r="82" spans="9:12" x14ac:dyDescent="0.45">
      <c r="I82" s="3" t="str">
        <v>Wildcats</v>
      </c>
      <c r="J82" s="3" t="str">
        <v>Griffons</v>
      </c>
      <c r="K82" s="3" t="str">
        <v>Morning</v>
      </c>
      <c r="L82" s="3" t="str">
        <v>Gymnasium</v>
      </c>
    </row>
    <row r="83" spans="9:12" x14ac:dyDescent="0.45">
      <c r="I83" s="3" t="str">
        <v>Wildcats</v>
      </c>
      <c r="J83" s="3" t="str">
        <v>Griffons</v>
      </c>
      <c r="K83" s="3" t="str">
        <v>Morning</v>
      </c>
      <c r="L83" s="3" t="str">
        <v>Outdoor court</v>
      </c>
    </row>
    <row r="84" spans="9:12" x14ac:dyDescent="0.45">
      <c r="I84" s="3" t="str">
        <v>Wildcats</v>
      </c>
      <c r="J84" s="3" t="str">
        <v>Griffons</v>
      </c>
      <c r="K84" s="3" t="str">
        <v>Noon</v>
      </c>
      <c r="L84" s="3" t="str">
        <v>Gymnasium</v>
      </c>
    </row>
    <row r="85" spans="9:12" x14ac:dyDescent="0.45">
      <c r="I85" s="3" t="str">
        <v>Wildcats</v>
      </c>
      <c r="J85" s="3" t="str">
        <v>Griffons</v>
      </c>
      <c r="K85" s="3" t="str">
        <v>Noon</v>
      </c>
      <c r="L85" s="3" t="str">
        <v>Outdoor court</v>
      </c>
    </row>
    <row r="86" spans="9:12" x14ac:dyDescent="0.45">
      <c r="I86" s="3" t="str">
        <v>Wildcats</v>
      </c>
      <c r="J86" s="3" t="str">
        <v>Griffons</v>
      </c>
      <c r="K86" s="3" t="str">
        <v>Night</v>
      </c>
      <c r="L86" s="3" t="str">
        <v>Gymnasium</v>
      </c>
    </row>
    <row r="87" spans="9:12" x14ac:dyDescent="0.45">
      <c r="I87" s="3" t="str">
        <v>Wildcats</v>
      </c>
      <c r="J87" s="3" t="str">
        <v>Griffons</v>
      </c>
      <c r="K87" s="3" t="str">
        <v>Night</v>
      </c>
      <c r="L87" s="3" t="str">
        <v>Outdoor court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2D03-53F9-4D02-AEA4-8AB9EE8DB88D}">
  <sheetPr>
    <tabColor rgb="FFC6DDFF"/>
  </sheetPr>
  <dimension ref="B2:M27"/>
  <sheetViews>
    <sheetView workbookViewId="0"/>
  </sheetViews>
  <sheetFormatPr defaultRowHeight="16.5" x14ac:dyDescent="0.45"/>
  <cols>
    <col min="1" max="1" width="5.08203125" customWidth="1"/>
    <col min="8" max="8" width="5.5" customWidth="1"/>
  </cols>
  <sheetData>
    <row r="2" spans="2:13" x14ac:dyDescent="0.45">
      <c r="B2" s="38" t="s">
        <v>266</v>
      </c>
    </row>
    <row r="3" spans="2:13" x14ac:dyDescent="0.45">
      <c r="B3" s="38"/>
    </row>
    <row r="4" spans="2:13" ht="19.5" customHeight="1" thickBot="1" x14ac:dyDescent="0.5">
      <c r="B4" s="20" t="s">
        <v>267</v>
      </c>
      <c r="I4" s="20" t="s">
        <v>268</v>
      </c>
    </row>
    <row r="5" spans="2:13" ht="30" customHeight="1" thickTop="1" x14ac:dyDescent="0.45">
      <c r="B5" s="96">
        <v>72</v>
      </c>
      <c r="C5" s="97">
        <v>100</v>
      </c>
      <c r="D5" s="92">
        <v>65</v>
      </c>
      <c r="E5" s="89">
        <v>7</v>
      </c>
      <c r="F5" s="74">
        <v>58</v>
      </c>
      <c r="G5" s="74">
        <v>9</v>
      </c>
      <c r="I5" s="75">
        <v>1</v>
      </c>
      <c r="J5" s="75">
        <v>2</v>
      </c>
      <c r="K5" s="75">
        <v>1</v>
      </c>
    </row>
    <row r="6" spans="2:13" ht="30" customHeight="1" thickBot="1" x14ac:dyDescent="0.5">
      <c r="B6" s="98">
        <v>75</v>
      </c>
      <c r="C6" s="99">
        <v>58</v>
      </c>
      <c r="D6" s="93">
        <v>57</v>
      </c>
      <c r="E6" s="89">
        <v>31</v>
      </c>
      <c r="F6" s="74">
        <v>89</v>
      </c>
      <c r="G6" s="74">
        <v>14</v>
      </c>
      <c r="I6" s="75">
        <v>2</v>
      </c>
      <c r="J6" s="75">
        <v>4</v>
      </c>
      <c r="K6" s="75">
        <v>2</v>
      </c>
    </row>
    <row r="7" spans="2:13" ht="30" customHeight="1" thickTop="1" thickBot="1" x14ac:dyDescent="0.5">
      <c r="B7" s="94">
        <v>54</v>
      </c>
      <c r="C7" s="95">
        <v>71</v>
      </c>
      <c r="D7" s="91">
        <v>58</v>
      </c>
      <c r="E7" s="89">
        <v>96</v>
      </c>
      <c r="F7" s="74">
        <v>40</v>
      </c>
      <c r="G7" s="74">
        <v>3</v>
      </c>
      <c r="I7" s="75">
        <v>1</v>
      </c>
      <c r="J7" s="75">
        <v>2</v>
      </c>
      <c r="K7" s="75">
        <v>1</v>
      </c>
    </row>
    <row r="8" spans="2:13" ht="30" customHeight="1" thickTop="1" x14ac:dyDescent="0.45">
      <c r="B8" s="90">
        <v>65</v>
      </c>
      <c r="C8" s="90">
        <v>74</v>
      </c>
      <c r="D8" s="90">
        <v>21</v>
      </c>
      <c r="E8" s="74">
        <v>83</v>
      </c>
      <c r="F8" s="74">
        <v>100</v>
      </c>
      <c r="G8" s="74">
        <v>43</v>
      </c>
      <c r="I8" s="20" t="s">
        <v>271</v>
      </c>
    </row>
    <row r="9" spans="2:13" ht="30" customHeight="1" x14ac:dyDescent="0.45">
      <c r="B9" s="74">
        <v>57</v>
      </c>
      <c r="C9" s="74">
        <v>35</v>
      </c>
      <c r="D9" s="74">
        <v>58</v>
      </c>
      <c r="E9" s="74">
        <v>70</v>
      </c>
      <c r="F9" s="74">
        <v>9</v>
      </c>
      <c r="G9" s="74">
        <v>79</v>
      </c>
      <c r="I9" s="77">
        <v>1</v>
      </c>
      <c r="J9" s="77">
        <v>1</v>
      </c>
    </row>
    <row r="10" spans="2:13" ht="30" customHeight="1" x14ac:dyDescent="0.45">
      <c r="B10" s="74">
        <v>67</v>
      </c>
      <c r="C10" s="74">
        <v>63</v>
      </c>
      <c r="D10" s="74">
        <v>84</v>
      </c>
      <c r="E10" s="74">
        <v>55</v>
      </c>
      <c r="F10" s="74">
        <v>60</v>
      </c>
      <c r="G10" s="74">
        <v>14</v>
      </c>
      <c r="I10" s="77">
        <v>1</v>
      </c>
      <c r="J10" s="77">
        <v>1</v>
      </c>
      <c r="K10" s="76"/>
    </row>
    <row r="11" spans="2:13" ht="17.5" x14ac:dyDescent="0.45">
      <c r="I11" s="76"/>
      <c r="J11" s="76"/>
      <c r="K11" s="76"/>
    </row>
    <row r="13" spans="2:13" x14ac:dyDescent="0.45">
      <c r="B13" s="20" t="s">
        <v>270</v>
      </c>
      <c r="I13" s="20" t="s">
        <v>273</v>
      </c>
    </row>
    <row r="14" spans="2:13" x14ac:dyDescent="0.45">
      <c r="B14" s="4" t="s">
        <v>269</v>
      </c>
      <c r="I14" s="4" t="s">
        <v>272</v>
      </c>
    </row>
    <row r="15" spans="2:13" ht="17.5" x14ac:dyDescent="0.45">
      <c r="B15" s="74" cm="1">
        <f t="array" ref="B15:E18">Convolveλ(ConvolutionMatrix,Kernel_1)</f>
        <v>1087</v>
      </c>
      <c r="C15" s="74">
        <v>926</v>
      </c>
      <c r="D15" s="74">
        <v>843</v>
      </c>
      <c r="E15" s="74">
        <v>757</v>
      </c>
      <c r="I15" s="78" cm="1">
        <f t="array" ref="I15:M19">Convolveλ(ConvolutionMatrix,Kernel_2,_xleta.AVERAGE)</f>
        <v>76.25</v>
      </c>
      <c r="J15" s="78">
        <v>70</v>
      </c>
      <c r="K15" s="78">
        <v>40</v>
      </c>
      <c r="L15" s="78">
        <v>46.25</v>
      </c>
      <c r="M15" s="78">
        <v>42.5</v>
      </c>
    </row>
    <row r="16" spans="2:13" ht="17.5" x14ac:dyDescent="0.45">
      <c r="B16" s="74">
        <v>990</v>
      </c>
      <c r="C16" s="74">
        <v>968</v>
      </c>
      <c r="D16" s="74">
        <v>1075</v>
      </c>
      <c r="E16" s="74">
        <v>907</v>
      </c>
      <c r="I16" s="78">
        <v>64.5</v>
      </c>
      <c r="J16" s="78">
        <v>61</v>
      </c>
      <c r="K16" s="78">
        <v>60.5</v>
      </c>
      <c r="L16" s="78">
        <v>64</v>
      </c>
      <c r="M16" s="78">
        <v>36.5</v>
      </c>
    </row>
    <row r="17" spans="2:13" ht="17.5" x14ac:dyDescent="0.45">
      <c r="B17" s="74">
        <v>907</v>
      </c>
      <c r="C17" s="74">
        <v>902</v>
      </c>
      <c r="D17" s="74">
        <v>1071</v>
      </c>
      <c r="E17" s="74">
        <v>998</v>
      </c>
      <c r="I17" s="78">
        <v>66</v>
      </c>
      <c r="J17" s="78">
        <v>56</v>
      </c>
      <c r="K17" s="78">
        <v>64.5</v>
      </c>
      <c r="L17" s="78">
        <v>79.75</v>
      </c>
      <c r="M17" s="78">
        <v>46.5</v>
      </c>
    </row>
    <row r="18" spans="2:13" ht="17.5" x14ac:dyDescent="0.45">
      <c r="B18" s="74">
        <v>881</v>
      </c>
      <c r="C18" s="74">
        <v>927</v>
      </c>
      <c r="D18" s="74">
        <v>955</v>
      </c>
      <c r="E18" s="74">
        <v>849</v>
      </c>
      <c r="I18" s="78">
        <v>57.75</v>
      </c>
      <c r="J18" s="78">
        <v>47</v>
      </c>
      <c r="K18" s="78">
        <v>58</v>
      </c>
      <c r="L18" s="78">
        <v>65.5</v>
      </c>
      <c r="M18" s="78">
        <v>57.75</v>
      </c>
    </row>
    <row r="19" spans="2:13" ht="17.5" x14ac:dyDescent="0.45">
      <c r="I19" s="78">
        <v>55.5</v>
      </c>
      <c r="J19" s="78">
        <v>60</v>
      </c>
      <c r="K19" s="78">
        <v>66.75</v>
      </c>
      <c r="L19" s="78">
        <v>48.5</v>
      </c>
      <c r="M19" s="78">
        <v>40.5</v>
      </c>
    </row>
    <row r="21" spans="2:13" x14ac:dyDescent="0.45">
      <c r="I21" s="38" t="s">
        <v>275</v>
      </c>
    </row>
    <row r="22" spans="2:13" x14ac:dyDescent="0.45">
      <c r="I22" s="4" t="s">
        <v>274</v>
      </c>
    </row>
    <row r="23" spans="2:13" ht="17.5" x14ac:dyDescent="0.45">
      <c r="I23" s="78" cm="1">
        <f t="array" ref="I23:M27">Convolveλ(ConvolutionMatrix,Kernel_2,_xleta.MAX)</f>
        <v>100</v>
      </c>
      <c r="J23" s="78">
        <v>100</v>
      </c>
      <c r="K23" s="78">
        <v>65</v>
      </c>
      <c r="L23" s="78">
        <v>89</v>
      </c>
      <c r="M23" s="78">
        <v>89</v>
      </c>
    </row>
    <row r="24" spans="2:13" ht="17.5" x14ac:dyDescent="0.45">
      <c r="I24" s="78">
        <v>75</v>
      </c>
      <c r="J24" s="78">
        <v>71</v>
      </c>
      <c r="K24" s="78">
        <v>96</v>
      </c>
      <c r="L24" s="78">
        <v>96</v>
      </c>
      <c r="M24" s="78">
        <v>89</v>
      </c>
    </row>
    <row r="25" spans="2:13" ht="17.5" x14ac:dyDescent="0.45">
      <c r="I25" s="78">
        <v>74</v>
      </c>
      <c r="J25" s="78">
        <v>74</v>
      </c>
      <c r="K25" s="78">
        <v>96</v>
      </c>
      <c r="L25" s="78">
        <v>100</v>
      </c>
      <c r="M25" s="78">
        <v>100</v>
      </c>
    </row>
    <row r="26" spans="2:13" ht="17.5" x14ac:dyDescent="0.45">
      <c r="I26" s="78">
        <v>74</v>
      </c>
      <c r="J26" s="78">
        <v>74</v>
      </c>
      <c r="K26" s="78">
        <v>83</v>
      </c>
      <c r="L26" s="78">
        <v>100</v>
      </c>
      <c r="M26" s="78">
        <v>100</v>
      </c>
    </row>
    <row r="27" spans="2:13" ht="17.5" x14ac:dyDescent="0.45">
      <c r="I27" s="78">
        <v>67</v>
      </c>
      <c r="J27" s="78">
        <v>84</v>
      </c>
      <c r="K27" s="78">
        <v>84</v>
      </c>
      <c r="L27" s="78">
        <v>70</v>
      </c>
      <c r="M27" s="78">
        <v>79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DA7B1-D49B-4E2B-A9F4-AA97022A9067}">
  <sheetPr>
    <tabColor rgb="FFFFECB3"/>
  </sheetPr>
  <dimension ref="B2:Q31"/>
  <sheetViews>
    <sheetView workbookViewId="0"/>
  </sheetViews>
  <sheetFormatPr defaultRowHeight="16.5" x14ac:dyDescent="0.45"/>
  <cols>
    <col min="1" max="1" width="5.08203125" customWidth="1"/>
    <col min="2" max="11" width="6.58203125" style="46" customWidth="1"/>
    <col min="12" max="12" width="3.83203125" bestFit="1" customWidth="1"/>
    <col min="13" max="13" width="17.9140625" customWidth="1"/>
    <col min="14" max="14" width="22.9140625" customWidth="1"/>
    <col min="15" max="16" width="14" bestFit="1" customWidth="1"/>
    <col min="17" max="17" width="14.33203125" bestFit="1" customWidth="1"/>
  </cols>
  <sheetData>
    <row r="2" spans="2:17" x14ac:dyDescent="0.45">
      <c r="B2" s="68" t="s">
        <v>185</v>
      </c>
    </row>
    <row r="3" spans="2:17" x14ac:dyDescent="0.45">
      <c r="B3" s="69" cm="1">
        <f t="array" ref="B3:K12">_xlfn.SEQUENCE(10,10)</f>
        <v>1</v>
      </c>
      <c r="C3" s="69">
        <v>2</v>
      </c>
      <c r="D3" s="69">
        <v>3</v>
      </c>
      <c r="E3" s="69">
        <v>4</v>
      </c>
      <c r="F3" s="69">
        <v>5</v>
      </c>
      <c r="G3" s="69">
        <v>6</v>
      </c>
      <c r="H3" s="69">
        <v>7</v>
      </c>
      <c r="I3" s="69">
        <v>8</v>
      </c>
      <c r="J3" s="69">
        <v>9</v>
      </c>
      <c r="K3" s="69">
        <v>10</v>
      </c>
      <c r="M3" s="38" t="s">
        <v>125</v>
      </c>
    </row>
    <row r="4" spans="2:17" x14ac:dyDescent="0.45">
      <c r="B4" s="69">
        <v>11</v>
      </c>
      <c r="C4" s="69">
        <v>12</v>
      </c>
      <c r="D4" s="69">
        <v>13</v>
      </c>
      <c r="E4" s="69">
        <v>14</v>
      </c>
      <c r="F4" s="69">
        <v>15</v>
      </c>
      <c r="G4" s="69">
        <v>16</v>
      </c>
      <c r="H4" s="69">
        <v>17</v>
      </c>
      <c r="I4" s="69">
        <v>18</v>
      </c>
      <c r="J4" s="69">
        <v>19</v>
      </c>
      <c r="K4" s="69">
        <v>20</v>
      </c>
    </row>
    <row r="5" spans="2:17" x14ac:dyDescent="0.45">
      <c r="B5" s="69">
        <v>21</v>
      </c>
      <c r="C5" s="69">
        <v>22</v>
      </c>
      <c r="D5" s="69">
        <v>23</v>
      </c>
      <c r="E5" s="69">
        <v>24</v>
      </c>
      <c r="F5" s="69">
        <v>25</v>
      </c>
      <c r="G5" s="69">
        <v>26</v>
      </c>
      <c r="H5" s="69">
        <v>27</v>
      </c>
      <c r="I5" s="69">
        <v>28</v>
      </c>
      <c r="J5" s="69">
        <v>29</v>
      </c>
      <c r="K5" s="69">
        <v>30</v>
      </c>
    </row>
    <row r="6" spans="2:17" x14ac:dyDescent="0.45">
      <c r="B6" s="69">
        <v>31</v>
      </c>
      <c r="C6" s="69">
        <v>32</v>
      </c>
      <c r="D6" s="69">
        <v>33</v>
      </c>
      <c r="E6" s="69">
        <v>34</v>
      </c>
      <c r="F6" s="69">
        <v>35</v>
      </c>
      <c r="G6" s="69">
        <v>36</v>
      </c>
      <c r="H6" s="69">
        <v>37</v>
      </c>
      <c r="I6" s="69">
        <v>38</v>
      </c>
      <c r="J6" s="69">
        <v>39</v>
      </c>
      <c r="K6" s="69">
        <v>40</v>
      </c>
    </row>
    <row r="7" spans="2:17" x14ac:dyDescent="0.45">
      <c r="B7" s="69">
        <v>41</v>
      </c>
      <c r="C7" s="69">
        <v>42</v>
      </c>
      <c r="D7" s="69">
        <v>43</v>
      </c>
      <c r="E7" s="69">
        <v>44</v>
      </c>
      <c r="F7" s="69">
        <v>45</v>
      </c>
      <c r="G7" s="69">
        <v>46</v>
      </c>
      <c r="H7" s="69">
        <v>47</v>
      </c>
      <c r="I7" s="69">
        <v>48</v>
      </c>
      <c r="J7" s="69">
        <v>49</v>
      </c>
      <c r="K7" s="69">
        <v>50</v>
      </c>
    </row>
    <row r="8" spans="2:17" x14ac:dyDescent="0.45">
      <c r="B8" s="69">
        <v>51</v>
      </c>
      <c r="C8" s="69">
        <v>52</v>
      </c>
      <c r="D8" s="69">
        <v>53</v>
      </c>
      <c r="E8" s="69">
        <v>54</v>
      </c>
      <c r="F8" s="69">
        <v>55</v>
      </c>
      <c r="G8" s="69">
        <v>56</v>
      </c>
      <c r="H8" s="69">
        <v>57</v>
      </c>
      <c r="I8" s="69">
        <v>58</v>
      </c>
      <c r="J8" s="69">
        <v>59</v>
      </c>
      <c r="K8" s="69">
        <v>60</v>
      </c>
    </row>
    <row r="9" spans="2:17" x14ac:dyDescent="0.45">
      <c r="B9" s="69">
        <v>61</v>
      </c>
      <c r="C9" s="69">
        <v>62</v>
      </c>
      <c r="D9" s="69">
        <v>63</v>
      </c>
      <c r="E9" s="69">
        <v>64</v>
      </c>
      <c r="F9" s="69">
        <v>65</v>
      </c>
      <c r="G9" s="69">
        <v>66</v>
      </c>
      <c r="H9" s="69">
        <v>67</v>
      </c>
      <c r="I9" s="69">
        <v>68</v>
      </c>
      <c r="J9" s="69">
        <v>69</v>
      </c>
      <c r="K9" s="69">
        <v>70</v>
      </c>
    </row>
    <row r="10" spans="2:17" x14ac:dyDescent="0.45">
      <c r="B10" s="69">
        <v>71</v>
      </c>
      <c r="C10" s="69">
        <v>72</v>
      </c>
      <c r="D10" s="69">
        <v>73</v>
      </c>
      <c r="E10" s="69">
        <v>74</v>
      </c>
      <c r="F10" s="69">
        <v>75</v>
      </c>
      <c r="G10" s="69">
        <v>76</v>
      </c>
      <c r="H10" s="69">
        <v>77</v>
      </c>
      <c r="I10" s="69">
        <v>78</v>
      </c>
      <c r="J10" s="69">
        <v>79</v>
      </c>
      <c r="K10" s="69">
        <v>80</v>
      </c>
    </row>
    <row r="11" spans="2:17" x14ac:dyDescent="0.45">
      <c r="B11" s="69">
        <v>81</v>
      </c>
      <c r="C11" s="69">
        <v>82</v>
      </c>
      <c r="D11" s="69">
        <v>83</v>
      </c>
      <c r="E11" s="69">
        <v>84</v>
      </c>
      <c r="F11" s="69">
        <v>85</v>
      </c>
      <c r="G11" s="69">
        <v>86</v>
      </c>
      <c r="H11" s="69">
        <v>87</v>
      </c>
      <c r="I11" s="69">
        <v>88</v>
      </c>
      <c r="J11" s="69">
        <v>89</v>
      </c>
      <c r="K11" s="69">
        <v>90</v>
      </c>
    </row>
    <row r="12" spans="2:17" x14ac:dyDescent="0.45">
      <c r="B12" s="69">
        <v>91</v>
      </c>
      <c r="C12" s="69">
        <v>92</v>
      </c>
      <c r="D12" s="69">
        <v>93</v>
      </c>
      <c r="E12" s="69">
        <v>94</v>
      </c>
      <c r="F12" s="69">
        <v>95</v>
      </c>
      <c r="G12" s="69">
        <v>96</v>
      </c>
      <c r="H12" s="69">
        <v>97</v>
      </c>
      <c r="I12" s="69">
        <v>98</v>
      </c>
      <c r="J12" s="69">
        <v>99</v>
      </c>
      <c r="K12" s="69">
        <v>100</v>
      </c>
    </row>
    <row r="14" spans="2:17" x14ac:dyDescent="0.45">
      <c r="B14" s="36"/>
      <c r="C14" s="36"/>
      <c r="D14" s="36"/>
      <c r="E14" s="36"/>
      <c r="F14" s="36"/>
      <c r="G14" s="36"/>
      <c r="H14" s="36"/>
      <c r="I14" s="36"/>
      <c r="J14" s="48" t="s">
        <v>122</v>
      </c>
      <c r="K14" s="36"/>
      <c r="N14" s="36"/>
      <c r="O14" s="36"/>
      <c r="P14" s="36"/>
      <c r="Q14" s="36"/>
    </row>
    <row r="15" spans="2:17" x14ac:dyDescent="0.45">
      <c r="B15" s="36"/>
      <c r="C15" s="36"/>
      <c r="D15" s="36"/>
      <c r="E15" s="36"/>
      <c r="F15" s="36"/>
      <c r="G15" s="36"/>
      <c r="H15" s="36"/>
      <c r="I15" s="36"/>
      <c r="J15" s="47" t="s">
        <v>120</v>
      </c>
      <c r="K15" s="36"/>
      <c r="M15" s="100" t="e" cm="1" vm="10">
        <f t="array" ref="M15:Q19">Blocksλ(_xlfn.ANCHORARRAY(B3),2,2)</f>
        <v>#VALUE!</v>
      </c>
      <c r="N15" s="100" t="e" vm="11">
        <v>#VALUE!</v>
      </c>
      <c r="O15" s="100" t="e" vm="12">
        <v>#VALUE!</v>
      </c>
      <c r="P15" s="100" t="e" vm="13">
        <v>#VALUE!</v>
      </c>
      <c r="Q15" s="100" t="e" vm="14">
        <v>#VALUE!</v>
      </c>
    </row>
    <row r="16" spans="2:17" x14ac:dyDescent="0.45">
      <c r="B16" s="36"/>
      <c r="C16" s="36"/>
      <c r="D16" s="36"/>
      <c r="E16" s="36"/>
      <c r="F16" s="36"/>
      <c r="G16" s="36"/>
      <c r="H16" s="36"/>
      <c r="I16" s="36"/>
      <c r="J16" s="36"/>
      <c r="K16" s="36"/>
      <c r="M16" s="100" t="e" vm="15">
        <v>#VALUE!</v>
      </c>
      <c r="N16" s="100" t="e" vm="16">
        <v>#VALUE!</v>
      </c>
      <c r="O16" s="100" t="e" vm="17">
        <v>#VALUE!</v>
      </c>
      <c r="P16" s="100" t="e" vm="18">
        <v>#VALUE!</v>
      </c>
      <c r="Q16" s="100" t="e" vm="19">
        <v>#VALUE!</v>
      </c>
    </row>
    <row r="17" spans="2:17" x14ac:dyDescent="0.45">
      <c r="B17" s="36"/>
      <c r="C17" s="36"/>
      <c r="D17" s="36"/>
      <c r="E17" s="36"/>
      <c r="F17" s="36"/>
      <c r="G17" s="36"/>
      <c r="H17" s="36"/>
      <c r="I17" s="36"/>
      <c r="J17" s="36"/>
      <c r="K17" s="36"/>
      <c r="M17" s="100" t="e" vm="20">
        <v>#VALUE!</v>
      </c>
      <c r="N17" s="100" t="e" vm="21">
        <v>#VALUE!</v>
      </c>
      <c r="O17" s="100" t="e" vm="22">
        <v>#VALUE!</v>
      </c>
      <c r="P17" s="100" t="e" vm="23">
        <v>#VALUE!</v>
      </c>
      <c r="Q17" s="100" t="e" vm="24">
        <v>#VALUE!</v>
      </c>
    </row>
    <row r="18" spans="2:17" ht="31.5" customHeight="1" x14ac:dyDescent="0.45">
      <c r="B18" s="36"/>
      <c r="C18" s="36"/>
      <c r="D18" s="36"/>
      <c r="E18" s="36"/>
      <c r="F18" s="36"/>
      <c r="G18" s="36"/>
      <c r="H18" s="36"/>
      <c r="I18" s="36"/>
      <c r="J18" s="36"/>
      <c r="K18" s="36"/>
      <c r="M18" s="100" t="e" vm="25">
        <v>#VALUE!</v>
      </c>
      <c r="N18" s="100" t="e" vm="26">
        <v>#VALUE!</v>
      </c>
      <c r="O18" s="100" t="e" vm="27">
        <v>#VALUE!</v>
      </c>
      <c r="P18" s="100" t="e" vm="28">
        <v>#VALUE!</v>
      </c>
      <c r="Q18" s="100" t="e" vm="29">
        <v>#VALUE!</v>
      </c>
    </row>
    <row r="19" spans="2:17" x14ac:dyDescent="0.45">
      <c r="B19" s="36"/>
      <c r="C19" s="36"/>
      <c r="D19" s="36"/>
      <c r="E19" s="36"/>
      <c r="F19" s="36"/>
      <c r="G19" s="36"/>
      <c r="H19" s="36"/>
      <c r="I19" s="36"/>
      <c r="J19" s="36"/>
      <c r="K19" s="36"/>
      <c r="M19" s="100" t="e" vm="30">
        <v>#VALUE!</v>
      </c>
      <c r="N19" s="100" t="e" vm="31">
        <v>#VALUE!</v>
      </c>
      <c r="O19" s="100" t="e" vm="32">
        <v>#VALUE!</v>
      </c>
      <c r="P19" s="100" t="e" vm="33">
        <v>#VALUE!</v>
      </c>
      <c r="Q19" s="100" t="e" vm="34">
        <v>#VALUE!</v>
      </c>
    </row>
    <row r="20" spans="2:17" x14ac:dyDescent="0.45">
      <c r="B20" s="36"/>
      <c r="C20" s="36"/>
      <c r="D20" s="36"/>
      <c r="E20" s="36"/>
      <c r="F20" s="36"/>
      <c r="G20" s="36"/>
      <c r="H20" s="36"/>
      <c r="I20" s="36"/>
      <c r="J20" s="36"/>
      <c r="K20" s="36"/>
      <c r="M20" s="45"/>
      <c r="N20" s="45"/>
      <c r="O20" s="36"/>
      <c r="P20" s="36"/>
      <c r="Q20" s="36"/>
    </row>
    <row r="21" spans="2:17" x14ac:dyDescent="0.45">
      <c r="B21" s="36"/>
      <c r="C21" s="36"/>
      <c r="D21" s="36"/>
      <c r="E21" s="36"/>
      <c r="F21" s="36"/>
      <c r="G21" s="36"/>
      <c r="H21" s="36"/>
      <c r="I21" s="36"/>
      <c r="J21" s="36"/>
      <c r="K21" s="36"/>
      <c r="M21" s="45"/>
      <c r="N21" s="45"/>
      <c r="O21" s="36"/>
      <c r="P21" s="36"/>
      <c r="Q21" s="36"/>
    </row>
    <row r="22" spans="2:17" x14ac:dyDescent="0.45">
      <c r="B22" s="36"/>
      <c r="C22" s="36"/>
      <c r="D22" s="36"/>
      <c r="E22" s="36"/>
      <c r="F22" s="36"/>
      <c r="G22" s="36"/>
      <c r="H22" s="36"/>
      <c r="I22" s="36"/>
      <c r="J22" s="36"/>
      <c r="K22" s="36"/>
      <c r="M22" s="45"/>
      <c r="N22" s="45"/>
      <c r="O22" s="36"/>
      <c r="P22" s="36"/>
      <c r="Q22" s="36"/>
    </row>
    <row r="23" spans="2:17" x14ac:dyDescent="0.45">
      <c r="B23" s="36"/>
      <c r="C23" s="36"/>
      <c r="D23" s="36"/>
      <c r="E23" s="36"/>
      <c r="F23" s="36"/>
      <c r="G23" s="36"/>
      <c r="H23" s="36"/>
      <c r="I23" s="36"/>
      <c r="K23" s="36"/>
      <c r="N23" s="45"/>
      <c r="O23" s="36"/>
      <c r="P23" s="36"/>
      <c r="Q23" s="36"/>
    </row>
    <row r="24" spans="2:17" x14ac:dyDescent="0.45">
      <c r="B24" s="36"/>
      <c r="C24" s="36"/>
      <c r="D24" s="36"/>
      <c r="E24" s="36"/>
      <c r="F24" s="36"/>
      <c r="G24" s="36"/>
      <c r="H24" s="36"/>
      <c r="I24" s="36"/>
      <c r="J24" s="48" t="s">
        <v>121</v>
      </c>
      <c r="K24" s="36"/>
      <c r="M24" s="45" t="e" cm="1" vm="35">
        <f t="array" ref="M24:N28">Blocksλ(_xlfn.ANCHORARRAY(B3),2,5)</f>
        <v>#VALUE!</v>
      </c>
      <c r="N24" s="45" t="e" vm="36">
        <v>#VALUE!</v>
      </c>
      <c r="O24" s="36"/>
      <c r="P24" s="36"/>
      <c r="Q24" s="36"/>
    </row>
    <row r="25" spans="2:17" x14ac:dyDescent="0.45">
      <c r="B25" s="36"/>
      <c r="C25" s="36"/>
      <c r="D25" s="36"/>
      <c r="E25" s="36"/>
      <c r="F25" s="36"/>
      <c r="G25" s="36"/>
      <c r="H25" s="36"/>
      <c r="I25" s="36"/>
      <c r="J25" s="47" t="s">
        <v>119</v>
      </c>
      <c r="K25" s="36"/>
      <c r="M25" s="45" t="e" vm="37">
        <v>#VALUE!</v>
      </c>
      <c r="N25" s="45" t="e" vm="38">
        <v>#VALUE!</v>
      </c>
      <c r="O25" s="36"/>
      <c r="P25" s="36"/>
      <c r="Q25" s="36"/>
    </row>
    <row r="26" spans="2:17" x14ac:dyDescent="0.45">
      <c r="B26" s="36"/>
      <c r="C26" s="36"/>
      <c r="D26" s="36"/>
      <c r="E26" s="36"/>
      <c r="F26" s="36"/>
      <c r="G26" s="36"/>
      <c r="H26" s="36"/>
      <c r="I26" s="36"/>
      <c r="J26" s="36"/>
      <c r="K26" s="36"/>
      <c r="M26" s="45" t="e" vm="39">
        <v>#VALUE!</v>
      </c>
      <c r="N26" s="45" t="e" vm="40">
        <v>#VALUE!</v>
      </c>
      <c r="O26" s="36"/>
      <c r="P26" s="36"/>
      <c r="Q26" s="36"/>
    </row>
    <row r="27" spans="2:17" x14ac:dyDescent="0.45">
      <c r="B27" s="36"/>
      <c r="C27" s="36"/>
      <c r="D27" s="36"/>
      <c r="E27" s="36"/>
      <c r="F27" s="36"/>
      <c r="G27" s="36"/>
      <c r="H27" s="36"/>
      <c r="I27" s="36"/>
      <c r="J27" s="36"/>
      <c r="K27" s="36"/>
      <c r="M27" s="45" t="e" vm="41">
        <v>#VALUE!</v>
      </c>
      <c r="N27" s="45" t="e" vm="42">
        <v>#VALUE!</v>
      </c>
      <c r="O27" s="36"/>
      <c r="P27" s="36"/>
      <c r="Q27" s="36"/>
    </row>
    <row r="28" spans="2:17" x14ac:dyDescent="0.45">
      <c r="B28" s="36"/>
      <c r="C28" s="36"/>
      <c r="D28" s="36"/>
      <c r="E28" s="36"/>
      <c r="F28" s="36"/>
      <c r="G28" s="36"/>
      <c r="H28" s="36"/>
      <c r="I28" s="36"/>
      <c r="J28" s="36"/>
      <c r="K28" s="36"/>
      <c r="M28" s="45" t="e" vm="43">
        <v>#VALUE!</v>
      </c>
      <c r="N28" s="45" t="e" vm="44">
        <v>#VALUE!</v>
      </c>
      <c r="O28" s="36"/>
      <c r="P28" s="36"/>
      <c r="Q28" s="36"/>
    </row>
    <row r="29" spans="2:17" x14ac:dyDescent="0.45">
      <c r="B29" s="36"/>
      <c r="C29" s="36"/>
      <c r="D29" s="36"/>
      <c r="E29" s="36"/>
      <c r="F29" s="36"/>
      <c r="G29" s="36"/>
      <c r="H29" s="36"/>
      <c r="I29" s="36"/>
      <c r="J29" s="36"/>
      <c r="K29" s="36"/>
    </row>
    <row r="30" spans="2:17" x14ac:dyDescent="0.45">
      <c r="B30" s="36"/>
      <c r="C30" s="36"/>
      <c r="D30" s="36"/>
      <c r="E30" s="36"/>
      <c r="F30" s="36"/>
      <c r="G30" s="36"/>
      <c r="H30" s="36"/>
      <c r="I30" s="36"/>
      <c r="J30" s="36"/>
      <c r="K30" s="36"/>
    </row>
    <row r="31" spans="2:17" x14ac:dyDescent="0.45">
      <c r="B31" s="36"/>
      <c r="C31" s="36"/>
      <c r="D31" s="36"/>
      <c r="E31" s="36"/>
      <c r="F31" s="36"/>
      <c r="G31" s="36"/>
      <c r="H31" s="36"/>
      <c r="I31" s="36"/>
      <c r="J31" s="36"/>
      <c r="K31" s="36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3C7F7-AC2E-4035-A221-6E75C3197A21}">
  <sheetPr codeName="Sheet3">
    <tabColor rgb="FFFFECB3"/>
  </sheetPr>
  <dimension ref="B1:P24"/>
  <sheetViews>
    <sheetView workbookViewId="0"/>
  </sheetViews>
  <sheetFormatPr defaultRowHeight="16.5" customHeight="1" x14ac:dyDescent="0.45"/>
  <cols>
    <col min="1" max="1" width="5.08203125" customWidth="1"/>
    <col min="2" max="11" width="6.58203125" customWidth="1"/>
    <col min="12" max="12" width="10.5" customWidth="1"/>
    <col min="13" max="13" width="11" customWidth="1"/>
    <col min="14" max="14" width="13.1640625" customWidth="1"/>
    <col min="15" max="15" width="13.58203125" customWidth="1"/>
    <col min="16" max="16" width="13.6640625" customWidth="1"/>
    <col min="17" max="17" width="6.75" bestFit="1" customWidth="1"/>
    <col min="18" max="19" width="5" bestFit="1" customWidth="1"/>
    <col min="20" max="20" width="4.58203125" bestFit="1" customWidth="1"/>
    <col min="21" max="22" width="5" bestFit="1" customWidth="1"/>
    <col min="23" max="23" width="5.08203125" bestFit="1" customWidth="1"/>
    <col min="24" max="25" width="5" bestFit="1" customWidth="1"/>
    <col min="26" max="28" width="5.08203125" bestFit="1" customWidth="1"/>
  </cols>
  <sheetData>
    <row r="1" spans="2:16" x14ac:dyDescent="0.45"/>
    <row r="2" spans="2:16" x14ac:dyDescent="0.45">
      <c r="B2" s="38" t="s">
        <v>29</v>
      </c>
    </row>
    <row r="3" spans="2:16" x14ac:dyDescent="0.45">
      <c r="C3" t="s">
        <v>32</v>
      </c>
    </row>
    <row r="4" spans="2:16" x14ac:dyDescent="0.45">
      <c r="C4" t="s">
        <v>33</v>
      </c>
    </row>
    <row r="5" spans="2:16" x14ac:dyDescent="0.45">
      <c r="B5" s="49" t="s">
        <v>13</v>
      </c>
    </row>
    <row r="6" spans="2:16" x14ac:dyDescent="0.45">
      <c r="C6" t="s">
        <v>34</v>
      </c>
    </row>
    <row r="7" spans="2:16" x14ac:dyDescent="0.45"/>
    <row r="8" spans="2:16" ht="33" customHeight="1" x14ac:dyDescent="0.45">
      <c r="B8" s="15" t="s">
        <v>31</v>
      </c>
      <c r="G8" s="15" t="s">
        <v>35</v>
      </c>
    </row>
    <row r="9" spans="2:16" x14ac:dyDescent="0.45">
      <c r="B9" s="50" cm="1">
        <f t="array" ref="B9:D11">_xlfn.SEQUENCE(3,3)</f>
        <v>1</v>
      </c>
      <c r="C9" s="50">
        <v>2</v>
      </c>
      <c r="D9" s="50">
        <v>3</v>
      </c>
      <c r="G9" s="45">
        <v>102</v>
      </c>
      <c r="H9" s="45">
        <v>105</v>
      </c>
      <c r="I9" s="45">
        <v>110</v>
      </c>
      <c r="J9" s="45">
        <v>115</v>
      </c>
      <c r="K9" s="45">
        <v>120</v>
      </c>
      <c r="L9" s="3"/>
      <c r="M9" s="3"/>
      <c r="N9" s="3"/>
      <c r="O9" s="3"/>
      <c r="P9" s="3"/>
    </row>
    <row r="10" spans="2:16" x14ac:dyDescent="0.45">
      <c r="B10" s="50">
        <v>4</v>
      </c>
      <c r="C10" s="50">
        <v>5</v>
      </c>
      <c r="D10" s="50">
        <v>6</v>
      </c>
      <c r="G10" s="45">
        <v>100</v>
      </c>
      <c r="H10" s="45">
        <v>103</v>
      </c>
      <c r="I10" s="45">
        <v>108</v>
      </c>
      <c r="J10" s="45">
        <v>112</v>
      </c>
      <c r="K10" s="45">
        <v>118</v>
      </c>
      <c r="L10" s="3"/>
      <c r="M10" s="3"/>
      <c r="N10" s="3"/>
      <c r="O10" s="3"/>
      <c r="P10" s="3"/>
    </row>
    <row r="11" spans="2:16" x14ac:dyDescent="0.45">
      <c r="B11" s="50">
        <v>7</v>
      </c>
      <c r="C11" s="50">
        <v>8</v>
      </c>
      <c r="D11" s="50">
        <v>9</v>
      </c>
      <c r="G11" s="45">
        <v>98</v>
      </c>
      <c r="H11" s="45">
        <v>101</v>
      </c>
      <c r="I11" s="45">
        <v>106</v>
      </c>
      <c r="J11" s="45">
        <v>109</v>
      </c>
      <c r="K11" s="45">
        <v>114</v>
      </c>
      <c r="L11" s="3"/>
      <c r="M11" s="3"/>
      <c r="N11" s="3"/>
      <c r="O11" s="3"/>
      <c r="P11" s="3"/>
    </row>
    <row r="12" spans="2:16" x14ac:dyDescent="0.45">
      <c r="B12" s="3"/>
      <c r="C12" s="3"/>
      <c r="G12" s="45">
        <v>95</v>
      </c>
      <c r="H12" s="45">
        <v>99</v>
      </c>
      <c r="I12" s="45">
        <v>104</v>
      </c>
      <c r="J12" s="45">
        <v>107</v>
      </c>
      <c r="K12" s="45">
        <v>111</v>
      </c>
      <c r="L12" s="3"/>
      <c r="M12" s="3"/>
      <c r="N12" s="3"/>
      <c r="O12" s="3"/>
      <c r="P12" s="3"/>
    </row>
    <row r="13" spans="2:16" x14ac:dyDescent="0.45">
      <c r="B13" s="3"/>
      <c r="C13" s="3"/>
      <c r="G13" s="45">
        <v>92</v>
      </c>
      <c r="H13" s="45">
        <v>96</v>
      </c>
      <c r="I13" s="45">
        <v>100</v>
      </c>
      <c r="J13" s="45">
        <v>103</v>
      </c>
      <c r="K13" s="45">
        <v>108</v>
      </c>
      <c r="L13" s="3"/>
      <c r="M13" s="3"/>
      <c r="N13" s="3"/>
      <c r="O13" s="3"/>
      <c r="P13" s="3"/>
    </row>
    <row r="14" spans="2:16" x14ac:dyDescent="0.45"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2:16" x14ac:dyDescent="0.45">
      <c r="B15" s="1"/>
      <c r="C15" s="3"/>
    </row>
    <row r="16" spans="2:16" x14ac:dyDescent="0.45"/>
    <row r="17" spans="2:16" x14ac:dyDescent="0.45"/>
    <row r="18" spans="2:16" x14ac:dyDescent="0.45">
      <c r="B18" s="4" t="s">
        <v>30</v>
      </c>
      <c r="C18" s="3"/>
      <c r="G18" s="16" t="s">
        <v>36</v>
      </c>
      <c r="H18" s="51"/>
      <c r="I18" s="51"/>
      <c r="J18" s="51"/>
      <c r="K18" s="52"/>
      <c r="L18" s="53" t="s">
        <v>123</v>
      </c>
      <c r="M18" s="3"/>
      <c r="N18" s="3"/>
      <c r="O18" s="3"/>
      <c r="P18" s="3"/>
    </row>
    <row r="19" spans="2:16" x14ac:dyDescent="0.45">
      <c r="B19" s="45" t="e" cm="1" vm="45">
        <f t="array" ref="B19:C20">Windowedλ(_xlfn.ANCHORARRAY(B9),2,2)</f>
        <v>#VALUE!</v>
      </c>
      <c r="C19" s="45" t="e" vm="46">
        <v>#VALUE!</v>
      </c>
      <c r="G19" s="100" t="e" cm="1" vm="47">
        <f t="array" ref="G19:H21">Windowedλ(Elevation,3,4)</f>
        <v>#VALUE!</v>
      </c>
      <c r="H19" s="100" t="e" vm="48">
        <v>#VALUE!</v>
      </c>
      <c r="I19" s="45"/>
      <c r="J19" s="45"/>
      <c r="K19" s="3"/>
      <c r="L19" s="100" t="e" cm="1" vm="49">
        <f t="array" ref="L19:O22">Windowedλ(Elevation,2)</f>
        <v>#VALUE!</v>
      </c>
      <c r="M19" s="100" t="e" vm="50">
        <v>#VALUE!</v>
      </c>
      <c r="N19" s="100" t="e" vm="51">
        <v>#VALUE!</v>
      </c>
      <c r="O19" s="100" t="e" vm="52">
        <v>#VALUE!</v>
      </c>
      <c r="P19" s="3"/>
    </row>
    <row r="20" spans="2:16" x14ac:dyDescent="0.45">
      <c r="B20" s="45" t="e" vm="53">
        <v>#VALUE!</v>
      </c>
      <c r="C20" s="45" t="e" vm="54">
        <v>#VALUE!</v>
      </c>
      <c r="G20" s="100" t="e" vm="55">
        <v>#VALUE!</v>
      </c>
      <c r="H20" s="100" t="e" vm="56">
        <v>#VALUE!</v>
      </c>
      <c r="I20" s="45"/>
      <c r="J20" s="45"/>
      <c r="K20" s="3"/>
      <c r="L20" s="100" t="e" vm="57">
        <v>#VALUE!</v>
      </c>
      <c r="M20" s="100" t="e" vm="58">
        <v>#VALUE!</v>
      </c>
      <c r="N20" s="100" t="e" vm="59">
        <v>#VALUE!</v>
      </c>
      <c r="O20" s="100" t="e" vm="60">
        <v>#VALUE!</v>
      </c>
      <c r="P20" s="3"/>
    </row>
    <row r="21" spans="2:16" x14ac:dyDescent="0.45">
      <c r="B21" s="45"/>
      <c r="C21" s="45"/>
      <c r="G21" s="100" t="e" vm="61">
        <v>#VALUE!</v>
      </c>
      <c r="H21" s="100" t="e" vm="62">
        <v>#VALUE!</v>
      </c>
      <c r="I21" s="45"/>
      <c r="J21" s="45"/>
      <c r="K21" s="3"/>
      <c r="L21" s="100" t="e" vm="63">
        <v>#VALUE!</v>
      </c>
      <c r="M21" s="100" t="e" vm="64">
        <v>#VALUE!</v>
      </c>
      <c r="N21" s="100" t="e" vm="65">
        <v>#VALUE!</v>
      </c>
      <c r="O21" s="100" t="e" vm="66">
        <v>#VALUE!</v>
      </c>
      <c r="P21" s="3"/>
    </row>
    <row r="22" spans="2:16" x14ac:dyDescent="0.45">
      <c r="B22" s="45"/>
      <c r="C22" s="45"/>
      <c r="G22" s="45"/>
      <c r="H22" s="45"/>
      <c r="I22" s="45"/>
      <c r="J22" s="45"/>
      <c r="K22" s="3"/>
      <c r="L22" s="100" t="e" vm="67">
        <v>#VALUE!</v>
      </c>
      <c r="M22" s="100" t="e" vm="68">
        <v>#VALUE!</v>
      </c>
      <c r="N22" s="100" t="e" vm="69">
        <v>#VALUE!</v>
      </c>
      <c r="O22" s="100" t="e" vm="70">
        <v>#VALUE!</v>
      </c>
      <c r="P22" s="3"/>
    </row>
    <row r="23" spans="2:16" x14ac:dyDescent="0.45">
      <c r="B23" s="45"/>
      <c r="C23" s="45"/>
      <c r="G23" s="45"/>
      <c r="H23" s="45"/>
      <c r="I23" s="45"/>
      <c r="J23" s="45"/>
      <c r="K23" s="3"/>
      <c r="L23" s="45"/>
      <c r="M23" s="45"/>
      <c r="N23" s="45"/>
      <c r="O23" s="3"/>
      <c r="P23" s="3"/>
    </row>
    <row r="24" spans="2:16" x14ac:dyDescent="0.45">
      <c r="B24" s="45"/>
      <c r="C24" s="45"/>
      <c r="G24" s="45"/>
      <c r="H24" s="45"/>
      <c r="I24" s="45"/>
      <c r="J24" s="45"/>
      <c r="K24" s="3"/>
      <c r="L24" s="45"/>
      <c r="M24" s="45"/>
      <c r="N24" s="45"/>
    </row>
  </sheetData>
  <conditionalFormatting sqref="G19:J24">
    <cfRule type="colorScale" priority="21">
      <colorScale>
        <cfvo type="min"/>
        <cfvo type="percentile" val="50"/>
        <cfvo type="max"/>
        <color rgb="FF1F4E79"/>
        <color rgb="FFD9D9D9"/>
        <color rgb="FFF4B183"/>
      </colorScale>
    </cfRule>
  </conditionalFormatting>
  <conditionalFormatting sqref="G9:K13">
    <cfRule type="colorScale" priority="13">
      <colorScale>
        <cfvo type="min"/>
        <cfvo type="percentile" val="50"/>
        <cfvo type="max"/>
        <color rgb="FF1F4E79"/>
        <color rgb="FFD9D9D9"/>
        <color rgb="FFF4B183"/>
      </colorScale>
    </cfRule>
  </conditionalFormatting>
  <conditionalFormatting sqref="L19:N24">
    <cfRule type="colorScale" priority="24">
      <colorScale>
        <cfvo type="min"/>
        <cfvo type="percentile" val="50"/>
        <cfvo type="max"/>
        <color rgb="FF1F4E79"/>
        <color rgb="FFD9D9D9"/>
        <color rgb="FFF4B183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D6DBF-7237-479E-9CDA-804A97CF5119}">
  <sheetPr codeName="Sheet2">
    <tabColor rgb="FFFFECB3"/>
  </sheetPr>
  <dimension ref="B1:Z26"/>
  <sheetViews>
    <sheetView zoomScaleNormal="100" workbookViewId="0"/>
  </sheetViews>
  <sheetFormatPr defaultRowHeight="16.5" customHeight="1" x14ac:dyDescent="0.45"/>
  <cols>
    <col min="1" max="1" width="5.08203125" customWidth="1"/>
    <col min="2" max="2" width="5.5" customWidth="1"/>
    <col min="3" max="17" width="4.58203125" customWidth="1"/>
    <col min="18" max="18" width="3.83203125" customWidth="1"/>
    <col min="19" max="26" width="4.58203125" customWidth="1"/>
    <col min="27" max="29" width="8.6640625" customWidth="1"/>
  </cols>
  <sheetData>
    <row r="1" spans="2:26" x14ac:dyDescent="0.45"/>
    <row r="2" spans="2:26" x14ac:dyDescent="0.45">
      <c r="B2" s="38" t="s">
        <v>0</v>
      </c>
    </row>
    <row r="3" spans="2:26" x14ac:dyDescent="0.45">
      <c r="C3" t="s">
        <v>14</v>
      </c>
    </row>
    <row r="4" spans="2:26" x14ac:dyDescent="0.45">
      <c r="C4" t="s">
        <v>15</v>
      </c>
    </row>
    <row r="5" spans="2:26" x14ac:dyDescent="0.45">
      <c r="C5" t="s">
        <v>16</v>
      </c>
    </row>
    <row r="6" spans="2:26" x14ac:dyDescent="0.45">
      <c r="B6" s="49" t="s">
        <v>17</v>
      </c>
    </row>
    <row r="7" spans="2:26" x14ac:dyDescent="0.45">
      <c r="C7" t="s">
        <v>18</v>
      </c>
    </row>
    <row r="8" spans="2:26" x14ac:dyDescent="0.45">
      <c r="C8" t="s">
        <v>19</v>
      </c>
    </row>
    <row r="9" spans="2:26" x14ac:dyDescent="0.45">
      <c r="C9" t="s">
        <v>20</v>
      </c>
    </row>
    <row r="10" spans="2:26" x14ac:dyDescent="0.45"/>
    <row r="11" spans="2:26" x14ac:dyDescent="0.45">
      <c r="D11" s="15" t="s">
        <v>21</v>
      </c>
      <c r="G11" s="15" t="s">
        <v>27</v>
      </c>
      <c r="M11" s="15" t="s">
        <v>9</v>
      </c>
      <c r="T11" s="15" t="s">
        <v>10</v>
      </c>
      <c r="X11" s="15" t="s">
        <v>11</v>
      </c>
    </row>
    <row r="12" spans="2:26" ht="17.5" x14ac:dyDescent="0.45">
      <c r="D12" s="6">
        <v>1</v>
      </c>
      <c r="E12" s="6">
        <v>2</v>
      </c>
      <c r="F12" s="54"/>
      <c r="G12" s="85" t="s">
        <v>23</v>
      </c>
      <c r="H12" s="86" t="s">
        <v>24</v>
      </c>
      <c r="I12" s="54"/>
      <c r="J12" s="54"/>
      <c r="M12" s="66">
        <v>2</v>
      </c>
      <c r="N12" s="66">
        <v>2</v>
      </c>
      <c r="O12" s="66">
        <v>2</v>
      </c>
      <c r="P12" s="66">
        <v>4</v>
      </c>
      <c r="Q12" s="66">
        <v>4</v>
      </c>
      <c r="R12" s="66">
        <v>8</v>
      </c>
      <c r="S12" s="57"/>
      <c r="T12" s="66">
        <v>32</v>
      </c>
      <c r="U12" s="66">
        <v>64</v>
      </c>
      <c r="V12" s="66">
        <v>128</v>
      </c>
      <c r="W12" s="57"/>
      <c r="X12" s="6" t="s">
        <v>2</v>
      </c>
      <c r="Y12" s="6" t="s">
        <v>1</v>
      </c>
      <c r="Z12" s="6" t="s">
        <v>3</v>
      </c>
    </row>
    <row r="13" spans="2:26" ht="17.5" x14ac:dyDescent="0.45">
      <c r="D13" s="6">
        <v>3</v>
      </c>
      <c r="E13" s="6">
        <v>4</v>
      </c>
      <c r="F13" s="3"/>
      <c r="G13" s="87" t="s">
        <v>25</v>
      </c>
      <c r="H13" s="88" t="s">
        <v>26</v>
      </c>
      <c r="M13" s="66">
        <v>2</v>
      </c>
      <c r="N13" s="66">
        <v>2</v>
      </c>
      <c r="O13" s="66">
        <v>2</v>
      </c>
      <c r="P13" s="66">
        <v>4</v>
      </c>
      <c r="Q13" s="66">
        <v>4</v>
      </c>
      <c r="R13" s="66">
        <v>8</v>
      </c>
      <c r="S13" s="57"/>
      <c r="T13" s="66">
        <v>16</v>
      </c>
      <c r="U13" s="66">
        <v>0</v>
      </c>
      <c r="V13" s="66">
        <v>1</v>
      </c>
      <c r="W13" s="57"/>
      <c r="X13" s="6" t="s">
        <v>4</v>
      </c>
      <c r="Y13" s="6"/>
      <c r="Z13" s="6" t="s">
        <v>5</v>
      </c>
    </row>
    <row r="14" spans="2:26" ht="17.5" x14ac:dyDescent="0.45">
      <c r="D14" s="54"/>
      <c r="E14" s="54"/>
      <c r="F14" s="54"/>
      <c r="M14" s="66">
        <v>1</v>
      </c>
      <c r="N14" s="66">
        <v>1</v>
      </c>
      <c r="O14" s="66">
        <v>2</v>
      </c>
      <c r="P14" s="66">
        <v>4</v>
      </c>
      <c r="Q14" s="66">
        <v>8</v>
      </c>
      <c r="R14" s="66">
        <v>4</v>
      </c>
      <c r="S14" s="57"/>
      <c r="T14" s="66">
        <v>8</v>
      </c>
      <c r="U14" s="66">
        <v>4</v>
      </c>
      <c r="V14" s="66">
        <v>2</v>
      </c>
      <c r="W14" s="57"/>
      <c r="X14" s="6" t="s">
        <v>6</v>
      </c>
      <c r="Y14" s="6" t="s">
        <v>7</v>
      </c>
      <c r="Z14" s="6" t="s">
        <v>8</v>
      </c>
    </row>
    <row r="15" spans="2:26" ht="17.5" x14ac:dyDescent="0.45">
      <c r="M15" s="66">
        <v>128</v>
      </c>
      <c r="N15" s="66">
        <v>128</v>
      </c>
      <c r="O15" s="66">
        <v>1</v>
      </c>
      <c r="P15" s="66">
        <v>2</v>
      </c>
      <c r="Q15" s="66">
        <v>4</v>
      </c>
      <c r="R15" s="66">
        <v>8</v>
      </c>
      <c r="S15" s="57"/>
      <c r="T15" s="57"/>
      <c r="U15" s="57"/>
      <c r="V15" s="57"/>
      <c r="W15" s="57"/>
      <c r="X15" s="57"/>
      <c r="Y15" s="57"/>
      <c r="Z15" s="57"/>
    </row>
    <row r="16" spans="2:26" ht="17.5" x14ac:dyDescent="0.45">
      <c r="M16" s="66">
        <v>2</v>
      </c>
      <c r="N16" s="66">
        <v>2</v>
      </c>
      <c r="O16" s="66">
        <v>1</v>
      </c>
      <c r="P16" s="66">
        <v>4</v>
      </c>
      <c r="Q16" s="66">
        <v>4</v>
      </c>
      <c r="R16" s="66">
        <v>4</v>
      </c>
      <c r="S16" s="57"/>
      <c r="T16" s="57"/>
      <c r="U16" s="57"/>
      <c r="V16" s="57"/>
      <c r="W16" s="57"/>
      <c r="X16" s="57"/>
      <c r="Y16" s="57"/>
      <c r="Z16" s="57"/>
    </row>
    <row r="17" spans="3:26" ht="17.5" x14ac:dyDescent="0.45">
      <c r="M17" s="66">
        <v>1</v>
      </c>
      <c r="N17" s="66">
        <v>1</v>
      </c>
      <c r="O17" s="66">
        <v>1</v>
      </c>
      <c r="P17" s="66">
        <v>4</v>
      </c>
      <c r="Q17" s="66">
        <v>4</v>
      </c>
      <c r="R17" s="66">
        <v>16</v>
      </c>
      <c r="S17" s="57"/>
      <c r="T17" s="57"/>
      <c r="U17" s="57"/>
      <c r="V17" s="57"/>
      <c r="W17" s="57"/>
      <c r="X17" s="57"/>
      <c r="Y17" s="57"/>
      <c r="Z17" s="57"/>
    </row>
    <row r="18" spans="3:26" x14ac:dyDescent="0.45"/>
    <row r="19" spans="3:26" x14ac:dyDescent="0.45"/>
    <row r="20" spans="3:26" x14ac:dyDescent="0.45">
      <c r="Q20" s="64" t="s">
        <v>12</v>
      </c>
    </row>
    <row r="21" spans="3:26" x14ac:dyDescent="0.45">
      <c r="C21" s="15" t="s">
        <v>22</v>
      </c>
      <c r="F21" s="64" t="s">
        <v>28</v>
      </c>
      <c r="Q21" s="65" t="str" cm="1">
        <f t="array" ref="Q21:V26">GridLookupλ(Flow,DirCoding,Direction)</f>
        <v>SE</v>
      </c>
      <c r="R21" s="65" t="str">
        <v>SE</v>
      </c>
      <c r="S21" s="65" t="str">
        <v>SE</v>
      </c>
      <c r="T21" s="65" t="str">
        <v>S</v>
      </c>
      <c r="U21" s="65" t="str">
        <v>S</v>
      </c>
      <c r="V21" s="65" t="str">
        <v>SW</v>
      </c>
    </row>
    <row r="22" spans="3:26" ht="16.5" customHeight="1" x14ac:dyDescent="0.45">
      <c r="E22" s="54">
        <v>3</v>
      </c>
      <c r="F22" s="58" t="str" cm="1">
        <f t="array" ref="F22:F25">GridLookupλ(NumberLookup,Numbers,Icons)</f>
        <v>🍇</v>
      </c>
      <c r="Q22" s="65" t="str">
        <v>SE</v>
      </c>
      <c r="R22" s="65" t="str">
        <v>SE</v>
      </c>
      <c r="S22" s="65" t="str">
        <v>SE</v>
      </c>
      <c r="T22" s="65" t="str">
        <v>S</v>
      </c>
      <c r="U22" s="65" t="str">
        <v>S</v>
      </c>
      <c r="V22" s="65" t="str">
        <v>SW</v>
      </c>
    </row>
    <row r="23" spans="3:26" ht="16.5" customHeight="1" x14ac:dyDescent="0.45">
      <c r="E23" s="54">
        <v>2</v>
      </c>
      <c r="F23" s="56" t="str">
        <v>🍌</v>
      </c>
      <c r="Q23" s="65" t="str">
        <v>E</v>
      </c>
      <c r="R23" s="65" t="str">
        <v>E</v>
      </c>
      <c r="S23" s="65" t="str">
        <v>SE</v>
      </c>
      <c r="T23" s="65" t="str">
        <v>S</v>
      </c>
      <c r="U23" s="65" t="str">
        <v>SW</v>
      </c>
      <c r="V23" s="65" t="str">
        <v>S</v>
      </c>
    </row>
    <row r="24" spans="3:26" ht="16.5" customHeight="1" x14ac:dyDescent="0.45">
      <c r="E24" s="54">
        <v>1</v>
      </c>
      <c r="F24" s="55" t="str">
        <v>🍎</v>
      </c>
      <c r="Q24" s="65" t="str">
        <v>NE</v>
      </c>
      <c r="R24" s="65" t="str">
        <v>NE</v>
      </c>
      <c r="S24" s="65" t="str">
        <v>E</v>
      </c>
      <c r="T24" s="65" t="str">
        <v>SE</v>
      </c>
      <c r="U24" s="65" t="str">
        <v>S</v>
      </c>
      <c r="V24" s="65" t="str">
        <v>SW</v>
      </c>
    </row>
    <row r="25" spans="3:26" ht="16.5" customHeight="1" x14ac:dyDescent="0.45">
      <c r="E25" s="54">
        <v>4</v>
      </c>
      <c r="F25" s="59" t="str">
        <v>🍊</v>
      </c>
      <c r="Q25" s="65" t="str">
        <v>SE</v>
      </c>
      <c r="R25" s="65" t="str">
        <v>SE</v>
      </c>
      <c r="S25" s="65" t="str">
        <v>E</v>
      </c>
      <c r="T25" s="65" t="str">
        <v>S</v>
      </c>
      <c r="U25" s="65" t="str">
        <v>S</v>
      </c>
      <c r="V25" s="65" t="str">
        <v>S</v>
      </c>
    </row>
    <row r="26" spans="3:26" ht="16.5" customHeight="1" x14ac:dyDescent="0.45">
      <c r="Q26" s="65" t="str">
        <v>E</v>
      </c>
      <c r="R26" s="65" t="str">
        <v>E</v>
      </c>
      <c r="S26" s="65" t="str">
        <v>E</v>
      </c>
      <c r="T26" s="65" t="str">
        <v>S</v>
      </c>
      <c r="U26" s="65" t="str">
        <v>S</v>
      </c>
      <c r="V26" s="65" t="str">
        <v>W</v>
      </c>
    </row>
  </sheetData>
  <conditionalFormatting sqref="M12:R17">
    <cfRule type="expression" dxfId="15" priority="1">
      <formula>M12=16</formula>
    </cfRule>
    <cfRule type="expression" dxfId="14" priority="2">
      <formula>M12=128</formula>
    </cfRule>
    <cfRule type="expression" dxfId="13" priority="3">
      <formula>M12=64</formula>
    </cfRule>
    <cfRule type="expression" dxfId="12" priority="4">
      <formula>M12=32</formula>
    </cfRule>
    <cfRule type="expression" dxfId="11" priority="5">
      <formula>M12=8</formula>
    </cfRule>
    <cfRule type="expression" dxfId="10" priority="6">
      <formula>M12=4</formula>
    </cfRule>
    <cfRule type="expression" dxfId="9" priority="7">
      <formula>M12=2</formula>
    </cfRule>
    <cfRule type="expression" dxfId="8" priority="8">
      <formula>M12=1</formula>
    </cfRule>
  </conditionalFormatting>
  <conditionalFormatting sqref="T12:V14">
    <cfRule type="expression" dxfId="7" priority="9">
      <formula>T12=16</formula>
    </cfRule>
    <cfRule type="expression" dxfId="6" priority="10">
      <formula>T12=128</formula>
    </cfRule>
    <cfRule type="expression" dxfId="5" priority="11">
      <formula>T12=64</formula>
    </cfRule>
    <cfRule type="expression" dxfId="4" priority="12">
      <formula>T12=32</formula>
    </cfRule>
    <cfRule type="expression" dxfId="3" priority="13">
      <formula>T12=8</formula>
    </cfRule>
    <cfRule type="expression" dxfId="2" priority="14">
      <formula>T12=4</formula>
    </cfRule>
    <cfRule type="expression" dxfId="1" priority="15">
      <formula>T12=2</formula>
    </cfRule>
    <cfRule type="expression" dxfId="0" priority="16">
      <formula>T12=1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0A1C-B136-4A44-BC73-C527C4368A7A}">
  <sheetPr codeName="Sheet4">
    <tabColor rgb="FFFFECB3"/>
  </sheetPr>
  <dimension ref="B1:Y43"/>
  <sheetViews>
    <sheetView workbookViewId="0"/>
  </sheetViews>
  <sheetFormatPr defaultRowHeight="16.5" customHeight="1" x14ac:dyDescent="0.45"/>
  <cols>
    <col min="1" max="1" width="5.08203125" customWidth="1"/>
    <col min="2" max="8" width="6.58203125" customWidth="1"/>
    <col min="10" max="22" width="6.58203125" customWidth="1"/>
  </cols>
  <sheetData>
    <row r="1" spans="2:25" x14ac:dyDescent="0.45"/>
    <row r="2" spans="2:25" x14ac:dyDescent="0.45">
      <c r="B2" s="12" t="s">
        <v>37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79"/>
    </row>
    <row r="3" spans="2:25" x14ac:dyDescent="0.45">
      <c r="B3" s="9"/>
      <c r="C3" t="s">
        <v>39</v>
      </c>
      <c r="Y3" s="80"/>
    </row>
    <row r="4" spans="2:25" x14ac:dyDescent="0.45">
      <c r="B4" s="9"/>
      <c r="C4" t="s">
        <v>40</v>
      </c>
      <c r="Y4" s="80"/>
    </row>
    <row r="5" spans="2:25" x14ac:dyDescent="0.45">
      <c r="B5" s="13" t="s">
        <v>13</v>
      </c>
      <c r="N5" t="s">
        <v>38</v>
      </c>
      <c r="Y5" s="80"/>
    </row>
    <row r="6" spans="2:25" x14ac:dyDescent="0.45">
      <c r="B6" s="9"/>
      <c r="C6" t="s">
        <v>41</v>
      </c>
      <c r="N6" s="19">
        <v>1</v>
      </c>
      <c r="O6" s="19">
        <v>2</v>
      </c>
      <c r="P6" s="19">
        <v>3</v>
      </c>
      <c r="Y6" s="80"/>
    </row>
    <row r="7" spans="2:25" x14ac:dyDescent="0.45">
      <c r="B7" s="9"/>
      <c r="C7" s="1" t="s">
        <v>44</v>
      </c>
      <c r="N7" s="19">
        <v>4</v>
      </c>
      <c r="O7" s="34">
        <v>5</v>
      </c>
      <c r="P7" s="19">
        <v>6</v>
      </c>
      <c r="Y7" s="80"/>
    </row>
    <row r="8" spans="2:25" x14ac:dyDescent="0.45">
      <c r="B8" s="9"/>
      <c r="C8" t="s">
        <v>42</v>
      </c>
      <c r="N8" s="19">
        <v>7</v>
      </c>
      <c r="O8" s="19">
        <v>8</v>
      </c>
      <c r="P8" s="19">
        <v>9</v>
      </c>
      <c r="Y8" s="80"/>
    </row>
    <row r="9" spans="2:25" x14ac:dyDescent="0.45">
      <c r="B9" s="9"/>
      <c r="C9" t="s">
        <v>43</v>
      </c>
      <c r="Y9" s="80"/>
    </row>
    <row r="10" spans="2:25" x14ac:dyDescent="0.45">
      <c r="B10" s="9"/>
      <c r="C10" s="1" t="s">
        <v>45</v>
      </c>
      <c r="N10" s="1" t="s">
        <v>46</v>
      </c>
      <c r="Y10" s="80"/>
    </row>
    <row r="11" spans="2:25" x14ac:dyDescent="0.45">
      <c r="B11" s="9"/>
      <c r="Y11" s="80"/>
    </row>
    <row r="12" spans="2:25" x14ac:dyDescent="0.45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81"/>
    </row>
    <row r="13" spans="2:25" x14ac:dyDescent="0.45">
      <c r="B13" s="15" t="s">
        <v>47</v>
      </c>
      <c r="I13" s="9"/>
      <c r="J13" s="15" t="s">
        <v>56</v>
      </c>
    </row>
    <row r="14" spans="2:25" x14ac:dyDescent="0.45">
      <c r="B14" s="2">
        <v>321</v>
      </c>
      <c r="C14" s="2">
        <v>134</v>
      </c>
      <c r="D14" s="2">
        <v>19</v>
      </c>
      <c r="E14" s="2">
        <v>117</v>
      </c>
      <c r="F14" s="22">
        <v>800</v>
      </c>
      <c r="G14" s="22">
        <v>702</v>
      </c>
      <c r="H14" s="26"/>
      <c r="I14" s="82"/>
      <c r="J14" s="23" t="s">
        <v>53</v>
      </c>
      <c r="K14" s="23" t="s">
        <v>53</v>
      </c>
      <c r="L14" s="5" t="s">
        <v>7</v>
      </c>
      <c r="M14" s="5" t="s">
        <v>7</v>
      </c>
      <c r="N14" s="5" t="s">
        <v>54</v>
      </c>
      <c r="O14" s="5" t="s">
        <v>54</v>
      </c>
      <c r="P14" s="5" t="s">
        <v>53</v>
      </c>
      <c r="Q14" s="5" t="s">
        <v>53</v>
      </c>
      <c r="R14" s="5" t="s">
        <v>7</v>
      </c>
      <c r="S14" s="5" t="s">
        <v>53</v>
      </c>
      <c r="T14" s="5" t="s">
        <v>53</v>
      </c>
      <c r="U14" s="8"/>
      <c r="V14" s="83" t="s">
        <v>59</v>
      </c>
      <c r="W14" s="8"/>
      <c r="X14" s="8"/>
      <c r="Y14" s="79"/>
    </row>
    <row r="15" spans="2:25" x14ac:dyDescent="0.45">
      <c r="B15" s="2">
        <v>846</v>
      </c>
      <c r="C15" s="2">
        <v>128</v>
      </c>
      <c r="D15" s="2">
        <v>262</v>
      </c>
      <c r="E15" s="2">
        <v>392</v>
      </c>
      <c r="F15" s="22">
        <v>963</v>
      </c>
      <c r="G15" s="22">
        <v>992</v>
      </c>
      <c r="H15" s="3"/>
      <c r="I15" s="17"/>
      <c r="J15" s="23" t="s">
        <v>53</v>
      </c>
      <c r="K15" s="23" t="s">
        <v>7</v>
      </c>
      <c r="L15" s="5" t="s">
        <v>7</v>
      </c>
      <c r="M15" s="5" t="s">
        <v>7</v>
      </c>
      <c r="N15" s="5" t="s">
        <v>54</v>
      </c>
      <c r="O15" s="5" t="s">
        <v>53</v>
      </c>
      <c r="P15" s="5" t="s">
        <v>53</v>
      </c>
      <c r="Q15" s="25" t="s">
        <v>53</v>
      </c>
      <c r="R15" s="25" t="s">
        <v>54</v>
      </c>
      <c r="S15" s="28" t="s">
        <v>53</v>
      </c>
      <c r="T15" s="28" t="s">
        <v>53</v>
      </c>
      <c r="V15" s="84" t="s">
        <v>60</v>
      </c>
      <c r="Y15" s="80"/>
    </row>
    <row r="16" spans="2:25" x14ac:dyDescent="0.45">
      <c r="B16" s="2">
        <v>127</v>
      </c>
      <c r="C16" s="2">
        <v>779</v>
      </c>
      <c r="D16" s="30">
        <v>10</v>
      </c>
      <c r="E16" s="30">
        <v>20</v>
      </c>
      <c r="F16" s="2">
        <v>324</v>
      </c>
      <c r="G16" s="2">
        <v>300</v>
      </c>
      <c r="H16" s="3"/>
      <c r="I16" s="17"/>
      <c r="J16" s="5" t="s">
        <v>7</v>
      </c>
      <c r="K16" s="5" t="s">
        <v>7</v>
      </c>
      <c r="L16" s="32" t="s">
        <v>55</v>
      </c>
      <c r="M16" s="32" t="s">
        <v>55</v>
      </c>
      <c r="N16" s="5" t="s">
        <v>54</v>
      </c>
      <c r="O16" s="5" t="s">
        <v>53</v>
      </c>
      <c r="P16" s="5" t="s">
        <v>7</v>
      </c>
      <c r="Q16" s="25" t="s">
        <v>7</v>
      </c>
      <c r="R16" s="25" t="s">
        <v>7</v>
      </c>
      <c r="S16" s="28" t="s">
        <v>55</v>
      </c>
      <c r="T16" s="28" t="s">
        <v>7</v>
      </c>
      <c r="V16" s="84" t="s">
        <v>61</v>
      </c>
      <c r="Y16" s="80"/>
    </row>
    <row r="17" spans="2:25" x14ac:dyDescent="0.45">
      <c r="B17" s="2">
        <v>842</v>
      </c>
      <c r="C17" s="2">
        <v>381</v>
      </c>
      <c r="D17" s="30">
        <v>30</v>
      </c>
      <c r="E17" s="30">
        <v>40</v>
      </c>
      <c r="F17" s="2">
        <v>908</v>
      </c>
      <c r="G17" s="2">
        <v>86</v>
      </c>
      <c r="H17" s="3"/>
      <c r="I17" s="17"/>
      <c r="J17" s="5" t="s">
        <v>7</v>
      </c>
      <c r="K17" s="5" t="s">
        <v>53</v>
      </c>
      <c r="L17" s="32" t="s">
        <v>55</v>
      </c>
      <c r="M17" s="32" t="s">
        <v>55</v>
      </c>
      <c r="N17" s="5" t="s">
        <v>54</v>
      </c>
      <c r="O17" s="5" t="s">
        <v>53</v>
      </c>
      <c r="P17" s="5" t="s">
        <v>7</v>
      </c>
      <c r="Q17" s="5" t="s">
        <v>7</v>
      </c>
      <c r="R17" s="5" t="s">
        <v>54</v>
      </c>
      <c r="S17" s="27" t="s">
        <v>53</v>
      </c>
      <c r="T17" s="27" t="s">
        <v>55</v>
      </c>
      <c r="Y17" s="80"/>
    </row>
    <row r="18" spans="2:25" x14ac:dyDescent="0.45">
      <c r="B18" s="2">
        <v>28</v>
      </c>
      <c r="C18" s="2">
        <v>715</v>
      </c>
      <c r="D18" s="21">
        <v>442</v>
      </c>
      <c r="E18" s="21">
        <v>963</v>
      </c>
      <c r="F18" s="2">
        <v>132</v>
      </c>
      <c r="G18" s="2">
        <v>536</v>
      </c>
      <c r="H18" s="3"/>
      <c r="I18" s="17"/>
      <c r="J18" s="5" t="s">
        <v>53</v>
      </c>
      <c r="K18" s="5" t="s">
        <v>53</v>
      </c>
      <c r="L18" s="5" t="s">
        <v>7</v>
      </c>
      <c r="M18" s="5" t="s">
        <v>7</v>
      </c>
      <c r="N18" s="14" t="s">
        <v>54</v>
      </c>
      <c r="O18" s="14" t="s">
        <v>54</v>
      </c>
      <c r="P18" s="14" t="s">
        <v>53</v>
      </c>
      <c r="Q18" s="5" t="s">
        <v>53</v>
      </c>
      <c r="R18" s="5" t="s">
        <v>53</v>
      </c>
      <c r="S18" s="27" t="s">
        <v>53</v>
      </c>
      <c r="T18" s="27" t="s">
        <v>53</v>
      </c>
      <c r="Y18" s="80"/>
    </row>
    <row r="19" spans="2:25" x14ac:dyDescent="0.45">
      <c r="B19" s="2">
        <v>299</v>
      </c>
      <c r="C19" s="2">
        <v>803</v>
      </c>
      <c r="D19" s="21">
        <v>525</v>
      </c>
      <c r="E19" s="21">
        <v>642</v>
      </c>
      <c r="F19" s="2">
        <v>897</v>
      </c>
      <c r="G19" s="2">
        <v>314</v>
      </c>
      <c r="H19" s="3"/>
      <c r="I19" s="17"/>
      <c r="J19" s="5" t="s">
        <v>54</v>
      </c>
      <c r="K19" s="5" t="s">
        <v>55</v>
      </c>
      <c r="L19" s="5" t="s">
        <v>7</v>
      </c>
      <c r="M19" s="5" t="s">
        <v>54</v>
      </c>
      <c r="N19" s="14" t="s">
        <v>55</v>
      </c>
      <c r="O19" s="14" t="s">
        <v>53</v>
      </c>
      <c r="P19" s="14" t="s">
        <v>55</v>
      </c>
      <c r="Q19" s="5" t="s">
        <v>55</v>
      </c>
      <c r="R19" s="5" t="s">
        <v>53</v>
      </c>
      <c r="S19" s="27" t="s">
        <v>55</v>
      </c>
      <c r="T19" s="27" t="s">
        <v>54</v>
      </c>
      <c r="Y19" s="80"/>
    </row>
    <row r="20" spans="2:25" x14ac:dyDescent="0.45">
      <c r="B20" s="2">
        <v>634</v>
      </c>
      <c r="C20" s="2">
        <v>547</v>
      </c>
      <c r="D20" s="2">
        <v>57</v>
      </c>
      <c r="E20" s="2">
        <v>154</v>
      </c>
      <c r="F20" s="2">
        <v>614</v>
      </c>
      <c r="G20" s="2">
        <v>3</v>
      </c>
      <c r="H20" s="3"/>
      <c r="I20" s="17"/>
      <c r="J20" s="5" t="s">
        <v>54</v>
      </c>
      <c r="K20" s="5" t="s">
        <v>53</v>
      </c>
      <c r="L20" s="5" t="s">
        <v>54</v>
      </c>
      <c r="M20" s="5" t="s">
        <v>53</v>
      </c>
      <c r="N20" s="14" t="s">
        <v>53</v>
      </c>
      <c r="O20" s="14" t="s">
        <v>53</v>
      </c>
      <c r="P20" s="14" t="s">
        <v>55</v>
      </c>
      <c r="Q20" s="5" t="s">
        <v>53</v>
      </c>
      <c r="R20" s="5" t="s">
        <v>55</v>
      </c>
      <c r="S20" s="27" t="s">
        <v>54</v>
      </c>
      <c r="T20" s="27" t="s">
        <v>53</v>
      </c>
      <c r="Y20" s="80"/>
    </row>
    <row r="21" spans="2:25" x14ac:dyDescent="0.45">
      <c r="B21" s="7"/>
      <c r="C21" s="3"/>
      <c r="D21" s="3"/>
      <c r="G21" s="3"/>
      <c r="H21" s="3"/>
      <c r="I21" s="17"/>
      <c r="J21" s="5" t="s">
        <v>7</v>
      </c>
      <c r="K21" s="5" t="s">
        <v>7</v>
      </c>
      <c r="L21" s="5" t="s">
        <v>53</v>
      </c>
      <c r="M21" s="5" t="s">
        <v>54</v>
      </c>
      <c r="N21" s="5" t="s">
        <v>7</v>
      </c>
      <c r="O21" s="5" t="s">
        <v>53</v>
      </c>
      <c r="P21" s="5" t="s">
        <v>53</v>
      </c>
      <c r="Q21" s="5" t="s">
        <v>53</v>
      </c>
      <c r="R21" s="5" t="s">
        <v>55</v>
      </c>
      <c r="S21" s="5" t="s">
        <v>53</v>
      </c>
      <c r="T21" s="5" t="s">
        <v>55</v>
      </c>
      <c r="Y21" s="80"/>
    </row>
    <row r="22" spans="2:25" x14ac:dyDescent="0.45">
      <c r="B22" s="9"/>
      <c r="C22" s="3"/>
      <c r="D22" s="3"/>
      <c r="G22" s="3"/>
      <c r="H22" s="3"/>
      <c r="I22" s="17"/>
      <c r="J22" s="5" t="s">
        <v>7</v>
      </c>
      <c r="K22" s="5" t="s">
        <v>53</v>
      </c>
      <c r="L22" s="5" t="s">
        <v>7</v>
      </c>
      <c r="M22" s="5" t="s">
        <v>53</v>
      </c>
      <c r="N22" s="5" t="s">
        <v>7</v>
      </c>
      <c r="O22" s="5" t="s">
        <v>53</v>
      </c>
      <c r="P22" s="5" t="s">
        <v>55</v>
      </c>
      <c r="Q22" s="5" t="s">
        <v>55</v>
      </c>
      <c r="R22" s="5" t="s">
        <v>54</v>
      </c>
      <c r="S22" s="5" t="s">
        <v>7</v>
      </c>
      <c r="T22" s="5" t="s">
        <v>55</v>
      </c>
      <c r="Y22" s="80"/>
    </row>
    <row r="23" spans="2:25" x14ac:dyDescent="0.45">
      <c r="B23" s="10"/>
      <c r="C23" s="11"/>
      <c r="D23" s="11"/>
      <c r="E23" s="11"/>
      <c r="F23" s="11"/>
      <c r="G23" s="11"/>
      <c r="H23" s="11"/>
      <c r="I23" s="10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81"/>
    </row>
    <row r="24" spans="2:25" x14ac:dyDescent="0.45">
      <c r="B24" s="7"/>
      <c r="C24" s="35" t="s">
        <v>48</v>
      </c>
      <c r="D24" s="26"/>
      <c r="E24" s="8"/>
      <c r="F24" s="8"/>
      <c r="G24" s="8"/>
      <c r="H24" s="8"/>
      <c r="I24" s="7"/>
      <c r="J24" s="35" t="s">
        <v>57</v>
      </c>
      <c r="K24" s="8"/>
      <c r="L24" s="8"/>
      <c r="M24" s="8"/>
      <c r="N24" s="8"/>
      <c r="O24" s="8"/>
      <c r="P24" s="35" t="s">
        <v>58</v>
      </c>
      <c r="Q24" s="8"/>
      <c r="R24" s="8"/>
      <c r="S24" s="8"/>
      <c r="T24" s="35" t="s">
        <v>71</v>
      </c>
      <c r="U24" s="8"/>
      <c r="V24" s="8"/>
      <c r="W24" s="8"/>
      <c r="X24" s="8"/>
      <c r="Y24" s="79"/>
    </row>
    <row r="25" spans="2:25" x14ac:dyDescent="0.45">
      <c r="B25" s="9"/>
      <c r="C25" s="31">
        <v>10</v>
      </c>
      <c r="D25" s="31">
        <v>20</v>
      </c>
      <c r="I25" s="9"/>
      <c r="J25" s="33" t="s">
        <v>55</v>
      </c>
      <c r="K25" s="33" t="s">
        <v>55</v>
      </c>
      <c r="P25" s="24" t="s">
        <v>53</v>
      </c>
      <c r="Q25" s="24" t="s">
        <v>53</v>
      </c>
      <c r="R25" s="3"/>
      <c r="S25" s="3"/>
      <c r="T25" s="29" t="s">
        <v>72</v>
      </c>
      <c r="U25" s="29" t="s">
        <v>72</v>
      </c>
      <c r="Y25" s="80"/>
    </row>
    <row r="26" spans="2:25" x14ac:dyDescent="0.45">
      <c r="B26" s="9"/>
      <c r="C26" s="31">
        <v>30</v>
      </c>
      <c r="D26" s="31">
        <v>40</v>
      </c>
      <c r="I26" s="9"/>
      <c r="J26" s="33" t="s">
        <v>55</v>
      </c>
      <c r="K26" s="33" t="s">
        <v>55</v>
      </c>
      <c r="P26" s="24" t="s">
        <v>55</v>
      </c>
      <c r="Q26" s="24" t="s">
        <v>7</v>
      </c>
      <c r="R26" s="3"/>
      <c r="S26" s="3"/>
      <c r="T26" s="29" t="s">
        <v>72</v>
      </c>
      <c r="U26" s="29" t="s">
        <v>72</v>
      </c>
      <c r="Y26" s="80"/>
    </row>
    <row r="27" spans="2:25" x14ac:dyDescent="0.45">
      <c r="B27" s="10"/>
      <c r="C27" s="18"/>
      <c r="D27" s="18"/>
      <c r="E27" s="11"/>
      <c r="F27" s="11"/>
      <c r="G27" s="11"/>
      <c r="H27" s="11"/>
      <c r="I27" s="10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81"/>
    </row>
    <row r="28" spans="2:25" x14ac:dyDescent="0.45">
      <c r="B28" s="7"/>
      <c r="C28" s="35" t="s">
        <v>50</v>
      </c>
      <c r="D28" s="8"/>
      <c r="E28" s="8"/>
      <c r="F28" s="8"/>
      <c r="G28" s="8"/>
      <c r="H28" s="8"/>
      <c r="I28" s="7"/>
      <c r="J28" s="35" t="s">
        <v>63</v>
      </c>
      <c r="K28" s="8"/>
      <c r="L28" s="8"/>
      <c r="M28" s="8"/>
      <c r="N28" s="8"/>
      <c r="O28" s="8"/>
      <c r="P28" s="35" t="s">
        <v>70</v>
      </c>
      <c r="Q28" s="8"/>
      <c r="R28" s="8"/>
      <c r="S28" s="8"/>
      <c r="T28" s="8"/>
      <c r="U28" s="8"/>
      <c r="V28" s="8"/>
      <c r="W28" s="8"/>
      <c r="X28" s="8"/>
      <c r="Y28" s="79"/>
    </row>
    <row r="29" spans="2:25" x14ac:dyDescent="0.45">
      <c r="B29" s="9"/>
      <c r="C29" s="16" t="s">
        <v>49</v>
      </c>
      <c r="D29" s="3"/>
      <c r="I29" s="9"/>
      <c r="J29" s="4" t="s">
        <v>62</v>
      </c>
      <c r="P29" s="4" t="s">
        <v>66</v>
      </c>
      <c r="Y29" s="80"/>
    </row>
    <row r="30" spans="2:25" x14ac:dyDescent="0.45">
      <c r="B30" s="9"/>
      <c r="C30" s="21" cm="1">
        <f t="array" ref="C30:D31">Navigate2Dλ(KernelA,Grid)</f>
        <v>442</v>
      </c>
      <c r="D30" s="21">
        <v>963</v>
      </c>
      <c r="I30" s="9"/>
      <c r="J30" s="23" t="str" cm="1">
        <f t="array" ref="J30:K31">Navigate2Dλ(KernelB,TerrainMask,1)</f>
        <v>R</v>
      </c>
      <c r="K30" s="23" t="str">
        <v>R</v>
      </c>
      <c r="L30" s="3"/>
      <c r="P30" s="3" t="str" cm="1">
        <f t="array" ref="P30">Navigate2Dλ(KernelC,TerrainMask,2)</f>
        <v>Kernel: R2C10</v>
      </c>
      <c r="Y30" s="80"/>
    </row>
    <row r="31" spans="2:25" x14ac:dyDescent="0.45">
      <c r="B31" s="9"/>
      <c r="C31" s="21">
        <v>525</v>
      </c>
      <c r="D31" s="21">
        <v>642</v>
      </c>
      <c r="I31" s="9"/>
      <c r="J31" s="23" t="str">
        <v>R</v>
      </c>
      <c r="K31" s="23" t="str">
        <v>S</v>
      </c>
      <c r="L31" s="3"/>
      <c r="Y31" s="80"/>
    </row>
    <row r="32" spans="2:25" x14ac:dyDescent="0.45">
      <c r="B32" s="9"/>
      <c r="I32" s="9"/>
      <c r="J32" s="3"/>
      <c r="K32" s="3"/>
      <c r="L32" s="3"/>
      <c r="P32" s="20" t="s">
        <v>67</v>
      </c>
      <c r="U32" s="20" t="s">
        <v>69</v>
      </c>
      <c r="Y32" s="80"/>
    </row>
    <row r="33" spans="2:25" x14ac:dyDescent="0.45">
      <c r="B33" s="9"/>
      <c r="I33" s="9"/>
      <c r="J33" s="20" t="s">
        <v>65</v>
      </c>
      <c r="K33" s="3"/>
      <c r="L33" s="3"/>
      <c r="P33" s="4" t="s">
        <v>75</v>
      </c>
      <c r="U33" s="4" t="s">
        <v>68</v>
      </c>
      <c r="Y33" s="80"/>
    </row>
    <row r="34" spans="2:25" x14ac:dyDescent="0.45">
      <c r="B34" s="9"/>
      <c r="C34" s="20" t="s">
        <v>52</v>
      </c>
      <c r="I34" s="9"/>
      <c r="J34" s="4" t="s">
        <v>64</v>
      </c>
      <c r="K34" s="3"/>
      <c r="L34" s="3"/>
      <c r="P34" s="25" t="str" cm="1">
        <f t="array" ref="P34:Q35">Navigate2Dλ(KernelC,TerrainMask,4)</f>
        <v>R</v>
      </c>
      <c r="Q34" s="25" t="str">
        <v>V</v>
      </c>
      <c r="U34" s="27" t="str" cm="1">
        <f t="array" ref="U34:V37">Navigate2Dλ(KernelC,TerrainMask,,4,2)</f>
        <v>R</v>
      </c>
      <c r="V34" s="27" t="str">
        <v>K</v>
      </c>
      <c r="Y34" s="80"/>
    </row>
    <row r="35" spans="2:25" x14ac:dyDescent="0.45">
      <c r="B35" s="9"/>
      <c r="C35" s="4" t="s">
        <v>51</v>
      </c>
      <c r="I35" s="9"/>
      <c r="J35" s="14" t="str" cm="1">
        <f t="array" ref="J35:L37">Navigate2Dλ(KernelB,TerrainMask,9,3,3)</f>
        <v>V</v>
      </c>
      <c r="K35" s="14" t="str">
        <v>V</v>
      </c>
      <c r="L35" s="14" t="str">
        <v>R</v>
      </c>
      <c r="P35" s="25" t="str">
        <v>S</v>
      </c>
      <c r="Q35" s="25" t="str">
        <v>S</v>
      </c>
      <c r="U35" s="27" t="str">
        <v>R</v>
      </c>
      <c r="V35" s="27" t="str">
        <v>R</v>
      </c>
      <c r="Y35" s="80"/>
    </row>
    <row r="36" spans="2:25" x14ac:dyDescent="0.45">
      <c r="B36" s="9"/>
      <c r="C36" s="22" cm="1">
        <f t="array" ref="C36:D37">Navigate2Dλ(KernelA,Grid,3)</f>
        <v>800</v>
      </c>
      <c r="D36" s="22">
        <v>702</v>
      </c>
      <c r="I36" s="9"/>
      <c r="J36" s="14" t="str">
        <v>K</v>
      </c>
      <c r="K36" s="14" t="str">
        <v>R</v>
      </c>
      <c r="L36" s="14" t="str">
        <v>K</v>
      </c>
      <c r="U36" s="27" t="str">
        <v>K</v>
      </c>
      <c r="V36" s="27" t="str">
        <v>V</v>
      </c>
      <c r="Y36" s="80"/>
    </row>
    <row r="37" spans="2:25" x14ac:dyDescent="0.45">
      <c r="B37" s="9"/>
      <c r="C37" s="22">
        <v>963</v>
      </c>
      <c r="D37" s="22">
        <v>992</v>
      </c>
      <c r="I37" s="9"/>
      <c r="J37" s="14" t="str">
        <v>R</v>
      </c>
      <c r="K37" s="14" t="str">
        <v>R</v>
      </c>
      <c r="L37" s="14" t="str">
        <v>K</v>
      </c>
      <c r="U37" s="27" t="str">
        <v>V</v>
      </c>
      <c r="V37" s="27" t="str">
        <v>R</v>
      </c>
      <c r="Y37" s="80"/>
    </row>
    <row r="38" spans="2:25" x14ac:dyDescent="0.45">
      <c r="B38" s="9"/>
      <c r="I38" s="9"/>
      <c r="P38" s="20" t="s">
        <v>74</v>
      </c>
      <c r="Y38" s="80"/>
    </row>
    <row r="39" spans="2:25" x14ac:dyDescent="0.45">
      <c r="B39" s="9"/>
      <c r="I39" s="9"/>
      <c r="P39" s="4" t="s">
        <v>73</v>
      </c>
      <c r="Y39" s="80"/>
    </row>
    <row r="40" spans="2:25" x14ac:dyDescent="0.45">
      <c r="B40" s="9"/>
      <c r="I40" s="9"/>
      <c r="P40" s="3" t="e" cm="1">
        <f t="array" ref="P40">Navigate2Dλ(KernelD,TerrainMask,6)</f>
        <v>#N/A</v>
      </c>
      <c r="Y40" s="80"/>
    </row>
    <row r="41" spans="2:25" ht="16.5" customHeight="1" x14ac:dyDescent="0.45">
      <c r="B41" s="9"/>
      <c r="Y41" s="80"/>
    </row>
    <row r="42" spans="2:25" ht="16.5" customHeight="1" x14ac:dyDescent="0.45">
      <c r="B42" s="9"/>
      <c r="Y42" s="80"/>
    </row>
    <row r="43" spans="2:25" ht="16.5" customHeight="1" x14ac:dyDescent="0.45"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8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A838-21E1-4C59-8093-9538BB3B80EF}">
  <sheetPr>
    <tabColor rgb="FFFFECB3"/>
  </sheetPr>
  <dimension ref="B2:AB27"/>
  <sheetViews>
    <sheetView zoomScaleNormal="100" workbookViewId="0"/>
  </sheetViews>
  <sheetFormatPr defaultRowHeight="16.5" x14ac:dyDescent="0.45"/>
  <cols>
    <col min="1" max="1" width="5.08203125" customWidth="1"/>
    <col min="2" max="2" width="4.4140625" customWidth="1"/>
    <col min="3" max="4" width="3.33203125" bestFit="1" customWidth="1"/>
    <col min="5" max="5" width="3.58203125" customWidth="1"/>
    <col min="6" max="6" width="3.33203125" bestFit="1" customWidth="1"/>
    <col min="7" max="8" width="3.58203125" customWidth="1"/>
    <col min="9" max="28" width="6.58203125" customWidth="1"/>
  </cols>
  <sheetData>
    <row r="2" spans="2:28" x14ac:dyDescent="0.45">
      <c r="B2" s="38" t="s">
        <v>127</v>
      </c>
    </row>
    <row r="5" spans="2:28" x14ac:dyDescent="0.45">
      <c r="B5" s="20" t="s">
        <v>77</v>
      </c>
      <c r="I5" s="20" t="s">
        <v>160</v>
      </c>
    </row>
    <row r="6" spans="2:28" x14ac:dyDescent="0.45">
      <c r="B6" s="5">
        <v>64</v>
      </c>
      <c r="C6" s="5">
        <v>23</v>
      </c>
      <c r="D6" s="5">
        <v>22</v>
      </c>
      <c r="E6" s="5">
        <v>84</v>
      </c>
      <c r="F6" s="5">
        <v>31</v>
      </c>
      <c r="G6" s="3"/>
      <c r="H6" s="3"/>
      <c r="I6" s="62">
        <v>1</v>
      </c>
      <c r="J6" s="5">
        <v>37</v>
      </c>
      <c r="K6" s="5">
        <v>75</v>
      </c>
      <c r="L6" s="5">
        <v>35</v>
      </c>
      <c r="M6" s="5">
        <v>14</v>
      </c>
      <c r="N6" s="5">
        <v>21</v>
      </c>
      <c r="O6" s="5">
        <v>37</v>
      </c>
      <c r="P6" s="5">
        <v>50</v>
      </c>
      <c r="Q6" s="5">
        <v>57</v>
      </c>
      <c r="R6" s="5">
        <v>12</v>
      </c>
      <c r="S6" s="5">
        <v>68</v>
      </c>
      <c r="T6" s="5">
        <v>21</v>
      </c>
      <c r="U6" s="5">
        <v>95</v>
      </c>
      <c r="V6" s="5">
        <v>29</v>
      </c>
      <c r="W6" s="5">
        <v>22</v>
      </c>
      <c r="X6" s="5">
        <v>36</v>
      </c>
      <c r="Y6" s="5">
        <v>6</v>
      </c>
      <c r="Z6" s="5">
        <v>1</v>
      </c>
      <c r="AA6" s="5">
        <v>27</v>
      </c>
      <c r="AB6" s="5">
        <v>97</v>
      </c>
    </row>
    <row r="7" spans="2:28" x14ac:dyDescent="0.45">
      <c r="B7" s="5">
        <v>85</v>
      </c>
      <c r="C7" s="33">
        <v>99</v>
      </c>
      <c r="D7" s="33">
        <v>75</v>
      </c>
      <c r="E7" s="5">
        <v>55</v>
      </c>
      <c r="F7" s="5">
        <v>52</v>
      </c>
      <c r="G7" s="3"/>
      <c r="H7" s="3"/>
      <c r="I7" s="62">
        <v>2</v>
      </c>
      <c r="J7" s="5">
        <v>36</v>
      </c>
      <c r="K7" s="5">
        <v>53</v>
      </c>
      <c r="L7" s="5">
        <v>22</v>
      </c>
      <c r="M7" s="5">
        <v>52</v>
      </c>
      <c r="N7" s="5">
        <v>32</v>
      </c>
      <c r="O7" s="5">
        <v>14</v>
      </c>
      <c r="P7" s="5">
        <v>51</v>
      </c>
      <c r="Q7" s="5">
        <v>60</v>
      </c>
      <c r="R7" s="5">
        <v>91</v>
      </c>
      <c r="S7" s="5">
        <v>65</v>
      </c>
      <c r="T7" s="5">
        <v>96</v>
      </c>
      <c r="U7" s="5">
        <v>51</v>
      </c>
      <c r="V7" s="5">
        <v>64</v>
      </c>
      <c r="W7" s="5">
        <v>31</v>
      </c>
      <c r="X7" s="5">
        <v>48</v>
      </c>
      <c r="Y7" s="5">
        <v>72</v>
      </c>
      <c r="Z7" s="5">
        <v>95</v>
      </c>
      <c r="AA7" s="5">
        <v>81</v>
      </c>
      <c r="AB7" s="5">
        <v>57</v>
      </c>
    </row>
    <row r="8" spans="2:28" x14ac:dyDescent="0.45">
      <c r="B8" s="5">
        <v>32</v>
      </c>
      <c r="C8" s="33">
        <v>75</v>
      </c>
      <c r="D8" s="33">
        <v>99</v>
      </c>
      <c r="E8" s="5">
        <v>50</v>
      </c>
      <c r="F8" s="5">
        <v>37</v>
      </c>
      <c r="G8" s="3"/>
      <c r="H8" s="3"/>
      <c r="I8" s="62">
        <v>3</v>
      </c>
      <c r="J8" s="5">
        <v>4</v>
      </c>
      <c r="K8" s="5">
        <v>38</v>
      </c>
      <c r="L8" s="5">
        <v>47</v>
      </c>
      <c r="M8" s="5">
        <v>91</v>
      </c>
      <c r="N8" s="5">
        <v>36</v>
      </c>
      <c r="O8" s="5">
        <v>76</v>
      </c>
      <c r="P8" s="5">
        <v>48</v>
      </c>
      <c r="Q8" s="5">
        <v>29</v>
      </c>
      <c r="R8" s="5">
        <v>20</v>
      </c>
      <c r="S8" s="5">
        <v>97</v>
      </c>
      <c r="T8" s="5">
        <v>63</v>
      </c>
      <c r="U8" s="5">
        <v>10</v>
      </c>
      <c r="V8" s="5">
        <v>45</v>
      </c>
      <c r="W8" s="5">
        <v>90</v>
      </c>
      <c r="X8" s="33" t="s">
        <v>155</v>
      </c>
      <c r="Y8" s="33" t="s">
        <v>156</v>
      </c>
      <c r="Z8" s="33" t="s">
        <v>154</v>
      </c>
      <c r="AA8" s="5">
        <v>21</v>
      </c>
      <c r="AB8" s="5">
        <v>90</v>
      </c>
    </row>
    <row r="9" spans="2:28" x14ac:dyDescent="0.45">
      <c r="B9" s="5">
        <v>47</v>
      </c>
      <c r="C9" s="5">
        <v>59</v>
      </c>
      <c r="D9" s="5">
        <v>50</v>
      </c>
      <c r="E9" s="5">
        <v>14</v>
      </c>
      <c r="F9" s="5">
        <v>50</v>
      </c>
      <c r="G9" s="3"/>
      <c r="H9" s="3"/>
      <c r="I9" s="62">
        <v>4</v>
      </c>
      <c r="J9" s="5">
        <v>87</v>
      </c>
      <c r="K9" s="5">
        <v>77</v>
      </c>
      <c r="L9" s="5">
        <v>79</v>
      </c>
      <c r="M9" s="5">
        <v>86</v>
      </c>
      <c r="N9" s="5">
        <v>68</v>
      </c>
      <c r="O9" s="5">
        <v>52</v>
      </c>
      <c r="P9" s="5">
        <v>66</v>
      </c>
      <c r="Q9" s="5">
        <v>59</v>
      </c>
      <c r="R9" s="5">
        <v>74</v>
      </c>
      <c r="S9" s="5">
        <v>37</v>
      </c>
      <c r="T9" s="5">
        <v>39</v>
      </c>
      <c r="U9" s="5">
        <v>76</v>
      </c>
      <c r="V9" s="5">
        <v>31</v>
      </c>
      <c r="W9" s="5">
        <v>32</v>
      </c>
      <c r="X9" s="33" t="s">
        <v>157</v>
      </c>
      <c r="Y9" s="33" t="s">
        <v>158</v>
      </c>
      <c r="Z9" s="33" t="s">
        <v>159</v>
      </c>
      <c r="AA9" s="5">
        <v>26</v>
      </c>
      <c r="AB9" s="5">
        <v>17</v>
      </c>
    </row>
    <row r="10" spans="2:28" x14ac:dyDescent="0.45">
      <c r="B10" s="5">
        <v>63</v>
      </c>
      <c r="C10" s="5">
        <v>29</v>
      </c>
      <c r="D10" s="5">
        <v>85</v>
      </c>
      <c r="E10" s="5">
        <v>87</v>
      </c>
      <c r="F10" s="5">
        <v>68</v>
      </c>
      <c r="G10" s="3"/>
      <c r="H10" s="3"/>
      <c r="I10" s="62">
        <v>5</v>
      </c>
      <c r="J10" s="5">
        <v>51</v>
      </c>
      <c r="K10" s="5">
        <v>89</v>
      </c>
      <c r="L10" s="5">
        <v>60</v>
      </c>
      <c r="M10" s="5">
        <v>17</v>
      </c>
      <c r="N10" s="5">
        <v>18</v>
      </c>
      <c r="O10" s="5">
        <v>5</v>
      </c>
      <c r="P10" s="5">
        <v>27</v>
      </c>
      <c r="Q10" s="5">
        <v>26</v>
      </c>
      <c r="R10" s="5">
        <v>43</v>
      </c>
      <c r="S10" s="5">
        <v>16</v>
      </c>
      <c r="T10" s="5">
        <v>19</v>
      </c>
      <c r="U10" s="5">
        <v>25</v>
      </c>
      <c r="V10" s="5">
        <v>64</v>
      </c>
      <c r="W10" s="5">
        <v>81</v>
      </c>
      <c r="X10" s="5">
        <v>47</v>
      </c>
      <c r="Y10" s="5">
        <v>3</v>
      </c>
      <c r="Z10" s="5">
        <v>56</v>
      </c>
      <c r="AA10" s="5">
        <v>40</v>
      </c>
      <c r="AB10" s="5">
        <v>52</v>
      </c>
    </row>
    <row r="13" spans="2:28" x14ac:dyDescent="0.45">
      <c r="B13" s="20" t="s">
        <v>76</v>
      </c>
      <c r="J13" s="20" t="s">
        <v>154</v>
      </c>
      <c r="M13" s="39"/>
      <c r="O13" s="20" t="s">
        <v>162</v>
      </c>
      <c r="X13" s="20" t="s">
        <v>170</v>
      </c>
    </row>
    <row r="14" spans="2:28" x14ac:dyDescent="0.45">
      <c r="B14" s="33">
        <v>99</v>
      </c>
      <c r="C14" s="33">
        <v>75</v>
      </c>
      <c r="J14" s="33" t="s">
        <v>155</v>
      </c>
      <c r="K14" s="33" t="s">
        <v>156</v>
      </c>
      <c r="L14" s="33" t="s">
        <v>154</v>
      </c>
      <c r="O14" s="62">
        <v>1</v>
      </c>
      <c r="X14" s="5" t="s">
        <v>166</v>
      </c>
      <c r="Y14" s="5" t="s">
        <v>167</v>
      </c>
    </row>
    <row r="15" spans="2:28" x14ac:dyDescent="0.45">
      <c r="B15" s="33">
        <v>75</v>
      </c>
      <c r="C15" s="33">
        <v>99</v>
      </c>
      <c r="J15" s="33" t="s">
        <v>157</v>
      </c>
      <c r="K15" s="33" t="s">
        <v>158</v>
      </c>
      <c r="L15" s="33" t="s">
        <v>159</v>
      </c>
      <c r="O15" s="62">
        <v>2</v>
      </c>
      <c r="X15" s="5" t="s">
        <v>168</v>
      </c>
      <c r="Y15" s="5" t="s">
        <v>169</v>
      </c>
    </row>
    <row r="16" spans="2:28" x14ac:dyDescent="0.45">
      <c r="O16" s="62">
        <v>3</v>
      </c>
    </row>
    <row r="17" spans="2:24" x14ac:dyDescent="0.45">
      <c r="B17" s="4" t="s">
        <v>124</v>
      </c>
      <c r="J17" s="4" t="s">
        <v>161</v>
      </c>
      <c r="O17" s="62">
        <v>4</v>
      </c>
    </row>
    <row r="18" spans="2:24" x14ac:dyDescent="0.45">
      <c r="B18" s="5" cm="1">
        <f t="array" ref="B18:C21">Match2Dλ(KernelM,SmallGrid)</f>
        <v>2</v>
      </c>
      <c r="C18" s="5">
        <v>2</v>
      </c>
      <c r="J18" s="5" cm="1">
        <f t="array" ref="J18:K23">Match2Dλ(Waldo,ThisGrid)</f>
        <v>3</v>
      </c>
      <c r="K18" s="5">
        <v>16</v>
      </c>
      <c r="O18" s="62">
        <v>5</v>
      </c>
    </row>
    <row r="19" spans="2:24" x14ac:dyDescent="0.45">
      <c r="B19" s="5">
        <v>2</v>
      </c>
      <c r="C19" s="5">
        <v>3</v>
      </c>
      <c r="J19" s="5">
        <v>3</v>
      </c>
      <c r="K19" s="5">
        <v>17</v>
      </c>
    </row>
    <row r="20" spans="2:24" x14ac:dyDescent="0.45">
      <c r="B20" s="5">
        <v>3</v>
      </c>
      <c r="C20" s="5">
        <v>2</v>
      </c>
      <c r="J20" s="5">
        <v>3</v>
      </c>
      <c r="K20" s="5">
        <v>18</v>
      </c>
      <c r="T20" s="20" t="s">
        <v>164</v>
      </c>
      <c r="X20" s="20" t="s">
        <v>172</v>
      </c>
    </row>
    <row r="21" spans="2:24" x14ac:dyDescent="0.45">
      <c r="B21" s="5">
        <v>3</v>
      </c>
      <c r="C21" s="5">
        <v>3</v>
      </c>
      <c r="J21" s="5">
        <v>4</v>
      </c>
      <c r="K21" s="5">
        <v>16</v>
      </c>
      <c r="O21" s="4" t="s">
        <v>163</v>
      </c>
      <c r="T21" s="4" t="s">
        <v>165</v>
      </c>
      <c r="X21" s="16" t="s">
        <v>171</v>
      </c>
    </row>
    <row r="22" spans="2:24" x14ac:dyDescent="0.45">
      <c r="J22" s="5">
        <v>4</v>
      </c>
      <c r="K22" s="5">
        <v>17</v>
      </c>
      <c r="O22" s="5" cm="1">
        <f t="array" ref="O22:P26">Match2Dλ(KernelS,ThisGrid)</f>
        <v>1</v>
      </c>
      <c r="P22" s="5">
        <v>1</v>
      </c>
      <c r="T22" s="5" cm="1">
        <f t="array" ref="T22:U22">Match2Dλ("Waldo",ThisGrid)</f>
        <v>3</v>
      </c>
      <c r="U22" s="5">
        <v>18</v>
      </c>
      <c r="X22" s="45" t="e" cm="1">
        <f t="array" ref="X22">Match2Dλ(KernelABC,ThisGrid)</f>
        <v>#N/A</v>
      </c>
    </row>
    <row r="23" spans="2:24" x14ac:dyDescent="0.45">
      <c r="J23" s="5">
        <v>4</v>
      </c>
      <c r="K23" s="5">
        <v>18</v>
      </c>
      <c r="O23" s="5">
        <v>2</v>
      </c>
      <c r="P23" s="5">
        <v>1</v>
      </c>
    </row>
    <row r="24" spans="2:24" x14ac:dyDescent="0.45">
      <c r="O24" s="5">
        <v>3</v>
      </c>
      <c r="P24" s="5">
        <v>1</v>
      </c>
    </row>
    <row r="25" spans="2:24" x14ac:dyDescent="0.45">
      <c r="O25" s="5">
        <v>4</v>
      </c>
      <c r="P25" s="5">
        <v>1</v>
      </c>
      <c r="X25" s="49" t="s">
        <v>173</v>
      </c>
    </row>
    <row r="26" spans="2:24" x14ac:dyDescent="0.45">
      <c r="O26" s="5">
        <v>5</v>
      </c>
      <c r="P26" s="5">
        <v>1</v>
      </c>
      <c r="X26" s="49" t="s">
        <v>174</v>
      </c>
    </row>
    <row r="27" spans="2:24" x14ac:dyDescent="0.45">
      <c r="X27" s="49" t="s">
        <v>175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2F4C-2E1C-41F2-B0A1-8FC7F3994CF2}">
  <sheetPr>
    <tabColor rgb="FFFFECB3"/>
  </sheetPr>
  <dimension ref="B2:Q29"/>
  <sheetViews>
    <sheetView workbookViewId="0"/>
  </sheetViews>
  <sheetFormatPr defaultRowHeight="16.5" x14ac:dyDescent="0.45"/>
  <cols>
    <col min="1" max="1" width="5.08203125" customWidth="1"/>
    <col min="2" max="2" width="10.1640625" customWidth="1"/>
    <col min="4" max="4" width="5.58203125" bestFit="1" customWidth="1"/>
  </cols>
  <sheetData>
    <row r="2" spans="2:17" x14ac:dyDescent="0.45">
      <c r="B2" s="38" t="s">
        <v>109</v>
      </c>
      <c r="I2" s="38" t="s">
        <v>110</v>
      </c>
    </row>
    <row r="3" spans="2:17" x14ac:dyDescent="0.45">
      <c r="B3" t="s">
        <v>96</v>
      </c>
      <c r="I3" t="s">
        <v>97</v>
      </c>
    </row>
    <row r="7" spans="2:17" x14ac:dyDescent="0.45">
      <c r="B7" s="60" t="s">
        <v>144</v>
      </c>
      <c r="H7" s="60" t="s">
        <v>149</v>
      </c>
    </row>
    <row r="8" spans="2:17" x14ac:dyDescent="0.45">
      <c r="B8" s="63" t="s">
        <v>128</v>
      </c>
      <c r="C8" s="63" t="s">
        <v>129</v>
      </c>
      <c r="D8" s="63" t="s">
        <v>130</v>
      </c>
      <c r="E8" s="63" t="s">
        <v>131</v>
      </c>
      <c r="F8" s="3"/>
      <c r="G8" s="3"/>
      <c r="H8" s="63">
        <v>69</v>
      </c>
      <c r="I8" s="63">
        <v>2</v>
      </c>
      <c r="J8" s="63">
        <v>32</v>
      </c>
      <c r="K8" s="63">
        <v>86</v>
      </c>
      <c r="L8" s="63">
        <v>15</v>
      </c>
      <c r="M8" s="63">
        <v>38</v>
      </c>
      <c r="N8" s="63">
        <v>86</v>
      </c>
      <c r="O8" s="63">
        <v>4</v>
      </c>
      <c r="P8" s="63">
        <v>6</v>
      </c>
      <c r="Q8" s="63">
        <v>41</v>
      </c>
    </row>
    <row r="9" spans="2:17" x14ac:dyDescent="0.45">
      <c r="B9" s="63" t="s">
        <v>132</v>
      </c>
      <c r="C9" s="63" t="s">
        <v>133</v>
      </c>
      <c r="D9" s="63">
        <v>88</v>
      </c>
      <c r="E9" s="63" t="s">
        <v>134</v>
      </c>
      <c r="F9" s="3"/>
      <c r="G9" s="3"/>
      <c r="H9" s="63">
        <v>72</v>
      </c>
      <c r="I9" s="63">
        <v>35</v>
      </c>
      <c r="J9" s="63">
        <v>90</v>
      </c>
      <c r="K9" s="63">
        <v>53</v>
      </c>
      <c r="L9" s="63">
        <v>39</v>
      </c>
      <c r="M9" s="63">
        <v>56</v>
      </c>
      <c r="N9" s="63">
        <v>47</v>
      </c>
      <c r="O9" s="63">
        <v>68</v>
      </c>
      <c r="P9" s="63">
        <v>64</v>
      </c>
      <c r="Q9" s="63">
        <v>5</v>
      </c>
    </row>
    <row r="10" spans="2:17" x14ac:dyDescent="0.45">
      <c r="B10" s="63" t="s">
        <v>135</v>
      </c>
      <c r="C10" s="63" t="s">
        <v>136</v>
      </c>
      <c r="D10" s="63">
        <v>92</v>
      </c>
      <c r="E10" s="63" t="s">
        <v>67</v>
      </c>
      <c r="F10" s="3"/>
      <c r="G10" s="3"/>
      <c r="H10" s="63">
        <v>57</v>
      </c>
      <c r="I10" s="63">
        <v>17</v>
      </c>
      <c r="J10" s="63">
        <v>18</v>
      </c>
      <c r="K10" s="63">
        <v>38</v>
      </c>
      <c r="L10" s="63">
        <v>28</v>
      </c>
      <c r="M10" s="63">
        <v>2</v>
      </c>
      <c r="N10" s="63">
        <v>66</v>
      </c>
      <c r="O10" s="63">
        <v>13</v>
      </c>
      <c r="P10" s="63">
        <v>82</v>
      </c>
      <c r="Q10" s="63">
        <v>73</v>
      </c>
    </row>
    <row r="11" spans="2:17" x14ac:dyDescent="0.45">
      <c r="B11" s="63" t="s">
        <v>137</v>
      </c>
      <c r="C11" s="63" t="s">
        <v>138</v>
      </c>
      <c r="D11" s="63">
        <v>77</v>
      </c>
      <c r="E11" s="63" t="s">
        <v>134</v>
      </c>
      <c r="F11" s="3"/>
      <c r="G11" s="3"/>
      <c r="H11" s="63">
        <v>37</v>
      </c>
      <c r="I11" s="63">
        <v>66</v>
      </c>
      <c r="J11" s="63">
        <v>61</v>
      </c>
      <c r="K11" s="63">
        <v>100</v>
      </c>
      <c r="L11" s="63">
        <v>47</v>
      </c>
      <c r="M11" s="63">
        <v>68</v>
      </c>
      <c r="N11" s="63">
        <v>2</v>
      </c>
      <c r="O11" s="63">
        <v>93</v>
      </c>
      <c r="P11" s="63">
        <v>15</v>
      </c>
      <c r="Q11" s="63">
        <v>100</v>
      </c>
    </row>
    <row r="12" spans="2:17" x14ac:dyDescent="0.45">
      <c r="B12" s="63" t="s">
        <v>139</v>
      </c>
      <c r="C12" s="63" t="s">
        <v>140</v>
      </c>
      <c r="D12" s="63">
        <v>85</v>
      </c>
      <c r="E12" s="63" t="s">
        <v>141</v>
      </c>
    </row>
    <row r="13" spans="2:17" x14ac:dyDescent="0.45">
      <c r="B13" s="63" t="s">
        <v>142</v>
      </c>
      <c r="C13" s="63" t="s">
        <v>143</v>
      </c>
      <c r="D13" s="63">
        <v>99</v>
      </c>
      <c r="E13" s="63" t="s">
        <v>67</v>
      </c>
    </row>
    <row r="16" spans="2:17" x14ac:dyDescent="0.45">
      <c r="B16" s="61" t="s">
        <v>147</v>
      </c>
      <c r="H16" s="61" t="s">
        <v>151</v>
      </c>
      <c r="J16" s="3"/>
      <c r="K16" s="3"/>
      <c r="L16" s="3"/>
      <c r="M16" s="3"/>
    </row>
    <row r="17" spans="2:13" x14ac:dyDescent="0.45">
      <c r="B17" s="4" t="s">
        <v>146</v>
      </c>
      <c r="C17" s="3"/>
      <c r="D17" s="3"/>
      <c r="E17" s="3"/>
      <c r="F17" s="3"/>
      <c r="G17" s="3"/>
      <c r="H17" s="4" t="s">
        <v>150</v>
      </c>
      <c r="I17" s="3"/>
      <c r="J17" s="3"/>
      <c r="K17" s="3"/>
      <c r="L17" s="3"/>
      <c r="M17" s="3"/>
    </row>
    <row r="18" spans="2:13" x14ac:dyDescent="0.45">
      <c r="B18" s="3" t="e" cm="1" vm="71">
        <f t="array" ref="B18:B20">VSplitλ(RegionalData,2,"")</f>
        <v>#VALUE!</v>
      </c>
      <c r="C18" s="3"/>
      <c r="D18" s="3"/>
      <c r="E18" s="3"/>
      <c r="F18" s="3"/>
      <c r="G18" s="3"/>
      <c r="H18" s="3" t="e" cm="1" vm="72">
        <f t="array" ref="H18:I18">HSplitλ(WeeklyData,5)</f>
        <v>#VALUE!</v>
      </c>
      <c r="I18" s="3" t="e" vm="73">
        <v>#VALUE!</v>
      </c>
      <c r="J18" s="3"/>
      <c r="K18" s="3"/>
      <c r="L18" s="3"/>
      <c r="M18" s="3"/>
    </row>
    <row r="19" spans="2:13" x14ac:dyDescent="0.45">
      <c r="B19" s="3" t="e" vm="74">
        <v>#VALUE!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2:13" x14ac:dyDescent="0.45">
      <c r="B20" s="3" t="e" vm="75">
        <v>#VALUE!</v>
      </c>
      <c r="C20" s="3"/>
      <c r="D20" s="3"/>
      <c r="E20" s="3"/>
      <c r="F20" s="3"/>
      <c r="G20" s="3"/>
      <c r="I20" s="3"/>
    </row>
    <row r="21" spans="2:13" x14ac:dyDescent="0.45">
      <c r="H21" s="3"/>
    </row>
    <row r="23" spans="2:13" x14ac:dyDescent="0.45">
      <c r="B23" s="61" t="s">
        <v>148</v>
      </c>
    </row>
    <row r="24" spans="2:13" x14ac:dyDescent="0.45">
      <c r="B24" s="60" t="s">
        <v>145</v>
      </c>
      <c r="H24" s="61" t="s">
        <v>153</v>
      </c>
    </row>
    <row r="25" spans="2:13" x14ac:dyDescent="0.45">
      <c r="B25" s="3" t="e" cm="1" vm="76">
        <f t="array" ref="B25:C25">HSplitλ(RegionalData,2)</f>
        <v>#VALUE!</v>
      </c>
      <c r="C25" t="e" vm="77">
        <v>#VALUE!</v>
      </c>
      <c r="H25" s="4" t="s">
        <v>152</v>
      </c>
    </row>
    <row r="26" spans="2:13" x14ac:dyDescent="0.45">
      <c r="B26" s="3"/>
      <c r="H26" s="3" t="e" cm="1" vm="78">
        <f t="array" ref="H26:H29">VSplitλ(WeeklyData,1)</f>
        <v>#VALUE!</v>
      </c>
    </row>
    <row r="27" spans="2:13" x14ac:dyDescent="0.45">
      <c r="H27" s="3" t="e" vm="79">
        <v>#VALUE!</v>
      </c>
    </row>
    <row r="28" spans="2:13" x14ac:dyDescent="0.45">
      <c r="H28" s="3" t="e" vm="80">
        <v>#VALUE!</v>
      </c>
    </row>
    <row r="29" spans="2:13" x14ac:dyDescent="0.45">
      <c r="H29" s="3" t="e" vm="81">
        <v>#VALUE!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oAXABuACAAIABfAF8AXwBfACAAIAAgACAAXwAgACAAIAAgACAAIAAgACAAIAAgACAAIABfAF8AXwBfAF8AIAAgACAAIAAgACAAIAAgACAAIAAgAF8AIAAgACAAXwAgACAAIABfACAAXABuACAAfAAgACAAXwAgAFwAXAAgACAAKABfACkAIAAgACAAIAAgACAAIAAgACAAIAAvACAAXwBfAF8AXwB8ACAAIAAgACAAIAAgACAAIAAgACgAXwApACAAfAAgAHwAIAB8ACAAfABcAG4AIAB8ACAAfABfACkAIAB8ACAAIABfACAAIAAgACAAXwBfACAAXwAgACAAfAAgACgAXwBfAF8AIAAgACAAIABfACAAXwBfACAAIAAgACAAXwAgACAAfAAgAHwAIAB8ACAAfABcAG4AIAB8ACAAIABfACAAPAAgACAAfAAgAHwAIAAgAC8AIABfAGAAIAB8ACAAIABcAFwAXwBfAF8AIABcAFwAIAAgAHwAIAAnAF8AIABcAFwAIAAgAHwAIAB8ACAAfAAgAHwAIAB8ACAAfABcAG4AIAB8ACAAfABfACkAIAB8ACAAfAAgAHwAIAB8ACAAKABfAHwAIAB8ACAAIABfAF8AXwBfACkAIAB8ACAAfAAgAHwAXwApACAAfAAgAHwAIAB8ACAAfAAgAHwAIAB8ACAAfABcAG4AIAB8AF8AXwBfAF8ALwAgACAAfABfAHwAIAAgAFwAXABfAF8ALAAgAHwAIAB8AF8AXwBfAF8AXwAvACAAIAB8ACAALgBfAF8ALwAgACAAfABfAHwAIAB8AF8AfAAgAHwAXwB8AFwAbgAgACAAIAAgACAAIAAgACAAIAAgACAAIAAgACAAIABfAF8ALwAgAHwAIAAgACAAIAAgACAAIAAgACAAIAB8ACAAfAAgACAAIAAgACAAIAAgACAAIAAgACAAIAAgACAAIAAgAFwAbgAgACAAIAAgACAAIAAgACAAIAAgACAAIAAgACAAfABfAF8AXwAvACAAIAAgACAAIAAgACAAIAAgACAAIAB8AF8AfAAgACAAIAAgACAAIAAgACAAIAAgACAAIAAgACAAIAAgAFwAbgBcAG4ATQBvAGQAdQBsAGUAOgAgACAAIAAgACAAIAAgACAAIAAgACAAIAAgAEIAaQBnAFMAcABpAGwAbAAgAEEATABQAEgAQQBcAG4ATABpAGMAZQBuAHMAZQA6ACAAIAAgACAAIAAgACAAIAAgACAAIAAgAE0ASQBUACAAKABzAGUAZQAgAEwASQBDAEUATgBTAEUAIABmAGkAbABlACkAXABuAEEAdQB0AGgAbwByADoAIAAgACAAIAAgACAAIAAgACAAIAAgACAAIABQAGEAdAByAGkAYwBrACAASAAuAFwAbgBEAGEAdABlADoAIAAgACAAIAAgACAAIAAgACAAIAAgACAAIAAgACAAMQAwAC8ANgAvADIAMAAyADYAXABuAFwAbgBHAGkAcwB0ACAAKABJAG0AcABvAHIAdAAgAG8AbgBsAHkAKQA6ACAAaAB0AHQAcABzADoALwAvAGcAaQBzAHQALgBnAGkAdABoAHUAYgAuAGMAbwBtAC8AUABhAHQAcgBpAGMAawAyADcAOAA4AC8AYQAxADIANgA1ADAANABmADkAYQAzAGYANABjADkAZgBhAGQAOAA3ADEANQBjAGEAMgA1ADgANwAzADAANgBlAFwAbgBcAG4AQQAgAGMAbwBsAGwAZQBjAHQAaQBvAG4AIABvAGYAIABCAGkAZwBTAHAAaQBsAGwAIABmAHUAbgBjAHQAaQBvAG4AcwAgAHIAZQB2AGkAcwBlAGQAIAB0AG8AIABsAGUAdgBlAHIAYQBnAGUAIABzAHUAcABwAG8AcgB0ACAAbwBmACAAbgBlAHMAdABlAGQAIABhAHIAcgBhAHkAcwAuAFwAbgBUAGgAZQBzAGUAIABhAHIAZQAgAHcAbwByAGsAaQBuAGcAIABwAHIAbwB0AG8AdAB5AHAAZQBzACAAYQBuAGQAIABzAGgAbwB1AGwAZAAgAG4AbwB0ACAAYgBlACAAYwBvAG4AcwBpAGQAZQByAGUAZAAgAGYAaQBuAGEAbAAuAFwAbgBcAG4AfAAgAFMAaQBtAHAAbABpAGYAaQBlAGQAIABmAHUAbgBjAHQAaQBvAG4AcwAgAHwAXABuAFwAbgBNAGEAZwBuAGkAZgB5ALsDIAAgACAAIAAtACAARQB4AHAAYQBuAGQAcwAgAGUAYQBjAGgAIABlAGwAZQBtAGUAbgB0ACAAaQBuAHQAbwAgAGEAIABkAGUAcAB0AGgA1wB3AGkAZAB0AGgAIABiAGwAbwBjAGsALgBcAG4AXABuAEEAbABpAGcAbgBSAG8AdwBzALsDIAAgAC0AIABTAG8AcgB0AHMAIABlAGEAYwBoACAAcgBvAHcAIABhAGwAcABoAGEAYgBlAHQAaQBjAGEAbABsAHkAIABvAHIAIABiAHkAIABzAG8AcgB0ACAAbwByAGQAZQByAC4AIABSAGUAdgBpAHMAZQBkACAAQQBsAGkAZwBuALsDLgBcAG4AXABuAEEAbABpAGcAbgBDAG8AbABzALsDIAAgAC0AIABTAG8AcgB0AHMAIABlAGEAYwBoACAAYwBvAGwAdQBtAG4AIABhAGwAcABoAGEAYgBlAHQAaQBjAGEAbABsAHkAIABvAHIAIABiAHkAIABzAG8AcgB0ACAAbwByAGQAZQByAC4AIABSAGUAdgBpAHMAZQBkACAAQQBsAGkAZwBuALsDLgBcAG4AXABuAEYAbwBsAGQAuwMgACAAIAAgACAAIAAgAC0AIABHAHIAbwB1AHAAcwAgAGkAZABlAG4AdABpAGMAYQBsACAAcgBvAHcAcwAgAGEAbgBkACAAYQBwAHAAbABpAGUAcwAgAGEAbgAgAGEAZwBnAHIAZQBnAGEAdABpAG8AbgAgAHIAZQBkAHUAYwBlAHIALgBcAG4AIAAgACAAIAAgACAAIAAgACAAIAAgACAAIAAgAEYAYQBzAHQAZQByACAAdgBpAGEAIABzAGkAbQBwAGwAaQBmAGkAZQBkACAAQQBsAGkAZwBuAFIAbwB3AHMAuwMuAFwAbgBcAG4AWgBpAHAAuwMgACAAIAAgACAAIAAgACAALQAgAFoAaQBwAHMAIAAxABMgNAAgAGEAcgByAGEAeQBzACAAaQBuAHQAbwAgAHIAbwB3ABEgcgBlAGMAbwByAGQAcwAuACAATgBvAHcAIAByAGUAdAB1AHIAbgBzACAAYQAgAGwAaQBzAHQALgBcAG4AXABuAFAAYQBpAHIAdwBpAHMAZQC7AyAAIAAgAC0AIABDAGEAcgB0AGUAcwBpAGEAbgAgAHAAYQBpAHIAaQBuAGcAIABvAGYAIAB0AHcAbwAgAGkAbgBwAHUAdABzAC4AXABuAFwAbgBUAHIAaQBwAGwAZQB3AGkAcwBlALsDIAAtACAAQwBhAHIAdABlAHMAaQBhAG4AIABwAHIAbwBkAHUAYwB0ACAAbwBmACAAMwAgAHMAZQB0AHMALgBcAG4AXABuAFEAdQBhAGQAdwBpAHMAZQC7AyAAIAAgAC0AIABDAGEAcgB0AGUAcwBpAGEAbgAgAHAAcgBvAGQAdQBjAHQAIABvAGYAIAA0ACAAcwBlAHQAcwAuAFwAbgBcAG4ARQBjAGgAbwC7AyAAIAAgACAAIAAgACAALQAgAFIAZQBwAGUAYQB0AHMAIABlAGEAYwBoACAAZQBsAGUAbQBlAG4AdAAgAGEAYwBjAG8AcgBkAGkAbgBnACAAdABvACAAcgBlAHAAZQBhAHQAIABjAG8AdQBuAHQAcwAuAFwAbgBcAG4AQwBvAG4AdgBvAGwAdgBlALsDIAAgACAALQAgAFMAbABpAGQAaQBuAGcAESB3AGkAbgBkAG8AdwAgAGMAbwBuAHYAbwBsAHUAdABpAG8AbgAgAHUAcwBpAG4AZwAgAGEAIAByAGUAZAB1AGMAZQByAC4AXABuAFwAbgB8ACAATgBlAHcAIABwAHIAbwB0AG8AdAB5AHAAZQBzACAAfABcAG4AXABuAEIAbABvAGMAawBzALsDIAAgACAAIAAgAC0AIABQAGEAcgB0AGkAdABpAG8AbgBzACAAYQAgADIARAAgAGEAcgByAGEAeQAgAGkAbgB0AG8AIABkAGUAcAB0AGgA1wB3AGkAZAB0AGgAIABiAGwAbwBjAGsAcwAuAFwAbgBcAG4AVwBpAG4AZABvAHcAZQBkALsDIAAgACAALQAgAEUAeAB0AHIAYQBjAHQAcwAgAG8AdgBlAHIAbABhAHAAcABpAG4AZwAgAGQAZQBwAHQAaADXAHcAaQBkAHQAaAAgAHcAaQBuAGQAbwB3AHMALgBcAG4AXABuAEcAcgBpAGQATABvAG8AawB1AHAAuwMgAC0AIAAyAEQAIABsAG8AbwBrAHUAcAAgAHIAZQB0AHUAcgBuAGkAbgBnACAAYwBvAHIAcgBlAHMAcABvAG4AZABpAG4AZwAgAHYAYQBsAHUAZQBzACAAZgByAG8AbQAgAGEAIABzAGUAYwBvAG4AZAAgAGcAcgBpAGQALgBcAG4AXABuAE4AYQB2AGkAZwBhAHQAZQAyAEQAuwMgAC0AIABMAG8AYwBhAHQAZQBzACAAYQAgAGsAZQByAG4AZQBsACAAaQBuACAAYQAgADIARAAgAGEAcgByAGEAeQAgAGEAbgBkACAAcgBlAHQAdQByAG4AcwAgAGEAIABNAG8AbwByAGUAESBuAGUAaQBnAGgAYgBvAHIAaABvAG8AZAAgAHMAaABhAHAAZQAuAFwAbgBcAG4ATQBhAHQAYwBoADIARAC7AyAAIAAgACAALQAgAEwAbwBjAGEAdABlAHMAIABhACAAawBlAHIAbgBlAGwAIABpAG4AIABhACAAMgBEACAAYQByAHIAYQB5ACAAYQBuAGQAIAByAGUAdAB1AHIAbgBzACAAbQBhAHQAYwBoACAAYwBvAG8AcgBkAGkAbgBhAHQAZQBzAC4AXABuAFwAbgBWAFMAcABsAGkAdAC7AyAAIAAgACAAIAAtACAAUwBwAGwAaQB0AHMAIABhACAAMgBEACAAYQByAHIAYQB5ACAAaQBuAHQAbwAgAHYAZQByAHQAaQBjAGEAbAAgAHIAbwB3ABEgcwBlAGcAbQBlAG4AdABzACAAbwBmACAAcwBpAHoAZQAgAHMAcABsAGkAdABfAGkAbgB0AGUAcgB2AGEAbAAuAFwAbgBcAG4ASABTAHAAbABpAHQAuwMgACAAIAAgACAALQAgAFMAcABsAGkAdABzACAAYQAgADIARAAgAGEAcgByAGEAeQAgAGkAbgB0AG8AIABoAG8AcgBpAHoAbwBuAHQAYQBsACAAYwBvAGwAdQBtAG4AESBzAGUAZwBtAGUAbgB0AHMAIABvAGYAIABzAGkAegBlACAAcwBwAGwAaQB0AF8AaQBuAHQAZQByAHYAYQBsAC4AXABuAFwAbgBcAG4AVQBuAGMAaABhAG4AZwBlAGQAIABmAHUAbgBjAHQAaQBvAG4AcwAuACAAQwBhAGwAbABlAGQAIABiAHkAIABzAG8AbQBlACAAbwBmACAAdABoAGUAIABhAGIAbwB2AGUAIABmAHUAbgBjAHQAaQBvAG4AcwAuAFwAbgAiICAATQBHAHIAaQBkALsDXABuACIgIABSAGUAcABlAGEAdABSAG8AdwBzALsDXABuACIgIABSAGUAcABlAGEAdABDAG8AbABzALsDXABuACIgIABSAGUAcwBpAHoAZQC7A1wAbgBcAG4AXABuAC8AKgBcAG4AXABuAFwAbgBcAG4AXABuAC8AKgAgAFsAVABCAEQAXQAgAC0ALQAtAC0ALQAtAC0ALQAtAC0ALQAtAC0ALQAtAC0ALQAtAC0ALQAtAC0ALQAtAC0ALQAtAC0ALQAtAC0ALQAtAC0ALQAtAC0ALQAtAC0ALQAtAC0ALQAtAC0ALQAtAC0ALQAtAC0ALQAtAC0ALQAtAC0ALQAtAC0ALQAtAC0ALQAtAC0ALQAtAC0ALQAtAC0AXABuAEYAdQBuAGMAdABpAG8AbgA6ACAAIAAgACAAIABNAGEAZwBuAGkAZgB5ALsDXABuAEMAYQB0AGUAZwBvAHIAeQA6ACAAIAAgACAAIABUAEIARABcAG4AQQB1AHQAaABvAHIAOgAgACAAIAAgACAAIAAgAFAAYQB0AHIAaQBjAGsAIABIAC4AXABuAFYAZQByAHMAaQBvAG4AOgAgACAAIAAgACAAIABBAGwAcABoAGEAXABuAFwAbgBEAGUAcwBjAHIAaQBwAHQAaQBvAG4AOgBcAG4AIAAgACAAIABFAHgAcABhAG4AZABzACAAZQBhAGMAaAAgAGUAbABlAG0AZQBuAHQAIABvAGYAIABhAG4AIABpAG4AcAB1AHQAIABhAHIAcgBhAHkAIABpAG4AdABvACAAYQAgAGIAbABvAGMAawAgAG8AZgAgAHMAcABlAGMAaQBmAGkAZQBkACAAaABlAGkAZwBoAHQAIABhAG4AZABcAG4AIAAgACAAIAB3AGkAZAB0AGgAIAB1AHMAaQBuAGcAIABuAGUAYQByAGUAcwB0ABEgbgBlAGkAZwBoAGIAbwByACAAaQBuAHQAZQByAHAAbwBsAGEAdABpAG8AbgAuACAAUwB1AHAAcABvAHIAdABzACAAcwBjAGEAbABhAHIAcwAsACAAMQBEACAAYQByAHIAYQB5AHMALAAgAGEAbgBkAFwAbgAgACAAIAAgADIARAAgAGEAcgByAGEAeQBzAC4AXABuAFwAbgBQAGEAcgBhAG0AZQB0AGUAcgBzADoAXABuACAAIAAgACAAYQByAHIAYQB5ACAAIAAgACAAIAAgACAALQAgAEkAbgBwAHUAdAAgAGEAcgByAGEAeQAgAHQAbwAgAG0AYQBnAG4AaQBmAHkALgBcAG4AIAAgACAAIABoAGUAaQBnAGgAdAAgACAAIAAgACAAIAAtACAATgB1AG0AYgBlAHIAIABvAGYAIAByAG8AdwBzACAAZgBvAHIAIABlAGEAYwBoACAAbQBhAGcAbgBpAGYAaQBlAGQAIABlAGwAZQBtAGUAbgB0ACAAKABwAG8AcwBpAHQAaQB2AGUAIABzAGMAYQBsAGEAcgApAC4AXABuACAAIAAgACAAdwBpAGQAdABoACAAIAAgACAAIAAgACAALQAgAE4AdQBtAGIAZQByACAAbwBmACAAYwBvAGwAdQBtAG4AcwAgAGYAbwByACAAZQBhAGMAaAAgAG0AYQBnAG4AaQBmAGkAZQBkACAAZQBsAGUAbQBlAG4AdAAgACgAcABvAHMAaQB0AGkAdgBlACAAcwBjAGEAbABhAHIAKQAuAFwAbgBcAG4ATgBvAHQAZQBzADoAXABuACAAIAAgACAAIiAgAGgAZQBpAGcAaAB0ACAAYQBuAGQAIAB3AGkAZAB0AGgAIABtAHUAcwB0ACAAYgBlACAAcwBjAGEAbABhAHIALAAgAG4AdQBtAGUAcgBpAGMALAAgAGEAbgBkACAAPgAgADAALgBcAG4AIAAgACAAIAAiICAAVQBzAGUAcwAgAG4AZQBhAHIAZQBzAHQAESBuAGUAaQBnAGgAYgBvAHIAIABlAHgAcABhAG4AcwBpAG8AbgAgAHYAaQBhACAAaQBuAGQAZQB4ACAAcgBlAHAAbABpAGMAYQB0AGkAbwBuAC4AXABuAC0ALQAtAC0ALQAtAC0ALQAtAC0ALQAtAC0ALQAtAC0ALQAtAC0ALQAtAC0ALQAtAC0ALQAtAC0ALQAtAC0ALQAtAC0ALQAtAC0ALQAtAC0ALQAtAC0ALQAtAC0ALQAtAC0ALQAtAC0ALQAtAC0ALQAtAC0ALQAtAC0ALQAtAC0ALQAtAC0ALQAtAC0ALQAtAC0ALQAtAC0ALQAtACoALwBcAG4AXABuAE0AYQBnAG4AaQBmAHkAuwMgAD0AXABuAEwAQQBNAEIARABBACgAXABuACAAIAAgACAAYQByAHIAYQB5ACwAXABuACAAIAAgACAAaABlAGkAZwBoAHQALABcAG4AIAAgACAAIAB3AGkAZAB0AGgALABcAG4AXABuAC8ALwAgAEwAbwBnAGkAYwAgAGcAYQB0AGUAXABuAEkARgAoAE8AUgAoAEMATwBVAE4AVAAoAGgAZQBpAGcAaAB0ACkAIAA8AD4AIAAxACwAIABDAE8AVQBOAFQAKAB3AGkAZAB0AGgAKQAgADwAPgAgADEAKQAsAFwAIgAjAFYAQQBMAFUARQAhAFwAIgAsAFwAbgBcAG4AIAAgACAAIABJAEYAKABPAFIAKABJAFMAVABFAFgAVAAoAGgAZQBpAGcAaAB0ACkALAAgAEkAUwBUAEUAWABUACgAdwBpAGQAdABoACkAKQAsAFwAIgAjAFQARQBYAFQAIQBcACIALABcAG4AXABuACAAIAAgACAAIAAgACAAIABJAEYAKABPAFIAKABoAGUAaQBnAGgAdAAgADwAPQAgADAALAAgAHcAaQBkAHQAaAAgADwAPQAgADAAKQAsAFwAIgAjAFYAQQBMAFUARQAhAFwAIgAsAFwAbgBcAG4ATABFAFQAKABcAG4AIAAgACAAIAAvAC8AIABOAGUAYQByAGUAcwB0ACAAbgBlAGkAZwBoAGIAbwByACAAaQBuAHQAZQByAHAAbwBsAGEAdABpAG8AbgBcAG4AIAAgACAAIABtAGEAZwC7AywAIAAgACAAIAAgACAATABBAE0AQgBEAEEAKABlAGwAZQBtAGUAbgB0ACwARQBYAFAAQQBOAEQAKABlAGwAZQBtAGUAbgB0ACwAaABlAGkAZwBoAHQALAB3AGkAZAB0AGgALABlAGwAZQBtAGUAbgB0ACkAKQAsAFwAbgAgACAAIAAgAG0AYQBnAG4AaQBmAGkAZQBkACwAIABGAEwAQQBUAFQARQBOACgATQBBAFAAKABhAHIAcgBhAHkALABtAGEAZwC7AykAKQAsAFwAbgAgACAAIAAgAFwAbgAgACAAIAAgAG0AYQBnAG4AaQBmAGkAZQBkAFwAbgApACkAKQApACkAOwBcAG4AXABuAFwAbgBcAG4AXABuAC8AKgAgAFsAVABCAEQAXQAgAC0ALQAtAC0ALQAtAC0ALQAtAC0ALQAtAC0ALQAtAC0ALQAtAC0ALQAtAC0ALQAtAC0ALQAtAC0ALQAtAC0ALQAtAC0ALQAtAC0ALQAtAC0ALQAtAC0ALQAtAC0ALQAtAC0ALQAtAC0ALQAtAC0ALQAtAC0ALQAtAC0ALQAtAC0ALQAtAC0ALQAtAC0ALQAtAC0AXABuAEYAdQBuAGMAdABpAG8AbgA6ACAAIAAgACAAIAAgACAAIABBAGwAaQBnAG4AUgBvAHcAcwC7A1wAbgBDAGEAdABlAGcAbwByAHkAOgAgACAAIAAgACAAIAAgACAAVABCAEQAXABuAEEAdQB0AGgAbwByADoAIAAgACAAIAAgACAAIAAgACAAIABQAGEAdAByAGkAYwBrACAASAAuAFwAbgBWAGUAcgBzAGkAbwBuADoAIAAgACAAIAAgACAAIAAgACAAQQBsAHAAaABhAFwAbgBcAG4ARABlAHMAYwByAGkAcAB0AGkAbwBuADoAXABuACAAIAAgACAAUwBvAHIAdABzACAAZQBhAGMAaAAgAHIAbwB3ACAAYQBsAHAAaABhAGIAZQB0AGkAYwBhAGwAbAB5ACAAKABkAGUAZgBhAHUAbAB0ACkAIABvAHIAIABiAHkAIAB0AGgAZQAgAHMAcABlAGMAaQBmAGkAZQBkACAAcwBvAHIAdAAgAG8AcgBkAGUAcgAuAFwAbgAgACAAIAAgAFMAbwByAHQAaQBuAGcAIABpAHMAIABsAGUAeABpAGMAbwBnAHIAYQBwAGgAaQBjACAAYQBuAGQAIABjAGEAcwBlABEgcwBlAG4AcwBpAHQAaQB2AGUALgBcAG4AXABuAFAAYQByAGEAbQBlAHQAZQByAHMAOgBcAG4AIAAgACAAIABhAHIAcgBhAHkAIAAgACAAIAAgACAAIAAgAC0AIAAyAEQAIABhAHIAcgBhAHkAIAB0AG8AIABiAGUAIABhAGwAaQBnAG4AZQBkAC4AXABuACAAIAAgACAAWwBzAG8AcgB0AF8AbwByAGQAZQByAF0AIAAtACAAMQAgACgAQQBzAGMAZQBuAGQAaQBuAGcAKQAsACAALQAxACAAKABEAGUAcwBjAGUAbgBkAGkAbgBnACkALgAgAEQAZQBmAGEAdQBsAHQAIAA9ACAAMQAuAFwAbgBcAG4ALQAtAC0ALQAtAC0ALQAtAC0ALQAtAC0ALQAtAC0ALQAtAC0ALQAtAC0ALQAtAC0ALQAtAC0ALQAtAC0ALQAtAC0ALQAtAC0ALQAtAC0ALQAtAC0ALQAtAC0ALQAtAC0ALQAtAC0ALQAtAC0ALQAtAC0ALQAtAC0ALQAtAC0ALQAtAC0ALQAtAC0ALQAtAC0ALQAtAC0ALQAtAC0AKgAvAFwAbgBcAG4AQQBsAGkAZwBuAFIAbwB3AHMAuwMgAD0AXABuAEwAQQBNAEIARABBACgAXABuACAAIAAgACAAYQByAHIAYQB5ACwAXABuACAAIAAgACAAWwBzAG8AcgB0AF8AbwByAGQAZQByAF0ALABcAG4ATABFAFQAKABcAG4AIAAgACAAIABzAG8AcgB0AF8AbwByAGQAZQByACwAIABJAEYAKABJAFMATwBNAEkAVABUAEUARAAoAHMAbwByAHQAXwBvAHIAZABlAHIAKQAsACAAMQAsACAAcwBvAHIAdABfAG8AcgBkAGUAcgApACwAXABuACAAIAAgACAAcwBvAHIAdABlAGQALAAgACAAIAAgACAARgBMAEEAVABUAEUATgAoAEIAWQBSAE8AVwAoAGEAcgByAGEAeQAsACAATABBAE0AQgBEAEEAKAByAG8AdwAsACAAUwBPAFIAVAAoAHIAbwB3ACwALABzAG8AcgB0AF8AbwByAGQAZQByACwAVABSAFUARQApACkAKQApACwAXABuACAAIAAgACAAcwBvAHIAdABlAGQAXABuACkAKQA7AFwAbgBcAG4AXABuAFwAbgBcAG4AXABuAC8AKgAgAFsAVABCAEQAXQAgAC0ALQAtAC0ALQAtAC0ALQAtAC0ALQAtAC0ALQAtAC0ALQAtAC0ALQAtAC0ALQAtAC0ALQAtAC0ALQAtAC0ALQAtAC0ALQAtAC0ALQAtAC0ALQAtAC0ALQAtAC0ALQAtAC0ALQAtAC0ALQAtAC0ALQAtAC0ALQAtAC0ALQAtAC0ALQAtAC0ALQAtAC0ALQAtAC0AXABuAEYAdQBuAGMAdABpAG8AbgA6ACAAIAAgACAAIAAgACAAIABBAGwAaQBnAG4AQwBvAGwAcwC7A1wAbgBDAGEAdABlAGcAbwByAHkAOgAgACAAIAAgACAAIAAgACAAVABCAEQAXABuAEEAdQB0AGgAbwByADoAIAAgACAAIAAgACAAIAAgACAAIABQAGEAdAByAGkAYwBrACAASAAuAFwAbgBWAGUAcgBzAGkAbwBuADoAIAAgACAAIAAgACAAIAAgACAAQQBsAHAAaABhAFwAbgBcAG4ARABlAHMAYwByAGkAcAB0AGkAbwBuADoAXABuACAAIAAgACAAUwBvAHIAdABzACAAZQBhAGMAaAAgAGMAbwBsAHUAbQBuACAAYQBsAHAAaABhAGIAZQB0AGkAYwBhAGwAbAB5ACAAKABkAGUAZgBhAHUAbAB0ACkAIABvAHIAIABiAHkAIAB0AGgAZQAgAHMAcABlAGMAaQBmAGkAZQBkACAAcwBvAHIAdAAgAG8AcgBkAGUAcgAuAFwAbgAgACAAIAAgAFMAbwByAHQAaQBuAGcAIABpAHMAIABsAGUAeABpAGMAbwBnAHIAYQBwAGgAaQBjACAAYQBuAGQAIABjAGEAcwBlABEgcwBlAG4AcwBpAHQAaQB2AGUALgBcAG4AXABuAFAAYQByAGEAbQBlAHQAZQByAHMAOgBcAG4AIAAgACAAIABhAHIAcgBhAHkAIAAgACAAIAAgACAAIAAgAC0AIAAyAEQAIABhAHIAcgBhAHkAIAB0AG8AIABiAGUAIABhAGwAaQBnAG4AZQBkAC4AXABuACAAIAAgACAAWwBzAG8AcgB0AF8AbwByAGQAZQByAF0AIAAtACAAMQAgACgAQQBzAGMAZQBuAGQAaQBuAGcAKQAsACAALQAxACAAKABEAGUAcwBjAGUAbgBkAGkAbgBnACkALgAgAEQAZQBmAGEAdQBsAHQAIAA9ACAAMQAuAFwAbgBcAG4ALQAtAC0ALQAtAC0ALQAtAC0ALQAtAC0ALQAtAC0ALQAtAC0ALQAtAC0ALQAtAC0ALQAtAC0ALQAtAC0ALQAtAC0ALQAtAC0ALQAtAC0ALQAtAC0ALQAtAC0ALQAtAC0ALQAtAC0ALQAtAC0ALQAtAC0ALQAtAC0ALQAtAC0ALQAtAC0ALQAtAC0ALQAtAC0ALQAtAC0ALQAtAC0AKgAvAFwAbgBcAG4AQQBsAGkAZwBuAEMAbwBsAHMAuwMgAD0AXABuAEwAQQBNAEIARABBACgAXABuACAAIAAgACAAYQByAHIAYQB5ACwAXABuACAAIAAgACAAWwBzAG8AcgB0AF8AbwByAGQAZQByAF0ALABcAG4ATABFAFQAKABcAG4AIAAgACAAIABzAG8AcgB0AF8AbwByAGQAZQByACwAIABJAEYAKABJAFMATwBNAEkAVABUAEUARAAoAHMAbwByAHQAXwBvAHIAZABlAHIAKQAsACAAMQAsACAAcwBvAHIAdABfAG8AcgBkAGUAcgApACwAXABuACAAIAAgACAAcwBvAHIAdABlAGQALAAgACAAIAAgACAARgBMAEEAVABUAEUATgAoAEIAWQBDAE8ATAAoAGEAcgByAGEAeQAsACAATABBAE0AQgBEAEEAKABjAG8AbAAsACAAUwBPAFIAVAAoAGMAbwBsACwALABzAG8AcgB0AF8AbwByAGQAZQByACkAKQApACkALABcAG4AIAAgACAAIABzAG8AcgB0AGUAZABcAG4AKQApADsAXABuAFwAbgBcAG4AXABuAFwAbgAvACoAIABbAFQAQgBEAF0AIAAtAC0ALQAtAC0ALQAtAC0ALQAtAC0ALQAtAC0ALQAtAC0ALQAtAC0ALQAtAC0ALQAtAC0ALQAtAC0ALQAtAC0ALQAtAC0ALQAtAC0ALQAtAC0ALQAtAC0ALQAtAC0ALQAtAC0ALQAtAC0ALQAtAC0ALQAtAC0ALQAtAC0ALQAtAC0ALQAtAC0ALQAtAC0ALQAtAFwAbgBGAHUAbgBjAHQAaQBvAG4AOgAgACAAIAAgACAAIAAgACAARgBvAGwAZAC7A1wAbgBDAGEAdABlAGcAbwByAHkAOgAgACAAIAAgACAAIAAgACAAVABCAEQAXABuAEEAdQB0AGgAbwByADoAIAAgACAAIAAgACAAIAAgACAAIABQAGEAdAByAGkAYwBrACAASAAuAFwAbgBWAGUAcgBzAGkAbwBuADoAIAAgACAAIAAgACAAIAAgACAAQQBsAHAAaABhAFwAbgBEAGUAcABlAG4AZABlAG4AYwBpAGUAcwA6ACAAIAAgACAAQQBsAGkAZwBuAFIAbwB3AHMAuwNcAG4AXABuAEQAZQBzAGMAcgBpAHAAdABpAG8AbgA6AFwAbgAgACAAIAAgAFIAZQBkAHUAYwBlAHMAIAByAGUAYwBvAHIAZABzACAAaQBuACAAYQBuACAAYQByAHIAYQB5ACAAYgB5ACAAZwByAG8AdQBwAGkAbgBnACAAaQBkAGUAbgB0AGkAYwBhAGwAIAByAG8AdwBzACAAYQBuAGQAIABhAHAAcABsAHkAaQBuAGcAIABhAG4AXABuACAAIAAgACAAYQBnAGcAcgBlAGcAYQB0AGkAbwBuACAAZgB1AG4AYwB0AGkAbwBuACAAdABvACAAdABoAGUAIABjAG8AcgByAGUAcwBwAG8AbgBkAGkAbgBnACAAZQBuAHQAcgBpAGUAcwAgAGkAbgAgAHYAYQBsAHUAZQBzAF8AYQByAHIAYQB5AC4AXABuAFwAbgAgACAAIAAgAEkAZgAgAHYAYQBsAHUAZQBzAF8AYQByAHIAYQB5ACAAaQBzACAAbwBtAGkAdAB0AGUAZAAsACAARgBvAGwAZAC7AyAAdQBzAGUAcwAgAHQAaABlACAAZgBpAHIAcwB0ACAAZgBpAGUAbABkACAAbwBmACAAZQBhAGMAaAAgAHIAZQBjAG8AcgBkACAAYQBzAFwAbgAgACAAIAAgAHQAaABlACAAYQBnAGcAcgBlAGcAYQB0AGkAbwBuACAAdgBlAGMAdABvAHIALgAgAFQAaABpAHMAIABtAG8AZABlACAAaQBzACAAaQBuAHQAZQBuAGQAZQBkACAAZgBvAHIAIABDAE8AVQBOAFQAQQA7ACAAbwB0AGgAZQByACAAcgBlAGQAdQBjAGUAcgBzAFwAbgAgACAAIAAgAG0AYQB5ACAAcAByAG8AZAB1AGMAZQAgAHIAZQBzAHUAbAB0AHMAIABiAHUAdAAgAGEAcgBlACAAbgBvAHQAIABtAGUAYQBuAGkAbgBnAGYAdQBsAC4AXABuAFwAbgBQAGEAcgBhAG0AZQB0AGUAcgBzADoAXABuACAAIAAgACAAYQByAHIAYQB5ACAAIAAgACAAIAAgACAAIAAgACAAIAAtACAAMQBEACAAbwByACAAMgBEACAAYQByAHIAYQB5ACAAdwBoAG8AcwBlACAAcgBvAHcAcwAgAGQAZQBmAGkAbgBlACAAZwByAG8AdQBwAGkAbgBnACAAawBlAHkAcwAuAFwAbgAgACAAIAAgAFsAdgBhAGwAdQBlAHMAXwBhAHIAcgBhAHkAXQAgACAALQAgAE8AcAB0AGkAbwBuAGEAbAAgADEARAAgAG8AcgAgADIARAAgAGEAcgByAGEAeQAgAG8AZgAgAHYAYQBsAHUAZQBzACAAdABvACAAYQBnAGcAcgBlAGcAYQB0AGUALgBcAG4AIAAgACAAIABbAGYAdQBuAGMAdABpAG8AbgBdACAAIAAgACAAIAAgAC0AIABSAGUAZAB1AGMAZQByACAATABBAE0AQgBEAEEAIABhAGMAYwBlAHAAdABpAG4AZwAgAGEAIAAxAEQAIAB2AGUAYwB0AG8AcgAgACgAZABlAGYAYQB1AGwAdAAgAD0AIABDAE8AVQBOAFQAQQApAC4AXABuAFwAbgBOAG8AdABlAHMAOgBcAG4AIAAgACAAIAAiICAARgBvAGwAZAC7AyAAaABhAGwAdABzACAAdwBpAHQAaAAgACMAVgBBAEwAVQBFACEAIABpAGYAIABhAHIAcgBhAHkAIABhAG4AZAAgAHYAYQBsAHUAZQBzAF8AYQByAHIAYQB5ACAAaABlAGkAZwBoAHQAcwAgAGQAaQBmAGYAZQByAC4AXABuACAAIAAgACAAIiAgAEYAbwBsAGQAuwMgAGgAYQBsAHQAcwAgAHcAaQB0AGgAIAAjAEYAVQBOAEMAVABJAE8ATgAhACAAaQBmACAAcgBlAGQAdQBjAGUAcgAgAGkAcwAgAG4AbwB0ACAAYQAgAHYAYQBsAGkAZAAgAEwAQQBNAEIARABBAC4AXABuACAAIAAgACAAIiAgAEEAbABpAGcAbgBSAG8AdwBzALsDIABjAGEAbgBvAG4AaQBjAGEAbABpAHoAZQBzACAAcgBlAGMAbwByAGQAcwAgAHMAbwAgAGkAZABlAG4AdABpAGMAYQBsACAAcgBvAHcAcwAgAGcAcgBvAHUAcAAgAGMAbABlAGEAbgBsAHkALgBcAG4ALQAtAC0ALQAtAC0ALQAtAC0ALQAtAC0ALQAtAC0ALQAtAC0ALQAtAC0ALQAtAC0ALQAtAC0ALQAtAC0ALQAtAC0ALQAtAC0ALQAtAC0ALQAtAC0ALQAtAC0ALQAtAC0ALQAtAC0ALQAtAC0ALQAtAC0ALQAtAC0ALQAtAC0ALQAtAC0ALQAtAC0ALQAtAC0ALQAtAC0ALQAtAC0AKgAvAFwAbgBcAG4ARgBvAGwAZAC7AyAAPQBcAG4ATABBAE0AQgBEAEEAKABcAG4AIAAgACAAIABhAHIAcgBhAHkALABcAG4AIAAgACAAIABbAHYAYQBsAHUAZQBzAF8AYQByAHIAYQB5AF0ALABcAG4AIAAgACAAIABbAGYAdQBuAGMAdABpAG8AbgBdACwAXABuAFwAbgBMAEUAVAAoAFwAbgAgACAAIAAgAC8ALwAgAEQAZQBmAGEAdQBsAHQAIAB2AGEAbAB1AGUAcwAgAGEAcgByAGEAeQBcAG4AIAAgACAAIAB2AGEAbAB1AGUAcwBfAGEAcgByAGEAeQAsACAASQBGACgASQBTAE8ATQBJAFQAVABFAEQAKAB2AGEAbAB1AGUAcwBfAGEAcgByAGEAeQApACwAIABUAEEASwBFACgAYQByAHIAYQB5ACwALAAxACkALAAgAHYAYQBsAHUAZQBzAF8AYQByAHIAYQB5ACkALABcAG4AXABuACAAIAAgACAALwAvACAARABlAGYAYQB1AGwAdAAgAHIAZQBkAHUAYwBlAHIAXABuACAAIAAgACAAZgB1AG4AYwB0AGkAbwBuACwAIAAgACAAIAAgAEkARgAoAE8AUgAoAEkAUwBPAE0ASQBUAFQARQBEACgAZgB1AG4AYwB0AGkAbwBuACkALAAgAEkAUwBPAE0ASQBUAFQARQBEACgAdgBhAGwAdQBlAHMAXwBhAHIAcgBhAHkAKQApACwAIABDAE8AVQBOAFQAQQAsACAAZgB1AG4AYwB0AGkAbwBuACkALABcAG4AXABuACAAIAAgACAALwAvACAAVgBhAGwAaQBkAGEAdABpAG8AbgBcAG4AIAAgACAAIABJAEYAKABBAE4ARAAoAE4ATwBUACgASQBTAE8ATQBJAFQAVABFAEQAKAB2AGEAbAB1AGUAcwBfAGEAcgByAGEAeQApACkALABcAG4AIAAgACAAIAAgACAAIAAgACAAIAAgAFIATwBXAFMAKABhAHIAcgBhAHkAKQAgADwAPgAgAFIATwBXAFMAKAB2AGEAbAB1AGUAcwBfAGEAcgByAGEAeQApACkALAAgAFwAIgAjAFYAQQBMAFUARQAhAFwAIgAsAFwAbgBcAG4AIAAgACAAIAAgACAAIAAgAEkARgAoAFQAWQBQAEUAKABmAHUAbgBjAHQAaQBvAG4AKQAgADwAPgAgADEAMgA4ACwAIABcACIAIwBGAFUATgBDAFQASQBPAE4AIQBcACIALABcAG4AXABuAEwARQBUACgAXABuACAAIAAgACAALwAvACAAQwBhAG4AbwBuAGkAYwBhAGwAIABnAHIAbwB1AHAAaQBuAGcAIABrAGUAeQBzAFwAbgAgACAAIAAgAGEAbABpAGcAbgBlAGQALAAgAEEAbABpAGcAbgBSAG8AdwBzALsDKABhAHIAcgBhAHkAKQAsAFwAbgBcAG4AIAAgACAAIAAvAC8AIABBAGcAZwByAGUAZwBhAHQAaQBvAG4AXABuACAAIAAgACAAYQBnAGcALAAgACAAIAAgAEcAUgBPAFUAUABCAFkAKABhAGwAaQBnAG4AZQBkACwAIAB2AGEAbAB1AGUAcwBfAGEAcgByAGEAeQAsACAAZgB1AG4AYwB0AGkAbwBuACwALAAwACkALABcAG4AXABuACAAIAAgACAAYQBnAGcAXABuACkAKQApACkAXABuACkAOwBcAG4AXABuAFwAbgBcAG4AXABuAFwAbgAvACoAIABbAEEAUgAwADEAXQAgAC0ALQAtAC0ALQAtAC0ALQAtAC0ALQAtAC0ALQAtAC0ALQAtAC0ALQAtAC0ALQAtAC0ALQAtAC0ALQAtAC0ALQAtAC0ALQAtAC0ALQAtAC0ALQAtAC0ALQAtAC0ALQAtAC0ALQAtAC0ALQAtAC0ALQAtAC0ALQAtAC0ALQAtAC0ALQAtAC0ALQAtAC0ALQAtAC0AXABuAEYAdQBuAGMAdABpAG8AbgA6ACAAIAAgACAAIAAgACAAIABaAGkAcAC7A1wAbgBDAGEAdABlAGcAbwByAHkAOgAgACAAIAAgACAAIAAgACAAQQByAHIAYQB5ACAAUwBoAGEAcABpAG4AZwBcAG4AQQB1AHQAaABvAHIAOgAgACAAIAAgACAAIAAgACAAIAAgAFAAYQB0AHIAaQBjAGsAIABIAC4AXABuAFYAZQByAHMAaQBvAG4AOgAgACAAIAAgACAAIAAgACAAIABBAGwAcABoAGEAXABuAFwAbgBEAGUAcwBjAHIAaQBwAHQAaQBvAG4AOgBcAG4AIAAgACAAIABaAGkAcABzACAAdABvAGcAZQB0AGgAZQByACAAMQAtADQAIABhAHIAcgBhAHkAcwAgAGkAbgB0AG8AIABhACAAbABpAHMAdAAgAG8AZgAgAHIAbwB3ABEgcgBlAGMAbwByAGQAcwAuACAARQBhAGMAaAAgAGkAbgBwAHUAdAAgAGkAcwAgAGYAaQByAHMAdABcAG4AIAAgACAAIABuAG8AcgBtAGEAbABpAHoAZQBkACAAdwBpAHQAaAAgAFQATwBDAE8ATAAgAHMAbwAgAHQAaABhAHQAIABzAGMAYQBsAGEAcgBzACwAIAAxAEQAIABhAHIAcgBhAHkAcwAsACAAYQBuAGQAIAAyAEQAIABhAHIAcgBhAHkAcwAgAGIAZQBoAGEAdgBlAFwAbgAgACAAIAAgAHUAbgBpAGYAbwByAG0AbAB5AC4AIABaAGkAcAC7AyAAdABoAGUAbgAgAGEAbABpAGcAbgBzACAAdABoAGUAIABpAG4AcAB1AHQAcwAgAGIAeQAgAGwAZQBuAGcAdABoACAAYQBuAGQAIABjAG8AbgBzAHQAcgB1AGMAdABzACAAbwBuAGUAIAByAGUAYwBvAHIAZABcAG4AIAAgACAAIABwAGUAcgAgAHIAbwB3ACAAdQBzAGkAbgBnACAAQgBZAFIATwBXAC4AXABuAFwAbgAgACAAIAAgAEkAbgAgAHMAdAByAGkAYwB0ACAAbQBvAGQAZQAgACgAZABlAGYAYQB1AGwAdAApACwAIABaAGkAcAC7AyAAcABhAGkAcgBzACAAZQBsAGUAbQBlAG4AdABzACAAbwBuAGwAeQAgAHUAcAAgAHQAbwAgAHQAaABlACAAbABlAG4AZwB0AGgAIABvAGYAIAB0AGgAZQBcAG4AIAAgACAAIABzAGgAbwByAHQAZQBzAHQAIABhAHIAcgBhAHkALgAgAEkAZgAgAHoAaQBwAF8AbABvAG4AZwBlAHMAdAAgAD0AIABUAFIAVQBFACwAIABaAGkAcAC7AyAAYwBvAG4AdABpAG4AdQBlAHMAIAB1AG4AdABpAGwAIAB0AGgAZQAgAGwAbwBuAGcAZQBzAHQAXABuACAAIAAgACAAYQByAHIAYQB5ACAAaQBzACAAYwBvAG4AcwB1AG0AZQBkACwAIABwAGEAZABkAGkAbgBnACAAcwBoAG8AcgB0AGUAcgAgAGEAcgByAGEAeQBzACAAdwBpAHQAaAAgAGYAaQBsAGwAXwB2AGEAbAB1AGUAIAAoAGQAZQBmAGEAdQBsAHQAOgAgACMATgAvAEEAKQAuAFwAbgBcAG4AIAAgACAAIABUAGgAZQAgAHIAZQBzAHUAbAB0ACAAaQBzACAAYQAgAGwAaQBzAHQAIABvAGYAIAByAGUAYwBvAHIAZABzACAAbwBmACAAdABoAGUAIABmAG8AcgBtADoAXABuACAAIAAgACAAIAAgACAAIAB7ACAAewBhAIEgLABiAIEgLABjAIEgLABkAIEgfQAsACAAewBhAIIgLABiAIIgLABjAIIgLABkAIIgfQAsACAAJiAgAH0AXABuACAAIAAgACAAVQBzAGUAIABGAEwAQQBUAFQARQBOACAAdABvACAAcwBwAGkAbABsACAAdABoAGUAIABsAGkAcwB0ACAAYQBzACAAYQAgADIARAAgAHQAYQBiAGwAZQAgAHcAaABlAG4AIAByAGUAcQB1AGkAcgBlAGQALgBcAG4AXABuAFAAYQByAGEAbQBlAHQAZQByAHMAOgBcAG4AIAAgACAAIABhAHIAcgBhAHkAXwAxACAAIAAgACAAIAAgACAALQAgAEYAaQByAHMAdAAgAGkAbgBwAHUAdAAgAGEAcgByAGEAeQAgACgAcwBjAGEAbABhAHIALAAgADEARAAsACAAbwByACAAMgBEACkALgBcAG4AIAAgACAAIABbAGEAcgByAGEAeQBfADIAXQAgACAAIAAgACAALQAgAE8AcAB0AGkAbwBuAGEAbAAgAHMAZQBjAG8AbgBkACAAYQByAHIAYQB5AC4AXABuACAAIAAgACAAWwBhAHIAcgBhAHkAXwAzAF0AIAAgACAAIAAgAC0AIABPAHAAdABpAG8AbgBhAGwAIAB0AGgAaQByAGQAIABhAHIAcgBhAHkALgBcAG4AIAAgACAAIABbAGEAcgByAGEAeQBfADQAXQAgACAAIAAgACAALQAgAE8AcAB0AGkAbwBuAGEAbAAgAGYAbwB1AHIAdABoACAAYQByAHIAYQB5AC4AXABuACAAIAAgACAAWwB6AGkAcABfAGwAbwBuAGcAZQBzAHQAXQAgAC0AIABUAFIAVQBFACAAdABvACAAegBpAHAAIAB1AG4AdABpAGwAIAB0AGgAZQAgAGwAbwBuAGcAZQBzAHQAIABhAHIAcgBhAHkAIABpAHMAIABjAG8AbgBzAHUAbQBlAGQALgBcAG4AIAAgACAAIAAgACAAIAAgACAAIAAgACAAIAAgACAAIAAgACAAIAAgAEkAZgAgAG8AbQBpAHQAdABlAGQALAAgAFoAaQBwALsDIAB1AHMAZQBzACAAcwB0AHIAaQBjAHQAIABtAG8AZABlACAAKABzAGgAbwByAHQAZQBzAHQAIABhAHIAcgBhAHkAKQAuAFwAbgAgACAAIAAgAFsAZgBpAGwAbABfAHYAYQBsAHUAZQBdACAAIAAtACAAVgBhAGwAdQBlACAAdQBzAGUAZAAgAHQAbwAgAHAAYQBkACAAcwBoAG8AcgB0AGUAcgAgAGEAcgByAGEAeQBzACAAdwBoAGUAbgAgAHoAaQBwAF8AbABvAG4AZwBlAHMAdAAgAD0AIABUAFIAVQBFAC4AXABuAFwAbgBOAG8AdABlAHMAOgBcAG4AIAAgACAAIAAiICAAQQBsAGwAIABpAG4AcAB1AHQAcwAgAGEAcgBlACAAZgBsAGEAdAB0AGUAbgBlAGQAIABjAG8AbAB1AG0AbgARIHcAaQBzAGUAIAB1AHMAaQBuAGcAIABUAE8AQwBPAEwALgBcAG4AIAAgACAAIAAiICAATwB1AHQAcAB1AHQAIABpAHMAIABhACAAbABpAHMAdAAgAG8AZgAgAHMAdAByAHUAYwB0AHUAcgBlAGQAIAByAGUAYwBvAHIAZABzACwAIABuAG8AdAAgAGEAIABzAHAAaQBsAGwAZQBkACAAYQByAHIAYQB5AC4AXABuACAAIAAgACAAIiAgAEEAcABwAGwAeQAgAEYATABBAFQAVABFAE4AKAB6AGkAcABwAGUAZAApACAAdABvACAAYwBvAG4AdgBlAHIAdAAgAHQAaABlACAAbABpAHMAdAAgAHQAbwAgAGEAIAAyAEQAIAB0AGEAYgBsAGUALgBcAG4ALQAtAC0ALQAtAC0ALQAtAC0ALQAtAC0ALQAtAC0ALQAtAC0ALQAtAC0ALQAtAC0ALQAtAC0ALQAtAC0ALQAtAC0ALQAtAC0ALQAtAC0ALQAtAC0ALQAtAC0ALQAtAC0ALQAtAC0ALQAtAC0ALQAtAC0ALQAtAC0ALQAtAC0ALQAtAC0ALQAtAC0ALQAtAC0ALQAtAC0ALQAtAC0AKgAvAFwAbgBcAG4AWgBpAHAAuwMgAD0AXABuAEwAQQBNAEIARABBACgAXABuACAAIAAgACAAYQByAHIAYQB5AF8AMQAsAFwAbgAgACAAIAAgAFsAYQByAHIAYQB5AF8AMgBdACwAXABuACAAIAAgACAAWwBhAHIAcgBhAHkAXwAzAF0ALABcAG4AIAAgACAAIABbAGEAcgByAGEAeQBfADQAXQAsAFwAbgAgACAAIAAgAFsAegBpAHAAXwBsAG8AbgBnAGUAcwB0AF0ALABcAG4AIAAgACAAIABbAGYAaQBsAGwAXwB2AGEAbAB1AGUAXQAsAFwAbgBcAG4ATABFAFQAKABcAG4AIAAgACAAIAAvAC8AIABTAGUAdAAgAHoAaQBwACAAbQBvAGQAZQBcAG4AIAAgACAAIABaAGkAcABMAG8AbgBnAD8ALAAgACAAIABJAEYAKABJAFMATwBNAEkAVABUAEUARAAoAHoAaQBwAF8AbABvAG4AZwBlAHMAdAApACwAIABGAEEATABTAEUALAAgAHoAaQBwAF8AbABvAG4AZwBlAHMAdAApACwAXABuAFwAbgAgACAAIAAgAC8ALwAgAEYAdQBuAGMAdABpAG8AbgAgAGYAbwByACAAZABlAHQAZQByAG0AaQBuAGkAbgBnACAAegBpAHAAIABsAGUAbgBnAHQAaABcAG4AIAAgACAAIABmAG4AuwMsACAAIAAgACAAIAAgACAAIABJAEYAKABaAGkAcABMAG8AbgBnAD8ALAAgAE0AQQBYACwAIABNAEkATgApACwAXABuAFwAbgAgACAAIAAgAC8ALwAgAEYAaQBsAGwAIAB2AGEAbAB1AGUAXABuACAAIAAgACAAZgBpAGwAbABfAHYAYQBsAHUAZQAsACAASQBGACgAWgBpAHAATABvAG4AZwA/ACwAXABuACAAIAAgACAAIAAgACAAIAAgACAAIAAgACAAIAAgACAAIAAgACAASQBGACgASQBTAE8ATQBJAFQAVABFAEQAKABmAGkAbABsAF8AdgBhAGwAdQBlACkALAAgAE4AQQAoACkALAAgAGYAaQBsAGwAXwB2AGEAbAB1AGUAKQAsAFwAbgAgACAAIAAgACAAIAAgACAAIAAgACAAIAAgACAAIAAgACAAIAAgAE4AQQAoACkAKQAsAFwAbgBcAG4AIAAgACAAIAAvAC8AIABBAHIAcgBhAHkAcwAgAHMAdQBwAHAAbABpAGUAZABcAG4AIAAgACAAIABUAHcAbwAsACAAIAAgAE4ATwBUACgASQBTAE8ATQBJAFQAVABFAEQAKABhAHIAcgBhAHkAXwAyACkAKQAsAFwAbgAgACAAIAAgAFQAaAByAGUAZQAsACAATgBPAFQAKABJAFMATwBNAEkAVABUAEUARAAoAGEAcgByAGEAeQBfADMAKQApACwAXABuACAAIAAgACAARgBvAHUAcgAsACAAIABOAE8AVAAoAEkAUwBPAE0ASQBUAFQARQBEACgAYQByAHIAYQB5AF8ANAApACkALABcAG4AXABuACAAIAAgACAALwAvACAAVABvAHQAYQBsACAAYQByAHIAYQB5AHMAIABzAHUAcABwAGwAaQBlAGQAXABuACAAIAAgACAAbQAsACAASQBGACgARgBvAHUAcgAsACAANAAsAFwAbgAgACAAIAAgACAAIAAgACAAIABJAEYAKABUAGgAcgBlAGUALAAgADMALABcAG4AIAAgACAAIAAgACAAIAAgACAAIAAgACAASQBGACgAVAB3AG8ALAAgADIALAAgADEAKQApACkALABcAG4AXABuACAAIAAgACAALwAvACAARgBsAGEAdAB0AGUAbgAgAGkAbgBwAHUAdABzAFwAbgAgACAAIAAgAGEAcgByAGEAeQBfADEALAAgAFQATwBDAE8ATAAoAGEAcgByAGEAeQBfADEAKQAsAFwAbgAgACAAIAAgAGEAcgByAGEAeQBfADIALAAgAEkARgAoAG0AIAA+AD0AIAAyACwAIABUAE8AQwBPAEwAKABhAHIAcgBhAHkAXwAyACkALAAgAEYAQQBMAFMARQApACwAXABuACAAIAAgACAAYQByAHIAYQB5AF8AMwAsACAASQBGACgAbQAgAD4APQAgADMALAAgAFQATwBDAE8ATAAoAGEAcgByAGEAeQBfADMAKQAsACAARgBBAEwAUwBFACkALABcAG4AIAAgACAAIABhAHIAcgBhAHkAXwA0ACwAIABJAEYAKABtACAAPQAgACAANAAsACAAVABPAEMATwBMACgAYQByAHIAYQB5AF8ANAApACwAIABGAEEATABTAEUAKQAsAFwAbgBcAG4AIAAgACAAIAAvAC8AIABMAGUAbgBnAHQAaABzAFwAbgAgACAAIAAgAGsAgSAsACAAUgBPAFcAUwAoAGEAcgByAGEAeQBfADEAKQAsACAAIAAgAGsAgiAsACAAUgBPAFcAUwAoAGEAcgByAGEAeQBfADIAKQAsAFwAbgAgACAAIAAgAGsAgyAsACAAUgBPAFcAUwAoAGEAcgByAGEAeQBfADMAKQAsACAAIAAgAGsAhCAsACAAUgBPAFcAUwAoAGEAcgByAGEAeQBfADQAKQAsAFwAbgBcAG4AIAAgACAAIAAvAC8AIABaAGkAcAAgAGwAZQBuAGcAdABoAFwAbgAgACAAIAAgAEwAWgAsACAAQwBIAE8ATwBTAEUAKABtACwAXABuACAAIAAgACAAIAAgACAAIAAgACAAIAAgACAAIAAgAGsAgSAsAFwAbgAgACAAIAAgACAAIAAgACAAIAAgACAAIAAgACAAIABmAG4AuwMoAGsAgSAsACAAawCCICkALABcAG4AIAAgACAAIAAgACAAIAAgACAAIAAgACAAIAAgACAAZgBuALsDKABrAIEgLAAgAGsAgiAsACAAawCDICkALABcAG4AIAAgACAAIAAgACAAIAAgACAAIAAgACAAIAAgACAAZgBuALsDKABrAIEgLAAgAGsAgiAsACAAawCDICwAIABrAIQgKQApACwAXABuAFwAbgAgACAAIAAgAC8ALwAgAE4AbwByAG0AYQBsAGkAegBhAHQAaQBvAG4AXABuACAAIAAgACAATgBvAHIAbQBhAGwAaQB6AGUAuwMsACAATABBAE0AQgBEAEEAKABhAHIAcgAsAFwAbgAgACAAIAAgACAAIAAgACAAIAAgACAAIAAgACAAIAAgACAAIAAgACAAIAAgACAASQBGACgAWgBpAHAATABvAG4AZwA/ACwAXABuACAAIAAgACAAIAAgACAAIAAgACAAIAAgACAAIAAgACAAIAAgACAAIAAgACAAIAAgACAAIABFAFgAUABBAE4ARAAoAGEAcgByACwAIABMAFoALAAsACAAZgBpAGwAbABfAHYAYQBsAHUAZQApACwAXABuACAAIAAgACAAIAAgACAAIAAgACAAIAAgACAAIAAgACAAIAAgACAAIAAgACAAIAAgACAAIABUAEEASwBFACgAYQByAHIALAAgAEwAWgApACkAKQAsAFwAbgBcAG4AIAAgACAAIABhACwAIABOAG8AcgBtAGEAbABpAHoAZQC7AygAYQByAHIAYQB5AF8AMQApACwAXABuACAAIAAgACAAYgAsACAATgBvAHIAbQBhAGwAaQB6AGUAuwMoAGEAcgByAGEAeQBfADIAKQAsAFwAbgAgACAAIAAgAGMALAAgAE4AbwByAG0AYQBsAGkAegBlALsDKABhAHIAcgBhAHkAXwAzACkALABcAG4AIAAgACAAIABkACwAIABOAG8AcgBtAGEAbABpAHoAZQC7AygAYQByAHIAYQB5AF8ANAApACwAXABuAFwAbgAgACAAIAAgAC8ALwAgAEEAcgByAGEAbgBnAGUAbQBlAG4AdABcAG4AIAAgACAAIABhAHIAcgBhAG4AZwBlAGQALAAgAEMASABPAE8AUwBFACgAbQAsAFwAbgAgACAAIAAgACAAIAAgACAAIAAgACAAIAAgACAAIAAgACAAIAAgACAAIABhACwAXABuACAAIAAgACAAIAAgACAAIAAgACAAIAAgACAAIAAgACAAIAAgACAAIAAgAEgAUwBUAEEAQwBLACgAYQAsACAAYgApACwAXABuACAAIAAgACAAIAAgACAAIAAgACAAIAAgACAAIAAgACAAIAAgACAAIAAgAEgAUwBUAEEAQwBLACgAYQAsACAAYgAsACAAYwApACwAXABuACAAIAAgACAAIAAgACAAIAAgACAAIAAgACAAIAAgACAAIAAgACAAIAAgAEgAUwBUAEEAQwBLACgAYQAsACAAYgAsACAAYwAsACAAZAApACkALABcAG4AXABuACAAIAAgACAALwAvACAAWgBpAHAAIAB0AG8AIABsAGkAcwB0ACAAbwBmACAAcgBvAHcAESByAGUAYwBvAHIAZABzAFwAbgAgACAAIAAgAHoAaQBwAHAAZQBkACwAIABCAFkAUgBPAFcAKABhAHIAcgBhAG4AZwBlAGQALAAgAEwAQQBNAEIARABBACgAcgBvAHcALAAgAHsAcgBvAHcAfQApACkALABcAG4AXABuACAAIAAgACAAegBpAHAAcABlAGQAXABuACkAKQA7AFwAbgBcAG4AXABuAFwAbgBcAG4ALwAqACAAWwBUAEIARABdACAALQAtAC0ALQAtAC0ALQAtAC0ALQAtAC0ALQAtAC0ALQAtAC0ALQAtAC0ALQAtAC0ALQAtAC0ALQAtAC0ALQAtAC0ALQAtAC0ALQAtAC0ALQAtAC0ALQAtAC0ALQAtAC0ALQAtAC0ALQAtAC0ALQAtAC0ALQAtAC0ALQAtAC0ALQAtAC0ALQAtAC0ALQAtAC0ALQBcAG4ARgB1AG4AYwB0AGkAbwBuADoAIAAgACAAIAAgACAAIAAgAFAAYQBpAHIAdwBpAHMAZQC7A1wAbgBDAGEAdABlAGcAbwByAHkAOgAgACAAIAAgACAAIAAgACAAVABCAEQAXABuAEEAdQB0AGgAbwByADoAIAAgACAAIAAgACAAIAAgACAAIABQAGEAdAByAGkAYwBrACAASAAuAFwAbgBWAGUAcgBzAGkAbwBuADoAIAAgACAAIAAgACAAIAAgACAAMgAuADAAXABuAFwAbgBEAGUAcwBjAHIAaQBwAHQAaQBvAG4AOgBcAG4AIAAgACAAIABDAHIAZQBhAHQAZQBzACAAdgBlAHIAdABpAGMAYQBsACAAcABhAGkAcgBzACAAZgByAG8AbQAgAHQAdwBvACAAaQBuAHAAdQB0AHMAIAAoAHMAYwBhAGwAYQByAHMALAAgADEARAAgAGEAcgByAGEAeQBzACwAIABvAHIAIAAyAEQAIABhAHIAcgBhAHkAcwApAC4AXABuACAAIAAgACAAQgBvAHQAaAAgAGkAbgBwAHUAdABzACAAYQByAGUAIABuAG8AcgBtAGEAbABpAHoAZQBkACAAdwBpAHQAaAAgAFQATwBDAE8ATAAgAHMAbwAgAHQAaABhAHQAIABvAHIAaQBlAG4AdABhAHQAaQBvAG4AIABpAHMAIABjAG8AbgBzAGkAcwB0AGUAbgB0AFwAbgAgACAAIAAgAGEAbgBkACAAcABhAGkAcgBpAG4AZwAgAGIAZQBoAGEAdgBlAHMAIAB1AG4AaQBmAG8AcgBtAGwAeQAgAGEAYwByAG8AcwBzACAAcwBoAGEAcABlAHMALgBcAG4AXABuACAAIAAgACAAUABhAGkAcgB3AGkAcwBlALsDIABwAGUAcgBmAG8AcgBtAHMAIABhACAAQwBhAHIAdABlAHMAaQBhAG4AIABlAHgAcABhAG4AcwBpAG8AbgA6ACAAZQB2AGUAcgB5ACAAZQBsAGUAbQBlAG4AdAAgAG8AZgAgAHYAZQBjAHQAbwByAF8AMQAgAGkAcwBcAG4AIAAgACAAIABwAGEAaQByAGUAZAAgAHcAaQB0AGgAIABlAHYAZQByAHkAIABlAGwAZQBtAGUAbgB0ACAAbwBmACAAdgBlAGMAdABvAHIAXwAyAC4AIABUAGgAZQAgAHIAZQBzAHUAbAB0ACAAaQBzACAAYQAgADIAESBjAG8AbAB1AG0AbgAgAGEAcgByAGEAeQBcAG4AIAAgACAAIABjAG8AbgB0AGEAaQBuAGkAbgBnACAAYQBsAGwAIABvAHIAZABlAHIAZQBkACAAcABhAGkAcgBzAC4AXABuAFwAbgBQAGEAcgBhAG0AZQB0AGUAcgBzADoAXABuACAAIAAgACAAdgBlAGMAdABvAHIAXwAxACAAIAAgACAALQAgAFMAYwBhAGwAYQByACwAIAAxAEQAIABhAHIAcgBhAHkALAAgAG8AcgAgADIARAAgAGEAcgByAGEAeQAuAFwAbgAgACAAIAAgAHYAZQBjAHQAbwByAF8AMgAgACAAIAAgAC0AIABTAGMAYQBsAGEAcgAsACAAMQBEACAAYQByAHIAYQB5ACwAIABvAHIAIAAyAEQAIABhAHIAcgBhAHkALgBcAG4AXABuAE4AbwB0AGUAcwA6AFwAbgAgACAAIAAgACIgIABJAG4AcAB1AHQAcwAgAGEAcgBlACAAZgBsAGEAdAB0AGUAbgBlAGQAIABjAG8AbAB1AG0AbgARIHcAaQBzAGUAIAB1AHMAaQBuAGcAIABUAE8AQwBPAEwALgBcAG4AIAAgACAAIAAiICAAUABhAGkAcgB3AGkAcwBlALsDIABoAGEAbAB0AHMAIAB3AGkAdABoACAAIwBOAFUATQAhACAAaQBmACAAdABoAGUAIABDAGEAcgB0AGUAcwBpAGEAbgAgAHAAcgBvAGQAdQBjAHQAIABlAHgAYwBlAGUAZABzACAAMQAsADAAMAAwACwAMAAwADAAXABuACAAIAAgACAAIAAgAHIAbwB3AHMALgBcAG4ALQAtAC0ALQAtAC0ALQAtAC0ALQAtAC0ALQAtAC0ALQAtAC0ALQAtAC0ALQAtAC0ALQAtAC0ALQAtAC0ALQAtAC0ALQAtAC0ALQAtAC0ALQAtAC0ALQAtAC0ALQAtAC0ALQAtAC0ALQAtAC0ALQAtAC0ALQAtAC0ALQAtAC0ALQAtAC0ALQAtAC0ALQAtAC0ALQAtAC0ALQAtAC0AKgAvAFwAbgBcAG4AUABhAGkAcgB3AGkAcwBlALsDIAA9AFwAbgBMAEEATQBCAEQAQQAoAFwAbgAgACAAIAAgAHYAZQBjAHQAbwByAF8AMQAsAFwAbgAgACAAIAAgAHYAZQBjAHQAbwByAF8AMgAsAFwAbgBcAG4ATABFAFQAKABcAG4AIAAgACAAIAAvAC8AIABGAGwAYQB0AHQAZQBuACAAaQBuAHAAdQB0AHMAXABuACAAIAAgACAAdgAsACAAIABUAE8AQwBPAEwAKAB2AGUAYwB0AG8AcgBfADEAKQAsAFwAbgAgACAAIAAgAHYAgiAsACAAVABPAEMATwBMACgAdgBlAGMAdABvAHIAXwAyACkALABcAG4AXABuACAAIAAgACAALwAvACAARQBsAGUAbQBlAG4AdAAgAGMAbwB1AG4AdABzAFwAbgAgACAAIAAgAGsALAAgACAAQwBPAFUATgBUAEEAKAB2ACkALABcAG4AIAAgACAAIABrAIIgLAAgAEMATwBVAE4AVABBACgAdgCCICkALABcAG4AXABuACAAIAAgACAALwAvACAASABhAGwAdABpAG4AZwAgAHMAYwBlAG4AYQByAGkAbwBcAG4AIAAgACAAIABJAHMAMgBCAGkAZwA/ACwAIAAgACAAIABrACAAKgAgAGsAgiAgAD4AIAAxADAAMAAwADAAMAAwACwAXABuAFwAbgAgACAAIAAgAEkARgAoAEkAcwAyAEIAaQBnAD8ALAAgACMATgBVAE0AIQAsAFwAbgBcAG4ATABFAFQAKABcAG4AIAAgACAAIAAvAC8AIABDAGEAcgB0AGUAcwBpAGEAbgAgAGUAeABwAGEAbgBzAGkAbwBuAFwAbgAgACAAIAAgAEoAbwBpAG4AUABhAGkAcgBzALsDLAAgAEwAQQBNAEIARABBACgAZQBhAGMAaABfAGUAbABlAG0AZQBuAHQALABcAG4AIAAgACAAIAAgACAAIAAgACAAIAAgACAAIAAgACAAIAAgACAAIAAgACAAIAAgAEgAUwBUAEEAQwBLACgARQBYAFAAQQBOAEQAKABlAGEAYwBoAF8AZQBsAGUAbQBlAG4AdAAsACAAawCCICwALAAgAGUAYQBjAGgAXwBlAGwAZQBtAGUAbgB0ACkALAAgAHYAgiApACkALABcAG4AXABuACAAIAAgACAAcABhAGkAcgBzACwAIAAgACAAIAAgACAARgBMAEEAVABUAEUATgAoAE0AQQBQACgAdgAsACAASgBvAGkAbgBQAGEAaQByAHMAuwMpACkALABcAG4AXABuACAAIAAgACAAcABhAGkAcgBzAFwAbgApACkAKQApADsAXABuAFwAbgBcAG4AXABuAFwAbgAvACoAIABbAFQAQgBEAF0AIAAtAC0ALQAtAC0ALQAtAC0ALQAtAC0ALQAtAC0ALQAtAC0ALQAtAC0ALQAtAC0ALQAtAC0ALQAtAC0ALQAtAC0ALQAtAC0ALQAtAC0ALQAtAC0ALQAtAC0ALQAtAC0ALQAtAC0ALQAtAC0ALQAtAC0ALQAtAC0ALQAtAC0ALQAtAC0ALQAtAC0ALQAtAC0ALQAtAFwAbgBGAHUAbgBjAHQAaQBvAG4AOgAgACAAIAAgACAAIAAgACAAVAByAGkAcABsAGUAdwBpAHMAZQC7A1wAbgBDAGEAdABlAGcAbwByAHkAOgAgACAAIAAgACAAIAAgACAAVABCAEQAXABuAEEAdQB0AGgAbwByADoAIAAgACAAIAAgACAAIAAgACAAIABQAGEAdAByAGkAYwBrACAASAAuAFwAbgBWAGUAcgBzAGkAbwBuADoAIAAgACAAIAAgACAAIAAgACAAMgAuADAAXABuAEQAZQBwAGUAbgBkAGUAbgBjAGkAZQBzADoAIAAgACAAIABQAGEAaQByAHcAaQBzAGUAuwNcAG4AXABuAEQAZQBzAGMAcgBpAHAAdABpAG8AbgA6AFwAbgAgACAAIAAgAEcAZQBuAGUAcgBhAHQAZQBzACAAdABoAGUAIABDAGEAcgB0AGUAcwBpAGEAbgAgAHAAcgBvAGQAdQBjAHQAIABvAGYAIAAzACAAcwBlAHQAcwAuACAAQQBsAGwAIABpAG4AcAB1AHQAcwAgAGEAcgBlACAAZgBsAGEAdAB0AGUAbgBlAGQAIAB1AHMAaQBuAGcAXABuACAAIAAgACAAVABPAEMATwBMACAAcwBvACAAdABoAGEAdAAgAHMAYwBhAGwAYQByAHMALAAgADEARAAgAGEAcgByAGEAeQBzACwAIABhAG4AZAAgADIARAAgAGEAcgByAGEAeQBzACAAYgBlAGgAYQB2AGUAIAB1AG4AaQBmAG8AcgBtAGwAeQAuAFwAbgBcAG4AIAAgACAAIABUAHIAaQBwAGwAZQB3AGkAcwBlALsDIABlAHgAdABlAG4AZABzACAAUABhAGkAcgB3AGkAcwBlALsDIAB0AG8AIABhACAAMwARIGEAeABpAHMAIABmAGEAYgByAGkAYwA6AFwAbgAgACAAIAAgACAAIAAgACAAcwBlAHQAXwAxACAA1wAgAHMAZQB0AF8AMgAgANcAIABzAGUAdABfADMAXABuACAAIAAgACAAVABoAGUAIABvAHUAdABwAHUAdAAgAGkAcwAgAGEAIAAzABEgYwBvAGwAdQBtAG4AIABzAHAAaQBsAGwAIAB3AGgAZQByAGUAIABlAGEAYwBoACAAcgBvAHcAIAByAGUAcAByAGUAcwBlAG4AdABzACAAbwBuAGUAIABvAHIAZABlAHIAZQBkACAAdAByAGkAcABsAGUALgBcAG4AXABuAFAAYQByAGEAbQBlAHQAZQByAHMAOgBcAG4AIAAgACAAIABzAGUAdABfADEAIAAgACAAIAAtACAAUwBjAGEAbABhAHIALAAgADEARAAgAGEAcgByAGEAeQAsACAAbwByACAAMgBEACAAYQByAHIAYQB5AC4AIABGAGwAYQB0AHQAZQBuAGUAZAAgAHcAaQB0AGgAIABUAE8AQwBPAEwALgBcAG4AIAAgACAAIABzAGUAdABfADIAIAAgACAAIAAtACAAUwBjAGEAbABhAHIALAAgADEARAAgAGEAcgByAGEAeQAsACAAbwByACAAMgBEACAAYQByAHIAYQB5AC4AIABGAGwAYQB0AHQAZQBuAGUAZAAgAHcAaQB0AGgAIABUAE8AQwBPAEwALgBcAG4AIAAgACAAIABzAGUAdABfADMAIAAgACAAIAAtACAAUwBjAGEAbABhAHIALAAgADEARAAgAGEAcgByAGEAeQAsACAAbwByACAAMgBEACAAYQByAHIAYQB5AC4AIABGAGwAYQB0AHQAZQBuAGUAZAAgAHcAaQB0AGgAIABUAE8AQwBPAEwALgBcAG4AXABuAE4AbwB0AGUAcwA6AFwAbgAgACAAIAAgACIgIABJAG4AcAB1AHQAcwAgAGEAcgBlACAAbgBvAHIAbQBhAGwAaQB6AGUAZAAgAGMAbwBsAHUAbQBuABEgdwBpAHMAZQAgAHUAcwBpAG4AZwAgAFQATwBDAE8ATAAuAFwAbgAgACAAIAAgACIgIABPAHUAdABwAHUAdAAgAGkAcwAgAGEAIAAyAEQAIABzAHAAaQBsAGwAIABvAGYAIABvAHIAZABlAHIAZQBkACAAdAByAGkAcABsAGUAcwAuAFwAbgAgACAAIAAgACIgIABUAHIAaQBwAGwAZQB3AGkAcwBlALsDIABwAHIAZQBzAGUAcgB2AGUAcwAgAHQAaABlACAAbwByAGQAZQByACAAbwBmACAAdABoAGUAIABzAHUAcABwAGwAaQBlAGQAIABzAGUAdABzAC4AXABuAC0ALQAtAC0ALQAtAC0ALQAtAC0ALQAtAC0ALQAtAC0ALQAtAC0ALQAtAC0ALQAtAC0ALQAtAC0ALQAtAC0ALQAtAC0ALQAtAC0ALQAtAC0ALQAtAC0ALQAtAC0ALQAtAC0ALQAtAC0ALQAtAC0ALQAtAC0ALQAtAC0ALQAtAC0ALQAtAC0ALQAtAC0ALQAtAC0ALQAtAC0ALQAtACoALwBcAG4AXABuAFQAcgBpAHAAbABlAHcAaQBzAGUAuwMgAD0AXABuAEwAQQBNAEIARABBACgAXABuACAAIAAgACAAcwBlAHQAXwAxACwAXABuACAAIAAgACAAcwBlAHQAXwAyACwAXABuACAAIAAgACAAcwBlAHQAXwAzACwAXABuAEwARQBUACgAXABuACAAIAAgACAALwAvACAATgBvAHIAbQBhAGwAaQB6AGUAXABuACAAIAAgACAAcwBlAHQAXwAxACwAIABUAE8AQwBPAEwAKABzAGUAdABfADEAKQAsAFwAbgAgACAAIAAgAHMAZQB0AF8AMgAsACAAVABPAEMATwBMACgAcwBlAHQAXwAyACkALABcAG4AIAAgACAAIABzAGUAdABfADMALAAgAFQATwBDAE8ATAAoAHMAZQB0AF8AMwApACwAXABuAFwAbgAgACAAIAAgAC8ALwAgAEYAaQByAHMAdAAgAEMAYQByAHQAZQBzAGkAYQBuACAAcAByAG8AZAB1AGMAdABcAG4AIAAgACAAIABwAGEAaQByAHMALAAgAFAAYQBpAHIAdwBpAHMAZQC7AygAcwBlAHQAXwAxACwAIABzAGUAdABfADIAKQAsAFwAbgBcAG4AIAAgACAAIAAvAC8AIABTAHAAbABpAHQAIABpAG4AdABvACAAYwBvAGwAdQBtAG4AcwBcAG4AIAAgACAAIABhACwAIAAgACAAIAAgAFQAQQBLAEUAKABwAGEAaQByAHMALAAsADEAKQAsAFwAbgAgACAAIAAgAGIALAAgACAAIAAgACAAVABBAEsARQAoAHAAYQBpAHIAcwAsACwALQAxACkALABcAG4AXABuACAAIAAgACAALwAvACAAUwBlAGMAbwBuAGQAIABDAGEAcgB0AGUAcwBpAGEAbgAgAHAAcgBvAGQAdQBjAHQAIAAoAGEAIADXACAAcwBlAHQAXwAzACkAXABuACAAIAAgACAAcABfADEAMwAsACAAIABQAGEAaQByAHcAaQBzAGUAuwMoAGEALAAgAHMAZQB0AF8AMwApACwAXABuAFwAbgAgACAAIAAgAC8ALwAgAFMAZQBjAG8AbgBkACAAQwBhAHIAdABlAHMAaQBhAG4AIABwAHIAbwBkAHUAYwB0ACAAKABiACAA1wAgAHMAZQB0AF8AMwApAFwAbgAgACAAIAAgAHAAXwAyADMALAAgACAAUABhAGkAcgB3AGkAcwBlALsDKABiACwAIABzAGUAdABfADMAKQAsAFwAbgBcAG4AIAAgACAAIAAvAC8AIABFAHgAdAByAGEAYwB0ACAAYwBvAGwAdQBtAG4AcwBcAG4AIAAgACAAIABhAF8ALAAgACAAIAAgAFQAQQBLAEUAKABwAF8AMQAzACwALAAxACkALABcAG4AIAAgACAAIABiAF8ALAAgACAAIAAgAFQAQQBLAEUAKABwAF8AMgAzACwALAAxACkALABcAG4AIAAgACAAIABjAF8ALAAgACAAIAAgAFQAQQBLAEUAKABwAF8AMQAzACwALAAtADEAKQAsAFwAbgBcAG4AIAAgACAAIAAvAC8AIABGAGkAbgBhAGwAIAB0AHIAaQBwAGwAZQBcAG4AIAAgACAAIAB0AHIAaQBwAGwAZQAsAEgAUwBUAEEAQwBLACgAYQBfACwAIABiAF8ALAAgAGMAXwApACwAXABuACAAIAAgACAAdAByAGkAcABsAGUAXABuACkAKQA7AFwAbgBcAG4AXABuAFwAbgAvACoAIABbAFQAQgBEAF0AIAAtAC0ALQAtAC0ALQAtAC0ALQAtAC0ALQAtAC0ALQAtAC0ALQAtAC0ALQAtAC0ALQAtAC0ALQAtAC0ALQAtAC0ALQAtAC0ALQAtAC0ALQAtAC0ALQAtAC0ALQAtAC0ALQAtAC0ALQAtAC0ALQAtAC0ALQAtAC0ALQAtAC0ALQAtAC0ALQAtAC0ALQAtAC0ALQAtAFwAbgBGAHUAbgBjAHQAaQBvAG4AOgAgACAAIAAgACAAIAAgACAAUQB1AGEAZAB3AGkAcwBlALsDXABuAEMAYQB0AGUAZwBvAHIAeQA6ACAAIAAgACAAIAAgACAAIABUAEIARABcAG4AQQB1AHQAaABvAHIAOgAgACAAIAAgACAAIAAgACAAIAAgAFAAYQB0AHIAaQBjAGsAIABIAC4AXABuAFYAZQByAHMAaQBvAG4AOgAgACAAIAAgACAAIAAgACAAIAAyAC4AMABcAG4ARABlAHAAZQBuAGQAZQBuAGMAaQBlAHMAOgAgACAAIAAgAFIAZQBwAGUAYQB0AFIAbwB3AHMAuwMsACAAUgBlAHMAaQB6AGUAuwMsACAAVAByAGkAcABsAGUAdwBpAHMAZQC7A1wAbgBcAG4ARABlAHMAYwByAGkAcAB0AGkAbwBuADoAXABuACAAIAAgACAARwBlAG4AZQByAGEAdABlAHMAIAB0AGgAZQAgAEMAYQByAHQAZQBzAGkAYQBuACAAcAByAG8AZAB1AGMAdAAgAG8AZgAgADQAIABzAGUAdABzAC4AIABBAGwAbAAgAGkAbgBwAHUAdABzACAAYQByAGUAIABmAGwAYQB0AHQAZQBuAGUAZAAgAGEAbgBkAFwAbgAgACAAIAAgAHQAaABlACAAcgBlAHMAdQBsAHQAaQBuAGcAIABxAHUAYQBkAHIAdQBwAGwAZQBzACAAcAByAGUAcwBlAHIAdgBlACAAdABoAGUAIABvAHIAZABlAHIAIABvAGYAIAB0AGgAZQAgAHMAdQBwAHAAbABpAGUAZAAgAHMAZQB0AHMALgBcAG4AXABuACAAIAAgACAAUQB1AGEAZAB3AGkAcwBlALsDIABlAHgAdABlAG4AZABzACAAVAByAGkAcABsAGUAdwBpAHMAZQC7AyAAdABvACAAYQAgADQAESBhAHgAaQBzACAAZgBhAGIAcgBpAGMAOgBcAG4AIAAgACAAIAAgACAAIAAgACIgIABzAGUAdABfADEAIADXACAAcwBlAHQAXwAyACAA1wAgAHMAZQB0AF8AMwAgANcAIABzAGUAdABfADQAXABuACAAIAAgACAAVABoAGUAIABvAHUAdABwAHUAdAAgAGkAcwAgAGEAIABzAHAAaQBsAGwAIAByAGEAbgBnAGUAIAB3AGgAZQByAGUAIABlAGEAYwBoACAAcgBvAHcAIAByAGUAcAByAGUAcwBlAG4AdABzACAAbwBuAGUAIABvAHIAZABlAHIAZQBkACAAcQB1AGEAZAByAHUAcABsAGUALgBcAG4AXABuAFAAYQByAGEAbQBlAHQAZQByAHMAOgBcAG4AIAAgACAAIABzAGUAdABfADEAIAAgACAAIABTAGMAYQBsAGEAcgBzACAAYQBuAGQAIABhAHIAcgBhAHkAcwAgACgAMQBEACAAbwByACAAMgBEACkAIABhAHIAZQAgAGEAYwBjAGUAcAB0AGUAZAAuACAAQQBsAGwAIABpAG4AcAB1AHQAcwAgAGEAcgBlACAAZgBsAGEAdAB0AGUAbgBlAGQALgBcAG4AIAAgACAAIABzAGUAdABfADIAXABuACAAIAAgACAAcwBlAHQAXwAzAFwAbgAgACAAIAAgAHMAZQB0AF8ANABcAG4ALQAtAC0ALQAtAC0ALQAtAC0ALQAtAC0ALQAtAC0ALQAtAC0ALQAtAC0ALQAtAC0ALQAtAC0ALQAtAC0ALQAtAC0ALQAtAC0ALQAtAC0ALQAtAC0ALQAtAC0ALQAtAC0ALQAtAC0ALQAtAC0ALQAtAC0ALQAtAC0ALQAtAC0ALQAtAC0ALQAtAC0ALQAtAC0ALQAtAC0ALQAtAC0AKgAvAFwAbgBcAG4AUQB1AGEAZAB3AGkAcwBlALsDPQBcAG4ATABBAE0AQgBEAEEAKABcAG4AIAAgACAAIABzAGUAdABfADEALABcAG4AIAAgACAAIABzAGUAdABfADIALABcAG4AIAAgACAAIABzAGUAdABfADMALABcAG4AIAAgACAAIABzAGUAdABfADQALABcAG4ATABFAFQAKABcAG4AIAAgACAAIAAvAC8AIABGAGwAYQB0AHQAZQBuACAAYQBsAGwAIABpAG4AcAB1AHQAcwBcAG4AIAAgACAAIABzAGUAdABfADEALAAgACAAVABPAEMATwBMACgAcwBlAHQAXwAxACkALABcAG4AIAAgACAAIABzAGUAdABfADIALAAgACAAVABPAEMATwBMACgAcwBlAHQAXwAyACkALABcAG4AIAAgACAAIABzAGUAdABfADMALAAgACAAVABPAEMATwBMACgAcwBlAHQAXwAzACkALABcAG4AIAAgACAAIABzAGUAdABfADQALAAgACAAVABPAEMATwBMACgAcwBlAHQAXwA0ACkALABcAG4AXABuACAAIAAgACAALwAvACAARQB4AHAAYQBuAHMAaQBvAG4AIABjAG8AdQBuAHQAXABuACAAIAAgACAAawAsACAAIAAgACAAIAAgAFIATwBXAFMAKABzAGUAdABfADQAKQAsAFwAbgBcAG4AIAAgACAAIAAvAC8AIABOAG8AcgBtAGEAbABpAHoAZQAgAHMAZQB0ACAANAAgAGkAZgAgAHMAYwBhAGwAYQByACAAdABvACAAYQB2AG8AaQBkACAAVABPAEMATwBMACAAaABhAG4AZABvAGYAZgAgAHQAbwAgAFIAZQBzAGkAegBlALsDXABuACAAIAAgACAAZAAsACAAIAAgACAAIAAgAEkARgAoAGsAIAA8AD4AIAAxACwAcwBlAHQAXwA0ACwASQBOAEQARQBYACgAcwBlAHQAXwA0ACwAMQApACkALABcAG4AXABuACAAIAAgACAALwAvACAAVAByAGkAcABsAGUAcwBcAG4AIAAgACAAIAB0AGgAcgBpAGMAZQAsACAAVAByAGkAcABsAGUAdwBpAHMAZQC7AygAcwBlAHQAXwAxACwAcwBlAHQAXwAyACwAcwBlAHQAXwAzACkALABcAG4AIAAgACAAIABcAG4AIAAgACAAIAAvAC8AIABFAHgAcABhAG4AZAAgAHQAcgBpAHAAbABlACAAcgBvAHcAcwAgAGIAeQAgAHQAbwB0AGEAbAAgAGkAdABlAG0AcwAgAGkAbgAgAHMAZQB0ACAANABcAG4AIAAgACAAIAB0AGgAcgBpAGMAZQBfACwAUgBlAHAAZQBhAHQAUgBvAHcAcwC7AygAdABoAHIAaQBjAGUALABrACkALABcAG4AIAAgACAAIABrAIIgLAAgACAAIAAgACAAUgBPAFcAUwAoAHQAaAByAGkAYwBlAF8AKQAsAFwAbgBcAG4AIAAgACAAIAAvAC8AIABFAHgAcABhAG4AZAAgAHMAZQB0ACAANAAgAHQAbwAgAG0AYQB0AGMAaAAgAGwAZQBuAGcAdABoACAAbwBmACAAdAByAGkAcABsAGUAXABuACAAIAAgACAAZgBvAHUAcgAsACAAIAAgAFIAZQBzAGkAegBlALsDKABkACwAawCCICAALwAgAGsAKQAsAFwAbgBcAG4AIAAgACAAIAAvAC8AIABTAHQAYQBjAGsAIABhAG4AZAAgAGQAaQBzAHAAbABhAHkAXABuACAAIAAgACAAZgBpAG4AYQBsACwAIAAgAEgAUwBUAEEAQwBLACgAdABoAHIAaQBjAGUAXwAsAGYAbwB1AHIAKQAsAFwAbgAgACAAIAAgAGYAaQBuAGEAbABcAG4AXABuACkAKQA7AFwAbgBcAG4AXABuAFwAbgBcAG4ALwAqACAAWwBUAEIARABdACAALQAtAC0ALQAtAC0ALQAtAC0ALQAtAC0ALQAtAC0ALQAtAC0ALQAtAC0ALQAtAC0ALQAtAC0ALQAtAC0ALQAtAC0ALQAtAC0ALQAtAC0ALQAtAC0ALQAtAC0ALQAtAC0ALQAtAC0ALQAtAC0ALQAtAC0ALQAtAC0ALQAtAC0ALQAtAC0ALQAtAC0ALQAtAC0ALQBcAG4ARgB1AG4AYwB0AGkAbwBuADoAIAAgACAAIAAgACAAIAAgAEUAYwBoAG8AuwNcAG4AQwBhAHQAZQBnAG8AcgB5ADoAIAAgACAAIAAgACAAIAAgAFQAQgBEAFwAbgBBAHUAdABoAG8AcgA6ACAAIAAgACAAIAAgACAAIAAgACAAUABhAHQAcgBpAGMAawAgAEgALgBcAG4AVgBlAHIAcwBpAG8AbgA6ACAAIAAgACAAIAAgACAAIAAgADIALgAwAFwAbgBcAG4ARABlAHMAYwByAGkAcAB0AGkAbwBuADoAXABuACAAIAAgACAAUgBlAHAAZQBhAHQAcwAgAGUAYQBjAGgAIABlAGwAZQBtAGUAbgB0ACAAaQBuACAAYQAgAHMAdQBwAHAAbABpAGUAZAAgADEARAAgAGEAcgByAGEAeQAgAGEAYwBjAG8AcgBkAGkAbgBnACAAdABvACAAYQAgAHYAZQBjAHQAbwByACAAbwBmAFwAbgAgACAAIAAgAHIAZQBwAGUAYQB0ACAAYwBvAHUAbgB0AHMALgAgAFMAYwBhAGwAYQByAHMAIABhAG4AZAAgAGEAcgByAGEAeQBzACAAYQByAGUAIABzAHUAcABwAG8AcgB0AGUAZAAuACAAUgBlAHAAZQBhAHQAIABjAG8AdQBuAHQAcwAgAG0AdQBzAHQAIABiAGUAXABuACAAIAAgACAAbgB1AG0AZQByAGkAYwAgAGEAbgBkACAAZSIgADEALgBcAG4AXABuACAAIAAgACAARQBjAGgAbwC7AyAAbgBvAHIAbQBhAGwAaQB6AGUAcwAgAGIAbwB0AGgAIABpAG4AcAB1AHQAcwAgAHcAaQB0AGgAIABUAE8AQwBPAEwALAAgAGUAeAB0AGUAbgBkAHMAIAB0AGgAZQAgAHIAZQBwAGUAYQB0ACAAdgBlAGMAdABvAHIAIAB3AGgAZQBuAFwAbgAgACAAIAAgAG4AZQBjAGUAcwBzAGEAcgB5ACwAIABhAG4AZAAgAHUAcwBlAHMAIABNAEEAUAAgACsAIABFAFgAUABBAE4ARAAgAHQAbwAgAGcAZQBuAGUAcgBhAHQAZQAgAHQAaABlACAAZQBjAGgAbwBlAGQAIABvAHUAdABwAHUAdAAuACAAVABoAGUAXABuACAAIAAgACAAcgBlAHMAdQBsAHQAIABpAHMAIABhAGwAdwBhAHkAcwAgAGEAIAB2AGUAcgB0AGkAYwBhAGwAIABhAHIAcgBhAHkALgBcAG4AXABuAFAAYQByAGEAbQBlAHQAZQByAHMAOgBcAG4AIAAgACAAIAB2AGUAYwB0AG8AcgAgACAAIAAtACAAUwBjAGEAbABhAHIAIABvAHIAIAAxAEQALwAyAEQAIABhAHIAcgBhAHkAIAB0AG8AIABiAGUAIABlAGMAaABvAGUAZAAuACAARgBsAGEAdAB0AGUAbgBlAGQAIAB3AGkAdABoACAAVABPAEMATwBMAC4AXABuACAAIAAgACAAcgBlAHAAZQBhAHQAIAAgACAALQAgADEARAAgAGEAcgByAGEAeQAgAG8AZgAgAHIAZQBwAGUAYQB0ACAAYwBvAHUAbgB0AHMAIAAoAG4AdQBtAGUAcgBpAGMALAAgAGUiIAAxACkALgBcAG4AXABuAE4AbwB0AGUAcwA6AFwAbgAgACAAIAAgACIgIABTAGMAYQBsAGEAcgBzACAAYQByAGUAIAB0AHIAZQBhAHQAZQBkACAAYQBzACAAMQDXADEAIABhAHIAcgBhAHkAcwAuAFwAbgAgACAAIAAgACIgIABJAGYAIAByAGUAcABlAGEAdAAgAGgAYQBzACAAYQAgAGQAaQBmAGYAZQByAGUAbgB0ACAAbABlAG4AZwB0AGgAIAB0AGgAYQBuACAAdgBlAGMAdABvAHIALAAgAHQAaABlACAAbABhAHMAdAAgAHIAZQBwAGUAYQB0ACAAdgBhAGwAdQBlAFwAbgAgACAAIAAgACAAIABpAHMAIABlAHgAdABlAG4AZABlAGQAIAB0AG8AIABtAGEAdABjAGgAIAB0AGgAZQAgAHYAZQBjAHQAbwByACAAbABlAG4AZwB0AGgALgBcAG4AIAAgACAAIAAiICAATwB1AHQAcAB1AHQAIABpAHMAIABhAGwAdwBhAHkAcwAgAGEAIAB2AGUAcgB0AGkAYwBhAGwAIABhAHIAcgBhAHkALgBcAG4ALQAtAC0ALQAtAC0ALQAtAC0ALQAtAC0ALQAtAC0ALQAtAC0ALQAtAC0ALQAtAC0ALQAtAC0ALQAtAC0ALQAtAC0ALQAtAC0ALQAtAC0ALQAtAC0ALQAtAC0ALQAtAC0ALQAtAC0ALQAtAC0ALQAtAC0ALQAtAC0ALQAtAC0ALQAtAC0ALQAtAC0ALQAtAC0ALQAtAC0ALQAtAC0AKgAvAFwAbgBcAG4ARQBjAGgAbwC7AyAAPQBcAG4ATABBAE0AQgBEAEEAKABcAG4AIAAgACAAIAB2AGUAYwB0AG8AcgAsAFwAbgAgACAAIAAgAHIAZQBwAGUAYQB0ACwAXABuAFwAbgBJAEYAKABPAFIAKABJAFMAVABFAFgAVAAoAHIAZQBwAGUAYQB0ACkALAAgAHIAZQBwAGUAYQB0ACAAPAA9ACAAMAApACwAIABcACIAIwBWAEEATABVAEUAIQBcACIALABcAG4AXABuAEwARQBUACgAXABuACAAIAAgACAALwAvACAATgBvAHIAbQBhAGwAaQB6AGUAIABpAG4AcAB1AHQAcwBcAG4AIAAgACAAIAB2AGUAYwB0AG8AcgAsACAAVABPAEMATwBMACgAdgBlAGMAdABvAHIAKQAsAFwAbgAgACAAIAAgAHIAZQBwAGUAYQB0ACwAIABUAE8AQwBPAEwAKAByAGUAcABlAGEAdAApACwAXABuAFwAbgAgACAAIAAgAC8ALwAgAEQAaQBtAGUAbgBzAGkAbwBuAHMAXABuACAAIAAgACAAVgBoACwAIAAgACAAIAAgAFIATwBXAFMAKAB2AGUAYwB0AG8AcgApACwAXABuACAAIAAgACAAUgBoACwAIAAgACAAIAAgAFIATwBXAFMAKAByAGUAcABlAGEAdAApACwAXABuAFwAbgAgACAAIAAgAC8ALwAgAFIAZQBwAGUAYQB0ACAAdgBlAGMAdABvAHIAIAAoAGUAeAB0AGUAbgBkACAAbABhAHMAdAAgAHYAYQBsAHUAZQAgAGkAZgAgAG4AZQBlAGQAZQBkACkAXABuACAAIAAgACAAcgAsACAAIAAgACAAIAAgAEkARgAoAFYAaAAgADwAPgAgAFIAaAAsAFwAbgAgACAAIAAgACAAIAAgACAAIAAgACAAIAAgACAAIAAgAEUAWABQAEEATgBEACgAcgBlAHAAZQBhAHQALAAgAFYAaAAsACwAIABAAFQAQQBLAEUAKAByAGUAcABlAGEAdAAsACAALQAxACkAKQAsAFwAbgAgACAAIAAgACAAIAAgACAAIAAgACAAIAAgACAAIAAgACAAIAAgACAAcgBlAHAAZQBhAHQAKQAsAFwAbgBcAG4AIAAgACAAIAAvAC8AIABFAHgAcABhAG4AcwBpAG8AbgAgAGUAbgBnAGkAbgBlAFwAbgAgACAAIAAgAEUAeAB0AGUAbgBkALsDLABMAEEATQBCAEQAQQAoAGUAYQBjAGgAXwBlAGwAZQBtAGUAbgB0ACwAIAByAF8ALABcAG4AIAAgACAAIAAgACAAIAAgACAAIAAgACAAIAAgACAAIAAgACAAIAAgAEUAWABQAEEATgBEACgAZQBhAGMAaABfAGUAbABlAG0AZQBuAHQALAAgAHIAXwAsACwAIABlAGEAYwBoAF8AZQBsAGUAbQBlAG4AdAApACkALABcAG4AXABuACAAIAAgACAALwAvACAARABlAGwAaQB2AGUAcgAgAGUAYwBoAG8AZQBkACAAbwB1AHQAcAB1AHQAXABuACAAIAAgACAAZABlAGwAaQB2AGUAcgAsAEYATABBAFQAVABFAE4AKABNAEEAUAAoAHYAZQBjAHQAbwByACwAIAByACwAIABFAHgAdABlAG4AZAC7AykAKQAsAFwAbgBcAG4AIAAgACAAIABkAGUAbABpAHYAZQByAFwAbgApACkAKQA7AFwAbgBcAG4AXABuAFwAbgAvACoAIABbAFQAQgBEAF0AIAAtAC0ALQAtAC0ALQAtAC0ALQAtAC0ALQAtAC0ALQAtAC0ALQAtAC0ALQAtAC0ALQAtAC0ALQAtAC0ALQAtAC0ALQAtAC0ALQAtAC0ALQAtAC0ALQAtAC0ALQAtAC0ALQAtAC0ALQAtAC0ALQAtAC0ALQAtAC0ALQAtAC0ALQAtAC0ALQAtAC0ALQAtAC0ALQAtAFwAbgBGAHUAbgBjAHQAaQBvAG4AOgAgACAAIAAgACAAIAAgACAAQgBsAG8AYwBrAHMAuwNcAG4AQwBhAHQAZQBnAG8AcgB5ADoAIAAgACAAIAAgACAAIAAgAFQAQgBEAFwAbgBBAHUAdABoAG8AcgA6ACAAIAAgACAAIAAgACAAIAAgACAAUABhAHQAcgBpAGMAawAgAEgALgBcAG4AVgBlAHIAcwBpAG8AbgA6ACAAIAAgACAAIAAgACAAIAAgAFAAcgBvAHQAbwB0AHkAcABlAFwAbgBEAGUAcABlAG4AZABlAG4AYwBpAGUAcwA6ACAAIAAgACAATgBvAG4AZQAgACgAcgBlAHAAdQByAHAAbwBzAGUAZAAgAEcAcgBhAGkAbgC7AykAXABuAFwAbgBEAGUAcwBjAHIAaQBwAHQAaQBvAG4AOgBcAG4AIAAgACAAIABQAGEAcgB0AGkAdABpAG8AbgBzACAAYQAgADIARAAgAGEAcgByAGEAeQAgAGkAbgB0AG8AIAByAGUAYwB0AGEAbgBnAHUAbABhAHIAIABiAGwAbwBjAGsAcwAgAG8AZgAgAHMAaQB6AGUAIABkAGUAcAB0AGgAIADXACAAdwBpAGQAdABoAC4AXABuACAAIAAgACAARQBhAGMAaAAgAGIAbABvAGMAawAgAGkAcwAgAGUAeAB0AHIAYQBjAHQAZQBkACAAYQBzACAAYQAgAG4AZQBzAHQAZQBkACAAYQByAHIAYQB5ACAAYQBuAGQAIAB3AHIAYQBwAHAAZQBkACAAaQBuACAAYQAgAGwAaQBzAHQAIABsAGkAdABlAHIAYQBsACwAXABuACAAIAAgACAAcAByAG8AZAB1AGMAaQBuAGcAIABhACAAbABpAHMAdAARIG8AZgARIGwAaQBzAHQAcwAgAHMAdAByAHUAYwB0AHUAcgBlADoAXABuAFwAbgAgACAAIAAgACAAIAAgACAAewAgAHsAYgBsAG8AYwBrAIEgfQAsACAAewBiAGwAbwBjAGsAgiB9ACwAIAAmICAAfQBcAG4AXABuACAAIAAgACAAQgBsAG8AYwBrAHMAuwMgAHIAbwB1AG4AZABzACAAdQBwACAAdABoAGUAIABuAHUAbQBiAGUAcgAgAG8AZgAgAGIAbABvAGMAawBzACAAcwBvACAAcABhAHIAdABpAGEAbAAgAGUAZABnAGUAIABiAGwAbwBjAGsAcwAgAGEAcgBlAFwAbgAgACAAIAAgAGkAbgBjAGwAdQBkAGUAZAAuACAARQBhAGMAaAAgAGIAbABvAGMAawAgAGkAcwAgAGUAeAB0AHIAYQBjAHQAZQBkACAAdQBzAGkAbgBnACAASQBOAEQARQBYACAAbwB2AGUAcgAgAGcAZQBuAGUAcgBhAHQAZQBkACAAcgBvAHcALwBjAG8AbAB1AG0AbgBcAG4AIAAgACAAIABhAG4AYwBoAG8AcgAgAGcAcgBpAGQAcwAuAFwAbgBcAG4AUABhAHIAYQBtAGUAdABlAHIAcwA6AFwAbgAgACAAIAAgAGEAcgByAGEAeQBfADIARAAgACAAIAAtACAAMgBEACAAYQByAHIAYQB5ACAAdABvACAAcABhAHIAdABpAHQAaQBvAG4ALgBcAG4AIAAgACAAIABkAGUAcAB0AGgAIAAgACAAIAAgACAALQAgAEIAbABvAGMAawAgAGgAZQBpAGcAaAB0AC4AXABuACAAIAAgACAAdwBpAGQAdABoACAAIAAgACAAIAAgAC0AIABCAGwAbwBjAGsAIAB3AGkAZAB0AGgALgBcAG4AXABuAE4AbwB0AGUAcwA6AFwAbgAgACAAIAAgACIgIABPAHUAdABwAHUAdAAgAGkAcwAgAGEAIABsAGkAcwB0ACAAbwBmACAAbgBlAHMAdABlAGQAIABhAHIAcgBhAHkAcwAsACAAbgBvAHQAIABhACAAcwBwAGkAbABsAGUAZAAgADIARAAgAGcAcgBpAGQALgBcAG4AIAAgACAAIAAiICAAVQBzAGUAIABGAEwAQQBUAFQARQBOACAAdABvACAAcwBwAGkAbABsACAAYgBsAG8AYwBrAHMAIABpAG4AdABvACAAYQAgAHQAYQBiAGwAZQAgAGkAZgAgAG4AZQBlAGQAZQBkAC4AXABuACAAIAAgACAAIiAgAFQAaABpAHMAIABvAHAAZQByAGEAdABvAHIAIABpAHMAIABlAHgAcABlAHIAaQBtAGUAbgB0AGEAbAAgAGEAbgBkACAAaQBuAHQAZQBuAGQAZQBkACAAZgBvAHIAIABuAGUAcwB0AGUAZAARIGEAcgByAGEAeQAgAHQAZQBzAHQAaQBuAGcALgBcAG4ALQAtAC0ALQAtAC0ALQAtAC0ALQAtAC0ALQAtAC0ALQAtAC0ALQAtAC0ALQAtAC0ALQAtAC0ALQAtAC0ALQAtAC0ALQAtAC0ALQAtAC0ALQAtAC0ALQAtAC0ALQAtAC0ALQAtAC0ALQAtAC0ALQAtAC0ALQAtAC0ALQAtAC0ALQAtAC0ALQAtAC0ALQAtAC0ALQAtAC0ALQAtAC0AKgAvAFwAbgBcAG4AQgBsAG8AYwBrAHMAuwMgAD0AXABuAEwAQQBNAEIARABBACgAXABuACAAIAAgACAAYQByAHIAYQB5AF8AMgBEACwAXABuACAAIAAgACAAZABlAHAAdABoACwAXABuACAAIAAgACAAdwBpAGQAdABoACwAXABuAFwAbgBMAEUAVAAoAFwAbgAgACAAIAAgAC8ALwAgAEQAaQBtAGUAbgBzAGkAbwBuAHMAXABuACAAIAAgACAAaAAsACAAIAAgACAAIAAgAFIATwBXAFMAKABhAHIAcgBhAHkAXwAyAEQAKQAsAFwAbgAgACAAIAAgAHcALAAgACAAIAAgACAAIABDAE8ATABVAE0ATgBTACgAYQByAHIAYQB5AF8AMgBEACkALABcAG4AXABuACAAIAAgACAALwAvACAATgB1AG0AYgBlAHIAIABvAGYAIABiAGwAbwBjAGsAcwAgACgAcgBvAHUAbgBkAGUAZAAgAHUAcAApAFwAbgAgACAAIAAgAHgALAAgACAAIAAgACAAIABSAE8AVQBOAEQAVQBQACgAaAAgAC8AIABkAGUAcAB0AGgALAAgADAAKQAsAFwAbgAgACAAIAAgAHkALAAgACAAIAAgACAAIABSAE8AVQBOAEQAVQBQACgAdwAgAC8AIAB3AGkAZAB0AGgALAAgADAAKQAsAFwAbgBcAG4AIAAgACAAIAAvAC8AIABCAGwAbwBjAGsAIABhAG4AYwBoAG8AcgAgAGcAcgBpAGQAcwAgACgAZABlAGYAZQByAHIAZQBkACkAXABuACAAIAAgACAAZABvAHcAbgAsACAAIAAgAEwAQQBNAEIARABBACgAUwBFAFEAVQBFAE4AQwBFACgAeAAsACwAMQAsAGQAZQBwAHQAaAApACAAKgAgAFMARQBRAFUARQBOAEMARQAoACwAeQAsADEALAAwACkAKQAsAFwAbgAgACAAIAAgAGEAYwByAG8AcwBzACwAIABMAEEATQBCAEQAQQAoAFMARQBRAFUARQBOAEMARQAoACwAeQAsADEALAB3AGkAZAB0AGgAKQAgACoAIABTAEUAUQBVAEUATgBDAEUAKAB4ACwALAAxACwAMAApACkALABcAG4AXABuACAAIAAgACAALwAvACAAQwBvAG4AdgBlAHIAdAAgAG0AYQB0AHIAaQBjAGUAcwAgAHQAbwAgAGwAaQBzAHQAcwBcAG4AIAAgACAAIABUAG8ATABpAHMAdAC7AywAXABuACAAIAAgACAATABBAE0AQgBEAEEAKAByACwAIABjACwAXABuACAAIAAgACAAIAAgACAAIABMAEUAVAAoAFwAbgAgACAAIAAgACAAIAAgACAAIAAgACAAIABpACwAIAAgACAAIAAgACAATABBAE0AQgBEAEEAKABTAEUAUQBVAEUATgBDAEUAKABkAGUAcAB0AGgALAAsAHIAKQAgACoAIABTAEUAUQBVAEUATgBDAEUAKAAsAHcAaQBkAHQAaAAsADEALAAwACkAKQAsAFwAbgAgACAAIAAgACAAIAAgACAAIAAgACAAIABqACwAIAAgACAAIAAgACAATABBAE0AQgBEAEEAKABTAEUAUQBVAEUATgBDAEUAKAAsAHcAaQBkAHQAaAAsAGMAKQAgACoAIABTAEUAUQBVAEUATgBDAEUAKABkAGUAcAB0AGgALAAsADEALAAwACkAKQAsAFwAbgAgACAAIAAgACAAIAAgACAAIAAgACAAIABiAGwAbwBjAGsALAAgACAASQBOAEQARQBYACgAYQByAHIAYQB5AF8AMgBEACwAIABpACgAKQAsACAAagAoACkAKQAsAFwAbgAgACAAIAAgACAAIAAgACAAIAAgACAAIAByAGUAcwB1AGwAdAAsACAAewBiAGwAbwBjAGsAfQAsAFwAbgAgACAAIAAgACAAIAAgACAAIAAgACAAIAByAGUAcwB1AGwAdABcAG4AIAAgACAAIAAgACAAIAAgACkAXABuACAAIAAgACAAKQAsAFwAbgBcAG4AIAAgACAAIAAvAC8AIABDAG8AbgB2AGUAcgB0ACAAbABlAHYAZQBsABEgMgAgAG0AYQB0AHIAaQBjAGUAcwAgAHQAbwAgAGwAaQBzAHQAcwBcAG4AIAAgACAAIABkAGUAbABpAHYAZQByACwAIABNAEEAUAAoAGQAbwB3AG4AKAApACwAIABhAGMAcgBvAHMAcwAoACkALAAgAFQAbwBMAGkAcwB0ALsDKQAsAFwAbgBcAG4AIAAgACAAIABkAGUAbABpAHYAZQByAFwAbgApACkAOwBcAG4AXABuAFwAbgBcAG4AXABuAC8AKgAgAFsAVABCAEQAXQAgAC0ALQAtAC0ALQAtAC0ALQAtAC0ALQAtAC0ALQAtAC0ALQAtAC0ALQAtAC0ALQAtAC0ALQAtAC0ALQAtAC0ALQAtAC0ALQAtAC0ALQAtAC0ALQAtAC0ALQAtAC0ALQAtAC0ALQAtAC0ALQAtAC0ALQAtAC0ALQAtAC0ALQAtAC0ALQAtAC0ALQAtAC0ALQAtAC0AXABuAEYAdQBuAGMAdABpAG8AbgA6ACAAIAAgACAAIAAgACAAIABXAGkAbgBkAG8AdwBlAGQAuwNcAG4AQwBhAHQAZQBnAG8AcgB5ADoAIAAgACAAIAAgACAAIAAgAFQAQgBEAFwAbgBBAHUAdABoAG8AcgA6ACAAIAAgACAAIAAgACAAIAAgACAAUABhAHQAcgBpAGMAawAgAEgALgBcAG4AVgBlAHIAcwBpAG8AbgA6ACAAIAAgACAAIAAgACAAIAAgADEALgAxAFwAbgBEAGUAcABlAG4AZABlAG4AYwBpAGUAcwA6ACAAIAAgACAATQBHAHIAaQBkALsDXABuAFwAbgBEAGUAcwBjAHIAaQBwAHQAaQBvAG4AOgBcAG4AIAAgACAAIABFAHgAdAByAGEAYwB0AHMAIABhAGwAbAAgAG8AdgBlAHIAbABhAHAAcABpAG4AZwAgAHcAaQBuAGQAbwB3AHMAIABvAGYAIABzAGkAegBlACAAZABlAHAAdABoACAA1wAgAHcAaQBkAHQAaAAgAGYAcgBvAG0AIABhACAAMgBEACAAYQByAHIAYQB5AC4AXABuACAAIAAgACAARQBhAGMAaAAgAHcAaQBuAGQAbwB3ACAAaQBzACAAcgBlAHQAdQByAG4AZQBkACAAYQBzACAAYQAgAG4AZQBzAHQAZQBkACAAYQByAHIAYQB5ACAAdwByAGEAcABwAGUAZAAgAGkAbgAgAGEAIABsAGkAcwB0ACAAbABpAHQAZQByAGEAbAAsAFwAbgAgACAAIAAgAHAAcgBvAGQAdQBjAGkAbgBnACAAYQBuACAAYQByAHIAYQB5AC0AbwBmAC0AbABpAHMAdABzACAAcwB0AHIAdQBjAHQAdQByAGUALgBcAG4AXABuACAAIAAgACAAVwBpAG4AZABvAHcAZQBkALsDIAB1AHMAZQBzACAAbQBlAHMAaAAtAGcAcgBpAGQAIABvAGYAZgBzAGUAdABzACAAZwBlAG4AZQByAGEAdABlAGQAIABmAHIAbwBtACAATQBHAHIAaQBkALsDIAB0AG8AIABjAG8AbgBzAHQAcgB1AGMAdABcAG4AIAAgACAAIAB3AGkAbgBkAG8AdwAgAGMAbwBvAHIAZABpAG4AYQB0AGUAcwAgAGEAbgBkACAATQBBAEsARQBBAFIAUgBBAFkAIAB0AG8AIABhAHMAcwBlAG0AYgBsAGUAIAB0AGgAZQAgAGYAdQBsAGwAIAB3AGkAbgBkAG8AdwAgAGYAYQBiAHIAaQBjAC4AXABuAFwAbgBQAGEAcgBhAG0AZQB0AGUAcgBzADoAXABuACAAIAAgACAAYQByAHIAYQB5AF8AMgBEACAAIAAgAC0AIAAyAEQAIABhAHIAcgBhAHkAIAAoADEARAAgAGEAcgByAGEAeQBzACAAYQBuAGQAIABzAGMAYQBsAGEAcgBzACAAYQByAGUAIAByAGUAagBlAGMAdABlAGQAKQAuAFwAbgAgACAAIAAgAGQAZQBwAHQAaAAgACAAIAAgACAAIAAtACAAVABvAHQAYQBsACAAcgBvAHcAcwAgAGkAbgAgAGUAYQBjAGgAIAB3AGkAbgBkAG8AdwAuAFwAbgAgACAAIAAgAFsAdwBpAGQAdABoAF0AIAAgACAAIAAtACAAVABvAHQAYQBsACAAYwBvAGwAdQBtAG4AcwAgAGkAbgAgAGUAYQBjAGgAIAB3AGkAbgBkAG8AdwAuACAARABlAGYAYQB1AGwAdABzACAAdABvACAAZABlAHAAdABoAC4AXABuAFwAbgBOAG8AdABlAHMAOgBcAG4AIAAgACAAIAAiICAATwB1AHQAcAB1AHQAIABpAHMAIABhAG4AIABhAHIAcgBhAHkAIABvAGYAIABsAGkAcwB0AHMALAAgAG4AbwB0ACAAYQAgAHMAcABpAGwAbABlAGQAIAAyAEQAIABnAHIAaQBkAC4AXABuACAAIAAgACAAIiAgAFUAcwBlACAARgBMAEEAVABUAEUATgAgAHQAbwAgAHMAcABpAGwAbAAgAHcAaQBuAGQAbwB3AHMAIABpAG4AdABvACAAYQAgAHQAYQBiAGwAZQAgAGkAZgAgAG4AZQBlAGQAZQBkAC4AXABuACAAIAAgACAAIiAgAFIAZQBqAGUAYwB0AHMAIAAxAEQAIABhAHIAcgBhAHkAcwAgAGEAbgBkACAAcwBjAGEAbABhAHIAcwAgAHQAbwAgAHAAcgBlAHMAZQByAHYAZQAgADIARAAgAHcAaQBuAGQAbwB3ACAAcwBlAG0AYQBuAHQAaQBjAHMALgBcAG4ALQAtAC0ALQAtAC0ALQAtAC0ALQAtAC0ALQAtAC0ALQAtAC0ALQAtAC0ALQAtAC0ALQAtAC0ALQAtAC0ALQAtAC0ALQAtAC0ALQAtAC0ALQAtAC0ALQAtAC0ALQAtAC0ALQAtAC0ALQAtAC0ALQAtAC0ALQAtAC0ALQAtAC0ALQAtAC0ALQAtAC0ALQAtAC0ALQAtAC0ALQAtAC0AKgAvAFwAbgBcAG4AVwBpAG4AZABvAHcAZQBkALsDIAA9AFwAbgBMAEEATQBCAEQAQQAoAFwAbgAgACAAIAAgAGEAcgByAGEAeQBfADIARAAsAFwAbgAgACAAIAAgAGQAZQBwAHQAaAAsAFwAbgAgACAAIAAgAFsAdwBpAGQAdABoAF0ALABcAG4ATABFAFQAKABcAG4AIAAgACAAIAAvAC8AIABPAHAAdABpAG8AbgBhAGwAIAB3AGkAZAB0AGgAXABuACAAIAAgACAAdwBpAGQAdABoACwAIAAgACAAIAAgACAASQBGACgASQBTAE8ATQBJAFQAVABFAEQAKAB3AGkAZAB0AGgAKQAsACAAZABlAHAAdABoACwAIAB3AGkAZAB0AGgAKQAsAFwAbgBcAG4AIAAgACAAIAAvAC8AIABSAGUAZgBlAHIAZQBuAGMAZQAgAHMAaABhAHAAZQAgAGYAbwByACAAbQBlAHMAaAAgAGcAcgBpAGQAXABuACAAIAAgACAAawBlAHIAbgBlAGwALAAgACAAIAAgACAARQBYAFAAQQBOAEQAKAAwACwAIABkAGUAcAB0AGgALAAgAHcAaQBkAHQAaAAsACAAMAApACwAXABuAFwAbgAgACAAIAAgAC8ALwAgAEQAaQBtAGUAbgBzAGkAbwBuAHMAXABuACAAIAAgACAAaAAsACAAIAAgACAAIAAgACAAIAAgACAAUgBPAFcAUwAoAGEAcgByAGEAeQBfADIARAApACwAXABuACAAIAAgACAAdwAsACAAIAAgACAAIAAgACAAIAAgACAAQwBPAEwAVQBNAE4AUwAoAGEAcgByAGEAeQBfADIARAApACwAXABuAFwAbgAgACAAIAAgAC8ALwAgAEgAYQBsAHQAaQBuAGcAIABzAGMAZQBuAGEAcgBpAG8AXABuACAAIAAgACAASQBuAFYAYQBsAGkAZABEAFcAPwAsACAATwBSACgASQBTAFQARQBYAFQAKABkAGUAcAB0AGgAKQAsACAASQBTAFQARQBYAFQAKAB3AGkAZAB0AGgAKQAsAFwAbgAgACAAIAAgACAAIAAgACAAIAAgACAAIAAgACAAIAAgACAAIAAgAGQAZQBwAHQAaAAgADwAIAAxACwAIAB3AGkAZAB0AGgAIAA8ACAAMQAsAFwAbgAgACAAIAAgACAAIAAgACAAIAAgACAAIAAgACAAIAAgACAAIAAgAGQAZQBwAHQAaAAgAD4AIABoACwAIAB3AGkAZAB0AGgAIAA+ACAAdwApACwAXABuAFwAbgAgACAAIAAgAC8ALwAgAFQAcgBpAHYAaQBhAGwAIABjAGEAcwBlAFwAbgAgACAAIAAgAE8AbgBlAFcAaQBuAGQAbwB3AD8ALAAgAEEATgBEACgAaAAgAD0AIABkAGUAcAB0AGgALAAgAHcAIAA9ACAAdwBpAGQAdABoACkALABcAG4AXABuACAAIAAgACAASQBGACgASQBuAFYAYQBsAGkAZABEAFcAPwAsACAAIwBWAEEATABVAEUAIQAsAFwAbgBcAG4AIAAgACAAIAAgACAAIABJAEYAKABPAG4AZQBXAGkAbgBkAG8AdwA/ACwAIAB7AGEAcgByAGEAeQBfADIARAB9ACwAXABuAEwARQBUACgAXABuACAAIAAgACAALwAvACAAVwBpAG4AZABvAHcAIABjAG8AdQBuAHQAcwBcAG4AIAAgACAAIABrAF8AaAAsACAAIAAgACAAIABoACAALQAgAGQAZQBwAHQAaAAgACsAIAAxACwAXABuACAAIAAgACAAawBfAHcALAAgACAAIAAgACAAdwAgAC0AIAB3AGkAZAB0AGgAIAArACAAMQAsAFwAbgBcAG4AIAAgACAAIAAvAC8AIABNAGUAcwBoACAAZwByAGkAZAAgAG8AZgBmAHMAZQB0AHMAXABuACAAIAAgACAAeAAsACAAIAAgACAAIAAgACAASQBGACgAZABlAHAAdABoACAAPQAgADEALAAgAGsAZQByAG4AZQBsACwAIABNAEcAcgBpAGQAuwMoAGsAZQByAG4AZQBsACkAIAAtACAAMQApACwAXABuACAAIAAgACAAeQAsACAAIAAgACAAIAAgACAASQBGACgAdwBpAGQAdABoACAAPQAgADEALAAgAGsAZQByAG4AZQBsACwAIABNAEcAcgBpAGQAuwMoAGsAZQByAG4AZQBsACwAIAAxACkAIAAtACAAMQApACwAXABuAFwAbgAgACAAIAAgAC8ALwAgAFcAaQBuAGQAbwB3AGkAbgBnAFwAbgAgACAAIAAgAHcAaQBuAGQAbwB3AHMALAAgAE0AQQBLAEUAQQBSAFIAQQBZACgAawBfAGgALAAgAGsAXwB3ACwAXABuACAAIAAgACAAIAAgACAAIAAgACAAIAAgACAAIAAgACAAIAAgACAAIAAgACAAIABMAEEATQBCAEQAQQAoAGkALAAgAGoALABcAG4AIAAgACAAIAAgACAAIAAgACAAIAAgACAAIAAgACAAIAAgACAAIAAgACAAIAAgACAAIAAgACAAIAAgACAASQBOAEQARQBYACgAYQByAHIAYQB5AF8AMgBEACwAIABpACAAKwAgAHgALAAgAGoAIAArACAAeQApACkAKQAsAFwAbgBcAG4AIAAgACAAIAB3AGkAbgBkAG8AdwBzAFwAbgApACkAKQApACkAOwBcAG4AXABuAFwAbgBcAG4AXABuAC8AKgAgAFsAVABCAEQAXQAgAC0ALQAtAC0ALQAtAC0ALQAtAC0ALQAtAC0ALQAtAC0ALQAtAC0ALQAtAC0ALQAtAC0ALQAtAC0ALQAtAC0ALQAtAC0ALQAtAC0ALQAtAC0ALQAtAC0ALQAtAC0ALQAtAC0ALQAtAC0ALQAtAC0ALQAtAC0ALQAtAC0ALQAtAC0ALQAtAC0ALQAtAC0ALQAtAC0AXABuAEYAdQBuAGMAdABpAG8AbgA6ACAAIAAgACAAIAAgACAAIABDAG8AbgB2AG8AbAB2AGUAuwNcAG4AQwBhAHQAZQBnAG8AcgB5ADoAIAAgACAAIAAgACAAIAAgAFQAQgBEAFwAbgBBAHUAdABoAG8AcgA6ACAAIAAgACAAIAAgACAAIAAgACAAUABhAHQAcgBpAGMAawAgAEgALgBcAG4AVgBlAHIAcwBpAG8AbgA6ACAAIAAgACAAIAAgACAAIAAgADIALgAwAFwAbgBEAGUAcABlAG4AZABlAG4AYwBpAGUAcwA6ACAAIAAgACAAVwBpAG4AZABvAHcAZQBkALsDXABuAFwAbgBEAGUAcwBjAHIAaQBwAHQAaQBvAG4AOgBcAG4AIAAgACAAIABQAGUAcgBmAG8AcgBtAHMAIABhACAAcwBsAGkAZABpAG4AZwARIHcAaQBuAGQAbwB3ACAAYwBvAG4AdgBvAGwAdQB0AGkAbwBuACAAbwB2AGUAcgAgAGEAIAAyAEQAIABhAHIAcgBhAHkAIAB1AHMAaQBuAGcAIABhACAAMgBEACAAawBlAHIAbgBlAGwALgBcAG4AIAAgACAAIABFAGEAYwBoACAAdwBpAG4AZABvAHcAIABlAHgAdAByAGEAYwB0AGUAZAAgAGYAcgBvAG0AIAB0AGgAZQAgAGkAbgBwAHUAdAAgAGEAcgByAGEAeQAgAGgAYQBzACAAdABoAGUAIABzAGEAbQBlACAAZABpAG0AZQBuAHMAaQBvAG4AcwAgAGEAcwAgAHQAaABlAFwAbgAgACAAIAAgAGsAZQByAG4AZQBsAC4AIABBACAAcgBlAGQAdQBjAGUAcgAgAGYAdQBuAGMAdABpAG8AbgAgAGkAcwAgAGEAcABwAGwAaQBlAGQAIAB0AG8AIABlAGEAYwBoACAAdwBpAG4AZABvAHcAIAB0AG8AIABwAHIAbwBkAHUAYwBlACAAdABoAGUAIABvAHUAdABwAHUAdAAuAFwAbgBcAG4AIAAgACAAIABJAGYAIABuAG8AIAByAGUAZAB1AGMAZQByACAAZgB1AG4AYwB0AGkAbwBuACAAaQBzACAAcwB1AHAAcABsAGkAZQBkACwAIABDAG8AbgB2AG8AbAB2AGUAuwMgAGQAZQBmAGEAdQBsAHQAcwAgAHQAbwAgAGEAIABkAG8AdAARIHAAcgBvAGQAdQBjAHQAXABuACAAIAAgACAAcgBlAGQAdQBjAGUAcgA6ACAAUwBVAE0AKABGAEwAQQBUAFQARQBOACgAdgApACAAKgAgAGsAZQByAG4AZQBsACkALgBcAG4AXABuAFAAYQByAGEAbQBlAHQAZQByAHMAOgBcAG4AIAAgACAAIABhAHIAcgBhAHkAIAAgACAAIAAgACAAIAAtACAAMgBEACAAYQByAHIAYQB5ACAAdABvACAAdwBoAGkAYwBoACAAdABoAGUAIABrAGUAcgBuAGUAbAAgAGkAcwAgAGEAcABwAGwAaQBlAGQALgBcAG4AIAAgACAAIABrAGUAcgBuAGUAbAAgACAAIAAgACAAIAAtACAAMgBEACAAYQByAHIAYQB5ACAAZABlAGYAaQBuAGkAbgBnACAAdABoAGUAIABzAGwAaQBkAGkAbgBnACAAdwBpAG4AZABvAHcAIABkAGkAbQBlAG4AcwBpAG8AbgBzAC4AXABuACAAIAAgACAAWwBmAHUAbgBjAHQAaQBvAG4AXQAgACAALQAgAE8AcAB0AGkAbwBuAGEAbAAgAHIAZQBkAHUAYwBlAHIAIABMAEEATQBCAEQAQQAgAGEAYwBjAGUAcAB0AGkAbgBnACAAYQAgAHMAaQBuAGcAbABlACAAYQByAHIAYQB5ACAAYQByAGcAdQBtAGUAbgB0AC4AXABuACAAIAAgACAAIAAgACAAIAAgACAAIAAgACAAIAAgACAAIAAgAEQAZQBmAGEAdQBsAHQAcwAgAHQAbwAgAFMAVQBNACgARgBMAEEAVABUAEUATgAoAHYAKQAgACoAIABrAGUAcgBuAGUAbAApAC4AXABuAFwAbgBOAG8AdABlAHMAOgBcAG4AIAAgACAAIAAiICAAUgBlAHQAdQByAG4AcwAgAFwAIgAjAEsARQBSAE4ARQBMACEAXAAiACAAaQBmACAAdABoAGUAIABrAGUAcgBuAGUAbAAgAGkAcwAgAGwAYQByAGcAZQByACAAdABoAGEAbgAgAHQAaABlACAAaQBuAHAAdQB0ACAAYQByAHIAYQB5AC4AXABuACAAIAAgACAAIiAgAFIAZQB0AHUAcgBuAHMAIABcACIAIwBGAFUATgBDAFQASQBPAE4AIQBcACIAIABpAGYAIAB0AGgAZQAgAHIAZQBkAHUAYwBlAHIAIABpAHMAIABuAG8AdAAgAGEAIAB2AGEAbABpAGQAIABMAEEATQBCAEQAQQAuAFwAbgAgACAAIAAgACIgIABTAGMAYQBsAGEAcgBzACAAYQByAGUAIAB0AHIAZQBhAHQAZQBkACAAYQBzACAAMQDXADEAIABhAHIAcgBhAHkAcwAgAGEAbgBkACAAbQBhAHAAcABlAGQAIAB0AGgAcgBvAHUAZwBoACAAdABoAGUAIAByAGUAZAB1AGMAZQByAC4AXABuACAAIAAgACAAIiAgAFIAZQBkAHUAYwBlAHIAIABiAGUAaABhAHYAaQBvAHIAIABpAHMAIAB1AHMAZQByABEgZABlAGYAaQBuAGUAZAA7ACAAYQByAHIAYQB5AHMAIABuAGUAZQBkACAAbgBvAHQAIABiAGUAIABuAHUAbQBlAHIAaQBjAC4AXABuAC0ALQAtAC0ALQAtAC0ALQAtAC0ALQAtAC0ALQAtAC0ALQAtAC0ALQAtAC0ALQAtAC0ALQAtAC0ALQAtAC0ALQAtAC0ALQAtAC0ALQAtAC0ALQAtAC0ALQAtAC0ALQAtAC0ALQAtAC0ALQAtAC0ALQAtAC0ALQAtAC0ALQAtAC0ALQAtAC0ALQAtAC0ALQAtAC0ALQAtAC0ALQAtACoALwBcAG4AXABuAEMAbwBuAHYAbwBsAHYAZQC7Az0AXABuAEwAQQBNAEIARABBACgAXABuACAAIAAgACAAYQByAHIAYQB5ACwAXABuACAAIAAgACAAawBlAHIAbgBlAGwALABcAG4AIAAgACAAIABbAGYAdQBuAGMAdABpAG8AbgBdACwAXABuAFwAbgBMAEUAVAAoAFwAbgAgACAAIAAgAC8ALwAgAEEAcgByAGEAeQAgAGQAaQBtAGUAbgBzAGkAbwBuAHMAXABuACAAIAAgACAAaAAsACAAIAAgACAAIAAgACAAIAAgACAAIAAgACAAIAAgACAAIAAgAFIATwBXAFMAKABhAHIAcgBhAHkAKQAsACAAIAAgACAAdwAsACAAIAAgACAAQwBPAEwAVQBNAE4AUwAoAGEAcgByAGEAeQApACwAXABuAFwAbgAgACAAIAAgAC8ALwAgAEsAZQByAG4AZQBsACAAZABpAG0AZQBuAHMAaQBvAG4AcwBcAG4AIAAgACAAIABrAGUAcgBuAGUAbABfAGgAZQBpAGcAaAB0ACwAIAAgACAAIAAgACAAUgBPAFcAUwAoAGsAZQByAG4AZQBsACkALABcAG4AIAAgACAAIABrAGUAcgBuAGUAbABfAHcAaQBkAHQAaAAsACAAIAAgACAAIAAgACAAQwBPAEwAVQBNAE4AUwAoAGsAZQByAG4AZQBsACkALABcAG4AXABuACAAIAAgACAALwAvACAASwBlAHIAbgBlAGwAIABtAHUAcwB0ACAAZgBpAHQAIABpAG4AcwBpAGQAZQAgAGEAcgByAGEAeQBcAG4AIAAgACAAIABJAG4AdgBhAGwAaQBkAEsAZQByAG4AZQBsAD8ALAAgACAAIAAgACAATwBSACgAawBlAHIAbgBlAGwAXwBoAGUAaQBnAGgAdAAgAD4AIABoACwAIABrAGUAcgBuAGUAbABfAHcAaQBkAHQAaAAgAD4AIAB3ACkALABcAG4AXABuACAAIAAgACAALwAvACAAUwBjAGEAbABhAHIAIABoAGEAbgBkAGwAaQBuAGcAXABuACAAIAAgACAASQBzAFMAYwBhAGwAYQByAD8ALAAgACAAIAAgACAAIAAgACAAIAAgAEEATgBEACgAaAAgAD0AIAAxACwAIAB3ACAAPQAgADEAKQAsAFwAbgAgACAAIAAgAEkAcwBTAGMAYQBsAGEAcgBLAGUAcgBuAGUAbAA/ACwAIAAgACAAIABBAE4ARAAoAGsAZQByAG4AZQBsAF8AaABlAGkAZwBoAHQAIAA9ACAAMQAsACAAawBlAHIAbgBlAGwAXwB3AGkAZAB0AGgAIAA9ACAAMQApACwAXABuAFwAbgAgACAAIAAgAC8ALwAgAEQAZQBmAGEAdQBsAHQAIAByAGUAZAB1AGMAZQByACAAPQAgAGQAbwB0ACAAcAByAG8AZAB1AGMAdABcAG4AIAAgACAAIABmAHUAbgBjAHQAaQBvAG4ALAAgACAAIAAgACAAIAAgACAAIAAgACAASQBGACgASQBTAE8ATQBJAFQAVABFAEQAKABmAHUAbgBjAHQAaQBvAG4AKQAsAEwAQQBNAEIARABBACgAdgAsACAAUwBVAE0AKABGAEwAQQBUAFQARQBOACgAdgApACAAKgAgAGsAZQByAG4AZQBsACkAKQAsAGYAdQBuAGMAdABpAG8AbgApACwAXABuACAAIAAgACAASQBuAHYAYQBsAGkAZABGAHUAbgBjAHQAaQBvAG4APwAsACAAIAAgAFQAWQBQAEUAKABmAHUAbgBjAHQAaQBvAG4AKQAgADwAPgAgADEAMgA4ACwAXABuAFwAbgAgACAAIAAgAC8ALwAgAFMAYwBhAGwAYQByACAAbwByACAAcwBjAGEAbABhAHIAESBrAGUAcgBuAGUAbAAgAGMAYQBzAGUAIACSISAAcwBpAG0AcABsAGUAIABNAEEAUABcAG4AIAAgACAAIABTAHQAYQBuAGQAYQByAGQATQBhAHAALAAgACAAIAAgACAAIAAgACAATABBAE0AQgBEAEEAKABNAEEAUAAoAGEAcgByAGEAeQAsACAAZgB1AG4AYwB0AGkAbwBuACkAKQAsAFwAbgBcAG4ALwAvACAATABvAGcAaQBjACAAZwBhAHQAZQBcAG4AIAAgACAAIABJAEYAKABJAG4AdgBhAGwAaQBkAEsAZQByAG4AZQBsAD8ALAAgAFwAIgAjAEsARQBSAE4ARQBMACEAXAAiACwAXABuAFwAbgAgACAAIAAgACAAIAAgACAASQBGACgASQBuAHYAYQBsAGkAZABGAHUAbgBjAHQAaQBvAG4APwAsAFwAIgAjAEYAVQBOAEMAVABJAE8ATgAhAFwAIgAsAFwAbgBcAG4AIAAgACAAIAAgACAAIAAgACAAIAAgACAASQBGACgAKABJAHMAUwBjAGEAbABhAHIAPwApACAAKwAgACgASQBzAFMAYwBhAGwAYQByAEsAZQByAG4AZQBsAD8AKQAsAFMAdABhAG4AZABhAHIAZABNAGEAcAAoACkALABcAG4AXABuAEwARQBUACgAXABuACAAIAAgACAAdwBpAG4AZABvAHcAcwAsACAAIAAgACAAIAAgACAAIAAgACAAIAAgAFcAaQBuAGQAbwB3AGUAZAC7AygAYQByAHIAYQB5ACwAawBlAHIAbgBlAGwAXwBoAGUAaQBnAGgAdAAsAGsAZQByAG4AZQBsAF8AdwBpAGQAdABoACkALABcAG4AIAAgACAAIABjAG8AbgB2AG8AbAB1AHQAaQBvAG4ALAAgACAAIAAgACAAIAAgACAATQBBAFAAKAB3AGkAbgBkAG8AdwBzACwAZgB1AG4AYwB0AGkAbwBuACkALABcAG4AIAAgACAAIABjAG8AbgB2AG8AbAB1AHQAaQBvAG4AXABuAFwAbgApACkAKQApACkAKQA7AFwAbgBcAG4AXABuAFwAbgAvACoAIABbAFQAQgBEAF0AIAAtAC0ALQAtAC0ALQAtAC0ALQAtAC0ALQAtAC0ALQAtAC0ALQAtAC0ALQAtAC0ALQAtAC0ALQAtAC0ALQAtAC0ALQAtAC0ALQAtAC0ALQAtAC0ALQAtAC0ALQAtAC0ALQAtAC0ALQAtAC0ALQAtAC0ALQAtAC0ALQAtAC0ALQAtAC0ALQAtAC0ALQAtAC0ALQAtAFwAbgBGAHUAbgBjAHQAaQBvAG4AOgAgACAAIAAgACAAIAAgACAARwByAGkAZABMAG8AbwBrAHUAcAC7A1wAbgBDAGEAdABlAGcAbwByAHkAOgAgACAAIAAgACAAIAAgACAAVABCAEQAXABuAEEAdQB0AGgAbwByADoAIAAgACAAIAAgACAAIAAgACAAIABQAGEAdAByAGkAYwBrACAASAAuAFwAbgBWAGUAcgBzAGkAbwBuADoAIAAgACAAIAAgACAAIAAgACAAMQAuADEAXABuAFwAbgBEAGUAcwBjAHIAaQBwAHQAaQBvAG4AOgBcAG4AIAAgACAAIABTAGUAYQByAGMAaABlAHMAIABhACAAMgBEACAAYQByAHIAYQB5ACAAZgBvAHIAIABtAGEAdABjAGgAZQBzACAAYQBuAGQAIAByAGUAdAB1AHIAbgBzACAAdABoAGUAIABjAG8AcgByAGUAcwBwAG8AbgBkAGkAbgBnACAAaQB0AGUAbQBzACAAZgByAG8AbQAgAGEAXABuACAAIAAgACAAcwBlAGMAbwBuAGQAIAAyAEQAIABhAHIAcgBhAHkALgAgAEcAcgBpAGQATABvAG8AawB1AHAAuwMgAHAAZQByAGYAbwByAG0AcwAgAGEAIABmAGwAYQB0AHQAZQBuAGUAZAAgAFgATQBBAFQAQwBIACAAbwB2AGUAcgAgAHQAaABlACAAcwBlAGEAcgBjAGgAXABuACAAIAAgACAAZwByAGkAZAAsACAAYwBvAG4AdgBlAHIAdABzACAAdABoAGUAIABsAGkAbgBlAGEAcgAgAGkAbgBkAGUAeAAgAGIAYQBjAGsAIAB0AG8AIAAyAEQAIABjAG8AbwByAGQAaQBuAGEAdABlAHMALAAgAGEAbgBkACAAcgBlAHQAcgBpAGUAdgBlAHMAIAB0AGgAZQBcAG4AIAAgACAAIABjAG8AcgByAGUAcwBwAG8AbgBkAGkAbgBnACAAZQBsAGUAbQBlAG4AdAAgAGYAcgBvAG0AIAByAGUAdAB1AHIAbgBfAGEAcgByAGEAeQAuAFwAbgBcAG4AUABhAHIAYQBtAGUAdABlAHIAcwA6AFwAbgAgACAAIAAgAGwAbwBvAGsAdQBwAF8AdgBhAGwAdQBlAHMAIAAgACAALQAgAFYAYQBsAHUAZQBzACAAdABvACAAcwBlAGEAcgBjAGgAIABmAG8AcgAgACgAcwBjAGEAbABhAHIAIABvAHIAIABhAHIAcgBhAHkAKQAuAFwAbgAgACAAIAAgAGwAbwBvAGsAdQBwAF8AYQByAHIAYQB5ACAAIAAgACAALQAgADIARAAgAGEAcgByAGEAeQAgAHQAbwAgAHMAZQBhAHIAYwBoAC4AXABuACAAIAAgACAAcgBlAHQAdQByAG4AXwBhAHIAcgBhAHkAIAAgACAAIAAtACAAMgBEACAAYQByAHIAYQB5ACAAZgByAG8AbQAgAHcAaABpAGMAaAAgAG0AYQB0AGMAaABlAGQAIABpAHQAZQBtAHMAIABhAHIAZQAgAHIAZQB0AHUAcgBuAGUAZAAuAFwAbgBcAG4ATwBwAHQAaQBvAG4AYQBsACAAcABhAHIAYQBtAGUAdABlAHIAcwAgACgAbQBhAHQAYwBoAGkAbgBnACAAWABMAE8ATwBLAFUAUAAvAFgATQBBAFQAQwBIACAAZABlAGYAYQB1AGwAdABzACkAOgBcAG4AIAAgACAAIABbAGkAZgBfAG4AbwB0AF8AZgBvAHUAbgBkAF0AIAAgAC0AIABWAGEAbAB1AGUAIAByAGUAdAB1AHIAbgBlAGQAIABpAGYAIABuAG8AIABtAGEAdABjAGgAIABpAHMAIABmAG8AdQBuAGQALgAgAEQAZQBmAGEAdQBsAHQAIAA9ACAAIwBOAC8AQQAuAFwAbgAgACAAIAAgAFsAbQBhAHQAYwBoAF8AbQBvAGQAZQBdACAAIAAgACAALQAgAE0AYQB0AGMAaAAgAGIAZQBoAGEAdgBpAG8AcgAuACAARABlAGYAYQB1AGwAdAAgAD0AIAAwACAAKABlAHgAYQBjAHQAIABtAGEAdABjAGgAKQAuAFwAbgAgACAAIAAgAFsAcwBlAGEAcgBjAGgAXwBtAG8AZABlAF0AIAAgACAALQAgAFMAZQBhAHIAYwBoACAAZABpAHIAZQBjAHQAaQBvAG4ALgAgAEQAZQBmAGEAdQBsAHQAIAA9ACAAMQAgACgAZgBpAHIAcwB0ABEgdABvABEgbABhAHMAdAApAC4AXABuAFwAbgBOAG8AdABlAHMAOgBcAG4AIAAgACAAIAAiICAAUgBlAHQAdQByAG4AcwAgAFwAIgAjAFYAQQBMAFUARQAhAFwAIgAgAGkAZgAgAGwAbwBvAGsAdQBwAF8AYQByAHIAYQB5ACAAYQBuAGQAIAByAGUAdAB1AHIAbgBfAGEAcgByAGEAeQAgAHMAaABhAHAAZQBzACAAZABpAGYAZgBlAHIALgBcAG4AIAAgACAAIAAiICAAUgBlAHQAdQByAG4AcwAgAFwAIgAjAE4ALwBBAFwAIgAgAGkAZgAgAGwAbwBvAGsAdQBwAF8AdgBhAGwAdQBlAHMAIABhAHIAZQAgAG4AbwB0ACAAcAByAGUAcwBlAG4AdAAgAGkAbgAgAGwAbwBvAGsAdQBwAF8AYQByAHIAYQB5AC4AXABuACAAIAAgACAAIiAgAFUAcwBlAHMAIABYAE0AQQBUAEMASAAgAG8AdgBlAHIAIABUAE8AQwBPAEwAKABtAGEAdABjAGgAXwBhAHIAcgBhAHkAKQAgAGYAbwByACAAZgBsAGEAdAB0AGUAbgBlAGQAIABzAGUAYQByAGMAaAAuAFwAbgAtAC0ALQAtAC0ALQAtAC0ALQAtAC0ALQAtAC0ALQAtAC0ALQAtAC0ALQAtAC0ALQAtAC0ALQAtAC0ALQAtAC0ALQAtAC0ALQAtAC0ALQAtAC0ALQAtAC0ALQAtAC0ALQAtAC0ALQAtAC0ALQAtAC0ALQAtAC0ALQAtAC0ALQAtAC0ALQAtAC0ALQAtAC0ALQAtAC0ALQAtAC0ALQAqAC8AXABuAFwAbgBHAHIAaQBkAEwAbwBvAGsAdQBwALsDPQBcAG4ATABBAE0AQgBEAEEAKABcAG4AIAAgACAAIABsAG8AbwBrAHUAcABfAHYAYQBsAHUAZQBzACwAXABuACAAIAAgACAAbQBhAHQAYwBoAF8AYQByAHIAYQB5ACwAXABuACAAIAAgACAAcgBlAHQAdQByAG4AXwBhAHIAcgBhAHkALABcAG4AIAAgACAAIABbAGkAZgBfAG4AbwB0AF8AZgBvAHUAbgBkAF0ALABcAG4AIAAgACAAIABbAG0AYQB0AGMAaABfAG0AbwBkAGUAXQAsAFwAbgAgACAAIAAgAFsAcwBlAGEAcgBjAGgAXwBtAG8AZABlAF0ALABcAG4ATABFAFQAKABcAG4AIAAgACAAIAAvAC8AIABTAGgAYQBwAGUAcwBcAG4AIAAgACAAIABoAGUAaQBnAGgAdACBICwAIAAgACAAUgBPAFcAUwAoAG0AYQB0AGMAaABfAGEAcgByAGEAeQApACwAIAAgACAAIAAgAHcAaQBkAHQAaACBICwAIAAgAEMATwBMAFUATQBOAFMAKABtAGEAdABjAGgAXwBhAHIAcgBhAHkAKQAsAFwAbgAgACAAIAAgAGgAZQBpAGcAaAB0AIIgLAAgACAAIABSAE8AVwBTACgAcgBlAHQAdQByAG4AXwBhAHIAcgBhAHkAKQAsACAAIAAgACAAdwBpAGQAdABoAIIgLAAgACAAQwBPAEwAVQBNAE4AUwAoAHIAZQB0AHUAcgBuAF8AYQByAHIAYQB5ACkALABcAG4AXABuACAAIAAgACAALwAvACAAVgBhAGwAaQBkAGEAdABpAG8AbgBcAG4AIAAgACAAIABTAGgAYQBwAGUATQBpAHMATQBhAHQAYwBoAD8ALAAgAE8AUgAoAGgAZQBpAGcAaAB0AIEgIAA8AD4AIABoAGUAaQBnAGgAdACCICwAdwBpAGQAdABoAIEgIAA8AD4AIAB3AGkAZAB0AGgAgiApACwAXABuAFwAbgAgACAAIAAgAC8ALwAgAEUAYQByAGwAeQAgAHQAZQByAG0AaQBuAGEAdABpAG8AbgAgAGkAZgAgAG0AZQBtAGIAZQByAHMAaABpAHAAIAA9ACAARgBBAEwAUwBFAFwAbgAgACAAIAAgAE4AbwB0AFAAcgBlAHMAZQBuAHQAPwAsACAAIAAgACAATgBPAFQAKABIAEEAUwBBAEwATAAoAG0AYQB0AGMAaABfAGEAcgByAGEAeQAsAGwAbwBvAGsAdQBwAF8AdgBhAGwAdQBlAHMAKQApACwAXABuAFwAbgAgACAAIAAgAEkARgAoAE4AbwB0AFAAcgBlAHMAZQBuAHQAPwAsACMATgAvAEEALABcAG4AXABuACAAIAAgACAAIAAgACAAIABJAEYAKABTAGgAYQBwAGUATQBpAHMATQBhAHQAYwBoAD8ALAAjAFYAQQBMAFUARQAhACwAXABuAFwAbgBMAEUAVAAoAFwAbgAgACAAIAAgAC8ALwAgAE8AcAB0AGkAbwBuAGEAbABcAG4AIAAgACAAIABpAGYAXwBuAG8AdABfAGYAbwB1AG4AZAAsACAAIAAgAEkARgAoAEkAUwBPAE0ASQBUAFQARQBEACgAaQBmAF8AbgBvAHQAXwBmAG8AdQBuAGQAKQAsAE4AQQAoACkALABpAGYAXwBuAG8AdABfAGYAbwB1AG4AZAApACwAXABuACAAIAAgACAAbQBhAHQAYwBoAF8AbQBvAGQAZQAsACAAIAAgACAAIABJAEYAKABJAFMATwBNAEkAVABUAEUARAAoAG0AYQB0AGMAaABfAG0AbwBkAGUAKQAsADAALABtAGEAdABjAGgAXwBtAG8AZABlACkALABcAG4AIAAgACAAIABzAGUAYQByAGMAaABfAG0AbwBkAGUALAAgACAAIAAgAEkARgAoAEkAUwBPAE0ASQBUAFQARQBEACgAcwBlAGEAcgBjAGgAXwBtAG8AZABlACkALAAxACwAcwBlAGEAcgBjAGgAXwBtAG8AZABlACkALABcAG4AXABuACAAIAAgACAALwAvACAATQBhAHQAYwBoACAAcABvAGkAbgB0AHMAIABhAG4AZAAgAGkAbgBkAGkAYwBlAHMAXABuACAAIAAgACAAUgAsACAAIAAgACAAIAAgACAAIAAgACAAIAAgACAAIABYAE0AQQBUAEMASAAoAGwAbwBvAGsAdQBwAF8AdgBhAGwAdQBlAHMALABUAE8AQwBPAEwAKABtAGEAdABjAGgAXwBhAHIAcgBhAHkAKQAsAG0AYQB0AGMAaABfAG0AbwBkAGUALABzAGUAYQByAGMAaABfAG0AbwBkAGUAKQAsAFwAbgAgACAAIAAgAGkALAAgACAAIAAgACAAIAAgACAAIAAgACAAIAAgACAAUQBVAE8AVABJAEUATgBUACgAUgAgAC0AIAAxACwAdwBpAGQAdABoAIEgKQAgACsAIAAxACwAXABuACAAIAAgACAAagAsACAAIAAgACAAIAAgACAAIAAgACAAIAAgACAAIABNAE8ARAAoAFIAIAAtACAAMQAsACAAdwBpAGQAdABoAIEgKQAgACsAMQAsAFwAbgBcAG4AIAAgACAAIAAvAC8AIABSAGUAcwB1AGwAdABcAG4AIAAgACAAIABmAGkAbgBhAGwALAAgACAAIAAgACAAIAAgACAAIAAgAEkARgBOAEEAKABJAE4ARABFAFgAKAByAGUAdAB1AHIAbgBfAGEAcgByAGEAeQAsAGkALABqACkALABpAGYAXwBuAG8AdABfAGYAbwB1AG4AZAApACwAXABuACAAIAAgACAAXABuACAAIAAgACAAZgBpAG4AYQBsAFwAbgApACkAKQApACkAOwBcAG4AXABuAFwAbgBcAG4ALwAqACAAWwBUAEIARABdACAALQAtAC0ALQAtAC0ALQAtAC0ALQAtAC0ALQAtAC0ALQAtAC0ALQAtAC0ALQAtAC0ALQAtAC0ALQAtAC0ALQAtAC0ALQAtAC0ALQAtAC0ALQAtAC0ALQAtAC0ALQAtAC0ALQAtAC0ALQAtAC0ALQAtAC0ALQAtAC0ALQAtAC0ALQAtAC0ALQAtAC0ALQAtAC0ALQBcAG4ARgB1AG4AYwB0AGkAbwBuADoAIAAgACAAIAAgACAAIABOAGEAdgBpAGcAYQB0AGUAMgBEALsDXABuAEMAYQB0AGUAZwBvAHIAeQA6ACAAIAAgACAAIAAgACAAVABCAEQAXABuAEEAdQB0AGgAbwByADoAIAAgACAAIAAgACAAIAAgACAAUABhAHQAcgBpAGMAawAgAEgALgBcAG4AVgBlAHIAcwBpAG8AbgA6ACAAIAAgACAAIAAgACAAIAAxAC4AMQBcAG4ARABlAHAAZQBuAGQAZQBuAGMAaQBlAHMAOgAgACAAIABDAG8AbgB2AG8AbAB2AGUAuwMsACAARwByAGkAZABMAG8AbwBrAHUAcAC7AywAIABNAEcAcgBpAGQAuwMsACAAUgBlAHMAaQB6AGUAuwNcAG4AXABuAEQAZQBzAGMAcgBpAHAAdABpAG8AbgA6AFwAbgAgACAAIAAgAEwAbwBjAGEAdABlAHMAIABhACAAbABvAG8AawB1AHAAXwBrAGUAcgBuAGUAbAAgACgAMgBEACAAYQByAHIAYQB5ACkAIABpAG4AIABtAGEAdABjAGgAXwBhAHIAcgBhAHkAXwAyAEQAIABhAG4AZAAgAHIAZQB0AHUAcgBuAHMAIABhACAAcwBoAGEAcABlACAAZgByAG8AbQAgAHQAaABlAFwAbgAgACAAIAAgAE0AbwBvAHIAZQAgAG4AZQBpAGcAaABiAG8AcgBoAG8AbwBkACAAcgBlAGwAYQB0AGkAdgBlACAAdABvACAAdABoAGUAIABtAGEAdABjAGgAIABsAG8AYwBhAHQAaQBvAG4ALgBcAG4AXABuACAAIAAgACAATQBvAG8AcgBlACAATgBlAGkAZwBoAGIAbwByAGgAbwBvAGQAOgBcAG4AIAAgACAAIAAgACAAIAAgADEAIAAgACAAMgAgACAAIAAzAFwAbgAgACAAIAAgACAAIAAgACAANAAgACAAIAA1ACAAIAAgADYAXABuACAAIAAgACAAIAAgACAAIAA3ACAAIAAgADgAIAAgACAAOQBcAG4AIAAgACAAIABcAG4AIAAgACAAIAA1ACAAPQAgAHAAbwBzAGkAdABpAG8AbgAgAG8AZgAgAGwAbwBvAGsAdQBwAF8AawBlAHIAbgBlAGwAIABpAG4AIABtAGEAdABjAGgAXwBhAHIAcgBhAHkAXwAyAEQAXABuAFwAbgBQAGEAcgBhAG0AZQB0AGUAcgBzADoAXABuACAAIAAgACAAbABvAG8AawB1AHAAXwBrAGUAcgBuAGUAbAAgACAAIAAgACAAIAAtACAAIAAgADIARAAgAHMAaABhAHAAZQAgAG8AcgAgAGEAcgByAGEAeQAgAHQAbwAgAGwAbwBjAGEAdABlAFwAbgAgACAAIAAgAG0AYQB0AGMAaABfAGEAcgByAGEAeQBfADIARAAgACAAIAAgACAALQAgACAAIAAyAEQAIABzAG8AdQByAGMAZQAgAGEAcgByAGEAeQAgAGkAbgAgAHcAaABpAGMAaAAgAHQAbwAgAGwAbwBjAGEAdABlACAAdABoAGUAIABrAGUAcgBuAGUAbABcAG4AXABuAE8AcAB0AGkAbwBuAGEAbAAgAHAAYQByAGEAbQBlAHQAZQByAHMAOgBcAG4AIAAgACAAIABbAHIAZQB0AHUAcgBuAF8AZABpAHIAZQBjAHQAaQBvAG4AXQAgAC0AIAAgACAASQBuAHQAZQBnAGUAcgAgACgAMQAgAHQAbwAgADkAKQAgAGkAbgBkAGkAYwBhAHQAaQBuAGcAIAB3AGgAaQBjAGgAIABNAG8AbwByAGUAIABuAGUAaQBnAGgAYgBvAHIAaABvAG8AZAAgAHQAbwAgAHIAZQB0AHUAcgBuAFwAbgAgACAAIAAgACAAIAAgACAAIAAgACAAIAAgACAAIAAgACAAIAAgACAAIAAgACAAIAAgACAAIABJAGYAIABvAG0AaQB0AHQAZQBkACwAIABkAGUAZgBhAHUAbAB0AHMAIAB0AG8AIAA4ACwAIABkAGkAcgBlAGMAdABsAHkAIABiAGUAbABvAHcAIAB0AGgAZQAgAG0AYQB0AGMAaABlAGQAIABrAGUAcgBuAGUAbAAuAFwAbgAgACAAIAAgAFwAbgAgACAAIAAgAFsAcgBlAHQAdQByAG4AXwBoAGUAaQBnAGgAdABdACAAIAAgACAALQAgACAAIABSAG8AdwBzACAAaQBuAGMAbAB1AGQAZQBkACAAaQBuACAAdABoAGUAIAByAGUAdAB1AHIAbgBcAG4AIAAgACAAIABbAHIAZQB0AHUAcgBuAF8AdwBpAGQAdABoAF0AIAAgACAAIAAgAC0AIAAgACAAQwBvAGwAdQBtAG4AcwAgAGkAbgBjAGwAdQBkAGUAZAAgAGkAbgAgAHQAaABlACAAcgBlAHQAdQByAG4AXABuAFwAbgAgACAAIAAgAEkAZgAgAGgAZQBpAGcAaAB0AC8AdwBpAGQAdABoACAAYQByAGUAIABvAG0AaQB0AHQAZQBkACAALQAgAGQAZQBmAGEAdQBsAHQAcwAgAHQAbwAgAGgAZQBpAGcAaAB0AC8AdwBpAGQAdABoACAAbwBmACAAbABvAG8AawB1AHAAXwBrAGUAcgBuAGUAbABcAG4AXABuAE4AbwB0AGUAcwA6AFwAbgAiICAASQBmACAAYQBuACAAbwBwAHQAaQBvAG4AYQBsACAAYQByAGcAdQBtAGUAbgB0ACAAaQBzACAAYQBuACAAYQByAHIAYQB5ACAAbwByACAAcgBhAG4AZwBlACwAIABpAHQAcwAgAHQAbwBwAC0AbABlAGYAdAAgAHYAYQBsAHUAZQAgAGkAcwAgAHUAcwBlAGQALgBcAG4AIiAgAE4AdQBtAGUAcgBpAGMAIABvAHAAdABpAG8AbgBhAGwAIABhAHIAZwB1AG0AZQBuAHQAcwAgAGEAcgBlACAAcgBvAHUAbgBkAGUAZAAgAGQAbwB3AG4AIAB0AG8AIABpAG4AdABlAGcAZQByAHMAIAB3AGkAdABoACAASQBOAFQALgBcAG4AIiAgAEkAZgAgAG0AdQBsAHQAaQBwAGwAZQAgAGsAZQByAG4AZQBsACAAbQBhAHQAYwBoAGUAcwAgAGUAeABpAHMAdAAsACAAdABoAGUAIABmAGkAcgBzAHQAIABtAGEAdABjAGgAIABpAG4AIABHAHIAaQBkAEwAbwBvAGsAdQBwALsDIABzAGMAYQBuACAAbwByAGQAZQByACAAaQBzACAAdQBzAGUAZAAuACAAXABuAC0ALQAtAC0ALQAtAC0ALQAtAC0ALQAtAC0ALQAtAC0ALQAtAC0ALQAtAC0ALQAtAC0ALQAtAC0ALQAtAC0ALQAtAC0ALQAtAC0ALQAtAC0ALQAtAC0ALQAtAC0ALQAtAC0ALQAtAC0ALQAtAC0ALQAtAC0ALQAtAC0ALQAtAC0ALQAtAC0ALQAtAC0ALQAtAC0ALQAtAC0ALQAtACoALwBcAG4AXABuAE4AYQB2AGkAZwBhAHQAZQAyAEQAuwM9AFwAbgBMAEEATQBCAEQAQQAoAFwAbgAgACAAIAAgAGwAbwBvAGsAdQBwAF8AawBlAHIAbgBlAGwALABcAG4AIAAgACAAIABtAGEAdABjAGgAXwBhAHIAcgBhAHkAXwAyAEQALABcAG4AIAAgACAAIABbAHIAZQB0AHUAcgBuAF8AZABpAHIAZQBjAHQAaQBvAG4AXQAsAFwAbgAgACAAIAAgAFsAcgBlAHQAdQByAG4AXwBoAGUAaQBnAGgAdABdACwAXABuACAAIAAgACAAWwByAGUAdAB1AHIAbgBfAHcAaQBkAHQAaABdACwAXABuAFwAbgBMAEUAVAAoAFwAbgAgACAAIAAgAC8ALwAgAE4AbwByAG0AYQBsAGkAegBlACAAaQBuAHAAdQB0AHMAIAAtACAAcwBjAGEAbABhAHIAXABuACAAIAAgACAATgBvAHIAbQBhAGwAaQB6AGUAuwMsACAAIAAgACAAIAAgAEwAQQBNAEIARABBACgAaQBuAHAAdQB0ACwASQBOAFQAKABJAE4ARABFAFgAKABpAG4AcAB1AHQALAAxACwAMQApACkAKQAsAFwAbgAgACAAIAAgAFwAbgAgACAAIAAgAC8ALwAgAE8AcAB0AGkAbwBuAGEAbAAgAC0AIABkAGUAZgBhAHUAbAB0AHMAIAB0AG8AIAA4ACAAKABiAGUAbABvAHcAKQAgAGkAZgAgAG8AbQBpAHQAdABlAGQAXABuACAAIAAgACAAcgBlAHQAdQByAG4AXwBkAGkAcgBlAGMAdABpAG8AbgAsAE4AbwByAG0AYQBsAGkAegBlALsDKABJAEYAKABJAFMATwBNAEkAVABUAEUARAAoAHIAZQB0AHUAcgBuAF8AZABpAHIAZQBjAHQAaQBvAG4AKQAsADgALAByAGUAdAB1AHIAbgBfAGQAaQByAGUAYwB0AGkAbwBuACkAKQAsAFwAbgAgACAAIAAgAFwAbgAgACAAIAAgAC8ALwAgAHMAaABhAHAAZQBzAFwAbgAgACAAIAAgAGgAZQBpAGcAaAB0AIEgLAAgACAAIAAgACAAIAAgACAAIABSAE8AVwBTACgAbQBhAHQAYwBoAF8AYQByAHIAYQB5AF8AMgBEACkALAAgACAAIAB3AGkAZAB0AGgAgSAsACAAIABDAE8ATABVAE0ATgBTACgAbQBhAHQAYwBoAF8AYQByAHIAYQB5AF8AMgBEACkALABcAG4AIAAgACAAIABoAGUAaQBnAGgAdACCICwAIAAgACAAIAAgACAAIAAgACAAUgBPAFcAUwAoAGwAbwBvAGsAdQBwAF8AawBlAHIAbgBlAGwAKQAsACAAIAAgACAAdwBpAGQAdABoAIIgLAAgACAAQwBPAEwAVQBNAE4AUwAoAGwAbwBvAGsAdQBwAF8AawBlAHIAbgBlAGwAKQAsAFwAbgBcAG4AIAAgACAAIAAvAC8AIABSAGUAdAB1AHIAbgAgAHMAaQB6AGUAXABuACAAIAAgACAAcgBlAHQAdQByAG4AXwBoAGUAaQBnAGgAdAAsACAAIAAgAE4AbwByAG0AYQBsAGkAegBlALsDKABJAEYAKABJAFMATwBNAEkAVABUAEUARAAoAHIAZQB0AHUAcgBuAF8AaABlAGkAZwBoAHQAKQAsAGgAZQBpAGcAaAB0AIIgLAByAGUAdAB1AHIAbgBfAGgAZQBpAGcAaAB0ACkAKQAsAFwAbgAgACAAIAAgAHIAZQB0AHUAcgBuAF8AdwBpAGQAdABoACwAIAAgACAAIABOAG8AcgBtAGEAbABpAHoAZQC7AygASQBGACgASQBTAE8ATQBJAFQAVABFAEQAKAByAGUAdAB1AHIAbgBfAHcAaQBkAHQAaAApACwAdwBpAGQAdABoAIIgLAByAGUAdAB1AHIAbgBfAHcAaQBkAHQAaAApACkALABcAG4AIAAgACAAIABcAG4AIAAgACAAIAAvAC8AIABFAGEAcgBsAHkAIAB0AGUAcgBtAGkAbgBhAHQAaQBvAG4AIABzAGMAZQBuAGEAcgBpAG8AcwBcAG4AIAAgACAAIABCAGEAZABLAGUAcgBuAGUAbAA/ACwAIAAgACAAIAAgACAATwBSACgAaABlAGkAZwBoAHQAgiAgAD4AIABoAGUAaQBnAGgAdACBICwAdwBpAGQAdABoAIIgIAA+ACAAdwBpAGQAdABoAIEgKQAsAFwAbgAgACAAIAAgAFwAbgAgACAAIAAgAEIAYQBkAEQAaQByAD8ALAAgACAAIAAgACAAIAAgACAAIABPAFIAKAByAGUAdAB1AHIAbgBfAGQAaQByAGUAYwB0AGkAbwBuACAAPAAgADEALAAgAHIAZQB0AHUAcgBuAF8AZABpAHIAZQBjAHQAaQBvAG4AIAA+ACAAOQApACwAXABuACAAIAAgACAAXABuACAAIAAgACAAQgBhAGQAUgBlAHQAdQByAG4APwAsACAAIAAgACAAIAAgAE8AUgAoAHIAZQB0AHUAcgBuAF8AaABlAGkAZwBoAHQAIAA8ACAAMQAsAHIAZQB0AHUAcgBuAF8AdwBpAGQAdABoACAAPAAgADEAKQAsAFwAbgBcAG4AIAAgACAAIABOAG8AdAAyAEQAPwAsACAAIAAgACAAIAAgACAAIAAgACAATwBSACgAaABlAGkAZwBoAHQAgSAgAD0AIAAxACwAIAB3AGkAZAB0AGgAgSAgAD0AIAAxACkALABcAG4AIAAgACAAIABcAG4AIAAgACAAIAAvAC8AIABFAGEAcgBsAHkAIABlAHgAaQB0ACAAaQBmACAAZgBpAHIAcwB0ACAAZQBsAGUAbQBlAG4AdAAgAGkAcwAgAG0AaQBzAHMAaQBuAGcAXABuACAAIAAgACAATgBvAHQAUAByAGUAcwBlAG4AdAA/ACwAIAAgACAAIAAgAE4ATwBUACgASABBAFMAQQBMAEwAKABtAGEAdABjAGgAXwBhAHIAcgBhAHkAXwAyAEQALABsAG8AbwBrAHUAcABfAGsAZQByAG4AZQBsACkAKQAsAFwAbgBcAG4AIAAgACAAIAAvAC8AIABMAG8AZwBpAGMAIABnAGEAdABlAFwAbgAgACAAIAAgAEkARgAoAE4AbwB0ADIARAA/ACwAIwBWAEEATABVAEUAIQAsAFwAbgBcAG4AIAAgACAAIAAgACAAIAAgAEkARgAoAEIAYQBkAEsAZQByAG4AZQBsAD8ALAAjAE4ALwBBACwAXABuAFwAbgAgACAAIAAgACAAIAAgACAAIAAgACAAIABJAEYAKABCAGEAZABEAGkAcgA/ACwAIwBWAEEATABVAEUAIQAsAFwAbgBcAG4AIAAgACAAIAAgACAAIAAgACAAIAAgACAAIAAgACAAIABJAEYAKABCAGEAZABSAGUAdAB1AHIAbgA/ACwAIwBWAEEATABVAEUAIQAsAFwAbgAgACAAIAAgACAAIAAgACAAIAAgACAAIAAgACAAIAAgAFwAbgAgACAAIAAgACAAIAAgACAAIAAgACAAIAAgACAAIAAgACAAIAAgACAASQBGACgATgBvAHQAUAByAGUAcwBlAG4AdAA/ACwAIwBOAC8AQQAsAFwAbgBcAG4ATABFAFQAKABcAG4AIAAgACAAIAAvAC8AIABMAG8AYwBhAHQAaQBvAG4AXABuACAAIAAgACAATQBhAHQAYwBoAEsAZQByAG4AZQBsALsDLABMAEEATQBCAEQAQQAoAHYALABBAE4ARAAoAEYATABBAFQAVABFAE4AKAB2ACkAIAA9ACAAbABvAG8AawB1AHAAXwBrAGUAcgBuAGUAbAApACkALABcAG4AIAAgACAAIABGAG8AdQBuAGQAPwAsACAAIAAgACAAIAAgAEMAbwBuAHYAbwBsAHYAZQC7AygAbQBhAHQAYwBoAF8AYQByAHIAYQB5AF8AMgBEACwAbABvAG8AawB1AHAAXwBrAGUAcgBuAGUAbAAsAE0AYQB0AGMAaABLAGUAcgBuAGUAbAC7AykALABcAG4AIAAgACAAIABGAG8AdQBuAGQAMQBEAD8ALAAgACAAIAAgAE8AUgAoAFIATwBXAFMAKABGAG8AdQBuAGQAPwApACAAPQAgADEALABDAE8ATABVAE0ATgBTACgARgBvAHUAbgBkAD8AKQAgAD0AIAAxACkALAAgACAAIAAgAFwAbgAgACAAIAAgAE4AbwB0AEYAbwB1AG4AZAA/ACwAIAAgACAATgBPAFQAKABPAFIAKABGAG8AdQBuAGQAPwApACkALAAgAFwAbgBcAG4AIAAgACAAIAAvAC8AIABJAG4AZABpAGMAZQBzAFwAbgAgACAAIAAgAGkALAAgACAAIAAgACAAIAAgACAAIAAgACAASQBGACgARgBvAHUAbgBkADEARAA/ACwAWABNAEEAVABDAEgAKABUAFIAVQBFACwARgBvAHUAbgBkAD8AKQAsAFwAbgAgACAAIAAgACAAIAAgACAAIAAgACAAIAAgACAAIAAgACAAIAAgACAAIAAgACAAIAAgACAAIAAgACAARwByAGkAZABMAG8AbwBrAHUAcAC7AygAVABSAFUARQAsAEYAbwB1AG4AZAA/ACwATQBHAHIAaQBkALsDKABGAG8AdQBuAGQAPwApACkAKQAsAFwAbgBcAG4AIAAgACAAIABqACwAIAAgACAAIAAgACAAIAAgACAAIAAgAEkARgAoAEYAbwB1AG4AZAAxAEQAPwAsADEALABHAHIAaQBkAEwAbwBvAGsAdQBwALsDKABUAFIAVQBFACwARgBvAHUAbgBkAD8ALABNAEcAcgBpAGQAuwMoAEYAbwB1AG4AZAA/ACwAMQApACkAKQAsAFwAbgBcAG4AIAAgACAAIAAvAC8AIABSAGUAdAB1AHIAbgAgAGkAbgB0AGUAcgBzAGUAYwB0AGkAbwBuAFwAbgAgACAAIAAgAHgALAAgACAAIAAgACAAIAAgACAAIAAgACAAQwBIAE8ATwBTAEUAKAByAGUAdAB1AHIAbgBfAGQAaQByAGUAYwB0AGkAbwBuACwAIAAgACAAIABpACAALQAgAGgAZQBpAGcAaAB0AIIgLABcAG4AIAAgACAAIAAgACAAIAAgACAAIAAgACAAIAAgACAAIAAgACAAIAAgACAAIAAgACAAIAAgACAAIAAgACAAIAAgACAAIAAgACAAIAAgACAAIAAgACAAIAAgACAAaQAgAC0AIABoAGUAaQBnAGgAdACCICwAXABuACAAIAAgACAAIAAgACAAIAAgACAAIAAgACAAIAAgACAAIAAgACAAIAAgACAAIAAgACAAIAAgACAAIAAgACAAIAAgACAAIAAgACAAIAAgACAAIAAgACAAIAAgAGkAIAAtACAAaABlAGkAZwBoAHQAgiAsAFwAbgAgACAAIAAgACAAIAAgACAAIAAgACAAIAAgACAAIAAgACAAIAAgACAAIAAgACAAIAAgACAAIAAgACAAIAAgACAAIAAgACAAIAAgACAAIAAgACAAIAAgACAAIABpACwAXABuACAAIAAgACAAIAAgACAAIAAgACAAIAAgACAAIAAgACAAIAAgACAAIAAgACAAIAAgACAAIAAgACAAIAAgACAAIAAgACAAIAAgACAAIAAgACAAIAAgACAAIAAgAGkALABcAG4AIAAgACAAIAAgACAAIAAgACAAIAAgACAAIAAgACAAIAAgACAAIAAgACAAIAAgACAAIAAgACAAIAAgACAAIAAgACAAIAAgACAAIAAgACAAIAAgACAAIAAgACAAaQAsAFwAbgAgACAAIAAgACAAIAAgACAAIAAgACAAIAAgACAAIAAgACAAIAAgACAAIAAgACAAIAAgACAAIAAgACAAIAAgACAAIAAgACAAIAAgACAAIAAgACAAIAAgACAAIABpACAAKwAgAGgAZQBpAGcAaAB0AIIgLABcAG4AIAAgACAAIAAgACAAIAAgACAAIAAgACAAIAAgACAAIAAgACAAIAAgACAAIAAgACAAIAAgACAAIAAgACAAIAAgACAAIAAgACAAIAAgACAAIAAgACAAIAAgACAAaQAgACsAIABoAGUAaQBnAGgAdACCICwAXABuACAAIAAgACAAIAAgACAAIAAgACAAIAAgACAAIAAgACAAIAAgACAAIAAgACAAIAAgACAAIAAgACAAIAAgACAAIAAgACAAIAAgACAAIAAgACAAIAAgACAAIAAgAGkAIAArACAAaABlAGkAZwBoAHQAgiApACwAXABuAFwAbgAgACAAIAAgAHkALAAgACAAIAAgACAAIAAgACAAIAAgACAAQwBIAE8ATwBTAEUAKAByAGUAdAB1AHIAbgBfAGQAaQByAGUAYwB0AGkAbwBuACwAIAAgACAAIABqACAALQAgAHcAaQBkAHQAaACCICwAXABuACAAIAAgACAAIAAgACAAIAAgACAAIAAgACAAIAAgACAAIAAgACAAIAAgACAAIAAgACAAIAAgACAAIAAgACAAIAAgACAAIAAgACAAIAAgACAAIAAgACAAIAAgAGoALABcAG4AIAAgACAAIAAgACAAIAAgACAAIAAgACAAIAAgACAAIAAgACAAIAAgACAAIAAgACAAIAAgACAAIAAgACAAIAAgACAAIAAgACAAIAAgACAAIAAgACAAIAAgACAAagAgACsAIAB3AGkAZAB0AGgAgiAsAFwAbgAgACAAIAAgACAAIAAgACAAIAAgACAAIAAgACAAIAAgACAAIAAgACAAIAAgACAAIAAgACAAIAAgACAAIAAgACAAIAAgACAAIAAgACAAIAAgACAAIAAgACAAIABqACAALQAgAHcAaQBkAHQAaACCICwAXABuACAAIAAgACAAIAAgACAAIAAgACAAIAAgACAAIAAgACAAIAAgACAAIAAgACAAIAAgACAAIAAgACAAIAAgACAAIAAgACAAIAAgACAAIAAgACAAIAAgACAAIAAgAGoALABcAG4AIAAgACAAIAAgACAAIAAgACAAIAAgACAAIAAgACAAIAAgACAAIAAgACAAIAAgACAAIAAgACAAIAAgACAAIAAgACAAIAAgACAAIAAgACAAIAAgACAAIAAgACAAagAgACsAIAB3AGkAZAB0AGgAgiAsAFwAbgAgACAAIAAgACAAIAAgACAAIAAgACAAIAAgACAAIAAgACAAIAAgACAAIAAgACAAIAAgACAAIAAgACAAIAAgACAAIAAgACAAIAAgACAAIAAgACAAIAAgACAAIABqACAALQAgAHcAaQBkAHQAaACCICwAXABuACAAIAAgACAAIAAgACAAIAAgACAAIAAgACAAIAAgACAAIAAgACAAIAAgACAAIAAgACAAIAAgACAAIAAgACAAIAAgACAAIAAgACAAIAAgACAAIAAgACAAIAAgAGoALABcAG4AIAAgACAAIAAgACAAIAAgACAAIAAgACAAIAAgACAAIAAgACAAIAAgACAAIAAgACAAIAAgACAAIAAgACAAIAAgACAAIAAgACAAIAAgACAAIAAgACAAIAAgACAAagAgACsAIAB3AGkAZAB0AGgAgiApACwAXABuAFwAbgAgACAAIAAgAC8ALwAgAEUAeABwAGEAbgBzAGkAbwBuACAAawBlAHIAbgBlAGwAcwBcAG4AIAAgACAAIAByAF8AawBlAHIAbgBlAGwALAAgACAAIABSAGUAcwBpAHoAZQC7AygASQBGACgAcgBlAHQAdQByAG4AXwBoAGUAaQBnAGgAdAAgAD0AIAAxACwAMAAsAFwAbgAgACAAIAAgACAAIAAgACAAIAAgACAAIAAgACAAIAAgACAAIAAgACAAIAAgACAAIAAgACAAIAAgACAAIAAgACAAIAAgACAAIAAgACAAIAAgACAAIAAgACAAIABTAEUAUQBVAEUATgBDAEUAKAByAGUAdAB1AHIAbgBfAGgAZQBpAGcAaAB0ACwALAAwACwAMQApACkALAAsAHIAZQB0AHUAcgBuAF8AdwBpAGQAdABoACkALABcAG4AXABuACAAIAAgACAAYwBfAGsAZQByAG4AZQBsACwAIAAgACAAUgBlAHMAaQB6AGUAuwMoAEkARgAoAHIAZQB0AHUAcgBuAF8AdwBpAGQAdABoACAAPQAgADEALAAwACwAXABuACAAIAAgACAAIAAgACAAIAAgACAAIAAgACAAIAAgACAAIAAgACAAIAAgACAAIAAgACAAIAAgACAAIAAgACAAIAAgACAAIAAgACAAIAAgACAAIAAgACAAIAAgAFMARQBRAFUARQBOAEMARQAoACwAcgBlAHQAdQByAG4AXwB3AGkAZAB0AGgALAAwACwAMQApACkALAByAGUAdAB1AHIAbgBfAGgAZQBpAGcAaAB0ACkALABcAG4AIAAgACAAIABcAG4AIAAgACAAIAAvAC8AIABDAG8AbwByAGQAaQBuAGEAdABlAHMAXABuACAAIAAgACAAcgAsACAAIAAgACAAIAAgACAAIAAgACAAeAAgACsAIAByAF8AawBlAHIAbgBlAGwALABcAG4AIAAgACAAIABjACwAIAAgACAAIAAgACAAIAAgACAAIAB5ACAAKwAgAGMAXwBrAGUAcgBuAGUAbAAsAFwAbgBcAG4AIAAgACAAIAAvAC8AIABSAGUAdAB1AHIAbgAgAGEAcgByAGEAeQAgAGkAcwAgAG8AZgBmACAAZwByAGkAZABcAG4AIAAgACAAIABPAGYAZgBHAHIAaQBkAD8ALAAgACAAIABPAFIAKABNAEkATgAoAHIAKQAgADwAIAAxACwATQBJAE4AKABjACkAIAA8ACAAMQAsAE0AQQBYACgAcgApACAAPgAgAGgAZQBpAGcAaAB0AIEgLABNAEEAWAAoAGMAKQAgAD4AIAB3AGkAZAB0AGgAgSApACwAXABuACAAIAAgACAAXABuACAAIAAgACAAbQBzAGcALAAgACAAIAAgACAAIAAgACAAXAAiAEsAZQByAG4AZQBsADoAIABSAFwAIgAmAGkAJgBcACIAQwBcACIAJgBqACwAXABuAFwAbgAgACAAIAAgAGYAaQBuAGEAbAAsACAAIAAgACAAIAAgAEkARgAoAE4AbwB0AEYAbwB1AG4AZAA/ACwAIwBOAC8AQQAsAFwAbgAgACAAIAAgACAAIAAgACAAIAAgACAAIAAgACAAIAAgACAAIAAgACAASQBGACgATwBmAGYARwByAGkAZAA/ACwAbQBzAGcALABJAE4ARABFAFgAKABtAGEAdABjAGgAXwBhAHIAcgBhAHkAXwAyAEQALAByACwAYwApACkAKQAsAFwAbgAgACAAIAAgAGYAaQBuAGEAbABcAG4AXABuACkAKQApACkAKQApACkAKQA7AFwAbgBcAG4AXABuAFwAbgBcAG4ALwAqACAAWwA/AD8APwBdACAALQAtAC0ALQAtAC0ALQAtAC0ALQAtAC0ALQAtAC0ALQAtAC0ALQAtAC0ALQAtAC0ALQAtAC0ALQAtAC0ALQAtAC0ALQAtAC0ALQAtAC0ALQAtAC0ALQAtAC0ALQAtAC0ALQAtAC0ALQAtAC0ALQAtAC0ALQAtAC0ALQAtAC0ALQAtAC0ALQAtAC0ALQAtAC0ALQBcAG4ARgB1AG4AYwB0AGkAbwBuADoAIAAgACAAIAAgACAAIABNAGEAdABjAGgAMgBEALsDXABuAEMAYQB0AGUAZwBvAHIAeQA6ACAAIAAgACAAIAAgACAAVABCAEQAXABuAEEAdQB0AGgAbwByADoAIAAgACAAIAAgACAAIAAgACAAUABhAHQAcgBpAGMAawAgAEgALgBcAG4AVgBlAHIAcwBpAG8AbgA6ACAAIAAgACAAIAAgACAAIAAxAC4AMQBcAG4ARABlAHAAZQBuAGQAZQBuAGMAaQBlAHMAOgAgACAAIABDAG8AbgB2AG8AbAB2AGUAuwMsACAARwByAGkAZABMAG8AbwBrAHUAcAC7AywAIABNAEcAcgBpAGQAuwMsACAAUgBlAHMAaQB6AGUAuwNcAG4AXABuAEQAZQBzAGMAcgBpAHAAdABpAG8AbgA6AFwAbgAgACAAIAAgAEwAbwBjAGEAdABlAHMAIABhACAAbABvAG8AawB1AHAAXwBrAGUAcgBuAGUAbAAgACgAMgBEACAAYQByAHIAYQB5ACkAIABpAG4AIABtAGEAdABjAGgAXwBhAHIAcgBhAHkAXwAyAEQAIABhAG4AZAAgAHIAZQB0AHUAcgBuAHMAIABhACAAcwBoAGEAcABlACAAZgByAG8AbQAgAHQAaABlAFwAbgAgACAAIAAgAE0AbwBvAHIAZQAgAG4AZQBpAGcAaABiAG8AcgBoAG8AbwBkACAAcgBlAGwAYQB0AGkAdgBlACAAdABvACAAdABoAGUAIABtAGEAdABjAGgAIABsAG8AYwBhAHQAaQBvAG4ALgBcAG4AXABuACAAIAAgACAATQBvAG8AcgBlACAATgBlAGkAZwBoAGIAbwByAGgAbwBvAGQAOgBcAG4AIAAgACAAIAAgACAAIAAgADEAIAAgACAAMgAgACAAIAAzAFwAbgAgACAAIAAgACAAIAAgACAANAAgACAAIAA1ACAAIAAgADYAXABuACAAIAAgACAAIAAgACAAIAA3ACAAIAAgADgAIAAgACAAOQBcAG4AIAAgACAAIABcAG4AIAAgACAAIAA1ACAAPQAgAHAAbwBzAGkAdABpAG8AbgAgAG8AZgAgAGwAbwBvAGsAdQBwAF8AawBlAHIAbgBlAGwAIABpAG4AIABtAGEAdABjAGgAXwBhAHIAcgBhAHkAXwAyAEQAXABuAFwAbgBQAGEAcgBhAG0AZQB0AGUAcgBzADoAXABuACAAIAAgACAAbABvAG8AawB1AHAAXwBrAGUAcgBuAGUAbAAgACAAIAAgACAAIAAtACAAIAAgADIARAAgAHMAaABhAHAAZQAgAG8AcgAgAGEAcgByAGEAeQAgAHQAbwAgAGwAbwBjAGEAdABlAFwAbgAgACAAIAAgAG0AYQB0AGMAaABfAGEAcgByAGEAeQBfADIARAAgACAAIAAgACAALQAgACAAIAAyAEQAIABzAG8AdQByAGMAZQAgAGEAcgByAGEAeQAgAGkAbgAgAHcAaABpAGMAaAAgAHQAbwAgAGwAbwBjAGEAdABlACAAdABoAGUAIABrAGUAcgBuAGUAbABcAG4AXABuAE4AbwB0AGUAcwA6AFwAbgAiICAAXABuAC0ALQAtAC0ALQAtAC0ALQAtAC0ALQAtAC0ALQAtAC0ALQAtAC0ALQAtAC0ALQAtAC0ALQAtAC0ALQAtAC0ALQAtAC0ALQAtAC0ALQAtAC0ALQAtAC0ALQAtAC0ALQAtAC0ALQAtAC0ALQAtAC0ALQAtAC0ALQAtAC0ALQAtAC0ALQAtAC0ALQAtAC0ALQAtAC0ALQAtAC0ALQAtACoALwBcAG4AXABuAE0AYQB0AGMAaAAyAEQAuwM9AFwAbgBMAEEATQBCAEQAQQAoAFwAbgAgACAAIAAgAGwAbwBvAGsAdQBwAF8AawBlAHIAbgBlAGwALABcAG4AIAAgACAAIABtAGEAdABjAGgAXwBhAHIAcgBhAHkAXwAyAEQALABcAG4AXABuAEwARQBUACgAXABuACAAIAAgACAALwAvACAATgBvAHIAbQBhAGwAaQB6AGUAIABpAG4AcAB1AHQAcwAgAC0AIABzAGMAYQBsAGEAcgBcAG4AIAAgACAAIABOAG8AcgBtAGEAbABpAHoAZQC7AywAIAAgACAAIAAgACAATABBAE0AQgBEAEEAKABpAG4AcAB1AHQALABJAE4AVAAoAEkATgBEAEUAWAAoAGkAbgBwAHUAdAAsADEALAAxACkAKQApACwAXABuAFwAbgAgACAAIAAgAFwAbgAgACAAIAAgAC8ALwAgAHMAaABhAHAAZQBzAFwAbgAgACAAIAAgAGgAZQBpAGcAaAB0AIEgLAAgACAAIAAgACAAIAAgACAAIABSAE8AVwBTACgAbQBhAHQAYwBoAF8AYQByAHIAYQB5AF8AMgBEACkALAAgACAAIAB3AGkAZAB0AGgAgSAsACAAIABDAE8ATABVAE0ATgBTACgAbQBhAHQAYwBoAF8AYQByAHIAYQB5AF8AMgBEACkALABcAG4AIAAgACAAIABoAGUAaQBnAGgAdACCICwAIAAgACAAIAAgACAAIAAgACAAUgBPAFcAUwAoAGwAbwBvAGsAdQBwAF8AawBlAHIAbgBlAGwAKQAsACAAIAAgACAAdwBpAGQAdABoAIIgLAAgACAAQwBPAEwAVQBNAE4AUwAoAGwAbwBvAGsAdQBwAF8AawBlAHIAbgBlAGwAKQAsAFwAbgAgACAAIAAgAFwAbgAgACAAIAAgAC8ALwAgAEUAYQByAGwAeQAgAHQAZQByAG0AaQBuAGEAdABpAG8AbgAgAHMAYwBlAG4AYQByAGkAbwBcAG4AIAAgACAAIABCAGEAZABLAGUAcgBuAGUAbAA/ACwAIAAgACAAIAAgACAATwBSACgAaABlAGkAZwBoAHQAgiAgAD4AIABoAGUAaQBnAGgAdACBICwAdwBpAGQAdABoAIIgIAA+ACAAdwBpAGQAdABoAIEgKQAsAFwAbgAgACAAIAAgAFwAbgAgACAAIAAgAC8ALwAgAEUAYQByAGwAeQAgAGUAeABpAHQAIABpAGYAIABtAGUAbQBiAGUAcgBzAGgAaQBwACAAPQAgAEYAQQBMAFMARQBcAG4AIAAgACAAIABOAG8AdABQAHIAZQBzAGUAbgB0AD8ALAAgACAAIAAgACAATgBPAFQAKABIAEEAUwBBAEwATAAoAG0AYQB0AGMAaABfAGEAcgByAGEAeQBfADIARAAsAGwAbwBvAGsAdQBwAF8AawBlAHIAbgBlAGwAKQApACwAXABuAFwAbgAgACAAIAAgAC8ALwAgAEwAbwBnAGkAYwAgAGcAYQB0AGUAXABuACAAIAAgACAAIAAgACAAIABJAEYAKABCAGEAZABLAGUAcgBuAGUAbAA/ACwAIwBOAC8AQQAsAFwAbgBcAG4AIAAgACAAIAAgACAAIAAgACAAIAAgACAAIAAgACAAIABJAEYAKABOAG8AdABQAHIAZQBzAGUAbgB0AD8ALAAjAE4ALwBBACwAXABuAFwAbgBMAEUAVAAoAFwAbgAgACAAIAAgAC8ALwAgAEwAbwBjAGEAdABpAG8AbgBcAG4AIAAgACAAIABNAGEAdABjAGgASwBlAHIAbgBlAGwAuwMsAEwAQQBNAEIARABBACgAdgAsAEEATgBEACgARgBMAEEAVABUAEUATgAoAHYAKQAgAD0AIABsAG8AbwBrAHUAcABfAGsAZQByAG4AZQBsACkAKQAsAFwAbgAgACAAIAAgAEYAbwB1AG4AZAA/ACwAIAAgACAAIAAgACAAQwBvAG4AdgBvAGwAdgBlALsDKABtAGEAdABjAGgAXwBhAHIAcgBhAHkAXwAyAEQALABsAG8AbwBrAHUAcABfAGsAZQByAG4AZQBsACwATQBhAHQAYwBoAEsAZQByAG4AZQBsALsDKQAsACAAIABcAG4AIAAgACAAIABGAG8AdQBuAGQAMQBEAD8ALAAgACAAIAAgAE8AUgAoAFIATwBXAFMAKABGAG8AdQBuAGQAPwApACAAPQAgADEALABDAE8ATABVAE0ATgBTACgARgBvAHUAbgBkAD8AKQAgAD0AIAAxACkALAAgACAAXABuACAAIAAgACAATgBvAHQARgBvAHUAbgBkAD8ALAAgACAAIABOAE8AVAAoAE8AUgAoAEYAbwB1AG4AZAA/ACkAKQAsACAAXABuAFwAbgAgACAAIAAgAC8ALwAgAEkAbgBkAGkAYwBlAHMAXABuACAAIAAgACAAaQAsACAAIAAgACAAIAAgACAAIAAgACAAIABJAEYAKABGAG8AdQBuAGQAMQBEAD8ALABYAE0AQQBUAEMASAAoAFQAUgBVAEUALABGAG8AdQBuAGQAPwApACwAXABuACAAIAAgACAAIAAgACAAIAAgACAAIAAgACAAIAAgACAAIAAgACAAIAAgACAAIAAgACAAIAAgACAAIABHAHIAaQBkAEwAbwBvAGsAdQBwALsDKABUAFIAVQBFACwARgBvAHUAbgBkAD8ALABNAEcAcgBpAGQAuwMoAEYAbwB1AG4AZAA/ACkAKQApACwAXABuAFwAbgAgACAAIAAgAGoALAAgACAAIAAgACAAIAAgACAAIAAgACAASQBGACgARgBvAHUAbgBkADEARAA/ACwAMQAsAEcAcgBpAGQATABvAG8AawB1AHAAuwMoAFQAUgBVAEUALABGAG8AdQBuAGQAPwAsAE0ARwByAGkAZAC7AygARgBvAHUAbgBkAD8ALAAxACkAKQApACwAXABuAFwAbgAgACAAIAAgAC8ALwAgAEMAbwBvAHIAZABpAG4AYQB0AGUAcwAgAGYAcgBvAG0AIABpAC8AagAgAG0AYQB0AGMAaAAgAHAAbwBpAG4AdABcAG4AIAAgACAAIABxACwAIAAgACAAIAAgACAAIAAgACAAIAAgAFEAdQBhAGQAdwBpAHMAZQC7AygAaQAsAGoALABTAEUAUQBVAEUATgBDAEUAKABoAGUAaQBnAGgAdACCICwALAAwACwAMQApACwAUwBFAFEAVQBFAE4AQwBFACgAdwBpAGQAdABoAIIgLAAsADAALAAxACkAKQAsAFwAbgBcAG4AIAAgACAAIAAvAC8AIABGAHUAbABsACAAYwBvAG8AcgBkAGkAbgBhAHQAZQBzACAAZgBvAHIAIAAyAEQAIABrAGUAcgBuAGUAbAAgAG0AYQB0AGMAaABcAG4AIAAgACAAIABmAGkAbgBhAGwALAAgACAAIAAgACAAIAAgAEgAUwBUAEEAQwBLACgAVABBAEsARQAoAHEALAAsADEAKQAgACsAIABDAEgATwBPAFMARQBDAE8ATABTACgAcQAsADMAKQAsAFwAbgAgACAAIAAgACAAIAAgACAAIAAgACAAIAAgACAAIAAgACAAIAAgACAAIAAgACAAIABDAEgATwBPAFMARQBDAE8ATABTACgAcQAsADIAKQAgACsAIABUAEEASwBFACgAcQAsACwALQAxACkAKQAsAFwAbgBcAG4AIAAgACAAIABmAGkAbgBhAGwAXABuAFwAbgApACkAKQApACkAOwBcAG4AXABuAFwAbgBcAG4ALwAqAFsAVABCAEQAXQAtAC0ALQAtAC0ALQAtAC0ALQAtAC0ALQAtAC0ALQAtAC0ALQAtAC0ALQAtAC0ALQAtAC0ALQAtAC0ALQAtAC0ALQAtAC0ALQAtAC0ALQAtAC0ALQAtAC0ALQAtAC0ALQAtAC0ALQAtAC0ALQAtAC0ALQAtAC0ALQAtAC0ALQAtAC0ALQAtAC0ALQAtAC0ALQAtAC0ALQAtAC0ALQBcAG4ARgB1AG4AYwB0AGkAbwBuADoAIAAgACAAIAAgAFYAUwBwAGwAaQB0ALsDXABuAEMAYQB0AGUAZwBvAHIAeQA6ACAAIAAgACAAIABUAEIARABcAG4AQQB1AHQAaABvAHIAOgAgACAAIAAgACAAIAAgAFAAYQB0AHIAaQBjAGsAIABIAC4AXABuAFYAZQByAHMAaQBvAG4AOgAgACAAIAAgACAAIAAxAC4AMQBcAG4AXABuAFwAbgBEAGUAcwBjAHIAaQBwAHQAaQBvAG4AOgBcAG4AIAAgACAAIABTAHAAbABpAHQAcwAgAGEAIAAyAEQAIABhAHIAcgBhAHkAIABpAG4AdABvACAAaABvAHIAaQB6AG8AbgB0AGEAbAAgAHIAbwB3ABEgcwBlAGcAbQBlAG4AdABzACAAbwBmACAAcwBpAHoAZQAgAHMAcABsAGkAdABfAGkAbgB0AGUAcgB2AGEAbAAuAFwAbgAgACAAIAAgAFQAaABlACAAcgBlAHMAdQBsAHQAIABpAHMAIABhAG4AIABhAHIAcgBhAHkAIABvAGYAIABsAGkAcwB0AHMALgBcAG4AXABuAFAAYQByAGEAbQBlAHQAZQByAHMAOgBcAG4AIAAgACAAIABhAHIAcgBhAHkAIAAgACAAIAAgACAAIAAgACAALQAgAEEAIAAxAEQAIABvAHIAIAAyAEQAIABhAHIAcgBhAHkAIAB3AGgAbwBzAGUAIABkAGkAbQBlAG4AcwBpAG8AbgBzACAAZABlAHQAZQByAG0AaQBuAGUAIAB0AGgAZQAgAG8AdQB0AHAAdQB0ACAAcwBpAHoAZQAuAFwAbgAgACAAIAAgAHMAcABsAGkAdABfAGkAbgB0AGUAcgB2AGEAbAAgAC0AIABBAG4AIABpAG4AdABlAGcAZQByACAAZABlAHMAaQBnAG4AYQB0AGkAbgBnACAAdABvAHQAYQBsACAAcgBvAHcAIABpAG4AIABlAGEAYwBoACAAcwBlAGcAbQBlAG4AdABcAG4AXABuAE8AcAB0AGkAbwBuAGEAbABcAG4AIAAgACAAIABbAHAAYQBkAF8AdwBpAHQAaABdACAAIAAgACAALQAgAEYAaQBsAGwAIAB2AGEAbAB1AGUAIAB1AHMAZQBkACAAdABvACAAcABhAGQAIABlAHgAcABhAG4AZABlAGQAIABhAHIAcgBhAHkAcwAgAGkAbgB0AG8AIABlAHEAdQBhAGwAIABzAGUAZwBtAGUAbgB0AHMALgBcAG4AIAAgACAAIAAgACAAIAAgACAAIAAgACAAIAAgACAAIAAgACAAIAAgAEkAZgAgAG8AbQBpAHQAdABlAGQALAAgAGQAZQBmAGEAdQBsAHQAIAA9ACAAIwBOAC8AQQBcAG4ALQAtAC0ALQAtAC0ALQAtAC0ALQAtAC0ALQAtAC0ALQAtAC0ALQAtAC0ALQAtAC0ALQAtAC0ALQAtAC0ALQAtAC0ALQAtAC0ALQAtAC0ALQAtAC0ALQAtAC0ALQAtAC0ALQAtAC0ALQAtAC0ALQAtAC0ALQAtAC0ALQAtAC0ALQAtAC0ALQAtAC0ALQAtAC0ALQAtAC0ALQAtAC0AKgAvAFwAbgBcAG4AVgBTAHAAbABpAHQAuwM9AFwAbgBMAEEATQBCAEQAQQAoAFwAbgAgACAAIAAgAGEAcgByAGEAeQAsAFwAbgAgACAAIAAgAHMAcABsAGkAdABfAGkAbgB0AGUAcgB2AGEAbAAsAFwAbgAgACAAIAAgAFsAcABhAGQAXwB3AGkAdABoAF0ALABcAG4ATABFAFQAKABcAG4AIAAgACAAIAAvAC8AIABEAGkAbQBlAG4AcwBpAG8AbgBzAFwAbgAgACAAIAAgAGgAZQBpAGcAaAB0ACwAIAAgACAAIAAgACAAIAAgACAAUgBPAFcAUwAoAGEAcgByAGEAeQApACwAXABuACAAIAAgACAAdwBpAGQAdABoACwAIAAgACAAIAAgACAAIAAgACAAIABDAE8ATABVAE0ATgBTACgAYQByAHIAYQB5ACkALABcAG4AXABuACAAIAAgACAALwAvACAATgBvAHIAbQBhAGwAaQB6AGUAIABzAHAAbABpAHQAXwBpAG4AdABlAHIAdgBhAGwAXABuACAAIAAgACAAcwBwAGwAaQB0AF8AaQBuAHQAZQByAHYAYQBsACwAIABJAE4ARABFAFgAKABzAHAAbABpAHQAXwBpAG4AdABlAHIAdgBhAGwALAAxACwAMQApACwAXABuAFwAbgAgACAAIAAgAC8ALwAgAFMAYwBlAG4AYQByAGkAbwBzAFwAbgAgACAAIAAgAEkAcwBTAGMAYQBsAGEAcgA/ACwAIAAgACAAIAAgACAAQQBOAEQAKABoAGUAaQBnAGgAdAAgAD0AIAAxACwAdwBpAGQAdABoACAAPQAgADEAKQAsAFwAbgAgACAAIAAgAEkAcwAxAHgATgA/ACwAIAAgACAAIAAgACAAIAAgACAAaABlAGkAZwBoAHQAIAA9ACAAMQAsAFwAbgAgACAAIAAgAEkAbgB2AGEAbABpAGQAUwBwAGwAaQB0AD8ALAAgACAATwBSACgASQBTAFQARQBYAFQAKABzAHAAbABpAHQAXwBpAG4AdABlAHIAdgBhAGwAKQAsAHMAcABsAGkAdABfAGkAbgB0AGUAcgB2AGEAbAAgADwAPQAgADAAKQAsAFwAbgBcAG4AIAAgACAAIABJAEYAKABPAFIAKABJAHMAUwBjAGEAbABhAHIAPwAsAEkAcwAxAHgATgA/ACkALAB7AGEAcgByAGEAeQB9ACwAXABuACAAIAAgACAAIAAgACAAIAAgACAAIAAgAFwAbgAgACAAIAAgACAAIAAgACAAIAAgACAAIABJAEYAKABJAG4AdgBhAGwAaQBkAFMAcABsAGkAdAA/ACwAIwBWAEEATABVAEUAIQAsAFwAbgBMAEUAVAAoAFwAbgAgACAAIAAgAC8ALwAgAFAAYQBkACAAYQByAHIAYQB5ACAAdABvACAAcAByAGUAdgBlAG4AdAAgAHUAbgBlAHYAZQBuACAAcABhAHIAdABpAHQAaQBvAG4AcwBcAG4AIAAgACAAIABwAGEAZABfAHcAaQB0AGgALAAgACAAIAAgACAASQBGACgASQBTAE8ATQBJAFQAVABFAEQAKABwAGEAZABfAHcAaQB0AGgAKQAsAE4AQQAoACkALABJAE4ARABFAFgAKABwAGEAZABfAHcAaQB0AGgALAAxACwAMQApACkALABcAG4AIAAgACAAIABQAGEAZABSAG8AdwBzACwAIAAgACAAIAAgACAATQBPAEQAKAAtAGgAZQBpAGcAaAB0ACwAcwBwAGwAaQB0AF8AaQBuAHQAZQByAHYAYQBsACkALABcAG4AIAAgACAAIABuAGUAdwBfAGEAcgByAGEAeQAsACAAIAAgACAARQBYAFAAQQBOAEQAKABhAHIAcgBhAHkALABoAGUAaQBnAGgAdAAgACsAIABQAGEAZABSAG8AdwBzACwALABwAGEAZABfAHcAaQB0AGgAKQAsAFwAbgBcAG4AIAAgACAAIAAvAC8AIABBAG4AYwBoAG8AcgBzACAAKwAgAHIAbwB3ACAAYQBkAGoAdQBzAHQAbQBlAG4AdABzAFwAbgAgACAAIAAgAGEAbgBjAGgAbwByAHMALAAgACAAIAAgACAAIABTAEUAUQBVAEUATgBDAEUAKAAoAFAAYQBkAFIAbwB3AHMAIAArACAAaABlAGkAZwBoAHQAKQAgAC8AIABzAHAAbABpAHQAXwBpAG4AdABlAHIAdgBhAGwALAAsADEALABzAHAAbABpAHQAXwBpAG4AdABlAHIAdgBhAGwAKQAsAFwAbgAgACAAIAAgAHMAdABlAHAALAAgACAAIAAgACAAIAAgACAAIABTAEUAUQBVAEUATgBDAEUAKABzAHAAbABpAHQAXwBpAG4AdABlAHIAdgBhAGwALAAsADAAKQAsAFwAbgBcAG4AIAAgACAAIAAvAC8AIABTAHAAbABpAHQAIABtAGEAdAByAGkAeAAgAGkAbgB0AG8AIABwAGEAcgB0AHMAXABuACAAIAAgACAAUABhAHIAdAC7AywAIAAgACAAIAAgACAAIAAgAEwAQQBNAEIARABBACgAXABuACAAIAAgACAAIAAgACAAIAAgACAAIAAgACAAIAAgACAAIAAgACAAIABpAGQAeAAsAFwAbgAgACAAIAAgACAAIAAgACAAIAAgACAAIAAgACAAIAAgACAAIABMAEUAVAAoAFwAbgAgACAAIAAgACAAIAAgACAAIAAgACAAIAAgACAAIAAgACAAIAAgACAAcgAsACAAIAAgACAAIABpAGQAeAAgACsAIABzAHQAZQBwACwAXABuACAAIAAgACAAIAAgACAAIAAgACAAIAAgACAAIAAgACAAIAAgACAAIABwAGEAcgB0ACwAIAAgAEMASABPAE8AUwBFAFIATwBXAFMAKABuAGUAdwBfAGEAcgByAGEAeQAsAHIAKQAsAFwAbgAgACAAIAAgACAAIAAgACAAIAAgACAAIAAgACAAIAAgACAAIAAgACAAcABhAHIAdAApACkALABcAG4AXABuACAAIAAgACAALwAvACAAUgBlAHQAdQByAG4AIABhAHMAIABsAGkAcwB0AHMAXABuACAAIAAgACAAbABpAHMAdABzACwAIAAgACAAIAAgACAAIAAgAE0AQQBQACgAYQBuAGMAaABvAHIAcwAsAFAAYQByAHQAuwMpACwAXABuACAAIAAgACAAbABpAHMAdABzAFwAbgApACkAKQApACkAOwBcAG4AXABuAFwAbgAvACoAWwBUAEIARABdAC0ALQAtAC0ALQAtAC0ALQAtAC0ALQAtAC0ALQAtAC0ALQAtAC0ALQAtAC0ALQAtAC0ALQAtAC0ALQAtAC0ALQAtAC0ALQAtAC0ALQAtAC0ALQAtAC0ALQAtAC0ALQAtAC0ALQAtAC0ALQAtAC0ALQAtAC0ALQAtAC0ALQAtAC0ALQAtAC0ALQAtAC0ALQAtAC0ALQAtAC0ALQAtAFwAbgBGAHUAbgBjAHQAaQBvAG4AOgAgACAAIAAgACAASABTAHAAbABpAHQAuwNcAG4AQwBhAHQAZQBnAG8AcgB5ADoAIAAgACAAIAAgAFQAQgBEAFwAbgBBAHUAdABoAG8AcgA6ACAAIAAgACAAIAAgACAAUABhAHQAcgBpAGMAawAgAEgALgBcAG4AVgBlAHIAcwBpAG8AbgA6ACAAIAAgACAAIAAgADEALgAxAFwAbgBcAG4AXABuAEQAZQBzAGMAcgBpAHAAdABpAG8AbgA6AFwAbgAgACAAIAAgAFMAcABsAGkAdABzACAAYQAgADIARAAgAGEAcgByAGEAeQAgAGkAbgB0AG8AIABoAG8AcgBpAHoAbwBuAHQAYQBsACAAYwBvAGwAdQBtAG4AESBzAGUAZwBtAGUAbgB0AHMAIABvAGYAIABzAGkAegBlACAAcwBwAGwAaQB0AF8AaQBuAHQAZQByAHYAYQBsAC4AXABuACAAIAAgACAAVABoAGUAIAByAGUAcwB1AGwAdAAgAGkAcwAgAGEAbgAgAGEAcgByAGEAeQAgAG8AZgAgAGwAaQBzAHQAcwAuAFwAbgBcAG4AUABhAHIAYQBtAGUAdABlAHIAcwA6AFwAbgAgACAAIAAgAGEAcgByAGEAeQAgACAAIAAgACAAIAAgACAAIAAtACAAQQAgADEARAAgAG8AcgAgADIARAAgAGEAcgByAGEAeQAgAHcAaABvAHMAZQAgAGQAaQBtAGUAbgBzAGkAbwBuAHMAIABkAGUAdABlAHIAbQBpAG4AZQAgAHQAaABlACAAbwB1AHQAcAB1AHQAIABzAGkAegBlAC4AXABuACAAIAAgACAAcwBwAGwAaQB0AF8AaQBuAHQAZQByAHYAYQBsACAALQAgAEEAbgAgAGkAbgB0AGUAZwBlAHIAIABkAGUAcwBpAGcAbgBhAHQAaQBuAGcAIAB0AG8AdABhAGwAIABjAG8AbAB1AG0AbgBzACAAaQBuACAAZQBhAGMAaAAgAHMAZQBnAG0AZQBuAHQAXABuAFwAbgBPAHAAdABpAG8AbgBhAGwAXABuACAAIAAgACAAWwBwAGEAZABfAHcAaQB0AGgAXQAgACAAIAAgAC0AIABGAGkAbABsACAAdgBhAGwAdQBlACAAdQBzAGUAZAAgAHQAbwAgAHAAYQBkACAAZQB4AHAAYQBuAGQAZQBkACAAYQByAHIAYQB5AHMAIABpAG4AdABvACAAZQBxAHUAYQBsACAAcwBlAGcAbQBlAG4AdABzAC4AXABuACAAIAAgACAAIAAgACAAIAAgACAAIAAgACAAIAAgACAAIAAgACAAIABJAGYAIABvAG0AaQB0AHQAZQBkACwAIABkAGUAZgBhAHUAbAB0ACAAPQAgACMATgAvAEEAXABuAC0ALQAtAC0ALQAtAC0ALQAtAC0ALQAtAC0ALQAtAC0ALQAtAC0ALQAtAC0ALQAtAC0ALQAtAC0ALQAtAC0ALQAtAC0ALQAtAC0ALQAtAC0ALQAtAC0ALQAtAC0ALQAtAC0ALQAtAC0ALQAtAC0ALQAtAC0ALQAtAC0ALQAtAC0ALQAtAC0ALQAtAC0ALQAtAC0ALQAtAC0ALQAtACoALwBcAG4ASABTAHAAbABpAHQAuwM9AFwAbgBMAEEATQBCAEQAQQAoAFwAbgAgACAAIAAgAGEAcgByAGEAeQAsAFwAbgAgACAAIAAgAHMAcABsAGkAdABfAGkAbgB0AGUAcgB2AGEAbAAsAFwAbgAgACAAIAAgAFsAcABhAGQAXwB3AGkAdABoAF0ALABcAG4ATABFAFQAKABcAG4AIAAgACAAIAAvAC8AIABEAGkAbQBlAG4AcwBpAG8AbgBzAFwAbgAgACAAIAAgAGgAZQBpAGcAaAB0ACwAIAAgACAAIAAgACAAIAAgACAAUgBPAFcAUwAoAGEAcgByAGEAeQApACwAXABuACAAIAAgACAAdwBpAGQAdABoACwAIAAgACAAIAAgACAAIAAgACAAIABDAE8ATABVAE0ATgBTACgAYQByAHIAYQB5ACkALABcAG4AXABuACAAIAAgACAALwAvACAATgBvAHIAbQBhAGwAaQB6AGUAIABzAHAAbABpAHQAXwBpAG4AdABlAHIAdgBhAGwAXABuACAAIAAgACAAcwBwAGwAaQB0AF8AaQBuAHQAZQByAHYAYQBsACwAIABJAE4ARABFAFgAKABzAHAAbABpAHQAXwBpAG4AdABlAHIAdgBhAGwALAAxACwAMQApACwAXABuAFwAbgAgACAAIAAgAC8ALwAgAFMAYwBlAG4AYQByAGkAbwBzAFwAbgAgACAAIAAgAEkAcwBTAGMAYQBsAGEAcgA/ACwAIAAgACAAIAAgACAAQQBOAEQAKABoAGUAaQBnAGgAdAAgAD0AIAAxACwAdwBpAGQAdABoACAAPQAgADEAKQAsAFwAbgAgACAAIAAgAEkAcwBOAHgAMQA/ACwAIAAgACAAIAAgACAAIAAgACAAdwBpAGQAdABoACAAPQAgADEALABcAG4AIAAgACAAIABJAG4AdgBhAGwAaQBkAFMAcABsAGkAdAA/ACwAIAAgAE8AUgAoAEkAUwBUAEUAWABUACgAcwBwAGwAaQB0AF8AaQBuAHQAZQByAHYAYQBsACkALABzAHAAbABpAHQAXwBpAG4AdABlAHIAdgBhAGwAIAA8AD0AIAAwACkALABcAG4AXABuACAAIAAgACAASQBGACgATwBSACgASQBzAFMAYwBhAGwAYQByAD8ALABJAHMATgB4ADEAPwApACwAewBhAHIAcgBhAHkAfQAsAFwAbgAgACAAIAAgACAAIAAgACAAIAAgACAAIABcAG4AIAAgACAAIAAgACAAIAAgACAAIAAgACAASQBGACgASQBuAHYAYQBsAGkAZABTAHAAbABpAHQAPwAsACMAVgBBAEwAVQBFACEALABcAG4ATABFAFQAKABcAG4AIAAgACAAIAAvAC8AIABQAGEAZAAgAGEAcgByAGEAeQAgAHQAbwAgAHAAcgBlAHYAZQBuAHQAIAB1AG4AZQB2AGUAbgAgAHAAYQByAHQAaQB0AGkAbwBuAHMAXABuACAAIAAgACAAcABhAGQAXwB3AGkAdABoACwAIAAgACAAIAAgAEkARgAoAEkAUwBPAE0ASQBUAFQARQBEACgAcABhAGQAXwB3AGkAdABoACkALABOAEEAKAApACwASQBOAEQARQBYACgAcABhAGQAXwB3AGkAdABoACwAMQAsADEAKQApACwAXABuACAAIAAgACAAUABhAGQAQwBvAGwAcwAsACAAIAAgACAAIAAgAE0ATwBEACgALQB3AGkAZAB0AGgALABzAHAAbABpAHQAXwBpAG4AdABlAHIAdgBhAGwAKQAsAFwAbgAgACAAIAAgAG4AZQB3AF8AYQByAHIAYQB5ACwAIAAgACAAIABFAFgAUABBAE4ARAAoAGEAcgByAGEAeQAsACwAdwBpAGQAdABoACAAKwAgAFAAYQBkAEMAbwBsAHMALABwAGEAZABfAHcAaQB0AGgAKQAsAFwAbgBcAG4AIAAgACAAIAAvAC8AIABBAG4AYwBoAG8AcgBzACAAKwAgAHIAbwB3ACAAYQBkAGoAdQBzAHQAbQBlAG4AdABzAFwAbgAgACAAIAAgAGEAbgBjAGgAbwByAHMALAAgACAAIAAgACAAIABTAEUAUQBVAEUATgBDAEUAKAAsACgAUABhAGQAQwBvAGwAcwAgACsAIAB3AGkAZAB0AGgAKQAgAC8AIABzAHAAbABpAHQAXwBpAG4AdABlAHIAdgBhAGwALAAxACwAcwBwAGwAaQB0AF8AaQBuAHQAZQByAHYAYQBsACkALABcAG4AIAAgACAAIABzAHQAZQBwACwAIAAgACAAIAAgACAAIAAgACAAUwBFAFEAVQBFAE4AQwBFACgAcwBwAGwAaQB0AF8AaQBuAHQAZQByAHYAYQBsACwALAAwACkALABcAG4AXABuACAAIAAgACAALwAvACAAUwBwAGwAaQB0ACAAbQBhAHQAcgBpAHgAIABpAG4AdABvACAAcABhAHIAdABzAFwAbgAgACAAIAAgAFAAYQByAHQAuwMsACAAIAAgACAAIAAgACAAIABMAEEATQBCAEQAQQAoAFwAbgAgACAAIAAgACAAIAAgACAAIAAgACAAIAAgACAAIAAgACAAIAAgACAAaQBkAHgALABcAG4AIAAgACAAIAAgACAAIAAgACAAIAAgACAAIAAgACAAIAAgACAATABFAFQAKABcAG4AIAAgACAAIAAgACAAIAAgACAAIAAgACAAIAAgACAAIAAgACAAIAAgAHIALAAgACAAIAAgACAAaQBkAHgAIAArACAAcwB0AGUAcAAsAFwAbgAgACAAIAAgACAAIAAgACAAIAAgACAAIAAgACAAIAAgACAAIAAgACAAcABhAHIAdAAsACAAIABDAEgATwBPAFMARQBDAE8ATABTACgAbgBlAHcAXwBhAHIAcgBhAHkALAByACkALABcAG4AIAAgACAAIAAgACAAIAAgACAAIAAgACAAIAAgACAAIAAgACAAIAAgAHAAYQByAHQAKQApACwAXABuAFwAbgAgACAAIAAgAC8ALwAgAFIAZQB0AHUAcgBuACAAYQBzACAAbABpAHMAdABzAFwAbgAgACAAIAAgAGwAaQBzAHQAcwAsACAAIAAgACAAIAAgACAAIABNAEEAUAAoAGEAbgBjAGgAbwByAHMALABQAGEAcgB0ALsDKQAsAFwAbgAgACAAIAAgAGwAaQBzAHQAcwBcAG4AKQApACkAKQApADsAXABuAFwAbgBcAG4AXABuAC8ALwAgAFUAbgBjAGgAYQBuAGcAZQBkACAAZgB1AG4AYwB0AGkAbwBuAHMAIABjAGEAbABsAGUAZAAgAGIAeQAgAHQAaABlACAAZgB1AG4AYwB0AGkAbwBuAHMAIABhAGIAbwB2AGUALgBcAG4AXABuAC8AKgBbAEcAVwAwADMAXQAtAC0ALQAtAC0ALQAtAC0ALQAtAC0ALQAtAC0ALQAtAC0ALQAtAC0ALQAtAC0ALQAtAC0ALQAtAC0ALQAtAC0ALQAtAC0ALQAtAC0ALQAtAC0ALQAtAC0ALQAtAC0ALQAtAC0ALQAtAC0ALQAtAC0ALQAtAC0ALQAtAC0ALQAtAC0ALQAtAC0ALQAtAC0ALQAtAC0ALQAtAC0ALQBcAG4ARgB1AG4AYwB0AGkAbwBuADoAIAAgACAAIAAgAE0ARwByAGkAZAC7A1wAbgBDAGEAdABlAGcAbwByAHkAOgAgACAAIAAgACAARwByAGkAZAB3AG8AcgBrAFwAbgBBAHUAdABoAG8AcgA6ACAAIAAgACAAIAAgACAAUABhAHQAcgBpAGMAawAgAEgALgBcAG4AVgBlAHIAcwBpAG8AbgA6ACAAIAAgACAAIAAgADEALgAxAFwAbgBEAGUAcABlAG4AZABlAG4AYwBpAGUAcwA6ACAAUgBlAHMAaQB6AGUAuwNcAG4AXABuAEQAZQBzAGMAcgBpAHAAdABpAG8AbgA6AFwAbgAgACAAIAAgAEcAZQBuAGUAcgBhAHQAZQBzACAAcgBvAHcAESBpAG4AZABlAHgAIABvAHIAIABjAG8AbAB1AG0AbgARIGkAbgBkAGUAeAAgAGcAcgBpAGQAcwAgAG0AYQB0AGMAaABpAG4AZwAgAHQAaABlACAAcwBoAGEAcABlACAAbwBmACAAYQAgAHMAdQBwAHAAbABpAGUAZABcAG4AIAAgACAAIABhAHIAcgBhAHkALgAgAFQAaABpAHMAIABpAHMAIAB0AGgAZQAgAEUAeABjAGUAbAAgAGUAcQB1AGkAdgBhAGwAZQBuAHQAIABvAGYAIABNAEEAVABMAEEAQgAZIHMAIABtAGUAcwBoAGcAcgBpAGQAIABvAHIAIABOAHUAbQBQAHkAGSBzACAAaQBuAGQAaQBjAGUAcwAuAFwAbgBcAG4AIAAgACAAIABCAHkAIABkAGUAZgBhAHUAbAB0ACwAIABNAEcAcgBpAGQAuwMgAHIAZQB0AHUAcgBuAHMAIAByAG8AdwAgAGkAbgBkAGkAYwBlAHMALgAgAFcAaABlAG4AIAB0AGgAZQAgAG8AcAB0AGkAbwBuAGEAbAAgAHAAYQByAGEAbQBlAHQAZQByACAAaQBzACAAVABSAFUARQAsAFwAbgAgACAAIAAgAGkAdAAgAHIAZQB0AHUAcgBuAHMAIABjAG8AbAB1AG0AbgAgAGkAbgBkAGkAYwBlAHMAIABpAG4AcwB0AGUAYQBkAC4AXABuAFwAbgAgACAAIAAgAFcAbwByAGsAcwAgAGYAbwByACAAYgBvAHQAaAAgADEARAAgAGEAbgBkACAAMgBEACAAYQByAHIAYQB5AHMALgAgAE8AdQB0AHAAdQB0ACAAYQBsAHcAYQB5AHMAIABtAGEAdABjAGgAZQBzACAAdABoAGUAIABnAGUAbwBtAGUAdAByAHkAIABvAGYAIAB0AGgAZQBcAG4AIAAgACAAIABpAG4AcAB1AHQAIABnAHIAaQBkAC4AXABuAFwAbgBQAGEAcgBhAG0AZQB0AGUAcgBzADoAXABuACAAIAAgACAAZwByAGkAZAAgACAAIAAgACAAIAAgACAALQAgAEEAIAAxAEQAIABvAHIAIAAyAEQAIABhAHIAcgBhAHkAIAB3AGgAbwBzAGUAIABkAGkAbQBlAG4AcwBpAG8AbgBzACAAZABlAHQAZQByAG0AaQBuAGUAIAB0AGgAZQAgAG8AdQB0AHAAdQB0ACAAcwBpAHoAZQAuAFwAbgAtAC0ALQAtAC0ALQAtAC0ALQAtAC0ALQAtAC0ALQAtAC0ALQAtAC0ALQAtAC0ALQAtAC0ALQAtAC0ALQAtAC0ALQAtAC0ALQAtAC0ALQAtAC0ALQAtAC0ALQAtAC0ALQAtAC0ALQAtAC0ALQAtAC0ALQAtAC0ALQAtAC0ALQAtAC0ALQAtAC0ALQAtAC0ALQAtAC0ALQAtAC0ALQAqAC8AXABuAFwAbgBN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aQBuAGQAZQB4ACAAZwByAGkAZABzAFwAbgAgACAAIAAgAGkALAAgACAAIAAgACAAIAAgAEwAQQBNAEIARABBACgAUgBlAHMAaQB6AGUAuwMoAFMARQBRAFUARQBOAEMARQAoAGgAKQAsACwAdwApACkALABcAG4AIAAgACAAIABqACwAIAAgACAAIAAgACAAIABMAEEATQBCAEQAQQAoAFIAZQBzAGkAegBlALsDKABTAEUAUQBVAEUATgBDAEUAKAAsAHcAKQAsAGgAKQApACwAXABuAFwAbgAgACAAIAAgAC8ALwAgAFMAZQBsAGUAYwB0ACAAcgBvAHcAIABvAHIAIABjAG8AbAB1AG0AbgAgAGkAbgBkAGUAeAAgAGcAcgBpAGQAXABuACAAIAAgACAAcgBlAHMAdQBsAHQALAAgACAASQBGACgAUgBvAHcASQBkAHgAPwAsACAAaQAoACkALAAgAGoAKAApACkALABcAG4AXABuACAAIAAgACAAcgBlAHMAdQBsAHQAXABuACkAKQA7AFwAbgBcAG4AXABuAFwAbgAvACoAIABbAFQAQgBEAF0AIAAtAC0ALQAtAC0ALQAtAC0ALQAtAC0ALQAtAC0ALQAtAC0ALQAtAC0ALQAtAC0ALQAtAC0ALQAtAC0ALQAtAC0ALQAtAC0ALQAtAC0ALQAtAC0ALQAtAC0ALQAtAC0ALQAtAC0ALQAtAC0ALQAtAC0ALQAtAC0ALQAtAC0ALQAtAC0ALQAtAC0ALQAtAC0ALQAtAFwAbgBGAHUAbgBjAHQAaQBvAG4AOgAgACAAIAAgACAAUgBlAHAAZQBhAHQAUgBvAHcAcwC7A1wAbgBDAGEAdABlAGcAbwByAHkAOgAgACAAIAAgACAAVABCAEQAXABuAEEAdQB0AGgAbwByADoAIAAgACAAIAAgACAAIABQAGEAdAByAGkAYwBrACAASAAuAFwAbgBWAGUAcgBzAGkAbwBuADoAIAAgACAAIAAgACAAMQAuADEAXABuAFwAbgBEAGUAcwBjAHIAaQBwAHQAaQBvAG4AOgBcAG4AIAAgACAAIABSAGUAcABlAGEAdABzACAAZQBhAGMAaAAgAHIAbwB3ACAAbwBmACAAYQAgAHMAdQBwAHAAbABpAGUAZAAgAGEAcgByAGEAeQAgAGEAYwBjAG8AcgBkAGkAbgBnACAAdABvACAAYQAgAHYAZQBjAHQAbwByACAAbwBmACAAcgBlAHAAZQBhAHQAXABuACAAIAAgACAAYwBvAHUAbgB0AHMALgAgAFMAYwBhAGwAYQByAHMAIABhAG4AZAAgAGEAcgByAGEAeQBzACAAYQByAGUAIABzAHUAcABwAG8AcgB0AGUAZAAuACAAUgBlAHAAZQBhAHQAIABjAG8AdQBuAHQAcwAgAG0AdQBzAHQAIABiAGUAIABuAHUAbQBlAHIAaQBjAFwAbgAgACAAIAAgAGEAbgBkACAAZSIgADEALgBcAG4AXABuAFAAYQByAGEAbQBlAHQAZQByAHMAOgBcAG4AIAAgACAAIABhAHIAcgBhAHkAIAAgACAAIAAtACAAMgBEACAAYQByAHIAYQB5ACAAdwBoAG8AcwBlACAAcgBvAHcAcwAgAHcAaQBsAGwAIABiAGUAIAByAGUAcABlAGEAdABlAGQALgBcAG4AIAAgACAAIAByAGUAcABlAGEAdAAgACAAIAAtACAAMQBEACAAYQByAHIAYQB5ACAAbwBmACAAcgBlAHAAZQBhAHQAIABjAG8AdQBuAHQAcwAgACgAbgB1AG0AZQByAGkAYwAsACAAZSIgADEAKQAuAFwAbgBcAG4ATgBvAHQAZQBzADoAXABuACAAIAAgACAAIiAgAEkAZgAgAHIAZQBwAGUAYQB0ACAAaABhAHMAIABmAGUAdwBlAHIAIABlAG4AdAByAGkAZQBzACAAdABoAGEAbgAgAHQAaABlACAAbgB1AG0AYgBlAHIAIABvAGYAIAByAG8AdwBzACwAIAB0AGgAZQAgAGwAYQBzAHQAIAByAGUAcABlAGEAdABcAG4AIAAgACAAIAAgACAAdgBhAGwAdQBlACAAaQBzACAAZQB4AHQAZQBuAGQAZQBkACAAdABvACAAbQBhAHQAYwBoACAAdABoAGUAIABhAHIAcgBhAHkAIABoAGUAaQBnAGgAdAAuAFwAbgAgACAAIAAgACIgIABPAHUAdABwAHUAdAAgAHAAcgBlAHMAZQByAHYAZQBzACAAdABoAGUAIABjAG8AbAB1AG0AbgAgAHMAdAByAHUAYwB0AHUAcgBlACAAbwBmACAAdABoAGUAIABpAG4AcAB1AHQAIABhAHIAcgBhAHkALgBcAG4ALQAtAC0ALQAtAC0ALQAtAC0ALQAtAC0ALQAtAC0ALQAtAC0ALQAtAC0ALQAtAC0ALQAtAC0ALQAtAC0ALQAtAC0ALQAtAC0ALQAtAC0ALQAtAC0ALQAtAC0ALQAtAC0ALQAtAC0ALQAtAC0ALQAtAC0ALQAtAC0ALQAtAC0ALQAtAC0ALQAtAC0ALQAtAC0ALQAtAC0ALQAtAC0AKgAvAFwAbgBcAG4AUgBlAHAAZQBhAHQAUgBvAHcAcwC7AyAAPQBcAG4ATABBAE0AQgBEAEEAKABcAG4AIAAgACAAIABhAHIAcgBhAHkALABcAG4AIAAgACAAIAByAGUAcABlAGEAdAAsAFwAbgBcAG4ASQBGACgATwBSACgASQBTAFQARQBYAFQAKAByAGUAcABlAGEAdAApACwAIAByAGUAcABlAGEAdAAgADwAPQAgADAAKQAsAFwAIgAjAFYAQQBMAFUARQAhAFwAIgAsAFwAbgBcAG4ATABFAFQAKABcAG4AIAAgACAAIAAvAC8AIABOAG8AcgBtAGEAbABpAHoAZQAgAHIAZQBwAGUAYQB0ACAAdgBlAGMAdABvAHIAXABuACAAIAAgACAAcgBlAHAAZQBhAHQALAAgACAAIAAgACAAIAAgACAAIABUAE8AQwBPAEwAKAByAGUAcABlAGEAdAApACwAXABuAFwAbgAgACAAIAAgAC8ALwAgAEQAaQBtAGUAbgBzAGkAbwBuAHMAXABuACAAIAAgACAAQQBoACwAIAAgACAAIAAgACAAIAAgACAAIAAgACAAIABSAE8AVwBTACgAYQByAHIAYQB5ACkALABcAG4AIAAgACAAIABSAGgALAAgACAAIAAgACAAIAAgACAAIAAgACAAIAAgAFIATwBXAFMAKAByAGUAcABlAGEAdAApACwAXABuAFwAbgAgACAAIAAgAC8ALwAgAEUAeAB0AGUAbgBkACAAcgBlAHAAZQBhAHQAIAB2AGUAYwB0AG8AcgAgAGkAZgAgAG4AZQBlAGQAZQBkAFwAbgAgACAAIAAgAHIALAAgACAAIAAgACAAIAAgACAAIAAgACAAIAAgACAASQBGACgAQQBoACAAPAA+ACAAUgBoACwAXABuACAAIAAgACAAIAAgACAAIAAgACAAIAAgACAAIAAgACAAIAAgACAAIAAgACAAIAAgAEUAWABQAEEATgBEACgAcgBlAHAAZQBhAHQALAAgAEEAaAAsACAALAAgAEAAVABBAEsARQAoAHIAZQBwAGUAYQB0ACwAIAAtADEAKQApACwAXABuACAAIAAgACAAIAAgACAAIAAgACAAIAAgACAAIAAgACAAIAAgACAAIAAgACAAIAAgAHIAZQBwAGUAYQB0ACkALABcAG4AXABuACAAIAAgACAALwAvACAAQgBhAHMAZQAgAHIAbwB3ACAAaQBuAGQAaQBjAGUAcwBcAG4AIAAgACAAIABpACwAIAAgACAAIAAgACAAIAAgACAAIAAgACAAIAAgAFMARQBRAFUARQBOAEMARQAoAFIATwBXAFMAKAByACkAKQAsAFwAbgBcAG4AIAAgACAAIAAvAC8AIABNAGEAeABpAG0AdQBtACAAcgBlAHAAZQBhAHQAIABjAG8AdQBuAHQAXABuACAAIAAgACAAbQAsACAAIAAgACAAIAAgACAAIAAgACAAIAAgACAAIABNAEEAWAAoAHIAKQAsAFwAbgBcAG4AIAAgACAAIAAvAC8AIABCAHUAaQBsAGQAIABpAG4AZABlAHgAIAB2AGUAYwB0AG8AcgBcAG4AIAAgACAAIABpAGQAeAAsACAAIAAgACAAIAAgACAAIAAgACAAIAAgAEwAQQBNAEIARABBACgAVABPAEMATwBMACgASQBGACgAUwBJAEcATgAoAHIAIAAtACAAUwBFAFEAVQBFAE4AQwBFACgALAAgAG0ALAAgADAAKQApACAAPQAgADEALABpACwATgBBACgAKQApACwAMgApACkALABcAG4AXABuACAAIAAgACAAZABlAGwAaQB2AGUAcgAsACAAIAAgACAAIAAgACAAIABDAEgATwBPAFMARQBSAE8AVwBTACgAYQByAHIAYQB5ACwAIABpAGQAeAAoACkAKQAsAFwAbgBcAG4AIAAgACAAIABkAGUAbABpAHYAZQByAFwAbgApACkAKQA7AFwAbgBcAG4AXABuAC8AKgAgAFsAVABCAEQAXQAgAC0ALQAtAC0ALQAtAC0ALQAtAC0ALQAtAC0ALQAtAC0ALQAtAC0ALQAtAC0ALQAtAC0ALQAtAC0ALQAtAC0ALQAtAC0ALQAtAC0ALQAtAC0ALQAtAC0ALQAtAC0ALQAtAC0ALQAtAC0ALQAtAC0ALQAtAC0ALQAtAC0ALQAtAC0ALQAtAC0ALQAtAC0ALQAtAC0AXABuAEYAdQBuAGMAdABpAG8AbgA6ACAAIAAgACAAIABSAGUAcABlAGEAdABDAG8AbABzALsDXABuAEMAYQB0AGUAZwBvAHIAeQA6ACAAIAAgACAAIABUAEIARABcAG4AQQB1AHQAaABvAHIAOgAgACAAIAAgACAAIAAgAFAAYQB0AHIAaQBjAGsAIABIAC4AXABuAFYAZQByAHMAaQBvAG4AOgAgACAAIAAgACAAIAAxAC4AMQBcAG4AXABuAEQAZQBzAGMAcgBpAHAAdABpAG8AbgA6AFwAbgAgACAAIAAgAFIAZQBwAGUAYQB0AHMAIABlAGEAYwBoACAAYwBvAGwAdQBtAG4AIABvAGYAIABhACAAcwB1AHAAcABsAGkAZQBkACAAYQByAHIAYQB5ACAAYQBjAGMAbwByAGQAaQBuAGcAIAB0AG8AIABhACAAdgBlAGMAdABvAHIAIABvAGYAIAByAGUAcABlAGEAdABcAG4AIAAgACAAIABjAG8AdQBuAHQAcwAuACAAUwBjAGEAbABhAHIAcwAgAGEAbgBkACAAYQByAHIAYQB5AHMAIABhAHIAZQAgAHMAdQBwAHAAbwByAHQAZQBkAC4AIABSAGUAcABlAGEAdAAgAGMAbwB1AG4AdABzACAAbQB1AHMAdAAgAGIAZQAgAG4AdQBtAGUAcgBpAGMAXABuACAAIAAgACAAYQBuAGQAIABlIiAAMQAuAFwAbgBcAG4AUABhAHIAYQBtAGUAdABlAHIAcwA6AFwAbgAgACAAIAAgAGEAcgByAGEAeQAgACAAIAAgAC0AIAAyAEQAIABhAHIAcgBhAHkAIAB3AGgAbwBzAGUAIABjAG8AbAB1AG0AbgBzACAAdwBpAGwAbAAgAGIAZQAgAHIAZQBwAGUAYQB0AGUAZAAuAFwAbgAgACAAIAAgAHIAZQBwAGUAYQB0ACAAIAAgAC0AIAAxAEQAIABhAHIAcgBhAHkAIABvAGYAIAByAGUAcABlAGEAdAAgAGMAbwB1AG4AdABzACAAKABuAHUAbQBlAHIAaQBjACwAIABlIiAAMQApAC4AXABuAFwAbgBOAG8AdABlAHMAOgBcAG4AIAAgACAAIAAiICAASQBmACAAcgBlAHAAZQBhAHQAIABoAGEAcwAgAGYAZQB3AGUAcgAgAGUAbgB0AHIAaQBlAHMAIAB0AGgAYQBuACAAdABoAGUAIABuAHUAbQBiAGUAcgAgAG8AZgAgAGMAbwBsAHUAbQBuAHMALAAgAHQAaABlACAAbABhAHMAdAAgAHIAZQBwAGUAYQB0AFwAbgAgACAAIAAgACAAIAB2AGEAbAB1AGUAIABpAHMAIABlAHgAdABlAG4AZABlAGQAIAB0AG8AIABtAGEAdABjAGgAIAB0AGgAZQAgAGEAcgByAGEAeQAgAHcAaQBkAHQAaAAuAFwAbgAgACAAIAAgACIgIABPAHUAdABwAHUAdAAgAHAAcgBlAHMAZQByAHYAZQBzACAAdABoAGUAIAByAG8AdwAgAHMAdAByAHUAYwB0AHUAcgBlACAAbwBmACAAdABoAGUAIABpAG4AcAB1AHQAIABhAHIAcgBhAHkALgBcAG4ALQAtAC0ALQAtAC0ALQAtAC0ALQAtAC0ALQAtAC0ALQAtAC0ALQAtAC0ALQAtAC0ALQAtAC0ALQAtAC0ALQAtAC0ALQAtAC0ALQAtAC0ALQAtAC0ALQAtAC0ALQAtAC0ALQAtAC0ALQAtAC0ALQAtAC0ALQAtAC0ALQAtAC0ALQAtAC0ALQAtAC0ALQAtAC0ALQAtAC0ALQAtAC0AKgAvAFwAbgBcAG4AUgBlAHAAZQBhAHQAQwBvAGwAcwC7AyAAPQBcAG4ATABBAE0AQgBEAEEAKABcAG4AIAAgACAAIABhAHIAcgBhAHkALABcAG4AIAAgACAAIAByAGUAcABlAGEAdAAsAFwAbgBcAG4ASQBGACgATwBSACgASQBTAFQARQBYAFQAKAByAGUAcABlAGEAdAApACwAIAByAGUAcABlAGEAdAAgADwAPQAgADAAKQAsAFwAIgAjAFYAQQBMAFUARQAhAFwAIgAsAFwAbgBcAG4ATABFAFQAKABcAG4AIAAgACAAIAAvAC8AIABOAG8AcgBtAGEAbABpAHoAZQAgAHIAZQBwAGUAYQB0ACAAdgBlAGMAdABvAHIAXABuACAAIAAgACAAcgBlAHAAZQBhAHQALAAgACAAIAAgACAAIAAgACAAIABUAE8AQwBPAEwAKAByAGUAcABlAGEAdAApACwAXABuAFwAbgAgACAAIAAgAC8ALwAgAEQAaQBtAGUAbgBzAGkAbwBuAHMAXABuACAAIAAgACAAQQB3ACwAIAAgACAAIAAgACAAIAAgACAAIAAgACAAIABDAE8ATABVAE0ATgBTACgAYQByAHIAYQB5ACkALABcAG4AIAAgACAAIABSAGgALAAgACAAIAAgACAAIAAgACAAIAAgACAAIAAgAFIATwBXAFMAKAByAGUAcABlAGEAdAApACwAXABuAFwAbgAgACAAIAAgAC8ALwAgAEUAeAB0AGUAbgBkACAAcgBlAHAAZQBhAHQAIAB2AGUAYwB0AG8AcgAgAGkAZgAgAG4AZQBlAGQAZQBkAFwAbgAgACAAIAAgAGMALAAgACAAIAAgACAAIAAgACAAIAAgACAAIAAgACAASQBGACgAQQB3ACAAPAA+ACAAUgBoACwAXABuACAAIAAgACAAIAAgACAAIAAgACAAIAAgACAAIAAgACAAIAAgACAAIAAgACAAIAAgAEUAWABQAEEATgBEACgAcgBlAHAAZQBhAHQALAAgAEEAdwAsACAALAAgAEAAVABBAEsARQAoAHIAZQBwAGUAYQB0ACwAIAAtADEAKQApACwAXABuACAAIAAgACAAIAAgACAAIAAgACAAIAAgACAAIAAgACAAIAAgACAAIAAgACAAIAAgAHIAZQBwAGUAYQB0ACkALABcAG4AXABuACAAIAAgACAALwAvACAAQgBhAHMAZQAgAGMAbwBsAHUAbQBuACAAaQBuAGQAaQBjAGUAcwBcAG4AIAAgACAAIABpACwAIAAgACAAIAAgACAAIAAgACAAIAAgACAAIAAgAFMARQBRAFUARQBOAEMARQAoAFIATwBXAFMAKABjACkAKQAsAFwAbgBcAG4AIAAgACAAIAAvAC8AIABNAGEAeABpAG0AdQBtACAAcgBlAHAAZQBhAHQAIABjAG8AdQBuAHQAXABuACAAIAAgACAAbQAsACAAIAAgACAAIAAgACAAIAAgACAAIAAgACAAIABNAEEAWAAoAGMAKQAsAFwAbgBcAG4AIAAgACAAIAAvAC8AIABCAHUAaQBsAGQAIABpAG4AZABlAHgAIAB2AGUAYwB0AG8AcgBcAG4AIAAgACAAIABpAGQAeAAsACAAIAAgACAAIAAgACAAIAAgACAAIAAgAEwAQQBNAEIARABBACgAVABPAEMATwBMACgASQBGACgAUwBJAEcATgAoAGMAIAAtACAAUwBFAFEAVQBFAE4AQwBFACgALAAgAG0ALAAgADAAKQApACAAPQAgADEALABpACwATgBBACgAKQApACwAMgApACkALABcAG4AXABuACAAIAAgACAAZABlAGwAaQB2AGUAcgAsACAAIAAgACAAIAAgACAAIABDAEgATwBPAFMARQBDAE8ATABTACgAYQByAHIAYQB5ACwAIABpAGQAeAAoACkAKQAsAFwAbgBcAG4AIAAgACAAIABkAGUAbABpAHYAZQByAFwAbgApACkAKQA7AFwAbgBcAG4AXABuAC8AKgAgAFsAVABCAEQAXQAgAC0ALQAtAC0ALQAtAC0ALQAtAC0ALQAtAC0ALQAtAC0ALQAtAC0ALQAtAC0ALQAtAC0ALQAtAC0ALQAtAC0ALQAtAC0ALQAtAC0ALQAtAC0ALQAtAC0ALQAtAC0ALQAtAC0ALQAtAC0ALQAtAC0ALQAtAC0ALQAtAC0ALQAtAC0ALQAtAC0ALQAtAC0ALQAtAC0AXABuAEYAdQBuAGMAdABpAG8AbgA6ACAAIAAgACAAIABSAGUAcwBpAHoAZQC7A1wAbgBDAGEAdABlAGcAbwByAHkAOgAgACAAIAAgACAAVABCAEQAXABuAEEAdQB0AGgAbwByADoAIAAgACAAIAAgACAAIABQAGEAdAByAGkAYwBrACAASAAuAFwAbgBWAGUAcgBzAGkAbwBuADoAIAAgACAAIAAgACAAMQAuADEAXABuAFwAbgBEAGUAcwBjAHIAaQBwAHQAaQBvAG4AOgBcAG4AIAAgACAAIABSAGUAcABlAGEAdABzACAAYQAgADIARAAgAGEAcgByAGEAeQAgAHYAZQByAHQAaQBjAGEAbABsAHkAIABhAG4AZAAvAG8AcgAgAGgAbwByAGkAegBvAG4AdABhAGwAbAB5ACAAYgB5ACAAaQBuAHQAZQBnAGUAcgAgAHIAZQBwAGUAYQB0ACAAYwBvAHUAbgB0AHMALgBcAG4AIAAgACAAIABVAHMAZQByAHMAIABtAGEAeQAgAHMAcABlAGMAaQBmAHkAIABoAGUAaQBnAGgAdAAsACAAdwBpAGQAdABoACwAIABvAHIAIABiAG8AdABoAC4AIABJAGYAIABlAGkAdABoAGUAcgAgAHAAYQByAGEAbQBlAHQAZQByACAAaQBzACAAbwBtAGkAdAB0AGUAZAAsAFwAbgAgACAAIAAgAHQAaABlACAAbwBtAGkAdAB0AGUAZAAgAGQAaQBtAGUAbgBzAGkAbwBuACAAZABlAGYAYQB1AGwAdABzACAAdABvACAAMQAuACAARwBlAG8AbQBlAHQAcgB5ACAAaQBzACAAcAByAGUAcwBlAHIAdgBlAGQAOwAgAG4AbwAgAGYAbABhAHQAdABlAG4AaQBuAGcAXABuACAAIAAgACAAbwBjAGMAdQByAHMALgBcAG4AXABuAEUAeABhAG0AcABsAGUAOgBcAG4AIAAgACAAIABJAG4AcAB1AHQAOgBcAG4AIAAgACAAIAAgACAAIAAgAHsAMQAsADIAOwBcAG4AIAAgACAAIAAgACAAIAAgACAAMwAsADQAfQBcAG4AXABuACAAIAAgACAAPQBSAGUAcwBpAHoAZQC7AygAYQByAHIAYQB5ACwAIAAyACwAIAAzACkAXABuAFwAbgAgACAAIAAgAE8AdQB0AHAAdQB0ADoAXABuACAAIAAgACAAIAAgACAAIAB7ADEALAAyACwAMQAsADIALAAxACwAMgA7AFwAbgAgACAAIAAgACAAIAAgACAAIAAzACwANAAsADMALAA0ACwAMwAsADQAOwBcAG4AIAAgACAAIAAgACAAIAAgACAAMQAsADIALAAxACwAMgAsADEALAAyADsAXABuACAAIAAgACAAIAAgACAAIAAgADMALAA0ACwAMwAsADQALAAzACwANAB9AFwAbgBcAG4AUABhAHIAYQBtAGUAdABlAHIAcwA6AFwAbgAgACAAIAAgAGEAcgByAGEAeQAgACAAIAAgACAAIAAgACAALQAgAFIAZQBxAHUAaQByAGUAZAAgADIARAAgAGEAcgByAGEAeQAgAHQAbwAgAGIAZQAgAHIAZQBwAGUAYQB0AGUAZAAuAFwAbgAgACAAIAAgAFsAaABlAGkAZwBoAHQAXQAgACAAIAAgACAALQAgAE8AcAB0AGkAbwBuAGEAbAAgAHYAZQByAHQAaQBjAGEAbAAgAHIAZQBwAGUAYQB0ACAAYwBvAHUAbgB0AC4AIABEAGUAZgBhAHUAbAB0AHMAIAB0AG8AIAAxAC4AXABuACAAIAAgACAAWwB3AGkAZAB0AGgAXQAgACAAIAAgACAAIAAtACAATwBwAHQAaQBvAG4AYQBsACAAaABvAHIAaQB6AG8AbgB0AGEAbAAgAHIAZQBwAGUAYQB0ACAAYwBvAHUAbgB0AC4AIABEAGUAZgBhAHUAbAB0AHMAIAB0AG8AIAAxAC4AXABuAFwAbgBOAG8AdABlAHMAOgBcAG4AIAAgACAAIAAiICAAUgBlAHAAZQB0AGkAdABpAG8AbgAgAGkAcwAgAHAAZQByAGYAbwByAG0AZQBkACAAdgBpAGEAIABpAG4AZABlAHgAIAByAGUAbQBhAHAAcABpAG4AZwAuAFwAbgAgACAAIAAgACIgIABPAHUAdABwAHUAdAAgAGcAZQBvAG0AZQB0AHIAeQAgAGkAcwAgACgAaAAgANcAIABoAGUAaQBnAGgAdAApACAAYgB5ACAAKAB3ACAA1wAgAHcAaQBkAHQAaAApAC4AXABuAC0ALQAtAC0ALQAtAC0ALQAtAC0ALQAtAC0ALQAtAC0ALQAtAC0ALQAtAC0ALQAtAC0ALQAtAC0ALQAtAC0ALQAtAC0ALQAtAC0ALQAtAC0ALQAtAC0ALQAtAC0ALQAtAC0ALQAtAC0ALQAtAC0ALQAtAC0ALQAtAC0ALQAtAC0ALQAtAC0ALQAtAC0ALQAtAC0ALQAtAC0ALQAtACoALwBcAG4AXABuAFIAZQBzAGkAegBlALsDIAA9AFwAbgBMAEEATQBCAEQAQQAoAFwAbgAgACAAIAAgAGEAcgByAGEAeQAsAFwAbgAgACAAIAAgAFsAaABlAGkAZwBoAHQAXQAsAFwAbgAgACAAIAAgAFsAdwBpAGQAdABoAF0ALABcAG4ATABFAFQAKABcAG4AIAAgACAAIAAvAC8AIABEAGkAbQBlAG4AcwBpAG8AbgBzAFwAbgAgACAAIAAgAGgALAAgACAAIAAgACAAIAAgACAAIAAgACAAIAAgACAAIABSAE8AVwBTACgAYQByAHIAYQB5ACkALABcAG4AIAAgACAAIAB3ACwAIAAgACAAIAAgACAAIAAgACAAIAAgACAAIAAgACAAQwBPAEwAVQBNAE4AUwAoAGEAcgByAGEAeQApACwAXABuAFwAbgAgACAAIAAgAC8ALwAgAE8AbQBpAHMAcwBpAG8AbgAgAGMAaABlAGMAawBzAFwAbgAgACAAIAAgAEgAZQBpAGcAaAB0AE8AbQBpAHQAdABlAGQAPwAsACAAIABJAFMATwBNAEkAVABUAEUARAAoAGgAZQBpAGcAaAB0ACkALABcAG4AIAAgACAAIABXAGkAZAB0AGgATwBtAGkAdAB0AGUAZAA/ACwAIAAgACAASQBTAE8ATQBJAFQAVABFAEQAKAB3AGkAZAB0AGgAKQAsAFwAbgAgACAAIAAgAE4AbwBIAFcASQBuAHAAdQB0AD8ALAAgACAAIAAgACAAIABIAGUAaQBnAGgAdABPAG0AaQB0AHQAZQBkAD8AIAArACAAVwBpAGQAdABoAE8AbQBpAHQAdABlAGQAPwAgAD0AIAAyACwAXABuAFwAbgAgACAAIAAgAC8ALwAgAEQAZQBmAGEAdQBsAHQAIAByAGUAcABlAGEAdAAgAGMAbwB1AG4AdABzAFwAbgAgACAAIAAgAGgAZQBpAGcAaAB0ACwAIAAgACAAIAAgACAAIAAgACAAIABJAEYAKABPAFIAKABOAG8ASABXAEkAbgBwAHUAdAA/ACwAIABIAGUAaQBnAGgAdABPAG0AaQB0AHQAZQBkAD8AKQAsACAAMQAsACAAaABlAGkAZwBoAHQAKQAsAFwAbgAgACAAIAAgAHcAaQBkAHQAaAAsACAAIAAgACAAIAAgACAAIAAgACAAIABJAEYAKABPAFIAKABOAG8ASABXAEkAbgBwAHUAdAA/ACwAIABXAGkAZAB0AGgATwBtAGkAdAB0AGUAZAA/ACkALAAgADEALAAgAHcAaQBkAHQAaAApACwAXABuAFwAbgAgACAAIAAgAC8ALwAgAFMAYwBlAG4AYQByAGkAbwBzAFwAbgAgACAAIAAgAE4AbwBSAGUAcABlAGEAdAA/ACwAIAAgACAAIAAgACAAIABBAE4ARAAoAGgAZQBpAGcAaAB0ACAAPQAgADEALAAgAHcAaQBkAHQAaAAgAD0AIAAxACkALABcAG4AIAAgACAAIABJAHMAUwBjAGEAbABhAHIAPwAsACAAIAAgACAAIAAgACAAQQBOAEQAKABoACAAPQAgADEALAAgAHcAIAA9ACAAMQApACwAXABuACAAIAAgACAARQB4AHAAYQBuAGQAUwBjAGEAbABhAHIALAAgACAAIAAgAEUAWABQAEEATgBEACgAYQByAHIAYQB5ACwAIABoAGUAaQBnAGgAdAAsACAAdwBpAGQAdABoACwAIABhAHIAcgBhAHkAKQAsAFwAbgBcAG4AIAAgACAAIABJAG4AdgBhAGwAaQBkAFIAZQBwAGUAYQB0AD8ALAAgACAATwBSACgASQBTAFQARQBYAFQAKABoAGUAaQBnAGgAdAApACwAXABuACAAIAAgACAAIAAgACAAIAAgACAAIAAgACAAIAAgACAAIAAgACAAIAAgACAAIAAgAEkAUwBUAEUAWABUACgAdwBpAGQAdABoACkALABcAG4AIAAgACAAIAAgACAAIAAgACAAIAAgACAAIAAgACAAIAAgACAAIAAgACAAIAAgACAATwBSACgAQQBOAEQAKABJAFMATgBVAE0AQgBFAFIAKABoAGUAaQBnAGgAdAApACwAIABoAGUAaQBnAGgAdAAgADwAPQAgADAAKQAsAFwAbgAgACAAIAAgACAAIAAgACAAIAAgACAAIAAgACAAIAAgACAAIAAgACAAIAAgACAAIAAgACAAIABBAE4ARAAoAEkAUwBOAFUATQBCAEUAUgAoAHcAaQBkAHQAaAApACwAIAAgAHcAaQBkAHQAaAAgADwAPQAgADAAKQApACkALABcAG4AXABuACAAIAAgACAALwAvACAATABvAGcAaQBjACAAZwBhAHQAZQBcAG4AIAAgACAAIABJAEYAKABOAG8AUgBlAHAAZQBhAHQAPwAsACAAYQByAHIAYQB5ACwAXABuAFwAbgAgACAAIAAgACAAIAAgACAASQBGACgASQBzAFMAYwBhAGwAYQByAD8ALAAgAEUAeABwAGEAbgBkAFMAYwBhAGwAYQByACwAXABuAFwAbgAgACAAIAAgACAAIAAgACAAIAAgACAAIABJAEYAKABJAG4AdgBhAGwAaQBkAFIAZQBwAGUAYQB0AD8ALAAgAGEAcgByAGEAeQAsAFwAbgBcAG4ATABFAFQAKABcAG4AIAAgACAAIAAvAC8AIABFAHgAcABhAG4AZABlAGQAIABkAGkAbQBlAG4AcwBpAG8AbgBzAFwAbgAgACAAIAAgAGsALAAgACAAIAAgACAAIAAgACAAIAAgACAAIAAgACAAIABoACAAKgAgAGgAZQBpAGcAaAB0ACwAXABuACAAIAAgACAAawCCICwAIAAgACAAIAAgACAAIAAgACAAIAAgACAAIAAgAHcAIAAqACAAdwBpAGQAdABoACwAXABuAFwAbgAgACAAIAAgAC8ALwAgAEkAbgBkAGkAYwBlAHMAIAAoAGQAZQBmAGUAcgByAGUAZAApAFwAbgAgACAAIAAgAGkALAAgACAAIAAgACAAIAAgACAAIAAgACAAIAAgACAAIABMAEEATQBCAEQAQQAoADEAIAArACAATQBPAEQAKABTAEUAUQBVAEUATgBDAEUAKABrACwALAAwACwAKQAsACAAaAApACAAKgAgAFMARQBRAFUARQBOAEMARQAoACwAIABrAIIgLAAgADEALAAgADAAKQApACwAXABuACAAIAAgACAAagAsACAAIAAgACAAIAAgACAAIAAgACAAIAAgACAAIAAgAEwAQQBNAEIARABBACgAMQAgACsAIABNAE8ARAAoAFMARQBRAFUARQBOAEMARQAoACwAIABrAIIgLAAgADAAKQAsACAAdwApACAAKgAgAFMARQBRAFUARQBOAEMARQAoAGsALAAsACAAMQAsACAAMAApACkALABcAG4AXABuACAAIAAgACAALwAvACAAQwBvAG4AcwB0AHIAdQBjAHQAIAByAGUAcABlAGEAdABlAGQAIABhAHIAcgBhAHkAXABuACAAIAAgACAAcgBlAHMAdQBsAHQALAAgACAAIAAgACAAIAAgACAAIAAgAEkATgBEAEUAWAAoAGEAcgByAGEAeQAsACAAaQAoACkALAAgAGoAKAApACkALABcAG4AXABuACAAIAAgACAAcgBlAHMAdQBsAHQAXABuACkAKQApACkAKQApADsAXABuAFwAbgBcAG4ALwAvACAARQBuAGQAIABvAGYAIABNAG8AZAB1AGwAZQAiAH0AXQAsACIAcAByAG8AagBlAGMAdABOAGEAbQBlAHMAIgA6AFsAIgBNAGEAZwBuAGkAZgB5ALsDIgAsACIAQQBsAGkAZwBuAFIAbwB3AHMAuwMiACwAIgBBAGwAaQBnAG4AQwBvAGwAcwC7AyIALAAiAEYAbwBsAGQAuwMiACwAIgBaAGkAcAC7AyIALAAiAFAAYQBpAHIAdwBpAHMAZQC7AyIALAAiAFQAcgBpAHAAbABlAHcAaQBzAGUAuwMiACwAIgBRAHUAYQBkAHcAaQBzAGUAuwMiACwAIgBFAGMAaABvALsDIgAsACIAQgBsAG8AYwBrAHMAuwMiACwAIgBXAGkAbgBkAG8AdwBlAGQAuwMiACwAIgBDAG8AbgB2AG8AbAB2AGUAuwMiACwAIgBHAHIAaQBkAEwAbwBvAGsAdQBwALsDIgAsACIATgBhAHYAaQBnAGEAdABlADIARAC7AyIALAAiAE0AYQB0AGMAaAAyAEQAuwMiACwAIgBWAFMAcABsAGkAdAC7AyIALAAiAEgAUwBwAGwAaQB0ALsDIgAsACIATQBHAHIAaQBkALsDIgAsACIAUgBlAHAAZQBhAHQAUgBvAHcAcwC7AyIALAAiAFIAZQBwAGUAYQB0AEMAbwBsAHMAuwMiACwAIgBSAGUAcwBpAHoAZQC7Ay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TQBE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Props1.xml><?xml version="1.0" encoding="utf-8"?>
<ds:datastoreItem xmlns:ds="http://schemas.openxmlformats.org/officeDocument/2006/customXml" ds:itemID="{EE160459-CB7B-49A1-B468-5AFE8BB7C891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38</vt:i4>
      </vt:variant>
    </vt:vector>
  </HeadingPairs>
  <TitlesOfParts>
    <vt:vector size="51" baseType="lpstr">
      <vt:lpstr>Introduction</vt:lpstr>
      <vt:lpstr>Magnify_Echo</vt:lpstr>
      <vt:lpstr>AlignRowsCols</vt:lpstr>
      <vt:lpstr>Fold</vt:lpstr>
      <vt:lpstr>Zip</vt:lpstr>
      <vt:lpstr>PTQWise</vt:lpstr>
      <vt:lpstr>Convolve</vt:lpstr>
      <vt:lpstr>Blocks</vt:lpstr>
      <vt:lpstr>Windowed</vt:lpstr>
      <vt:lpstr>GridLookup</vt:lpstr>
      <vt:lpstr>Navigate2D</vt:lpstr>
      <vt:lpstr>Match2D</vt:lpstr>
      <vt:lpstr>VSplit_HSplit</vt:lpstr>
      <vt:lpstr>Amounts</vt:lpstr>
      <vt:lpstr>Animals</vt:lpstr>
      <vt:lpstr>Classification</vt:lpstr>
      <vt:lpstr>Colors</vt:lpstr>
      <vt:lpstr>ConvolutionMatrix</vt:lpstr>
      <vt:lpstr>Data</vt:lpstr>
      <vt:lpstr>Department</vt:lpstr>
      <vt:lpstr>DirCoding</vt:lpstr>
      <vt:lpstr>Direction</vt:lpstr>
      <vt:lpstr>Elevation</vt:lpstr>
      <vt:lpstr>Fish</vt:lpstr>
      <vt:lpstr>Flow</vt:lpstr>
      <vt:lpstr>GameTIme</vt:lpstr>
      <vt:lpstr>Grid</vt:lpstr>
      <vt:lpstr>Icons</vt:lpstr>
      <vt:lpstr>Kernel_1</vt:lpstr>
      <vt:lpstr>Kernel_2</vt:lpstr>
      <vt:lpstr>KernelA</vt:lpstr>
      <vt:lpstr>KernelABC</vt:lpstr>
      <vt:lpstr>KernelB</vt:lpstr>
      <vt:lpstr>KernelC</vt:lpstr>
      <vt:lpstr>KernelD</vt:lpstr>
      <vt:lpstr>KernelM</vt:lpstr>
      <vt:lpstr>KernelS</vt:lpstr>
      <vt:lpstr>Location</vt:lpstr>
      <vt:lpstr>NumberLookup</vt:lpstr>
      <vt:lpstr>Numbers</vt:lpstr>
      <vt:lpstr>People</vt:lpstr>
      <vt:lpstr>Places</vt:lpstr>
      <vt:lpstr>PoolA</vt:lpstr>
      <vt:lpstr>PoolB</vt:lpstr>
      <vt:lpstr>ProfileCurvature</vt:lpstr>
      <vt:lpstr>RegionalData</vt:lpstr>
      <vt:lpstr>SmallGrid</vt:lpstr>
      <vt:lpstr>TerrainMask</vt:lpstr>
      <vt:lpstr>ThisGrid</vt:lpstr>
      <vt:lpstr>Waldo</vt:lpstr>
      <vt:lpstr>WeeklyData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BigSpill 2.0 Prototypes</dc:title>
  <dc:creator>BigSpill Project</dc:creator>
  <cp:lastModifiedBy>Patrick Hogan</cp:lastModifiedBy>
  <dcterms:created xsi:type="dcterms:W3CDTF">2026-10-08T17:20:07Z</dcterms:created>
  <dcterms:modified xsi:type="dcterms:W3CDTF">2026-10-12T18:50:43Z</dcterms:modified>
</cp:coreProperties>
</file>