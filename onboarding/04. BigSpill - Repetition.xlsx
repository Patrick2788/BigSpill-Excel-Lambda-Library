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6137C200-DAD5-4C3F-847B-B32162108BDA}" xr6:coauthVersionLast="47" xr6:coauthVersionMax="47" xr10:uidLastSave="{00000000-0000-0000-0000-000000000000}"/>
  <bookViews>
    <workbookView xWindow="28680" yWindow="-120" windowWidth="29040" windowHeight="15720" xr2:uid="{D30FA540-5EF4-4B59-B1AE-F37A3236C2FA}"/>
  </bookViews>
  <sheets>
    <sheet name="Introduction" sheetId="1" r:id="rId1"/>
    <sheet name="Echo" sheetId="3" r:id="rId2"/>
    <sheet name="RepeatRows" sheetId="8" r:id="rId3"/>
    <sheet name="RepeatCols" sheetId="9" r:id="rId4"/>
    <sheet name="Tessellate" sheetId="10" r:id="rId5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lpha">Tessellate!$C$8:$D$9</definedName>
    <definedName name="Animals">Echo!$C$16:$C$18</definedName>
    <definedName name="Available">RepeatCols!$C$23:$D$23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read">RepeatRows!$C$26:$E$30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hecker">Tessellate!$C$28:$D$29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aler">RepeatCols!$C$16:$E$20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ish">RepeatRows!$C$17:$E$19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Fruit">RepeatRows!$C$8:$D$10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etters">Echo!$C$7:$C$9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eshC">Tessellate!$C$22:$E$24</definedName>
    <definedName name="MeshR">Tessellate!$C$17:$E$19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oodle">RepeatCols!$C$8:$E$10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Echo!$C$27:$G$27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ty">RepeatRows!$F$8:$F$10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">Echo!$E$7:$E$9</definedName>
    <definedName name="RepB">Echo!$E$16:$E$17</definedName>
    <definedName name="RepC">Echo!$E$20:$E$22</definedName>
    <definedName name="RepD">Echo!$C$29:$E$29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rved">RepeatCols!$C$13:$E$13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old">RepeatRows!$F$26:$F$29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9" i="10" l="1" a="1"/>
  <c r="G29" i="10" s="1"/>
  <c r="N18" i="10" a="1"/>
  <c r="N18" i="10" s="1"/>
  <c r="G18" i="10" a="1"/>
  <c r="G18" i="10" s="1"/>
  <c r="U9" i="10" l="1" a="1"/>
  <c r="U9" i="10" s="1"/>
  <c r="N9" i="10" a="1"/>
  <c r="N9" i="10" s="1"/>
  <c r="G9" i="10" a="1"/>
  <c r="G9" i="10" s="1"/>
  <c r="G25" i="9" a="1"/>
  <c r="G25" i="9" s="1"/>
  <c r="G17" i="9" a="1"/>
  <c r="G17" i="9" s="1"/>
  <c r="N13" i="9" a="1"/>
  <c r="N13" i="9" s="1"/>
  <c r="N9" i="9" a="1"/>
  <c r="N9" i="9" s="1"/>
  <c r="G9" i="9" a="1"/>
  <c r="G9" i="9" s="1"/>
  <c r="L13" i="8" a="1"/>
  <c r="L13" i="8" s="1"/>
  <c r="H27" i="8" a="1"/>
  <c r="H27" i="8" s="1"/>
  <c r="L9" i="8" a="1"/>
  <c r="L9" i="8" s="1"/>
  <c r="L19" i="8" a="1"/>
  <c r="L19" i="8" s="1"/>
  <c r="H9" i="8" l="1" a="1"/>
  <c r="H9" i="8" s="1"/>
  <c r="I29" i="3" a="1"/>
  <c r="I29" i="3" s="1"/>
  <c r="I21" i="3" a="1"/>
  <c r="I21" i="3" s="1"/>
  <c r="I17" i="3" a="1"/>
  <c r="I17" i="3" s="1"/>
  <c r="G18" i="3" a="1"/>
  <c r="G18" i="3" s="1"/>
  <c r="I8" i="3" a="1"/>
  <c r="I8" i="3" s="1"/>
  <c r="G8" i="3" a="1"/>
  <c r="G8" i="3" s="1"/>
  <c r="H18" i="8" l="1" a="1"/>
  <c r="H18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<sst xmlns="http://schemas.openxmlformats.org/spreadsheetml/2006/main" count="155" uniqueCount="148">
  <si>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</si>
  <si>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</si>
  <si>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</si>
  <si>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</si>
  <si>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</si>
  <si>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Echoλ</t>
  </si>
  <si>
    <t>RepeatRowsλ</t>
  </si>
  <si>
    <t>RepeatColsλ</t>
  </si>
  <si>
    <t>Tessellateλ</t>
  </si>
  <si>
    <t>Repeats each element in a supplied 1D array according to a vector of repeat counts.</t>
  </si>
  <si>
    <t>Repeats each row of a supplied array according to a vector of repeat counts.</t>
  </si>
  <si>
    <t xml:space="preserve">Repeats each column of a supplied array according to a vector of repeat counts. </t>
  </si>
  <si>
    <t>Generates a modular tessellation of a 2D pattern defined by new_height × new_width.</t>
  </si>
  <si>
    <t>Repetition</t>
  </si>
  <si>
    <t>This section contains functions that replicate arrays along rows, columns, or both.</t>
  </si>
  <si>
    <t>Echoλ - Repeats each element in a supplied 1D array according to a vector of repeat counts</t>
  </si>
  <si>
    <t>• input: vector - 1D array or scalar to be echoed</t>
  </si>
  <si>
    <t>Rep</t>
  </si>
  <si>
    <t>A</t>
  </si>
  <si>
    <t>B</t>
  </si>
  <si>
    <t>C</t>
  </si>
  <si>
    <t>Letters</t>
  </si>
  <si>
    <t>=Echoλ(Letters,Rep)</t>
  </si>
  <si>
    <t>Echo Letters by Rep counts</t>
  </si>
  <si>
    <t>=Echoλ(Letters,2)</t>
  </si>
  <si>
    <t>Echo Letters by 2</t>
  </si>
  <si>
    <t>RepB</t>
  </si>
  <si>
    <t>London</t>
  </si>
  <si>
    <t>Helsinki</t>
  </si>
  <si>
    <t>Paris</t>
  </si>
  <si>
    <t>Animals</t>
  </si>
  <si>
    <t>Lion</t>
  </si>
  <si>
    <t>Tiger</t>
  </si>
  <si>
    <t>Bear</t>
  </si>
  <si>
    <t>=Echoλ(Animals,RepB)</t>
  </si>
  <si>
    <t>2 is extended to match length of Animals</t>
  </si>
  <si>
    <t>Echo Animals by RepB counts</t>
  </si>
  <si>
    <t>=Echoλ(Animals,{3,0,2})</t>
  </si>
  <si>
    <t>Repeat counts  must be ≥ 0</t>
  </si>
  <si>
    <t>RepC</t>
  </si>
  <si>
    <t>3</t>
  </si>
  <si>
    <t>=Echoλ(Animals,RepC)</t>
  </si>
  <si>
    <t>Places</t>
  </si>
  <si>
    <t>Cairo</t>
  </si>
  <si>
    <t>Tokyo</t>
  </si>
  <si>
    <t>RepD</t>
  </si>
  <si>
    <t>=Echoλ(Places,RepD)</t>
  </si>
  <si>
    <t>Echo Places by RepD counts</t>
  </si>
  <si>
    <t>Output is always a vertical array</t>
  </si>
  <si>
    <t>RepeatRowsλ - Repeats each row of a supplied array according to a vector of repeat counts</t>
  </si>
  <si>
    <t>• repeat - 1D array of repeat counts (numeric, ≥ 1)</t>
  </si>
  <si>
    <t>• input: array- 2D array whose rows will be repeated</t>
  </si>
  <si>
    <t>Apple</t>
  </si>
  <si>
    <t>Orange</t>
  </si>
  <si>
    <t>Fruit</t>
  </si>
  <si>
    <t>Banana</t>
  </si>
  <si>
    <t>Apple Pie</t>
  </si>
  <si>
    <t>Banana Bread</t>
  </si>
  <si>
    <t>Orange Juice</t>
  </si>
  <si>
    <t>Fish</t>
  </si>
  <si>
    <t>Salmon</t>
  </si>
  <si>
    <t>Tuna</t>
  </si>
  <si>
    <t>Swordfish</t>
  </si>
  <si>
    <t>Salmon Teriyaki</t>
  </si>
  <si>
    <t>Tuna Salad</t>
  </si>
  <si>
    <t>Grilled Swordfish</t>
  </si>
  <si>
    <t>=RepeatRowsλ(Fish,2)</t>
  </si>
  <si>
    <t>Repeat Fish by 2</t>
  </si>
  <si>
    <t>=RepeatRowsλ(Fish,{1,2})</t>
  </si>
  <si>
    <t>and 2 for items 2 and 3</t>
  </si>
  <si>
    <t>Sourdough</t>
  </si>
  <si>
    <t>Baguette</t>
  </si>
  <si>
    <t>Rye</t>
  </si>
  <si>
    <t>Ciabatta</t>
  </si>
  <si>
    <t>Focaccia</t>
  </si>
  <si>
    <t>Bread</t>
  </si>
  <si>
    <t>Turkey and Swiss</t>
  </si>
  <si>
    <t>Ham and Cheese</t>
  </si>
  <si>
    <t>Corned Beef and Mustard</t>
  </si>
  <si>
    <t>Chicken Pesto</t>
  </si>
  <si>
    <t>Caprese</t>
  </si>
  <si>
    <t>=RepeatRowsλ(Fruit,{3,0,2})</t>
  </si>
  <si>
    <t>Repeat counts must be  ≥ 1</t>
  </si>
  <si>
    <t>=RepeatRowsλ(Fruit,{"2",1,4})</t>
  </si>
  <si>
    <t>Repeat Fish by counts of 1 (first item)</t>
  </si>
  <si>
    <t>RepeatColsλ - Repeats each column of a supplied array according to a vector of repeat counts</t>
  </si>
  <si>
    <t>• input: array- 2D array whose columns will be repeated</t>
  </si>
  <si>
    <t>Ramen</t>
  </si>
  <si>
    <t>Udon</t>
  </si>
  <si>
    <t>Soba</t>
  </si>
  <si>
    <t>Shoyu Ramen</t>
  </si>
  <si>
    <t>Kake Udon</t>
  </si>
  <si>
    <t>Zaru Soba</t>
  </si>
  <si>
    <t>Noodle</t>
  </si>
  <si>
    <t>=RepeatColsλ(Noodle,{2,0,3})</t>
  </si>
  <si>
    <t>Rep counts must be ≥ 1</t>
  </si>
  <si>
    <t>Exotic Motors</t>
  </si>
  <si>
    <t>Velocity Drive</t>
  </si>
  <si>
    <t>Luxury Rides</t>
  </si>
  <si>
    <t>Podunk</t>
  </si>
  <si>
    <t>Springfield</t>
  </si>
  <si>
    <t>Newton Falls</t>
  </si>
  <si>
    <t>Dealer</t>
  </si>
  <si>
    <t>Aventador</t>
  </si>
  <si>
    <t xml:space="preserve">Lamborghini </t>
  </si>
  <si>
    <t>LaFerrari</t>
  </si>
  <si>
    <t>Ferrari</t>
  </si>
  <si>
    <t>P1</t>
  </si>
  <si>
    <t xml:space="preserve">McLaren </t>
  </si>
  <si>
    <t>Available</t>
  </si>
  <si>
    <t>=RepeatColsλ(Dealer,Available)</t>
  </si>
  <si>
    <t>=RepeatColsλ(Dealer,2)</t>
  </si>
  <si>
    <t>Repeat Dealer by 2</t>
  </si>
  <si>
    <t>Repeat Dealer by Available counts</t>
  </si>
  <si>
    <t>=RepeatColsλ(Noodle,Served)</t>
  </si>
  <si>
    <t>Repeat Noodle by Served counts</t>
  </si>
  <si>
    <t>Served</t>
  </si>
  <si>
    <t>=RepeatRowsλ(Bread,Sold)</t>
  </si>
  <si>
    <t>Repeat Bread by Sold counts (2 is extended to match length of bread list)</t>
  </si>
  <si>
    <t>Sold</t>
  </si>
  <si>
    <t>Qty</t>
  </si>
  <si>
    <t>Repeat Fruit by Qty counts</t>
  </si>
  <si>
    <t>=RepeatRowsλ(Fruit,Qty)</t>
  </si>
  <si>
    <t>Tessellateλ - Generates a modular tessellation of a 2D pattern defined by new_height × new_width</t>
  </si>
  <si>
    <t>• input: pattern - 2D array (Scalars and 1D arrays are forbidden)</t>
  </si>
  <si>
    <t>• new_width - total columns in output tessellation</t>
  </si>
  <si>
    <t>• new_height - total rows in the output tessellation</t>
  </si>
  <si>
    <t>D</t>
  </si>
  <si>
    <t>Alpha</t>
  </si>
  <si>
    <t>=Tessellateλ(Alpha,5,6)</t>
  </si>
  <si>
    <t>Tessellate Alpha to 5 x 6</t>
  </si>
  <si>
    <t>=Tessellateλ(Alpha,2,6)</t>
  </si>
  <si>
    <t>=Tessellateλ(Alpha,6,2)</t>
  </si>
  <si>
    <t>Tessellate Alpha to 2 x 6</t>
  </si>
  <si>
    <t>Tessellate Alpha to 6 x 2</t>
  </si>
  <si>
    <t>MeshR</t>
  </si>
  <si>
    <t>MeshC</t>
  </si>
  <si>
    <t>=Tessellateλ(MeshR,5,4)</t>
  </si>
  <si>
    <t>=Tessellateλ(MeshC,5,4)</t>
  </si>
  <si>
    <t>Tessellate Mesh R to 5 x 4</t>
  </si>
  <si>
    <t>Tessellate MeshC to 5 x 4</t>
  </si>
  <si>
    <t>=Tessellateλ(Checker,10,12)</t>
  </si>
  <si>
    <t>Checker</t>
  </si>
  <si>
    <t>Tessellate Checker to 10 x 12</t>
  </si>
  <si>
    <t>=RepeatColsλ(Noodle,{2,"1",3})</t>
  </si>
  <si>
    <t>Rep counts cannot be text</t>
  </si>
  <si>
    <t>Conditional formatting used</t>
  </si>
  <si>
    <t>for illustrative purposes.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</si>
</sst>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&quot;$&quot;#,##0"/>
    <numFmt numFmtId="165" formatCode="&quot;$&quot;#,##0.00"/>
    <numFmt numFmtId="166" formatCode="[$¥-411]#,##0.00;\-[$¥-411]#,##0.00"/>
    <numFmt numFmtId="167" formatCode=";;;"/>
  </numFmts>
  <fonts count="10" x14ac:knownFonts="1"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segoe ui"/>
      <family val="2"/>
    </font>
    <font>
      <sz val="10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Bahnschrift"/>
      <family val="2"/>
    </font>
    <font>
      <i/>
      <sz val="10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C9C3DD"/>
        <bgColor indexed="64"/>
      </patternFill>
    </fill>
    <fill>
      <patternFill patternType="solid">
        <fgColor rgb="FFCAC4DE"/>
        <bgColor indexed="64"/>
      </patternFill>
    </fill>
  </fills>
  <borders count="1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 style="thick">
        <color rgb="FFC0C0C0"/>
      </left>
      <right/>
      <top style="thin">
        <color rgb="FFC0C0C0"/>
      </top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4" fillId="0" borderId="0" xfId="0" quotePrefix="1" applyFont="1"/>
    <xf numFmtId="0" fontId="7" fillId="0" borderId="0" xfId="0" applyFont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5" fillId="0" borderId="3" xfId="0" applyFont="1" applyBorder="1"/>
    <xf numFmtId="0" fontId="7" fillId="0" borderId="3" xfId="0" applyFont="1" applyBorder="1"/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/>
    <xf numFmtId="0" fontId="5" fillId="0" borderId="0" xfId="0" applyFont="1"/>
    <xf numFmtId="0" fontId="6" fillId="0" borderId="0" xfId="0" applyFont="1"/>
    <xf numFmtId="0" fontId="5" fillId="0" borderId="10" xfId="0" applyFont="1" applyBorder="1"/>
    <xf numFmtId="0" fontId="1" fillId="0" borderId="2" xfId="0" applyFont="1" applyBorder="1"/>
    <xf numFmtId="0" fontId="5" fillId="0" borderId="3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1" xfId="0" applyFont="1" applyBorder="1"/>
    <xf numFmtId="0" fontId="6" fillId="0" borderId="3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0" fontId="1" fillId="0" borderId="13" xfId="0" applyFont="1" applyBorder="1"/>
    <xf numFmtId="0" fontId="6" fillId="0" borderId="8" xfId="0" applyFont="1" applyBorder="1"/>
    <xf numFmtId="0" fontId="4" fillId="0" borderId="3" xfId="0" applyFont="1" applyBorder="1"/>
    <xf numFmtId="0" fontId="8" fillId="0" borderId="3" xfId="0" applyFont="1" applyBorder="1"/>
    <xf numFmtId="166" fontId="6" fillId="0" borderId="1" xfId="1" applyNumberFormat="1" applyFont="1" applyBorder="1"/>
    <xf numFmtId="164" fontId="6" fillId="0" borderId="1" xfId="0" applyNumberFormat="1" applyFont="1" applyBorder="1" applyAlignment="1">
      <alignment horizontal="left"/>
    </xf>
    <xf numFmtId="0" fontId="9" fillId="0" borderId="3" xfId="0" applyFont="1" applyBorder="1"/>
    <xf numFmtId="0" fontId="6" fillId="0" borderId="8" xfId="0" applyFont="1" applyBorder="1" applyAlignment="1">
      <alignment horizontal="center"/>
    </xf>
    <xf numFmtId="167" fontId="6" fillId="0" borderId="1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/>
    <xf numFmtId="164" fontId="6" fillId="3" borderId="1" xfId="0" applyNumberFormat="1" applyFont="1" applyFill="1" applyBorder="1"/>
    <xf numFmtId="165" fontId="6" fillId="3" borderId="12" xfId="0" applyNumberFormat="1" applyFont="1" applyFill="1" applyBorder="1"/>
    <xf numFmtId="0" fontId="6" fillId="3" borderId="1" xfId="0" applyFont="1" applyFill="1" applyBorder="1" applyAlignment="1">
      <alignment horizontal="left"/>
    </xf>
    <xf numFmtId="166" fontId="6" fillId="3" borderId="1" xfId="1" applyNumberFormat="1" applyFont="1" applyFill="1" applyBorder="1"/>
    <xf numFmtId="0" fontId="6" fillId="3" borderId="1" xfId="0" quotePrefix="1" applyFont="1" applyFill="1" applyBorder="1" applyAlignment="1">
      <alignment horizontal="left"/>
    </xf>
  </cellXfs>
  <cellStyles count="2">
    <cellStyle name="Currency" xfId="1" builtinId="4"/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1" defaultTableStyle="TableStyleMedium2" defaultPivotStyle="PivotStyleLight16">
    <tableStyle name="Invisible" pivot="0" table="0" count="0" xr9:uid="{88E6238E-9F03-468E-B904-CE39C7EBCD2B}"/>
  </tableStyles>
  <colors>
    <mruColors>
      <color rgb="FFCAC4DE"/>
      <color rgb="FFC0C0C0"/>
      <color rgb="FFC9C3DD"/>
      <color rgb="FF8064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644525</xdr:colOff>
      <xdr:row>0</xdr:row>
      <xdr:rowOff>200025</xdr:rowOff>
    </xdr:from>
    <xdr:to>
      <xdr:col>3</xdr:col>
      <xdr:colOff>1332440</xdr:colOff>
      <xdr:row>5</xdr:row>
      <xdr:rowOff>66675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D19BB3A-BC56-4BF6-AE53-F6388B0F1B45}"/>
            </a:ext>
          </a:extLst>
        </xdr:cNvPr>
        <xdr:cNvSpPr>
          <a:spLocks noChangeAspect="1"/>
        </xdr:cNvSpPr>
      </xdr:nvSpPr>
      <xdr:spPr>
        <a:xfrm>
          <a:off x="1301750" y="20002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5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ECE267-7236-466B-B896-31320B85973E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E3F2B0A-BB57-40F1-B4F2-FE189BC27775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B76F-44F1-4A81-9F00-FC52DBDE411B}">
  <sheetPr>
    <tabColor theme="0"/>
  </sheetPr>
  <dimension ref="A5:E21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72.5" bestFit="1" customWidth="1"/>
    <col min="5" max="5" width="8.6640625" customWidth="1"/>
    <col min="6" max="16384" width="8.6640625" hidden="1"/>
  </cols>
  <sheetData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13</v>
      </c>
      <c r="D8" s="2"/>
    </row>
    <row r="9" spans="3:4" x14ac:dyDescent="0.45">
      <c r="C9" s="1" t="s">
        <v>14</v>
      </c>
      <c r="D9" s="2"/>
    </row>
    <row r="10" spans="3:4" x14ac:dyDescent="0.45">
      <c r="C10" s="1"/>
      <c r="D10" s="2"/>
    </row>
    <row r="11" spans="3:4" x14ac:dyDescent="0.45">
      <c r="C11" s="3" t="s">
        <v>0</v>
      </c>
      <c r="D11" s="2"/>
    </row>
    <row r="12" spans="3:4" x14ac:dyDescent="0.45">
      <c r="C12" s="1" t="s">
        <v>1</v>
      </c>
      <c r="D12" s="2"/>
    </row>
    <row r="13" spans="3:4" x14ac:dyDescent="0.45">
      <c r="C13" s="1" t="s">
        <v>2</v>
      </c>
      <c r="D13" s="2"/>
    </row>
    <row r="14" spans="3:4" x14ac:dyDescent="0.45">
      <c r="C14" s="1"/>
      <c r="D14" s="2"/>
    </row>
    <row r="15" spans="3:4" x14ac:dyDescent="0.45">
      <c r="C15" s="1"/>
      <c r="D15" s="2"/>
    </row>
    <row r="16" spans="3:4" ht="17" thickBot="1" x14ac:dyDescent="0.5">
      <c r="C16" s="40" t="s">
        <v>3</v>
      </c>
      <c r="D16" s="41" t="s">
        <v>4</v>
      </c>
    </row>
    <row r="17" spans="3:4" ht="35" customHeight="1" thickBot="1" x14ac:dyDescent="0.5">
      <c r="C17" s="42" t="s">
        <v>5</v>
      </c>
      <c r="D17" s="43" t="s">
        <v>9</v>
      </c>
    </row>
    <row r="18" spans="3:4" ht="35" customHeight="1" thickBot="1" x14ac:dyDescent="0.5">
      <c r="C18" s="42" t="s">
        <v>6</v>
      </c>
      <c r="D18" s="43" t="s">
        <v>10</v>
      </c>
    </row>
    <row r="19" spans="3:4" ht="35" customHeight="1" thickBot="1" x14ac:dyDescent="0.5">
      <c r="C19" s="42" t="s">
        <v>7</v>
      </c>
      <c r="D19" s="43" t="s">
        <v>11</v>
      </c>
    </row>
    <row r="20" spans="3:4" ht="35" customHeight="1" thickBot="1" x14ac:dyDescent="0.5">
      <c r="C20" s="42" t="s">
        <v>8</v>
      </c>
      <c r="D20" s="43" t="s">
        <v>12</v>
      </c>
    </row>
    <row r="21" spans="3:4" x14ac:dyDescent="0.45">
      <c r="C21" s="4"/>
      <c r="D21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6887-DFDC-4FC6-A466-1B7A002C7217}">
  <sheetPr>
    <tabColor rgb="FFC9C3DD"/>
  </sheetPr>
  <dimension ref="B2:L41"/>
  <sheetViews>
    <sheetView workbookViewId="0"/>
  </sheetViews>
  <sheetFormatPr defaultRowHeight="16.5" x14ac:dyDescent="0.45"/>
  <cols>
    <col min="1" max="1" width="5" style="1" customWidth="1"/>
    <col min="2" max="2" width="5.08203125" style="1" customWidth="1"/>
    <col min="3" max="3" width="7.25" style="1" bestFit="1" customWidth="1"/>
    <col min="4" max="4" width="7.83203125" style="1" bestFit="1" customWidth="1"/>
    <col min="5" max="5" width="7.5" style="1" customWidth="1"/>
    <col min="6" max="7" width="8.6640625" style="1"/>
    <col min="8" max="8" width="21.58203125" style="1" customWidth="1"/>
    <col min="9" max="11" width="8.6640625" style="1"/>
    <col min="12" max="12" width="3" style="1" customWidth="1"/>
    <col min="13" max="16384" width="8.6640625" style="1"/>
  </cols>
  <sheetData>
    <row r="2" spans="2:12" x14ac:dyDescent="0.45"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10"/>
    </row>
    <row r="3" spans="2:12" x14ac:dyDescent="0.45">
      <c r="B3" s="11" t="s">
        <v>16</v>
      </c>
      <c r="L3" s="12"/>
    </row>
    <row r="4" spans="2:12" x14ac:dyDescent="0.45">
      <c r="B4" s="11" t="s">
        <v>50</v>
      </c>
      <c r="L4" s="12"/>
    </row>
    <row r="5" spans="2:12" x14ac:dyDescent="0.45">
      <c r="B5" s="13"/>
      <c r="C5" s="14"/>
      <c r="D5" s="14"/>
      <c r="E5" s="14"/>
      <c r="F5" s="14"/>
      <c r="G5" s="14"/>
      <c r="H5" s="14"/>
      <c r="I5" s="14"/>
      <c r="J5" s="14"/>
      <c r="K5" s="14"/>
      <c r="L5" s="15"/>
    </row>
    <row r="6" spans="2:12" x14ac:dyDescent="0.45">
      <c r="B6" s="24"/>
      <c r="C6" s="25" t="s">
        <v>21</v>
      </c>
      <c r="D6" s="9"/>
      <c r="E6" s="16" t="s">
        <v>17</v>
      </c>
      <c r="F6" s="9"/>
      <c r="G6" s="17" t="s">
        <v>23</v>
      </c>
      <c r="H6" s="9"/>
      <c r="I6" s="17" t="s">
        <v>25</v>
      </c>
      <c r="J6" s="9"/>
      <c r="K6" s="9"/>
      <c r="L6" s="10"/>
    </row>
    <row r="7" spans="2:12" x14ac:dyDescent="0.45">
      <c r="B7" s="11"/>
      <c r="C7" s="44" t="s">
        <v>18</v>
      </c>
      <c r="E7" s="44">
        <v>1</v>
      </c>
      <c r="G7" s="6" t="s">
        <v>22</v>
      </c>
      <c r="I7" s="6" t="s">
        <v>24</v>
      </c>
      <c r="L7" s="12"/>
    </row>
    <row r="8" spans="2:12" x14ac:dyDescent="0.45">
      <c r="B8" s="11"/>
      <c r="C8" s="44" t="s">
        <v>19</v>
      </c>
      <c r="E8" s="44">
        <v>3</v>
      </c>
      <c r="G8" s="5" t="str" cm="1">
        <f t="array" ref="G8:G13">Echoλ(Letters,Rep)</f>
        <v>A</v>
      </c>
      <c r="I8" s="5" t="str" cm="1">
        <f t="array" ref="I8:I13">Echoλ(Letters,2)</f>
        <v>A</v>
      </c>
      <c r="L8" s="12"/>
    </row>
    <row r="9" spans="2:12" x14ac:dyDescent="0.45">
      <c r="B9" s="11"/>
      <c r="C9" s="44" t="s">
        <v>20</v>
      </c>
      <c r="E9" s="44">
        <v>2</v>
      </c>
      <c r="G9" s="5" t="str">
        <v>B</v>
      </c>
      <c r="I9" s="5" t="str">
        <v>A</v>
      </c>
      <c r="L9" s="12"/>
    </row>
    <row r="10" spans="2:12" x14ac:dyDescent="0.45">
      <c r="B10" s="11"/>
      <c r="G10" s="5" t="str">
        <v>B</v>
      </c>
      <c r="I10" s="5" t="str">
        <v>B</v>
      </c>
      <c r="L10" s="12"/>
    </row>
    <row r="11" spans="2:12" x14ac:dyDescent="0.45">
      <c r="B11" s="11"/>
      <c r="G11" s="5" t="str">
        <v>B</v>
      </c>
      <c r="I11" s="5" t="str">
        <v>B</v>
      </c>
      <c r="L11" s="12"/>
    </row>
    <row r="12" spans="2:12" x14ac:dyDescent="0.45">
      <c r="B12" s="11"/>
      <c r="G12" s="5" t="str">
        <v>C</v>
      </c>
      <c r="I12" s="5" t="str">
        <v>C</v>
      </c>
      <c r="L12" s="12"/>
    </row>
    <row r="13" spans="2:12" x14ac:dyDescent="0.45">
      <c r="B13" s="11"/>
      <c r="G13" s="5" t="str">
        <v>C</v>
      </c>
      <c r="I13" s="5" t="str">
        <v>C</v>
      </c>
      <c r="L13" s="12"/>
    </row>
    <row r="14" spans="2:12" ht="9" customHeight="1" x14ac:dyDescent="0.45">
      <c r="B14" s="11"/>
      <c r="C14" s="14"/>
      <c r="D14" s="14"/>
      <c r="E14" s="14"/>
      <c r="F14" s="14"/>
      <c r="G14" s="14"/>
      <c r="H14" s="14"/>
      <c r="I14" s="14"/>
      <c r="J14" s="14"/>
      <c r="K14" s="14"/>
      <c r="L14" s="15"/>
    </row>
    <row r="15" spans="2:12" x14ac:dyDescent="0.45">
      <c r="B15" s="11"/>
      <c r="C15" s="16" t="s">
        <v>30</v>
      </c>
      <c r="D15" s="9"/>
      <c r="E15" s="16" t="s">
        <v>26</v>
      </c>
      <c r="F15" s="9"/>
      <c r="G15" s="17" t="s">
        <v>36</v>
      </c>
      <c r="H15" s="9"/>
      <c r="I15" s="17" t="s">
        <v>38</v>
      </c>
      <c r="K15" s="9"/>
      <c r="L15" s="10"/>
    </row>
    <row r="16" spans="2:12" x14ac:dyDescent="0.45">
      <c r="B16" s="11"/>
      <c r="C16" s="45" t="s">
        <v>31</v>
      </c>
      <c r="E16" s="44">
        <v>3</v>
      </c>
      <c r="G16" s="21" t="s">
        <v>35</v>
      </c>
      <c r="I16" s="6" t="s">
        <v>37</v>
      </c>
      <c r="L16" s="12"/>
    </row>
    <row r="17" spans="2:12" x14ac:dyDescent="0.45">
      <c r="B17" s="11"/>
      <c r="C17" s="45" t="s">
        <v>32</v>
      </c>
      <c r="E17" s="44">
        <v>2</v>
      </c>
      <c r="G17" s="6" t="s">
        <v>34</v>
      </c>
      <c r="I17" s="22" t="str" cm="1">
        <f t="array" ref="I17">Echoλ(Animals,{3,0,2})</f>
        <v>#VALUE!</v>
      </c>
      <c r="L17" s="12"/>
    </row>
    <row r="18" spans="2:12" x14ac:dyDescent="0.45">
      <c r="B18" s="11"/>
      <c r="C18" s="45" t="s">
        <v>33</v>
      </c>
      <c r="G18" s="20" t="str" cm="1">
        <f t="array" ref="G18:G24">Echoλ(Animals,RepB)</f>
        <v>Lion</v>
      </c>
      <c r="L18" s="12"/>
    </row>
    <row r="19" spans="2:12" x14ac:dyDescent="0.45">
      <c r="B19" s="11"/>
      <c r="E19" s="21" t="s">
        <v>39</v>
      </c>
      <c r="G19" s="20" t="str">
        <v>Lion</v>
      </c>
      <c r="I19" s="7" t="s">
        <v>145</v>
      </c>
      <c r="L19" s="12"/>
    </row>
    <row r="20" spans="2:12" x14ac:dyDescent="0.45">
      <c r="B20" s="11"/>
      <c r="E20" s="44">
        <v>4</v>
      </c>
      <c r="G20" s="20" t="str">
        <v>Lion</v>
      </c>
      <c r="I20" s="6" t="s">
        <v>41</v>
      </c>
      <c r="L20" s="12"/>
    </row>
    <row r="21" spans="2:12" x14ac:dyDescent="0.45">
      <c r="B21" s="11"/>
      <c r="E21" s="44" t="s">
        <v>40</v>
      </c>
      <c r="G21" s="20" t="str">
        <v>Tiger</v>
      </c>
      <c r="I21" s="22" t="str" cm="1">
        <f t="array" ref="I21">Echoλ(Animals,RepC)</f>
        <v>#VALUE!</v>
      </c>
      <c r="L21" s="12"/>
    </row>
    <row r="22" spans="2:12" x14ac:dyDescent="0.45">
      <c r="B22" s="11"/>
      <c r="E22" s="44">
        <v>2</v>
      </c>
      <c r="G22" s="20" t="str">
        <v>Tiger</v>
      </c>
      <c r="L22" s="12"/>
    </row>
    <row r="23" spans="2:12" x14ac:dyDescent="0.45">
      <c r="B23" s="11"/>
      <c r="G23" s="20" t="str">
        <v>Bear</v>
      </c>
      <c r="L23" s="12"/>
    </row>
    <row r="24" spans="2:12" x14ac:dyDescent="0.45">
      <c r="B24" s="11"/>
      <c r="G24" s="20" t="str">
        <v>Bear</v>
      </c>
      <c r="L24" s="12"/>
    </row>
    <row r="25" spans="2:12" ht="7.5" customHeight="1" x14ac:dyDescent="0.45">
      <c r="B25" s="13"/>
      <c r="C25" s="14"/>
      <c r="D25" s="14"/>
      <c r="E25" s="14"/>
      <c r="F25" s="14"/>
      <c r="G25" s="14"/>
      <c r="H25" s="14"/>
      <c r="I25" s="14"/>
      <c r="J25" s="14"/>
      <c r="K25" s="14"/>
      <c r="L25" s="15"/>
    </row>
    <row r="26" spans="2:12" x14ac:dyDescent="0.45">
      <c r="B26" s="24"/>
      <c r="C26" s="23" t="s">
        <v>42</v>
      </c>
      <c r="D26" s="9"/>
      <c r="E26" s="9"/>
      <c r="F26" s="9"/>
      <c r="G26" s="9"/>
      <c r="I26" s="17" t="s">
        <v>47</v>
      </c>
      <c r="J26" s="9"/>
      <c r="K26" s="9"/>
      <c r="L26" s="10"/>
    </row>
    <row r="27" spans="2:12" x14ac:dyDescent="0.45">
      <c r="B27" s="11"/>
      <c r="C27" s="44" t="s">
        <v>43</v>
      </c>
      <c r="D27" s="44" t="s">
        <v>27</v>
      </c>
      <c r="E27" s="44" t="s">
        <v>28</v>
      </c>
      <c r="F27" s="44" t="s">
        <v>29</v>
      </c>
      <c r="G27" s="44" t="s">
        <v>44</v>
      </c>
      <c r="I27" s="21" t="s">
        <v>48</v>
      </c>
      <c r="L27" s="12"/>
    </row>
    <row r="28" spans="2:12" x14ac:dyDescent="0.45">
      <c r="B28" s="11"/>
      <c r="C28" s="23" t="s">
        <v>45</v>
      </c>
      <c r="I28" s="6" t="s">
        <v>46</v>
      </c>
      <c r="L28" s="12"/>
    </row>
    <row r="29" spans="2:12" x14ac:dyDescent="0.45">
      <c r="B29" s="11"/>
      <c r="C29" s="44">
        <v>2</v>
      </c>
      <c r="D29" s="44">
        <v>1</v>
      </c>
      <c r="E29" s="44">
        <v>3</v>
      </c>
      <c r="I29" s="5" t="str" cm="1">
        <f t="array" ref="I29:I40">Echoλ(Places,RepD)</f>
        <v>Cairo</v>
      </c>
      <c r="L29" s="12"/>
    </row>
    <row r="30" spans="2:12" x14ac:dyDescent="0.45">
      <c r="B30" s="11"/>
      <c r="I30" s="5" t="str">
        <v>Cairo</v>
      </c>
      <c r="L30" s="12"/>
    </row>
    <row r="31" spans="2:12" x14ac:dyDescent="0.45">
      <c r="B31" s="11"/>
      <c r="I31" s="5" t="str">
        <v>London</v>
      </c>
      <c r="L31" s="12"/>
    </row>
    <row r="32" spans="2:12" x14ac:dyDescent="0.45">
      <c r="B32" s="11"/>
      <c r="I32" s="5" t="str">
        <v>Helsinki</v>
      </c>
      <c r="L32" s="12"/>
    </row>
    <row r="33" spans="2:12" x14ac:dyDescent="0.45">
      <c r="B33" s="11"/>
      <c r="I33" s="5" t="str">
        <v>Helsinki</v>
      </c>
      <c r="L33" s="12"/>
    </row>
    <row r="34" spans="2:12" x14ac:dyDescent="0.45">
      <c r="B34" s="11"/>
      <c r="I34" s="5" t="str">
        <v>Helsinki</v>
      </c>
      <c r="L34" s="12"/>
    </row>
    <row r="35" spans="2:12" x14ac:dyDescent="0.45">
      <c r="B35" s="11"/>
      <c r="I35" s="5" t="str">
        <v>Paris</v>
      </c>
      <c r="L35" s="12"/>
    </row>
    <row r="36" spans="2:12" x14ac:dyDescent="0.45">
      <c r="B36" s="11"/>
      <c r="I36" s="5" t="str">
        <v>Paris</v>
      </c>
      <c r="L36" s="12"/>
    </row>
    <row r="37" spans="2:12" x14ac:dyDescent="0.45">
      <c r="B37" s="11"/>
      <c r="I37" s="5" t="str">
        <v>Paris</v>
      </c>
      <c r="L37" s="12"/>
    </row>
    <row r="38" spans="2:12" x14ac:dyDescent="0.45">
      <c r="B38" s="11"/>
      <c r="I38" s="5" t="str">
        <v>Tokyo</v>
      </c>
      <c r="L38" s="12"/>
    </row>
    <row r="39" spans="2:12" x14ac:dyDescent="0.45">
      <c r="B39" s="11"/>
      <c r="I39" s="5" t="str">
        <v>Tokyo</v>
      </c>
      <c r="L39" s="12"/>
    </row>
    <row r="40" spans="2:12" x14ac:dyDescent="0.45">
      <c r="B40" s="11"/>
      <c r="I40" s="5" t="str">
        <v>Tokyo</v>
      </c>
      <c r="L40" s="12"/>
    </row>
    <row r="41" spans="2:12" x14ac:dyDescent="0.45">
      <c r="B41" s="13"/>
      <c r="C41" s="14"/>
      <c r="D41" s="14"/>
      <c r="E41" s="14"/>
      <c r="F41" s="14"/>
      <c r="G41" s="14"/>
      <c r="H41" s="14"/>
      <c r="I41" s="14"/>
      <c r="J41" s="14"/>
      <c r="K41" s="14"/>
      <c r="L41" s="1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BF10-CED4-4859-BC8D-17A4D08A07F5}">
  <sheetPr>
    <tabColor rgb="FFC9C3DD"/>
  </sheetPr>
  <dimension ref="B2:O37"/>
  <sheetViews>
    <sheetView workbookViewId="0"/>
  </sheetViews>
  <sheetFormatPr defaultRowHeight="16.5" x14ac:dyDescent="0.45"/>
  <cols>
    <col min="1" max="1" width="5" style="1" customWidth="1"/>
    <col min="2" max="2" width="6.6640625" style="1" customWidth="1"/>
    <col min="3" max="3" width="13.58203125" style="1" customWidth="1"/>
    <col min="4" max="4" width="22.58203125" style="1" bestFit="1" customWidth="1"/>
    <col min="5" max="5" width="5.58203125" style="1" customWidth="1"/>
    <col min="6" max="6" width="5.08203125" style="1" bestFit="1" customWidth="1"/>
    <col min="7" max="7" width="5.5" style="1" customWidth="1"/>
    <col min="8" max="8" width="18.4140625" style="1" customWidth="1"/>
    <col min="9" max="9" width="22.33203125" style="1" bestFit="1" customWidth="1"/>
    <col min="10" max="10" width="6.25" style="1" bestFit="1" customWidth="1"/>
    <col min="11" max="11" width="3.58203125" style="1" customWidth="1"/>
    <col min="12" max="12" width="10.6640625" style="1" customWidth="1"/>
    <col min="13" max="13" width="15.58203125" style="1" customWidth="1"/>
    <col min="14" max="14" width="3.83203125" style="1" bestFit="1" customWidth="1"/>
    <col min="15" max="15" width="6" style="1" customWidth="1"/>
    <col min="16" max="16384" width="8.6640625" style="1"/>
  </cols>
  <sheetData>
    <row r="2" spans="2:15" x14ac:dyDescent="0.45">
      <c r="B2" s="8" t="s">
        <v>49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10"/>
    </row>
    <row r="3" spans="2:15" x14ac:dyDescent="0.45">
      <c r="B3" s="11" t="s">
        <v>51</v>
      </c>
      <c r="O3" s="12"/>
    </row>
    <row r="4" spans="2:15" x14ac:dyDescent="0.45">
      <c r="B4" s="11" t="s">
        <v>50</v>
      </c>
      <c r="O4" s="12"/>
    </row>
    <row r="5" spans="2:15" ht="9.5" customHeight="1" x14ac:dyDescent="0.45">
      <c r="B5" s="13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/>
    </row>
    <row r="6" spans="2:15" x14ac:dyDescent="0.45">
      <c r="B6" s="24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</row>
    <row r="7" spans="2:15" x14ac:dyDescent="0.45">
      <c r="B7" s="11"/>
      <c r="C7" s="21" t="s">
        <v>54</v>
      </c>
      <c r="D7" s="21"/>
      <c r="E7" s="21"/>
      <c r="F7" s="21" t="s">
        <v>120</v>
      </c>
      <c r="H7" s="7" t="s">
        <v>121</v>
      </c>
      <c r="L7" s="7" t="s">
        <v>82</v>
      </c>
      <c r="O7" s="12"/>
    </row>
    <row r="8" spans="2:15" x14ac:dyDescent="0.45">
      <c r="B8" s="11"/>
      <c r="C8" s="45" t="s">
        <v>52</v>
      </c>
      <c r="D8" s="45" t="s">
        <v>56</v>
      </c>
      <c r="E8" s="27"/>
      <c r="F8" s="44">
        <v>3</v>
      </c>
      <c r="G8" s="22"/>
      <c r="H8" s="6" t="s">
        <v>122</v>
      </c>
      <c r="I8" s="22"/>
      <c r="L8" s="6" t="s">
        <v>81</v>
      </c>
      <c r="O8" s="12"/>
    </row>
    <row r="9" spans="2:15" x14ac:dyDescent="0.45">
      <c r="B9" s="11"/>
      <c r="C9" s="45" t="s">
        <v>55</v>
      </c>
      <c r="D9" s="45" t="s">
        <v>57</v>
      </c>
      <c r="E9" s="27"/>
      <c r="F9" s="44">
        <v>1</v>
      </c>
      <c r="G9" s="22"/>
      <c r="H9" s="20" t="str" cm="1">
        <f t="array" ref="H9:I14">RepeatRowsλ(Fruit,Qty)</f>
        <v>Apple</v>
      </c>
      <c r="I9" s="20" t="str">
        <v>Apple Pie</v>
      </c>
      <c r="L9" s="22" t="str" cm="1">
        <f t="array" ref="L9">RepeatRowsλ(Fruit,{3,0,2})</f>
        <v>#VALUE!</v>
      </c>
      <c r="O9" s="12"/>
    </row>
    <row r="10" spans="2:15" x14ac:dyDescent="0.45">
      <c r="B10" s="11"/>
      <c r="C10" s="45" t="s">
        <v>53</v>
      </c>
      <c r="D10" s="45" t="s">
        <v>58</v>
      </c>
      <c r="E10" s="27"/>
      <c r="F10" s="44">
        <v>2</v>
      </c>
      <c r="G10" s="22"/>
      <c r="H10" s="20" t="str">
        <v>Apple</v>
      </c>
      <c r="I10" s="20" t="str">
        <v>Apple Pie</v>
      </c>
      <c r="O10" s="12"/>
    </row>
    <row r="11" spans="2:15" x14ac:dyDescent="0.45">
      <c r="B11" s="11"/>
      <c r="F11" s="22"/>
      <c r="G11" s="22"/>
      <c r="H11" s="20" t="str">
        <v>Apple</v>
      </c>
      <c r="I11" s="20" t="str">
        <v>Apple Pie</v>
      </c>
      <c r="L11" s="7" t="s">
        <v>145</v>
      </c>
      <c r="O11" s="12"/>
    </row>
    <row r="12" spans="2:15" x14ac:dyDescent="0.45">
      <c r="B12" s="11"/>
      <c r="F12" s="22"/>
      <c r="G12" s="22"/>
      <c r="H12" s="20" t="str">
        <v>Banana</v>
      </c>
      <c r="I12" s="20" t="str">
        <v>Banana Bread</v>
      </c>
      <c r="L12" s="6" t="s">
        <v>83</v>
      </c>
      <c r="O12" s="12"/>
    </row>
    <row r="13" spans="2:15" x14ac:dyDescent="0.45">
      <c r="B13" s="11"/>
      <c r="F13" s="22"/>
      <c r="G13" s="22"/>
      <c r="H13" s="20" t="str">
        <v>Orange</v>
      </c>
      <c r="I13" s="20" t="str">
        <v>Orange Juice</v>
      </c>
      <c r="L13" s="22" t="str" cm="1">
        <f t="array" ref="L13">RepeatRowsλ(Fruit,{"2",1,4})</f>
        <v>#VALUE!</v>
      </c>
      <c r="O13" s="12"/>
    </row>
    <row r="14" spans="2:15" x14ac:dyDescent="0.45">
      <c r="B14" s="11"/>
      <c r="F14" s="22"/>
      <c r="G14" s="22"/>
      <c r="H14" s="20" t="str">
        <v>Orange</v>
      </c>
      <c r="I14" s="20" t="str">
        <v>Orange Juice</v>
      </c>
      <c r="O14" s="12"/>
    </row>
    <row r="15" spans="2:15" x14ac:dyDescent="0.45">
      <c r="B15" s="13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5"/>
    </row>
    <row r="16" spans="2:15" x14ac:dyDescent="0.45">
      <c r="B16" s="24"/>
      <c r="C16" s="16" t="s">
        <v>59</v>
      </c>
      <c r="D16" s="9"/>
      <c r="E16" s="9"/>
      <c r="F16" s="9"/>
      <c r="G16" s="9"/>
      <c r="H16" s="17" t="s">
        <v>67</v>
      </c>
      <c r="I16" s="9"/>
      <c r="J16" s="9"/>
      <c r="K16" s="9"/>
      <c r="L16" s="17" t="s">
        <v>84</v>
      </c>
      <c r="M16" s="9"/>
      <c r="N16" s="9"/>
      <c r="O16" s="10"/>
    </row>
    <row r="17" spans="2:15" x14ac:dyDescent="0.45">
      <c r="B17" s="11"/>
      <c r="C17" s="45" t="s">
        <v>60</v>
      </c>
      <c r="D17" s="45" t="s">
        <v>63</v>
      </c>
      <c r="E17" s="46">
        <v>10.49</v>
      </c>
      <c r="H17" s="6" t="s">
        <v>66</v>
      </c>
      <c r="L17" s="7" t="s">
        <v>69</v>
      </c>
      <c r="O17" s="12"/>
    </row>
    <row r="18" spans="2:15" x14ac:dyDescent="0.45">
      <c r="B18" s="11"/>
      <c r="C18" s="45" t="s">
        <v>61</v>
      </c>
      <c r="D18" s="45" t="s">
        <v>64</v>
      </c>
      <c r="E18" s="46">
        <v>8.99</v>
      </c>
      <c r="H18" s="20" t="str" cm="1">
        <f t="array" ref="H18:J23">RepeatRowsλ(Fish,2)</f>
        <v>Salmon</v>
      </c>
      <c r="I18" s="20" t="str">
        <v>Salmon Teriyaki</v>
      </c>
      <c r="J18" s="30">
        <v>10.49</v>
      </c>
      <c r="L18" s="6" t="s">
        <v>68</v>
      </c>
      <c r="O18" s="12"/>
    </row>
    <row r="19" spans="2:15" x14ac:dyDescent="0.45">
      <c r="B19" s="11"/>
      <c r="C19" s="45" t="s">
        <v>62</v>
      </c>
      <c r="D19" s="45" t="s">
        <v>65</v>
      </c>
      <c r="E19" s="46">
        <v>15.99</v>
      </c>
      <c r="H19" s="20" t="str">
        <v>Salmon</v>
      </c>
      <c r="I19" s="20" t="str">
        <v>Salmon Teriyaki</v>
      </c>
      <c r="J19" s="30">
        <v>10.49</v>
      </c>
      <c r="L19" s="20" t="str" cm="1">
        <f t="array" ref="L19:N23">RepeatRowsλ(Fish,{1,2})</f>
        <v>Salmon</v>
      </c>
      <c r="M19" s="20" t="str">
        <v>Salmon Teriyaki</v>
      </c>
      <c r="N19" s="29">
        <v>10.49</v>
      </c>
      <c r="O19" s="12"/>
    </row>
    <row r="20" spans="2:15" x14ac:dyDescent="0.45">
      <c r="B20" s="11"/>
      <c r="C20" s="22"/>
      <c r="D20" s="22"/>
      <c r="H20" s="20" t="str">
        <v>Tuna</v>
      </c>
      <c r="I20" s="20" t="str">
        <v>Tuna Salad</v>
      </c>
      <c r="J20" s="30">
        <v>8.99</v>
      </c>
      <c r="L20" s="20" t="str">
        <v>Tuna</v>
      </c>
      <c r="M20" s="20" t="str">
        <v>Tuna Salad</v>
      </c>
      <c r="N20" s="29">
        <v>8.99</v>
      </c>
      <c r="O20" s="12"/>
    </row>
    <row r="21" spans="2:15" x14ac:dyDescent="0.45">
      <c r="B21" s="11"/>
      <c r="C21" s="22"/>
      <c r="D21" s="22"/>
      <c r="H21" s="20" t="str">
        <v>Tuna</v>
      </c>
      <c r="I21" s="20" t="str">
        <v>Tuna Salad</v>
      </c>
      <c r="J21" s="30">
        <v>8.99</v>
      </c>
      <c r="L21" s="20" t="str">
        <v>Tuna</v>
      </c>
      <c r="M21" s="20" t="str">
        <v>Tuna Salad</v>
      </c>
      <c r="N21" s="29">
        <v>8.99</v>
      </c>
      <c r="O21" s="12"/>
    </row>
    <row r="22" spans="2:15" x14ac:dyDescent="0.45">
      <c r="B22" s="11"/>
      <c r="G22" s="12"/>
      <c r="H22" s="20" t="str">
        <v>Swordfish</v>
      </c>
      <c r="I22" s="20" t="str">
        <v>Grilled Swordfish</v>
      </c>
      <c r="J22" s="30">
        <v>15.99</v>
      </c>
      <c r="L22" s="20" t="str">
        <v>Swordfish</v>
      </c>
      <c r="M22" s="20" t="str">
        <v>Grilled Swordfish</v>
      </c>
      <c r="N22" s="29">
        <v>15.99</v>
      </c>
      <c r="O22" s="12"/>
    </row>
    <row r="23" spans="2:15" x14ac:dyDescent="0.45">
      <c r="B23" s="11"/>
      <c r="F23" s="22"/>
      <c r="G23" s="22"/>
      <c r="H23" s="20" t="str">
        <v>Swordfish</v>
      </c>
      <c r="I23" s="20" t="str">
        <v>Grilled Swordfish</v>
      </c>
      <c r="J23" s="30">
        <v>15.99</v>
      </c>
      <c r="L23" s="20" t="str">
        <v>Swordfish</v>
      </c>
      <c r="M23" s="20" t="str">
        <v>Grilled Swordfish</v>
      </c>
      <c r="N23" s="29">
        <v>15.99</v>
      </c>
      <c r="O23" s="12"/>
    </row>
    <row r="24" spans="2:15" ht="9" customHeight="1" x14ac:dyDescent="0.45">
      <c r="B24" s="13"/>
      <c r="C24" s="14"/>
      <c r="D24" s="14"/>
      <c r="E24" s="14"/>
      <c r="F24" s="32"/>
      <c r="G24" s="32"/>
      <c r="H24" s="14"/>
      <c r="I24" s="14"/>
      <c r="J24" s="14"/>
      <c r="K24" s="14"/>
      <c r="L24" s="14"/>
      <c r="M24" s="14"/>
      <c r="N24" s="14"/>
      <c r="O24" s="15"/>
    </row>
    <row r="25" spans="2:15" x14ac:dyDescent="0.45">
      <c r="B25" s="24"/>
      <c r="C25" s="16" t="s">
        <v>75</v>
      </c>
      <c r="D25" s="33"/>
      <c r="E25" s="34"/>
      <c r="F25" s="37" t="s">
        <v>119</v>
      </c>
      <c r="G25" s="28"/>
      <c r="H25" s="17" t="s">
        <v>118</v>
      </c>
      <c r="I25" s="9"/>
      <c r="J25" s="9"/>
      <c r="K25" s="9"/>
      <c r="L25" s="9"/>
      <c r="M25" s="9"/>
      <c r="N25" s="9"/>
      <c r="O25" s="10"/>
    </row>
    <row r="26" spans="2:15" x14ac:dyDescent="0.45">
      <c r="B26" s="11"/>
      <c r="C26" s="45" t="s">
        <v>70</v>
      </c>
      <c r="D26" s="45" t="s">
        <v>76</v>
      </c>
      <c r="E26" s="47">
        <v>7.5</v>
      </c>
      <c r="F26" s="44">
        <v>2</v>
      </c>
      <c r="G26" s="22"/>
      <c r="H26" s="6" t="s">
        <v>117</v>
      </c>
      <c r="O26" s="12"/>
    </row>
    <row r="27" spans="2:15" x14ac:dyDescent="0.45">
      <c r="B27" s="11"/>
      <c r="C27" s="45" t="s">
        <v>71</v>
      </c>
      <c r="D27" s="45" t="s">
        <v>77</v>
      </c>
      <c r="E27" s="47">
        <v>6.75</v>
      </c>
      <c r="F27" s="44">
        <v>1</v>
      </c>
      <c r="G27" s="22"/>
      <c r="H27" s="20" t="str" cm="1">
        <f t="array" ref="H27:J36">RepeatRowsλ(Bread,Sold)</f>
        <v>Sourdough</v>
      </c>
      <c r="I27" s="20" t="str">
        <v>Turkey and Swiss</v>
      </c>
      <c r="J27" s="30">
        <v>7.5</v>
      </c>
      <c r="O27" s="12"/>
    </row>
    <row r="28" spans="2:15" x14ac:dyDescent="0.45">
      <c r="B28" s="11"/>
      <c r="C28" s="45" t="s">
        <v>72</v>
      </c>
      <c r="D28" s="45" t="s">
        <v>78</v>
      </c>
      <c r="E28" s="47">
        <v>8.25</v>
      </c>
      <c r="F28" s="44">
        <v>3</v>
      </c>
      <c r="G28" s="22"/>
      <c r="H28" s="20" t="str">
        <v>Sourdough</v>
      </c>
      <c r="I28" s="20" t="str">
        <v>Turkey and Swiss</v>
      </c>
      <c r="J28" s="30">
        <v>7.5</v>
      </c>
      <c r="O28" s="12"/>
    </row>
    <row r="29" spans="2:15" x14ac:dyDescent="0.45">
      <c r="B29" s="11"/>
      <c r="C29" s="45" t="s">
        <v>73</v>
      </c>
      <c r="D29" s="45" t="s">
        <v>79</v>
      </c>
      <c r="E29" s="47">
        <v>7.25</v>
      </c>
      <c r="F29" s="44">
        <v>2</v>
      </c>
      <c r="H29" s="20" t="str">
        <v>Baguette</v>
      </c>
      <c r="I29" s="20" t="str">
        <v>Ham and Cheese</v>
      </c>
      <c r="J29" s="30">
        <v>6.75</v>
      </c>
      <c r="O29" s="12"/>
    </row>
    <row r="30" spans="2:15" x14ac:dyDescent="0.45">
      <c r="B30" s="11"/>
      <c r="C30" s="45" t="s">
        <v>74</v>
      </c>
      <c r="D30" s="45" t="s">
        <v>80</v>
      </c>
      <c r="E30" s="47">
        <v>7.49</v>
      </c>
      <c r="F30" s="31"/>
      <c r="H30" s="20" t="str">
        <v>Rye</v>
      </c>
      <c r="I30" s="20" t="str">
        <v>Corned Beef and Mustard</v>
      </c>
      <c r="J30" s="30">
        <v>8.25</v>
      </c>
      <c r="O30" s="12"/>
    </row>
    <row r="31" spans="2:15" x14ac:dyDescent="0.45">
      <c r="B31" s="11"/>
      <c r="H31" s="20" t="str">
        <v>Rye</v>
      </c>
      <c r="I31" s="20" t="str">
        <v>Corned Beef and Mustard</v>
      </c>
      <c r="J31" s="30">
        <v>8.25</v>
      </c>
      <c r="O31" s="12"/>
    </row>
    <row r="32" spans="2:15" x14ac:dyDescent="0.45">
      <c r="B32" s="11"/>
      <c r="H32" s="20" t="str">
        <v>Rye</v>
      </c>
      <c r="I32" s="20" t="str">
        <v>Corned Beef and Mustard</v>
      </c>
      <c r="J32" s="30">
        <v>8.25</v>
      </c>
      <c r="O32" s="12"/>
    </row>
    <row r="33" spans="2:15" x14ac:dyDescent="0.45">
      <c r="B33" s="11"/>
      <c r="H33" s="20" t="str">
        <v>Ciabatta</v>
      </c>
      <c r="I33" s="20" t="str">
        <v>Chicken Pesto</v>
      </c>
      <c r="J33" s="30">
        <v>7.25</v>
      </c>
      <c r="O33" s="12"/>
    </row>
    <row r="34" spans="2:15" x14ac:dyDescent="0.45">
      <c r="B34" s="11"/>
      <c r="H34" s="20" t="str">
        <v>Ciabatta</v>
      </c>
      <c r="I34" s="20" t="str">
        <v>Chicken Pesto</v>
      </c>
      <c r="J34" s="30">
        <v>7.25</v>
      </c>
      <c r="O34" s="12"/>
    </row>
    <row r="35" spans="2:15" x14ac:dyDescent="0.45">
      <c r="B35" s="11"/>
      <c r="H35" s="20" t="str">
        <v>Focaccia</v>
      </c>
      <c r="I35" s="20" t="str">
        <v>Caprese</v>
      </c>
      <c r="J35" s="30">
        <v>7.49</v>
      </c>
      <c r="O35" s="12"/>
    </row>
    <row r="36" spans="2:15" x14ac:dyDescent="0.45">
      <c r="B36" s="11"/>
      <c r="H36" s="20" t="str">
        <v>Focaccia</v>
      </c>
      <c r="I36" s="20" t="str">
        <v>Caprese</v>
      </c>
      <c r="J36" s="30">
        <v>7.49</v>
      </c>
      <c r="O36" s="12"/>
    </row>
    <row r="37" spans="2:15" x14ac:dyDescent="0.45">
      <c r="B37" s="13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FB61-D9A5-43A1-AFCE-5920FFA48CD8}">
  <sheetPr>
    <tabColor rgb="FFC9C3DD"/>
  </sheetPr>
  <dimension ref="B2:P30"/>
  <sheetViews>
    <sheetView workbookViewId="0"/>
  </sheetViews>
  <sheetFormatPr defaultRowHeight="16.5" x14ac:dyDescent="0.45"/>
  <cols>
    <col min="1" max="1" width="5" style="1" customWidth="1"/>
    <col min="2" max="2" width="6.6640625" style="1" customWidth="1"/>
    <col min="3" max="3" width="14.75" style="1" customWidth="1"/>
    <col min="4" max="4" width="14.58203125" style="1" customWidth="1"/>
    <col min="5" max="5" width="12.58203125" style="1" customWidth="1"/>
    <col min="6" max="6" width="4.1640625" style="1" customWidth="1"/>
    <col min="7" max="7" width="12.08203125" style="1" bestFit="1" customWidth="1"/>
    <col min="8" max="9" width="12.58203125" style="1" bestFit="1" customWidth="1"/>
    <col min="10" max="11" width="12.08203125" style="1" bestFit="1" customWidth="1"/>
    <col min="12" max="12" width="12.58203125" style="1" customWidth="1"/>
    <col min="13" max="13" width="12" style="1" customWidth="1"/>
    <col min="14" max="16384" width="8.6640625" style="1"/>
  </cols>
  <sheetData>
    <row r="2" spans="2:16" x14ac:dyDescent="0.45">
      <c r="B2" s="8" t="s">
        <v>85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spans="2:16" x14ac:dyDescent="0.45">
      <c r="B3" s="11" t="s">
        <v>86</v>
      </c>
      <c r="P3" s="12"/>
    </row>
    <row r="4" spans="2:16" x14ac:dyDescent="0.45">
      <c r="B4" s="11" t="s">
        <v>50</v>
      </c>
      <c r="P4" s="12"/>
    </row>
    <row r="5" spans="2:16" x14ac:dyDescent="0.45">
      <c r="B5" s="13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5"/>
    </row>
    <row r="6" spans="2:16" x14ac:dyDescent="0.45">
      <c r="B6" s="24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10"/>
    </row>
    <row r="7" spans="2:16" x14ac:dyDescent="0.45">
      <c r="B7" s="11"/>
      <c r="C7" s="21" t="s">
        <v>93</v>
      </c>
      <c r="G7" s="7" t="s">
        <v>115</v>
      </c>
      <c r="N7" s="7" t="s">
        <v>95</v>
      </c>
      <c r="P7" s="12"/>
    </row>
    <row r="8" spans="2:16" x14ac:dyDescent="0.45">
      <c r="B8" s="11"/>
      <c r="C8" s="48" t="s">
        <v>87</v>
      </c>
      <c r="D8" s="48" t="s">
        <v>88</v>
      </c>
      <c r="E8" s="48" t="s">
        <v>89</v>
      </c>
      <c r="G8" s="6" t="s">
        <v>114</v>
      </c>
      <c r="N8" s="6" t="s">
        <v>94</v>
      </c>
      <c r="P8" s="12"/>
    </row>
    <row r="9" spans="2:16" x14ac:dyDescent="0.45">
      <c r="B9" s="11"/>
      <c r="C9" s="48" t="s">
        <v>90</v>
      </c>
      <c r="D9" s="48" t="s">
        <v>91</v>
      </c>
      <c r="E9" s="48" t="s">
        <v>92</v>
      </c>
      <c r="G9" s="20" t="str" cm="1">
        <f t="array" ref="G9:L11">RepeatColsλ(Noodle,Served)</f>
        <v>Ramen</v>
      </c>
      <c r="H9" s="20" t="str">
        <v>Ramen</v>
      </c>
      <c r="I9" s="20" t="str">
        <v>Udon</v>
      </c>
      <c r="J9" s="20" t="str">
        <v>Udon</v>
      </c>
      <c r="K9" s="20" t="str">
        <v>Udon</v>
      </c>
      <c r="L9" s="20" t="str">
        <v>Soba</v>
      </c>
      <c r="N9" s="22" t="str" cm="1">
        <f t="array" ref="N9">RepeatColsλ(Noodle,{2,0,3})</f>
        <v>#VALUE!</v>
      </c>
      <c r="P9" s="12"/>
    </row>
    <row r="10" spans="2:16" x14ac:dyDescent="0.45">
      <c r="B10" s="11"/>
      <c r="C10" s="49">
        <v>935</v>
      </c>
      <c r="D10" s="49">
        <v>770</v>
      </c>
      <c r="E10" s="49">
        <v>825</v>
      </c>
      <c r="G10" s="20" t="str">
        <v>Shoyu Ramen</v>
      </c>
      <c r="H10" s="20" t="str">
        <v>Shoyu Ramen</v>
      </c>
      <c r="I10" s="20" t="str">
        <v>Kake Udon</v>
      </c>
      <c r="J10" s="20" t="str">
        <v>Kake Udon</v>
      </c>
      <c r="K10" s="20" t="str">
        <v>Kake Udon</v>
      </c>
      <c r="L10" s="20" t="str">
        <v>Zaru Soba</v>
      </c>
      <c r="P10" s="12"/>
    </row>
    <row r="11" spans="2:16" x14ac:dyDescent="0.45">
      <c r="B11" s="11"/>
      <c r="G11" s="35">
        <v>935</v>
      </c>
      <c r="H11" s="35">
        <v>935</v>
      </c>
      <c r="I11" s="35">
        <v>770</v>
      </c>
      <c r="J11" s="35">
        <v>770</v>
      </c>
      <c r="K11" s="35">
        <v>770</v>
      </c>
      <c r="L11" s="35">
        <v>825</v>
      </c>
      <c r="N11" s="7" t="s">
        <v>145</v>
      </c>
      <c r="P11" s="12"/>
    </row>
    <row r="12" spans="2:16" x14ac:dyDescent="0.45">
      <c r="B12" s="11"/>
      <c r="C12" s="21" t="s">
        <v>116</v>
      </c>
      <c r="N12" s="6" t="s">
        <v>144</v>
      </c>
      <c r="P12" s="12"/>
    </row>
    <row r="13" spans="2:16" x14ac:dyDescent="0.45">
      <c r="B13" s="11"/>
      <c r="C13" s="44">
        <v>2</v>
      </c>
      <c r="D13" s="44">
        <v>3</v>
      </c>
      <c r="E13" s="44">
        <v>1</v>
      </c>
      <c r="N13" s="22" t="str" cm="1">
        <f t="array" ref="N13">RepeatColsλ(Noodle,{2,"1",3})</f>
        <v>#VALUE!</v>
      </c>
      <c r="P13" s="12"/>
    </row>
    <row r="14" spans="2:16" x14ac:dyDescent="0.45">
      <c r="B14" s="13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5"/>
    </row>
    <row r="15" spans="2:16" x14ac:dyDescent="0.45">
      <c r="B15" s="11"/>
      <c r="C15" s="21" t="s">
        <v>102</v>
      </c>
      <c r="G15" s="7" t="s">
        <v>113</v>
      </c>
      <c r="P15" s="12"/>
    </row>
    <row r="16" spans="2:16" x14ac:dyDescent="0.45">
      <c r="B16" s="11"/>
      <c r="C16" s="48" t="s">
        <v>97</v>
      </c>
      <c r="D16" s="48" t="s">
        <v>98</v>
      </c>
      <c r="E16" s="48" t="s">
        <v>96</v>
      </c>
      <c r="G16" s="6" t="s">
        <v>110</v>
      </c>
      <c r="P16" s="12"/>
    </row>
    <row r="17" spans="2:16" x14ac:dyDescent="0.45">
      <c r="B17" s="11"/>
      <c r="C17" s="48" t="s">
        <v>99</v>
      </c>
      <c r="D17" s="48" t="s">
        <v>100</v>
      </c>
      <c r="E17" s="48" t="s">
        <v>101</v>
      </c>
      <c r="G17" s="26" t="str" cm="1">
        <f t="array" ref="G17:M21">RepeatColsλ(Dealer,Available)</f>
        <v>Velocity Drive</v>
      </c>
      <c r="H17" s="26" t="str">
        <v>Velocity Drive</v>
      </c>
      <c r="I17" s="26" t="str">
        <v>Velocity Drive</v>
      </c>
      <c r="J17" s="26" t="str">
        <v>Luxury Rides</v>
      </c>
      <c r="K17" s="26" t="str">
        <v>Luxury Rides</v>
      </c>
      <c r="L17" s="26" t="str">
        <v>Exotic Motors</v>
      </c>
      <c r="M17" s="26" t="str">
        <v>Exotic Motors</v>
      </c>
      <c r="P17" s="12"/>
    </row>
    <row r="18" spans="2:16" x14ac:dyDescent="0.45">
      <c r="B18" s="11"/>
      <c r="C18" s="48" t="s">
        <v>104</v>
      </c>
      <c r="D18" s="48" t="s">
        <v>106</v>
      </c>
      <c r="E18" s="48" t="s">
        <v>108</v>
      </c>
      <c r="G18" s="26" t="str">
        <v>Podunk</v>
      </c>
      <c r="H18" s="26" t="str">
        <v>Podunk</v>
      </c>
      <c r="I18" s="26" t="str">
        <v>Podunk</v>
      </c>
      <c r="J18" s="26" t="str">
        <v>Springfield</v>
      </c>
      <c r="K18" s="26" t="str">
        <v>Springfield</v>
      </c>
      <c r="L18" s="26" t="str">
        <v>Newton Falls</v>
      </c>
      <c r="M18" s="26" t="str">
        <v>Newton Falls</v>
      </c>
      <c r="P18" s="12"/>
    </row>
    <row r="19" spans="2:16" x14ac:dyDescent="0.45">
      <c r="B19" s="11"/>
      <c r="C19" s="50" t="s">
        <v>103</v>
      </c>
      <c r="D19" s="48" t="s">
        <v>105</v>
      </c>
      <c r="E19" s="48" t="s">
        <v>107</v>
      </c>
      <c r="G19" s="26" t="str">
        <v xml:space="preserve">Lamborghini </v>
      </c>
      <c r="H19" s="26" t="str">
        <v xml:space="preserve">Lamborghini </v>
      </c>
      <c r="I19" s="26" t="str">
        <v xml:space="preserve">Lamborghini </v>
      </c>
      <c r="J19" s="26" t="str">
        <v>Ferrari</v>
      </c>
      <c r="K19" s="26" t="str">
        <v>Ferrari</v>
      </c>
      <c r="L19" s="26" t="str">
        <v xml:space="preserve">McLaren </v>
      </c>
      <c r="M19" s="26" t="str">
        <v xml:space="preserve">McLaren </v>
      </c>
      <c r="P19" s="12"/>
    </row>
    <row r="20" spans="2:16" x14ac:dyDescent="0.45">
      <c r="B20" s="11"/>
      <c r="C20" s="46">
        <v>500000</v>
      </c>
      <c r="D20" s="46">
        <v>1500000</v>
      </c>
      <c r="E20" s="46">
        <v>1200000</v>
      </c>
      <c r="G20" s="36" t="str">
        <v>Aventador</v>
      </c>
      <c r="H20" s="36" t="str">
        <v>Aventador</v>
      </c>
      <c r="I20" s="36" t="str">
        <v>Aventador</v>
      </c>
      <c r="J20" s="36" t="str">
        <v>LaFerrari</v>
      </c>
      <c r="K20" s="36" t="str">
        <v>LaFerrari</v>
      </c>
      <c r="L20" s="36" t="str">
        <v>P1</v>
      </c>
      <c r="M20" s="36" t="str">
        <v>P1</v>
      </c>
      <c r="P20" s="12"/>
    </row>
    <row r="21" spans="2:16" x14ac:dyDescent="0.45">
      <c r="B21" s="11"/>
      <c r="G21" s="29">
        <v>500000</v>
      </c>
      <c r="H21" s="29">
        <v>500000</v>
      </c>
      <c r="I21" s="29">
        <v>500000</v>
      </c>
      <c r="J21" s="29">
        <v>1500000</v>
      </c>
      <c r="K21" s="29">
        <v>1500000</v>
      </c>
      <c r="L21" s="29">
        <v>1200000</v>
      </c>
      <c r="M21" s="29">
        <v>1200000</v>
      </c>
      <c r="P21" s="12"/>
    </row>
    <row r="22" spans="2:16" x14ac:dyDescent="0.45">
      <c r="B22" s="11"/>
      <c r="C22" s="21" t="s">
        <v>109</v>
      </c>
      <c r="E22" s="19"/>
      <c r="P22" s="12"/>
    </row>
    <row r="23" spans="2:16" x14ac:dyDescent="0.45">
      <c r="B23" s="11"/>
      <c r="C23" s="44">
        <v>3</v>
      </c>
      <c r="D23" s="44">
        <v>2</v>
      </c>
      <c r="G23" s="7" t="s">
        <v>112</v>
      </c>
      <c r="P23" s="12"/>
    </row>
    <row r="24" spans="2:16" x14ac:dyDescent="0.45">
      <c r="B24" s="11"/>
      <c r="G24" s="6" t="s">
        <v>111</v>
      </c>
      <c r="P24" s="12"/>
    </row>
    <row r="25" spans="2:16" x14ac:dyDescent="0.45">
      <c r="B25" s="11"/>
      <c r="G25" s="20" t="str" cm="1">
        <f t="array" ref="G25:L29">RepeatColsλ(Dealer,2)</f>
        <v>Velocity Drive</v>
      </c>
      <c r="H25" s="20" t="str">
        <v>Velocity Drive</v>
      </c>
      <c r="I25" s="20" t="str">
        <v>Luxury Rides</v>
      </c>
      <c r="J25" s="20" t="str">
        <v>Luxury Rides</v>
      </c>
      <c r="K25" s="20" t="str">
        <v>Exotic Motors</v>
      </c>
      <c r="L25" s="20" t="str">
        <v>Exotic Motors</v>
      </c>
      <c r="P25" s="12"/>
    </row>
    <row r="26" spans="2:16" x14ac:dyDescent="0.45">
      <c r="B26" s="11"/>
      <c r="G26" s="20" t="str">
        <v>Podunk</v>
      </c>
      <c r="H26" s="20" t="str">
        <v>Podunk</v>
      </c>
      <c r="I26" s="20" t="str">
        <v>Springfield</v>
      </c>
      <c r="J26" s="20" t="str">
        <v>Springfield</v>
      </c>
      <c r="K26" s="20" t="str">
        <v>Newton Falls</v>
      </c>
      <c r="L26" s="20" t="str">
        <v>Newton Falls</v>
      </c>
      <c r="P26" s="12"/>
    </row>
    <row r="27" spans="2:16" x14ac:dyDescent="0.45">
      <c r="B27" s="11"/>
      <c r="G27" s="20" t="str">
        <v xml:space="preserve">Lamborghini </v>
      </c>
      <c r="H27" s="20" t="str">
        <v xml:space="preserve">Lamborghini </v>
      </c>
      <c r="I27" s="20" t="str">
        <v>Ferrari</v>
      </c>
      <c r="J27" s="20" t="str">
        <v>Ferrari</v>
      </c>
      <c r="K27" s="20" t="str">
        <v xml:space="preserve">McLaren </v>
      </c>
      <c r="L27" s="20" t="str">
        <v xml:space="preserve">McLaren </v>
      </c>
      <c r="P27" s="12"/>
    </row>
    <row r="28" spans="2:16" x14ac:dyDescent="0.45">
      <c r="B28" s="11"/>
      <c r="G28" s="20" t="str">
        <v>Aventador</v>
      </c>
      <c r="H28" s="20" t="str">
        <v>Aventador</v>
      </c>
      <c r="I28" s="20" t="str">
        <v>LaFerrari</v>
      </c>
      <c r="J28" s="20" t="str">
        <v>LaFerrari</v>
      </c>
      <c r="K28" s="20" t="str">
        <v>P1</v>
      </c>
      <c r="L28" s="20" t="str">
        <v>P1</v>
      </c>
      <c r="P28" s="12"/>
    </row>
    <row r="29" spans="2:16" x14ac:dyDescent="0.45">
      <c r="B29" s="11"/>
      <c r="G29" s="29">
        <v>500000</v>
      </c>
      <c r="H29" s="29">
        <v>500000</v>
      </c>
      <c r="I29" s="29">
        <v>1500000</v>
      </c>
      <c r="J29" s="29">
        <v>1500000</v>
      </c>
      <c r="K29" s="29">
        <v>1200000</v>
      </c>
      <c r="L29" s="29">
        <v>1200000</v>
      </c>
      <c r="P29" s="12"/>
    </row>
    <row r="30" spans="2:16" x14ac:dyDescent="0.45">
      <c r="B30" s="13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93966-E0B7-4B59-85CD-DCFFD8A64BC6}">
  <sheetPr>
    <tabColor rgb="FFC9C3DD"/>
  </sheetPr>
  <dimension ref="B2:X39"/>
  <sheetViews>
    <sheetView workbookViewId="0"/>
  </sheetViews>
  <sheetFormatPr defaultRowHeight="16.5" x14ac:dyDescent="0.45"/>
  <cols>
    <col min="1" max="1" width="5" style="1" customWidth="1"/>
    <col min="2" max="2" width="8.6640625" style="1"/>
    <col min="3" max="5" width="3.58203125" style="1" customWidth="1"/>
    <col min="6" max="6" width="6.1640625" style="1" customWidth="1"/>
    <col min="7" max="12" width="3.58203125" style="1" customWidth="1"/>
    <col min="13" max="13" width="4" style="1" customWidth="1"/>
    <col min="14" max="19" width="3.58203125" style="1" customWidth="1"/>
    <col min="20" max="20" width="5.6640625" style="1" customWidth="1"/>
    <col min="21" max="22" width="3.58203125" style="1" customWidth="1"/>
    <col min="23" max="16384" width="8.6640625" style="1"/>
  </cols>
  <sheetData>
    <row r="2" spans="2:24" x14ac:dyDescent="0.45">
      <c r="B2" s="8" t="s">
        <v>123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10"/>
    </row>
    <row r="3" spans="2:24" x14ac:dyDescent="0.45">
      <c r="B3" s="11" t="s">
        <v>124</v>
      </c>
      <c r="X3" s="12"/>
    </row>
    <row r="4" spans="2:24" x14ac:dyDescent="0.45">
      <c r="B4" s="11" t="s">
        <v>126</v>
      </c>
      <c r="X4" s="12"/>
    </row>
    <row r="5" spans="2:24" x14ac:dyDescent="0.45">
      <c r="B5" s="13" t="s">
        <v>125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5"/>
    </row>
    <row r="6" spans="2:24" x14ac:dyDescent="0.45">
      <c r="B6" s="24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10"/>
    </row>
    <row r="7" spans="2:24" x14ac:dyDescent="0.45">
      <c r="B7" s="11"/>
      <c r="C7" s="21" t="s">
        <v>128</v>
      </c>
      <c r="G7" s="7" t="s">
        <v>130</v>
      </c>
      <c r="N7" s="7" t="s">
        <v>133</v>
      </c>
      <c r="U7" s="7" t="s">
        <v>134</v>
      </c>
      <c r="X7" s="12"/>
    </row>
    <row r="8" spans="2:24" x14ac:dyDescent="0.45">
      <c r="B8" s="11"/>
      <c r="C8" s="44" t="s">
        <v>18</v>
      </c>
      <c r="D8" s="44" t="s">
        <v>19</v>
      </c>
      <c r="G8" s="6" t="s">
        <v>129</v>
      </c>
      <c r="N8" s="6" t="s">
        <v>131</v>
      </c>
      <c r="U8" s="6" t="s">
        <v>132</v>
      </c>
      <c r="X8" s="12"/>
    </row>
    <row r="9" spans="2:24" x14ac:dyDescent="0.45">
      <c r="B9" s="11"/>
      <c r="C9" s="44" t="s">
        <v>20</v>
      </c>
      <c r="D9" s="44" t="s">
        <v>127</v>
      </c>
      <c r="G9" s="5" t="str" cm="1">
        <f t="array" ref="G9:L13">Tessellateλ(Alpha,5,6)</f>
        <v>A</v>
      </c>
      <c r="H9" s="5" t="str">
        <v>B</v>
      </c>
      <c r="I9" s="5" t="str">
        <v>A</v>
      </c>
      <c r="J9" s="5" t="str">
        <v>B</v>
      </c>
      <c r="K9" s="5" t="str">
        <v>A</v>
      </c>
      <c r="L9" s="5" t="str">
        <v>B</v>
      </c>
      <c r="N9" s="5" t="str" cm="1">
        <f t="array" ref="N9:S10">Tessellateλ(Alpha,2,6)</f>
        <v>A</v>
      </c>
      <c r="O9" s="5" t="str">
        <v>B</v>
      </c>
      <c r="P9" s="5" t="str">
        <v>A</v>
      </c>
      <c r="Q9" s="5" t="str">
        <v>B</v>
      </c>
      <c r="R9" s="5" t="str">
        <v>A</v>
      </c>
      <c r="S9" s="5" t="str">
        <v>B</v>
      </c>
      <c r="U9" s="5" t="str" cm="1">
        <f t="array" ref="U9:V14">Tessellateλ(Alpha,6,2)</f>
        <v>A</v>
      </c>
      <c r="V9" s="5" t="str">
        <v>B</v>
      </c>
      <c r="X9" s="12"/>
    </row>
    <row r="10" spans="2:24" x14ac:dyDescent="0.45">
      <c r="B10" s="11"/>
      <c r="G10" s="5" t="str">
        <v>C</v>
      </c>
      <c r="H10" s="5" t="str">
        <v>D</v>
      </c>
      <c r="I10" s="5" t="str">
        <v>C</v>
      </c>
      <c r="J10" s="5" t="str">
        <v>D</v>
      </c>
      <c r="K10" s="5" t="str">
        <v>C</v>
      </c>
      <c r="L10" s="5" t="str">
        <v>D</v>
      </c>
      <c r="N10" s="5" t="str">
        <v>C</v>
      </c>
      <c r="O10" s="5" t="str">
        <v>D</v>
      </c>
      <c r="P10" s="5" t="str">
        <v>C</v>
      </c>
      <c r="Q10" s="5" t="str">
        <v>D</v>
      </c>
      <c r="R10" s="5" t="str">
        <v>C</v>
      </c>
      <c r="S10" s="5" t="str">
        <v>D</v>
      </c>
      <c r="U10" s="5" t="str">
        <v>C</v>
      </c>
      <c r="V10" s="5" t="str">
        <v>D</v>
      </c>
      <c r="X10" s="12"/>
    </row>
    <row r="11" spans="2:24" x14ac:dyDescent="0.45">
      <c r="B11" s="11"/>
      <c r="G11" s="5" t="str">
        <v>A</v>
      </c>
      <c r="H11" s="5" t="str">
        <v>B</v>
      </c>
      <c r="I11" s="5" t="str">
        <v>A</v>
      </c>
      <c r="J11" s="5" t="str">
        <v>B</v>
      </c>
      <c r="K11" s="5" t="str">
        <v>A</v>
      </c>
      <c r="L11" s="5" t="str">
        <v>B</v>
      </c>
      <c r="U11" s="5" t="str">
        <v>A</v>
      </c>
      <c r="V11" s="5" t="str">
        <v>B</v>
      </c>
      <c r="X11" s="12"/>
    </row>
    <row r="12" spans="2:24" x14ac:dyDescent="0.45">
      <c r="B12" s="11"/>
      <c r="G12" s="5" t="str">
        <v>C</v>
      </c>
      <c r="H12" s="5" t="str">
        <v>D</v>
      </c>
      <c r="I12" s="5" t="str">
        <v>C</v>
      </c>
      <c r="J12" s="5" t="str">
        <v>D</v>
      </c>
      <c r="K12" s="5" t="str">
        <v>C</v>
      </c>
      <c r="L12" s="5" t="str">
        <v>D</v>
      </c>
      <c r="U12" s="5" t="str">
        <v>C</v>
      </c>
      <c r="V12" s="5" t="str">
        <v>D</v>
      </c>
      <c r="X12" s="12"/>
    </row>
    <row r="13" spans="2:24" x14ac:dyDescent="0.45">
      <c r="B13" s="11"/>
      <c r="G13" s="5" t="str">
        <v>A</v>
      </c>
      <c r="H13" s="5" t="str">
        <v>B</v>
      </c>
      <c r="I13" s="5" t="str">
        <v>A</v>
      </c>
      <c r="J13" s="5" t="str">
        <v>B</v>
      </c>
      <c r="K13" s="5" t="str">
        <v>A</v>
      </c>
      <c r="L13" s="5" t="str">
        <v>B</v>
      </c>
      <c r="U13" s="5" t="str">
        <v>A</v>
      </c>
      <c r="V13" s="5" t="str">
        <v>B</v>
      </c>
      <c r="X13" s="12"/>
    </row>
    <row r="14" spans="2:24" x14ac:dyDescent="0.45">
      <c r="B14" s="11"/>
      <c r="U14" s="5" t="str">
        <v>C</v>
      </c>
      <c r="V14" s="5" t="str">
        <v>D</v>
      </c>
      <c r="X14" s="12"/>
    </row>
    <row r="15" spans="2:24" x14ac:dyDescent="0.45">
      <c r="B15" s="13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38"/>
      <c r="V15" s="38"/>
      <c r="W15" s="14"/>
      <c r="X15" s="15"/>
    </row>
    <row r="16" spans="2:24" x14ac:dyDescent="0.45">
      <c r="B16" s="24"/>
      <c r="C16" s="16" t="s">
        <v>135</v>
      </c>
      <c r="D16" s="9"/>
      <c r="E16" s="9"/>
      <c r="F16" s="9"/>
      <c r="G16" s="17" t="s">
        <v>139</v>
      </c>
      <c r="H16" s="9"/>
      <c r="I16" s="9"/>
      <c r="J16" s="9"/>
      <c r="K16" s="9"/>
      <c r="L16" s="9"/>
      <c r="M16" s="9"/>
      <c r="N16" s="17" t="s">
        <v>140</v>
      </c>
      <c r="O16" s="9"/>
      <c r="P16" s="9"/>
      <c r="Q16" s="9"/>
      <c r="R16" s="9"/>
      <c r="S16" s="9"/>
      <c r="T16" s="9"/>
      <c r="U16" s="9"/>
      <c r="V16" s="9"/>
      <c r="W16" s="9"/>
      <c r="X16" s="10"/>
    </row>
    <row r="17" spans="2:24" x14ac:dyDescent="0.45">
      <c r="B17" s="11"/>
      <c r="C17" s="44">
        <v>7</v>
      </c>
      <c r="D17" s="44">
        <v>7</v>
      </c>
      <c r="E17" s="44">
        <v>7</v>
      </c>
      <c r="G17" s="6" t="s">
        <v>137</v>
      </c>
      <c r="N17" s="6" t="s">
        <v>138</v>
      </c>
      <c r="X17" s="12"/>
    </row>
    <row r="18" spans="2:24" x14ac:dyDescent="0.45">
      <c r="B18" s="11"/>
      <c r="C18" s="44">
        <v>8</v>
      </c>
      <c r="D18" s="44">
        <v>8</v>
      </c>
      <c r="E18" s="44">
        <v>8</v>
      </c>
      <c r="G18" s="5" cm="1">
        <f t="array" ref="G18:J22">Tessellateλ(MeshR,5,4)</f>
        <v>7</v>
      </c>
      <c r="H18" s="5">
        <v>7</v>
      </c>
      <c r="I18" s="5">
        <v>7</v>
      </c>
      <c r="J18" s="5">
        <v>7</v>
      </c>
      <c r="K18" s="18"/>
      <c r="L18" s="19"/>
      <c r="N18" s="5" cm="1">
        <f t="array" ref="N18:Q22">Tessellateλ(MeshC,5,4)</f>
        <v>7</v>
      </c>
      <c r="O18" s="5">
        <v>8</v>
      </c>
      <c r="P18" s="5">
        <v>9</v>
      </c>
      <c r="Q18" s="5">
        <v>7</v>
      </c>
      <c r="X18" s="12"/>
    </row>
    <row r="19" spans="2:24" x14ac:dyDescent="0.45">
      <c r="B19" s="11"/>
      <c r="C19" s="44">
        <v>9</v>
      </c>
      <c r="D19" s="44">
        <v>9</v>
      </c>
      <c r="E19" s="44">
        <v>9</v>
      </c>
      <c r="G19" s="5">
        <v>8</v>
      </c>
      <c r="H19" s="5">
        <v>8</v>
      </c>
      <c r="I19" s="5">
        <v>8</v>
      </c>
      <c r="J19" s="5">
        <v>8</v>
      </c>
      <c r="K19" s="18"/>
      <c r="L19" s="19"/>
      <c r="N19" s="5">
        <v>7</v>
      </c>
      <c r="O19" s="5">
        <v>8</v>
      </c>
      <c r="P19" s="5">
        <v>9</v>
      </c>
      <c r="Q19" s="5">
        <v>7</v>
      </c>
      <c r="X19" s="12"/>
    </row>
    <row r="20" spans="2:24" x14ac:dyDescent="0.45">
      <c r="B20" s="11"/>
      <c r="G20" s="5">
        <v>9</v>
      </c>
      <c r="H20" s="5">
        <v>9</v>
      </c>
      <c r="I20" s="5">
        <v>9</v>
      </c>
      <c r="J20" s="5">
        <v>9</v>
      </c>
      <c r="K20" s="18"/>
      <c r="L20" s="19"/>
      <c r="N20" s="5">
        <v>7</v>
      </c>
      <c r="O20" s="5">
        <v>8</v>
      </c>
      <c r="P20" s="5">
        <v>9</v>
      </c>
      <c r="Q20" s="5">
        <v>7</v>
      </c>
      <c r="X20" s="12"/>
    </row>
    <row r="21" spans="2:24" x14ac:dyDescent="0.45">
      <c r="B21" s="11"/>
      <c r="C21" s="21" t="s">
        <v>136</v>
      </c>
      <c r="G21" s="5">
        <v>7</v>
      </c>
      <c r="H21" s="5">
        <v>7</v>
      </c>
      <c r="I21" s="5">
        <v>7</v>
      </c>
      <c r="J21" s="5">
        <v>7</v>
      </c>
      <c r="K21" s="18"/>
      <c r="L21" s="19"/>
      <c r="N21" s="5">
        <v>7</v>
      </c>
      <c r="O21" s="5">
        <v>8</v>
      </c>
      <c r="P21" s="5">
        <v>9</v>
      </c>
      <c r="Q21" s="5">
        <v>7</v>
      </c>
      <c r="X21" s="12"/>
    </row>
    <row r="22" spans="2:24" x14ac:dyDescent="0.45">
      <c r="B22" s="11"/>
      <c r="C22" s="44">
        <v>7</v>
      </c>
      <c r="D22" s="44">
        <v>8</v>
      </c>
      <c r="E22" s="44">
        <v>9</v>
      </c>
      <c r="G22" s="5">
        <v>8</v>
      </c>
      <c r="H22" s="5">
        <v>8</v>
      </c>
      <c r="I22" s="5">
        <v>8</v>
      </c>
      <c r="J22" s="5">
        <v>8</v>
      </c>
      <c r="K22" s="18"/>
      <c r="L22" s="19"/>
      <c r="N22" s="5">
        <v>7</v>
      </c>
      <c r="O22" s="5">
        <v>8</v>
      </c>
      <c r="P22" s="5">
        <v>9</v>
      </c>
      <c r="Q22" s="5">
        <v>7</v>
      </c>
      <c r="X22" s="12"/>
    </row>
    <row r="23" spans="2:24" x14ac:dyDescent="0.45">
      <c r="B23" s="11"/>
      <c r="C23" s="44">
        <v>7</v>
      </c>
      <c r="D23" s="44">
        <v>8</v>
      </c>
      <c r="E23" s="44">
        <v>9</v>
      </c>
      <c r="X23" s="12"/>
    </row>
    <row r="24" spans="2:24" x14ac:dyDescent="0.45">
      <c r="B24" s="11"/>
      <c r="C24" s="44">
        <v>7</v>
      </c>
      <c r="D24" s="44">
        <v>8</v>
      </c>
      <c r="E24" s="44">
        <v>9</v>
      </c>
      <c r="X24" s="12"/>
    </row>
    <row r="25" spans="2:24" ht="11" customHeight="1" x14ac:dyDescent="0.45">
      <c r="B25" s="13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5"/>
    </row>
    <row r="26" spans="2:24" ht="6.5" customHeight="1" x14ac:dyDescent="0.45">
      <c r="B26" s="24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10"/>
    </row>
    <row r="27" spans="2:24" x14ac:dyDescent="0.45">
      <c r="B27" s="11"/>
      <c r="C27" s="21" t="s">
        <v>142</v>
      </c>
      <c r="G27" s="7" t="s">
        <v>143</v>
      </c>
      <c r="X27" s="12"/>
    </row>
    <row r="28" spans="2:24" x14ac:dyDescent="0.45">
      <c r="B28" s="11"/>
      <c r="C28" s="39">
        <v>0</v>
      </c>
      <c r="D28" s="39">
        <v>1</v>
      </c>
      <c r="G28" s="6" t="s">
        <v>141</v>
      </c>
      <c r="X28" s="12"/>
    </row>
    <row r="29" spans="2:24" x14ac:dyDescent="0.45">
      <c r="B29" s="11"/>
      <c r="C29" s="39">
        <v>1</v>
      </c>
      <c r="D29" s="39">
        <v>0</v>
      </c>
      <c r="G29" s="39" cm="1">
        <f t="array" ref="G29:R38">Tessellateλ(Checker,10,12)</f>
        <v>0</v>
      </c>
      <c r="H29" s="39">
        <v>1</v>
      </c>
      <c r="I29" s="39">
        <v>0</v>
      </c>
      <c r="J29" s="39">
        <v>1</v>
      </c>
      <c r="K29" s="39">
        <v>0</v>
      </c>
      <c r="L29" s="39">
        <v>1</v>
      </c>
      <c r="M29" s="39">
        <v>0</v>
      </c>
      <c r="N29" s="39">
        <v>1</v>
      </c>
      <c r="O29" s="39">
        <v>0</v>
      </c>
      <c r="P29" s="39">
        <v>1</v>
      </c>
      <c r="Q29" s="39">
        <v>0</v>
      </c>
      <c r="R29" s="39">
        <v>1</v>
      </c>
      <c r="T29" s="21" t="s">
        <v>146</v>
      </c>
      <c r="X29" s="12"/>
    </row>
    <row r="30" spans="2:24" x14ac:dyDescent="0.45">
      <c r="B30" s="11"/>
      <c r="G30" s="39">
        <v>1</v>
      </c>
      <c r="H30" s="39">
        <v>0</v>
      </c>
      <c r="I30" s="39">
        <v>1</v>
      </c>
      <c r="J30" s="39">
        <v>0</v>
      </c>
      <c r="K30" s="39">
        <v>1</v>
      </c>
      <c r="L30" s="39">
        <v>0</v>
      </c>
      <c r="M30" s="39">
        <v>1</v>
      </c>
      <c r="N30" s="39">
        <v>0</v>
      </c>
      <c r="O30" s="39">
        <v>1</v>
      </c>
      <c r="P30" s="39">
        <v>0</v>
      </c>
      <c r="Q30" s="39">
        <v>1</v>
      </c>
      <c r="R30" s="39">
        <v>0</v>
      </c>
      <c r="T30" s="21" t="s">
        <v>147</v>
      </c>
      <c r="X30" s="12"/>
    </row>
    <row r="31" spans="2:24" x14ac:dyDescent="0.45">
      <c r="B31" s="11"/>
      <c r="G31" s="39">
        <v>0</v>
      </c>
      <c r="H31" s="39">
        <v>1</v>
      </c>
      <c r="I31" s="39">
        <v>0</v>
      </c>
      <c r="J31" s="39">
        <v>1</v>
      </c>
      <c r="K31" s="39">
        <v>0</v>
      </c>
      <c r="L31" s="39">
        <v>1</v>
      </c>
      <c r="M31" s="39">
        <v>0</v>
      </c>
      <c r="N31" s="39">
        <v>1</v>
      </c>
      <c r="O31" s="39">
        <v>0</v>
      </c>
      <c r="P31" s="39">
        <v>1</v>
      </c>
      <c r="Q31" s="39">
        <v>0</v>
      </c>
      <c r="R31" s="39">
        <v>1</v>
      </c>
      <c r="X31" s="12"/>
    </row>
    <row r="32" spans="2:24" x14ac:dyDescent="0.45">
      <c r="B32" s="11"/>
      <c r="G32" s="39">
        <v>1</v>
      </c>
      <c r="H32" s="39">
        <v>0</v>
      </c>
      <c r="I32" s="39">
        <v>1</v>
      </c>
      <c r="J32" s="39">
        <v>0</v>
      </c>
      <c r="K32" s="39">
        <v>1</v>
      </c>
      <c r="L32" s="39">
        <v>0</v>
      </c>
      <c r="M32" s="39">
        <v>1</v>
      </c>
      <c r="N32" s="39">
        <v>0</v>
      </c>
      <c r="O32" s="39">
        <v>1</v>
      </c>
      <c r="P32" s="39">
        <v>0</v>
      </c>
      <c r="Q32" s="39">
        <v>1</v>
      </c>
      <c r="R32" s="39">
        <v>0</v>
      </c>
      <c r="X32" s="12"/>
    </row>
    <row r="33" spans="2:24" x14ac:dyDescent="0.45">
      <c r="B33" s="11"/>
      <c r="G33" s="39">
        <v>0</v>
      </c>
      <c r="H33" s="39">
        <v>1</v>
      </c>
      <c r="I33" s="39">
        <v>0</v>
      </c>
      <c r="J33" s="39">
        <v>1</v>
      </c>
      <c r="K33" s="39">
        <v>0</v>
      </c>
      <c r="L33" s="39">
        <v>1</v>
      </c>
      <c r="M33" s="39">
        <v>0</v>
      </c>
      <c r="N33" s="39">
        <v>1</v>
      </c>
      <c r="O33" s="39">
        <v>0</v>
      </c>
      <c r="P33" s="39">
        <v>1</v>
      </c>
      <c r="Q33" s="39">
        <v>0</v>
      </c>
      <c r="R33" s="39">
        <v>1</v>
      </c>
      <c r="X33" s="12"/>
    </row>
    <row r="34" spans="2:24" x14ac:dyDescent="0.45">
      <c r="B34" s="11"/>
      <c r="G34" s="39">
        <v>1</v>
      </c>
      <c r="H34" s="39">
        <v>0</v>
      </c>
      <c r="I34" s="39">
        <v>1</v>
      </c>
      <c r="J34" s="39">
        <v>0</v>
      </c>
      <c r="K34" s="39">
        <v>1</v>
      </c>
      <c r="L34" s="39">
        <v>0</v>
      </c>
      <c r="M34" s="39">
        <v>1</v>
      </c>
      <c r="N34" s="39">
        <v>0</v>
      </c>
      <c r="O34" s="39">
        <v>1</v>
      </c>
      <c r="P34" s="39">
        <v>0</v>
      </c>
      <c r="Q34" s="39">
        <v>1</v>
      </c>
      <c r="R34" s="39">
        <v>0</v>
      </c>
      <c r="X34" s="12"/>
    </row>
    <row r="35" spans="2:24" x14ac:dyDescent="0.45">
      <c r="B35" s="11"/>
      <c r="G35" s="39">
        <v>0</v>
      </c>
      <c r="H35" s="39">
        <v>1</v>
      </c>
      <c r="I35" s="39">
        <v>0</v>
      </c>
      <c r="J35" s="39">
        <v>1</v>
      </c>
      <c r="K35" s="39">
        <v>0</v>
      </c>
      <c r="L35" s="39">
        <v>1</v>
      </c>
      <c r="M35" s="39">
        <v>0</v>
      </c>
      <c r="N35" s="39">
        <v>1</v>
      </c>
      <c r="O35" s="39">
        <v>0</v>
      </c>
      <c r="P35" s="39">
        <v>1</v>
      </c>
      <c r="Q35" s="39">
        <v>0</v>
      </c>
      <c r="R35" s="39">
        <v>1</v>
      </c>
      <c r="X35" s="12"/>
    </row>
    <row r="36" spans="2:24" x14ac:dyDescent="0.45">
      <c r="B36" s="11"/>
      <c r="G36" s="39">
        <v>1</v>
      </c>
      <c r="H36" s="39">
        <v>0</v>
      </c>
      <c r="I36" s="39">
        <v>1</v>
      </c>
      <c r="J36" s="39">
        <v>0</v>
      </c>
      <c r="K36" s="39">
        <v>1</v>
      </c>
      <c r="L36" s="39">
        <v>0</v>
      </c>
      <c r="M36" s="39">
        <v>1</v>
      </c>
      <c r="N36" s="39">
        <v>0</v>
      </c>
      <c r="O36" s="39">
        <v>1</v>
      </c>
      <c r="P36" s="39">
        <v>0</v>
      </c>
      <c r="Q36" s="39">
        <v>1</v>
      </c>
      <c r="R36" s="39">
        <v>0</v>
      </c>
      <c r="X36" s="12"/>
    </row>
    <row r="37" spans="2:24" x14ac:dyDescent="0.45">
      <c r="B37" s="11"/>
      <c r="G37" s="39">
        <v>0</v>
      </c>
      <c r="H37" s="39">
        <v>1</v>
      </c>
      <c r="I37" s="39">
        <v>0</v>
      </c>
      <c r="J37" s="39">
        <v>1</v>
      </c>
      <c r="K37" s="39">
        <v>0</v>
      </c>
      <c r="L37" s="39">
        <v>1</v>
      </c>
      <c r="M37" s="39">
        <v>0</v>
      </c>
      <c r="N37" s="39">
        <v>1</v>
      </c>
      <c r="O37" s="39">
        <v>0</v>
      </c>
      <c r="P37" s="39">
        <v>1</v>
      </c>
      <c r="Q37" s="39">
        <v>0</v>
      </c>
      <c r="R37" s="39">
        <v>1</v>
      </c>
      <c r="X37" s="12"/>
    </row>
    <row r="38" spans="2:24" x14ac:dyDescent="0.45">
      <c r="B38" s="11"/>
      <c r="G38" s="39">
        <v>1</v>
      </c>
      <c r="H38" s="39">
        <v>0</v>
      </c>
      <c r="I38" s="39">
        <v>1</v>
      </c>
      <c r="J38" s="39">
        <v>0</v>
      </c>
      <c r="K38" s="39">
        <v>1</v>
      </c>
      <c r="L38" s="39">
        <v>0</v>
      </c>
      <c r="M38" s="39">
        <v>1</v>
      </c>
      <c r="N38" s="39">
        <v>0</v>
      </c>
      <c r="O38" s="39">
        <v>1</v>
      </c>
      <c r="P38" s="39">
        <v>0</v>
      </c>
      <c r="Q38" s="39">
        <v>1</v>
      </c>
      <c r="R38" s="39">
        <v>0</v>
      </c>
      <c r="X38" s="12"/>
    </row>
    <row r="39" spans="2:24" x14ac:dyDescent="0.45">
      <c r="B39" s="13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5"/>
    </row>
  </sheetData>
  <conditionalFormatting sqref="C28:D29">
    <cfRule type="cellIs" dxfId="1" priority="2" operator="equal">
      <formula>1</formula>
    </cfRule>
  </conditionalFormatting>
  <conditionalFormatting sqref="G29:R38">
    <cfRule type="cellIs" dxfId="0" priority="1" operator="equal">
      <formula>1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AE3F2B0A-BB57-40F1-B4F2-FE189BC27775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20</vt:i4>
      </vt:variant>
    </vt:vector>
  </HeadingPairs>
  <TitlesOfParts>
    <vt:vector size="25" baseType="lpstr">
      <vt:lpstr>Introduction</vt:lpstr>
      <vt:lpstr>Echo</vt:lpstr>
      <vt:lpstr>RepeatRows</vt:lpstr>
      <vt:lpstr>RepeatCols</vt:lpstr>
      <vt:lpstr>Tessellate</vt:lpstr>
      <vt:lpstr>Alpha</vt:lpstr>
      <vt:lpstr>Animals</vt:lpstr>
      <vt:lpstr>Available</vt:lpstr>
      <vt:lpstr>Bread</vt:lpstr>
      <vt:lpstr>Checker</vt:lpstr>
      <vt:lpstr>Dealer</vt:lpstr>
      <vt:lpstr>Fish</vt:lpstr>
      <vt:lpstr>Fruit</vt:lpstr>
      <vt:lpstr>Letters</vt:lpstr>
      <vt:lpstr>MeshC</vt:lpstr>
      <vt:lpstr>MeshR</vt:lpstr>
      <vt:lpstr>Noodle</vt:lpstr>
      <vt:lpstr>Places</vt:lpstr>
      <vt:lpstr>Qty</vt:lpstr>
      <vt:lpstr>Rep</vt:lpstr>
      <vt:lpstr>RepB</vt:lpstr>
      <vt:lpstr>RepC</vt:lpstr>
      <vt:lpstr>RepD</vt:lpstr>
      <vt:lpstr>Served</vt:lpstr>
      <vt:lpstr>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Repetition</dc:title>
  <dc:creator>BigSpill Project</dc:creator>
  <dc:description>Demonstration workbook for BigSpill - Repetition</dc:description>
  <dcterms:created xsi:type="dcterms:W3CDTF">2026-07-07T13:49:11Z</dcterms:created>
  <dcterms:modified xsi:type="dcterms:W3CDTF">2026-09-04T13:35:34Z</dcterms:modified>
</cp:coreProperties>
</file>