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"/>
    </mc:Choice>
  </mc:AlternateContent>
  <xr:revisionPtr revIDLastSave="0" documentId="13_ncr:1_{9DA4C589-D9D9-4588-AA23-EFAF31E3226F}" xr6:coauthVersionLast="47" xr6:coauthVersionMax="47" xr10:uidLastSave="{00000000-0000-0000-0000-000000000000}"/>
  <bookViews>
    <workbookView xWindow="28680" yWindow="-120" windowWidth="29040" windowHeight="15720" tabRatio="874" xr2:uid="{80856F7D-C2FA-4F09-AB74-39EB57EB6B8A}"/>
  </bookViews>
  <sheets>
    <sheet name="Introduction" sheetId="1" r:id="rId1"/>
    <sheet name="Permutations" sheetId="3" r:id="rId2"/>
    <sheet name="Combinations" sheetId="4" r:id="rId3"/>
    <sheet name="Subsets" sheetId="5" r:id="rId4"/>
    <sheet name="Knapsack" sheetId="6" r:id="rId5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_xlfn.LAMBDA(_xlpm.matrix,_xlpm.depth,_xlpm.width,_xlop.re_shape_by_column?,_xlop.transpose_anchors?, ValidateBlockMapλ(_xlpm.matrix, _xlpm.depth, _xlpm.width, _xlpm.re_shape_by_column?, _xlfn.LET(_xlpm.x, ROUNDUP(ROWS(_xlpm.matrix) / _xlpm.depth, 0), _xlpm.y, ROUNDUP(COLUMNS(_xlpm.matrix)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INDEX(_xlpm.matrix,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apacity">Knapsack!$D$19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lection">Subsets!$B$15:$B$18</definedName>
    <definedName name="Colors">Permutations!$B$16:$B$18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_xlfn.LAMBDA(_xlpm.matrix,_xlpm.depth,_xlpm.width,_xlpm.function, IF(NOT(TYPE(_xlpm.matrix) = 64), "#MATRIX!", IF(OR(_xlpm.depth &gt; ROWS(_xlpm.matrix), _xlpm.width &gt; COLUMNS(_xlpm.matrix), ISTEXT(_xlpm.depth), ISTEXT(_xlpm.width)), "#DIMENSIONS!", IF(TYPE(_xlpm.function) &lt;&gt; 128, "#ETA FUNCTION!", _xlfn.LET(_xlpm.h, ROWS(_xlpm.matrix), _xlpm.w, COLUMNS(_xlpm.matrix),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_xlfn.TOCOL(INDEX(_xlpm.matrix,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s">Knapsack!$D$15:$H$15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_xlfn.LAMBDA(_xlpm.Matrix,_xlpm.function,_xlop.IsvonNeumann?,_xlop.omit_center, IF(TYPE(_xlpm.Matrix) &lt;&gt; 64, "#MATRIX!", IF(TYPE(_xlpm.function) &lt;&gt; 128, "#ETA FUNCTION!", _xlfn.LET(_xlpm.IsvonNeumann?, NOT(_xlfn.ISOMITTED(_xlpm.IsvonNeumann?)), _xlpm.omit_center, NOT(_xlfn.ISOMITTED(_xlpm.omit_center)), _xlpm.height, ROWS(_xlpm.Matrix), _xlpm.width, COLUMNS(_xlpm.Matrix), _xlpm.M, _xlfn.VSTACK("omit", _xlfn.HSTACK("omit", _xlpm.Matrix,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_xlfn.LAMBDA(_xlpm.matrix,_xlpm.neighbor, IF(TYPE(_xlpm.matrix) &lt;&gt; 64, "#MATRIX!", IF(NOT(AND(_xlpm.neighbor &gt;= 1, _xlpm.neighbor &lt;= 9, NOT(ISTEXT(_xlpm.neighbor)))), "#NEIGHBOR!", _xlfn.LET(_xlpm.height, ROWS(_xlpm.matrix), _xlpm.width, COLUMNS(_xlpm.matrix), _xlpm.hpad, _xlfn.EXPAND(0, , _xlpm.width + 2, 0), _xlpm.vpad, _xlfn.EXPAND(0, _xlpm.height, , 0), _xlpm.M, _xlfn.VSTACK(_xlpm.hpad, _xlfn.HSTACK(_xlpm.vpad, _xlpm.matrix,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">Combinations!$B$14:$B$17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_xlfn.LAMBDA(_xlpm.matrix,_xlop.shift_by, _xlfn.LET(_xlpm.h, ROWS(_xlpm.matrix), _xlpm.w, COLUMNS(_xlpm.matrix), _xlpm.Is1D?, OR(_xlpm.h = 1, _xlpm.w = 1), IF(_xlpm.Is1D?, Shiftλ(_xlpm.matrix, _xlpm.shift_by), _xlfn.LET(_xlpm.i, Resizeλ(Shiftλ(_xlfn.SEQUENCE(_xlpm.h), _xlpm.shift_by), , _xlpm.w), _xlpm.j, MGridλ(_xlpm.matrix, 1), _xlpm.result, INDEX(_xlpm.matrix, _xlpm.i, _xlpm.j), _xlpm.result))))</definedName>
    <definedName name="ShiftRowsλ">_xlfn.LAMBDA(_xlpm.matrix,_xlop.shift_by, _xlfn.LET(_xlpm.h, ROWS(_xlpm.matrix), _xlpm.w, COLUMNS(_xlpm.matrix), _xlpm.Is1D?, OR(_xlpm.h = 1, _xlpm.w = 1), IF(_xlpm.Is1D?, Shiftλ(_xlpm.matrix, _xlpm.shift_by), _xlfn.LET(_xlpm.i, MGridλ(_xlpm.matrix), _xlpm.j, Resizeλ(Shiftλ(_xlfn.SEQUENCE(, _xlpm.w), _xlpm.shift_by), _xlpm.h), _xlpm.result, INDEX(_xlpm.matrix,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_xlpm.Is1D?, _xlfn.XOR(_xlpm.h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IF(_xlpm.Is1D?, "#1D-ARRAY!",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_xlfn.LAMBDA(_xlpm.matrix,_xlpm.depth,_xlpm.width,_xlpm.re_shape_by_column?,_xlpm.on_valid, IF(NOT(TYPE(_xlpm.matrix) = 64), "#MATRIX!", IF((_xlpm.re_shape_by_column?) * (ROWS(_xlpm.matrix) * COLUMNS(_xlpm.matrix) / (_xlpm.width * _xlpm.depth) ^ 2 &gt; 16384), "#SPILL-RISK!", IF((MOD(ROWS(_xlpm.matrix), _xlpm.depth) &lt;&gt; 0) + (MOD(COLUMNS(_xlpm.matrix), _xlpm.width) &lt;&gt; 0), "#BLOCK MISMATCH!", IF(OR(AND(_xlpm.width = 1, _xlpm.depth = 1), _xlpm.depth &gt; ROWS(_xlpm.matrix), _xlpm.width &gt; COLUMNS(_xlpm.matrix),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Value">Knapsack!$D$16:$H$16</definedName>
    <definedName name="Weight">Knapsack!$D$17:$H$17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23" i="6" l="1" a="1"/>
  <c r="C23" i="6" s="1"/>
  <c r="G15" i="5" a="1"/>
  <c r="G15" i="5" s="1"/>
  <c r="D15" i="5" a="1"/>
  <c r="D15" i="5" s="1"/>
  <c r="I14" i="4" a="1"/>
  <c r="I14" i="4" s="1"/>
  <c r="B14" i="4" a="1"/>
  <c r="B14" i="4" s="1"/>
  <c r="E14" i="4" s="1" a="1"/>
  <c r="E14" i="4" s="1"/>
  <c r="L16" i="3" a="1"/>
  <c r="L16" i="3" s="1"/>
  <c r="H16" i="3" a="1"/>
  <c r="H16" i="3" s="1"/>
  <c r="D16" i="3" a="1"/>
  <c r="D1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<sst xmlns="http://schemas.openxmlformats.org/spreadsheetml/2006/main" count="89" uniqueCount="79">
  <si>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</si>
  <si>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</si>
  <si>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</si>
  <si>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</si>
  <si>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</si>
  <si>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Combinatorics</t>
  </si>
  <si>
    <t>The Combinatorics category provides high‑performance generators for permutations, combinations,</t>
  </si>
  <si>
    <t>subsets, and related structures.</t>
  </si>
  <si>
    <t>PermRλ</t>
  </si>
  <si>
    <t>Generates permutations with replacement (k‑tuples drawn from n items).</t>
  </si>
  <si>
    <t>Permλ</t>
  </si>
  <si>
    <t>Generates permutations without replacement.</t>
  </si>
  <si>
    <t>CombinationsRλ</t>
  </si>
  <si>
    <t>Generates combinations with replacement.</t>
  </si>
  <si>
    <t>Combinationsλ</t>
  </si>
  <si>
    <t>Generates combinations without replacement.</t>
  </si>
  <si>
    <t>Derangementsλ</t>
  </si>
  <si>
    <t>Generates permutations where no element remains in its original position.</t>
  </si>
  <si>
    <t>KnapSackλ</t>
  </si>
  <si>
    <t>Solves the subset‑sum / knapsack feasibility problem using vectorized enumeration and filtering.</t>
  </si>
  <si>
    <t>SubsetGenλ</t>
  </si>
  <si>
    <t>Generates all subsets of a set (the power set), returned in binary‑mask order.</t>
  </si>
  <si>
    <t>SubsetSumλ</t>
  </si>
  <si>
    <t>Returns all subsets whose elements sum to a target value.</t>
  </si>
  <si>
    <t>• items_chosen - Length of each tuple (k ≥ 0). Must be a scalar.</t>
  </si>
  <si>
    <t>• items - Scalar, 1D array, or 2D array of items. Items may be numbers or text.</t>
  </si>
  <si>
    <t>Generate permutations…</t>
  </si>
  <si>
    <t>with replacement (k‑tuples drawn from n items)</t>
  </si>
  <si>
    <t>without replacement</t>
  </si>
  <si>
    <t>Derangements</t>
  </si>
  <si>
    <t>All functions share the same parameters:</t>
  </si>
  <si>
    <t>where no element appears in its original position</t>
  </si>
  <si>
    <t>Collection</t>
  </si>
  <si>
    <t>Colors</t>
  </si>
  <si>
    <t>Red</t>
  </si>
  <si>
    <t>Green</t>
  </si>
  <si>
    <t>Blue</t>
  </si>
  <si>
    <t>=PermRλ(Colors,3)</t>
  </si>
  <si>
    <t>=Derangementsλ(Colors,3)</t>
  </si>
  <si>
    <t>=Permλ(Colors,3)</t>
  </si>
  <si>
    <t>Permutations with replacements</t>
  </si>
  <si>
    <t>Permutations</t>
  </si>
  <si>
    <t>Generate combinations…</t>
  </si>
  <si>
    <t>with replacements</t>
  </si>
  <si>
    <t>without replacements</t>
  </si>
  <si>
    <t>Numbers</t>
  </si>
  <si>
    <t>=CombinationsRλ(Numbers,3)</t>
  </si>
  <si>
    <t>Combinations with replacements</t>
  </si>
  <si>
    <t>Combinatorics - Permutations - Order matters</t>
  </si>
  <si>
    <t>Combinatorics - Combinations - Order does not matter</t>
  </si>
  <si>
    <t>=Combinationsλ(Numbers,3)</t>
  </si>
  <si>
    <t>Combinations</t>
  </si>
  <si>
    <t>Combinatorics - Subsets</t>
  </si>
  <si>
    <t>• input: set - Array of items (numbers or text)</t>
  </si>
  <si>
    <t>SubsetSumλ - Returns all subsets of a numeric set whose elements sum exactly to a target</t>
  </si>
  <si>
    <t>• input: set - Array of numeric items</t>
  </si>
  <si>
    <t>• target - Scalar numeric target sum</t>
  </si>
  <si>
    <t>=SubsetGenλ(Collection)</t>
  </si>
  <si>
    <t>Subset Sum  (Target = 4)</t>
  </si>
  <si>
    <t>=SubsetSumλ(Collection,4)</t>
  </si>
  <si>
    <t>Each subset is returned as a compact comma‑separated string.</t>
  </si>
  <si>
    <t>Subsets</t>
  </si>
  <si>
    <t>Combinatorics - Knapsack</t>
  </si>
  <si>
    <t>Uses a brute‑force, vectorized bit‑mask generator and supports both numeric and text item labels.</t>
  </si>
  <si>
    <t>Inputs</t>
  </si>
  <si>
    <t>• items - Array of item labels (numbers or text)</t>
  </si>
  <si>
    <t>• value_of_items - Array of numeric values corresponding to each item</t>
  </si>
  <si>
    <t>• weights - Array of numeric weights corresponding to each item</t>
  </si>
  <si>
    <t>• capacity - Scalar numeric weight limit</t>
  </si>
  <si>
    <t>items</t>
  </si>
  <si>
    <t>KnapSackλ - Solves the 0‑1 knapsack problem by enumerating all subsets of items and selecting the feasible pack(s) with maximum total value</t>
  </si>
  <si>
    <t>Value</t>
  </si>
  <si>
    <t>Weight</t>
  </si>
  <si>
    <t>Capacity</t>
  </si>
  <si>
    <t>=KnapSackλ(Items,Value,Weight,Capacity)</t>
  </si>
  <si>
    <t>Knapsack Solved</t>
  </si>
  <si>
    <t>Only subsets whose total weight ≤ capacity are considered feasible.</t>
  </si>
  <si>
    <t>Note: For performance reasons, Knapsackλ, SubsetGenλ, and SubsetSumλ are recommended for sets of size n ≤ 20.</t>
  </si>
  <si>
    <t>SubsetGenλ -  Generates all non‑empty subsets of a supplied list using brute‑force bit masking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</si>
</sst>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i/>
      <sz val="11"/>
      <color theme="1"/>
      <name val="Segoe UI Variable Display"/>
    </font>
    <font>
      <u/>
      <sz val="11"/>
      <color theme="1"/>
      <name val="Segoe UI Variable Display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sz val="10"/>
      <color theme="1"/>
      <name val="Segoe UI Variable Display"/>
      <family val="2"/>
    </font>
    <font>
      <b/>
      <sz val="10"/>
      <color theme="1"/>
      <name val="Segoe UI Variable Display"/>
    </font>
    <font>
      <u/>
      <sz val="11"/>
      <color theme="1"/>
      <name val="Bahnschrift"/>
      <family val="2"/>
    </font>
  </fonts>
  <fills count="5">
    <fill>
      <patternFill patternType="none"/>
    </fill>
    <fill>
      <patternFill patternType="gray125"/>
    </fill>
    <fill>
      <patternFill patternType="solid">
        <fgColor rgb="FFC1BAE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DAEE"/>
        <bgColor indexed="64"/>
      </patternFill>
    </fill>
  </fills>
  <borders count="1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6" fillId="0" borderId="1" xfId="0" applyFont="1" applyBorder="1" applyAlignment="1">
      <alignment horizontal="center"/>
    </xf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5" xfId="0" applyFont="1" applyBorder="1"/>
    <xf numFmtId="0" fontId="4" fillId="0" borderId="0" xfId="0" applyFont="1"/>
    <xf numFmtId="0" fontId="2" fillId="0" borderId="5" xfId="0" applyFont="1" applyBorder="1"/>
    <xf numFmtId="0" fontId="3" fillId="0" borderId="5" xfId="0" applyFont="1" applyBorder="1"/>
    <xf numFmtId="0" fontId="8" fillId="0" borderId="0" xfId="0" applyFont="1"/>
    <xf numFmtId="0" fontId="5" fillId="0" borderId="5" xfId="0" applyFont="1" applyBorder="1" applyAlignment="1">
      <alignment horizontal="center"/>
    </xf>
    <xf numFmtId="0" fontId="7" fillId="0" borderId="0" xfId="0" quotePrefix="1" applyFont="1"/>
    <xf numFmtId="0" fontId="6" fillId="0" borderId="5" xfId="0" applyFont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6" fillId="2" borderId="1" xfId="0" applyFont="1" applyFill="1" applyBorder="1" applyAlignment="1">
      <alignment horizontal="center"/>
    </xf>
    <xf numFmtId="0" fontId="6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5" xfId="0" applyFont="1" applyBorder="1"/>
    <xf numFmtId="0" fontId="9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5" fillId="0" borderId="7" xfId="0" applyFont="1" applyBorder="1"/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F20470A-0ADC-4CE4-8497-90416CB79155}"/>
  </tableStyles>
  <colors>
    <mruColors>
      <color rgb="FFDEDAEE"/>
      <color rgb="FFD4CFE9"/>
      <color rgb="FFC0C0C0"/>
      <color rgb="FFC1BAE0"/>
      <color rgb="FFADA3D5"/>
      <color rgb="FF4E3F8C"/>
      <color rgb="FF5C4F9E"/>
      <color rgb="FF6E5A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15875</xdr:colOff>
      <xdr:row>1</xdr:row>
      <xdr:rowOff>6350</xdr:rowOff>
    </xdr:from>
    <xdr:to>
      <xdr:col>3</xdr:col>
      <xdr:colOff>1364190</xdr:colOff>
      <xdr:row>5</xdr:row>
      <xdr:rowOff>82550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EF2559F-DB8A-417B-9C0D-60BB8C32C47F}"/>
            </a:ext>
          </a:extLst>
        </xdr:cNvPr>
        <xdr:cNvSpPr>
          <a:spLocks noChangeAspect="1"/>
        </xdr:cNvSpPr>
      </xdr:nvSpPr>
      <xdr:spPr>
        <a:xfrm>
          <a:off x="1330325" y="219075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06ED54-1154-48F3-90A4-659229ED9C2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A4FA79FB-3C35-4766-BCD7-81A6C29D72C0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4F75E-8162-42B9-9F23-B24A2474BD20}">
  <sheetPr>
    <tabColor theme="0"/>
  </sheetPr>
  <dimension ref="A2:E27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81.58203125" bestFit="1" customWidth="1"/>
    <col min="5" max="5" width="8.6640625" customWidth="1"/>
    <col min="6" max="16384" width="8.6640625" hidden="1"/>
  </cols>
  <sheetData>
    <row r="2" spans="3:4" x14ac:dyDescent="0.45">
      <c r="C2" s="1"/>
      <c r="D2" s="2"/>
    </row>
    <row r="3" spans="3:4" x14ac:dyDescent="0.45">
      <c r="C3" s="1"/>
      <c r="D3" s="2"/>
    </row>
    <row r="4" spans="3:4" x14ac:dyDescent="0.45">
      <c r="C4" s="1"/>
      <c r="D4" s="2"/>
    </row>
    <row r="5" spans="3:4" x14ac:dyDescent="0.45">
      <c r="C5" s="1"/>
      <c r="D5" s="2"/>
    </row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3" t="s">
        <v>5</v>
      </c>
      <c r="D8" s="2"/>
    </row>
    <row r="9" spans="3:4" x14ac:dyDescent="0.45">
      <c r="C9" s="1" t="s">
        <v>6</v>
      </c>
      <c r="D9" s="2"/>
    </row>
    <row r="10" spans="3:4" x14ac:dyDescent="0.45">
      <c r="C10" s="1" t="s">
        <v>7</v>
      </c>
      <c r="D10" s="2"/>
    </row>
    <row r="11" spans="3:4" x14ac:dyDescent="0.45">
      <c r="C11" s="1"/>
      <c r="D11" s="2"/>
    </row>
    <row r="12" spans="3:4" x14ac:dyDescent="0.45">
      <c r="C12" s="3" t="s">
        <v>0</v>
      </c>
      <c r="D12" s="2"/>
    </row>
    <row r="13" spans="3:4" x14ac:dyDescent="0.45">
      <c r="C13" s="1" t="s">
        <v>1</v>
      </c>
      <c r="D13" s="2"/>
    </row>
    <row r="14" spans="3:4" x14ac:dyDescent="0.45">
      <c r="C14" s="1" t="s">
        <v>2</v>
      </c>
      <c r="D14" s="2"/>
    </row>
    <row r="15" spans="3:4" x14ac:dyDescent="0.45">
      <c r="C15" s="1"/>
      <c r="D15" s="2"/>
    </row>
    <row r="16" spans="3:4" x14ac:dyDescent="0.45">
      <c r="C16" s="1"/>
      <c r="D16" s="2"/>
    </row>
    <row r="17" spans="3:4" x14ac:dyDescent="0.45">
      <c r="C17" s="24" t="s">
        <v>3</v>
      </c>
      <c r="D17" s="25" t="s">
        <v>4</v>
      </c>
    </row>
    <row r="18" spans="3:4" ht="28" customHeight="1" x14ac:dyDescent="0.45">
      <c r="C18" s="32" t="s">
        <v>8</v>
      </c>
      <c r="D18" s="33" t="s">
        <v>9</v>
      </c>
    </row>
    <row r="19" spans="3:4" ht="28" customHeight="1" x14ac:dyDescent="0.45">
      <c r="C19" s="32" t="s">
        <v>10</v>
      </c>
      <c r="D19" s="33" t="s">
        <v>11</v>
      </c>
    </row>
    <row r="20" spans="3:4" ht="28" customHeight="1" x14ac:dyDescent="0.45">
      <c r="C20" s="32" t="s">
        <v>12</v>
      </c>
      <c r="D20" s="34" t="s">
        <v>13</v>
      </c>
    </row>
    <row r="21" spans="3:4" ht="28" customHeight="1" x14ac:dyDescent="0.45">
      <c r="C21" s="32" t="s">
        <v>14</v>
      </c>
      <c r="D21" s="34" t="s">
        <v>15</v>
      </c>
    </row>
    <row r="22" spans="3:4" ht="28" customHeight="1" x14ac:dyDescent="0.45">
      <c r="C22" s="32" t="s">
        <v>16</v>
      </c>
      <c r="D22" s="34" t="s">
        <v>17</v>
      </c>
    </row>
    <row r="23" spans="3:4" ht="28" customHeight="1" x14ac:dyDescent="0.45">
      <c r="C23" s="32" t="s">
        <v>18</v>
      </c>
      <c r="D23" s="34" t="s">
        <v>19</v>
      </c>
    </row>
    <row r="24" spans="3:4" ht="28" customHeight="1" x14ac:dyDescent="0.45">
      <c r="C24" s="32" t="s">
        <v>20</v>
      </c>
      <c r="D24" s="34" t="s">
        <v>21</v>
      </c>
    </row>
    <row r="25" spans="3:4" ht="28" customHeight="1" x14ac:dyDescent="0.45">
      <c r="C25" s="32" t="s">
        <v>22</v>
      </c>
      <c r="D25" s="34" t="s">
        <v>23</v>
      </c>
    </row>
    <row r="27" spans="3:4" x14ac:dyDescent="0.45">
      <c r="C27" s="4" t="s">
        <v>77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C913-B269-4402-9D79-2A220C978DA0}">
  <sheetPr>
    <tabColor rgb="FFC1BAE0"/>
  </sheetPr>
  <dimension ref="B2:O43"/>
  <sheetViews>
    <sheetView zoomScaleNormal="100" workbookViewId="0"/>
  </sheetViews>
  <sheetFormatPr defaultRowHeight="16.5" x14ac:dyDescent="0.45"/>
  <cols>
    <col min="1" max="1" width="5" customWidth="1"/>
    <col min="2" max="2" width="15" customWidth="1"/>
    <col min="3" max="3" width="8.6640625" customWidth="1"/>
    <col min="4" max="6" width="8.58203125" customWidth="1"/>
    <col min="8" max="10" width="8.58203125" customWidth="1"/>
    <col min="12" max="14" width="8.58203125" customWidth="1"/>
  </cols>
  <sheetData>
    <row r="2" spans="2:15" x14ac:dyDescent="0.45">
      <c r="B2" s="6" t="s">
        <v>48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</row>
    <row r="3" spans="2:15" x14ac:dyDescent="0.45">
      <c r="B3" s="9"/>
      <c r="O3" s="10"/>
    </row>
    <row r="4" spans="2:15" x14ac:dyDescent="0.45">
      <c r="B4" s="11" t="s">
        <v>3</v>
      </c>
      <c r="C4" s="12" t="s">
        <v>26</v>
      </c>
      <c r="O4" s="10"/>
    </row>
    <row r="5" spans="2:15" x14ac:dyDescent="0.45">
      <c r="B5" s="13" t="s">
        <v>8</v>
      </c>
      <c r="C5" t="s">
        <v>27</v>
      </c>
      <c r="O5" s="10"/>
    </row>
    <row r="6" spans="2:15" x14ac:dyDescent="0.45">
      <c r="B6" s="13" t="s">
        <v>10</v>
      </c>
      <c r="C6" t="s">
        <v>28</v>
      </c>
      <c r="O6" s="10"/>
    </row>
    <row r="7" spans="2:15" x14ac:dyDescent="0.45">
      <c r="B7" s="13" t="s">
        <v>16</v>
      </c>
      <c r="C7" t="s">
        <v>31</v>
      </c>
      <c r="O7" s="10"/>
    </row>
    <row r="8" spans="2:15" x14ac:dyDescent="0.45">
      <c r="B8" s="9"/>
      <c r="O8" s="10"/>
    </row>
    <row r="9" spans="2:15" x14ac:dyDescent="0.45">
      <c r="B9" s="9"/>
      <c r="O9" s="10"/>
    </row>
    <row r="10" spans="2:15" x14ac:dyDescent="0.45">
      <c r="B10" s="14" t="s">
        <v>30</v>
      </c>
      <c r="O10" s="10"/>
    </row>
    <row r="11" spans="2:15" x14ac:dyDescent="0.45">
      <c r="B11" s="9" t="s">
        <v>25</v>
      </c>
      <c r="O11" s="10"/>
    </row>
    <row r="12" spans="2:15" x14ac:dyDescent="0.45">
      <c r="B12" s="9" t="s">
        <v>24</v>
      </c>
      <c r="O12" s="10"/>
    </row>
    <row r="13" spans="2:15" x14ac:dyDescent="0.45">
      <c r="B13" s="19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1"/>
    </row>
    <row r="14" spans="2:15" x14ac:dyDescent="0.45">
      <c r="B14" s="9"/>
      <c r="D14" s="15" t="s">
        <v>40</v>
      </c>
      <c r="H14" s="15" t="s">
        <v>41</v>
      </c>
      <c r="L14" s="15" t="s">
        <v>29</v>
      </c>
      <c r="O14" s="10"/>
    </row>
    <row r="15" spans="2:15" x14ac:dyDescent="0.45">
      <c r="B15" s="16" t="s">
        <v>33</v>
      </c>
      <c r="D15" s="17" t="s">
        <v>37</v>
      </c>
      <c r="H15" s="17" t="s">
        <v>39</v>
      </c>
      <c r="L15" s="17" t="s">
        <v>38</v>
      </c>
      <c r="O15" s="10"/>
    </row>
    <row r="16" spans="2:15" x14ac:dyDescent="0.45">
      <c r="B16" s="35" t="s">
        <v>34</v>
      </c>
      <c r="D16" s="5" t="str" cm="1">
        <f t="array" ref="D16:F42">PermRλ(Colors,3)</f>
        <v>Red</v>
      </c>
      <c r="E16" s="5" t="str">
        <v>Red</v>
      </c>
      <c r="F16" s="5" t="str">
        <v>Green</v>
      </c>
      <c r="H16" s="5" t="str" cm="1">
        <f t="array" ref="H16:J21">Permλ(Colors,3)</f>
        <v>Red</v>
      </c>
      <c r="I16" s="5" t="str">
        <v>Green</v>
      </c>
      <c r="J16" s="5" t="str">
        <v>Blue</v>
      </c>
      <c r="L16" s="5" t="str" cm="1">
        <f t="array" ref="L16:N23">Derangementsλ(Colors,3)</f>
        <v>Green</v>
      </c>
      <c r="M16" s="5" t="str">
        <v>Red</v>
      </c>
      <c r="N16" s="5" t="str">
        <v>Red</v>
      </c>
      <c r="O16" s="10"/>
    </row>
    <row r="17" spans="2:15" x14ac:dyDescent="0.45">
      <c r="B17" s="35" t="s">
        <v>35</v>
      </c>
      <c r="D17" s="5" t="str">
        <v>Red</v>
      </c>
      <c r="E17" s="5" t="str">
        <v>Red</v>
      </c>
      <c r="F17" s="5" t="str">
        <v>Blue</v>
      </c>
      <c r="H17" s="5" t="str">
        <v>Red</v>
      </c>
      <c r="I17" s="5" t="str">
        <v>Blue</v>
      </c>
      <c r="J17" s="5" t="str">
        <v>Green</v>
      </c>
      <c r="L17" s="5" t="str">
        <v>Green</v>
      </c>
      <c r="M17" s="5" t="str">
        <v>Red</v>
      </c>
      <c r="N17" s="5" t="str">
        <v>Green</v>
      </c>
      <c r="O17" s="10"/>
    </row>
    <row r="18" spans="2:15" x14ac:dyDescent="0.45">
      <c r="B18" s="35" t="s">
        <v>36</v>
      </c>
      <c r="D18" s="5" t="str">
        <v>Red</v>
      </c>
      <c r="E18" s="5" t="str">
        <v>Green</v>
      </c>
      <c r="F18" s="5" t="str">
        <v>Red</v>
      </c>
      <c r="H18" s="5" t="str">
        <v>Green</v>
      </c>
      <c r="I18" s="5" t="str">
        <v>Red</v>
      </c>
      <c r="J18" s="5" t="str">
        <v>Blue</v>
      </c>
      <c r="L18" s="5" t="str">
        <v>Green</v>
      </c>
      <c r="M18" s="5" t="str">
        <v>Blue</v>
      </c>
      <c r="N18" s="5" t="str">
        <v>Red</v>
      </c>
      <c r="O18" s="10"/>
    </row>
    <row r="19" spans="2:15" x14ac:dyDescent="0.45">
      <c r="B19" s="18"/>
      <c r="D19" s="5" t="str">
        <v>Red</v>
      </c>
      <c r="E19" s="5" t="str">
        <v>Green</v>
      </c>
      <c r="F19" s="5" t="str">
        <v>Green</v>
      </c>
      <c r="H19" s="5" t="str">
        <v>Green</v>
      </c>
      <c r="I19" s="5" t="str">
        <v>Blue</v>
      </c>
      <c r="J19" s="5" t="str">
        <v>Red</v>
      </c>
      <c r="L19" s="5" t="str">
        <v>Green</v>
      </c>
      <c r="M19" s="5" t="str">
        <v>Blue</v>
      </c>
      <c r="N19" s="5" t="str">
        <v>Green</v>
      </c>
      <c r="O19" s="10"/>
    </row>
    <row r="20" spans="2:15" x14ac:dyDescent="0.45">
      <c r="B20" s="9"/>
      <c r="D20" s="5" t="str">
        <v>Red</v>
      </c>
      <c r="E20" s="5" t="str">
        <v>Green</v>
      </c>
      <c r="F20" s="5" t="str">
        <v>Blue</v>
      </c>
      <c r="H20" s="5" t="str">
        <v>Blue</v>
      </c>
      <c r="I20" s="5" t="str">
        <v>Red</v>
      </c>
      <c r="J20" s="5" t="str">
        <v>Green</v>
      </c>
      <c r="L20" s="5" t="str">
        <v>Blue</v>
      </c>
      <c r="M20" s="5" t="str">
        <v>Red</v>
      </c>
      <c r="N20" s="5" t="str">
        <v>Red</v>
      </c>
      <c r="O20" s="10"/>
    </row>
    <row r="21" spans="2:15" x14ac:dyDescent="0.45">
      <c r="B21" s="9"/>
      <c r="D21" s="5" t="str">
        <v>Red</v>
      </c>
      <c r="E21" s="5" t="str">
        <v>Blue</v>
      </c>
      <c r="F21" s="5" t="str">
        <v>Red</v>
      </c>
      <c r="H21" s="5" t="str">
        <v>Blue</v>
      </c>
      <c r="I21" s="5" t="str">
        <v>Green</v>
      </c>
      <c r="J21" s="5" t="str">
        <v>Red</v>
      </c>
      <c r="L21" s="5" t="str">
        <v>Blue</v>
      </c>
      <c r="M21" s="5" t="str">
        <v>Red</v>
      </c>
      <c r="N21" s="5" t="str">
        <v>Green</v>
      </c>
      <c r="O21" s="10"/>
    </row>
    <row r="22" spans="2:15" x14ac:dyDescent="0.45">
      <c r="B22" s="9"/>
      <c r="D22" s="5" t="str">
        <v>Red</v>
      </c>
      <c r="E22" s="5" t="str">
        <v>Blue</v>
      </c>
      <c r="F22" s="5" t="str">
        <v>Green</v>
      </c>
      <c r="L22" s="5" t="str">
        <v>Blue</v>
      </c>
      <c r="M22" s="5" t="str">
        <v>Blue</v>
      </c>
      <c r="N22" s="5" t="str">
        <v>Red</v>
      </c>
      <c r="O22" s="10"/>
    </row>
    <row r="23" spans="2:15" x14ac:dyDescent="0.45">
      <c r="B23" s="9"/>
      <c r="D23" s="5" t="str">
        <v>Red</v>
      </c>
      <c r="E23" s="5" t="str">
        <v>Blue</v>
      </c>
      <c r="F23" s="5" t="str">
        <v>Blue</v>
      </c>
      <c r="L23" s="5" t="str">
        <v>Blue</v>
      </c>
      <c r="M23" s="5" t="str">
        <v>Blue</v>
      </c>
      <c r="N23" s="5" t="str">
        <v>Green</v>
      </c>
      <c r="O23" s="10"/>
    </row>
    <row r="24" spans="2:15" x14ac:dyDescent="0.45">
      <c r="B24" s="9"/>
      <c r="D24" s="5" t="str">
        <v>Green</v>
      </c>
      <c r="E24" s="5" t="str">
        <v>Red</v>
      </c>
      <c r="F24" s="5" t="str">
        <v>Red</v>
      </c>
      <c r="O24" s="10"/>
    </row>
    <row r="25" spans="2:15" x14ac:dyDescent="0.45">
      <c r="B25" s="9"/>
      <c r="D25" s="5" t="str">
        <v>Green</v>
      </c>
      <c r="E25" s="5" t="str">
        <v>Red</v>
      </c>
      <c r="F25" s="5" t="str">
        <v>Green</v>
      </c>
      <c r="O25" s="10"/>
    </row>
    <row r="26" spans="2:15" x14ac:dyDescent="0.45">
      <c r="B26" s="9"/>
      <c r="D26" s="5" t="str">
        <v>Green</v>
      </c>
      <c r="E26" s="5" t="str">
        <v>Red</v>
      </c>
      <c r="F26" s="5" t="str">
        <v>Blue</v>
      </c>
      <c r="O26" s="10"/>
    </row>
    <row r="27" spans="2:15" x14ac:dyDescent="0.45">
      <c r="B27" s="9"/>
      <c r="D27" s="5" t="str">
        <v>Green</v>
      </c>
      <c r="E27" s="5" t="str">
        <v>Green</v>
      </c>
      <c r="F27" s="5" t="str">
        <v>Red</v>
      </c>
      <c r="O27" s="10"/>
    </row>
    <row r="28" spans="2:15" x14ac:dyDescent="0.45">
      <c r="B28" s="9"/>
      <c r="D28" s="5" t="str">
        <v>Green</v>
      </c>
      <c r="E28" s="5" t="str">
        <v>Green</v>
      </c>
      <c r="F28" s="5" t="str">
        <v>Green</v>
      </c>
      <c r="O28" s="10"/>
    </row>
    <row r="29" spans="2:15" x14ac:dyDescent="0.45">
      <c r="B29" s="9"/>
      <c r="D29" s="5" t="str">
        <v>Green</v>
      </c>
      <c r="E29" s="5" t="str">
        <v>Green</v>
      </c>
      <c r="F29" s="5" t="str">
        <v>Blue</v>
      </c>
      <c r="O29" s="10"/>
    </row>
    <row r="30" spans="2:15" x14ac:dyDescent="0.45">
      <c r="B30" s="9"/>
      <c r="D30" s="5" t="str">
        <v>Green</v>
      </c>
      <c r="E30" s="5" t="str">
        <v>Blue</v>
      </c>
      <c r="F30" s="5" t="str">
        <v>Red</v>
      </c>
      <c r="O30" s="10"/>
    </row>
    <row r="31" spans="2:15" x14ac:dyDescent="0.45">
      <c r="B31" s="9"/>
      <c r="D31" s="5" t="str">
        <v>Green</v>
      </c>
      <c r="E31" s="5" t="str">
        <v>Blue</v>
      </c>
      <c r="F31" s="5" t="str">
        <v>Green</v>
      </c>
      <c r="O31" s="10"/>
    </row>
    <row r="32" spans="2:15" x14ac:dyDescent="0.45">
      <c r="B32" s="9"/>
      <c r="D32" s="5" t="str">
        <v>Green</v>
      </c>
      <c r="E32" s="5" t="str">
        <v>Blue</v>
      </c>
      <c r="F32" s="5" t="str">
        <v>Blue</v>
      </c>
      <c r="O32" s="10"/>
    </row>
    <row r="33" spans="2:15" x14ac:dyDescent="0.45">
      <c r="B33" s="9"/>
      <c r="D33" s="5" t="str">
        <v>Blue</v>
      </c>
      <c r="E33" s="5" t="str">
        <v>Red</v>
      </c>
      <c r="F33" s="5" t="str">
        <v>Red</v>
      </c>
      <c r="O33" s="10"/>
    </row>
    <row r="34" spans="2:15" x14ac:dyDescent="0.45">
      <c r="B34" s="9"/>
      <c r="D34" s="5" t="str">
        <v>Blue</v>
      </c>
      <c r="E34" s="5" t="str">
        <v>Red</v>
      </c>
      <c r="F34" s="5" t="str">
        <v>Green</v>
      </c>
      <c r="O34" s="10"/>
    </row>
    <row r="35" spans="2:15" x14ac:dyDescent="0.45">
      <c r="B35" s="9"/>
      <c r="D35" s="5" t="str">
        <v>Blue</v>
      </c>
      <c r="E35" s="5" t="str">
        <v>Red</v>
      </c>
      <c r="F35" s="5" t="str">
        <v>Blue</v>
      </c>
      <c r="O35" s="10"/>
    </row>
    <row r="36" spans="2:15" x14ac:dyDescent="0.45">
      <c r="B36" s="9"/>
      <c r="D36" s="5" t="str">
        <v>Blue</v>
      </c>
      <c r="E36" s="5" t="str">
        <v>Green</v>
      </c>
      <c r="F36" s="5" t="str">
        <v>Red</v>
      </c>
      <c r="O36" s="10"/>
    </row>
    <row r="37" spans="2:15" x14ac:dyDescent="0.45">
      <c r="B37" s="9"/>
      <c r="D37" s="5" t="str">
        <v>Blue</v>
      </c>
      <c r="E37" s="5" t="str">
        <v>Green</v>
      </c>
      <c r="F37" s="5" t="str">
        <v>Green</v>
      </c>
      <c r="O37" s="10"/>
    </row>
    <row r="38" spans="2:15" x14ac:dyDescent="0.45">
      <c r="B38" s="9"/>
      <c r="D38" s="5" t="str">
        <v>Blue</v>
      </c>
      <c r="E38" s="5" t="str">
        <v>Green</v>
      </c>
      <c r="F38" s="5" t="str">
        <v>Blue</v>
      </c>
      <c r="O38" s="10"/>
    </row>
    <row r="39" spans="2:15" x14ac:dyDescent="0.45">
      <c r="B39" s="9"/>
      <c r="D39" s="5" t="str">
        <v>Blue</v>
      </c>
      <c r="E39" s="5" t="str">
        <v>Blue</v>
      </c>
      <c r="F39" s="5" t="str">
        <v>Red</v>
      </c>
      <c r="O39" s="10"/>
    </row>
    <row r="40" spans="2:15" x14ac:dyDescent="0.45">
      <c r="B40" s="9"/>
      <c r="D40" s="5" t="str">
        <v>Blue</v>
      </c>
      <c r="E40" s="5" t="str">
        <v>Blue</v>
      </c>
      <c r="F40" s="5" t="str">
        <v>Green</v>
      </c>
      <c r="O40" s="10"/>
    </row>
    <row r="41" spans="2:15" x14ac:dyDescent="0.45">
      <c r="B41" s="9"/>
      <c r="D41" s="5" t="str">
        <v>Blue</v>
      </c>
      <c r="E41" s="5" t="str">
        <v>Blue</v>
      </c>
      <c r="F41" s="5" t="str">
        <v>Blue</v>
      </c>
      <c r="O41" s="10"/>
    </row>
    <row r="42" spans="2:15" x14ac:dyDescent="0.45">
      <c r="B42" s="9"/>
      <c r="D42" s="5" t="str">
        <v>Red</v>
      </c>
      <c r="E42" s="5" t="str">
        <v>Red</v>
      </c>
      <c r="F42" s="5" t="str">
        <v>Red</v>
      </c>
      <c r="O42" s="10"/>
    </row>
    <row r="43" spans="2:15" x14ac:dyDescent="0.45">
      <c r="B43" s="19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39C9B-A9C5-436E-AD19-864B138FDE52}">
  <sheetPr>
    <tabColor rgb="FFC1BAE0"/>
  </sheetPr>
  <dimension ref="B2:M34"/>
  <sheetViews>
    <sheetView workbookViewId="0"/>
  </sheetViews>
  <sheetFormatPr defaultRowHeight="16.5" x14ac:dyDescent="0.45"/>
  <cols>
    <col min="1" max="1" width="5" customWidth="1"/>
    <col min="2" max="2" width="15.83203125" customWidth="1"/>
  </cols>
  <sheetData>
    <row r="2" spans="2:13" x14ac:dyDescent="0.45">
      <c r="B2" s="6" t="s">
        <v>49</v>
      </c>
      <c r="C2" s="7"/>
      <c r="D2" s="7"/>
      <c r="E2" s="7"/>
      <c r="F2" s="7"/>
      <c r="G2" s="7"/>
      <c r="H2" s="7"/>
      <c r="I2" s="7"/>
      <c r="J2" s="7"/>
      <c r="K2" s="7"/>
      <c r="L2" s="7"/>
      <c r="M2" s="8"/>
    </row>
    <row r="3" spans="2:13" x14ac:dyDescent="0.45">
      <c r="B3" s="9"/>
      <c r="M3" s="10"/>
    </row>
    <row r="4" spans="2:13" x14ac:dyDescent="0.45">
      <c r="B4" s="11" t="s">
        <v>3</v>
      </c>
      <c r="C4" s="12" t="s">
        <v>42</v>
      </c>
      <c r="M4" s="10"/>
    </row>
    <row r="5" spans="2:13" x14ac:dyDescent="0.45">
      <c r="B5" s="13" t="s">
        <v>12</v>
      </c>
      <c r="C5" t="s">
        <v>43</v>
      </c>
      <c r="M5" s="10"/>
    </row>
    <row r="6" spans="2:13" x14ac:dyDescent="0.45">
      <c r="B6" s="13" t="s">
        <v>14</v>
      </c>
      <c r="C6" t="s">
        <v>44</v>
      </c>
      <c r="M6" s="10"/>
    </row>
    <row r="7" spans="2:13" x14ac:dyDescent="0.45">
      <c r="B7" s="13"/>
      <c r="M7" s="10"/>
    </row>
    <row r="8" spans="2:13" x14ac:dyDescent="0.45">
      <c r="B8" s="14" t="s">
        <v>30</v>
      </c>
      <c r="M8" s="10"/>
    </row>
    <row r="9" spans="2:13" x14ac:dyDescent="0.45">
      <c r="B9" s="9" t="s">
        <v>25</v>
      </c>
      <c r="M9" s="10"/>
    </row>
    <row r="10" spans="2:13" x14ac:dyDescent="0.45">
      <c r="B10" s="9" t="s">
        <v>24</v>
      </c>
      <c r="M10" s="10"/>
    </row>
    <row r="11" spans="2:13" x14ac:dyDescent="0.45">
      <c r="B11" s="19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</row>
    <row r="12" spans="2:13" x14ac:dyDescent="0.45">
      <c r="B12" s="9"/>
      <c r="E12" s="15" t="s">
        <v>47</v>
      </c>
      <c r="I12" s="15" t="s">
        <v>51</v>
      </c>
      <c r="M12" s="10"/>
    </row>
    <row r="13" spans="2:13" x14ac:dyDescent="0.45">
      <c r="B13" s="16" t="s">
        <v>45</v>
      </c>
      <c r="E13" s="17" t="s">
        <v>46</v>
      </c>
      <c r="I13" s="17" t="s">
        <v>50</v>
      </c>
      <c r="M13" s="10"/>
    </row>
    <row r="14" spans="2:13" x14ac:dyDescent="0.45">
      <c r="B14" s="35" cm="1">
        <f t="array" ref="B14:B17">_xlfn.SEQUENCE(4)</f>
        <v>1</v>
      </c>
      <c r="E14" s="5" cm="1">
        <f t="array" ref="E14:G33">CombinationsRλ(Numbers,3)</f>
        <v>1</v>
      </c>
      <c r="F14" s="5">
        <v>1</v>
      </c>
      <c r="G14" s="5">
        <v>2</v>
      </c>
      <c r="I14" s="5" cm="1">
        <f t="array" ref="I14:K17">Combinationsλ(Numbers,3)</f>
        <v>1</v>
      </c>
      <c r="J14" s="5">
        <v>2</v>
      </c>
      <c r="K14" s="5">
        <v>3</v>
      </c>
      <c r="M14" s="10"/>
    </row>
    <row r="15" spans="2:13" x14ac:dyDescent="0.45">
      <c r="B15" s="35">
        <v>2</v>
      </c>
      <c r="E15" s="5">
        <v>1</v>
      </c>
      <c r="F15" s="5">
        <v>1</v>
      </c>
      <c r="G15" s="5">
        <v>3</v>
      </c>
      <c r="I15" s="5">
        <v>1</v>
      </c>
      <c r="J15" s="5">
        <v>2</v>
      </c>
      <c r="K15" s="5">
        <v>4</v>
      </c>
      <c r="M15" s="10"/>
    </row>
    <row r="16" spans="2:13" x14ac:dyDescent="0.45">
      <c r="B16" s="35">
        <v>3</v>
      </c>
      <c r="E16" s="5">
        <v>1</v>
      </c>
      <c r="F16" s="5">
        <v>1</v>
      </c>
      <c r="G16" s="5">
        <v>4</v>
      </c>
      <c r="I16" s="5">
        <v>1</v>
      </c>
      <c r="J16" s="5">
        <v>3</v>
      </c>
      <c r="K16" s="5">
        <v>4</v>
      </c>
      <c r="M16" s="10"/>
    </row>
    <row r="17" spans="2:13" x14ac:dyDescent="0.45">
      <c r="B17" s="35">
        <v>4</v>
      </c>
      <c r="E17" s="5">
        <v>1</v>
      </c>
      <c r="F17" s="5">
        <v>2</v>
      </c>
      <c r="G17" s="5">
        <v>2</v>
      </c>
      <c r="I17" s="5">
        <v>2</v>
      </c>
      <c r="J17" s="5">
        <v>3</v>
      </c>
      <c r="K17" s="5">
        <v>4</v>
      </c>
      <c r="M17" s="10"/>
    </row>
    <row r="18" spans="2:13" x14ac:dyDescent="0.45">
      <c r="B18" s="9"/>
      <c r="E18" s="5">
        <v>1</v>
      </c>
      <c r="F18" s="5">
        <v>2</v>
      </c>
      <c r="G18" s="5">
        <v>3</v>
      </c>
      <c r="M18" s="10"/>
    </row>
    <row r="19" spans="2:13" x14ac:dyDescent="0.45">
      <c r="B19" s="9"/>
      <c r="E19" s="5">
        <v>1</v>
      </c>
      <c r="F19" s="5">
        <v>2</v>
      </c>
      <c r="G19" s="5">
        <v>4</v>
      </c>
      <c r="M19" s="10"/>
    </row>
    <row r="20" spans="2:13" x14ac:dyDescent="0.45">
      <c r="B20" s="9"/>
      <c r="E20" s="5">
        <v>1</v>
      </c>
      <c r="F20" s="5">
        <v>3</v>
      </c>
      <c r="G20" s="5">
        <v>3</v>
      </c>
      <c r="M20" s="10"/>
    </row>
    <row r="21" spans="2:13" x14ac:dyDescent="0.45">
      <c r="B21" s="9"/>
      <c r="E21" s="5">
        <v>1</v>
      </c>
      <c r="F21" s="5">
        <v>3</v>
      </c>
      <c r="G21" s="5">
        <v>4</v>
      </c>
      <c r="M21" s="10"/>
    </row>
    <row r="22" spans="2:13" x14ac:dyDescent="0.45">
      <c r="B22" s="9"/>
      <c r="E22" s="5">
        <v>1</v>
      </c>
      <c r="F22" s="5">
        <v>4</v>
      </c>
      <c r="G22" s="5">
        <v>4</v>
      </c>
      <c r="M22" s="10"/>
    </row>
    <row r="23" spans="2:13" x14ac:dyDescent="0.45">
      <c r="B23" s="9"/>
      <c r="E23" s="5">
        <v>2</v>
      </c>
      <c r="F23" s="5">
        <v>2</v>
      </c>
      <c r="G23" s="5">
        <v>2</v>
      </c>
      <c r="M23" s="10"/>
    </row>
    <row r="24" spans="2:13" x14ac:dyDescent="0.45">
      <c r="B24" s="9"/>
      <c r="E24" s="5">
        <v>2</v>
      </c>
      <c r="F24" s="5">
        <v>2</v>
      </c>
      <c r="G24" s="5">
        <v>3</v>
      </c>
      <c r="M24" s="10"/>
    </row>
    <row r="25" spans="2:13" x14ac:dyDescent="0.45">
      <c r="B25" s="9"/>
      <c r="E25" s="5">
        <v>2</v>
      </c>
      <c r="F25" s="5">
        <v>2</v>
      </c>
      <c r="G25" s="5">
        <v>4</v>
      </c>
      <c r="M25" s="10"/>
    </row>
    <row r="26" spans="2:13" x14ac:dyDescent="0.45">
      <c r="B26" s="9"/>
      <c r="E26" s="5">
        <v>2</v>
      </c>
      <c r="F26" s="5">
        <v>3</v>
      </c>
      <c r="G26" s="5">
        <v>3</v>
      </c>
      <c r="M26" s="10"/>
    </row>
    <row r="27" spans="2:13" x14ac:dyDescent="0.45">
      <c r="B27" s="9"/>
      <c r="E27" s="5">
        <v>2</v>
      </c>
      <c r="F27" s="5">
        <v>3</v>
      </c>
      <c r="G27" s="5">
        <v>4</v>
      </c>
      <c r="M27" s="10"/>
    </row>
    <row r="28" spans="2:13" x14ac:dyDescent="0.45">
      <c r="B28" s="9"/>
      <c r="E28" s="5">
        <v>2</v>
      </c>
      <c r="F28" s="5">
        <v>4</v>
      </c>
      <c r="G28" s="5">
        <v>4</v>
      </c>
      <c r="M28" s="10"/>
    </row>
    <row r="29" spans="2:13" x14ac:dyDescent="0.45">
      <c r="B29" s="9"/>
      <c r="E29" s="5">
        <v>3</v>
      </c>
      <c r="F29" s="5">
        <v>3</v>
      </c>
      <c r="G29" s="5">
        <v>3</v>
      </c>
      <c r="M29" s="10"/>
    </row>
    <row r="30" spans="2:13" x14ac:dyDescent="0.45">
      <c r="B30" s="9"/>
      <c r="E30" s="5">
        <v>3</v>
      </c>
      <c r="F30" s="5">
        <v>3</v>
      </c>
      <c r="G30" s="5">
        <v>4</v>
      </c>
      <c r="M30" s="10"/>
    </row>
    <row r="31" spans="2:13" x14ac:dyDescent="0.45">
      <c r="B31" s="9"/>
      <c r="E31" s="5">
        <v>3</v>
      </c>
      <c r="F31" s="5">
        <v>4</v>
      </c>
      <c r="G31" s="5">
        <v>4</v>
      </c>
      <c r="M31" s="10"/>
    </row>
    <row r="32" spans="2:13" x14ac:dyDescent="0.45">
      <c r="B32" s="9"/>
      <c r="E32" s="5">
        <v>4</v>
      </c>
      <c r="F32" s="5">
        <v>4</v>
      </c>
      <c r="G32" s="5">
        <v>4</v>
      </c>
      <c r="M32" s="10"/>
    </row>
    <row r="33" spans="2:13" x14ac:dyDescent="0.45">
      <c r="B33" s="9"/>
      <c r="E33" s="5">
        <v>1</v>
      </c>
      <c r="F33" s="5">
        <v>1</v>
      </c>
      <c r="G33" s="5">
        <v>1</v>
      </c>
      <c r="M33" s="10"/>
    </row>
    <row r="34" spans="2:13" x14ac:dyDescent="0.45">
      <c r="B34" s="19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3AFC8-1A9C-4184-B838-BBC66EBAF8D7}">
  <sheetPr>
    <tabColor rgb="FFC1BAE0"/>
  </sheetPr>
  <dimension ref="B2:K30"/>
  <sheetViews>
    <sheetView workbookViewId="0"/>
  </sheetViews>
  <sheetFormatPr defaultRowHeight="16.5" x14ac:dyDescent="0.45"/>
  <cols>
    <col min="1" max="1" width="5" customWidth="1"/>
    <col min="2" max="2" width="10.83203125" customWidth="1"/>
    <col min="7" max="7" width="6.9140625" customWidth="1"/>
  </cols>
  <sheetData>
    <row r="2" spans="2:11" x14ac:dyDescent="0.45">
      <c r="B2" s="6" t="s">
        <v>52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45">
      <c r="B3" s="26" t="s">
        <v>60</v>
      </c>
      <c r="K3" s="10"/>
    </row>
    <row r="4" spans="2:11" x14ac:dyDescent="0.45">
      <c r="B4" s="26"/>
      <c r="K4" s="10"/>
    </row>
    <row r="5" spans="2:11" x14ac:dyDescent="0.45">
      <c r="B5" s="13" t="s">
        <v>78</v>
      </c>
      <c r="C5" s="3"/>
      <c r="K5" s="10"/>
    </row>
    <row r="6" spans="2:11" x14ac:dyDescent="0.45">
      <c r="B6" s="9" t="s">
        <v>53</v>
      </c>
      <c r="K6" s="10"/>
    </row>
    <row r="7" spans="2:11" x14ac:dyDescent="0.45">
      <c r="B7" s="9"/>
      <c r="K7" s="10"/>
    </row>
    <row r="8" spans="2:11" x14ac:dyDescent="0.45">
      <c r="B8" s="13" t="s">
        <v>54</v>
      </c>
      <c r="K8" s="10"/>
    </row>
    <row r="9" spans="2:11" x14ac:dyDescent="0.45">
      <c r="B9" s="9" t="s">
        <v>55</v>
      </c>
      <c r="K9" s="10"/>
    </row>
    <row r="10" spans="2:11" x14ac:dyDescent="0.45">
      <c r="B10" s="9" t="s">
        <v>56</v>
      </c>
      <c r="K10" s="10"/>
    </row>
    <row r="11" spans="2:11" x14ac:dyDescent="0.45">
      <c r="B11" s="19"/>
      <c r="C11" s="20"/>
      <c r="D11" s="20"/>
      <c r="E11" s="20"/>
      <c r="F11" s="20"/>
      <c r="G11" s="20"/>
      <c r="H11" s="20"/>
      <c r="I11" s="20"/>
      <c r="J11" s="20"/>
      <c r="K11" s="21"/>
    </row>
    <row r="12" spans="2:11" x14ac:dyDescent="0.45">
      <c r="B12" s="9"/>
      <c r="K12" s="10"/>
    </row>
    <row r="13" spans="2:11" x14ac:dyDescent="0.45">
      <c r="B13" s="9"/>
      <c r="D13" s="15" t="s">
        <v>61</v>
      </c>
      <c r="G13" s="15" t="s">
        <v>58</v>
      </c>
      <c r="K13" s="10"/>
    </row>
    <row r="14" spans="2:11" x14ac:dyDescent="0.45">
      <c r="B14" s="16" t="s">
        <v>32</v>
      </c>
      <c r="D14" s="17" t="s">
        <v>57</v>
      </c>
      <c r="G14" s="17" t="s">
        <v>59</v>
      </c>
      <c r="K14" s="10"/>
    </row>
    <row r="15" spans="2:11" x14ac:dyDescent="0.45">
      <c r="B15" s="35">
        <v>1</v>
      </c>
      <c r="D15" s="23" t="str" cm="1">
        <f t="array" ref="D15:D29">SubsetGenλ(Collection)</f>
        <v>4</v>
      </c>
      <c r="G15" s="23" t="str" cm="1">
        <f t="array" ref="G15:G16">SubsetSumλ(Collection,4)</f>
        <v>4</v>
      </c>
      <c r="K15" s="10"/>
    </row>
    <row r="16" spans="2:11" x14ac:dyDescent="0.45">
      <c r="B16" s="35">
        <v>2</v>
      </c>
      <c r="D16" s="23" t="str">
        <v>3</v>
      </c>
      <c r="G16" s="23" t="str">
        <v>1, 3</v>
      </c>
      <c r="K16" s="10"/>
    </row>
    <row r="17" spans="2:11" x14ac:dyDescent="0.45">
      <c r="B17" s="35">
        <v>3</v>
      </c>
      <c r="D17" s="23" t="str">
        <v>3, 4</v>
      </c>
      <c r="K17" s="10"/>
    </row>
    <row r="18" spans="2:11" x14ac:dyDescent="0.45">
      <c r="B18" s="35">
        <v>4</v>
      </c>
      <c r="D18" s="23" t="str">
        <v>2</v>
      </c>
      <c r="K18" s="10"/>
    </row>
    <row r="19" spans="2:11" x14ac:dyDescent="0.45">
      <c r="B19" s="9"/>
      <c r="D19" s="23" t="str">
        <v>2, 4</v>
      </c>
      <c r="K19" s="10"/>
    </row>
    <row r="20" spans="2:11" x14ac:dyDescent="0.45">
      <c r="B20" s="9"/>
      <c r="D20" s="23" t="str">
        <v>2, 3</v>
      </c>
      <c r="K20" s="10"/>
    </row>
    <row r="21" spans="2:11" x14ac:dyDescent="0.45">
      <c r="B21" s="9"/>
      <c r="D21" s="23" t="str">
        <v>2, 3, 4</v>
      </c>
      <c r="K21" s="10"/>
    </row>
    <row r="22" spans="2:11" x14ac:dyDescent="0.45">
      <c r="B22" s="9"/>
      <c r="D22" s="23" t="str">
        <v>1</v>
      </c>
      <c r="K22" s="10"/>
    </row>
    <row r="23" spans="2:11" x14ac:dyDescent="0.45">
      <c r="B23" s="9"/>
      <c r="D23" s="23" t="str">
        <v>1, 4</v>
      </c>
      <c r="K23" s="10"/>
    </row>
    <row r="24" spans="2:11" x14ac:dyDescent="0.45">
      <c r="B24" s="9"/>
      <c r="D24" s="23" t="str">
        <v>1, 3</v>
      </c>
      <c r="K24" s="10"/>
    </row>
    <row r="25" spans="2:11" x14ac:dyDescent="0.45">
      <c r="B25" s="9"/>
      <c r="D25" s="23" t="str">
        <v>1, 3, 4</v>
      </c>
      <c r="K25" s="10"/>
    </row>
    <row r="26" spans="2:11" x14ac:dyDescent="0.45">
      <c r="B26" s="9"/>
      <c r="D26" s="23" t="str">
        <v>1, 2</v>
      </c>
      <c r="K26" s="10"/>
    </row>
    <row r="27" spans="2:11" x14ac:dyDescent="0.45">
      <c r="B27" s="9"/>
      <c r="D27" s="23" t="str">
        <v>1, 2, 4</v>
      </c>
      <c r="K27" s="10"/>
    </row>
    <row r="28" spans="2:11" x14ac:dyDescent="0.45">
      <c r="B28" s="9"/>
      <c r="D28" s="23" t="str">
        <v>1, 2, 3</v>
      </c>
      <c r="K28" s="10"/>
    </row>
    <row r="29" spans="2:11" x14ac:dyDescent="0.45">
      <c r="B29" s="9"/>
      <c r="D29" s="23" t="str">
        <v>1, 2, 3, 4</v>
      </c>
      <c r="K29" s="10"/>
    </row>
    <row r="30" spans="2:11" x14ac:dyDescent="0.45">
      <c r="B30" s="19"/>
      <c r="C30" s="20"/>
      <c r="D30" s="20"/>
      <c r="E30" s="20"/>
      <c r="F30" s="20"/>
      <c r="G30" s="20"/>
      <c r="H30" s="20"/>
      <c r="I30" s="20"/>
      <c r="J30" s="20"/>
      <c r="K30" s="2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467E-0D16-43D6-ADBF-D4A5006432AC}">
  <sheetPr>
    <tabColor rgb="FFC1BAE0"/>
  </sheetPr>
  <dimension ref="B2:P27"/>
  <sheetViews>
    <sheetView workbookViewId="0"/>
  </sheetViews>
  <sheetFormatPr defaultRowHeight="16.5" x14ac:dyDescent="0.45"/>
  <cols>
    <col min="1" max="1" width="5" customWidth="1"/>
  </cols>
  <sheetData>
    <row r="2" spans="2:16" x14ac:dyDescent="0.45">
      <c r="B2" s="6" t="s">
        <v>62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</row>
    <row r="3" spans="2:16" x14ac:dyDescent="0.45">
      <c r="B3" s="9"/>
      <c r="P3" s="10"/>
    </row>
    <row r="4" spans="2:16" x14ac:dyDescent="0.45">
      <c r="B4" s="13" t="s">
        <v>70</v>
      </c>
      <c r="P4" s="10"/>
    </row>
    <row r="5" spans="2:16" x14ac:dyDescent="0.45">
      <c r="B5" s="13"/>
      <c r="P5" s="10"/>
    </row>
    <row r="6" spans="2:16" x14ac:dyDescent="0.45">
      <c r="B6" s="28" t="s">
        <v>64</v>
      </c>
      <c r="P6" s="10"/>
    </row>
    <row r="7" spans="2:16" x14ac:dyDescent="0.45">
      <c r="B7" s="9" t="s">
        <v>65</v>
      </c>
      <c r="P7" s="10"/>
    </row>
    <row r="8" spans="2:16" x14ac:dyDescent="0.45">
      <c r="B8" s="9" t="s">
        <v>66</v>
      </c>
      <c r="P8" s="10"/>
    </row>
    <row r="9" spans="2:16" x14ac:dyDescent="0.45">
      <c r="B9" s="9" t="s">
        <v>67</v>
      </c>
      <c r="P9" s="10"/>
    </row>
    <row r="10" spans="2:16" x14ac:dyDescent="0.45">
      <c r="B10" s="9" t="s">
        <v>68</v>
      </c>
      <c r="P10" s="10"/>
    </row>
    <row r="11" spans="2:16" x14ac:dyDescent="0.45">
      <c r="B11" s="9"/>
      <c r="P11" s="10"/>
    </row>
    <row r="12" spans="2:16" x14ac:dyDescent="0.45">
      <c r="B12" s="26" t="s">
        <v>63</v>
      </c>
      <c r="P12" s="10"/>
    </row>
    <row r="13" spans="2:16" x14ac:dyDescent="0.45">
      <c r="B13" s="31" t="s">
        <v>76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1"/>
    </row>
    <row r="14" spans="2:16" x14ac:dyDescent="0.45">
      <c r="B14" s="9"/>
      <c r="P14" s="10"/>
    </row>
    <row r="15" spans="2:16" x14ac:dyDescent="0.45">
      <c r="B15" s="9"/>
      <c r="C15" s="22" t="s">
        <v>69</v>
      </c>
      <c r="D15" s="27">
        <v>1</v>
      </c>
      <c r="E15" s="27">
        <v>2</v>
      </c>
      <c r="F15" s="27">
        <v>3</v>
      </c>
      <c r="G15" s="27">
        <v>4</v>
      </c>
      <c r="H15" s="27">
        <v>5</v>
      </c>
      <c r="P15" s="10"/>
    </row>
    <row r="16" spans="2:16" x14ac:dyDescent="0.45">
      <c r="B16" s="9"/>
      <c r="C16" s="5" t="s">
        <v>71</v>
      </c>
      <c r="D16" s="5">
        <v>3</v>
      </c>
      <c r="E16" s="5">
        <v>4</v>
      </c>
      <c r="F16" s="5">
        <v>8</v>
      </c>
      <c r="G16" s="5">
        <v>6</v>
      </c>
      <c r="H16" s="5">
        <v>10</v>
      </c>
      <c r="P16" s="10"/>
    </row>
    <row r="17" spans="2:16" x14ac:dyDescent="0.45">
      <c r="B17" s="9"/>
      <c r="C17" s="5" t="s">
        <v>72</v>
      </c>
      <c r="D17" s="5">
        <v>2</v>
      </c>
      <c r="E17" s="5">
        <v>3</v>
      </c>
      <c r="F17" s="5">
        <v>4</v>
      </c>
      <c r="G17" s="5">
        <v>5</v>
      </c>
      <c r="H17" s="5">
        <v>6</v>
      </c>
      <c r="P17" s="10"/>
    </row>
    <row r="18" spans="2:16" x14ac:dyDescent="0.45">
      <c r="B18" s="9"/>
      <c r="P18" s="10"/>
    </row>
    <row r="19" spans="2:16" x14ac:dyDescent="0.45">
      <c r="B19" s="9"/>
      <c r="C19" s="23" t="s">
        <v>73</v>
      </c>
      <c r="D19" s="5">
        <v>10</v>
      </c>
      <c r="P19" s="10"/>
    </row>
    <row r="20" spans="2:16" x14ac:dyDescent="0.45">
      <c r="B20" s="9"/>
      <c r="P20" s="10"/>
    </row>
    <row r="21" spans="2:16" x14ac:dyDescent="0.45">
      <c r="B21" s="9"/>
      <c r="C21" s="15" t="s">
        <v>75</v>
      </c>
      <c r="P21" s="10"/>
    </row>
    <row r="22" spans="2:16" x14ac:dyDescent="0.45">
      <c r="B22" s="9"/>
      <c r="C22" s="17" t="s">
        <v>74</v>
      </c>
      <c r="P22" s="10"/>
    </row>
    <row r="23" spans="2:16" x14ac:dyDescent="0.45">
      <c r="B23" s="9"/>
      <c r="C23" s="29" t="str" cm="1">
        <f t="array" ref="C23:H26">KnapSackλ(Items,Value,Weight,Capacity)</f>
        <v>Items</v>
      </c>
      <c r="D23" s="30">
        <v>1</v>
      </c>
      <c r="E23" s="30">
        <v>2</v>
      </c>
      <c r="F23" s="30">
        <v>3</v>
      </c>
      <c r="G23" s="30">
        <v>4</v>
      </c>
      <c r="H23" s="30">
        <v>5</v>
      </c>
      <c r="P23" s="10"/>
    </row>
    <row r="24" spans="2:16" x14ac:dyDescent="0.45">
      <c r="B24" s="9"/>
      <c r="C24" s="5" t="str">
        <v>Value</v>
      </c>
      <c r="D24" s="5">
        <v>3</v>
      </c>
      <c r="E24" s="5">
        <v>4</v>
      </c>
      <c r="F24" s="5">
        <v>8</v>
      </c>
      <c r="G24" s="5">
        <v>6</v>
      </c>
      <c r="H24" s="5">
        <v>10</v>
      </c>
      <c r="P24" s="10"/>
    </row>
    <row r="25" spans="2:16" x14ac:dyDescent="0.45">
      <c r="B25" s="9"/>
      <c r="C25" s="5" t="str">
        <v>Weight</v>
      </c>
      <c r="D25" s="5">
        <v>2</v>
      </c>
      <c r="E25" s="5">
        <v>3</v>
      </c>
      <c r="F25" s="5">
        <v>4</v>
      </c>
      <c r="G25" s="5">
        <v>5</v>
      </c>
      <c r="H25" s="5">
        <v>6</v>
      </c>
      <c r="P25" s="10"/>
    </row>
    <row r="26" spans="2:16" x14ac:dyDescent="0.45">
      <c r="B26" s="9"/>
      <c r="C26" s="5" t="str">
        <v>Pack</v>
      </c>
      <c r="D26" s="5">
        <v>0</v>
      </c>
      <c r="E26" s="5">
        <v>0</v>
      </c>
      <c r="F26" s="5">
        <v>1</v>
      </c>
      <c r="G26" s="5">
        <v>0</v>
      </c>
      <c r="H26" s="5">
        <v>1</v>
      </c>
      <c r="P26" s="10"/>
    </row>
    <row r="27" spans="2:16" x14ac:dyDescent="0.45">
      <c r="B27" s="19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IAAgACAAIAAgACAAIAAgACAAIABcAG4ATQBvAGQAdQBsAGUAOgAgACAAQgBpAGcAUwBwAGkAbABsAFwAbgBMAGkAYwBlAG4AcwBlADoAIABNAEkAVAAgACgAcwBlAGUAIABMAEkAQwBFAE4AUwBFACAAZgBpAGwAZQApAFwAbgBBAHUAdABoAG8AcgA6ACAAIABQAGEAdAByAGkAYwBrACAASAAuAFwAbgBEAGEAdABlADoAIAAgACAAIAA3AC8ANgAvADIAMAAyADYAXABuAFwAbgBEAGUAcwBjAHIAaQBwAHQAaQBvAG4AOgBcAG4AQwBvAHIAZQAgAG0AbwBkAHUAbABlACAAYQBnAGcAcgBlAGcAYQB0AG8AcgAgAGYAbwByACAAYQBsAGwAIABCAGkAZwBTAHAAaQBsAGwAIABmAHUAbgBjAHQAaQBvAG4AcwA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bQBhAHQAcgBpAHgAIABpAG4AdABvACAAYQAgAGYAbABhAHQAdABlAG4AZQBkACAAcgBvAHcAESB3AGkAcwBlACAAdABhAGIAbABlACAAYgB5ACAAcAByAG8AdgBpAGQAaQBuAGcAIAByAG8AdwAgAGwAYQBiAGUAbABzACwAXABuACAAIAAgACAAYwBvAGwAdQBtAG4AIABsAGEAYgBlAGwAcwAsACAAYQBuAGQAIABhACAAdgBhAGwAdQBlACAAbQBhAHQAcgBpAHg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TQBhAHQAcgBpAHg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bQBhAHQAcgBpAHgAIABvAGYAIABzAGgAaQBmAHQAZQBkACAAdAB1AHAAbABlAHMALgBcAG4AXABuAE4AbwB0AGUAcwA6AFwAbgAgACAAIAAgACIgIABPAHUAdABwAHUAdAAgAG8AcgBpAGUAbgB0AGEAdABpAG8AbgAgAG0AYQB0AGMAaABlAHMAIABpAG4AcAB1AHQAOgBcAG4AIAAgACAAIAAgACAAIAAgACAAIAAtACAAUwBjAGEAbABhAHIAcwAgAJIhIAB2AGUAcgB0AGkAYwBhAGwAXABuACAAIAAgACAAIAAgACAAIAAgACAALQAgAFYAZQByAHQAaQBjAGEAbAAgAGEAcgByAGEAeQBzACAAkiEgAHYAZQByAHQAaQBjAGEAbABcAG4AIAAgACAAIAAgACAAIAAgACAAIAAtACAASABvAHIAaQB6AG8AbgB0AGEAbAAgAGEAcgByAGEAeQBzACAAkiEgAGgAbwByAGkAegBvAG4AdABhAGwAXABuACAAIAAgACAAIiAgAE0AdQBsAHQAaQARIHMAaABpAGYAdAAgAGkAbgBwAHUAdABzACAAcgBlAHQAdQByAG4AIABhACAAcwB0AGEAYwBrAGUAZAAgAG0AYQB0AHIAaQB4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bQBhAHQAcgBpAHgALABcAG4AIAAgACAAIABbAHMAaABpAGYAdABfAGIAeQBdACwAXABuAEwARQBUACgAXABuACAAIAAgACAALwAvACAARABpAG0AZQBuAHMAaQBvAG4AcwBcAG4AIAAgACAAIABoACwAIAAgACAAIAAgACAAIAAgAFIATwBXAFMAKABtAGEAdAByAGkAeAApACwAXABuACAAIAAgACAAdwAsACAAIAAgACAAIAAgACAAIABDAE8ATABVAE0ATgBTACgAbQBhAHQAcgBpAHg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0AYQB0AHIAaQB4ACwAIABzAGgAaQBmAHQAXwBiAHkAKQAsAFwAbgBcAG4ATABFAFQAKABcAG4AIAAgACAAIAAvAC8AIABSAG8AdwAgAGkAbgBkAGkAYwBlAHMAIAByAGUAbQBhAGkAbgAgAGYAaQB4AGUAZABcAG4AIAAgACAAIABpACwAIAAgACAAIAAgACAAIAAgAE0ARwByAGkAZAC7AygAbQBhAHQAcgBpAHgAKQAsAFwAbgBcAG4AIAAgACAAIAAvAC8AIABDAG8AbAB1AG0AbgAgAGkAbgBkAGkAYwBlAHMAIABhAHIAZQAgAGMAaQByAGMAdQBsAGEAcgBsAHkAIABzAGgAaQBmAHQAZQBkAFwAbgAgACAAIAAgAGoALAAgACAAIAAgACAAIAAgACAAUgBlAHMAaQB6AGUAuwMoAFMAaABpAGYAdAC7AygAUwBFAFEAVQBFAE4AQwBFACgALAAgAHcAKQAsACAAcwBoAGkAZgB0AF8AYgB5ACkALABoACkALABcAG4AXABuACAAIAAgACAAcgBlAHMAdQBsAHQALAAgACAAIABJAE4ARABFAFgAKABtAGEAdAByAGkAe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bQBhAHQAcgBpAHgALABcAG4AIAAgACAAIABbAHMAaABpAGYAdABfAGIAeQBdACwAXABuAEwARQBUACgAXABuACAAIAAgACAALwAvACAARABpAG0AZQBuAHMAaQBvAG4AcwBcAG4AIAAgACAAIABoACwAIAAgACAAIAAgACAAIAAgACAAIAAgAFIATwBXAFMAKABtAGEAdAByAGkAeAApACwAXABuACAAIAAgACAAdwAsACAAIAAgACAAIAAgACAAIAAgACAAIABDAE8ATABVAE0ATgBTACgAbQBhAHQAcgBpAHg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0AYQB0AHIAaQB4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tAGEAdAByAGkAeAAsACAAMQApACwAXABuAFwAbgAgACAAIAAgAHIAZQBzAHUAbAB0ACwAIAAgACAAIAAgACAASQBOAEQARQBYACgAbQBhAHQAcgBpAHg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bQBhAHQAcgBpAHg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bQBhAHQAcgBpAHgAIAAgACAAIAAgACAAIAAgACAAIAAgACAAIAAgACAALQAgAEkAbgBwAHUAdAAgAG0AYQB0AHIAaQB4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tAGEAdAByAGkAe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tAGEAdAByAGkAeAAsACAAZABlAHAAdABoACwAIAB3AGkAZAB0AGgALAAgAHIAZQBfAHMAaABhAHAAZQBfAGIAeQBfAGMAbwBsAHUAbQBuAD8ALABcAG4AXABuAEwARQBUACgAXABuACAAIAAgACAALwAvACAAQgBsAG8AYwBrACAAZwByAGkAZAAgAGQAaQBtAGUAbgBzAGkAbwBuAHMAXABuACAAIAAgACAAeAAsACAAIAAgACAAIAAgACAAIAAgACAAIAAgACAAUgBPAFUATgBEAFUAUAAoAFIATwBXAFMAKABtAGEAdAByAGkAeAApACAALwAgAGQAZQBwAHQAaAAsACAAMAApACwAIAAgACAAIAAgAC8ALwAgAGIAbABvAGMAawAgAHIAbwB3AHMAXABuACAAIAAgACAAeQAsACAAIAAgACAAIAAgACAAIAAgACAAIAAgACAAUgBPAFUATgBEAFUAUAAoAEMATwBMAFUATQBOAFMAKABtAGEAdAByAGkAe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tAGEAdAByAGkAeAAsACAAcgBvAHcAXwBpAG4AZABpAGMAZQBzACwAIABjAG8AbABfAGkAbgBkAGkAYwBlAHMAKQAsAFwAbgBcAG4AIAAgACAAIAAvAC8AIABPAHAAdABpAG8AbgBhAGwAIABjAG8AbAB1AG0AbgARIHcAaQBzAGUAIAByAGUAcwBoAGEAcABlAFwAbgAgACAAIAAgAHIAZQBzAHUAbAB0ACwAIAAgACAAIAAgACAAIAAgAEkARgAoAHIAZQBfAHMAaABhAHAAZQBfAGIAeQBfAGMAbwBsAHUAbQBuAD8ALAAgAFQAUgBBAE4AUwBQAE8AUwBFACgAcgBlAHMAaABhAHAAZQBkACkALAAgAHIAZQBzAGgAYQBwAGUAZAApACwAXABuAFwAbgAgACAAIAAgAHIAZQBzAHUAbAB0AFwAbgApACkAKQA7AFwAbgBcAG4AXABuAFwAbgAvACoAIABbAEcAQQARIEMATwBSAEUAXQAgAC0ALQAtAC0ALQAtAC0ALQAtAC0ALQAtAC0ALQAtAC0ALQAtAC0ALQAtAC0ALQAtAC0ALQAtAC0ALQAtAC0ALQAtAC0ALQAtAC0ALQAtAC0ALQAtAC0ALQAtAC0ALQAtAC0ALQAtAC0ALQAtAC0ALQAtAC0ALQAtAC0ALQAtAC0ALQAtAC0ALQAtAC0AXABuAEYAdQBuAGMAdABpAG8AbgA6ACAAIAAgACAAIABWAGEAbABpAGQAYQB0AGUAQgBsAG8AYwBrAE0AYQBwALsDXABuAEMAYQB0AGUAZwBvAHIAeQA6ACAAIAAgACAAIABHAHIAaQBkACAAQQBsAGcAZQBiAHIAYQ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bABvAGMAawBNAGEAcAC7Ay4AIABFAG4AcwB1AHIAZQBzACAAdABoAGUAIABtAGEAdAByAGkAe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bQBhAHQAcgBpAHgAIABjAGwAZQBhAG4AbAB5AC4AXABuAFwAbgBQAGEAcgBhAG0AZQB0AGUAcgBzADoAXABuACAAIAAgACAAbQBhAHQAcgBpAHgAIAAgACAAIAAgACAAIAAgACAAIAAgACAAIAAgACAALQAgAEkAbgBwAHUAdAAgAG0AYQB0AHIAaQB4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0AYQB0AHIAaQB4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bQBhAHQAcgBpAHgALABcAG4AIAAgACAAIABkAGUAcAB0AGgALABcAG4AIAAgACAAIAB3AGkAZAB0AGgALABcAG4AIAAgACAAIAByAGUAXwBzAGgAYQBwAGUAXwBiAHkAXwBjAG8AbAB1AG0AbgA/ACwAXABuACAAIAAgACAAbwBuAF8AdgBhAGwAaQBkACwAXABuAFwAbgAgACAAIAAgAC8ALwAgAE0AdQBzAHQAIABiAGUAIABhAG4AIABhAHIAcgBhAHkAXABuACAAIAAgACAASQBGACgATgBPAFQAKABUAFkAUABFACgAbQBhAHQAcgBpAHgAKQAgAD0AIAA2ADQAKQAsAFwAIgAjAE0AQQBUAFIASQBYACEAXAAiACwAXABuAFwAbgAgACAAIAAgAC8ALwAgAFMAcABpAGwAbAARIHIAaQBzAGsAIAB3AGgAZQBuACAAcgBlAHMAaABhAHAAaQBuAGcAIABiAHkAIABjAG8AbAB1AG0AbgBcAG4AIAAgACAAIABJAEYAKAAoAHIAZQBfAHMAaABhAHAAZQBfAGIAeQBfAGMAbwBsAHUAbQBuAD8AKQAgACoAIABcAG4AIAAgACAAIAAgACAAIAAoAFIATwBXAFMAKABtAGEAdAByAGkAeAApACAAKgAgAEMATwBMAFUATQBOAFMAKABtAGEAdAByAGkAeAApACAALwAgACgAdwBpAGQAdABoACAAKgAgAGQAZQBwAHQAaAApAF4AMgAgAD4AIAAxADYAMwA4ADQAKQAsAFwAIgAjAFMAUABJAEwATAAtAFIASQBTAEsAIQBcACIALABcAG4AXABuACAAIAAgACAALwAvACAATQB1AHMAdAAgAHQAaQBsAGUAIABjAGwAZQBhAG4AbAB5AFwAbgAgACAAIAAgAEkARgAoACgATQBPAEQAKABSAE8AVwBTACgAbQBhAHQAcgBpAHgAKQAsACAAZABlAHAAdABoACkAIAA8AD4AIAAwACkAIAArACgATQBPAEQAKABDAE8ATABVAE0ATgBTACgAbQBhAHQAcgBpAHgAKQAsACAAdwBpAGQAdABoACkAIAA8AD4AIAAwACkALABcACIAIwBCAEwATwBDAEsAIABNAEkAUwBNAEEAVABDAEgAIQBcACIALABcAG4AXABuACAAIAAgACAALwAvACAAQgBsAG8AYwBrACAAcwBpAHoAZQAgAG0AdQBzAHQAIABiAGUAIAB2AGEAbABpAGQAXABuACAAIAAgACAASQBGACgATwBSACgAQQBOAEQAKAB3AGkAZAB0AGgAIAA9ACAAMQAsACAAZABlAHAAdABoACAAPQAgADEAKQAsAGQAZQBwAHQAaAAgAD4AIABSAE8AVwBTACgAbQBhAHQAcgBpAHgAKQAsAFwAbgAgACAAIAAgACAAIAAgACAAIAAgACAAIAAgACAAdwBpAGQAdABoACAAPgAgAEMATwBMAFUATQBOAFMAKABtAGEAdAByAGkAe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cwBjAGEAbABhAHIAcwAgAGEAbgBkACAAMQBEACAAYQByAHIAYQB5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YQBuAGQAIAAxAEQAIABpAG4AcAB1AHQAcwAgAHQAbwAgAGUAbgBmAG8AcgBjAGUAIABzAHQAcgBpAGMAdAAgADIARAAgAGcAZQBvAG0AZQB0AHIAeQAuAFwAbgAtAC0ALQAtAC0ALQAtAC0ALQAtAC0ALQAtAC0ALQAtAC0ALQAtAC0ALQAtAC0ALQAtAC0ALQAtAC0ALQAtAC0ALQAtAC0ALQAtAC0ALQAtAC0ALQAtAC0ALQAtAC0ALQAtAC0ALQAtAC0ALQAtAC0ALQAtAC0ALQAtAC0ALQAtAC0ALQAtAC0ALQAtAC0ALQAtAC0ALQAtAC0ALQAqAC8AXABuAFwAbgBUAGUAcwBzAGUAbABsAGEAdABlALsDIAA9AFwAbgBMAEEATQBCAEQAQQAoAFwAbgAgACAAIAAgAHAAYQB0AHQAZQByAG4ALABcAG4AIAAgACAAIABuAGUAdwBfAGgAZQBpAGcAaAB0ACwAXABuACAAIAAgACAAbgBlAHcAXwB3AGkAZAB0AGgALABcAG4ATABFAFQAKABcAG4AIAAgACAAIAAvAC8AIABQAGEAdAB0AGUAcgBuACAAZABpAG0AZQBuAHMAaQBvAG4AcwBcAG4AIAAgACAAIABoACwAIAAgACAAIAAgACAAIAAgACAAIAAgACAAIAAgAFIATwBXAFMAKABwAGEAdAB0AGUAcgBuACkALABcAG4AIAAgACAAIAB3ACwAIAAgACAAIAAgACAAIAAgACAAIAAgACAAIAAgAEMATwBMAFUATQBOAFMAKABwAGEAdAB0AGUAcgBuACkALABcAG4AXABuACAAIAAgACAALwAvACAASQBuAHYAYQBsAGkAZAAgAHMAaABhAHAAZQBzAFwAbgAgACAAIAAgAEkAcwBTAGMAYQBsAGEAcgA/ACwAIAAgACAAIAAgACAAQQBOAEQAKABoACAAPQAgADEALAAgAHcAIAA9ACAAMQApACwAXABuACAAIAAgACAASQBzADEARAA/ACwAIAAgACAAIAAgACAAIAAgACAAIABYAE8AUg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SQBGACgASQBzADEARAA/ACwAIABcACIAIwAxAEQALQBBAFIAUgBBAFkAIQBcACIALABcAG4AXABuACAAIAAgACAAIAAgACAAIAAgACAAIAAgAEkARgAoAE4AbwBDAGgAYQBuAGcAZQA/ACwAIABwAGEAdAB0AGUAcgBuACwAXABuAFwAbgAgACAAIAAgACAAIAAgACAAIAAgACAAIAAgACAAIAAgAEkARgAoAEkAbgB2AGEAbABpAGQASABXAD8ALAAgAFwAIgAjAE4ARQBXAC0ASABFAEkARwBIAFQALwBXAEkARABUAEgAIQBcACIALABcAG4AXABuAEwARQBUACgAXABuACAAIAAgACAALwAvACAATwB1AHQAcAB1AHQAIABnAGUAbwBtAGUAdAByAHkAIABwAGwAYQBjAGUAaABvAGwAZABlAHIAXABuACAAIAAgACAAZQB4AHAAXwBzAGgAYQBwAGUALAAgACAAIAAgAEUAWABQAEEATgBEACgAMAAsACAAbgBlAHcAXwBoAGUAaQBnAGgAdAAsACAAbgBlAHcAXwB3AGkAZAB0AGgAKQAsAFwAbgBcAG4AIAAgACAAIAAvAC8AIABNAG8AZAB1AGwAYQByACAAcgBvAHcALwBjAG8AbAB1AG0AbgAgAGkAbgBkAGkAYwBlAHMAXABuACAAIAAgACAAaQAsACAAIAAgACAAIAAgACAAIAAgACAAIAAgAFQARwByAGkAZAC7AygAZQB4AHAAXwBzAGgAYQBwAGUALAAgAGgAKQAsAFwAbgAgACAAIAAgAGoALAAgACAAIAAgACAAIAAgACAAIAAgACAAIABUAEcAcgBpAGQAuwMoAGUAeABwAF8AcwBoAGEAcABlACwAIAB3ACwAIAAxACkALABcAG4AXABuACAAIAAgACAALwAvACAAVABlAHMAcwBlAGwAbABhAHQAZQBkACAAbwB1AHQAcAB1AHQAXABuACAAIAAgACAAdABlAHMAcwAsACAAIAAgACAAIAAgACAAIAAgAEkATgBEAEUAWAAoAHAAYQB0AHQAZQByAG4ALAAgAGkALAAgAGoAKQAsAFwAbgBcAG4AIAAgACAAIAB0AGUAcwBzAFwAbgApACkAKQApACkAKQApADsAXABuAFwAbgBcAG4AXABuAC8AKgAgAFsARwBSAF0AIAAtAC0ALQAtAC0ALQAtAC0ALQAtAC0ALQAtAC0ALQAtAC0ALQAtAC0ALQAtAC0ALQAtAC0ALQAtAC0ALQAtAC0ALQAtAC0ALQAtAC0ALQAtAC0ALQAtAC0ALQAtAC0ALQAtAC0ALQAtAC0ALQAtAC0ALQAtAC0ALQAtAC0ALQAtAC0ALQAtAC0ALQAtAC0ALQAtAC0ALQBcAG4AIwAjACAAMAA2ACAAFCAgAEcAcgBpAGQAIABBAG4AYQBsAHkAdABpAGMAcw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RwByAGkAZAAgAEEAbgBhAGwAeQB0AGkAYwBzACAAaQBzACAAYQAgAGMAbwBsAGwAZQBjAHQAaQBvAG4AIABvAGYAIABmAHUAbgBjAHQAaQBvAG4AcwAgAGYAbwByACAAZQBsAGUAZwBhAG4AdAAgAHMAZQBxAHUAZQBuAGMAaQBuAGcALABcAG4AIAAgACAAIABjAGEAdABlAGcAbwByAGkAYwBhAGwAIABhAG4AYQBsAHkAcwBpAHMALAAgAG4AZQBpAGcAaABiAG8AcgBoAG8AbwBkABEgYgBhAHMAZQBkACAAYQBnAGcAcgBlAGcAYQB0AGkAbwBuACwAIABhAG4AZAAgAHMAdABhAHQAaQBzAHQAaQBjAHMALgBcAG4AIAAgACAAIABUAGgAaQBzACAAbQBvAGQAdQBsAGUAIABlAHgAdABlAG4AZABzACAAdABoAGUAIABjAGEAcABhAGIAaQBsAGkAdABpAGUAcwAgAG8AZgAgAG4AYQB0AGkAdgBlACAARQB4AGMAZQBsACAAZgB1AG4AYwB0AGkAbwBuAHMAXABuACAAIAAgACAAKABlAC4AZwAuACwAIABNAG8AZABlALsDIABjAGEAbgAgAHIAZQB0AHUAcgBuACAAdABoAGUAIABtAG8AcwB0ACAAZgByAGUAcQB1AGUAbgB0ACAAbgB1AG0AZQByAGkAYwBhAGwAIABvAHIAIAB0AGUAeAB0ACAAdgBhAGwAdQBlAHMAKQAuAFwAbgBcAG4AIAAgACAAIABTAHUAYgARIGMAYQB0AGUAZwBvAHIAaQBlAHMAOgBcAG4AXABuACAAIAAgACAAIAAgACAAIAAiICAAUwBlAHEAdQBlAG4AYwBpAG4AZwBcAG4AIAAgACAAIAAgACAAIAAgACAAIAAgACAAIAAgAFMAdAByAGUAYQBrALsDLAAgAEMAbwB1AG4AdABkAG8AdwBuALsDXABuAFwAbgAgACAAIAAgACAAIAAgACAAIiAgAEMAYQB0AGUAZwBvAHIAaQBjAGEAbAAgAEEAbgBhAGwAeQBzAGkAcwBcAG4AIAAgACAAIAAgACAAIAAgACAAIAAgACAAIAAgAEIAeQBEAGkAYQBnALsDLAAgAEQAaQBhAGcATQBhAHAAuwMsACAARABpAGEAZwBJAG4AZABlAHgAuwMsACAAUABhAGkAcgB3AGkAcwBlALsDLAAgAEcAcgBvAHUAcABiAHkAQgBpAG4AuwMsACAARwByAG8AdQBwAGIAeQBEAGEAdABlALsDLAAgAFAAaQB2AG8AdABiAHkAQwBhAHQ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0AYQB0AHIAaQB4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tAGEAdAByAGkAeAAgAGIAeQAgAGEAZwBnAHIAZQBnAGEAdABpAG4AZwAgAG8AdgBlAHIAIABuAG8AbgARIG8AdgBlAHIAbABhAHAAcABpAG4AZwAgAHMAcABhAHQAaQBhAGwAIABiAGwAbwBjAGsAcwBcAG4AIAAgACAAIABvAGYAIABzAGkAegBlACAAZABlAHAAdABoACAA1wAgAHcAaQBkAHQAaAAuACAAUABhAHIAdABpAGEAbAAgAGIAbABvAGMAawBzACAAYQB0ACAAdABoAGUAIABlAGQAZwBlAHMAIABhAHIAZQAgAGkAbgBjAGwAdQBkAGUAZAAuACAAVABoAGUAXABuACAAIAAgACAAYQBnAGcAcgBlAGcAYQB0AGkAbwBuACAAaQBzACAAcABlAHIAZgBvAHIAbQBlAGQAIAB1AHMAaQBuAGcAIABhAG4AIABFAFQAQQARIGMAbwBtAHAAYQB0AGkAYgBsAGUAIABmAHUAbgBjAHQAaQBvAG4AIAAoAGUALgBnAC4ALAAgAFMAVQBNACwAXABuACAAIAAgACAAQQBWAEUAUgBBAEcARQAsACAATQBBAFgALAAgAE0ASQBOACwAIABNAEUARABJAEEATgAsACAAbwByACAAYQAgAGMAdQBzAHQAbwBtACAATABBAE0AQgBEAEEAKQAuAFwAbgBcAG4AUABhAHIAYQBtAGUAdABlAHIAcwA6AFwAbgAgACAAIAAgAG0AYQB0AHIAaQB4ACAAIAAgACAAIAAgAC0AIAAyAEQAIABpAG4AcAB1AHQAIABtAGEAdAByAGkAe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tAGEAdAByAGkAeAAgAGkAbgBwAHUAdABzAC4AXABuACAAIAAgACAAIiAgAFIAZQBqAGUAYwB0AHMAIABpAG4AdgBhAGwAaQBkACAAYgBsAG8AYwBrACAAcwBpAHoAZQBzACAAbwByACAAdABlAHgAdAAgAGQAaQBtAGUAbgBzAGkAbwBuAHMALgBcAG4AIAAgACAAIAAiICAAUABhAHIAdABpAGEAbAAgAGIAbABvAGMAawBzACAAYQByAGUAIABoAGEAbgBkAGwAZQBkACAAYQB1AHQAbwBtAGEAdABpAGMAYQBsAGwAeQAgAHYAaQBhACAASQBOAEQARQBYACAAKwAgAFQATwBDAE8ATAAuAFwAbgAtAC0ALQAtAC0ALQAtAC0ALQAtAC0ALQAtAC0ALQAtAC0ALQAtAC0ALQAtAC0ALQAtAC0ALQAtAC0ALQAtAC0ALQAtAC0ALQAtAC0ALQAtAC0ALQAtAC0ALQAtAC0ALQAtAC0ALQAtAC0ALQAtAC0ALQAtAC0ALQAtAC0ALQAtAC0ALQAtAC0ALQAtAC0ALQAtAC0ALQAtAC0ALQAqAC8AXABuAFwAbgBHAHIAYQBpAG4AuwMgAD0AXABuAEwAQQBNAEIARABBACgAXABuACAAIAAgACAAbQBhAHQAcgBpAHgALABcAG4AIAAgACAAIABkAGUAcAB0AGgALABcAG4AIAAgACAAIAB3AGkAZAB0AGgALABcAG4AIAAgACAAIABmAHUAbgBjAHQAaQBvAG4ALABcAG4AXABuAEkARgAoAE4ATwBUACgAVABZAFAARQAoAG0AYQB0AHIAaQB4ACkAIAA9ACAANgA0ACkALABcACIAIwBNAEEAVABSAEkAWAAhAFwAIgAsAFwAbgBcAG4AIAAgACAAIABJAEYAKABPAFIAKABkAGUAcAB0AGgAIAA+ACAAUgBPAFcAUwAoAG0AYQB0AHIAaQB4ACkALAAgAHcAaQBkAHQAaAAgACAAPgAgAEMATwBMAFUATQBOAFMAKABtAGEAdAByAGkAe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bQBhAHQAcgBpAHgAKQAsAFwAbgAgACAAIAAgAHcALAAgACAAIAAgACAAIAAgACAAIAAgACAAIAAgACAAQwBPAEwAVQBNAE4AUwAoAG0AYQB0AHIAaQB4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bQBhAHQAcgBpAHg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NAGEAdAByAGkAeAAgACAAIAAgACAAIAAgACAAIAAgAC0AIAAyAEQAIABpAG4AcAB1AHQAIABtAGEAdAByAGkAe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NAGEAdAByAGkAeAAsAFwAbgAgACAAIAAgAGYAdQBuAGMAdABpAG8AbgAsAFwAbgAgACAAIAAgAFsASQBzAHYAbwBuAE4AZQB1AG0AYQBuAG4APwBdACwAXABuACAAIAAgACAAWwBvAG0AaQB0AF8AYwBlAG4AdABlAHIAXQAsAFwAbgBcAG4ASQBGACgAVABZAFAARQAoAE0AYQB0AHIAaQB4ACkAIAA8AD4AIAA2ADQALABcACIAIwBNAEEAVABSAEkAW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NAGEAdAByAGkAeAApACwAXABuACAAIAAgACAAdwBpAGQAdABoACwAIAAgACAAIAAgACAAIAAgACAAIAAgACAAIAAgAEMATwBMAFUATQBOAFMAKABNAGEAdAByAGkAeAApACwAXABuAFwAbgAgACAAIAAgAC8ALwAgAFAAYQBkACAAbQBhAHQAcgBpAHg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NAGEAdAByAGkAe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0AYQB0AHIAaQB4AFwAbgAgACAAIAAgAGQAZQBsAGkAdgBlAHIALAAgACAAIAAgACAAIAAgACAAIAAgACAAIAAgACAAIABJAEYARQBSAFIATwBSACgAVwBSAEEAUABSAE8AVwBTACgAYQBnAGcALAAgAHcAaQBkAHQAaAApACwAIAAwACkALABcAG4AXABuACAAIAAgACAAZABlAGwAaQB2AGUAcgBcAG4AKQApACkAKQA7AFwAbgBcAG4AXABuAFwAbgAvACoAIABbAEcAUgAxADIAXQAgAC0ALQAtAC0ALQAtAC0ALQAtAC0ALQAtAC0ALQAtAC0ALQAtAC0ALQAtAC0ALQAtAC0ALQAtAC0ALQAtAC0ALQAtAC0ALQAtAC0ALQAtAC0ALQAtAC0ALQAtAC0ALQAtAC0ALQAtAC0ALQAtAC0ALQAtAC0ALQAtAC0ALQAtAC0ALQAtAC0ALQAtAC0ALQAtAC0AXABuAEYAdQBuAGMAdABpAG8AbgA6ACAAIAAgACAAIABNAG8AbwByAGUAUwBlAGwAZQBjAHQ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wBlAGwAZQBjAHQAcwAgAGEAIABzAHAAZQBjAGkAZgBpAGMAIABuAGUAaQBnAGgAYgBvAHIAIAAoADEAEyA5ACkAIABmAHIAbwBtACAAdABoAGUAIABNAG8AbwByAGUAIABuAGUAaQBnAGgAYgBvAHIAaABvAG8AZAAgAGYAbwByACAAZQBhAGMAaABcAG4AIAAgACAAIABlAGwAZQBtAGUAbgB0ACAAaQBuACAAYQAgAG0AYQB0AHIAaQB4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E0AYQB0AHIAaQB4ACAAIAAgACAAIAAgAC0AIAAyAEQAIABpAG4AcAB1AHQAIABtAGEAdAByAGkAeAAuAFwAbgAgACAAIAAgAG4AZQBpAGcAaABiAG8AcgAgACAAIAAgAC0AIABJAG4AdABlAGcAZQByACAAMQATIDkAIABpAG4AZABpAGMAYQB0AGkAbgBnACAAdwBoAGkAYwBoACAAbgBlAGkAZwBoAGIAbwByACAAdABvACAAcgBlAHQAdQByAG4ALgBcAG4ALQAtAC0ALQAtAC0ALQAtAC0ALQAtAC0ALQAtAC0ALQAtAC0ALQAtAC0ALQAtAC0ALQAtAC0ALQAtAC0ALQAtAC0ALQAtAC0ALQAtAC0ALQAtAC0ALQAtAC0ALQAtAC0ALQAtAC0ALQAtAC0ALQAtAC0ALQAtAC0ALQAtAC0ALQAtAC0ALQAtAC0ALQAtAC0ALQAtAC0ALQAtAC0AKgAvAFwAbgBcAG4ATQBvAG8AcgBlAFMAZQBsAGUAYwB0ALsDIAA9AFwAbgBMAEEATQBCAEQAQQAoAFwAbgAgACAAIAAgAG0AYQB0AHIAaQB4ACwAXABuACAAIAAgACAAbgBlAGkAZwBoAGIAbwByACwAXABuAFwAbgBJAEYAKABUAFkAUABFACgAbQBhAHQAcgBpAHgAKQAgADwAPgAgADYANAAsAFwAIgAjAE0AQQBUAFIASQBYACEAXAAiACwAXABuAFwAbgAgACAAIAAgAEkARgAoAE4ATwBUACgAQQBOAEQAKABuAGUAaQBnAGgAYgBvAHIAIAA+AD0AIAAxACwAIABuAGUAaQBnAGgAYgBvAHIAIAA8AD0AIAA5ACwAIABOAE8AVAAoAEkAUwBUAEUAWABUACgAbgBlAGkAZwBoAGIAbwByACkAKQApACkALABcACIAIwBOAEUASQBHAEgAQgBPAFIAIQBcACIALABcAG4AXABuAEwARQBUACgAXABuACAAIAAgACAALwAvACAARABpAG0AZQBuAHMAaQBvAG4AcwBcAG4AIAAgACAAIABoAGUAaQBnAGgAdAAsACAAIAAgACAAIAAgACAAIAAgACAAIAAgACAAUgBPAFcAUwAoAG0AYQB0AHIAaQB4ACkALABcAG4AIAAgACAAIAB3AGkAZAB0AGgALAAgACAAIAAgACAAIAAgACAAIAAgACAAIAAgACAAQwBPAEwAVQBNAE4AUwAoAG0AYQB0AHIAaQB4ACkALABcAG4AXABuACAAIAAgACAALwAvACAAUABhAGQAIABtAGEAdAByAGkAeAAgAHcAaQB0AGgAIAB6AGUAcgBvAHMAIAAoAG4AbwAgAGEAZwBnAHIAZQBnAGEAdABpAG8AbgAgAG4AZQBlAGQAZQBkACkAXABuACAAIAAgACAAaABwAGEAZAAsACAAIAAgACAAIAAgACAAIAAgACAAIAAgACAAIAAgAEUAWABQAEEATgBEACgAMAAsACAALAAgAHcAaQBkAHQAaAAgACsAIAAyACwAIAAwACkALABcAG4AIAAgACAAIAB2AHAAYQBkACwAIAAgACAAIAAgACAAIAAgACAAIAAgACAAIAAgACAARQBYAFAAQQBOAEQAKAAwACwAIABoAGUAaQBnAGgAdAAsACAALAAgADAAKQAsAFwAbgAgACAAIAAgAE0ALAAgACAAIAAgACAAIAAgACAAIAAgACAAIAAgACAAIAAgACAAIABWAFMAVABBAEMASwAoAGgAcABhAGQALAAgAEgAUwBUAEEAQwBLACgAdgBwAGEAZAAsACAAbQBhAHQAcgBpAHg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tAGEAdAByAGkAe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tAGEAdAByAGkAeABcAG4AIAAgACAAIABiAGkAdABzACwAIAAgACAAIAAgACAAIAAgACAARABlAGMAMgBCAGkAbgC7AygAbgAsACAAMQApACwAXABuAFwAbgAgACAAIAAgAC8ALwAgAEMAbwB1AG4AdAAgAGIAaQB0AHMAXABuACAAIAAgACAAYwBvAHUAbgB0AHMALAAgACAAIAAgACAAIAAgAEkARgAoAEkAcwBTAGMAYQBsAGEAcgA/ACwAIABTAFUATQAoAGIAaQB0AHMAKQAsAGYAbgC7AygAYgBpAHQAcwAsAFMAVQBNACkAKQAsAFwAbgBcAG4AIAAgACAAIABmAGkAbgBhAGwALAAgACAAIAAgACAAIAAgACAASQBGACgASQBzADEARAA/ACwAYwBvAHUAbgB0AHMALABXAFIAQQBQAFIATwBXAFMAKABjAG8AdQBuAHQAcwAsAHcAKQApACwAXABuAFwAbgAgACAAIAAgAGYAaQBuAGEAbABcAG4AKQApADsAXABuAFwAbgBcAG4AXABuAC8AKgAgAFsARQBOADAANABdACAALQAtAC0ALQAtAC0ALQAtAC0ALQAtAC0ALQAtAC0ALQAtAC0ALQAtAC0ALQAtAC0ALQAtAC0ALQAtAC0ALQAtAC0ALQAtAC0ALQAtAC0ALQAtAC0ALQAtAC0ALQAtAC0ALQAtAC0ALQAtAC0ALQAtAC0ALQAtAC0ALQAtAC0ALQAtAC0ALQAtAC0ALQAtAC0ALQBcAG4ARgB1AG4AYwB0AGkAbwBuADoAIAAgACAAIAAgACAAIAAgAEQAZQBjADIAQgBpAG4AuwNcAG4AQwBhAHQAZQBnAG8AcgB5ADoAIAAgACAAIAAgACAAIAAgAEUAbgBnAGkAbgBlAGUAcgBpAG4AZwBcAG4AQQB1AHQAaABvAHIAOgAgACAAIAAgACAAIAAgACAAIAAgAFAAYQB0AHIAaQBjAGsAIABIAC4AXABuAFYAZQByAHMAaQBvAG4AOgAgACAAIAAgACAAIAAgACAAIAAxAC4AMQBcAG4AXABuAEQAZQBzAGMAcgBpAHAAdABpAG8AbgA6AFwAbgAgACAAIAAgAEMAbwBuAHYAZQByAHQAcwAgAG4AbwBuABEgbgBlAGcAYQB0AGkAdgBlACAAaQBuAHQAZQBnAGUAcgBzACAAaQBuAHQAbwAgAGIAaQBuAGEAcgB5AC4AIABTAHUAcABwAG8AcgB0AHMAIABzAGMAYQBsAGEAcgAsACAAMQBEACwAIABhAG4AZAAgADIARABcAG4AIAAgACAAIABpAG4AcAB1AHQAcwAgAHcAaQB0AGgAIABmAHUAbABsACAAcwBoAGEAcABlACAAcAByAGUAcwBlAHIAdgBhAHQAaQBvAG4ALgAgAFIAZQB0AHUAcgBuAHMAIABlAGkAdABoAGUAcgAgAGMAbwBuAGMAaQBzAGUAIABiAGkAbgBhAHIAeQAgAHMAdAByAGkAbgBnAHMAXABuACAAIAAgACAAbwByACAAZQB4AHAAbABvAGQAZQBkACAAMgBEACAAYgBpAHQAESBhAHIAcgBhAHkAcwAuAFwAbgBcAG4AUABhAHIAYQBtAGUAdABlAHIAcwA6AFwAbgAgACAAIAAgAG4AdQBtAGIAZQByAHMAXABuACAAIAAgACAAIAAgACAAIABTAGMAYQBsAGEAcgAsACAAMQBEACAAYQByAHIAYQB5ACwAIABvAHIAIAAyAEQAIABhAHIAcgBhAHkAIABvAGYAIABuAG8AbgARIG4AZQBnAGEAdABpAHYAZQAgAGkAbgB0AGUAZwBlAHIAcwAuAFwAbgBcAG4AIAAgACAAIABbAEEAcgByAGEAeQBfAEYAbwByAG0AXwAyAEQAXQBcAG4AIAAgACAAIAAgACAAIAAgAE8AcAB0AGkAbwBuAGEAbAAuACAAVABSAFUARQAgAJIhIAByAGUAdAB1AHIAbgAgAGUAeABwAGwAbwBkAGUAZAAgADIARAAgAGIAaQB0ABEgYQByAHIAYQB5AHMALgBcAG4AIAAgACAAIAAgACAAIAAgAE8AbQBpAHQAdABlAGQAIACSISAAcgBlAHQAdQByAG4AIABjAG8AbgBjAGkAcwBlACAAYgBpAG4AYQByAHkAIABzAHQAcgBpAG4AZwBzAC4AXABuAFwAbgBOAG8AdABlAHMAOgBcAG4AIAAgACAAIAAiICAAUwB1AHAAcABvAHIAdABzACAAYQByAGIAaQB0AHIAYQByAGkAbAB5ACAAbABhAHIAZwBlACAAaQBuAHQAZQBnAGUAcgBzACAAKABiAGUAeQBvAG4AZAAgAEUAeABjAGUAbAAZIHMAIABuAGEAdABpAHYAZQAgAEIASQBOADIARABFAEMAIABsAGkAbQBpAHQAcwApAC4AXABuACAAIAAgACAAIiAgAEMAbwBuAGMAaQBzAGUAIABvAHUAdABwAHUAdAAgAGEAdgBvAGkAZABzACAAcwBjAGkAZQBuAHQAaQBmAGkAYwAgAG4AbwB0AGEAdABpAG8AbgAgAGEAbgBkACAAMQA2ABEgZABpAGcAaQB0ACAAcAByAGUAYwBpAHMAaQBvAG4AIABpAHMAcwB1AGUAcwAuAFwAbgAgACAAIAAgACIgIAAyAEQAIABpAG4AcAB1AHQAcwAgAHAAcgBlAHMAZQByAHYAZQAgAHQAaABlAGkAcgAgAG8AcgBpAGcAaQBuAGEAbAAgAHMAaABhAHAAZQAgAHcAaABlAG4AIABjAG8AbgBjAGkAcwBlACAAbwB1AHQAcAB1AHQAIABpAHMAIABzAGUAbABlAGMAdABlAGQALgBcAG4ALQAtAC0ALQAtAC0ALQAtAC0ALQAtAC0ALQAtAC0ALQAtAC0ALQAtAC0ALQAtAC0ALQAtAC0ALQAtAC0ALQAtAC0ALQAtAC0ALQAtAC0ALQAtAC0ALQAtAC0ALQAtAC0ALQAtAC0ALQAtAC0ALQAtAC0ALQAtAC0ALQAtAC0ALQAtAC0ALQAtAC0ALQAtAC0ALQAtAC0ALQAtAC0AKgAvAFwAbgBcAG4ARABlAGMAMgBCAGkAbgC7Az0AXABuAEwAQQBNAEIARABBACgAXABuACAAIAAgACAAbgB1AG0AYgBlAHIAcwAsAFwAbgAgACAAIAAgAFsAQQByAHIAYQB5AF8ARgBvAHIAbQBfADIARABdACwAXABuAFwAbgAvAC8AQwBoAGUAYwBrACAAbgB1AG0AYgBlAHIAcwBcAG4ASQBGACgATwBSACgASQBTAFQARQBYAFQAKABuAHUAbQBiAGUAcgBzACkALAAgAEkAUwBFAFIAUgBPAFIAKAAtAC0AbgB1AG0AYgBlAHIAcwApACwAbgB1AG0AYgBlAHIAcwAgADwAIAAwACkALAAgACMAVgBBAEwAVQBFACEALABcAG4AXABuAEwARQBUACgAXABuACAAIAAgACAALwAvACAASQBuAHAAdQB0ACAAcwBoAGEAcABlAFwAbgAgACAAIAAgAGgALAAgACAAIAAgACAAIAAgACAAIAAgACAAIAAgAFIATwBXAFMAKABuAHUAbQBiAGUAcgBzACkALABcAG4AIAAgACAAIAB3ACwAIAAgACAAIAAgACAAIAAgACAAIAAgACAAIABDAE8ATABVAE0ATgBTACgAbgB1AG0AYgBlAHIAcwApACwAXABuAFwAbgAgACAAIAAgAEkAcwBTAGMAYQBsAGEAcgA/ACwAIAAgACAAIAAgAEEATgBEACgAaAAgAD0AIAAxACwAIAB3ACAAPQAgADEAKQAsAFwAbgAgACAAIAAgAEkAcwBWAGUAcgB0AGkAYwBhAGwAPwAsACAAIAAgAGgAIAA+ACAAdwAsAFwAbgAgACAAIAAgAEkAcwAyAEQAPwAsACAAIAAgACAAIAAgACAAIAAgAEEATgBEACgAaAAgAD4AIAAxACwAdwAgAD4AIAAxACkALABcAG4AXABuACAAIAAgACAALwAvACAARgBsAGEAdAB0AGUAbgAgAGkAbgBwAHUAdABcAG4AIAAgACAAIABuAHUAbQBiAGUAcgBzACwAIAAgACAAIAAgACAAIABUAE8AQwBPAEwAKABuAHUAbQBiAGUAcgBzACkALABcAG4AXABuACAAIAAgACAALwAvACAARgBvAHIAbQBcAG4AIAAgACAAIABJAHMAVgBlAGMAdABvAHIAPwAsACAAIAAgACAAIABJAFMATwBNAEkAVABUAEUARAAoAEEAcgByAGEAeQBfAEYAbwByAG0AXwAyAEQAKQAsAFwAbgBcAG4AIAAgACAAIAAvAC8AIABNAGEAeAAgAGIAaQB0AHMAIABuAGUAZQBkAGUAZAAgAHQAbwAgAGUAeABwAHIAZQBzAHMAIAByAGUAcwB1AGwAdABzACAAYQBzACAAYQByAHIAYQB5AFwAbgAgACAAIAAgAGIAaQB0AHMALAAgACAAIAAgACAAIAAgACAAIAAgAE0AQQBYACgASQBGAEUAUgBSAE8AUgAoAEkATgBUACgATABPAEcAKABuAHUAbQBiAGUAcgBzACwAMgApACkAIAArACAAMQAsADEAKQApACwAXABuAFwAbgAgACAAIAAgAC8ALwAgAEYAbwByAG0AcwAgAC0AIAAyAEQAIABhAHIAcgBhAHkALAAgAGIAaQBuACAAdgBlAGMAdABvAHIAIAAtACAAZQBhAGcAZQByACAAZQB2AGEAbAB1AGEAdABpAG8AbgAgAGQAZQBmAGUAcgByAGUAZABcAG4AIAAgACAAIABiAGkAbgBfAGEAcgByACwAIAAgACAAIAAgACAAIABMAEEATQBCAEQAQQAoAE0ATwBEACgAQgBJAFQAUgBTAEgASQBGAFQAKABuAHUAbQBiAGUAcgBzACwAUwBFAFEAVQBFAE4AQwBFACgALABiAGkAdABzACwAYgBpAHQAcwAgAC0AIAAxACwALQAxACkAKQAsADIAKQApACwAXABuACAAIAAgACAAYgBpAG4AXwB2AGUAYwB0AG8AcgAsACAAIAAgACAATABBAE0AQgBEAEEAKABCAFkAUgBPAFcAKABiAGkAbgBfAGEAcgByACgAKQAsAEMATwBOAEMAQQBUACkAKQAsAFwAbgAgACAAIAAgAGIAaQBuAF8AcgBlAHMAdQBsAHQALAAgACAAIAAgAEwAQQBNAEIARABBACgASQBGACgASQBzAFYAZQBjAHQAbwByAD8ALABiAGkAbgBfAHYAZQBjAHQAbwByACgAKQAsAGIAaQBuAF8AYQByAHIAKAApACkAKQAsAFwAbgBcAG4AIAAgACAAIAAvAC8AIABSAGUALQBzAGgAYQBwAGkAbgBnACAAJgAgAGQAZQBsAGkAdgBlAHIAeQBcAG4AIAAgACAAIABkAGUAbABpAHYAZQByACwAIAAgACAAIAAgACAAIABJAEYAKABJAHMAMgBEAD8ALABXAFIAQQBQAFIATwBXAFMAKABiAGkAbgBfAHYAZQBjAHQAbwByACgAKQAsAHcAKQAsAFwAbgAgACAAIAAgACAAIAAgACAAIAAgACAAIAAgACAAIAAgACAAIAAgACAAIAAgACAAIABJAEYAKABPAFIAKABJAHMAUwBjAGEAbABhAHIAPwAsAEkAcwBWAGUAcgB0AGkAYwBhAGwAPwApACwAYgBpAG4AXwByAGUAcwB1AGwAdAAoACkALABcAG4AIAAgACAAIAAgACAAIAAgACAAIAAgACAAIAAgACAAIAAgACAAIAAgACAAIAAgACAAIAAgACAAIABUAFIAQQBOAFMAUABPAFMARQAoAGIAaQBuAF8AcgBlAHMAdQBsAHQAKAApACkAKQApACwAXABuACAAIAAgACAAZABlAGwAaQB2AGUAcgBcAG4AKQApACkAOwBcAG4AXABuAFwAbgBcAG4ALwAqACAAWwBFAE4AMAA1AF0AIAAtAC0ALQAtAC0ALQAtAC0ALQAtAC0ALQAtAC0ALQAtAC0ALQAtAC0ALQAtAC0ALQAtAC0ALQAtAC0ALQAtAC0ALQAtAC0ALQAtAC0ALQAtAC0ALQAtAC0ALQAtAC0ALQAtAC0ALQAtAC0ALQAtAC0ALQAtAC0ALQAtAC0ALQAtAC0ALQAtAC0ALQAtAC0ALQAtAFwAbgBGAHUAbgBjAHQAaQBvAG4AOgAgACAAIAAgACAAIAAgACAARABlAGM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LAAgAEIAaQBuADIARwByAGEAeQC7A1wAbgBcAG4ARABlAHMAYwByAGkAcAB0AGkAbwBuADoAXABuACAAIAAgACAAQwBvAG4AdgBlAHIAdABzACAAbgBvAG4AESBuAGUAZwBhAHQAaQB2AGUAIABpAG4AdABlAGcAZQByAHMAIABpAG4AdABvACAARwByAGEAeQARIGMAbwBkAGUAIAB2AGEAbAB1AGUAcwAuACAAUwB1AHAAcABvAHIAdABzACAAcwBjAGEAbABhAHIALAAgADEARAAsAFwAbgAgACAAIAAgAGEAbgBkACAAMgBEACAAaQBuAHAAdQB0AHMAIAB3AGkAdABoACAAZgB1AGwAbAAgAHMAaABhAHAAZQAgAHAAcgBlAHMAZQByAHYAYQB0AGkAbwBuAC4AIABPAHUAdABwAHUAdAAgAGMAYQBuACAAYgBlACAAcgBlAHQAdQByAG4AZQBkACAAZQBpAHQAaABlAHIAXABuACAAIAAgACAAYQBzACAAYwBvAG4AYwBpAHMAZQAgAEcAcgBhAHkAESBjAG8AZABlACAAcwB0AHIAaQBuAGcAcwAgAG8AcgAgAGEAcwAgAGUAeABwAGwAbwBkAGUAZAAgADIARAAgAGIAaQB0ABEgYQByAHIAYQB5AHMALgBcAG4AXABuAFAAYQByAGEAbQBlAHQAZQByAHMAOgBcAG4AIAAgACAAIABuAHUAbQBiAGUAcgBcAG4AIAAgACAAIAAgACAAIAAgAFMAYwBhAGwAYQByACwAIAAxAEQAIABhAHIAcgBhAHkALAAgAG8AcgAgADIARAAgAGEAcgByAGEAeQAgAG8AZgAgAG4AbwBuABEgbgBlAGcAYQB0AGkAdgBlACAAaQBuAHQAZQBnAGUAcgBz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BlAHgAcABsAG8AZABlAGQAIAAyAEQAIABHAHIAYQB5ABEgYwBvAGQAZQAgAGIAaQB0ACAAYQByAHIAYQB5AHMALgBcAG4AXABuAE4AbwB0AGUAcwA6AFwAbgAgACAAIAAgACIgIABVAHMAZQBzACAARABlAGMAMgBCAGkAbgC7AyAAdABvACAAbwBiAHQAYQBpAG4AIABiAGkAbgBhAHIAeQAsACAAdABoAGUAbgAgAEIAaQBuADIARwByAGEAeQC7AyAAdABvACAAYwBvAG4AdgBlAHIAdAAgAHQAbwAgAEcAcgBhAHkAIABjAG8AZABl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EAGUAYwAyAEcAcgBhAHkAuwMgAD0AXABuAEwAQQBNAEIARABBACgAXABuACAAIAAgACAAbgB1AG0AYgBlAHIALABcAG4AIAAgACAAIABbAGMAbwBuAGMAaQBzAGUAXQAsAFwAbgAgACAAIAAgAEIAaQBuADIARwByAGEAeQC7AygARABlAGMAMgBCAGkAbgC7AygAbgB1AG0AYgBlAHIAKQAsACAAYwBvAG4AYwBpAHMAZQApAFwAbgApADsAXABuAFwAbgBcAG4AXABuAC8ALwAgAFsAQwBCAF0AIAAtAC0ALQAtAC0ALQAtAC0ALQAtAC0ALQAtAC0ALQAtAC0ALQAtAC0ALQAtAC0ALQAtAC0ALQAtAC0ALQAtAC0ALQAtAC0ALQAtAC0ALQAtAC0ALQAtAC0ALQAtAC0ALQAtAC0ALQAtAC0ALQAtAC0ALQAtAC0ALQAtAC0ALQAtAC0ALQAtAC0ALQAtAC0ALQAtAC0ALQAtAC0AXABuAC8ALwAgAC0ALQAtACMAIwAgADAAOQAgABQgIABDAG8AbQBiAGkAbgBhAHQAbwByAGkAYwBz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QwBvAG0AYgBpAG4AYQB0AG8AcgBpAGMAcwAgAGMAYQB0AGUAZwBvAHIAeQAgAHAAcgBvAHYAaQBkAGUAcwAgAGgAaQBnAGgAESBwAGUAcgBmAG8AcgBtAGEAbgBjAGUAIABnAGUAbgBlAHIAYQB0AG8AcgBzACAAZgBvAHIAXABuACAAIAAgACAAcABlAHIAbQB1AHQAYQB0AGkAbwBuAHMALAAgAGMAbwBtAGIAaQBuAGEAdABpAG8AbgBzACwAIABzAHUAYgBzAGUAdABzACwAIABhAG4AZAAgAHIAZQBsAGEAdABlAGQAIABzAHQAcgB1AGMAdAB1AHIAZQBzAC4AXABuAFwAbgBGAHUAbgBjAHQAaQBvAG4AcwA6AFwAbgAgACAAIAAgACIgIABQAGUAcgBtAFIAuwNcAG4AIAAgACAAIAAgACAAIAAgAEcAZQBuAGUAcgBhAHQAZQBzACAAcABlAHIAbQB1AHQAYQB0AGkAbwBuAHMAIAB3AGkAdABoACAAcgBlAHAAbABhAGMAZQBtAGUAbgB0ACAAKABrABEgdAB1AHAAbABlAHMAIABkAHIAYQB3AG4AIABmAHIAbwBtACAAbgAgAGkAdABlAG0AcwApAC4AXABuAFwAbgAgACAAIAAgACIgIABQAGUAcgBtALsDXABuACAAIAAgACAAIAAgACAAIABHAGUAbgBlAHIAYQB0AGUAcwAgAHAAZQByAG0AdQB0AGEAdABpAG8AbgBzACAAdwBpAHQAaABvAHUAdAAgAHIAZQBwAGwAYQBjAGUAbQBlAG4AdAAuAFwAbgBcAG4AIAAgACAAIAAiICAAQwBvAG0AYgBpAG4AYQB0AGkAbwBuAHMAUgC7A1wAbgAgACAAIAAgACAAIAAgACAARwBlAG4AZQByAGEAdABlAHMAIABjAG8AbQBiAGkAbgBhAHQAaQBvAG4AcwAgAHcAaQB0AGgAIAByAGUAcABsAGEAYwBlAG0AZQBuAHQALgBcAG4AXABuACAAIAAgACAAIiAgAEMAbwBtAGIAaQBuAGEAdABpAG8AbgBzALsDXABuACAAIAAgACAAIAAgACAAIABHAGUAbgBlAHIAYQB0AGUAcwAgAGMAbwBtAGIAaQBuAGEAdABpAG8AbgBzACAAdwBpAHQAaABvAHUAdAAgAHIAZQBwAGwAYQBjAGUAbQBlAG4AdAAuAFwAbgBcAG4AIAAgACAAIAAiICAARABlAHIAYQBuAGcAZQBtAGUAbgB0AHMAuwNcAG4AIAAgACAAIAAgACAAIAAgAEcAZQBuAGUAcgBhAHQAZQBzACAAcABlAHIAbQB1AHQAYQB0AGkAbwBuAHMAIAB3AGgAZQByAGUAIABuAG8AIABlAGwAZQBtAGUAbgB0ACAAcgBlAG0AYQBpAG4AcwAgAGkAbgAgAGkAdABzACAAbwByAGkAZwBpAG4AYQBsACAAcABvAHMAaQB0AGkAbwBuAC4AXABuAFwAbgAgACAAIAAgACIgIABLAG4AYQBwAFMAYQBjAGsAuwNcAG4AIAAgACAAIAAgACAAIAAgAFMAbwBsAHYAZQBzACAAdABoAGUAIABzAHUAYgBzAGUAdAARIHMAdQBtACAALwAgAGsAbgBhAHAAcwBhAGMAawAgAGYAZQBhAHMAaQBiAGkAbABpAHQAeQAgAHAAcgBvAGIAbABlAG0AIAB1AHMAaQBuAGcAIAB2AGUAYwB0AG8AcgBpAHoAZQBkAFwAbgAgACAAIAAgACAAIAAgACAAZQBuAHUAbQBlAHIAYQB0AGkAbwBuACAAYQBuAGQAIABmAGkAbAB0AGUAcgBpAG4AZwAuAFwAbgBcAG4AIAAgACAAIAAiICAAUwB1AGIAcwBlAHQARwBlAG4AuwNcAG4AIAAgACAAIAAgACAAIAAgAEcAZQBuAGUAcgBhAHQAZQBzACAAYQBsAGwAIABzAHUAYgBzAGUAdABzACAAbwBmACAAYQAgAHMAZQB0ACAAKAB0AGgAZQAgAHAAbwB3AGUAcgAgAHMAZQB0ACkALAAgAHIAZQB0AHUAcgBuAGUAZAAgAGkAbgAgAGIAaQBuAGEAcgB5ABEgbQBhAHMAawBcAG4AIAAgACAAIAAgACAAIAAgAG8AcgBkAGUAcgAuAFwAbgBcAG4AIAAgACAAIAAiICAAUwB1AGIAcwBlAHQAUwB1AG0AuwNcAG4AIAAgACAAIAAgACAAIAAgAFIAZQB0AHUAcgBuAHMAIABhAGwAbAAgAHMAdQBiAHMAZQB0AHMAIAB3AGgAbwBzAGUAIABlAGwAZQBtAGUAbgB0AHMAIABzAHUAbQAgAHQAbwAgAGEAIAB0AGEAcgBnAGUAdAAgAHYAYQBsAHUAZQAuAFwAbgBcAG4ATgBvAHQAZQBzADoAXABuACAAIAAgACAAIiAgAEEAbABsACAAZwBlAG4AZQByAGEAdABvAHIAcwAgAGEAcgBlACAAcwBoAGEAcABlABEgcAByAGUAcwBlAHIAdgBpAG4AZwAgAGEAbgBkACAAcgBlAHQAdQByAG4AIAAyAEQAIABhAHIAcgBhAHkAcwAgAHcAaABlAHIAZQAgAGUAYQBjAGgAIAByAG8AdwBcAG4AIAAgACAAIAAgACAAcgBlAHAAcgBlAHMAZQBuAHQAcwAgAG8AbgBlACAAYwBvAG0AYgBpAG4AYQB0AG8AcgBpAGEAbAAgAG8AYgBqAGUAYwB0AC4AXABuACAAIAAgACAAIiAgAEEAbABsACAAZgB1AG4AYwB0AGkAbwBuAHMAIABvAHAAZQByAGEAdABlACAAbwBuACAAYQByAHIAYQB5AHMAIABvAGYAIABpAHQAZQBtAHMALAAgAG4AbwB0ACAAagB1AHMAdAAgAGkAbgB0AGUAZwBlAHIAcwAuAFwAbgAgACAAIAAgACIgIABUAGgAZQAgAHUAbgBkAGUAcgBsAHkAaQBuAGcAIABhAHIAYwBoAGkAdABlAGMAdAB1AHIAZQAgAHUAcwBlAHMAIABhACAAZgB1AG4AbgBlAGwAIABtAG8AZABlAGwAOgAgAGwAYQByAGcAZQAgAGUAbgB1AG0AZQByAGEAdABpAG8AbgBzACAAYQByAGUAXABuACAAIAAgACAAIAAgAGcAZQBuAGUAcgBhAHQAZQBkACAAbwBuAGMAZQAgAGEAbgBkACAAZgBpAGwAdABlAHIAZQBkACAAYgB5ACAAbwByAGQAZQByACwAIAB1AG4AaQBxAHUAZQBuAGUAcwBzACwAIABvAHIAIABwAG8AcwBpAHQAaQBvAG4AYQBsACAAcAByAGUAZABpAGMAYQB0AGUAcwAuAFwAbgBcAG4ARQBuAHUAbQBlAHIAYQB0AGUAuwNcAG4AIAAgACAAIAAgACAAIAAgACAAIAAgACAAIAAgACAAIAAgACAAIAAgACAAIAAgACAAIAAgACAAIAAgACAAIAAgACgARwBlAG4AZQByAGEAdABpAG4AZwAgAGYAdQBuAGMAdABpAG8AbgApAFwAbgAgACAAIAAgACAAIAAgACAAIAAgACAAIAAgACAAIAAgACAAIAAgACAAIAAgACAAIAAgACAAIAAgACAAIAAgACAAIAAgACAAIAAgACAAIAAgAHwAXABuACAAIAAgACAAIAAgACAAIAAgACAAIAAgACAAIAAgACAAIAAgACAAIAAgACAAIAAgACAAIAAgACAAIAAgACAAIAAgACAAIAAgACAAIABQAGUAcgBtAFIAuwNcAG4AIAAgACAAIAAgACAAIAAgACAAIAAgACAAIAAgACAAIAAgACAAIAAgACgAZgB1AGwAbAAgAHAAZQByAG0AdQB0AGEAdABpAG8AbgBzACAAdwBpAHQAaAAgAHIAZQBwAGwAYQBjAGUAbQBlAG4AdAApAFwAbgAgACAAIAAgACAAIAAgACAAIAAgACAAIAAgACAAIAAgACAAIAAgACAAIAAgACAAIAAgACAAIAAgACAAIAAgACAAIAAgACAAIAAgACAAIAAgAHwAXABuACAAIAAgACAAIAAgACAAIAAgACAAIAAgACAAIAAgACAALQAtAC0ALQAtAC0ALQAtAC0ALQAtAC0ALQAtAC0ALQAtAC0ALQAtAC0ALQAtAC0ALQAtAC0ALQAtAC0ALQAtAC0ALQAtAC0ALQAtAC0ALQAtAC0ALQAtAC0ALQAtAC0ALQBcAG4AIAAgACAAIAAgACAAIAAgACAAIAAgACAAIAAgACAAIAB8ACAAIAAgACAAIAAgACAAIAAgACAAIAAgACAAIAAgACAAIAAgACAAIAAgACAAIAB8ACAAIAAgACAAIAAgACAAIAAgACAAIAAgACAAIAAgACAAIAAgACAAIAAgACAAIAB8AFwAbgAgACAAIAAgACAAIAAgACAAQwBvAG0AYgBpAG4AYQB0AGkAbwBuAHMAUgC7AyAAIAAgACAAIAAgACAAIAAgACAAIAAgACAAIAAgACAAUABlAHIAbQC7AyAAIAAgACAAIAAgACAAIAAgACAAIAAgACAAIABEAGUAcgBhAG4AZwBlAG0AZQBuAHQAcwC7A1wAbgAgACAAIAAgACAAIAAgACAAKABmAGkAbAB0AGUAcgAgAHIAZQBwAGUAYQB0AHMAKQAgACAAIAAgACAAIAAgACAAKABmAGkAbAB0AGUAcgAgAGIAeQAgAG8AcgBkAGUAcgApACAAIAAgACAAIAAoAGYAaQBsAHQAZQByACAAYgB5ACAAcABvAHMAaQB0AGkAbwBuACkAXABuACAAIAAgACAAIAAgACAAIAAgACAAIAAgACAAIAAgACAAfABcAG4AIAAgACAAIAAgACAAIAAgACAAIABDAG8AbQBiAGkAbgBhAHQAaQBvAG4AcwC7A1wAbgAgACAAIAAgACAAKABmAGkAbAB0AGUAcgAgAHIAZQBwAGUAYQB0AHMAIAArACAAbwByAGQAZQByACkAXABuAFwAbgBcAG4AKgAvAFwAbgBcAG4AXABuAFwAbgAvACoAIABbAEMAQgARIEMATwBSAEUAXQAgAC0ALQAtAC0ALQAtAC0ALQAtAC0ALQAtAC0ALQAtAC0ALQAtAC0ALQAtAC0ALQAtAC0ALQAtAC0ALQAtAC0ALQAtAC0ALQAtAC0ALQAtAC0ALQAtAC0ALQAtAC0ALQAtAC0ALQAtAC0ALQAtAC0ALQAtAC0ALQAtAC0ALQAtAC0ALQAtAC0ALQAtAC0ALQBcAG4ARgB1AG4AYwB0AGkAbwBuADoAIAAgACAAIAAgACAAIAAgAEUAbgB1AG0AZQByAGEAdABlALsDXABuAEMAYQB0AGUAZwBvAHIAeQA6ACAAIAAgACAAIAAgACAAIABDAG8AbQBiAGkAbgBhAHQAbwByAGkAYwBzAFwAbgBBAHUAdABoAG8AcgA6ACAAIAAgACAAIAAgACAAIAAgACAAUABhAHQAcgBpAGMAawAgAEgALgBcAG4AVgBlAHIAcwBpAG8AbgA6ACAAIAAgACAAIAAgACAAIAAgADEALgAxAFwAbgBcAG4ARABlAHMAYwByAGkAcAB0AGkAbwBuADoAXABuACAAIAAgACAAQwBvAHIAZQAgAGcAZQBuAGUAcgBhAHQAaQBuAGcAIABmAHUAbgBjAHQAaQBvAG4AIABmAG8AcgAgAGEAbABsACAAYwBvAG0AYgBpAG4AYQB0AG8AcgBpAGEAbAAgAG8AcABlAHIAYQB0AG8AcgBzACAAaQBuACAAdABoAGUAIABDAG8AbQBiAGkAbgBhAHQAbwByAGkAYwBzAFwAbgAgACAAIAAgAGMAYQB0AGUAZwBvAHIAeQAuACAAUAByAG8AZAB1AGMAZQBzACAAaQBuAGQAZQB4ACAAbQBhAHQAcgBpAGMAZQBzACAAZgBvAHIAIABwAGUAcgBtAHUAdABhAHQAaQBvAG4AcwAsACAAYwBvAG0AYgBpAG4AYQB0AGkAbwBuAHMALAAgAG0AdQBsAHQAaQBzAGUAdABzACwAXABuACAAIAAgACAAYQBuAGQAIABkAGUAcgBhAG4AZwBlAG0AZQBuAHQAcwAgAHUAcwBpAG4AZwAgAGEAIAB2AGUAYwB0AG8AcgBpAHoAZQBkACAAZgB1AG4AbgBlAGwAIABhAHIAYwBoAGkAdABlAGMAdAB1AHIAZQAuACAASABpAGcAaABlAHIAESBsAGUAdgBlAGwAXABuACAAIAAgACAAZgB1AG4AYwB0AGkAbwBuAHMAIAAoAFAAZQByAG0AUgC7AywAIABQAGUAcgBtALsDLAAgAEMAbwBtAGIAaQBuAGEAdABpAG8AbgBzAFIAuwMsACAAQwBvAG0AYgBpAG4AYQB0AGkAbwBuAHMAuwMsACAARABlAHIAYQBuAGcAZQBtAGUAbgB0AHMAuwMpAFwAbgAgACAAIAAgAGEAcgBlACAAdABoAGkAbgAgAHcAcgBhAHAAcABlAHIAcwAgAGEAcgBvAHUAbgBkACAAdABoAGkAcwAgAGcAZQBuAGUAcgBhAHQAbwBy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sAXABuACAAIAAgACAAIAAgACAAIABMAGUAbgBnAHQAaAAgAG8AZgAgAGUAYQBjAGgAIAB0AHUAcABsAGUAIAAoAGsAIABlIiAAMAApAC4AIABNAHUAcwB0ACAAYgBlACAAYQAgAHMAYwBhAGwAYQByAC4AXABuAFwAbgAgACAAIAAgAHQAeQBwAGUAXABuACAAIAAgACAAIAAgACAAIABTAGUAbABlAGMAdABvAHIAIABmAG8AcgAgAHQAaABlACAAYwBvAG0AYgBpAG4AYQB0AG8AcgBpAGEAbAAgAG0AbwBkAGUAOgBcAG4AIAAgACAAIAAgACAAIAAgACAAIAAgACAAMQAgAJIhIABQAGUAcgBtAHUAdABhAHQAaQBvAG4AcwAgAHcAaQB0AGgAIAByAGUAcABsAGEAYwBlAG0AZQBuAHQAXABuACAAIAAgACAAIAAgACAAIAAgACAAIAAgADIAIACSISAAUABlAHIAbQB1AHQAYQB0AGkAbwBuAHMAIAB3AGkAdABoAG8AdQB0ACAAcgBlAHAAbABhAGMAZQBtAGUAbgB0AFwAbgAgACAAIAAgACAAIAAgACAAIAAgACAAIAAzACAAkiEgAEMAbwBtAGIAaQBuAGEAdABpAG8AbgBzACAAdwBpAHQAaAAgAHIAZQBwAGwAYQBjAGUAbQBlAG4AdABcAG4AIAAgACAAIAAgACAAIAAgACAAIAAgACAANAAgAJIhIABDAG8AbQBiAGkAbgBhAHQAaQBvAG4AcwAgAHcAaQB0AGgAbwB1AHQAIAByAGUAcABsAGEAYwBlAG0AZQBuAHQAXABuACAAIAAgACAAIAAgACAAIAAgACAAIAAgADUAIACSISAARABlAHIAYQBuAGcAZQBtAGUAbgB0AHMAXABuAFwAbgBOAG8AdABlAHMAOgBcAG4AIAAgACAAIAAiICAAQQBsAGwAIAByAGUAcwB1AGwAdABzACAAYQByAGUAIAByAGUAdAB1AHIAbgBlAGQAIABhAHMAIAAyAEQAIABhAHIAcgBhAHkAcwAgAHcAaABlAHIAZQAgAGUAYQBjAGgAIAByAG8AdwAgAGkAcwAgAG8AbgBlACAAdAB1AHAAbABlAC4AXABuACAAIAAgACAAIiAgAEkAZgAgAGkAdABlAG0AcwAgAGEAcgBlACAAbgB1AG0AZQByAGkAYwAgAGEAbgBkACAAZQBxAHUAYQBsACAAdABvACAAUwBFAFEAVQBFAE4AQwBFACgAbgApACwAIAByAGEAdwAgAGkAbgBkAGkAYwBlAHMAIABhAHIAZQAgAHIAZQB0AHUAcgBuAGUAZAAuAFwAbgAgACAAIAAgACAAIABPAHQAaABlAHIAdwBpAHMAZQAsACAAaQB0AGUAbQBzACAAYQByAGUAIABzAHUAYgBzAHQAaQB0AHUAdABlAGQAIABpAG4AdABvACAAdABoAGUAIABpAG4AZABlAHgAIABtAGEAdAByAGkAe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bQBhAHQAcgBpAHg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0AYQB0AHIAaQB4ACAAbwBmACAAZABhAHQAYQAgAGEAbgBkACAAcgBlAHQAdQByAG4AcwAgAGUAaQB0AGgAZQByADoAXABuACAAIAAgACAAIAAgACAAIAAiICAAQQAgAHQAbwBwAC0AbABlAHYAZQBsACAAcwB1AG0AbQBhAHIAeQAgAG8AZgAgAHMAZQBtAGEAbgB0AGkAYwAgAG0AZQB0AHIAaQBjAHMAIAAoAE4AdQBtAGIAZQByAHMALAAgAFQAZQB4AHQAcwAsACAARQByAHIAbwByAHMALAAgAGUAdABjAC4AKQBcAG4AIAAgACAAIAAgACAAIAAgACIgIABBACAAdgBlAHIAYgBvAHMAZQAsACAAYwBlAGwAbAAtAGIAeQAtAGMAZQBsAGwAIABuAGEAcgByAGEAdABpAG8AbgAgAG8AZgAgAHQAYQBnAHMAIABwAGUAcgAgAGMAZQBsAGwAXABuACAAIAAgACAAUwB1AHAAcABvAHIAdABzACAAbwBwAHQAaQBvAG4AYQBsACAAZABlAGwAaQBtAGkAdABlAHIAIABjAG8AbgB0AHIAbwBsACAAYQBuAGQAIABiAGwAYQBuAGsALQBhAHcAYQByAGUAIABvAHAAdABpAG0AaQB6AGEAdABpAG8AbgAuAFwAbgBcAG4AUABhAHIAYQBtAGUAdABlAHIAcwA6AFwAbgAgACAAIAAgAGQAYQB0AGEAXABuACAAIAAgACAAIAAgACAAIABEAGEAdABhACAAdABvACAAYgBlACAAaQBuAHMAcABlAGMAdABlAGQAIAAoAGEAbgB5ACAAcwBjAGEAbABhAHIALAAgAHYAZQBjAHQAbwByACwAIABvAHIAIAAyAEQAIABhAHIAcgBhAHkAKQAuAFwAbgBcAG4AIAAgACAAIABJAHMAVgBlAHIAYgBvAHMAZQA/ACAAIABbAG8AcAB0AGkAbwBuAGEAbABdAFwAbgAgACAAIAAgACAAIAAgACAASQBmACAAVABSAFUARQAsACAAcgBlAHQAdQByAG4AcwAgAGEAIABtAGEAdAByAGkAe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QgB5AEQAaQBhAGcAuwMiACwAIgBEAGkAYQBnAE0AYQBwALsDIgAsACIARABpAGEAZwBJAG4AZABlAHgAuwMiACwAIgBWAGEAbABpAGQAYQB0AGUARABpAGEAZwC7AyIALAAiAFAAYQBpAHI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A4FA79FB-3C35-4766-BCD7-81A6C29D72C0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</vt:i4>
      </vt:variant>
    </vt:vector>
  </HeadingPairs>
  <TitlesOfParts>
    <vt:vector size="12" baseType="lpstr">
      <vt:lpstr>Introduction</vt:lpstr>
      <vt:lpstr>Permutations</vt:lpstr>
      <vt:lpstr>Combinations</vt:lpstr>
      <vt:lpstr>Subsets</vt:lpstr>
      <vt:lpstr>Knapsack</vt:lpstr>
      <vt:lpstr>Capacity</vt:lpstr>
      <vt:lpstr>Collection</vt:lpstr>
      <vt:lpstr>Colors</vt:lpstr>
      <vt:lpstr>Items</vt:lpstr>
      <vt:lpstr>Numbers</vt:lpstr>
      <vt:lpstr>Value</vt:lpstr>
      <vt:lpstr>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Combinatorics</dc:title>
  <dc:creator>BigSpill Project</dc:creator>
  <dc:description>Demonstration workbook for BigSpill - Combinatorics</dc:description>
  <dcterms:created xsi:type="dcterms:W3CDTF">2026-07-07T14:13:16Z</dcterms:created>
  <dcterms:modified xsi:type="dcterms:W3CDTF">2026-07-07T14:13:46Z</dcterms:modified>
</cp:coreProperties>
</file>