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01AD9E73-222C-4D47-815C-56BD4D52B996}" xr6:coauthVersionLast="47" xr6:coauthVersionMax="47" xr10:uidLastSave="{00000000-0000-0000-0000-000000000000}"/>
  <bookViews>
    <workbookView xWindow="-96" yWindow="-96" windowWidth="23232" windowHeight="12432" xr2:uid="{AF0D28F0-5715-4E2D-93FF-A017D51B4F32}"/>
  </bookViews>
  <sheets>
    <sheet name="Introduction" sheetId="1" r:id="rId1"/>
    <sheet name="Demo" sheetId="2" r:id="rId2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Bin">Demo!$C$26:$C$35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Integers">Demo!$C$13:$C$22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26" i="2" l="1" a="1"/>
  <c r="X13" i="2" a="1"/>
  <c r="M13" i="2" a="1"/>
  <c r="G26" i="2" a="1"/>
  <c r="E26" i="2" a="1"/>
  <c r="I13" i="2" a="1"/>
  <c r="G13" i="2" a="1"/>
  <c r="E1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<sst xmlns="http://schemas.openxmlformats.org/spreadsheetml/2006/main" count="79" uniqueCount="58">
  <si>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</si>
  <si>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</si>
  <si>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</si>
  <si>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</si>
  <si>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</si>
  <si>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Bin2Decλ</t>
  </si>
  <si>
    <t>Bin2Grayλ</t>
  </si>
  <si>
    <t>BitCountλ</t>
  </si>
  <si>
    <t>Dec2Binλ</t>
  </si>
  <si>
    <t>Dec2Grayλ</t>
  </si>
  <si>
    <t>Engineering</t>
  </si>
  <si>
    <t>Converts concise binary into decimal values.</t>
  </si>
  <si>
    <t>Converts binary into Gray‑code values.</t>
  </si>
  <si>
    <t>Counts the number of 1‑bits in the binary representation of each integer.</t>
  </si>
  <si>
    <t>Converts non‑negative integers into binary.</t>
  </si>
  <si>
    <t>Converts non‑negative integers into Gray‑code values.</t>
  </si>
  <si>
    <t>The Engineering category provides binary, Gray‑code, and bit‑level utilities designed to operate well</t>
  </si>
  <si>
    <t>beyond Excel's native DEC2BIN limit of 511.</t>
  </si>
  <si>
    <t>Binary</t>
  </si>
  <si>
    <t>Gray</t>
  </si>
  <si>
    <t>Integers</t>
  </si>
  <si>
    <t>=Dec2Binλ(Integers)</t>
  </si>
  <si>
    <t>=Dec2Grayλ(Integers,TRUE)</t>
  </si>
  <si>
    <t>=BitCountλ(Integers)</t>
  </si>
  <si>
    <t>Bit Count</t>
  </si>
  <si>
    <t>Bin</t>
  </si>
  <si>
    <t>=Bin2Decλ(Bin)</t>
  </si>
  <si>
    <t>=Bin2Grayλ(Bin,TRUE)</t>
  </si>
  <si>
    <t>=Dec2Binλ(Integers,TRUE)</t>
  </si>
  <si>
    <t>=Dec2Grayλ(Integers)</t>
  </si>
  <si>
    <t>=Bin2Grayλ(Bin)</t>
  </si>
  <si>
    <t>Concise Outputs</t>
  </si>
  <si>
    <t>2D Array Outputs</t>
  </si>
  <si>
    <t>Decimal ~ Binary</t>
  </si>
  <si>
    <t>Decimal ~ Gray</t>
  </si>
  <si>
    <t>Binary ~ Decimal</t>
  </si>
  <si>
    <t>Binary  ~ Gray</t>
  </si>
  <si>
    <t>Bin ~ Gray</t>
  </si>
  <si>
    <t>Decimal</t>
  </si>
  <si>
    <t>X</t>
  </si>
  <si>
    <t>2D array</t>
  </si>
  <si>
    <t>Count of bits</t>
  </si>
  <si>
    <t>--</t>
  </si>
  <si>
    <t>Input</t>
  </si>
  <si>
    <t>Output</t>
  </si>
  <si>
    <t>Concise</t>
  </si>
  <si>
    <t>Output modes available</t>
  </si>
  <si>
    <t>Bitcountλ</t>
  </si>
  <si>
    <t>0111110100</t>
  </si>
  <si>
    <t>1000000001</t>
  </si>
  <si>
    <t>1000000010</t>
  </si>
  <si>
    <t>1000000011</t>
  </si>
  <si>
    <t>1000000100</t>
  </si>
  <si>
    <t>1000000101</t>
  </si>
  <si>
    <t>1000000110</t>
  </si>
  <si>
    <t>1000000111</t>
  </si>
  <si>
    <t>1000001000</t>
  </si>
  <si>
    <t>1000001001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</si>
</sst>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Segoe UI Variable Display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0"/>
      <color theme="1"/>
      <name val="Segoe UI Variable Display"/>
      <family val="2"/>
    </font>
    <font>
      <i/>
      <sz val="10"/>
      <color theme="1"/>
      <name val="Segoe UI Variable Display"/>
    </font>
    <font>
      <b/>
      <sz val="10"/>
      <color theme="1"/>
      <name val="Segoe UI Variable Display"/>
    </font>
    <font>
      <sz val="11"/>
      <color theme="1"/>
      <name val="Bahnschrift"/>
      <family val="2"/>
    </font>
    <font>
      <sz val="11"/>
      <color theme="1"/>
      <name val="Symbol"/>
      <family val="1"/>
      <charset val="2"/>
    </font>
    <font>
      <sz val="11"/>
      <color theme="1"/>
      <name val="Apto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6" fillId="0" borderId="3" xfId="0" applyFont="1" applyBorder="1"/>
    <xf numFmtId="0" fontId="0" fillId="0" borderId="2" xfId="0" applyBorder="1"/>
    <xf numFmtId="0" fontId="6" fillId="0" borderId="0" xfId="0" applyFont="1"/>
    <xf numFmtId="0" fontId="6" fillId="0" borderId="7" xfId="0" applyFont="1" applyBorder="1"/>
    <xf numFmtId="0" fontId="0" fillId="0" borderId="8" xfId="0" applyBorder="1"/>
    <xf numFmtId="0" fontId="6" fillId="0" borderId="8" xfId="0" applyFont="1" applyBorder="1"/>
    <xf numFmtId="0" fontId="6" fillId="0" borderId="1" xfId="0" applyFont="1" applyBorder="1" applyAlignment="1">
      <alignment horizontal="center"/>
    </xf>
    <xf numFmtId="0" fontId="3" fillId="0" borderId="0" xfId="0" quotePrefix="1" applyFont="1"/>
    <xf numFmtId="0" fontId="8" fillId="0" borderId="0" xfId="0" applyFont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5" fillId="0" borderId="2" xfId="0" applyFont="1" applyBorder="1"/>
    <xf numFmtId="0" fontId="0" fillId="0" borderId="4" xfId="0" applyBorder="1"/>
    <xf numFmtId="0" fontId="0" fillId="0" borderId="5" xfId="0" applyBorder="1"/>
    <xf numFmtId="0" fontId="5" fillId="0" borderId="0" xfId="0" applyFont="1"/>
    <xf numFmtId="0" fontId="0" fillId="0" borderId="6" xfId="0" applyBorder="1"/>
    <xf numFmtId="0" fontId="4" fillId="0" borderId="5" xfId="0" applyFont="1" applyBorder="1" applyAlignment="1">
      <alignment horizontal="center"/>
    </xf>
    <xf numFmtId="0" fontId="7" fillId="0" borderId="0" xfId="0" applyFont="1"/>
    <xf numFmtId="0" fontId="0" fillId="0" borderId="7" xfId="0" applyBorder="1"/>
    <xf numFmtId="0" fontId="0" fillId="0" borderId="9" xfId="0" applyBorder="1"/>
    <xf numFmtId="0" fontId="4" fillId="0" borderId="2" xfId="0" applyFont="1" applyBorder="1"/>
    <xf numFmtId="0" fontId="8" fillId="0" borderId="6" xfId="0" applyFont="1" applyBorder="1"/>
    <xf numFmtId="0" fontId="2" fillId="0" borderId="1" xfId="0" applyFont="1" applyBorder="1" applyAlignment="1">
      <alignment horizontal="right"/>
    </xf>
    <xf numFmtId="0" fontId="8" fillId="0" borderId="1" xfId="0" applyFont="1" applyBorder="1"/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95AC7D-6F48-488D-83DB-E32D0AB875AE}"/>
  </tableStyles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654050</xdr:colOff>
      <xdr:row>1</xdr:row>
      <xdr:rowOff>161925</xdr:rowOff>
    </xdr:from>
    <xdr:to>
      <xdr:col>3</xdr:col>
      <xdr:colOff>1345140</xdr:colOff>
      <xdr:row>6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05342C-5D33-4ED1-B3C1-E55BA9B072B2}"/>
            </a:ext>
          </a:extLst>
        </xdr:cNvPr>
        <xdr:cNvSpPr>
          <a:spLocks noChangeAspect="1"/>
        </xdr:cNvSpPr>
      </xdr:nvSpPr>
      <xdr:spPr>
        <a:xfrm>
          <a:off x="1311275" y="371475"/>
          <a:ext cx="2615140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3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557397-A0E0-4C8C-BF82-176E8E02D19A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D4E90838-1211-4517-BA78-A0438F8C933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453A-5609-42EA-9EE7-7BFB892A1408}">
  <sheetPr>
    <tabColor theme="0"/>
  </sheetPr>
  <dimension ref="A6:E26"/>
  <sheetViews>
    <sheetView showGridLines="0" showRowColHeaders="0" tabSelected="1" workbookViewId="0"/>
  </sheetViews>
  <sheetFormatPr defaultColWidth="0" defaultRowHeight="15.9" x14ac:dyDescent="0.65"/>
  <cols>
    <col min="1" max="2" width="8.6484375" customWidth="1"/>
    <col min="3" max="3" width="16.6484375" customWidth="1"/>
    <col min="4" max="4" width="65.34765625" customWidth="1"/>
    <col min="5" max="5" width="8.6484375" customWidth="1"/>
    <col min="6" max="16384" width="8.6484375" hidden="1"/>
  </cols>
  <sheetData>
    <row r="6" spans="3:4" x14ac:dyDescent="0.65">
      <c r="C6" s="1"/>
      <c r="D6" s="2"/>
    </row>
    <row r="7" spans="3:4" x14ac:dyDescent="0.65">
      <c r="C7" s="1"/>
      <c r="D7" s="2"/>
    </row>
    <row r="8" spans="3:4" x14ac:dyDescent="0.65">
      <c r="C8" s="1"/>
      <c r="D8" s="2"/>
    </row>
    <row r="9" spans="3:4" x14ac:dyDescent="0.65">
      <c r="C9" s="3" t="s">
        <v>10</v>
      </c>
      <c r="D9" s="2"/>
    </row>
    <row r="10" spans="3:4" x14ac:dyDescent="0.65">
      <c r="C10" s="1" t="s">
        <v>16</v>
      </c>
      <c r="D10" s="2"/>
    </row>
    <row r="11" spans="3:4" x14ac:dyDescent="0.65">
      <c r="C11" s="1" t="s">
        <v>17</v>
      </c>
      <c r="D11" s="2"/>
    </row>
    <row r="12" spans="3:4" x14ac:dyDescent="0.65">
      <c r="C12" s="1"/>
      <c r="D12" s="2"/>
    </row>
    <row r="13" spans="3:4" x14ac:dyDescent="0.65">
      <c r="C13" s="3" t="s">
        <v>0</v>
      </c>
      <c r="D13" s="2"/>
    </row>
    <row r="14" spans="3:4" x14ac:dyDescent="0.65">
      <c r="C14" s="1" t="s">
        <v>1</v>
      </c>
      <c r="D14" s="2"/>
    </row>
    <row r="15" spans="3:4" x14ac:dyDescent="0.65">
      <c r="C15" s="1" t="s">
        <v>2</v>
      </c>
      <c r="D15" s="2"/>
    </row>
    <row r="16" spans="3:4" x14ac:dyDescent="0.65">
      <c r="C16" s="1"/>
      <c r="D16" s="2"/>
    </row>
    <row r="17" spans="3:4" x14ac:dyDescent="0.65">
      <c r="C17" s="1"/>
      <c r="D17" s="2"/>
    </row>
    <row r="18" spans="3:4" x14ac:dyDescent="0.65">
      <c r="C18" s="4" t="s">
        <v>3</v>
      </c>
      <c r="D18" s="5" t="s">
        <v>4</v>
      </c>
    </row>
    <row r="19" spans="3:4" ht="30" customHeight="1" x14ac:dyDescent="0.65">
      <c r="C19" s="37" t="s">
        <v>5</v>
      </c>
      <c r="D19" s="7" t="s">
        <v>11</v>
      </c>
    </row>
    <row r="20" spans="3:4" ht="30" customHeight="1" x14ac:dyDescent="0.65">
      <c r="C20" s="37" t="s">
        <v>6</v>
      </c>
      <c r="D20" s="7" t="s">
        <v>12</v>
      </c>
    </row>
    <row r="21" spans="3:4" ht="30" customHeight="1" x14ac:dyDescent="0.65">
      <c r="C21" s="37" t="s">
        <v>7</v>
      </c>
      <c r="D21" s="6" t="s">
        <v>13</v>
      </c>
    </row>
    <row r="22" spans="3:4" ht="30" customHeight="1" x14ac:dyDescent="0.65">
      <c r="C22" s="37" t="s">
        <v>8</v>
      </c>
      <c r="D22" s="6" t="s">
        <v>14</v>
      </c>
    </row>
    <row r="23" spans="3:4" ht="30" customHeight="1" x14ac:dyDescent="0.65">
      <c r="C23" s="37" t="s">
        <v>9</v>
      </c>
      <c r="D23" s="6" t="s">
        <v>15</v>
      </c>
    </row>
    <row r="24" spans="3:4" x14ac:dyDescent="0.65">
      <c r="C24" s="8"/>
      <c r="D24" s="8"/>
    </row>
    <row r="25" spans="3:4" x14ac:dyDescent="0.65">
      <c r="C25" s="9"/>
      <c r="D25" s="9"/>
    </row>
    <row r="26" spans="3:4" x14ac:dyDescent="0.65">
      <c r="C26" s="9"/>
      <c r="D26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036A-1B3A-4B52-BDAC-05C5B469EB8A}">
  <sheetPr>
    <tabColor theme="0" tint="-0.14999847407452621"/>
  </sheetPr>
  <dimension ref="C2:AH37"/>
  <sheetViews>
    <sheetView workbookViewId="0"/>
  </sheetViews>
  <sheetFormatPr defaultRowHeight="15.9" x14ac:dyDescent="0.65"/>
  <cols>
    <col min="1" max="1" width="5" customWidth="1"/>
    <col min="3" max="3" width="12.59765625" customWidth="1"/>
    <col min="5" max="5" width="15.84765625" bestFit="1" customWidth="1"/>
    <col min="6" max="6" width="10.1484375" customWidth="1"/>
    <col min="7" max="7" width="12.1484375" customWidth="1"/>
    <col min="8" max="8" width="10.1484375" customWidth="1"/>
    <col min="9" max="9" width="5.1484375" customWidth="1"/>
    <col min="10" max="10" width="7.5" customWidth="1"/>
    <col min="11" max="11" width="3.25" customWidth="1"/>
    <col min="12" max="12" width="5.84765625" customWidth="1"/>
    <col min="13" max="13" width="2.84765625" customWidth="1"/>
    <col min="14" max="22" width="2.25" bestFit="1" customWidth="1"/>
    <col min="24" max="24" width="1.84765625" bestFit="1" customWidth="1"/>
    <col min="25" max="33" width="2.25" bestFit="1" customWidth="1"/>
  </cols>
  <sheetData>
    <row r="2" spans="3:34" x14ac:dyDescent="0.65">
      <c r="C2" s="21"/>
      <c r="D2" s="11"/>
      <c r="E2" s="11"/>
      <c r="F2" s="31" t="s">
        <v>46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23"/>
    </row>
    <row r="3" spans="3:34" x14ac:dyDescent="0.65">
      <c r="C3" s="4" t="s">
        <v>3</v>
      </c>
      <c r="D3" s="4" t="s">
        <v>43</v>
      </c>
      <c r="E3" s="4" t="s">
        <v>44</v>
      </c>
      <c r="F3" s="4" t="s">
        <v>40</v>
      </c>
      <c r="G3" s="4" t="s">
        <v>45</v>
      </c>
      <c r="AH3" s="26"/>
    </row>
    <row r="4" spans="3:34" x14ac:dyDescent="0.65">
      <c r="C4" s="33" t="s">
        <v>5</v>
      </c>
      <c r="D4" s="20" t="s">
        <v>18</v>
      </c>
      <c r="E4" s="20" t="s">
        <v>38</v>
      </c>
      <c r="F4" s="19" t="s">
        <v>42</v>
      </c>
      <c r="G4" s="19" t="s">
        <v>42</v>
      </c>
      <c r="AH4" s="26"/>
    </row>
    <row r="5" spans="3:34" x14ac:dyDescent="0.65">
      <c r="C5" s="33" t="s">
        <v>6</v>
      </c>
      <c r="D5" s="20" t="s">
        <v>18</v>
      </c>
      <c r="E5" s="20" t="s">
        <v>19</v>
      </c>
      <c r="F5" s="20" t="s">
        <v>39</v>
      </c>
      <c r="G5" s="20" t="s">
        <v>39</v>
      </c>
      <c r="AH5" s="26"/>
    </row>
    <row r="6" spans="3:34" x14ac:dyDescent="0.65">
      <c r="C6" s="33" t="s">
        <v>47</v>
      </c>
      <c r="D6" s="20" t="s">
        <v>38</v>
      </c>
      <c r="E6" s="20" t="s">
        <v>41</v>
      </c>
      <c r="F6" s="19" t="s">
        <v>42</v>
      </c>
      <c r="G6" s="19" t="s">
        <v>42</v>
      </c>
      <c r="AH6" s="26"/>
    </row>
    <row r="7" spans="3:34" x14ac:dyDescent="0.65">
      <c r="C7" s="33" t="s">
        <v>8</v>
      </c>
      <c r="D7" s="20" t="s">
        <v>38</v>
      </c>
      <c r="E7" s="20" t="s">
        <v>18</v>
      </c>
      <c r="F7" s="20" t="s">
        <v>39</v>
      </c>
      <c r="G7" s="20" t="s">
        <v>39</v>
      </c>
      <c r="AH7" s="26"/>
    </row>
    <row r="8" spans="3:34" x14ac:dyDescent="0.65">
      <c r="C8" s="33" t="s">
        <v>9</v>
      </c>
      <c r="D8" s="20" t="s">
        <v>38</v>
      </c>
      <c r="E8" s="20" t="s">
        <v>19</v>
      </c>
      <c r="F8" s="20" t="s">
        <v>39</v>
      </c>
      <c r="G8" s="20" t="s">
        <v>39</v>
      </c>
      <c r="AH8" s="26"/>
    </row>
    <row r="9" spans="3:34" x14ac:dyDescent="0.65">
      <c r="C9" s="2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30"/>
    </row>
    <row r="10" spans="3:34" x14ac:dyDescent="0.65">
      <c r="C10" s="21"/>
      <c r="D10" s="11"/>
      <c r="E10" s="11"/>
      <c r="F10" s="22" t="s">
        <v>31</v>
      </c>
      <c r="G10" s="11"/>
      <c r="H10" s="11"/>
      <c r="I10" s="11"/>
      <c r="J10" s="11"/>
      <c r="K10" s="23"/>
      <c r="L10" s="11"/>
      <c r="M10" s="11"/>
      <c r="N10" s="22" t="s">
        <v>32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23"/>
    </row>
    <row r="11" spans="3:34" x14ac:dyDescent="0.65">
      <c r="C11" s="24"/>
      <c r="E11" s="25" t="s">
        <v>33</v>
      </c>
      <c r="F11" s="25"/>
      <c r="G11" s="25" t="s">
        <v>34</v>
      </c>
      <c r="I11" s="25" t="s">
        <v>24</v>
      </c>
      <c r="K11" s="26"/>
      <c r="M11" s="25" t="s">
        <v>33</v>
      </c>
      <c r="X11" s="25" t="s">
        <v>34</v>
      </c>
      <c r="AH11" s="26"/>
    </row>
    <row r="12" spans="3:34" x14ac:dyDescent="0.65">
      <c r="C12" s="27" t="s">
        <v>20</v>
      </c>
      <c r="E12" s="17" t="s">
        <v>21</v>
      </c>
      <c r="F12" s="17"/>
      <c r="G12" s="17" t="s">
        <v>22</v>
      </c>
      <c r="I12" s="17" t="s">
        <v>23</v>
      </c>
      <c r="K12" s="26"/>
      <c r="M12" s="17" t="s">
        <v>28</v>
      </c>
      <c r="X12" s="17" t="s">
        <v>29</v>
      </c>
      <c r="AH12" s="26"/>
    </row>
    <row r="13" spans="3:34" x14ac:dyDescent="0.65">
      <c r="C13" s="35">
        <v>500</v>
      </c>
      <c r="E13" s="34" t="str" cm="1">
        <f t="array" ref="E13:E22">Dec2Binλ(Integers)</f>
        <v>0111110100</v>
      </c>
      <c r="F13" s="12"/>
      <c r="G13" s="34" t="str" cm="1">
        <f t="array" ref="G13:G22">Dec2Grayλ(Integers,TRUE)</f>
        <v>0100001110</v>
      </c>
      <c r="I13" s="16" cm="1">
        <f t="array" ref="I13:I22">BitCountλ(Integers)</f>
        <v>6</v>
      </c>
      <c r="K13" s="26"/>
      <c r="M13" s="34" cm="1">
        <f t="array" ref="M13:V22">Dec2Binλ(Integers,TRUE)</f>
        <v>0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0</v>
      </c>
      <c r="T13" s="34">
        <v>1</v>
      </c>
      <c r="U13" s="34">
        <v>0</v>
      </c>
      <c r="V13" s="34">
        <v>0</v>
      </c>
      <c r="X13" s="34" t="str" cm="1">
        <f t="array" ref="X13:AG22">Dec2Grayλ(Integers)</f>
        <v>0</v>
      </c>
      <c r="Y13" s="34">
        <v>1</v>
      </c>
      <c r="Z13" s="34">
        <v>0</v>
      </c>
      <c r="AA13" s="34">
        <v>0</v>
      </c>
      <c r="AB13" s="34">
        <v>0</v>
      </c>
      <c r="AC13" s="34">
        <v>0</v>
      </c>
      <c r="AD13" s="34">
        <v>1</v>
      </c>
      <c r="AE13" s="34">
        <v>1</v>
      </c>
      <c r="AF13" s="34">
        <v>1</v>
      </c>
      <c r="AG13" s="34">
        <v>0</v>
      </c>
      <c r="AH13" s="26"/>
    </row>
    <row r="14" spans="3:34" x14ac:dyDescent="0.65">
      <c r="C14" s="35">
        <v>513</v>
      </c>
      <c r="E14" s="34" t="str">
        <v>1000000001</v>
      </c>
      <c r="F14" s="12"/>
      <c r="G14" s="34" t="str">
        <v>1100000001</v>
      </c>
      <c r="I14" s="16">
        <v>2</v>
      </c>
      <c r="K14" s="26"/>
      <c r="M14" s="34">
        <v>1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1</v>
      </c>
      <c r="X14" s="34" t="str">
        <v>1</v>
      </c>
      <c r="Y14" s="34">
        <v>1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1</v>
      </c>
      <c r="AH14" s="26"/>
    </row>
    <row r="15" spans="3:34" x14ac:dyDescent="0.65">
      <c r="C15" s="35">
        <v>514</v>
      </c>
      <c r="E15" s="34" t="str">
        <v>1000000010</v>
      </c>
      <c r="F15" s="12"/>
      <c r="G15" s="34" t="str">
        <v>1100000011</v>
      </c>
      <c r="I15" s="16">
        <v>2</v>
      </c>
      <c r="K15" s="26"/>
      <c r="M15" s="34">
        <v>1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1</v>
      </c>
      <c r="V15" s="34">
        <v>0</v>
      </c>
      <c r="X15" s="34" t="str">
        <v>1</v>
      </c>
      <c r="Y15" s="34">
        <v>1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1</v>
      </c>
      <c r="AG15" s="34">
        <v>1</v>
      </c>
      <c r="AH15" s="26"/>
    </row>
    <row r="16" spans="3:34" x14ac:dyDescent="0.65">
      <c r="C16" s="35">
        <v>515</v>
      </c>
      <c r="E16" s="34" t="str">
        <v>1000000011</v>
      </c>
      <c r="F16" s="12"/>
      <c r="G16" s="34" t="str">
        <v>1100000010</v>
      </c>
      <c r="I16" s="16">
        <v>3</v>
      </c>
      <c r="K16" s="26"/>
      <c r="M16" s="34">
        <v>1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1</v>
      </c>
      <c r="V16" s="34">
        <v>1</v>
      </c>
      <c r="X16" s="34" t="str">
        <v>1</v>
      </c>
      <c r="Y16" s="34">
        <v>1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1</v>
      </c>
      <c r="AG16" s="34">
        <v>0</v>
      </c>
      <c r="AH16" s="26"/>
    </row>
    <row r="17" spans="3:34" x14ac:dyDescent="0.65">
      <c r="C17" s="35">
        <v>516</v>
      </c>
      <c r="E17" s="34" t="str">
        <v>1000000100</v>
      </c>
      <c r="F17" s="12"/>
      <c r="G17" s="34" t="str">
        <v>1100000110</v>
      </c>
      <c r="I17" s="16">
        <v>2</v>
      </c>
      <c r="K17" s="26"/>
      <c r="M17" s="34">
        <v>1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1</v>
      </c>
      <c r="U17" s="34">
        <v>0</v>
      </c>
      <c r="V17" s="34">
        <v>0</v>
      </c>
      <c r="X17" s="34" t="str">
        <v>1</v>
      </c>
      <c r="Y17" s="34">
        <v>1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1</v>
      </c>
      <c r="AF17" s="34">
        <v>1</v>
      </c>
      <c r="AG17" s="34">
        <v>0</v>
      </c>
      <c r="AH17" s="26"/>
    </row>
    <row r="18" spans="3:34" x14ac:dyDescent="0.65">
      <c r="C18" s="35">
        <v>517</v>
      </c>
      <c r="E18" s="34" t="str">
        <v>1000000101</v>
      </c>
      <c r="F18" s="12"/>
      <c r="G18" s="34" t="str">
        <v>1100000111</v>
      </c>
      <c r="I18" s="16">
        <v>3</v>
      </c>
      <c r="K18" s="26"/>
      <c r="M18" s="34">
        <v>1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1</v>
      </c>
      <c r="U18" s="34">
        <v>0</v>
      </c>
      <c r="V18" s="34">
        <v>1</v>
      </c>
      <c r="X18" s="34" t="str">
        <v>1</v>
      </c>
      <c r="Y18" s="34">
        <v>1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1</v>
      </c>
      <c r="AF18" s="34">
        <v>1</v>
      </c>
      <c r="AG18" s="34">
        <v>1</v>
      </c>
      <c r="AH18" s="26"/>
    </row>
    <row r="19" spans="3:34" x14ac:dyDescent="0.65">
      <c r="C19" s="35">
        <v>518</v>
      </c>
      <c r="E19" s="34" t="str">
        <v>1000000110</v>
      </c>
      <c r="F19" s="12"/>
      <c r="G19" s="34" t="str">
        <v>1100000101</v>
      </c>
      <c r="I19" s="16">
        <v>3</v>
      </c>
      <c r="K19" s="26"/>
      <c r="M19" s="34">
        <v>1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1</v>
      </c>
      <c r="U19" s="34">
        <v>1</v>
      </c>
      <c r="V19" s="34">
        <v>0</v>
      </c>
      <c r="X19" s="34" t="str">
        <v>1</v>
      </c>
      <c r="Y19" s="34">
        <v>1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1</v>
      </c>
      <c r="AF19" s="34">
        <v>0</v>
      </c>
      <c r="AG19" s="34">
        <v>1</v>
      </c>
      <c r="AH19" s="26"/>
    </row>
    <row r="20" spans="3:34" x14ac:dyDescent="0.65">
      <c r="C20" s="35">
        <v>519</v>
      </c>
      <c r="E20" s="34" t="str">
        <v>1000000111</v>
      </c>
      <c r="F20" s="12"/>
      <c r="G20" s="34" t="str">
        <v>1100000100</v>
      </c>
      <c r="I20" s="16">
        <v>4</v>
      </c>
      <c r="K20" s="26"/>
      <c r="M20" s="34">
        <v>1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1</v>
      </c>
      <c r="U20" s="34">
        <v>1</v>
      </c>
      <c r="V20" s="34">
        <v>1</v>
      </c>
      <c r="X20" s="34" t="str">
        <v>1</v>
      </c>
      <c r="Y20" s="34">
        <v>1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1</v>
      </c>
      <c r="AF20" s="34">
        <v>0</v>
      </c>
      <c r="AG20" s="34">
        <v>0</v>
      </c>
      <c r="AH20" s="26"/>
    </row>
    <row r="21" spans="3:34" x14ac:dyDescent="0.65">
      <c r="C21" s="35">
        <v>520</v>
      </c>
      <c r="E21" s="34" t="str">
        <v>1000001000</v>
      </c>
      <c r="F21" s="12"/>
      <c r="G21" s="34" t="str">
        <v>1100001100</v>
      </c>
      <c r="I21" s="16">
        <v>2</v>
      </c>
      <c r="K21" s="26"/>
      <c r="M21" s="34">
        <v>1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1</v>
      </c>
      <c r="T21" s="34">
        <v>0</v>
      </c>
      <c r="U21" s="34">
        <v>0</v>
      </c>
      <c r="V21" s="34">
        <v>0</v>
      </c>
      <c r="X21" s="34" t="str">
        <v>1</v>
      </c>
      <c r="Y21" s="34">
        <v>1</v>
      </c>
      <c r="Z21" s="34">
        <v>0</v>
      </c>
      <c r="AA21" s="34">
        <v>0</v>
      </c>
      <c r="AB21" s="34">
        <v>0</v>
      </c>
      <c r="AC21" s="34">
        <v>0</v>
      </c>
      <c r="AD21" s="34">
        <v>1</v>
      </c>
      <c r="AE21" s="34">
        <v>1</v>
      </c>
      <c r="AF21" s="34">
        <v>0</v>
      </c>
      <c r="AG21" s="34">
        <v>0</v>
      </c>
      <c r="AH21" s="26"/>
    </row>
    <row r="22" spans="3:34" x14ac:dyDescent="0.65">
      <c r="C22" s="35">
        <v>521</v>
      </c>
      <c r="E22" s="34" t="str">
        <v>1000001001</v>
      </c>
      <c r="F22" s="12"/>
      <c r="G22" s="34" t="str">
        <v>1100001101</v>
      </c>
      <c r="I22" s="16">
        <v>3</v>
      </c>
      <c r="K22" s="26"/>
      <c r="M22" s="34">
        <v>1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1</v>
      </c>
      <c r="T22" s="34">
        <v>0</v>
      </c>
      <c r="U22" s="34">
        <v>0</v>
      </c>
      <c r="V22" s="34">
        <v>1</v>
      </c>
      <c r="X22" s="34" t="str">
        <v>1</v>
      </c>
      <c r="Y22" s="34">
        <v>1</v>
      </c>
      <c r="Z22" s="34">
        <v>0</v>
      </c>
      <c r="AA22" s="34">
        <v>0</v>
      </c>
      <c r="AB22" s="34">
        <v>0</v>
      </c>
      <c r="AC22" s="34">
        <v>0</v>
      </c>
      <c r="AD22" s="34">
        <v>1</v>
      </c>
      <c r="AE22" s="34">
        <v>1</v>
      </c>
      <c r="AF22" s="34">
        <v>0</v>
      </c>
      <c r="AG22" s="34">
        <v>1</v>
      </c>
      <c r="AH22" s="26"/>
    </row>
    <row r="23" spans="3:34" x14ac:dyDescent="0.65">
      <c r="C23" s="13"/>
      <c r="D23" s="14"/>
      <c r="E23" s="15"/>
      <c r="F23" s="15"/>
      <c r="G23" s="15"/>
      <c r="H23" s="14"/>
      <c r="I23" s="14"/>
      <c r="J23" s="14"/>
      <c r="K23" s="30"/>
      <c r="AH23" s="26"/>
    </row>
    <row r="24" spans="3:34" x14ac:dyDescent="0.65">
      <c r="C24" s="10"/>
      <c r="D24" s="11"/>
      <c r="E24" s="22" t="s">
        <v>35</v>
      </c>
      <c r="F24" s="11"/>
      <c r="G24" s="22" t="s">
        <v>36</v>
      </c>
      <c r="H24" s="11"/>
      <c r="I24" s="11"/>
      <c r="J24" s="11"/>
      <c r="K24" s="23"/>
      <c r="M24" s="25" t="s">
        <v>37</v>
      </c>
      <c r="AH24" s="26"/>
    </row>
    <row r="25" spans="3:34" x14ac:dyDescent="0.65">
      <c r="C25" s="27" t="s">
        <v>25</v>
      </c>
      <c r="E25" s="17" t="s">
        <v>26</v>
      </c>
      <c r="G25" s="17" t="s">
        <v>27</v>
      </c>
      <c r="K25" s="26"/>
      <c r="M25" s="17" t="s">
        <v>30</v>
      </c>
      <c r="AH25" s="26"/>
    </row>
    <row r="26" spans="3:34" x14ac:dyDescent="0.65">
      <c r="C26" s="36" t="s">
        <v>48</v>
      </c>
      <c r="E26" s="16" cm="1">
        <f t="array" ref="E26:E35">Bin2Decλ(Bin)</f>
        <v>500</v>
      </c>
      <c r="G26" s="34" t="str" cm="1">
        <f t="array" ref="G26:G35">Bin2Grayλ(Bin,TRUE)</f>
        <v>0100001110</v>
      </c>
      <c r="H26" s="28"/>
      <c r="J26" s="18"/>
      <c r="K26" s="32"/>
      <c r="L26" s="18"/>
      <c r="M26" s="34" t="str" cm="1">
        <f t="array" ref="M26:V35">Bin2Grayλ(Bin)</f>
        <v>0</v>
      </c>
      <c r="N26" s="34">
        <v>1</v>
      </c>
      <c r="O26" s="34">
        <v>0</v>
      </c>
      <c r="P26" s="34">
        <v>0</v>
      </c>
      <c r="Q26" s="34">
        <v>0</v>
      </c>
      <c r="R26" s="34">
        <v>0</v>
      </c>
      <c r="S26" s="34">
        <v>1</v>
      </c>
      <c r="T26" s="34">
        <v>1</v>
      </c>
      <c r="U26" s="34">
        <v>1</v>
      </c>
      <c r="V26" s="34">
        <v>0</v>
      </c>
      <c r="AH26" s="26"/>
    </row>
    <row r="27" spans="3:34" x14ac:dyDescent="0.65">
      <c r="C27" s="36" t="s">
        <v>49</v>
      </c>
      <c r="E27" s="16">
        <v>513</v>
      </c>
      <c r="G27" s="34" t="str">
        <v>1100000001</v>
      </c>
      <c r="I27" s="18"/>
      <c r="J27" s="18"/>
      <c r="K27" s="32"/>
      <c r="L27" s="18"/>
      <c r="M27" s="34" t="str">
        <v>1</v>
      </c>
      <c r="N27" s="34">
        <v>1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1</v>
      </c>
      <c r="AH27" s="26"/>
    </row>
    <row r="28" spans="3:34" x14ac:dyDescent="0.65">
      <c r="C28" s="36" t="s">
        <v>50</v>
      </c>
      <c r="E28" s="16">
        <v>514</v>
      </c>
      <c r="G28" s="34" t="str">
        <v>1100000011</v>
      </c>
      <c r="I28" s="18"/>
      <c r="J28" s="18"/>
      <c r="K28" s="32"/>
      <c r="L28" s="18"/>
      <c r="M28" s="34" t="str">
        <v>1</v>
      </c>
      <c r="N28" s="34">
        <v>1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1</v>
      </c>
      <c r="V28" s="34">
        <v>1</v>
      </c>
      <c r="AH28" s="26"/>
    </row>
    <row r="29" spans="3:34" x14ac:dyDescent="0.65">
      <c r="C29" s="36" t="s">
        <v>51</v>
      </c>
      <c r="E29" s="16">
        <v>515</v>
      </c>
      <c r="G29" s="34" t="str">
        <v>1100000010</v>
      </c>
      <c r="I29" s="18"/>
      <c r="J29" s="18"/>
      <c r="K29" s="32"/>
      <c r="L29" s="18"/>
      <c r="M29" s="34" t="str">
        <v>1</v>
      </c>
      <c r="N29" s="34">
        <v>1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1</v>
      </c>
      <c r="V29" s="34">
        <v>0</v>
      </c>
      <c r="AH29" s="26"/>
    </row>
    <row r="30" spans="3:34" x14ac:dyDescent="0.65">
      <c r="C30" s="36" t="s">
        <v>52</v>
      </c>
      <c r="E30" s="16">
        <v>516</v>
      </c>
      <c r="G30" s="34" t="str">
        <v>1100000110</v>
      </c>
      <c r="I30" s="18"/>
      <c r="J30" s="18"/>
      <c r="K30" s="32"/>
      <c r="L30" s="18"/>
      <c r="M30" s="34" t="str">
        <v>1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1</v>
      </c>
      <c r="U30" s="34">
        <v>1</v>
      </c>
      <c r="V30" s="34">
        <v>0</v>
      </c>
      <c r="AH30" s="26"/>
    </row>
    <row r="31" spans="3:34" x14ac:dyDescent="0.65">
      <c r="C31" s="36" t="s">
        <v>53</v>
      </c>
      <c r="E31" s="16">
        <v>517</v>
      </c>
      <c r="G31" s="34" t="str">
        <v>1100000111</v>
      </c>
      <c r="I31" s="18"/>
      <c r="J31" s="18"/>
      <c r="K31" s="32"/>
      <c r="L31" s="18"/>
      <c r="M31" s="34" t="str">
        <v>1</v>
      </c>
      <c r="N31" s="34">
        <v>1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1</v>
      </c>
      <c r="U31" s="34">
        <v>1</v>
      </c>
      <c r="V31" s="34">
        <v>1</v>
      </c>
      <c r="AH31" s="26"/>
    </row>
    <row r="32" spans="3:34" x14ac:dyDescent="0.65">
      <c r="C32" s="36" t="s">
        <v>54</v>
      </c>
      <c r="E32" s="16">
        <v>518</v>
      </c>
      <c r="G32" s="34" t="str">
        <v>1100000101</v>
      </c>
      <c r="I32" s="18"/>
      <c r="J32" s="18"/>
      <c r="K32" s="32"/>
      <c r="L32" s="18"/>
      <c r="M32" s="34" t="str">
        <v>1</v>
      </c>
      <c r="N32" s="34">
        <v>1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1</v>
      </c>
      <c r="U32" s="34">
        <v>0</v>
      </c>
      <c r="V32" s="34">
        <v>1</v>
      </c>
      <c r="AH32" s="26"/>
    </row>
    <row r="33" spans="3:34" x14ac:dyDescent="0.65">
      <c r="C33" s="36" t="s">
        <v>55</v>
      </c>
      <c r="E33" s="16">
        <v>519</v>
      </c>
      <c r="G33" s="34" t="str">
        <v>1100000100</v>
      </c>
      <c r="I33" s="18"/>
      <c r="J33" s="18"/>
      <c r="K33" s="32"/>
      <c r="L33" s="18"/>
      <c r="M33" s="34" t="str">
        <v>1</v>
      </c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1</v>
      </c>
      <c r="U33" s="34">
        <v>0</v>
      </c>
      <c r="V33" s="34">
        <v>0</v>
      </c>
      <c r="AH33" s="26"/>
    </row>
    <row r="34" spans="3:34" x14ac:dyDescent="0.65">
      <c r="C34" s="36" t="s">
        <v>56</v>
      </c>
      <c r="E34" s="16">
        <v>520</v>
      </c>
      <c r="G34" s="34" t="str">
        <v>1100001100</v>
      </c>
      <c r="I34" s="18"/>
      <c r="J34" s="18"/>
      <c r="K34" s="32"/>
      <c r="L34" s="18"/>
      <c r="M34" s="34" t="str">
        <v>1</v>
      </c>
      <c r="N34" s="34">
        <v>1</v>
      </c>
      <c r="O34" s="34">
        <v>0</v>
      </c>
      <c r="P34" s="34">
        <v>0</v>
      </c>
      <c r="Q34" s="34">
        <v>0</v>
      </c>
      <c r="R34" s="34">
        <v>0</v>
      </c>
      <c r="S34" s="34">
        <v>1</v>
      </c>
      <c r="T34" s="34">
        <v>1</v>
      </c>
      <c r="U34" s="34">
        <v>0</v>
      </c>
      <c r="V34" s="34">
        <v>0</v>
      </c>
      <c r="AH34" s="26"/>
    </row>
    <row r="35" spans="3:34" x14ac:dyDescent="0.65">
      <c r="C35" s="36" t="s">
        <v>57</v>
      </c>
      <c r="E35" s="16">
        <v>521</v>
      </c>
      <c r="G35" s="34" t="str">
        <v>1100001101</v>
      </c>
      <c r="I35" s="18"/>
      <c r="J35" s="18"/>
      <c r="K35" s="32"/>
      <c r="L35" s="18"/>
      <c r="M35" s="34" t="str">
        <v>1</v>
      </c>
      <c r="N35" s="34">
        <v>1</v>
      </c>
      <c r="O35" s="34">
        <v>0</v>
      </c>
      <c r="P35" s="34">
        <v>0</v>
      </c>
      <c r="Q35" s="34">
        <v>0</v>
      </c>
      <c r="R35" s="34">
        <v>0</v>
      </c>
      <c r="S35" s="34">
        <v>1</v>
      </c>
      <c r="T35" s="34">
        <v>1</v>
      </c>
      <c r="U35" s="34">
        <v>0</v>
      </c>
      <c r="V35" s="34">
        <v>1</v>
      </c>
      <c r="AH35" s="26"/>
    </row>
    <row r="36" spans="3:34" x14ac:dyDescent="0.65">
      <c r="C36" s="24"/>
      <c r="K36" s="26"/>
      <c r="AH36" s="26"/>
    </row>
    <row r="37" spans="3:34" x14ac:dyDescent="0.65">
      <c r="C37" s="29"/>
      <c r="D37" s="14"/>
      <c r="E37" s="14"/>
      <c r="F37" s="14"/>
      <c r="G37" s="14"/>
      <c r="H37" s="14"/>
      <c r="I37" s="14"/>
      <c r="J37" s="14"/>
      <c r="K37" s="30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30"/>
    </row>
  </sheetData>
  <pageMargins left="0.7" right="0.7" top="0.75" bottom="0.75" header="0.3" footer="0.3"/>
  <pageSetup orientation="portrait" r:id="rId1"/>
  <ignoredErrors>
    <ignoredError sqref="C26:C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D4E90838-1211-4517-BA78-A0438F8C933F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Introduction</vt:lpstr>
      <vt:lpstr>Demo</vt:lpstr>
      <vt:lpstr>Bin</vt:lpstr>
      <vt:lpstr>Integers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Engineering</dc:title>
  <dc:creator>BigSpill Project</dc:creator>
  <dc:description>Demonstration workbook for BigSpill - Engineering</dc:description>
  <dcterms:created xsi:type="dcterms:W3CDTF">2026-07-07T14:09:36Z</dcterms:created>
  <dcterms:modified xsi:type="dcterms:W3CDTF">2026-10-14T22:36:27Z</dcterms:modified>
</cp:coreProperties>
</file>