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1FA1ED28-C846-46CB-8217-0FC065B6D8E5}" xr6:coauthVersionLast="47" xr6:coauthVersionMax="47" xr10:uidLastSave="{00000000-0000-0000-0000-000000000000}"/>
  <bookViews>
    <workbookView xWindow="28680" yWindow="-120" windowWidth="29040" windowHeight="15720" xr2:uid="{9CC4FAB6-CEFA-49D1-8B24-DD5FDB567CD9}"/>
  </bookViews>
  <sheets>
    <sheet name="Introduction" sheetId="1" r:id="rId1"/>
    <sheet name="DeleteRows" sheetId="3" r:id="rId2"/>
    <sheet name="DeleteCols" sheetId="4" r:id="rId3"/>
    <sheet name="DeleteWhere" sheetId="5" r:id="rId4"/>
    <sheet name="Pinch" sheetId="6" r:id="rId5"/>
    <sheet name="Remove" sheetId="7" r:id="rId6"/>
    <sheet name="Squeeze" sheetId="8" r:id="rId7"/>
    <sheet name="KroneckerProd" sheetId="9" r:id="rId8"/>
    <sheet name="Exclude" sheetId="10" r:id="rId9"/>
    <sheet name="Snap" sheetId="11" r:id="rId10"/>
    <sheet name="Shift" sheetId="12" r:id="rId11"/>
    <sheet name="ShiftRows" sheetId="13" r:id="rId12"/>
    <sheet name="ShiftCols" sheetId="14" r:id="rId13"/>
    <sheet name="Embed" sheetId="15" r:id="rId14"/>
    <sheet name="KeepRows" sheetId="16" r:id="rId15"/>
    <sheet name="KeepCols" sheetId="17" r:id="rId16"/>
    <sheet name="BlockMap" sheetId="18" r:id="rId17"/>
    <sheet name="Convolve" sheetId="19" r:id="rId18"/>
    <sheet name="Fold" sheetId="20" r:id="rId19"/>
    <sheet name="Join2D" sheetId="21" r:id="rId20"/>
  </sheets>
  <definedNames>
    <definedName name="Account">Join2D!$D$23:$D$27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lpha">KroneckerProd!$C$9:$D$10</definedName>
    <definedName name="Apps">ShiftRows!$G$9:$L$18</definedName>
    <definedName name="AppsB">ShiftCols!$G$10:$L$18</definedName>
    <definedName name="Athlete">DeleteCols!$N$16:$U$16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lur">Convolve!$H$24:$J$26</definedName>
    <definedName name="Board">Pinch!$C$7:$G$11</definedName>
    <definedName name="Bravo">KroneckerProd!$C$13:$D$14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harlie">KroneckerProd!$L$9:$M$10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Fold!$B$15:$D$28</definedName>
    <definedName name="ColorTotals">Fold!$E$15:$E$28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utionMatrix">Convolve!$B$10:$D$12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te">KeepRows!$B$12:$B$28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lta">KroneckerProd!$L$13:$L$16</definedName>
    <definedName name="Department">DeleteRows!$B$12:$B$24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Board">DeleteWhere!$C$8:$J$17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ail">Join2D!$B$30:$B$34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mboss">Convolve!$H$29:$J$31</definedName>
    <definedName name="EmployeeSched">DeleteRows!$M$4:$N$9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Grid">Exclude!$B$11:$D$15</definedName>
    <definedName name="ExGridB">Exclude!$J$12:$L$17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ax">Join2D!$D$37:$D$41</definedName>
    <definedName name="Flavor">Join2D!$B$13:$C$14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id">Squeeze!$B$20:$K$30</definedName>
    <definedName name="Group">DeleteCols!$C$11:$K$11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alfYear">Embed!$B$23:$G$23</definedName>
    <definedName name="HalfYearB">Embed!$J$23:$K$28</definedName>
    <definedName name="HelloWorld">Fold!$B$9:$D$11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HoursScheduled">KeepRows!$B$12:$E$28</definedName>
    <definedName name="ImageMatrix">Convolve!$B$24:$F$28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ernel">Convolve!$F$10:$G$11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Grid">Squeeze!$P$10:$U$15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jesticMeadows">Remove!$O$9:$AK$17</definedName>
    <definedName name="MatrixA">BlockMap!$B$12:$G$17</definedName>
    <definedName name="MatrixB">BlockMap!$B$30:$I$33</definedName>
    <definedName name="Medal">DeleteCols!$N$15:$U$15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Squeeze!$B$10:$E$13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">DeleteCols!$O$3:$AC$3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ame">Join2D!$B$23:$B$27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Offices">Exclude!$F$22:$H$29</definedName>
    <definedName name="OfficesB">Snap!$F$22:$H$29</definedName>
    <definedName name="Outline">Convolve!$L$24:$N$26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Board">Pinch!$M$7:$U$18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hone">Join2D!$D$30:$D$34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cords">Embed!$B$19:$C$20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">DeleteRows!$J$4:$J$9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port">KeepCols!$S$4:$AG$6</definedName>
    <definedName name="ReportMonth">KeepCols!$S$4:$AG$4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spondent">KeepRows!$M$4:$M$18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oster">DeleteCols!$C$11:$K$13</definedName>
    <definedName name="SalesData">DeleteRows!$J$4:$K$9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chedule">DeleteRows!$M$4:$M$9</definedName>
    <definedName name="Sharpen">Convolve!$L$29:$N$31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impleGrid">Remove!$B$10:$F$14</definedName>
    <definedName name="Size">Join2D!$B$17:$C$18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nGrid">Snap!$B$11:$D$15</definedName>
    <definedName name="SnGridB">Snap!$J$12:$L$17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ff">Embed!$B$11:$C$16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tudents">ShiftRows!$B$9:$D$12</definedName>
    <definedName name="StudentsB">ShiftCols!$B$9:$D$12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Supervisor">KeepCols!$C$12:$P$12</definedName>
    <definedName name="SupervisorSchedule">KeepCols!$C$11:$P$12</definedName>
    <definedName name="Supplies">DeleteRows!$B$12:$D$24</definedName>
    <definedName name="Survey">KeepRows!$L$4:$N$18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Board">DeleteWhere!$C$20:$J$32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itle">Embed!$E$11:$E$16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ictor">KroneckerProd!$C$21:$C$22</definedName>
    <definedName name="Waldo">KroneckerProd!$C$25:$C$26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eeklyData">DeleteCols!$O$3:$AC$5</definedName>
    <definedName name="Winners">DeleteCols!$N$15:$U$16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22" i="8" l="1" a="1"/>
  <c r="O22" i="8" s="1"/>
  <c r="F32" i="21" a="1"/>
  <c r="F32" i="21" s="1"/>
  <c r="F24" i="21" a="1"/>
  <c r="F24" i="21" s="1"/>
  <c r="F19" i="21" a="1"/>
  <c r="F19" i="21" s="1"/>
  <c r="F14" i="21" a="1"/>
  <c r="F14" i="21" s="1"/>
  <c r="Q16" i="20" a="1"/>
  <c r="Q16" i="20" s="1"/>
  <c r="N24" i="20" a="1"/>
  <c r="N24" i="20" s="1"/>
  <c r="L16" i="20" a="1"/>
  <c r="L16" i="20" s="1"/>
  <c r="G10" i="20" a="1"/>
  <c r="G10" i="20" s="1"/>
  <c r="G24" i="20" a="1"/>
  <c r="G24" i="20" s="1"/>
  <c r="G16" i="20" a="1"/>
  <c r="G16" i="20" s="1"/>
  <c r="N35" i="19" a="1"/>
  <c r="N35" i="19" s="1"/>
  <c r="J35" i="19" a="1"/>
  <c r="J35" i="19" s="1"/>
  <c r="F35" i="19" a="1"/>
  <c r="F35" i="19" s="1"/>
  <c r="B35" i="19" a="1"/>
  <c r="B35" i="19" s="1"/>
  <c r="J19" i="19" a="1"/>
  <c r="J19" i="19" s="1"/>
  <c r="F19" i="19" a="1"/>
  <c r="F19" i="19" s="1"/>
  <c r="B19" i="19" a="1"/>
  <c r="B19" i="19" s="1"/>
  <c r="T30" i="18" a="1"/>
  <c r="T30" i="18" s="1"/>
  <c r="K30" i="18" a="1"/>
  <c r="K30" i="18" s="1"/>
  <c r="B30" i="18" a="1"/>
  <c r="B30" i="18" s="1"/>
  <c r="AA12" i="18" a="1"/>
  <c r="AA12" i="18" s="1"/>
  <c r="T21" i="18" a="1"/>
  <c r="T21" i="18" s="1"/>
  <c r="K21" i="18" a="1"/>
  <c r="K21" i="18" s="1"/>
  <c r="T12" i="18" a="1"/>
  <c r="T12" i="18" s="1"/>
  <c r="K12" i="18" a="1"/>
  <c r="K12" i="18" s="1"/>
  <c r="B31" i="15" a="1"/>
  <c r="B31" i="15" s="1"/>
  <c r="M24" i="15" a="1"/>
  <c r="M24" i="15" s="1"/>
  <c r="B27" i="15" a="1"/>
  <c r="B27" i="15" s="1"/>
  <c r="K12" i="15" a="1"/>
  <c r="K12" i="15" s="1"/>
  <c r="G12" i="15" a="1"/>
  <c r="G12" i="15" s="1"/>
  <c r="G22" i="14" a="1"/>
  <c r="G22" i="14" s="1"/>
  <c r="B24" i="14" a="1"/>
  <c r="B24" i="14" s="1"/>
  <c r="B17" i="14" a="1"/>
  <c r="B17" i="14" s="1"/>
  <c r="G22" i="13" a="1"/>
  <c r="G22" i="13" s="1"/>
  <c r="B24" i="13" a="1"/>
  <c r="B24" i="13" s="1"/>
  <c r="B17" i="13" a="1"/>
  <c r="B17" i="13" s="1"/>
  <c r="G12" i="12" a="1"/>
  <c r="G12" i="12" s="1"/>
  <c r="L16" i="12" a="1"/>
  <c r="L16" i="12" s="1"/>
  <c r="P24" i="12" a="1"/>
  <c r="P24" i="12" s="1"/>
  <c r="B24" i="12" a="1"/>
  <c r="B24" i="12" s="1"/>
  <c r="P16" i="12" a="1"/>
  <c r="P16" i="12" s="1"/>
  <c r="B16" i="12" a="1"/>
  <c r="B16" i="12" s="1"/>
  <c r="B12" i="12" a="1"/>
  <c r="B12" i="12" s="1"/>
  <c r="J22" i="11" a="1"/>
  <c r="J22" i="11" s="1"/>
  <c r="N22" i="11" a="1"/>
  <c r="N22" i="11" s="1"/>
  <c r="N12" i="11" a="1"/>
  <c r="N12" i="11" s="1"/>
  <c r="F12" i="11" a="1"/>
  <c r="F12" i="11" s="1"/>
  <c r="N22" i="10" a="1"/>
  <c r="N22" i="10" s="1"/>
  <c r="J22" i="10" a="1"/>
  <c r="J22" i="10" s="1"/>
  <c r="N12" i="10" a="1"/>
  <c r="N12" i="10" s="1"/>
  <c r="F12" i="10" a="1"/>
  <c r="F12" i="10" s="1"/>
  <c r="O10" i="9" a="1"/>
  <c r="O10" i="9" s="1"/>
  <c r="F22" i="9" a="1"/>
  <c r="F22" i="9" s="1"/>
  <c r="F10" i="9" a="1"/>
  <c r="F10" i="9" s="1"/>
  <c r="H11" i="8" a="1"/>
  <c r="H11" i="8" s="1"/>
  <c r="W22" i="8" a="1"/>
  <c r="W22" i="8" s="1"/>
  <c r="X11" i="8" a="1"/>
  <c r="X11" i="8" s="1"/>
  <c r="V30" i="7" a="1"/>
  <c r="V30" i="7" s="1"/>
  <c r="O30" i="7" a="1"/>
  <c r="O30" i="7" s="1"/>
  <c r="O21" i="7" a="1"/>
  <c r="O21" i="7" s="1"/>
  <c r="H26" i="7" a="1"/>
  <c r="H26" i="7" s="1"/>
  <c r="H18" i="7" a="1"/>
  <c r="H18" i="7" s="1"/>
  <c r="H11" i="7" a="1"/>
  <c r="H11" i="7" s="1"/>
  <c r="W8" i="6" a="1"/>
  <c r="W8" i="6" s="1"/>
  <c r="C15" i="6" a="1"/>
  <c r="C15" i="6" s="1"/>
  <c r="C8" i="5"/>
  <c r="D8" i="5"/>
  <c r="E8" i="5"/>
  <c r="F8" i="5"/>
  <c r="G8" i="5"/>
  <c r="H8" i="5"/>
  <c r="I8" i="5"/>
  <c r="J8" i="5"/>
  <c r="C13" i="5"/>
  <c r="D13" i="5"/>
  <c r="E13" i="5"/>
  <c r="F13" i="5"/>
  <c r="G13" i="5"/>
  <c r="H13" i="5"/>
  <c r="I13" i="5"/>
  <c r="J13" i="5"/>
  <c r="D17" i="5"/>
  <c r="E17" i="5"/>
  <c r="F17" i="5"/>
  <c r="G17" i="5"/>
  <c r="H17" i="5"/>
  <c r="I17" i="5"/>
  <c r="J17" i="5"/>
  <c r="J9" i="5"/>
  <c r="J10" i="5"/>
  <c r="J11" i="5"/>
  <c r="J12" i="5"/>
  <c r="J14" i="5"/>
  <c r="J15" i="5"/>
  <c r="J16" i="5"/>
  <c r="C9" i="5"/>
  <c r="C10" i="5"/>
  <c r="C11" i="5"/>
  <c r="C12" i="5"/>
  <c r="C14" i="5"/>
  <c r="C15" i="5"/>
  <c r="C16" i="5"/>
  <c r="C17" i="5"/>
  <c r="D10" i="5"/>
  <c r="E10" i="5"/>
  <c r="F10" i="5"/>
  <c r="G10" i="5"/>
  <c r="H10" i="5"/>
  <c r="I10" i="5"/>
  <c r="E11" i="5"/>
  <c r="E12" i="5"/>
  <c r="E14" i="5"/>
  <c r="E15" i="5"/>
  <c r="E16" i="5"/>
  <c r="G11" i="5"/>
  <c r="I9" i="5"/>
  <c r="I11" i="5"/>
  <c r="I12" i="5"/>
  <c r="I14" i="5"/>
  <c r="I15" i="5"/>
  <c r="I16" i="5"/>
  <c r="E9" i="5"/>
  <c r="D16" i="5"/>
  <c r="F16" i="5"/>
  <c r="G16" i="5"/>
  <c r="H16" i="5"/>
  <c r="L21" i="5" a="1"/>
  <c r="L21" i="5" s="1"/>
  <c r="S11" i="17" a="1"/>
  <c r="S11" i="17" s="1"/>
  <c r="S17" i="17" a="1"/>
  <c r="S17" i="17" s="1"/>
  <c r="S24" i="17" a="1"/>
  <c r="S24" i="17" s="1"/>
  <c r="G24" i="12" l="1" a="1"/>
  <c r="G24" i="12" s="1"/>
  <c r="L12" i="12" a="1"/>
  <c r="L12" i="12" s="1"/>
  <c r="G16" i="12" a="1"/>
  <c r="G16" i="12" s="1"/>
  <c r="L16" i="5" a="1"/>
  <c r="L16" i="5" s="1"/>
  <c r="L8" i="5" a="1"/>
  <c r="L8" i="5" s="1"/>
  <c r="P15" i="16" a="1"/>
  <c r="P15" i="16" s="1"/>
  <c r="C24" i="17" a="1"/>
  <c r="C24" i="17" s="1"/>
  <c r="C17" i="17" a="1"/>
  <c r="C17" i="17" s="1"/>
  <c r="T4" i="16" a="1"/>
  <c r="T4" i="16" s="1"/>
  <c r="P4" i="16" a="1"/>
  <c r="P4" i="16" s="1"/>
  <c r="G13" i="16" a="1"/>
  <c r="G13" i="16" s="1"/>
  <c r="G22" i="16" a="1"/>
  <c r="G22" i="16" s="1"/>
  <c r="N25" i="4" a="1"/>
  <c r="N25" i="4" s="1"/>
  <c r="W20" i="4" a="1"/>
  <c r="W20" i="4" s="1"/>
  <c r="N20" i="4" a="1"/>
  <c r="N20" i="4" s="1"/>
  <c r="N9" i="4" a="1"/>
  <c r="N9" i="4" s="1"/>
  <c r="C30" i="4" a="1"/>
  <c r="C30" i="4" s="1"/>
  <c r="C24" i="4" a="1"/>
  <c r="C24" i="4" s="1"/>
  <c r="C17" i="4" a="1"/>
  <c r="C17" i="4" s="1"/>
  <c r="J19" i="3" a="1"/>
  <c r="J19" i="3" s="1"/>
  <c r="M18" i="3" a="1"/>
  <c r="M18" i="3" s="1"/>
  <c r="M13" i="3" a="1"/>
  <c r="M13" i="3" s="1"/>
  <c r="J13" i="3" a="1"/>
  <c r="J13" i="3" s="1"/>
  <c r="F20" i="3" a="1"/>
  <c r="F20" i="3" s="1"/>
  <c r="F12" i="3" a="1"/>
  <c r="F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<sst xmlns="http://schemas.openxmlformats.org/spreadsheetml/2006/main" count="976" uniqueCount="586">
  <si>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</si>
  <si>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</si>
  <si>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</si>
  <si>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</si>
  <si>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</si>
  <si>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Deletion</t>
  </si>
  <si>
    <t>DeleteRowsλ</t>
  </si>
  <si>
    <t>DeleteColsλ</t>
  </si>
  <si>
    <t>DeleteWhereλ</t>
  </si>
  <si>
    <t>Pinchλ</t>
  </si>
  <si>
    <t>Removeλ</t>
  </si>
  <si>
    <t>Squeezeλ</t>
  </si>
  <si>
    <t>Expansion</t>
  </si>
  <si>
    <t>KroneckerProdλ</t>
  </si>
  <si>
    <t>Filtering</t>
  </si>
  <si>
    <t>Excludeλ</t>
  </si>
  <si>
    <t>Snapλ</t>
  </si>
  <si>
    <t>Rolling</t>
  </si>
  <si>
    <t>Shiftλ</t>
  </si>
  <si>
    <t>ShiftRowsλ</t>
  </si>
  <si>
    <t>ShiftColsλ</t>
  </si>
  <si>
    <t>Selection</t>
  </si>
  <si>
    <t>Embedλ</t>
  </si>
  <si>
    <t>KeepRowsλ</t>
  </si>
  <si>
    <t>KeepColsλ</t>
  </si>
  <si>
    <t>Structural Mapping</t>
  </si>
  <si>
    <t>BlockMapλ</t>
  </si>
  <si>
    <t>Convolveλ</t>
  </si>
  <si>
    <t>Foldλ</t>
  </si>
  <si>
    <t>Join2Dλ</t>
  </si>
  <si>
    <t>Grid Algebra</t>
  </si>
  <si>
    <t>These functions support deletion, selection, filtering, rolling, expansion, and structural mapping.</t>
  </si>
  <si>
    <t>Deletes rows from a 2D array based on contiguous subgroup runs.</t>
  </si>
  <si>
    <t>Deletes columns from a 2D array based on contiguous subgroup runs.</t>
  </si>
  <si>
    <t>Removes vertical and horizontal vectors from a 2D array based on a predicate Lambda.</t>
  </si>
  <si>
    <t>Removes any full rows or columns whose cells all have LEN(cell) = 0.</t>
  </si>
  <si>
    <t>Removes specific rows and/or columns from a supplied array.</t>
  </si>
  <si>
    <t>Removes null and straight‑zero vertical or horizontal vectors from a 2D array.</t>
  </si>
  <si>
    <t>Computes the Kronecker product of two arrays.</t>
  </si>
  <si>
    <t>Filters an array (1D or 2D) by excluding any row that contains a specified criterion.</t>
  </si>
  <si>
    <t>Filters an array (1D or 2D) by selecting rows that contain at least one value from the 'include' criteria.</t>
  </si>
  <si>
    <t>Performs a circular shift on a supplied tuple (scalar, 1D array, or 2D array).</t>
  </si>
  <si>
    <t>Performs a circular horizontal shift on each row of a 2D array.</t>
  </si>
  <si>
    <t>Performs a circular vertical shift on each column of a 2D array.</t>
  </si>
  <si>
    <t>Embeds a supplied array into a 2D host array at a specified row or column index.</t>
  </si>
  <si>
    <t>Retains rows from a 2D array based on contiguous subgroup runs.</t>
  </si>
  <si>
    <t>Retains columns from a 2D array based on contiguous subgroup runs.</t>
  </si>
  <si>
    <t>Reshapes a matrix row‑wise or column‑wise into blocks of size depth × width.</t>
  </si>
  <si>
    <t>Performs a sliding‑window convolution over a 2D array using a 2D kernel.</t>
  </si>
  <si>
    <t>Reduces records in an array by grouping identical rows and applying an aggregation function to the corresponding entries in values_array.</t>
  </si>
  <si>
    <t>Joins all non‑empty values across 2 to 4 identically‑shaped 2D arrays using a specified delimiter.</t>
  </si>
  <si>
    <t>• input: array - 2D array</t>
  </si>
  <si>
    <t>• delete - scalar integer</t>
  </si>
  <si>
    <t>&gt; 0 → trim from top of each run</t>
  </si>
  <si>
    <t>&lt; 0 → trim from bottom of each run</t>
  </si>
  <si>
    <t>• at_each_change - subgroup labels (same height as array)</t>
  </si>
  <si>
    <t>Department</t>
  </si>
  <si>
    <t>Item</t>
  </si>
  <si>
    <t>Legal</t>
  </si>
  <si>
    <t>HR</t>
  </si>
  <si>
    <t>Finance</t>
  </si>
  <si>
    <t>Security</t>
  </si>
  <si>
    <t>Stapler</t>
  </si>
  <si>
    <t>Eraser</t>
  </si>
  <si>
    <t>External monitor</t>
  </si>
  <si>
    <t>Supplies</t>
  </si>
  <si>
    <t>#2 Pencil</t>
  </si>
  <si>
    <t>Sticky Tack</t>
  </si>
  <si>
    <t>Floppy Disk</t>
  </si>
  <si>
    <t>4K External Monitor</t>
  </si>
  <si>
    <t>HDMI cable</t>
  </si>
  <si>
    <t>Bluetooth headset</t>
  </si>
  <si>
    <t>Sun glasses</t>
  </si>
  <si>
    <t>Issued</t>
  </si>
  <si>
    <t>=DeleteRowsλ(Supplies,2,Department)</t>
  </si>
  <si>
    <t>=DeleteRowsλ(Supplies,-2,Department)</t>
  </si>
  <si>
    <t>Delete two rows from the bottom of each run</t>
  </si>
  <si>
    <t>DeleteRowsλ - Deletes rows from a 2D array based on contiguous subgroup runs</t>
  </si>
  <si>
    <t>Delete two rows from the top of each run</t>
  </si>
  <si>
    <t>Solar calculator</t>
  </si>
  <si>
    <t>Region</t>
  </si>
  <si>
    <t>Sales</t>
  </si>
  <si>
    <t>North</t>
  </si>
  <si>
    <t>South</t>
  </si>
  <si>
    <t>West</t>
  </si>
  <si>
    <t>Employee</t>
  </si>
  <si>
    <t>A</t>
  </si>
  <si>
    <t>Maria</t>
  </si>
  <si>
    <t>Sam</t>
  </si>
  <si>
    <t>Olivia</t>
  </si>
  <si>
    <t>Ben</t>
  </si>
  <si>
    <t>Kate</t>
  </si>
  <si>
    <t>B</t>
  </si>
  <si>
    <t>C</t>
  </si>
  <si>
    <t>SalesData</t>
  </si>
  <si>
    <t>Schedule</t>
  </si>
  <si>
    <t>EmployeeSched</t>
  </si>
  <si>
    <t>=DeleteRowsλ(SalesData,1,Region)</t>
  </si>
  <si>
    <t>Delete one row from the top of each run</t>
  </si>
  <si>
    <t>=DeleteRowsλ(EmployeeSched,2,Schedule)</t>
  </si>
  <si>
    <t>=DeleteRowsλ(EmployeeSched,-2,Schedule)</t>
  </si>
  <si>
    <t>=DeleteRowsλ(SalesData,3,Region)</t>
  </si>
  <si>
    <t>Deletion results in empty array</t>
  </si>
  <si>
    <t>DeleteColsλ - Deletes columns from a 2D array based on contiguous subgroup runs</t>
  </si>
  <si>
    <t>&gt; 0 → trim from left of each run</t>
  </si>
  <si>
    <t>&lt; 0 → trim from right of each run</t>
  </si>
  <si>
    <t>• at_each_change - subgroup labels (same width as array)</t>
  </si>
  <si>
    <t>Jim</t>
  </si>
  <si>
    <t>Bob</t>
  </si>
  <si>
    <t>Deb</t>
  </si>
  <si>
    <t>Sue</t>
  </si>
  <si>
    <t>Peg</t>
  </si>
  <si>
    <t>Gus</t>
  </si>
  <si>
    <t>Bev</t>
  </si>
  <si>
    <t>Ned</t>
  </si>
  <si>
    <t>Ted</t>
  </si>
  <si>
    <t>Group</t>
  </si>
  <si>
    <t>Consultant</t>
  </si>
  <si>
    <t>Manager</t>
  </si>
  <si>
    <t>Lisa</t>
  </si>
  <si>
    <t>Ron</t>
  </si>
  <si>
    <t>Juan</t>
  </si>
  <si>
    <t>Roster</t>
  </si>
  <si>
    <t>=DeleteColsλ(Roster,1,Group)</t>
  </si>
  <si>
    <t>Delete one column from the left of each run</t>
  </si>
  <si>
    <t>Delete one column from the right of each run</t>
  </si>
  <si>
    <t>=DeleteColsλ(Roster,-1,Group)</t>
  </si>
  <si>
    <t>=DeleteColsλ(Roster,2,Group)</t>
  </si>
  <si>
    <t>Delete two columns from the left of each run</t>
  </si>
  <si>
    <t>Month</t>
  </si>
  <si>
    <t>Total</t>
  </si>
  <si>
    <t>Name</t>
  </si>
  <si>
    <t>Jan</t>
  </si>
  <si>
    <t>Week</t>
  </si>
  <si>
    <t>Jun</t>
  </si>
  <si>
    <t>Jul</t>
  </si>
  <si>
    <t>Aug</t>
  </si>
  <si>
    <t>WeeklyData</t>
  </si>
  <si>
    <t>=DeleteColsλ(WeeklyData,-1,Month)</t>
  </si>
  <si>
    <t>Delete one column from the right of each run (Subtotals are deleted)</t>
  </si>
  <si>
    <t>Gold</t>
  </si>
  <si>
    <t>Silver</t>
  </si>
  <si>
    <t>Bronze</t>
  </si>
  <si>
    <t>Phelps</t>
  </si>
  <si>
    <t>Lewis</t>
  </si>
  <si>
    <t>Dunbar</t>
  </si>
  <si>
    <t>Reid</t>
  </si>
  <si>
    <t>Jones</t>
  </si>
  <si>
    <t>Quinn</t>
  </si>
  <si>
    <t>Winners</t>
  </si>
  <si>
    <t>=DeleteColsλ(Winners,-1,Medal)</t>
  </si>
  <si>
    <t>=DeleteColsλ(Winners,3,Medal)</t>
  </si>
  <si>
    <t>=DeleteColsλ(Winners,-1,Athlete)</t>
  </si>
  <si>
    <t>• keep - scalar integer:</t>
  </si>
  <si>
    <t>&gt; 0 → keep from top of each run</t>
  </si>
  <si>
    <t>&lt; 0 → keep from bottom of each run</t>
  </si>
  <si>
    <t>KeepColsλ - Retains columns from a 2D array based on contiguous subgroup runs</t>
  </si>
  <si>
    <t>• at_each_change - Subgroup labels (same width as array)</t>
  </si>
  <si>
    <t>• at_each_change - Subgroup labels (same height as array)</t>
  </si>
  <si>
    <t>KeepRowsλ - Retains rows from a 2D array based on contiguous subgroup runs</t>
  </si>
  <si>
    <t>&gt; 0 → keep from left of each run</t>
  </si>
  <si>
    <t>&lt; 0 → keep from right of each run</t>
  </si>
  <si>
    <t>Date</t>
  </si>
  <si>
    <t>Hours</t>
  </si>
  <si>
    <t>TOTAL</t>
  </si>
  <si>
    <t>Fred</t>
  </si>
  <si>
    <t>Jed</t>
  </si>
  <si>
    <t>HoursScheduled</t>
  </si>
  <si>
    <t>=KeepRowsλ(HoursScheduled,-1,Date)</t>
  </si>
  <si>
    <t>Keep one row from bottom of each run</t>
  </si>
  <si>
    <t>Keep one row from top of each run</t>
  </si>
  <si>
    <t>Role</t>
  </si>
  <si>
    <t>Jose</t>
  </si>
  <si>
    <t>&gt;&gt;&gt;&gt;&gt;&gt;&gt;&gt;&gt;&gt;</t>
  </si>
  <si>
    <t>Worker</t>
  </si>
  <si>
    <t>Survey</t>
  </si>
  <si>
    <t xml:space="preserve">Respondent </t>
  </si>
  <si>
    <t>Response #</t>
  </si>
  <si>
    <t>Favorite Movie</t>
  </si>
  <si>
    <t>Art</t>
  </si>
  <si>
    <t>Joe</t>
  </si>
  <si>
    <t>Mike</t>
  </si>
  <si>
    <t>Hank</t>
  </si>
  <si>
    <t>Wes</t>
  </si>
  <si>
    <t>Ruth</t>
  </si>
  <si>
    <t>Pam</t>
  </si>
  <si>
    <t>The Godfather</t>
  </si>
  <si>
    <t>The Godfather Part II</t>
  </si>
  <si>
    <t>Network</t>
  </si>
  <si>
    <t>Citizen Kane</t>
  </si>
  <si>
    <t>Rear Window</t>
  </si>
  <si>
    <t>Billy Madison</t>
  </si>
  <si>
    <t>Jaws</t>
  </si>
  <si>
    <t>Major League</t>
  </si>
  <si>
    <t>Thief</t>
  </si>
  <si>
    <t>Uncut Gems</t>
  </si>
  <si>
    <t>The Rules of the Game</t>
  </si>
  <si>
    <t>The Bicycle Thieves</t>
  </si>
  <si>
    <t>=KeepRowsλ(Survey,1,Respondent)</t>
  </si>
  <si>
    <t>=KeepRowsλ(Survey,-1,Respondent)</t>
  </si>
  <si>
    <t>Keep the last survey response</t>
  </si>
  <si>
    <t>Major Payne</t>
  </si>
  <si>
    <t>The Wages of Fear</t>
  </si>
  <si>
    <t>Shift Lead</t>
  </si>
  <si>
    <t>East</t>
  </si>
  <si>
    <t>Supervisor</t>
  </si>
  <si>
    <t>AK</t>
  </si>
  <si>
    <t>HD</t>
  </si>
  <si>
    <t>WS</t>
  </si>
  <si>
    <t>=KeepColsλ(SupervisorSchedule,1,Supervisor)</t>
  </si>
  <si>
    <t>Keep the first date for each supervisor block</t>
  </si>
  <si>
    <t>Keep the last date for each supervisor block</t>
  </si>
  <si>
    <t>=KeepColsλ(SupervisorSchedule,-1,Supervisor)</t>
  </si>
  <si>
    <t>LZ</t>
  </si>
  <si>
    <t>=KeepRowsλ(Survey,3,Respondent)</t>
  </si>
  <si>
    <t>when 'keep' exceeds count of run</t>
  </si>
  <si>
    <t>KeepRowsλ will retain all it can</t>
  </si>
  <si>
    <t>SupervisorSchedule</t>
  </si>
  <si>
    <t>DB</t>
  </si>
  <si>
    <t>Feb</t>
  </si>
  <si>
    <t>Mar</t>
  </si>
  <si>
    <t>Apr</t>
  </si>
  <si>
    <t>May</t>
  </si>
  <si>
    <t>Cost</t>
  </si>
  <si>
    <t>Profit</t>
  </si>
  <si>
    <t>Report</t>
  </si>
  <si>
    <t>=KeepColsλ(Report,5,ReportMonth)</t>
  </si>
  <si>
    <t>Keep the profit for each month</t>
  </si>
  <si>
    <t>=KeepColsλ(Report,-1,ReportMonth)</t>
  </si>
  <si>
    <t>Keep the sales and cost for each month</t>
  </si>
  <si>
    <t>=KeepColsλ(Report,2,ReportMonth)</t>
  </si>
  <si>
    <t>COGS</t>
  </si>
  <si>
    <t>Net</t>
  </si>
  <si>
    <t>Revenue</t>
  </si>
  <si>
    <t>Subtotal</t>
  </si>
  <si>
    <t>Lead</t>
  </si>
  <si>
    <t>DeleteWhereλ - Removes vertical and horizontal vectors from a 2D array based on a predicate Lambda</t>
  </si>
  <si>
    <t>• input: array - 1D or 2D array</t>
  </si>
  <si>
    <t>• function - Lambda applied to each row and column vector</t>
  </si>
  <si>
    <t>Board</t>
  </si>
  <si>
    <t>TBoard</t>
  </si>
  <si>
    <t>=DeleteWhereλ(TBoard,LAMBDA(v,AND(v)))</t>
  </si>
  <si>
    <t>Delete any row or column where every cell is 1</t>
  </si>
  <si>
    <t>OUT</t>
  </si>
  <si>
    <t>EBoard</t>
  </si>
  <si>
    <t>=DeleteWhereλ(EBoard,LAMBDA(v,AND(ISNA(v))))</t>
  </si>
  <si>
    <t>=DeleteWhereλ(EBoard,LAMBDA(v,OR(ISNA(v))))</t>
  </si>
  <si>
    <t>Error returned when deletion would consume input</t>
  </si>
  <si>
    <t>Pinchλ - Removes any full rows or columns whose cells all have LEN(cell) = 0</t>
  </si>
  <si>
    <t>• input: array - 1D or 2D array from which empty rows and columns are removed</t>
  </si>
  <si>
    <t>=Pinchλ(Board)</t>
  </si>
  <si>
    <t>Remove all full empty row/columns</t>
  </si>
  <si>
    <t>Sep</t>
  </si>
  <si>
    <t>Oct</t>
  </si>
  <si>
    <t>Nov</t>
  </si>
  <si>
    <t>Dec</t>
  </si>
  <si>
    <t>=Pinchλ(PBoard)</t>
  </si>
  <si>
    <t>PBoard</t>
  </si>
  <si>
    <t>Removeλ - Removes specific rows and/or columns from a supplied array</t>
  </si>
  <si>
    <t>• input: array - required array from which rows and/or column</t>
  </si>
  <si>
    <t>Optional</t>
  </si>
  <si>
    <t>• rows - row index or array of indices to remove</t>
  </si>
  <si>
    <t>• cols - column index or array of column indices to remove</t>
  </si>
  <si>
    <t>SimpleGrid</t>
  </si>
  <si>
    <t>=Removeλ(SimpleGrid,3)</t>
  </si>
  <si>
    <t>Remove row 3</t>
  </si>
  <si>
    <t>Remove column 3</t>
  </si>
  <si>
    <t>Remove row 3 and column 3</t>
  </si>
  <si>
    <t>=Removeλ(SimpleGrid,,3)</t>
  </si>
  <si>
    <t>=Removeλ(SimpleGrid,3,3)</t>
  </si>
  <si>
    <t>Hole</t>
  </si>
  <si>
    <t>IN</t>
  </si>
  <si>
    <t>TOT</t>
  </si>
  <si>
    <t>PAR</t>
  </si>
  <si>
    <t>YDS</t>
  </si>
  <si>
    <t>+3</t>
  </si>
  <si>
    <t>FIN</t>
  </si>
  <si>
    <t>+7</t>
  </si>
  <si>
    <t>+19</t>
  </si>
  <si>
    <t>Course par: 73</t>
  </si>
  <si>
    <t>MajesticMeadows</t>
  </si>
  <si>
    <t>=Removeλ(MajesticMeadows,{3,4,9},{11,21,22})</t>
  </si>
  <si>
    <t>Remove rows 3, 4, and 9. Remove columns 11, 21, and 22</t>
  </si>
  <si>
    <t>M. Green</t>
  </si>
  <si>
    <t>J. Fairway</t>
  </si>
  <si>
    <t>L. Tee</t>
  </si>
  <si>
    <t>S. Trapp</t>
  </si>
  <si>
    <t>=Removeλ(MajesticMeadows,12,10)</t>
  </si>
  <si>
    <t>=Removeλ(MajesticMeadows,4,25)</t>
  </si>
  <si>
    <t>Squeezeλ - Removes null and straight‑zero vertical or horizontal vectors from a 2D array</t>
  </si>
  <si>
    <t>• input: array - 1D or 2D array from which rows/columns are removed</t>
  </si>
  <si>
    <t>• custom_criteria - scalar used as removal criterion</t>
  </si>
  <si>
    <t>• suppress_zeros - if TRUE, zeros in the final result are replaced with ""</t>
  </si>
  <si>
    <t>Grid</t>
  </si>
  <si>
    <t>=Squeezeλ(Grid)</t>
  </si>
  <si>
    <t>LGrid</t>
  </si>
  <si>
    <t>=Squeezeλ(LGrid,"A")</t>
  </si>
  <si>
    <t>Squeeze by custom criteria - "A"</t>
  </si>
  <si>
    <t>Squeez null and zero vectors</t>
  </si>
  <si>
    <t>=Squeezeλ(Grid,,TRUE)</t>
  </si>
  <si>
    <t>Squeez null and zero vectors - suppress zeros</t>
  </si>
  <si>
    <t>MiniGrid</t>
  </si>
  <si>
    <t>=Squeezeλ(MiniGrid)</t>
  </si>
  <si>
    <t>Squeeze null and zero vectors</t>
  </si>
  <si>
    <t>KroneckerProdλ - Computes the Kronecker product of two arrays</t>
  </si>
  <si>
    <t>• array 1</t>
  </si>
  <si>
    <t>• array 2</t>
  </si>
  <si>
    <t>inputs (1D or 2D arrays, scalars also accepted)</t>
  </si>
  <si>
    <t>Alpha</t>
  </si>
  <si>
    <t>Bravo</t>
  </si>
  <si>
    <t>=KroneckerProdλ(Alpha,Bravo)</t>
  </si>
  <si>
    <t>Kronecker product - Alpha x Bravo</t>
  </si>
  <si>
    <t>Victor</t>
  </si>
  <si>
    <t>Waldo</t>
  </si>
  <si>
    <t>=KroneckerProdλ(Victor,Waldo)</t>
  </si>
  <si>
    <t>Tensor product - Victor x Waldo</t>
  </si>
  <si>
    <t>Charlie</t>
  </si>
  <si>
    <t>Delta</t>
  </si>
  <si>
    <t>=KroneckerProdλ(Charlie,Delta)</t>
  </si>
  <si>
    <t>Product vectorization - Charlie x Delta</t>
  </si>
  <si>
    <t>Excludeλ - Filters an array (1D or 2D) by excluding any row that contains a specified criterion</t>
  </si>
  <si>
    <t>• input: array - 1D or 2D array to filter</t>
  </si>
  <si>
    <t>• exclude - scalar or 1D array of values to exclude</t>
  </si>
  <si>
    <t>• if_empty - fallback value for when no rows remain (default = 0)</t>
  </si>
  <si>
    <t>Exclude any rows containing 50</t>
  </si>
  <si>
    <t>=Excludeλ(ExGrid,50)</t>
  </si>
  <si>
    <t>ExGrid</t>
  </si>
  <si>
    <t>Security Level</t>
  </si>
  <si>
    <t>Unknown</t>
  </si>
  <si>
    <t>Ann</t>
  </si>
  <si>
    <t>Willy</t>
  </si>
  <si>
    <t>Jerry</t>
  </si>
  <si>
    <t>Rosaline</t>
  </si>
  <si>
    <t>Vincent</t>
  </si>
  <si>
    <t>ExGridB</t>
  </si>
  <si>
    <t>Marketing</t>
  </si>
  <si>
    <t>=Excludeλ(ExGridB,"Unknown")</t>
  </si>
  <si>
    <t>Exclude any rows with "Unknown"</t>
  </si>
  <si>
    <t>Division</t>
  </si>
  <si>
    <t>Location</t>
  </si>
  <si>
    <t>Boston</t>
  </si>
  <si>
    <t>Pasadena</t>
  </si>
  <si>
    <t>Malibu</t>
  </si>
  <si>
    <t>Hartford</t>
  </si>
  <si>
    <t>Montpelier</t>
  </si>
  <si>
    <t>Offices</t>
  </si>
  <si>
    <t>=Excludeλ(Offices,{"North","Malibu"})</t>
  </si>
  <si>
    <t>Exclude rows with North or Malibu</t>
  </si>
  <si>
    <t>Type</t>
  </si>
  <si>
    <t>Satellite</t>
  </si>
  <si>
    <t>Home</t>
  </si>
  <si>
    <t>Phoenix</t>
  </si>
  <si>
    <t>Tucson</t>
  </si>
  <si>
    <t>Portland</t>
  </si>
  <si>
    <t>=Excludeλ(Offices,{"Home","Satellite"})</t>
  </si>
  <si>
    <t>Fallback when no rows remain</t>
  </si>
  <si>
    <t>Snapλ - Filters an array (1D or 2D) by selecting rows that contain at least one value from the 'include' criteria</t>
  </si>
  <si>
    <t>Snap any rows containing 50</t>
  </si>
  <si>
    <t>OfficesB</t>
  </si>
  <si>
    <t>Snap any rows with "Unknown"</t>
  </si>
  <si>
    <t>Snap rows with North or Malibu</t>
  </si>
  <si>
    <t>SnGrid</t>
  </si>
  <si>
    <t>SnGridB</t>
  </si>
  <si>
    <t>=Snapλ(SnGrid,50)</t>
  </si>
  <si>
    <t>=Snapλ(OfficesB,"Plano")</t>
  </si>
  <si>
    <t>Excludeλ is a simplified "filter false" version of FILTER (Boolean vector not required)</t>
  </si>
  <si>
    <t>Snapλ is a simplified version of FILTER (Boolean vector not required)</t>
  </si>
  <si>
    <t>=Snapλ(OfficesB,{"North","Malibu"})</t>
  </si>
  <si>
    <t>• input: tuple - scalar, 1D, or 2D array</t>
  </si>
  <si>
    <t>• shift_by - shift count (default = 1)</t>
  </si>
  <si>
    <t>Positive → left shift</t>
  </si>
  <si>
    <t>Negative → right shift</t>
  </si>
  <si>
    <t>Multi‑shift arrays produce a matrix of shifted tuples</t>
  </si>
  <si>
    <t>Input array</t>
  </si>
  <si>
    <t>Shift left by 1</t>
  </si>
  <si>
    <t>Shift right by 1</t>
  </si>
  <si>
    <t>Shift up by 1</t>
  </si>
  <si>
    <t>Shift down by 1</t>
  </si>
  <si>
    <t>Shift down by 1 (scalar input)</t>
  </si>
  <si>
    <t>=Shiftλ(1234,-1)</t>
  </si>
  <si>
    <t>Multi-Shift</t>
  </si>
  <si>
    <t>Shiftλ - Performs a circular shift on a supplied tuple</t>
  </si>
  <si>
    <t>=Shiftλ(123456,{1,2,3})</t>
  </si>
  <si>
    <t>B12#</t>
  </si>
  <si>
    <t>=Shiftλ(B12#,1)</t>
  </si>
  <si>
    <t>=Shiftλ(B12#,-1)</t>
  </si>
  <si>
    <t>B16#</t>
  </si>
  <si>
    <t>=Shiftλ(B16#,1)</t>
  </si>
  <si>
    <t>B24#</t>
  </si>
  <si>
    <t>=Shiftλ(B24#,SEQUENCE(5))</t>
  </si>
  <si>
    <t>=Shiftλ(B16#,-2)</t>
  </si>
  <si>
    <t>Shift down by 2</t>
  </si>
  <si>
    <t>• input: matrix - 2D array</t>
  </si>
  <si>
    <t>Math</t>
  </si>
  <si>
    <t>Physics</t>
  </si>
  <si>
    <t>History</t>
  </si>
  <si>
    <t>Chemistry</t>
  </si>
  <si>
    <t>Students</t>
  </si>
  <si>
    <t>=ShiftRowsλ(Students,1)</t>
  </si>
  <si>
    <t>=ShiftRowsλ(Students,-1)</t>
  </si>
  <si>
    <t>ShiftRowsλ - Performs a circular horizontal shift on each row of a 2D array</t>
  </si>
  <si>
    <t>Version</t>
  </si>
  <si>
    <t>Netscape Navigator</t>
  </si>
  <si>
    <t>Windows XP</t>
  </si>
  <si>
    <t>Adobe Flash Player</t>
  </si>
  <si>
    <t>Free</t>
  </si>
  <si>
    <t>Winamp</t>
  </si>
  <si>
    <t>Lotus Notes</t>
  </si>
  <si>
    <t>RealPlayer</t>
  </si>
  <si>
    <t>Yahoo Messenger</t>
  </si>
  <si>
    <t>Symantec Norton Ghost</t>
  </si>
  <si>
    <t>End of Life</t>
  </si>
  <si>
    <t>Internet Explorer</t>
  </si>
  <si>
    <t>Modern Option</t>
  </si>
  <si>
    <t>Older Option</t>
  </si>
  <si>
    <t>QuantumWave Browser</t>
  </si>
  <si>
    <t>NeoOS 12</t>
  </si>
  <si>
    <t>FlashX Pro</t>
  </si>
  <si>
    <t>SoundStream</t>
  </si>
  <si>
    <t>NoteSphere</t>
  </si>
  <si>
    <t>StreamMaster</t>
  </si>
  <si>
    <t>ChatPulse</t>
  </si>
  <si>
    <t>Apps</t>
  </si>
  <si>
    <t>=ShiftRowsλ(Apps,-2)</t>
  </si>
  <si>
    <t>Shift right by 2</t>
  </si>
  <si>
    <t>WebTV Revive</t>
  </si>
  <si>
    <t>PhantomGuard+</t>
  </si>
  <si>
    <t>StudentsB</t>
  </si>
  <si>
    <t>AppsB</t>
  </si>
  <si>
    <t>ShiftColsλ - Performs a circular vertical shift on each column of a 2D array</t>
  </si>
  <si>
    <t>Positive → shift up</t>
  </si>
  <si>
    <t>Negative → shift down</t>
  </si>
  <si>
    <t>=ShiftColsλ(StudentsB,1)</t>
  </si>
  <si>
    <t>=ShiftColsλ(StudentsB,-1)</t>
  </si>
  <si>
    <t>=ShiftColsλ(AppsB,-2)</t>
  </si>
  <si>
    <t>Embedλ - Embeds a supplied array into a 2D host array at a specified row or column index</t>
  </si>
  <si>
    <t>• input: array - required 1D or 2D host array</t>
  </si>
  <si>
    <t>• embed_array - array to embed within the host array</t>
  </si>
  <si>
    <t>Suzy</t>
  </si>
  <si>
    <t>Phil</t>
  </si>
  <si>
    <t>Staff</t>
  </si>
  <si>
    <t>Title</t>
  </si>
  <si>
    <t>Sr. Officer</t>
  </si>
  <si>
    <t>Sr. Consultant</t>
  </si>
  <si>
    <t>Advisor</t>
  </si>
  <si>
    <t>=Embedλ(Staff,Title,,2)</t>
  </si>
  <si>
    <t>Embed Title in Column 2</t>
  </si>
  <si>
    <t>• row_index - row position for insertion.</t>
  </si>
  <si>
    <t>If both are supplied, row_index takes precedence</t>
  </si>
  <si>
    <t>• col_index - col position for insertion.</t>
  </si>
  <si>
    <t>Harry</t>
  </si>
  <si>
    <t>Records</t>
  </si>
  <si>
    <t>Embed Records starting in Row 3</t>
  </si>
  <si>
    <t>=Embedλ(Staff,Records,3)</t>
  </si>
  <si>
    <t>June</t>
  </si>
  <si>
    <t>HalfYear</t>
  </si>
  <si>
    <t>=Embedλ(HalfYear,"Q1 Total",,4)</t>
  </si>
  <si>
    <t>Embed "Q1 Total" in Column 4</t>
  </si>
  <si>
    <t>=Embedλ(HalfYearB,"",4)</t>
  </si>
  <si>
    <t>HalfYearB</t>
  </si>
  <si>
    <t xml:space="preserve">Embed a blank row starting at row </t>
  </si>
  <si>
    <t>"" is expand to fill the width of HalfYearB</t>
  </si>
  <si>
    <t>=Embedλ(HalfYear,"Q1 Total",,7)</t>
  </si>
  <si>
    <t>Error when row/col index is out of bounds</t>
  </si>
  <si>
    <t>BlockMapλ - Reshapes a matrix row‑wise or column‑wise into blocks of size depth × width</t>
  </si>
  <si>
    <t>• input: matrix</t>
  </si>
  <si>
    <t>• depth: height of each block</t>
  </si>
  <si>
    <t>• width: width of each block</t>
  </si>
  <si>
    <t>• transpose_anchors? - If TRUE, transpose row/column anchor grids</t>
  </si>
  <si>
    <t>• re_shape_by_column? - If TRUE, re-shape column-wise; else row_wise</t>
  </si>
  <si>
    <t>Re-shape row-wise</t>
  </si>
  <si>
    <t>Re-shape column-wise</t>
  </si>
  <si>
    <t>Depth x Width not compatible with shape of input</t>
  </si>
  <si>
    <t>MatrixA</t>
  </si>
  <si>
    <t>=BlockMapλ(MatrixA,2,3)</t>
  </si>
  <si>
    <t>=BlockMapλ(MatrixA,2,3,TRUE)</t>
  </si>
  <si>
    <t>BlockMapλ(MatrixA,2,4,TRUE)</t>
  </si>
  <si>
    <t>=BlockMapλ(MatrixA,2,3,,TRUE)</t>
  </si>
  <si>
    <t>=BlockMapλ(MatrixA,2,3,TRUE,TRUE)</t>
  </si>
  <si>
    <t>MatrixB</t>
  </si>
  <si>
    <t>=BlockMapλ(MatrixB,2,4)</t>
  </si>
  <si>
    <t>=BlockMapλ(MatrixB,2,4,TRUE)</t>
  </si>
  <si>
    <t>Convolveλ - Performs a sliding‑window convolution over a 2D array using a 2D kernel</t>
  </si>
  <si>
    <t>• input: array - 2D array to which kernel is applied</t>
  </si>
  <si>
    <t>• kernel - 2D array defining the sliding window dimensions</t>
  </si>
  <si>
    <t>• function - reducer LAMBDA accepting single array argument (Defaults to SUM(v * kernel)</t>
  </si>
  <si>
    <t>Kernel</t>
  </si>
  <si>
    <t>ConvolutionMatrix</t>
  </si>
  <si>
    <t>=Convolveλ(ConvulationMatrix,Kernel)</t>
  </si>
  <si>
    <t>=Convolveλ(ConvolutionMatrix,Kernel,MAX)</t>
  </si>
  <si>
    <t>=Convolveλ(ConvolutionMatrix,Kernel,SUM)</t>
  </si>
  <si>
    <t>Sum of 2 x 2 windows</t>
  </si>
  <si>
    <t>Max value of 2 x 2 windows</t>
  </si>
  <si>
    <t>Dot product of 2 x 2 windows</t>
  </si>
  <si>
    <t>Window 1</t>
  </si>
  <si>
    <t>Window 2</t>
  </si>
  <si>
    <t>Window 3</t>
  </si>
  <si>
    <t>Window 4</t>
  </si>
  <si>
    <t>Illustration of the 2 x 2 windowing</t>
  </si>
  <si>
    <t>ImageMatrix</t>
  </si>
  <si>
    <t>Blur</t>
  </si>
  <si>
    <t>Outline</t>
  </si>
  <si>
    <t>Emboss</t>
  </si>
  <si>
    <t>Sharpen</t>
  </si>
  <si>
    <t>=Convolveλ(ImageMatrix,Blur)</t>
  </si>
  <si>
    <t>=Convolveλ(ImageMatrix,Outline)</t>
  </si>
  <si>
    <t>=Convolveλ(ImageMatrix,Emboss)</t>
  </si>
  <si>
    <t>=Convolveλ(ImageMatrix,Sharpen)</t>
  </si>
  <si>
    <t>Apply filters to ImageMatrix</t>
  </si>
  <si>
    <t>Image Kernels</t>
  </si>
  <si>
    <t>Foldλ - Reduces records in an array by grouping identical rows and applying an aggregation function to the corresponding entries in values_array</t>
  </si>
  <si>
    <t>• input: array - 1D or 2D array whose rows define grouping keys</t>
  </si>
  <si>
    <t>• values_array - 1D or 2D array of values to aggregate</t>
  </si>
  <si>
    <t>• function - Reducer LAMBDA accepting a 1D vector (Default = COUNTA)</t>
  </si>
  <si>
    <t>Red</t>
  </si>
  <si>
    <t>Blue</t>
  </si>
  <si>
    <t>Green</t>
  </si>
  <si>
    <t>Colors</t>
  </si>
  <si>
    <t>=Foldλ(Colors)</t>
  </si>
  <si>
    <t>ColorTotals</t>
  </si>
  <si>
    <t>=Foldλ(Colors,ColorTotals,SUM)</t>
  </si>
  <si>
    <t>White</t>
  </si>
  <si>
    <t>Yellow</t>
  </si>
  <si>
    <t>Purple</t>
  </si>
  <si>
    <t>Orange</t>
  </si>
  <si>
    <t>Hello</t>
  </si>
  <si>
    <t>World</t>
  </si>
  <si>
    <t>Example</t>
  </si>
  <si>
    <t>HelloWorld</t>
  </si>
  <si>
    <t>=Foldλ(HelloWorld)</t>
  </si>
  <si>
    <t>Fold HelloWorld (values_array omitted, no function provided = COUNTA)</t>
  </si>
  <si>
    <t>=Foldλ(Colors,ColorTotals,AVERAGE)</t>
  </si>
  <si>
    <t>=Foldλ(Colors,ColorTotals,LAMBDA(v,MAX(v)-MIN(v)))</t>
  </si>
  <si>
    <t>COUNTA</t>
  </si>
  <si>
    <t>SUM</t>
  </si>
  <si>
    <t>AVERAGE</t>
  </si>
  <si>
    <t>LAMBDA(v,MAX(v)-MIN(v))</t>
  </si>
  <si>
    <t>=Foldλ(Colors,ColorTotals,MAX)</t>
  </si>
  <si>
    <t>MAX</t>
  </si>
  <si>
    <t>Join2Dλ - Joins all non‑empty values across 2 to 4 identically‑shaped 2D arrays using a specified delimiter</t>
  </si>
  <si>
    <t>Required</t>
  </si>
  <si>
    <t>• array_1 - 2D array</t>
  </si>
  <si>
    <t>• array_2 - 2D array</t>
  </si>
  <si>
    <t>• array_3 - 2D array</t>
  </si>
  <si>
    <t>• array_4 - 2D array</t>
  </si>
  <si>
    <t>• delimiter - Delimiter for joining (default = ", ")</t>
  </si>
  <si>
    <t>• ignore - value treated as empty (default = "")</t>
  </si>
  <si>
    <t>Flavor</t>
  </si>
  <si>
    <t>Size</t>
  </si>
  <si>
    <t>Vanilla</t>
  </si>
  <si>
    <t>Strawberry</t>
  </si>
  <si>
    <t>Chocolate</t>
  </si>
  <si>
    <t>Large</t>
  </si>
  <si>
    <t>Medium</t>
  </si>
  <si>
    <t>Extra Large</t>
  </si>
  <si>
    <t>=Join2Dλ(Flavor,Size)</t>
  </si>
  <si>
    <t>Join Flavor and Size (Default delimiter)</t>
  </si>
  <si>
    <t>=Join2Dλ(Flavor,Size,,,"; ")</t>
  </si>
  <si>
    <t>Join Flavor and Size (Semi-colon)</t>
  </si>
  <si>
    <t>Bob Smith</t>
  </si>
  <si>
    <t>Vaugh Dunbar</t>
  </si>
  <si>
    <t>Rita Yang</t>
  </si>
  <si>
    <t>Julian Richards</t>
  </si>
  <si>
    <t>Kel Varnson</t>
  </si>
  <si>
    <t>Exchange</t>
  </si>
  <si>
    <t>ryang@foo.com</t>
  </si>
  <si>
    <t>kvarn@foo.com</t>
  </si>
  <si>
    <t>Account</t>
  </si>
  <si>
    <t>Email</t>
  </si>
  <si>
    <t>Phone</t>
  </si>
  <si>
    <t>555-555-5500</t>
  </si>
  <si>
    <t>555-531-3210</t>
  </si>
  <si>
    <t>555-987-7845</t>
  </si>
  <si>
    <t>=Join2Dλ(Name,Account,Email,Phone,"; ","Exchange")</t>
  </si>
  <si>
    <t>Join Name, Account, Email, and Phone (Semi-colon delimiter, ignore "Exchange")</t>
  </si>
  <si>
    <t>x 555</t>
  </si>
  <si>
    <t>Fax</t>
  </si>
  <si>
    <t>None</t>
  </si>
  <si>
    <t>=Join2Dλ(Name,Phone,Fax,Email,,"None")</t>
  </si>
  <si>
    <t>Join Name, Phone, Fax, and Email (Ignore "None")</t>
  </si>
  <si>
    <t>KeepColsλ will retain all it can when 'keep' exceeds count of run (Entire input array Report is returned)</t>
  </si>
  <si>
    <t>Keep the first survey response</t>
  </si>
  <si>
    <t>Same as above with transposed anchors</t>
  </si>
  <si>
    <t>Delete rows/columns consisting entirely of #N/A</t>
  </si>
  <si>
    <t>Errors returned when row/col is out of bounds</t>
  </si>
  <si>
    <t>=Snapλ(SnGridB,"Unknown")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</si>
</sst>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$&quot;#,##0.00_);[Red]\(&quot;$&quot;#,##0.00\)"/>
    <numFmt numFmtId="164" formatCode="m/d;@"/>
    <numFmt numFmtId="165" formatCode="m\-d"/>
  </numFmts>
  <fonts count="12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Bahnschrift"/>
      <family val="2"/>
    </font>
    <font>
      <i/>
      <sz val="11"/>
      <color theme="1"/>
      <name val="Segoe UI Variable Display"/>
    </font>
    <font>
      <sz val="10"/>
      <color theme="1"/>
      <name val="Segoe UI Variable Display"/>
    </font>
    <font>
      <b/>
      <sz val="10"/>
      <color theme="1"/>
      <name val="Segoe UI Variable Display"/>
    </font>
    <font>
      <i/>
      <sz val="10"/>
      <color theme="1"/>
      <name val="Segoe UI Variable Display"/>
    </font>
    <font>
      <u/>
      <sz val="11"/>
      <color theme="1"/>
      <name val="Bahnschrift"/>
      <family val="2"/>
    </font>
    <font>
      <b/>
      <sz val="10"/>
      <color theme="1"/>
      <name val="segoe ui"/>
      <family val="2"/>
    </font>
    <font>
      <i/>
      <sz val="10"/>
      <color theme="1"/>
      <name val="segoe ui"/>
      <family val="2"/>
    </font>
  </fonts>
  <fills count="26">
    <fill>
      <patternFill patternType="none"/>
    </fill>
    <fill>
      <patternFill patternType="gray125"/>
    </fill>
    <fill>
      <patternFill patternType="solid">
        <fgColor rgb="FFA7D8D0"/>
        <bgColor indexed="64"/>
      </patternFill>
    </fill>
    <fill>
      <patternFill patternType="solid">
        <fgColor rgb="FFB7C9D6"/>
        <bgColor indexed="64"/>
      </patternFill>
    </fill>
    <fill>
      <patternFill patternType="solid">
        <fgColor rgb="FFC7E6C2"/>
        <bgColor indexed="64"/>
      </patternFill>
    </fill>
    <fill>
      <patternFill patternType="solid">
        <fgColor rgb="FFF6C6C6"/>
        <bgColor indexed="64"/>
      </patternFill>
    </fill>
    <fill>
      <patternFill patternType="solid">
        <fgColor rgb="FFDBD0F0"/>
        <bgColor indexed="64"/>
      </patternFill>
    </fill>
    <fill>
      <patternFill patternType="solid">
        <fgColor rgb="FFF2D5A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9B5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DE9E4"/>
        <bgColor indexed="64"/>
      </patternFill>
    </fill>
    <fill>
      <patternFill patternType="solid">
        <fgColor rgb="FFC9D7E1"/>
        <bgColor indexed="64"/>
      </patternFill>
    </fill>
    <fill>
      <patternFill patternType="solid">
        <fgColor rgb="FFF6E3C0"/>
        <bgColor indexed="64"/>
      </patternFill>
    </fill>
  </fills>
  <borders count="2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theme="1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1" diagonalDown="1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 style="thin">
        <color rgb="FFC0C0C0"/>
      </diagonal>
    </border>
    <border>
      <left style="thin">
        <color rgb="FFC0C0C0"/>
      </left>
      <right/>
      <top style="thick">
        <color rgb="FFC0C0C0"/>
      </top>
      <bottom/>
      <diagonal/>
    </border>
    <border>
      <left/>
      <right/>
      <top style="thick">
        <color rgb="FFC0C0C0"/>
      </top>
      <bottom/>
      <diagonal/>
    </border>
    <border>
      <left/>
      <right style="thin">
        <color rgb="FFC0C0C0"/>
      </right>
      <top style="thick">
        <color rgb="FFC0C0C0"/>
      </top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1" fillId="0" borderId="0" xfId="0" applyFont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8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0" fontId="4" fillId="11" borderId="1" xfId="0" applyFont="1" applyFill="1" applyBorder="1"/>
    <xf numFmtId="0" fontId="3" fillId="0" borderId="2" xfId="0" applyFont="1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7" fillId="0" borderId="3" xfId="0" applyFont="1" applyBorder="1"/>
    <xf numFmtId="0" fontId="6" fillId="0" borderId="0" xfId="0" applyFont="1"/>
    <xf numFmtId="0" fontId="7" fillId="0" borderId="0" xfId="0" applyFont="1"/>
    <xf numFmtId="0" fontId="6" fillId="0" borderId="0" xfId="0" quotePrefix="1" applyFont="1"/>
    <xf numFmtId="0" fontId="4" fillId="0" borderId="0" xfId="0" applyFont="1"/>
    <xf numFmtId="0" fontId="4" fillId="0" borderId="6" xfId="0" applyFont="1" applyBorder="1"/>
    <xf numFmtId="0" fontId="0" fillId="0" borderId="1" xfId="0" applyBorder="1"/>
    <xf numFmtId="0" fontId="8" fillId="0" borderId="0" xfId="0" applyFont="1"/>
    <xf numFmtId="0" fontId="8" fillId="0" borderId="2" xfId="0" applyFont="1" applyBorder="1"/>
    <xf numFmtId="0" fontId="7" fillId="0" borderId="5" xfId="0" applyFont="1" applyBorder="1"/>
    <xf numFmtId="0" fontId="6" fillId="0" borderId="5" xfId="0" quotePrefix="1" applyFont="1" applyBorder="1"/>
    <xf numFmtId="0" fontId="0" fillId="0" borderId="2" xfId="0" applyBorder="1"/>
    <xf numFmtId="0" fontId="8" fillId="0" borderId="3" xfId="0" applyFont="1" applyBorder="1"/>
    <xf numFmtId="0" fontId="4" fillId="0" borderId="5" xfId="0" applyFont="1" applyBorder="1" applyAlignment="1">
      <alignment horizontal="center"/>
    </xf>
    <xf numFmtId="0" fontId="4" fillId="12" borderId="1" xfId="0" applyFont="1" applyFill="1" applyBorder="1"/>
    <xf numFmtId="0" fontId="4" fillId="13" borderId="1" xfId="0" applyFont="1" applyFill="1" applyBorder="1"/>
    <xf numFmtId="0" fontId="4" fillId="15" borderId="1" xfId="0" applyFont="1" applyFill="1" applyBorder="1" applyAlignment="1">
      <alignment horizontal="center"/>
    </xf>
    <xf numFmtId="0" fontId="4" fillId="15" borderId="1" xfId="0" applyFont="1" applyFill="1" applyBorder="1"/>
    <xf numFmtId="0" fontId="4" fillId="16" borderId="1" xfId="0" applyFont="1" applyFill="1" applyBorder="1" applyAlignment="1">
      <alignment horizontal="center"/>
    </xf>
    <xf numFmtId="0" fontId="4" fillId="16" borderId="1" xfId="0" applyFont="1" applyFill="1" applyBorder="1"/>
    <xf numFmtId="0" fontId="4" fillId="13" borderId="1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17" borderId="1" xfId="0" applyFont="1" applyFill="1" applyBorder="1"/>
    <xf numFmtId="0" fontId="4" fillId="0" borderId="13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8" fillId="0" borderId="3" xfId="0" applyFont="1" applyBorder="1" applyAlignment="1">
      <alignment horizontal="left"/>
    </xf>
    <xf numFmtId="0" fontId="0" fillId="0" borderId="10" xfId="0" applyBorder="1"/>
    <xf numFmtId="0" fontId="8" fillId="0" borderId="1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6" fillId="0" borderId="8" xfId="0" applyFont="1" applyBorder="1"/>
    <xf numFmtId="0" fontId="8" fillId="0" borderId="8" xfId="0" applyFont="1" applyBorder="1" applyAlignment="1">
      <alignment horizontal="left"/>
    </xf>
    <xf numFmtId="0" fontId="0" fillId="0" borderId="12" xfId="0" applyBorder="1"/>
    <xf numFmtId="14" fontId="4" fillId="0" borderId="1" xfId="0" applyNumberFormat="1" applyFont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12" borderId="1" xfId="0" applyFont="1" applyFill="1" applyBorder="1" applyAlignment="1">
      <alignment horizontal="right"/>
    </xf>
    <xf numFmtId="164" fontId="4" fillId="0" borderId="1" xfId="0" applyNumberFormat="1" applyFont="1" applyBorder="1" applyAlignment="1">
      <alignment horizontal="center"/>
    </xf>
    <xf numFmtId="164" fontId="4" fillId="0" borderId="1" xfId="0" quotePrefix="1" applyNumberFormat="1" applyFont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64" fontId="4" fillId="12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  <xf numFmtId="164" fontId="4" fillId="14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right"/>
    </xf>
    <xf numFmtId="0" fontId="4" fillId="14" borderId="1" xfId="0" applyFont="1" applyFill="1" applyBorder="1" applyAlignment="1">
      <alignment horizontal="right"/>
    </xf>
    <xf numFmtId="0" fontId="4" fillId="1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4" fillId="0" borderId="5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15" borderId="1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0" xfId="0" quotePrefix="1" applyFont="1"/>
    <xf numFmtId="0" fontId="8" fillId="0" borderId="2" xfId="0" applyFont="1" applyBorder="1" applyAlignment="1">
      <alignment horizontal="left"/>
    </xf>
    <xf numFmtId="0" fontId="4" fillId="0" borderId="15" xfId="0" applyFont="1" applyBorder="1" applyAlignment="1">
      <alignment horizontal="center"/>
    </xf>
    <xf numFmtId="0" fontId="4" fillId="9" borderId="15" xfId="0" applyFont="1" applyFill="1" applyBorder="1" applyAlignment="1">
      <alignment horizontal="center"/>
    </xf>
    <xf numFmtId="0" fontId="4" fillId="9" borderId="13" xfId="0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8" fillId="0" borderId="5" xfId="0" applyFont="1" applyBorder="1"/>
    <xf numFmtId="1" fontId="4" fillId="0" borderId="0" xfId="0" applyNumberFormat="1" applyFont="1" applyAlignment="1">
      <alignment horizontal="left"/>
    </xf>
    <xf numFmtId="0" fontId="2" fillId="0" borderId="7" xfId="0" applyFont="1" applyBorder="1"/>
    <xf numFmtId="0" fontId="4" fillId="12" borderId="1" xfId="0" quotePrefix="1" applyFont="1" applyFill="1" applyBorder="1" applyAlignment="1">
      <alignment horizontal="center"/>
    </xf>
    <xf numFmtId="0" fontId="4" fillId="0" borderId="16" xfId="0" applyFont="1" applyBorder="1"/>
    <xf numFmtId="0" fontId="4" fillId="0" borderId="14" xfId="0" applyFont="1" applyBorder="1"/>
    <xf numFmtId="0" fontId="4" fillId="0" borderId="13" xfId="0" applyFont="1" applyBorder="1"/>
    <xf numFmtId="0" fontId="4" fillId="12" borderId="17" xfId="0" applyFont="1" applyFill="1" applyBorder="1"/>
    <xf numFmtId="0" fontId="5" fillId="0" borderId="5" xfId="0" applyFont="1" applyBorder="1"/>
    <xf numFmtId="0" fontId="9" fillId="1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4" fillId="20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5" xfId="0" applyFont="1" applyBorder="1"/>
    <xf numFmtId="0" fontId="4" fillId="19" borderId="1" xfId="0" applyFont="1" applyFill="1" applyBorder="1"/>
    <xf numFmtId="0" fontId="8" fillId="0" borderId="7" xfId="0" applyFont="1" applyBorder="1"/>
    <xf numFmtId="0" fontId="8" fillId="0" borderId="8" xfId="0" applyFont="1" applyBorder="1"/>
    <xf numFmtId="0" fontId="4" fillId="0" borderId="3" xfId="0" applyFont="1" applyBorder="1"/>
    <xf numFmtId="0" fontId="0" fillId="0" borderId="13" xfId="0" applyBorder="1"/>
    <xf numFmtId="0" fontId="7" fillId="0" borderId="2" xfId="0" applyFont="1" applyBorder="1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6" fillId="0" borderId="3" xfId="0" applyFont="1" applyBorder="1"/>
    <xf numFmtId="0" fontId="5" fillId="0" borderId="0" xfId="0" applyFont="1"/>
    <xf numFmtId="8" fontId="4" fillId="0" borderId="1" xfId="0" applyNumberFormat="1" applyFont="1" applyBorder="1" applyAlignment="1">
      <alignment horizontal="right"/>
    </xf>
    <xf numFmtId="14" fontId="4" fillId="0" borderId="1" xfId="0" applyNumberFormat="1" applyFont="1" applyBorder="1"/>
    <xf numFmtId="0" fontId="4" fillId="0" borderId="5" xfId="0" applyFont="1" applyBorder="1"/>
    <xf numFmtId="8" fontId="4" fillId="0" borderId="1" xfId="0" applyNumberFormat="1" applyFont="1" applyBorder="1" applyAlignment="1">
      <alignment horizontal="center"/>
    </xf>
    <xf numFmtId="0" fontId="2" fillId="0" borderId="8" xfId="0" applyFont="1" applyBorder="1"/>
    <xf numFmtId="0" fontId="4" fillId="3" borderId="1" xfId="0" applyFont="1" applyFill="1" applyBorder="1" applyAlignment="1">
      <alignment horizontal="right"/>
    </xf>
    <xf numFmtId="8" fontId="4" fillId="0" borderId="3" xfId="0" applyNumberFormat="1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14" fontId="4" fillId="0" borderId="3" xfId="0" applyNumberFormat="1" applyFont="1" applyBorder="1" applyAlignment="1">
      <alignment horizontal="right"/>
    </xf>
    <xf numFmtId="0" fontId="4" fillId="0" borderId="11" xfId="0" applyFont="1" applyBorder="1"/>
    <xf numFmtId="0" fontId="4" fillId="21" borderId="1" xfId="0" applyFont="1" applyFill="1" applyBorder="1"/>
    <xf numFmtId="0" fontId="4" fillId="22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4" fillId="8" borderId="1" xfId="0" applyFont="1" applyFill="1" applyBorder="1" applyAlignment="1">
      <alignment horizontal="center"/>
    </xf>
    <xf numFmtId="0" fontId="10" fillId="0" borderId="5" xfId="0" applyFont="1" applyBorder="1"/>
    <xf numFmtId="0" fontId="10" fillId="0" borderId="0" xfId="0" applyFont="1"/>
    <xf numFmtId="0" fontId="0" fillId="0" borderId="18" xfId="0" applyBorder="1"/>
    <xf numFmtId="0" fontId="0" fillId="0" borderId="19" xfId="0" applyBorder="1"/>
    <xf numFmtId="0" fontId="7" fillId="0" borderId="19" xfId="0" applyFont="1" applyBorder="1"/>
    <xf numFmtId="0" fontId="0" fillId="0" borderId="20" xfId="0" applyBorder="1"/>
    <xf numFmtId="0" fontId="6" fillId="0" borderId="8" xfId="0" quotePrefix="1" applyFont="1" applyBorder="1"/>
    <xf numFmtId="0" fontId="11" fillId="0" borderId="0" xfId="0" applyFont="1"/>
    <xf numFmtId="0" fontId="6" fillId="0" borderId="2" xfId="0" applyFont="1" applyBorder="1"/>
    <xf numFmtId="0" fontId="6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/>
    </xf>
    <xf numFmtId="0" fontId="11" fillId="0" borderId="2" xfId="0" applyFont="1" applyBorder="1"/>
    <xf numFmtId="0" fontId="4" fillId="23" borderId="1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24" borderId="1" xfId="0" applyFont="1" applyFill="1" applyBorder="1"/>
    <xf numFmtId="0" fontId="4" fillId="24" borderId="1" xfId="0" applyFont="1" applyFill="1" applyBorder="1" applyAlignment="1">
      <alignment horizontal="center"/>
    </xf>
    <xf numFmtId="8" fontId="4" fillId="24" borderId="1" xfId="0" applyNumberFormat="1" applyFont="1" applyFill="1" applyBorder="1" applyAlignment="1">
      <alignment horizontal="center"/>
    </xf>
    <xf numFmtId="8" fontId="4" fillId="24" borderId="1" xfId="0" applyNumberFormat="1" applyFont="1" applyFill="1" applyBorder="1" applyAlignment="1">
      <alignment horizontal="right"/>
    </xf>
    <xf numFmtId="14" fontId="4" fillId="24" borderId="1" xfId="0" applyNumberFormat="1" applyFont="1" applyFill="1" applyBorder="1"/>
    <xf numFmtId="0" fontId="4" fillId="24" borderId="1" xfId="0" applyFont="1" applyFill="1" applyBorder="1" applyAlignment="1">
      <alignment horizontal="right"/>
    </xf>
    <xf numFmtId="8" fontId="4" fillId="0" borderId="1" xfId="0" applyNumberFormat="1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25" borderId="1" xfId="0" applyFont="1" applyFill="1" applyBorder="1" applyAlignment="1">
      <alignment horizontal="left"/>
    </xf>
    <xf numFmtId="0" fontId="4" fillId="25" borderId="1" xfId="0" applyFont="1" applyFill="1" applyBorder="1"/>
    <xf numFmtId="0" fontId="4" fillId="25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968FC3EA-486F-46AF-8E8C-51141EA48DEB}"/>
  </tableStyles>
  <colors>
    <mruColors>
      <color rgb="FFF6E3C0"/>
      <color rgb="FFF2D5A0"/>
      <color rgb="FFC0C0C0"/>
      <color rgb="FFC9D7E1"/>
      <color rgb="FFB7C9D6"/>
      <color rgb="FFCDE9E4"/>
      <color rgb="FFA7D8D0"/>
      <color rgb="FFFFFF99"/>
      <color rgb="FFFFFFFF"/>
      <color rgb="FFFFB1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microsoft.com/office/2017/06/relationships/rdRichValueTypes" Target="richData/rdRichValueTypes.xml"/><Relationship Id="rId30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25400</xdr:colOff>
      <xdr:row>1</xdr:row>
      <xdr:rowOff>19050</xdr:rowOff>
    </xdr:from>
    <xdr:to>
      <xdr:col>3</xdr:col>
      <xdr:colOff>1370540</xdr:colOff>
      <xdr:row>5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AB66B0F-D80D-4C80-983A-3150788E8427}"/>
            </a:ext>
          </a:extLst>
        </xdr:cNvPr>
        <xdr:cNvSpPr>
          <a:spLocks noChangeAspect="1"/>
        </xdr:cNvSpPr>
      </xdr:nvSpPr>
      <xdr:spPr>
        <a:xfrm>
          <a:off x="2092325" y="2286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9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34D0B8-74C6-4921-87E0-CA2E6C274AB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906DA44-5E65-482A-BF8A-FFC3FE1F0E34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59D-F4BB-4E50-AEA6-5A9733883520}">
  <sheetPr codeName="Sheet1">
    <tabColor theme="0"/>
  </sheetPr>
  <dimension ref="A8:E40"/>
  <sheetViews>
    <sheetView showGridLines="0" showRowColHeaders="0" tabSelected="1" workbookViewId="0"/>
  </sheetViews>
  <sheetFormatPr defaultColWidth="0" defaultRowHeight="16.5" x14ac:dyDescent="0.45"/>
  <cols>
    <col min="1" max="1" width="8.6640625" style="1" customWidth="1"/>
    <col min="2" max="2" width="18.5" style="1" bestFit="1" customWidth="1"/>
    <col min="3" max="3" width="16.6640625" style="1" customWidth="1"/>
    <col min="4" max="4" width="81.33203125" style="2" customWidth="1"/>
    <col min="5" max="5" width="8.6640625" style="1" customWidth="1"/>
    <col min="6" max="16384" width="8.6640625" style="1" hidden="1"/>
  </cols>
  <sheetData>
    <row r="8" spans="3:4" x14ac:dyDescent="0.45">
      <c r="C8" s="3" t="s">
        <v>30</v>
      </c>
    </row>
    <row r="9" spans="3:4" x14ac:dyDescent="0.45">
      <c r="C9" s="1" t="s">
        <v>31</v>
      </c>
    </row>
    <row r="11" spans="3:4" x14ac:dyDescent="0.45">
      <c r="C11" s="3" t="s">
        <v>0</v>
      </c>
    </row>
    <row r="12" spans="3:4" x14ac:dyDescent="0.45">
      <c r="C12" s="1" t="s">
        <v>1</v>
      </c>
    </row>
    <row r="13" spans="3:4" x14ac:dyDescent="0.45">
      <c r="C13" s="1" t="s">
        <v>2</v>
      </c>
    </row>
    <row r="16" spans="3:4" x14ac:dyDescent="0.45">
      <c r="C16" s="5" t="s">
        <v>3</v>
      </c>
      <c r="D16" s="6" t="s">
        <v>4</v>
      </c>
    </row>
    <row r="17" spans="2:4" ht="30" customHeight="1" x14ac:dyDescent="0.45">
      <c r="B17" s="4" t="s">
        <v>5</v>
      </c>
      <c r="C17" s="149" t="s">
        <v>6</v>
      </c>
      <c r="D17" s="150" t="s">
        <v>32</v>
      </c>
    </row>
    <row r="18" spans="2:4" ht="30" customHeight="1" x14ac:dyDescent="0.45">
      <c r="B18" s="4"/>
      <c r="C18" s="149" t="s">
        <v>7</v>
      </c>
      <c r="D18" s="150" t="s">
        <v>33</v>
      </c>
    </row>
    <row r="19" spans="2:4" ht="30" customHeight="1" x14ac:dyDescent="0.45">
      <c r="B19" s="4"/>
      <c r="C19" s="149" t="s">
        <v>8</v>
      </c>
      <c r="D19" s="150" t="s">
        <v>34</v>
      </c>
    </row>
    <row r="20" spans="2:4" ht="30" customHeight="1" x14ac:dyDescent="0.45">
      <c r="B20" s="4"/>
      <c r="C20" s="149" t="s">
        <v>9</v>
      </c>
      <c r="D20" s="150" t="s">
        <v>35</v>
      </c>
    </row>
    <row r="21" spans="2:4" ht="30" customHeight="1" x14ac:dyDescent="0.45">
      <c r="B21" s="4"/>
      <c r="C21" s="149" t="s">
        <v>10</v>
      </c>
      <c r="D21" s="150" t="s">
        <v>36</v>
      </c>
    </row>
    <row r="22" spans="2:4" ht="30" customHeight="1" x14ac:dyDescent="0.45">
      <c r="B22" s="4"/>
      <c r="C22" s="149" t="s">
        <v>11</v>
      </c>
      <c r="D22" s="150" t="s">
        <v>37</v>
      </c>
    </row>
    <row r="23" spans="2:4" ht="10.5" customHeight="1" x14ac:dyDescent="0.45">
      <c r="B23" s="4"/>
      <c r="C23" s="151"/>
      <c r="D23" s="152"/>
    </row>
    <row r="24" spans="2:4" ht="30" customHeight="1" x14ac:dyDescent="0.45">
      <c r="B24" s="4" t="s">
        <v>12</v>
      </c>
      <c r="C24" s="153" t="s">
        <v>13</v>
      </c>
      <c r="D24" s="154" t="s">
        <v>38</v>
      </c>
    </row>
    <row r="25" spans="2:4" ht="9" customHeight="1" x14ac:dyDescent="0.45">
      <c r="B25" s="4"/>
      <c r="C25" s="151"/>
      <c r="D25" s="152"/>
    </row>
    <row r="26" spans="2:4" ht="30" customHeight="1" x14ac:dyDescent="0.45">
      <c r="B26" s="4" t="s">
        <v>14</v>
      </c>
      <c r="C26" s="155" t="s">
        <v>15</v>
      </c>
      <c r="D26" s="156" t="s">
        <v>39</v>
      </c>
    </row>
    <row r="27" spans="2:4" ht="30" customHeight="1" x14ac:dyDescent="0.45">
      <c r="B27" s="4"/>
      <c r="C27" s="155" t="s">
        <v>16</v>
      </c>
      <c r="D27" s="156" t="s">
        <v>40</v>
      </c>
    </row>
    <row r="28" spans="2:4" ht="10.5" customHeight="1" x14ac:dyDescent="0.45">
      <c r="B28" s="4"/>
      <c r="C28" s="151"/>
      <c r="D28" s="152"/>
    </row>
    <row r="29" spans="2:4" ht="30" customHeight="1" x14ac:dyDescent="0.45">
      <c r="B29" s="4" t="s">
        <v>17</v>
      </c>
      <c r="C29" s="157" t="s">
        <v>18</v>
      </c>
      <c r="D29" s="158" t="s">
        <v>41</v>
      </c>
    </row>
    <row r="30" spans="2:4" ht="30" customHeight="1" x14ac:dyDescent="0.45">
      <c r="B30" s="4"/>
      <c r="C30" s="157" t="s">
        <v>19</v>
      </c>
      <c r="D30" s="158" t="s">
        <v>42</v>
      </c>
    </row>
    <row r="31" spans="2:4" ht="30" customHeight="1" x14ac:dyDescent="0.45">
      <c r="B31" s="4"/>
      <c r="C31" s="157" t="s">
        <v>20</v>
      </c>
      <c r="D31" s="158" t="s">
        <v>43</v>
      </c>
    </row>
    <row r="32" spans="2:4" ht="9.5" customHeight="1" x14ac:dyDescent="0.45">
      <c r="B32" s="4"/>
      <c r="C32" s="151"/>
      <c r="D32" s="152"/>
    </row>
    <row r="33" spans="2:4" ht="30" customHeight="1" x14ac:dyDescent="0.45">
      <c r="B33" s="4" t="s">
        <v>21</v>
      </c>
      <c r="C33" s="159" t="s">
        <v>22</v>
      </c>
      <c r="D33" s="160" t="s">
        <v>44</v>
      </c>
    </row>
    <row r="34" spans="2:4" ht="30" customHeight="1" x14ac:dyDescent="0.45">
      <c r="B34" s="4"/>
      <c r="C34" s="159" t="s">
        <v>23</v>
      </c>
      <c r="D34" s="160" t="s">
        <v>45</v>
      </c>
    </row>
    <row r="35" spans="2:4" ht="30" customHeight="1" x14ac:dyDescent="0.45">
      <c r="B35" s="4"/>
      <c r="C35" s="159" t="s">
        <v>24</v>
      </c>
      <c r="D35" s="160" t="s">
        <v>46</v>
      </c>
    </row>
    <row r="36" spans="2:4" ht="11" customHeight="1" x14ac:dyDescent="0.45">
      <c r="B36" s="4"/>
      <c r="C36" s="151"/>
      <c r="D36" s="152"/>
    </row>
    <row r="37" spans="2:4" ht="30" customHeight="1" x14ac:dyDescent="0.45">
      <c r="B37" s="4" t="s">
        <v>25</v>
      </c>
      <c r="C37" s="161" t="s">
        <v>26</v>
      </c>
      <c r="D37" s="162" t="s">
        <v>47</v>
      </c>
    </row>
    <row r="38" spans="2:4" ht="30" customHeight="1" x14ac:dyDescent="0.45">
      <c r="C38" s="161" t="s">
        <v>27</v>
      </c>
      <c r="D38" s="162" t="s">
        <v>48</v>
      </c>
    </row>
    <row r="39" spans="2:4" ht="30" customHeight="1" x14ac:dyDescent="0.45">
      <c r="C39" s="161" t="s">
        <v>28</v>
      </c>
      <c r="D39" s="162" t="s">
        <v>49</v>
      </c>
    </row>
    <row r="40" spans="2:4" ht="30" customHeight="1" x14ac:dyDescent="0.45">
      <c r="C40" s="161" t="s">
        <v>29</v>
      </c>
      <c r="D40" s="162" t="s">
        <v>50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B5AC-E9A7-4DB5-9924-F6A0D6FB5F05}">
  <sheetPr codeName="Sheet2">
    <tabColor rgb="FFF6C6C6"/>
  </sheetPr>
  <dimension ref="A1:P25"/>
  <sheetViews>
    <sheetView workbookViewId="0"/>
  </sheetViews>
  <sheetFormatPr defaultRowHeight="16.5" x14ac:dyDescent="0.45"/>
  <cols>
    <col min="1" max="1" width="5" customWidth="1"/>
    <col min="2" max="2" width="11.08203125" customWidth="1"/>
    <col min="3" max="3" width="21.58203125" customWidth="1"/>
    <col min="5" max="5" width="5.25" customWidth="1"/>
    <col min="7" max="7" width="17.5" bestFit="1" customWidth="1"/>
    <col min="9" max="9" width="4.4140625" customWidth="1"/>
    <col min="12" max="12" width="14.08203125" customWidth="1"/>
    <col min="14" max="14" width="9.25" bestFit="1" customWidth="1"/>
  </cols>
  <sheetData>
    <row r="1" spans="1:16" x14ac:dyDescent="0.45">
      <c r="A1" s="7"/>
    </row>
    <row r="2" spans="1:16" x14ac:dyDescent="0.45">
      <c r="B2" s="15" t="s">
        <v>77</v>
      </c>
      <c r="C2" s="16"/>
      <c r="D2" s="16"/>
      <c r="E2" s="16"/>
      <c r="F2" s="16"/>
      <c r="G2" s="16"/>
      <c r="H2" s="16"/>
      <c r="I2" s="35"/>
      <c r="J2" s="36" t="s">
        <v>94</v>
      </c>
      <c r="K2" s="16"/>
      <c r="L2" s="17"/>
      <c r="M2" s="32" t="s">
        <v>96</v>
      </c>
      <c r="N2" s="16"/>
      <c r="O2" s="16"/>
      <c r="P2" s="17"/>
    </row>
    <row r="3" spans="1:16" x14ac:dyDescent="0.45">
      <c r="B3" s="18" t="s">
        <v>51</v>
      </c>
      <c r="I3" s="20"/>
      <c r="J3" s="10" t="s">
        <v>80</v>
      </c>
      <c r="K3" s="10" t="s">
        <v>81</v>
      </c>
      <c r="L3" s="19"/>
      <c r="M3" s="9" t="s">
        <v>95</v>
      </c>
      <c r="N3" s="9" t="s">
        <v>85</v>
      </c>
      <c r="P3" s="19"/>
    </row>
    <row r="4" spans="1:16" x14ac:dyDescent="0.45">
      <c r="B4" s="18" t="s">
        <v>52</v>
      </c>
      <c r="I4" s="20"/>
      <c r="J4" s="9" t="s">
        <v>82</v>
      </c>
      <c r="K4" s="9">
        <v>12</v>
      </c>
      <c r="L4" s="19"/>
      <c r="M4" s="10" t="s">
        <v>86</v>
      </c>
      <c r="N4" s="9" t="s">
        <v>87</v>
      </c>
      <c r="P4" s="19"/>
    </row>
    <row r="5" spans="1:16" x14ac:dyDescent="0.45">
      <c r="B5" s="20"/>
      <c r="C5" s="1" t="s">
        <v>53</v>
      </c>
      <c r="I5" s="20"/>
      <c r="J5" s="38" t="s">
        <v>83</v>
      </c>
      <c r="K5" s="38">
        <v>7</v>
      </c>
      <c r="L5" s="19"/>
      <c r="M5" s="40" t="s">
        <v>92</v>
      </c>
      <c r="N5" s="41" t="s">
        <v>87</v>
      </c>
      <c r="P5" s="19"/>
    </row>
    <row r="6" spans="1:16" x14ac:dyDescent="0.45">
      <c r="B6" s="20"/>
      <c r="C6" s="1" t="s">
        <v>54</v>
      </c>
      <c r="I6" s="20"/>
      <c r="J6" s="38" t="s">
        <v>83</v>
      </c>
      <c r="K6" s="38">
        <v>9</v>
      </c>
      <c r="L6" s="19"/>
      <c r="M6" s="40" t="s">
        <v>92</v>
      </c>
      <c r="N6" s="41" t="s">
        <v>88</v>
      </c>
      <c r="P6" s="19"/>
    </row>
    <row r="7" spans="1:16" x14ac:dyDescent="0.45">
      <c r="B7" s="18" t="s">
        <v>55</v>
      </c>
      <c r="I7" s="20"/>
      <c r="J7" s="38" t="s">
        <v>83</v>
      </c>
      <c r="K7" s="38">
        <v>32</v>
      </c>
      <c r="L7" s="19"/>
      <c r="M7" s="42" t="s">
        <v>93</v>
      </c>
      <c r="N7" s="43" t="s">
        <v>89</v>
      </c>
      <c r="P7" s="19"/>
    </row>
    <row r="8" spans="1:16" x14ac:dyDescent="0.45">
      <c r="B8" s="21"/>
      <c r="C8" s="22"/>
      <c r="D8" s="22"/>
      <c r="E8" s="22"/>
      <c r="F8" s="22"/>
      <c r="G8" s="22"/>
      <c r="H8" s="22"/>
      <c r="I8" s="20"/>
      <c r="J8" s="39" t="s">
        <v>84</v>
      </c>
      <c r="K8" s="39">
        <v>19</v>
      </c>
      <c r="L8" s="19"/>
      <c r="M8" s="42" t="s">
        <v>93</v>
      </c>
      <c r="N8" s="43" t="s">
        <v>90</v>
      </c>
      <c r="P8" s="19"/>
    </row>
    <row r="9" spans="1:16" x14ac:dyDescent="0.45">
      <c r="I9" s="20"/>
      <c r="J9" s="39" t="s">
        <v>84</v>
      </c>
      <c r="K9" s="39">
        <v>40</v>
      </c>
      <c r="L9" s="19"/>
      <c r="M9" s="42" t="s">
        <v>93</v>
      </c>
      <c r="N9" s="43" t="s">
        <v>91</v>
      </c>
      <c r="P9" s="19"/>
    </row>
    <row r="10" spans="1:16" x14ac:dyDescent="0.45">
      <c r="B10" s="32" t="s">
        <v>65</v>
      </c>
      <c r="C10" s="16"/>
      <c r="D10" s="16"/>
      <c r="E10" s="16"/>
      <c r="F10" s="24" t="s">
        <v>78</v>
      </c>
      <c r="G10" s="16"/>
      <c r="H10" s="16"/>
      <c r="I10" s="20"/>
      <c r="L10" s="19"/>
      <c r="M10" s="20"/>
      <c r="P10" s="19"/>
    </row>
    <row r="11" spans="1:16" x14ac:dyDescent="0.45">
      <c r="B11" s="10" t="s">
        <v>56</v>
      </c>
      <c r="C11" s="10" t="s">
        <v>57</v>
      </c>
      <c r="D11" s="10" t="s">
        <v>73</v>
      </c>
      <c r="F11" s="25" t="s">
        <v>74</v>
      </c>
      <c r="I11" s="20"/>
      <c r="J11" s="26" t="s">
        <v>98</v>
      </c>
      <c r="L11" s="19"/>
      <c r="M11" s="33" t="s">
        <v>78</v>
      </c>
      <c r="P11" s="19"/>
    </row>
    <row r="12" spans="1:16" x14ac:dyDescent="0.45">
      <c r="B12" s="11" t="s">
        <v>58</v>
      </c>
      <c r="C12" s="11" t="s">
        <v>62</v>
      </c>
      <c r="D12" s="11">
        <v>6</v>
      </c>
      <c r="F12" s="9" t="str" cm="1">
        <f t="array" ref="F12:H16">DeleteRowsλ(Supplies,2,Department)</f>
        <v>Legal</v>
      </c>
      <c r="G12" s="9" t="str">
        <v>External monitor</v>
      </c>
      <c r="H12" s="9">
        <v>22</v>
      </c>
      <c r="I12" s="20"/>
      <c r="J12" s="25" t="s">
        <v>97</v>
      </c>
      <c r="L12" s="19"/>
      <c r="M12" s="34" t="s">
        <v>99</v>
      </c>
      <c r="P12" s="19"/>
    </row>
    <row r="13" spans="1:16" x14ac:dyDescent="0.45">
      <c r="B13" s="11" t="s">
        <v>58</v>
      </c>
      <c r="C13" s="11" t="s">
        <v>63</v>
      </c>
      <c r="D13" s="11">
        <v>31</v>
      </c>
      <c r="F13" s="9" t="str">
        <v>HR</v>
      </c>
      <c r="G13" s="9" t="str">
        <v>4K External Monitor</v>
      </c>
      <c r="H13" s="9">
        <v>26</v>
      </c>
      <c r="I13" s="20"/>
      <c r="J13" s="9" t="str" cm="1">
        <f t="array" ref="J13:K15">DeleteRowsλ(SalesData,1,Region)</f>
        <v>South</v>
      </c>
      <c r="K13" s="9">
        <v>9</v>
      </c>
      <c r="L13" s="19"/>
      <c r="M13" s="10" t="str" cm="1">
        <f t="array" ref="M13:N13">DeleteRowsλ(EmployeeSched,2,Schedule)</f>
        <v>C</v>
      </c>
      <c r="N13" s="9" t="str">
        <v>Kate</v>
      </c>
      <c r="P13" s="19"/>
    </row>
    <row r="14" spans="1:16" x14ac:dyDescent="0.45">
      <c r="B14" s="11" t="s">
        <v>58</v>
      </c>
      <c r="C14" s="11" t="s">
        <v>64</v>
      </c>
      <c r="D14" s="11">
        <v>22</v>
      </c>
      <c r="F14" s="9" t="str">
        <v>HR</v>
      </c>
      <c r="G14" s="9" t="str">
        <v>Floppy Disk</v>
      </c>
      <c r="H14" s="9">
        <v>3</v>
      </c>
      <c r="I14" s="20"/>
      <c r="J14" s="9" t="str">
        <v>South</v>
      </c>
      <c r="K14" s="9">
        <v>32</v>
      </c>
      <c r="L14" s="19"/>
      <c r="M14" s="20"/>
      <c r="P14" s="19"/>
    </row>
    <row r="15" spans="1:16" x14ac:dyDescent="0.45">
      <c r="B15" s="12" t="s">
        <v>59</v>
      </c>
      <c r="C15" s="12" t="s">
        <v>66</v>
      </c>
      <c r="D15" s="12">
        <v>21</v>
      </c>
      <c r="F15" s="9" t="str">
        <v>Finance</v>
      </c>
      <c r="G15" s="9" t="str">
        <v>Solar calculator</v>
      </c>
      <c r="H15" s="9">
        <v>15</v>
      </c>
      <c r="I15" s="20"/>
      <c r="J15" s="9" t="str">
        <v>West</v>
      </c>
      <c r="K15" s="9">
        <v>40</v>
      </c>
      <c r="L15" s="19"/>
      <c r="M15" s="20"/>
      <c r="P15" s="19"/>
    </row>
    <row r="16" spans="1:16" x14ac:dyDescent="0.45">
      <c r="B16" s="12" t="s">
        <v>59</v>
      </c>
      <c r="C16" s="12" t="s">
        <v>67</v>
      </c>
      <c r="D16" s="12">
        <v>32</v>
      </c>
      <c r="F16" s="9" t="str">
        <v>Security</v>
      </c>
      <c r="G16" s="9" t="str">
        <v>Sun glasses</v>
      </c>
      <c r="H16" s="9">
        <v>9</v>
      </c>
      <c r="I16" s="20"/>
      <c r="L16" s="19"/>
      <c r="M16" s="33" t="s">
        <v>76</v>
      </c>
      <c r="P16" s="19"/>
    </row>
    <row r="17" spans="2:16" x14ac:dyDescent="0.45">
      <c r="B17" s="12" t="s">
        <v>59</v>
      </c>
      <c r="C17" s="12" t="s">
        <v>69</v>
      </c>
      <c r="D17" s="12">
        <v>26</v>
      </c>
      <c r="I17" s="20"/>
      <c r="J17" s="26" t="s">
        <v>102</v>
      </c>
      <c r="L17" s="19"/>
      <c r="M17" s="34" t="s">
        <v>100</v>
      </c>
      <c r="P17" s="19"/>
    </row>
    <row r="18" spans="2:16" x14ac:dyDescent="0.45">
      <c r="B18" s="12" t="s">
        <v>59</v>
      </c>
      <c r="C18" s="12" t="s">
        <v>68</v>
      </c>
      <c r="D18" s="12">
        <v>3</v>
      </c>
      <c r="F18" s="26" t="s">
        <v>76</v>
      </c>
      <c r="I18" s="20"/>
      <c r="J18" s="25" t="s">
        <v>101</v>
      </c>
      <c r="L18" s="19"/>
      <c r="M18" s="10" t="str" cm="1">
        <f t="array" ref="M18:N18">DeleteRowsλ(EmployeeSched,-2,Schedule)</f>
        <v>C</v>
      </c>
      <c r="N18" s="9" t="str">
        <v>Olivia</v>
      </c>
      <c r="P18" s="19"/>
    </row>
    <row r="19" spans="2:16" x14ac:dyDescent="0.45">
      <c r="B19" s="13" t="s">
        <v>60</v>
      </c>
      <c r="C19" s="13" t="s">
        <v>66</v>
      </c>
      <c r="D19" s="13">
        <v>18</v>
      </c>
      <c r="F19" s="27" t="s">
        <v>75</v>
      </c>
      <c r="I19" s="20"/>
      <c r="J19" s="28" t="e" cm="1" vm="1">
        <f t="array" ref="J19">DeleteRowsλ(SalesData,3,Region)</f>
        <v>#VALUE!</v>
      </c>
      <c r="L19" s="19"/>
      <c r="M19" s="20"/>
      <c r="P19" s="19"/>
    </row>
    <row r="20" spans="2:16" x14ac:dyDescent="0.45">
      <c r="B20" s="13" t="s">
        <v>60</v>
      </c>
      <c r="C20" s="13" t="s">
        <v>70</v>
      </c>
      <c r="D20" s="13">
        <v>22</v>
      </c>
      <c r="F20" s="9" t="str" cm="1">
        <f t="array" ref="F20:H24">DeleteRowsλ(Supplies,-2,Department)</f>
        <v>Legal</v>
      </c>
      <c r="G20" s="9" t="str">
        <v>Stapler</v>
      </c>
      <c r="H20" s="9">
        <v>6</v>
      </c>
      <c r="I20" s="20"/>
      <c r="L20" s="19"/>
      <c r="M20" s="20"/>
      <c r="P20" s="19"/>
    </row>
    <row r="21" spans="2:16" x14ac:dyDescent="0.45">
      <c r="B21" s="13" t="s">
        <v>60</v>
      </c>
      <c r="C21" s="13" t="s">
        <v>79</v>
      </c>
      <c r="D21" s="13">
        <v>15</v>
      </c>
      <c r="F21" s="9" t="str">
        <v>HR</v>
      </c>
      <c r="G21" s="9" t="str">
        <v>#2 Pencil</v>
      </c>
      <c r="H21" s="9">
        <v>21</v>
      </c>
      <c r="I21" s="20"/>
      <c r="L21" s="19"/>
      <c r="M21" s="20"/>
      <c r="P21" s="19"/>
    </row>
    <row r="22" spans="2:16" x14ac:dyDescent="0.45">
      <c r="B22" s="14" t="s">
        <v>61</v>
      </c>
      <c r="C22" s="14" t="s">
        <v>71</v>
      </c>
      <c r="D22" s="14">
        <v>16</v>
      </c>
      <c r="F22" s="9" t="str">
        <v>HR</v>
      </c>
      <c r="G22" s="9" t="str">
        <v>Sticky Tack</v>
      </c>
      <c r="H22" s="9">
        <v>32</v>
      </c>
      <c r="I22" s="20"/>
      <c r="L22" s="19"/>
      <c r="M22" s="20"/>
      <c r="P22" s="19"/>
    </row>
    <row r="23" spans="2:16" x14ac:dyDescent="0.45">
      <c r="B23" s="14" t="s">
        <v>61</v>
      </c>
      <c r="C23" s="14" t="s">
        <v>62</v>
      </c>
      <c r="D23" s="14">
        <v>24</v>
      </c>
      <c r="F23" s="9" t="str">
        <v>Finance</v>
      </c>
      <c r="G23" s="9" t="str">
        <v>#2 Pencil</v>
      </c>
      <c r="H23" s="9">
        <v>18</v>
      </c>
      <c r="I23" s="20"/>
      <c r="L23" s="19"/>
      <c r="M23" s="20"/>
      <c r="P23" s="19"/>
    </row>
    <row r="24" spans="2:16" x14ac:dyDescent="0.45">
      <c r="B24" s="14" t="s">
        <v>61</v>
      </c>
      <c r="C24" s="14" t="s">
        <v>72</v>
      </c>
      <c r="D24" s="14">
        <v>9</v>
      </c>
      <c r="F24" s="9" t="str">
        <v>Security</v>
      </c>
      <c r="G24" s="9" t="str">
        <v>Bluetooth headset</v>
      </c>
      <c r="H24" s="9">
        <v>16</v>
      </c>
      <c r="I24" s="20"/>
      <c r="L24" s="19"/>
      <c r="M24" s="20"/>
      <c r="P24" s="19"/>
    </row>
    <row r="25" spans="2:16" x14ac:dyDescent="0.45">
      <c r="B25" s="21"/>
      <c r="C25" s="22"/>
      <c r="D25" s="22"/>
      <c r="E25" s="22"/>
      <c r="F25" s="22"/>
      <c r="G25" s="22"/>
      <c r="H25" s="22"/>
      <c r="I25" s="21"/>
      <c r="J25" s="22"/>
      <c r="K25" s="22"/>
      <c r="L25" s="23"/>
      <c r="M25" s="21"/>
      <c r="N25" s="22"/>
      <c r="O25" s="22"/>
      <c r="P25" s="2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27A5F-CF32-452A-967C-1B499BBB4A79}">
  <sheetPr codeName="Sheet3">
    <tabColor rgb="FFF6C6C6"/>
  </sheetPr>
  <dimension ref="A1:AC35"/>
  <sheetViews>
    <sheetView zoomScaleNormal="100" workbookViewId="0"/>
  </sheetViews>
  <sheetFormatPr defaultRowHeight="16.5" x14ac:dyDescent="0.45"/>
  <cols>
    <col min="1" max="1" width="5" customWidth="1"/>
    <col min="2" max="2" width="11.08203125" customWidth="1"/>
    <col min="3" max="11" width="5.58203125" customWidth="1"/>
    <col min="12" max="12" width="12.6640625" customWidth="1"/>
    <col min="13" max="13" width="3.5" customWidth="1"/>
    <col min="14" max="14" width="6.75" customWidth="1"/>
    <col min="15" max="15" width="6.5" customWidth="1"/>
    <col min="16" max="16" width="6.25" customWidth="1"/>
    <col min="17" max="17" width="7.5" customWidth="1"/>
    <col min="18" max="18" width="6.5" customWidth="1"/>
    <col min="19" max="19" width="6.83203125" customWidth="1"/>
    <col min="20" max="20" width="7" customWidth="1"/>
    <col min="21" max="21" width="8" customWidth="1"/>
    <col min="22" max="22" width="5.4140625" customWidth="1"/>
    <col min="23" max="23" width="6.83203125" customWidth="1"/>
    <col min="24" max="28" width="5.58203125" bestFit="1" customWidth="1"/>
  </cols>
  <sheetData>
    <row r="1" spans="1:29" x14ac:dyDescent="0.45">
      <c r="A1" s="7"/>
    </row>
    <row r="2" spans="1:29" x14ac:dyDescent="0.45">
      <c r="B2" s="15" t="s">
        <v>103</v>
      </c>
      <c r="C2" s="16"/>
      <c r="D2" s="16"/>
      <c r="E2" s="16"/>
      <c r="F2" s="16"/>
      <c r="G2" s="16"/>
      <c r="H2" s="16"/>
      <c r="I2" s="16"/>
      <c r="J2" s="16"/>
      <c r="K2" s="16"/>
      <c r="L2" s="17"/>
      <c r="M2" s="35"/>
      <c r="N2" s="64"/>
      <c r="O2" s="62" t="s">
        <v>137</v>
      </c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7"/>
    </row>
    <row r="3" spans="1:29" x14ac:dyDescent="0.45">
      <c r="B3" s="18" t="s">
        <v>51</v>
      </c>
      <c r="L3" s="19"/>
      <c r="M3" s="20"/>
      <c r="N3" s="10" t="s">
        <v>129</v>
      </c>
      <c r="O3" s="65" t="s">
        <v>134</v>
      </c>
      <c r="P3" s="65" t="s">
        <v>134</v>
      </c>
      <c r="Q3" s="65" t="s">
        <v>134</v>
      </c>
      <c r="R3" s="65" t="s">
        <v>134</v>
      </c>
      <c r="S3" s="66" t="s">
        <v>134</v>
      </c>
      <c r="T3" s="65" t="s">
        <v>135</v>
      </c>
      <c r="U3" s="65" t="s">
        <v>135</v>
      </c>
      <c r="V3" s="65" t="s">
        <v>135</v>
      </c>
      <c r="W3" s="65" t="s">
        <v>135</v>
      </c>
      <c r="X3" s="66" t="s">
        <v>135</v>
      </c>
      <c r="Y3" s="65" t="s">
        <v>136</v>
      </c>
      <c r="Z3" s="65" t="s">
        <v>136</v>
      </c>
      <c r="AA3" s="65" t="s">
        <v>136</v>
      </c>
      <c r="AB3" s="65" t="s">
        <v>136</v>
      </c>
      <c r="AC3" s="66" t="s">
        <v>136</v>
      </c>
    </row>
    <row r="4" spans="1:29" x14ac:dyDescent="0.45">
      <c r="B4" s="18" t="s">
        <v>52</v>
      </c>
      <c r="L4" s="19"/>
      <c r="M4" s="20"/>
      <c r="N4" s="10" t="s">
        <v>133</v>
      </c>
      <c r="O4" s="10">
        <v>1</v>
      </c>
      <c r="P4" s="10">
        <v>2</v>
      </c>
      <c r="Q4" s="10">
        <v>3</v>
      </c>
      <c r="R4" s="10">
        <v>4</v>
      </c>
      <c r="S4" s="57" t="s">
        <v>130</v>
      </c>
      <c r="T4" s="10">
        <v>5</v>
      </c>
      <c r="U4" s="10">
        <v>6</v>
      </c>
      <c r="V4" s="10">
        <v>7</v>
      </c>
      <c r="W4" s="10">
        <v>8</v>
      </c>
      <c r="X4" s="57" t="s">
        <v>130</v>
      </c>
      <c r="Y4" s="10">
        <v>9</v>
      </c>
      <c r="Z4" s="10">
        <v>10</v>
      </c>
      <c r="AA4" s="10">
        <v>11</v>
      </c>
      <c r="AB4" s="10">
        <v>12</v>
      </c>
      <c r="AC4" s="57" t="s">
        <v>130</v>
      </c>
    </row>
    <row r="5" spans="1:29" x14ac:dyDescent="0.45">
      <c r="B5" s="20"/>
      <c r="C5" s="1" t="s">
        <v>104</v>
      </c>
      <c r="L5" s="19"/>
      <c r="M5" s="20"/>
      <c r="N5" s="10" t="s">
        <v>130</v>
      </c>
      <c r="O5" s="10">
        <v>588</v>
      </c>
      <c r="P5" s="9">
        <v>663</v>
      </c>
      <c r="Q5" s="9">
        <v>437</v>
      </c>
      <c r="R5" s="9">
        <v>781</v>
      </c>
      <c r="S5" s="58">
        <v>2469</v>
      </c>
      <c r="T5" s="9">
        <v>249</v>
      </c>
      <c r="U5" s="9">
        <v>961</v>
      </c>
      <c r="V5" s="9">
        <v>614</v>
      </c>
      <c r="W5" s="9">
        <v>710</v>
      </c>
      <c r="X5" s="58">
        <v>2534</v>
      </c>
      <c r="Y5" s="9">
        <v>545</v>
      </c>
      <c r="Z5" s="9">
        <v>919</v>
      </c>
      <c r="AA5" s="9">
        <v>856</v>
      </c>
      <c r="AB5" s="9">
        <v>768</v>
      </c>
      <c r="AC5" s="57">
        <v>3088</v>
      </c>
    </row>
    <row r="6" spans="1:29" x14ac:dyDescent="0.45">
      <c r="B6" s="20"/>
      <c r="C6" s="1" t="s">
        <v>105</v>
      </c>
      <c r="L6" s="19"/>
      <c r="M6" s="20"/>
      <c r="N6" s="16"/>
      <c r="AC6" s="19"/>
    </row>
    <row r="7" spans="1:29" x14ac:dyDescent="0.45">
      <c r="B7" s="18" t="s">
        <v>106</v>
      </c>
      <c r="L7" s="19"/>
      <c r="M7" s="20"/>
      <c r="N7" s="26" t="s">
        <v>139</v>
      </c>
      <c r="AC7" s="19"/>
    </row>
    <row r="8" spans="1:29" x14ac:dyDescent="0.45">
      <c r="B8" s="20"/>
      <c r="L8" s="19"/>
      <c r="M8" s="20"/>
      <c r="N8" s="67" t="s">
        <v>138</v>
      </c>
      <c r="AC8" s="19"/>
    </row>
    <row r="9" spans="1:29" x14ac:dyDescent="0.45">
      <c r="B9" s="21"/>
      <c r="C9" s="22"/>
      <c r="D9" s="22"/>
      <c r="E9" s="22"/>
      <c r="F9" s="22"/>
      <c r="G9" s="22"/>
      <c r="H9" s="22"/>
      <c r="I9" s="22"/>
      <c r="J9" s="22"/>
      <c r="K9" s="22"/>
      <c r="L9" s="23"/>
      <c r="M9" s="20"/>
      <c r="N9" s="65" t="str" cm="1">
        <f t="array" ref="N9:Y11">DeleteColsλ(WeeklyData,-1,Month)</f>
        <v>Jun</v>
      </c>
      <c r="O9" s="65" t="str">
        <v>Jun</v>
      </c>
      <c r="P9" s="65" t="str">
        <v>Jun</v>
      </c>
      <c r="Q9" s="65" t="str">
        <v>Jun</v>
      </c>
      <c r="R9" s="65" t="str">
        <v>Jul</v>
      </c>
      <c r="S9" s="65" t="str">
        <v>Jul</v>
      </c>
      <c r="T9" s="65" t="str">
        <v>Jul</v>
      </c>
      <c r="U9" s="65" t="str">
        <v>Jul</v>
      </c>
      <c r="V9" s="65" t="str">
        <v>Aug</v>
      </c>
      <c r="W9" s="65" t="str">
        <v>Aug</v>
      </c>
      <c r="X9" s="65" t="str">
        <v>Aug</v>
      </c>
      <c r="Y9" s="65" t="str">
        <v>Aug</v>
      </c>
      <c r="AC9" s="19"/>
    </row>
    <row r="10" spans="1:29" x14ac:dyDescent="0.45">
      <c r="B10" s="60" t="s">
        <v>122</v>
      </c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20"/>
      <c r="N10" s="10">
        <v>1</v>
      </c>
      <c r="O10" s="10">
        <v>2</v>
      </c>
      <c r="P10" s="10">
        <v>3</v>
      </c>
      <c r="Q10" s="10">
        <v>4</v>
      </c>
      <c r="R10" s="10">
        <v>5</v>
      </c>
      <c r="S10" s="10">
        <v>6</v>
      </c>
      <c r="T10" s="10">
        <v>7</v>
      </c>
      <c r="U10" s="10">
        <v>8</v>
      </c>
      <c r="V10" s="10">
        <v>9</v>
      </c>
      <c r="W10" s="10">
        <v>10</v>
      </c>
      <c r="X10" s="10">
        <v>11</v>
      </c>
      <c r="Y10" s="10">
        <v>12</v>
      </c>
      <c r="AC10" s="19"/>
    </row>
    <row r="11" spans="1:29" x14ac:dyDescent="0.45">
      <c r="B11" s="76" t="s">
        <v>116</v>
      </c>
      <c r="C11" s="10" t="s">
        <v>86</v>
      </c>
      <c r="D11" s="10" t="s">
        <v>86</v>
      </c>
      <c r="E11" s="10" t="s">
        <v>86</v>
      </c>
      <c r="F11" s="45" t="s">
        <v>92</v>
      </c>
      <c r="G11" s="45" t="s">
        <v>92</v>
      </c>
      <c r="H11" s="44" t="s">
        <v>93</v>
      </c>
      <c r="I11" s="44" t="s">
        <v>93</v>
      </c>
      <c r="J11" s="44" t="s">
        <v>93</v>
      </c>
      <c r="K11" s="44" t="s">
        <v>93</v>
      </c>
      <c r="L11" s="61"/>
      <c r="M11" s="20"/>
      <c r="N11" s="10">
        <v>588</v>
      </c>
      <c r="O11" s="10">
        <v>663</v>
      </c>
      <c r="P11" s="10">
        <v>437</v>
      </c>
      <c r="Q11" s="10">
        <v>781</v>
      </c>
      <c r="R11" s="10">
        <v>249</v>
      </c>
      <c r="S11" s="10">
        <v>961</v>
      </c>
      <c r="T11" s="10">
        <v>614</v>
      </c>
      <c r="U11" s="10">
        <v>710</v>
      </c>
      <c r="V11" s="10">
        <v>545</v>
      </c>
      <c r="W11" s="10">
        <v>919</v>
      </c>
      <c r="X11" s="10">
        <v>856</v>
      </c>
      <c r="Y11" s="10">
        <v>768</v>
      </c>
      <c r="AC11" s="19"/>
    </row>
    <row r="12" spans="1:29" x14ac:dyDescent="0.45">
      <c r="B12" s="76" t="s">
        <v>117</v>
      </c>
      <c r="C12" s="10" t="s">
        <v>107</v>
      </c>
      <c r="D12" s="10" t="s">
        <v>108</v>
      </c>
      <c r="E12" s="10" t="s">
        <v>109</v>
      </c>
      <c r="F12" s="45" t="s">
        <v>110</v>
      </c>
      <c r="G12" s="45" t="s">
        <v>111</v>
      </c>
      <c r="H12" s="44" t="s">
        <v>112</v>
      </c>
      <c r="I12" s="44" t="s">
        <v>113</v>
      </c>
      <c r="J12" s="44" t="s">
        <v>114</v>
      </c>
      <c r="K12" s="44" t="s">
        <v>115</v>
      </c>
      <c r="L12" s="61"/>
      <c r="M12" s="20"/>
      <c r="AC12" s="19"/>
    </row>
    <row r="13" spans="1:29" x14ac:dyDescent="0.45">
      <c r="B13" s="76" t="s">
        <v>118</v>
      </c>
      <c r="C13" s="10" t="s">
        <v>119</v>
      </c>
      <c r="D13" s="10" t="s">
        <v>119</v>
      </c>
      <c r="E13" s="10" t="s">
        <v>119</v>
      </c>
      <c r="F13" s="45" t="s">
        <v>120</v>
      </c>
      <c r="G13" s="45" t="s">
        <v>120</v>
      </c>
      <c r="H13" s="44" t="s">
        <v>121</v>
      </c>
      <c r="I13" s="44" t="s">
        <v>121</v>
      </c>
      <c r="J13" s="44" t="s">
        <v>121</v>
      </c>
      <c r="K13" s="44" t="s">
        <v>121</v>
      </c>
      <c r="L13" s="61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3"/>
    </row>
    <row r="14" spans="1:29" x14ac:dyDescent="0.45">
      <c r="B14" s="20"/>
      <c r="L14" s="19"/>
      <c r="M14" s="35"/>
      <c r="N14" s="62" t="s">
        <v>149</v>
      </c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7"/>
    </row>
    <row r="15" spans="1:29" x14ac:dyDescent="0.45">
      <c r="B15" s="20"/>
      <c r="C15" s="26" t="s">
        <v>124</v>
      </c>
      <c r="L15" s="19"/>
      <c r="M15" s="20"/>
      <c r="N15" s="10" t="s">
        <v>140</v>
      </c>
      <c r="O15" s="10" t="s">
        <v>140</v>
      </c>
      <c r="P15" s="10" t="s">
        <v>140</v>
      </c>
      <c r="Q15" s="57" t="s">
        <v>141</v>
      </c>
      <c r="R15" s="57" t="s">
        <v>141</v>
      </c>
      <c r="S15" s="163" t="s">
        <v>142</v>
      </c>
      <c r="T15" s="163" t="s">
        <v>142</v>
      </c>
      <c r="U15" s="163" t="s">
        <v>142</v>
      </c>
      <c r="AC15" s="19"/>
    </row>
    <row r="16" spans="1:29" x14ac:dyDescent="0.45">
      <c r="B16" s="20"/>
      <c r="C16" s="25" t="s">
        <v>123</v>
      </c>
      <c r="L16" s="19"/>
      <c r="M16" s="20"/>
      <c r="N16" s="10" t="s">
        <v>143</v>
      </c>
      <c r="O16" s="10" t="s">
        <v>143</v>
      </c>
      <c r="P16" s="10" t="s">
        <v>144</v>
      </c>
      <c r="Q16" s="57" t="s">
        <v>144</v>
      </c>
      <c r="R16" s="57" t="s">
        <v>147</v>
      </c>
      <c r="S16" s="163" t="s">
        <v>145</v>
      </c>
      <c r="T16" s="163" t="s">
        <v>146</v>
      </c>
      <c r="U16" s="163" t="s">
        <v>148</v>
      </c>
      <c r="AC16" s="19"/>
    </row>
    <row r="17" spans="2:29" x14ac:dyDescent="0.45">
      <c r="B17" s="20"/>
      <c r="C17" s="47" t="str" cm="1">
        <f t="array" ref="C17:H19">DeleteColsλ(Roster,1,Group)</f>
        <v>A</v>
      </c>
      <c r="D17" s="48" t="str">
        <v>A</v>
      </c>
      <c r="E17" s="56" t="str">
        <v>B</v>
      </c>
      <c r="F17" s="55" t="str">
        <v>C</v>
      </c>
      <c r="G17" s="55" t="str">
        <v>C</v>
      </c>
      <c r="H17" s="48" t="str">
        <v>C</v>
      </c>
      <c r="L17" s="19"/>
      <c r="M17" s="20"/>
      <c r="AC17" s="19"/>
    </row>
    <row r="18" spans="2:29" x14ac:dyDescent="0.45">
      <c r="B18" s="20"/>
      <c r="C18" s="37" t="str">
        <v>Bob</v>
      </c>
      <c r="D18" s="49" t="str">
        <v>Deb</v>
      </c>
      <c r="E18" s="52" t="str">
        <v>Peg</v>
      </c>
      <c r="F18" s="37" t="str">
        <v>Bev</v>
      </c>
      <c r="G18" s="46" t="str">
        <v>Ned</v>
      </c>
      <c r="H18" s="49" t="str">
        <v>Ted</v>
      </c>
      <c r="L18" s="19"/>
      <c r="M18" s="20"/>
      <c r="N18" s="26" t="s">
        <v>125</v>
      </c>
      <c r="W18" s="26" t="s">
        <v>102</v>
      </c>
      <c r="AC18" s="19"/>
    </row>
    <row r="19" spans="2:29" x14ac:dyDescent="0.45">
      <c r="B19" s="20"/>
      <c r="C19" s="50" t="str">
        <v>Lisa</v>
      </c>
      <c r="D19" s="51" t="str">
        <v>Lisa</v>
      </c>
      <c r="E19" s="53" t="str">
        <v>Ron</v>
      </c>
      <c r="F19" s="50" t="str">
        <v>Juan</v>
      </c>
      <c r="G19" s="54" t="str">
        <v>Juan</v>
      </c>
      <c r="H19" s="51" t="str">
        <v>Juan</v>
      </c>
      <c r="L19" s="19"/>
      <c r="M19" s="20"/>
      <c r="N19" s="25" t="s">
        <v>150</v>
      </c>
      <c r="W19" s="25" t="s">
        <v>151</v>
      </c>
      <c r="AC19" s="19"/>
    </row>
    <row r="20" spans="2:29" x14ac:dyDescent="0.45">
      <c r="B20" s="20"/>
      <c r="L20" s="19"/>
      <c r="M20" s="20"/>
      <c r="N20" s="35" t="str" cm="1">
        <f t="array" ref="N20:R21">DeleteColsλ(Winners,-1,Medal)</f>
        <v>Gold</v>
      </c>
      <c r="O20" s="17" t="str">
        <v>Gold</v>
      </c>
      <c r="P20" s="35" t="str">
        <v>Silver</v>
      </c>
      <c r="Q20" s="17" t="str">
        <v>Bronze</v>
      </c>
      <c r="R20" s="63" t="str">
        <v>Bronze</v>
      </c>
      <c r="W20" t="e" cm="1" vm="1">
        <f t="array" ref="W20">DeleteColsλ(Winners,3,Medal)</f>
        <v>#VALUE!</v>
      </c>
      <c r="AC20" s="19"/>
    </row>
    <row r="21" spans="2:29" x14ac:dyDescent="0.45">
      <c r="B21" s="20"/>
      <c r="L21" s="19"/>
      <c r="M21" s="20"/>
      <c r="N21" s="21" t="str">
        <v>Phelps</v>
      </c>
      <c r="O21" s="23" t="str">
        <v>Phelps</v>
      </c>
      <c r="P21" s="21" t="str">
        <v>Lewis</v>
      </c>
      <c r="Q21" s="23" t="str">
        <v>Dunbar</v>
      </c>
      <c r="R21" s="69" t="str">
        <v>Reid</v>
      </c>
      <c r="AC21" s="19"/>
    </row>
    <row r="22" spans="2:29" x14ac:dyDescent="0.45">
      <c r="B22" s="20"/>
      <c r="C22" s="26" t="s">
        <v>125</v>
      </c>
      <c r="L22" s="19"/>
      <c r="M22" s="20"/>
      <c r="AC22" s="19"/>
    </row>
    <row r="23" spans="2:29" x14ac:dyDescent="0.45">
      <c r="B23" s="20"/>
      <c r="C23" s="27" t="s">
        <v>126</v>
      </c>
      <c r="L23" s="19"/>
      <c r="M23" s="20"/>
      <c r="N23" s="26" t="s">
        <v>125</v>
      </c>
      <c r="AC23" s="19"/>
    </row>
    <row r="24" spans="2:29" x14ac:dyDescent="0.45">
      <c r="B24" s="20"/>
      <c r="C24" s="47" t="str" cm="1">
        <f t="array" ref="C24:H26">DeleteColsλ(Roster,-1,Group)</f>
        <v>A</v>
      </c>
      <c r="D24" s="48" t="str">
        <v>A</v>
      </c>
      <c r="E24" s="47" t="str">
        <v>B</v>
      </c>
      <c r="F24" s="48" t="str">
        <v>C</v>
      </c>
      <c r="G24" s="47" t="str">
        <v>C</v>
      </c>
      <c r="H24" s="48" t="str">
        <v>C</v>
      </c>
      <c r="L24" s="19"/>
      <c r="M24" s="20"/>
      <c r="N24" s="27" t="s">
        <v>152</v>
      </c>
      <c r="AC24" s="19"/>
    </row>
    <row r="25" spans="2:29" x14ac:dyDescent="0.45">
      <c r="B25" s="20"/>
      <c r="C25" s="37" t="str">
        <v>Jim</v>
      </c>
      <c r="D25" s="49" t="str">
        <v>Bob</v>
      </c>
      <c r="E25" s="37" t="str">
        <v>Sue</v>
      </c>
      <c r="F25" s="49" t="str">
        <v>Gus</v>
      </c>
      <c r="G25" s="37" t="str">
        <v>Bev</v>
      </c>
      <c r="H25" s="49" t="str">
        <v>Ned</v>
      </c>
      <c r="L25" s="19"/>
      <c r="M25" s="20"/>
      <c r="N25" s="30" t="str" cm="1">
        <f t="array" ref="N25:O26">DeleteColsλ(Winners,-1,Athlete)</f>
        <v>Gold</v>
      </c>
      <c r="O25" s="30" t="str">
        <v>Gold</v>
      </c>
      <c r="AC25" s="19"/>
    </row>
    <row r="26" spans="2:29" x14ac:dyDescent="0.45">
      <c r="B26" s="20"/>
      <c r="C26" s="50" t="str">
        <v>Lisa</v>
      </c>
      <c r="D26" s="51" t="str">
        <v>Lisa</v>
      </c>
      <c r="E26" s="50" t="str">
        <v>Ron</v>
      </c>
      <c r="F26" s="51" t="str">
        <v>Juan</v>
      </c>
      <c r="G26" s="50" t="str">
        <v>Juan</v>
      </c>
      <c r="H26" s="51" t="str">
        <v>Juan</v>
      </c>
      <c r="L26" s="19"/>
      <c r="M26" s="20"/>
      <c r="N26" s="30" t="str">
        <v>Phelps</v>
      </c>
      <c r="O26" s="30" t="str">
        <v>Lewis</v>
      </c>
      <c r="AC26" s="19"/>
    </row>
    <row r="27" spans="2:29" x14ac:dyDescent="0.45">
      <c r="B27" s="20"/>
      <c r="L27" s="19"/>
      <c r="M27" s="20"/>
      <c r="AC27" s="19"/>
    </row>
    <row r="28" spans="2:29" x14ac:dyDescent="0.45">
      <c r="B28" s="20"/>
      <c r="C28" s="26" t="s">
        <v>128</v>
      </c>
      <c r="L28" s="19"/>
      <c r="M28" s="20"/>
      <c r="AC28" s="19"/>
    </row>
    <row r="29" spans="2:29" x14ac:dyDescent="0.45">
      <c r="B29" s="20"/>
      <c r="C29" s="27" t="s">
        <v>127</v>
      </c>
      <c r="L29" s="19"/>
      <c r="M29" s="20"/>
      <c r="AC29" s="19"/>
    </row>
    <row r="30" spans="2:29" x14ac:dyDescent="0.45">
      <c r="B30" s="20"/>
      <c r="C30" s="10" t="str" cm="1">
        <f t="array" ref="C30:E32">DeleteColsλ(Roster,2,Group)</f>
        <v>A</v>
      </c>
      <c r="D30" s="10" t="str">
        <v>C</v>
      </c>
      <c r="E30" s="10" t="str">
        <v>C</v>
      </c>
      <c r="L30" s="19"/>
      <c r="M30" s="20"/>
      <c r="AC30" s="19"/>
    </row>
    <row r="31" spans="2:29" x14ac:dyDescent="0.45">
      <c r="B31" s="20"/>
      <c r="C31" s="10" t="str">
        <v>Deb</v>
      </c>
      <c r="D31" s="10" t="str">
        <v>Ned</v>
      </c>
      <c r="E31" s="10" t="str">
        <v>Ted</v>
      </c>
      <c r="L31" s="19"/>
      <c r="M31" s="20"/>
      <c r="AC31" s="19"/>
    </row>
    <row r="32" spans="2:29" x14ac:dyDescent="0.45">
      <c r="B32" s="20"/>
      <c r="C32" s="10" t="str">
        <v>Lisa</v>
      </c>
      <c r="D32" s="10" t="str">
        <v>Juan</v>
      </c>
      <c r="E32" s="10" t="str">
        <v>Juan</v>
      </c>
      <c r="L32" s="19"/>
      <c r="M32" s="20"/>
      <c r="AC32" s="19"/>
    </row>
    <row r="33" spans="2:29" x14ac:dyDescent="0.45">
      <c r="B33" s="20"/>
      <c r="L33" s="19"/>
      <c r="M33" s="20"/>
      <c r="AC33" s="19"/>
    </row>
    <row r="34" spans="2:29" x14ac:dyDescent="0.45">
      <c r="B34" s="20"/>
      <c r="L34" s="19"/>
      <c r="M34" s="20"/>
      <c r="AC34" s="19"/>
    </row>
    <row r="35" spans="2:29" x14ac:dyDescent="0.45">
      <c r="B35" s="21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1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0546-15C2-4721-89F2-3CED58BD1B1B}">
  <sheetPr codeName="Sheet4">
    <tabColor rgb="FFF6C6C6"/>
  </sheetPr>
  <dimension ref="A1:AL33"/>
  <sheetViews>
    <sheetView workbookViewId="0"/>
  </sheetViews>
  <sheetFormatPr defaultRowHeight="16.5" x14ac:dyDescent="0.45"/>
  <cols>
    <col min="1" max="1" width="5" customWidth="1"/>
    <col min="2" max="2" width="6.5" customWidth="1"/>
    <col min="3" max="27" width="5.58203125" customWidth="1"/>
    <col min="28" max="28" width="3.83203125" customWidth="1"/>
    <col min="29" max="30" width="5.58203125" customWidth="1"/>
    <col min="31" max="31" width="5.58203125" bestFit="1" customWidth="1"/>
    <col min="32" max="33" width="4.5" customWidth="1"/>
    <col min="34" max="34" width="5.08203125" bestFit="1" customWidth="1"/>
    <col min="35" max="35" width="3.33203125" customWidth="1"/>
    <col min="36" max="36" width="6.08203125" bestFit="1" customWidth="1"/>
    <col min="37" max="37" width="4.5" bestFit="1" customWidth="1"/>
    <col min="38" max="38" width="3.33203125" customWidth="1"/>
  </cols>
  <sheetData>
    <row r="1" spans="1:38" x14ac:dyDescent="0.45">
      <c r="A1" s="7"/>
    </row>
    <row r="2" spans="1:38" x14ac:dyDescent="0.45">
      <c r="B2" s="15" t="s">
        <v>236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</row>
    <row r="3" spans="1:38" x14ac:dyDescent="0.45">
      <c r="B3" s="18" t="s">
        <v>237</v>
      </c>
      <c r="T3" s="19"/>
    </row>
    <row r="4" spans="1:38" x14ac:dyDescent="0.45">
      <c r="B4" s="98" t="s">
        <v>238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38" x14ac:dyDescent="0.45">
      <c r="B5" s="35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7"/>
    </row>
    <row r="6" spans="1:38" x14ac:dyDescent="0.45">
      <c r="B6" s="20"/>
      <c r="L6" s="26" t="s">
        <v>583</v>
      </c>
      <c r="T6" s="19"/>
    </row>
    <row r="7" spans="1:38" x14ac:dyDescent="0.45">
      <c r="B7" s="20"/>
      <c r="C7" s="31" t="s">
        <v>244</v>
      </c>
      <c r="L7" s="27" t="s">
        <v>245</v>
      </c>
      <c r="T7" s="19"/>
    </row>
    <row r="8" spans="1:38" x14ac:dyDescent="0.45">
      <c r="B8" s="20"/>
      <c r="C8" s="95" t="e">
        <f>NA()</f>
        <v>#N/A</v>
      </c>
      <c r="D8" s="95" t="e">
        <f>NA()</f>
        <v>#N/A</v>
      </c>
      <c r="E8" s="95" t="e">
        <f>NA()</f>
        <v>#N/A</v>
      </c>
      <c r="F8" s="95" t="e">
        <f>NA()</f>
        <v>#N/A</v>
      </c>
      <c r="G8" s="95" t="e">
        <f>NA()</f>
        <v>#N/A</v>
      </c>
      <c r="H8" s="95" t="e">
        <f>NA()</f>
        <v>#N/A</v>
      </c>
      <c r="I8" s="95" t="e">
        <f>NA()</f>
        <v>#N/A</v>
      </c>
      <c r="J8" s="95" t="e">
        <f>NA()</f>
        <v>#N/A</v>
      </c>
      <c r="L8" s="95" cm="1">
        <f t="array" ref="L8:O12">DeleteWhereλ(EBoard,_xlfn.LAMBDA(_xlpm.v,AND(ISNA(_xlpm.v))))</f>
        <v>7</v>
      </c>
      <c r="M8" s="95">
        <v>5</v>
      </c>
      <c r="N8" s="95">
        <v>7</v>
      </c>
      <c r="O8" s="95">
        <v>6</v>
      </c>
      <c r="T8" s="19"/>
    </row>
    <row r="9" spans="1:38" x14ac:dyDescent="0.45">
      <c r="B9" s="20"/>
      <c r="C9" s="95" t="e">
        <f>NA()</f>
        <v>#N/A</v>
      </c>
      <c r="D9" s="95">
        <v>7</v>
      </c>
      <c r="E9" s="95" t="e">
        <f>NA()</f>
        <v>#N/A</v>
      </c>
      <c r="F9" s="95">
        <v>5</v>
      </c>
      <c r="G9" s="95">
        <v>7</v>
      </c>
      <c r="H9" s="95">
        <v>6</v>
      </c>
      <c r="I9" s="95" t="e">
        <f>NA()</f>
        <v>#N/A</v>
      </c>
      <c r="J9" s="95" t="e">
        <f>NA()</f>
        <v>#N/A</v>
      </c>
      <c r="L9" s="95">
        <v>9</v>
      </c>
      <c r="M9" s="95">
        <v>4</v>
      </c>
      <c r="N9" s="95" t="e">
        <v>#N/A</v>
      </c>
      <c r="O9" s="95">
        <v>5</v>
      </c>
      <c r="T9" s="19"/>
    </row>
    <row r="10" spans="1:38" x14ac:dyDescent="0.45">
      <c r="B10" s="20"/>
      <c r="C10" s="95" t="e">
        <f>NA()</f>
        <v>#N/A</v>
      </c>
      <c r="D10" s="95" t="e">
        <f>NA()</f>
        <v>#N/A</v>
      </c>
      <c r="E10" s="95" t="e">
        <f>NA()</f>
        <v>#N/A</v>
      </c>
      <c r="F10" s="95" t="e">
        <f>NA()</f>
        <v>#N/A</v>
      </c>
      <c r="G10" s="95" t="e">
        <f>NA()</f>
        <v>#N/A</v>
      </c>
      <c r="H10" s="95" t="e">
        <f>NA()</f>
        <v>#N/A</v>
      </c>
      <c r="I10" s="95" t="e">
        <f>NA()</f>
        <v>#N/A</v>
      </c>
      <c r="J10" s="95" t="e">
        <f>NA()</f>
        <v>#N/A</v>
      </c>
      <c r="L10" s="95">
        <v>4</v>
      </c>
      <c r="M10" s="95">
        <v>1</v>
      </c>
      <c r="N10" s="95">
        <v>2</v>
      </c>
      <c r="O10" s="95">
        <v>9</v>
      </c>
      <c r="T10" s="19"/>
    </row>
    <row r="11" spans="1:38" x14ac:dyDescent="0.45">
      <c r="B11" s="20"/>
      <c r="C11" s="95" t="e">
        <f>NA()</f>
        <v>#N/A</v>
      </c>
      <c r="D11" s="95">
        <v>9</v>
      </c>
      <c r="E11" s="95" t="e">
        <f>NA()</f>
        <v>#N/A</v>
      </c>
      <c r="F11" s="95">
        <v>4</v>
      </c>
      <c r="G11" s="95" t="e">
        <f>NA()</f>
        <v>#N/A</v>
      </c>
      <c r="H11" s="95">
        <v>5</v>
      </c>
      <c r="I11" s="95" t="e">
        <f>NA()</f>
        <v>#N/A</v>
      </c>
      <c r="J11" s="95" t="e">
        <f>NA()</f>
        <v>#N/A</v>
      </c>
      <c r="L11" s="95">
        <v>7</v>
      </c>
      <c r="M11" s="95">
        <v>6</v>
      </c>
      <c r="N11" s="95">
        <v>9</v>
      </c>
      <c r="O11" s="95">
        <v>10</v>
      </c>
      <c r="T11" s="19"/>
    </row>
    <row r="12" spans="1:38" x14ac:dyDescent="0.45">
      <c r="B12" s="20"/>
      <c r="C12" s="95" t="e">
        <f>NA()</f>
        <v>#N/A</v>
      </c>
      <c r="D12" s="95">
        <v>4</v>
      </c>
      <c r="E12" s="95" t="e">
        <f>NA()</f>
        <v>#N/A</v>
      </c>
      <c r="F12" s="95">
        <v>1</v>
      </c>
      <c r="G12" s="95">
        <v>2</v>
      </c>
      <c r="H12" s="95">
        <v>9</v>
      </c>
      <c r="I12" s="95" t="e">
        <f>NA()</f>
        <v>#N/A</v>
      </c>
      <c r="J12" s="95" t="e">
        <f>NA()</f>
        <v>#N/A</v>
      </c>
      <c r="L12" s="95">
        <v>5</v>
      </c>
      <c r="M12" s="95">
        <v>2</v>
      </c>
      <c r="N12" s="95">
        <v>2</v>
      </c>
      <c r="O12" s="95">
        <v>5</v>
      </c>
      <c r="T12" s="19"/>
      <c r="AL12" s="28"/>
    </row>
    <row r="13" spans="1:38" x14ac:dyDescent="0.45">
      <c r="B13" s="20"/>
      <c r="C13" s="95" t="e">
        <f>NA()</f>
        <v>#N/A</v>
      </c>
      <c r="D13" s="95" t="e">
        <f>NA()</f>
        <v>#N/A</v>
      </c>
      <c r="E13" s="95" t="e">
        <f>NA()</f>
        <v>#N/A</v>
      </c>
      <c r="F13" s="95" t="e">
        <f>NA()</f>
        <v>#N/A</v>
      </c>
      <c r="G13" s="95" t="e">
        <f>NA()</f>
        <v>#N/A</v>
      </c>
      <c r="H13" s="95" t="e">
        <f>NA()</f>
        <v>#N/A</v>
      </c>
      <c r="I13" s="95" t="e">
        <f>NA()</f>
        <v>#N/A</v>
      </c>
      <c r="J13" s="95" t="e">
        <f>NA()</f>
        <v>#N/A</v>
      </c>
      <c r="T13" s="19"/>
      <c r="AL13" s="28"/>
    </row>
    <row r="14" spans="1:38" x14ac:dyDescent="0.45">
      <c r="B14" s="20"/>
      <c r="C14" s="95" t="e">
        <f>NA()</f>
        <v>#N/A</v>
      </c>
      <c r="D14" s="95">
        <v>7</v>
      </c>
      <c r="E14" s="95" t="e">
        <f>NA()</f>
        <v>#N/A</v>
      </c>
      <c r="F14" s="95">
        <v>6</v>
      </c>
      <c r="G14" s="95">
        <v>9</v>
      </c>
      <c r="H14" s="95">
        <v>10</v>
      </c>
      <c r="I14" s="95" t="e">
        <f>NA()</f>
        <v>#N/A</v>
      </c>
      <c r="J14" s="95" t="e">
        <f>NA()</f>
        <v>#N/A</v>
      </c>
      <c r="L14" s="26" t="s">
        <v>247</v>
      </c>
      <c r="T14" s="19"/>
    </row>
    <row r="15" spans="1:38" x14ac:dyDescent="0.45">
      <c r="B15" s="20"/>
      <c r="C15" s="95" t="e">
        <f>NA()</f>
        <v>#N/A</v>
      </c>
      <c r="D15" s="95">
        <v>5</v>
      </c>
      <c r="E15" s="95" t="e">
        <f>NA()</f>
        <v>#N/A</v>
      </c>
      <c r="F15" s="95">
        <v>2</v>
      </c>
      <c r="G15" s="95">
        <v>2</v>
      </c>
      <c r="H15" s="95">
        <v>5</v>
      </c>
      <c r="I15" s="95" t="e">
        <f>NA()</f>
        <v>#N/A</v>
      </c>
      <c r="J15" s="95" t="e">
        <f>NA()</f>
        <v>#N/A</v>
      </c>
      <c r="L15" s="27" t="s">
        <v>246</v>
      </c>
      <c r="T15" s="19"/>
    </row>
    <row r="16" spans="1:38" x14ac:dyDescent="0.45">
      <c r="B16" s="20"/>
      <c r="C16" s="95" t="e">
        <f>NA()</f>
        <v>#N/A</v>
      </c>
      <c r="D16" s="95" t="e">
        <f>NA()</f>
        <v>#N/A</v>
      </c>
      <c r="E16" s="95" t="e">
        <f>NA()</f>
        <v>#N/A</v>
      </c>
      <c r="F16" s="95" t="e">
        <f>NA()</f>
        <v>#N/A</v>
      </c>
      <c r="G16" s="95" t="e">
        <f>NA()</f>
        <v>#N/A</v>
      </c>
      <c r="H16" s="95" t="e">
        <f>NA()</f>
        <v>#N/A</v>
      </c>
      <c r="I16" s="95" t="e">
        <f>NA()</f>
        <v>#N/A</v>
      </c>
      <c r="J16" s="95" t="e">
        <f>NA()</f>
        <v>#N/A</v>
      </c>
      <c r="L16" s="97" t="str" cm="1">
        <f t="array" ref="L16">DeleteWhereλ(EBoard,_xlfn.LAMBDA(_xlpm.v,OR(ISNA(_xlpm.v))))</f>
        <v>#EMPTY-ARRAY!</v>
      </c>
      <c r="T16" s="19"/>
    </row>
    <row r="17" spans="2:20" x14ac:dyDescent="0.45">
      <c r="B17" s="21"/>
      <c r="C17" s="95" t="e">
        <f>NA()</f>
        <v>#N/A</v>
      </c>
      <c r="D17" s="95" t="e">
        <f>NA()</f>
        <v>#N/A</v>
      </c>
      <c r="E17" s="95" t="e">
        <f>NA()</f>
        <v>#N/A</v>
      </c>
      <c r="F17" s="95" t="e">
        <f>NA()</f>
        <v>#N/A</v>
      </c>
      <c r="G17" s="95" t="e">
        <f>NA()</f>
        <v>#N/A</v>
      </c>
      <c r="H17" s="95" t="e">
        <f>NA()</f>
        <v>#N/A</v>
      </c>
      <c r="I17" s="95" t="e">
        <f>NA()</f>
        <v>#N/A</v>
      </c>
      <c r="J17" s="95" t="e">
        <f>NA()</f>
        <v>#N/A</v>
      </c>
      <c r="K17" s="22"/>
      <c r="L17" s="22"/>
      <c r="M17" s="22"/>
      <c r="N17" s="22"/>
      <c r="O17" s="22"/>
      <c r="P17" s="22"/>
      <c r="Q17" s="22"/>
      <c r="R17" s="22"/>
      <c r="S17" s="22"/>
      <c r="T17" s="23"/>
    </row>
    <row r="18" spans="2:20" x14ac:dyDescent="0.45">
      <c r="B18" s="3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7"/>
    </row>
    <row r="19" spans="2:20" x14ac:dyDescent="0.45">
      <c r="B19" s="20"/>
      <c r="C19" s="31" t="s">
        <v>240</v>
      </c>
      <c r="L19" s="26" t="s">
        <v>242</v>
      </c>
      <c r="T19" s="19"/>
    </row>
    <row r="20" spans="2:20" x14ac:dyDescent="0.45">
      <c r="B20" s="20"/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L20" s="27" t="s">
        <v>241</v>
      </c>
      <c r="T20" s="19"/>
    </row>
    <row r="21" spans="2:20" x14ac:dyDescent="0.45">
      <c r="B21" s="20"/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L21" s="10" cm="1">
        <f t="array" ref="L21:S31">DeleteWhereλ(TBoard,_xlfn.LAMBDA(_xlpm.v,AND(_xlpm.v)))</f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9"/>
    </row>
    <row r="22" spans="2:20" x14ac:dyDescent="0.45">
      <c r="B22" s="20"/>
      <c r="C22" s="10">
        <v>0</v>
      </c>
      <c r="D22" s="10">
        <v>0</v>
      </c>
      <c r="E22" s="10">
        <v>1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9"/>
    </row>
    <row r="23" spans="2:20" x14ac:dyDescent="0.45">
      <c r="B23" s="20"/>
      <c r="C23" s="10">
        <v>0</v>
      </c>
      <c r="D23" s="10">
        <v>1</v>
      </c>
      <c r="E23" s="10">
        <v>1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L23" s="10">
        <v>0</v>
      </c>
      <c r="M23" s="10">
        <v>0</v>
      </c>
      <c r="N23" s="10">
        <v>1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9"/>
    </row>
    <row r="24" spans="2:20" x14ac:dyDescent="0.45">
      <c r="B24" s="20"/>
      <c r="C24" s="95">
        <v>0</v>
      </c>
      <c r="D24" s="95">
        <v>1</v>
      </c>
      <c r="E24" s="95">
        <v>0</v>
      </c>
      <c r="F24" s="95">
        <v>0</v>
      </c>
      <c r="G24" s="95">
        <v>0</v>
      </c>
      <c r="H24" s="95">
        <v>0</v>
      </c>
      <c r="I24" s="95">
        <v>0</v>
      </c>
      <c r="J24" s="95">
        <v>0</v>
      </c>
      <c r="L24" s="10">
        <v>0</v>
      </c>
      <c r="M24" s="10">
        <v>1</v>
      </c>
      <c r="N24" s="10">
        <v>1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9"/>
    </row>
    <row r="25" spans="2:20" x14ac:dyDescent="0.45">
      <c r="B25" s="20"/>
      <c r="C25" s="95">
        <v>0</v>
      </c>
      <c r="D25" s="95">
        <v>0</v>
      </c>
      <c r="E25" s="95">
        <v>0</v>
      </c>
      <c r="F25" s="95">
        <v>0</v>
      </c>
      <c r="G25" s="95">
        <v>0</v>
      </c>
      <c r="H25" s="95">
        <v>0</v>
      </c>
      <c r="I25" s="95">
        <v>0</v>
      </c>
      <c r="J25" s="95">
        <v>0</v>
      </c>
      <c r="L25" s="10">
        <v>0</v>
      </c>
      <c r="M25" s="10">
        <v>1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9"/>
    </row>
    <row r="26" spans="2:20" x14ac:dyDescent="0.45">
      <c r="B26" s="20"/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9"/>
    </row>
    <row r="27" spans="2:20" x14ac:dyDescent="0.45">
      <c r="B27" s="20"/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9"/>
    </row>
    <row r="28" spans="2:20" x14ac:dyDescent="0.45">
      <c r="B28" s="20"/>
      <c r="C28" s="10">
        <v>1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9"/>
    </row>
    <row r="29" spans="2:20" x14ac:dyDescent="0.45">
      <c r="B29" s="20"/>
      <c r="C29" s="10">
        <v>1</v>
      </c>
      <c r="D29" s="10">
        <v>0</v>
      </c>
      <c r="E29" s="10">
        <v>0</v>
      </c>
      <c r="F29" s="10">
        <v>0</v>
      </c>
      <c r="G29" s="10">
        <v>1</v>
      </c>
      <c r="H29" s="10">
        <v>0</v>
      </c>
      <c r="I29" s="10">
        <v>1</v>
      </c>
      <c r="J29" s="10">
        <v>1</v>
      </c>
      <c r="L29" s="10">
        <v>1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9"/>
    </row>
    <row r="30" spans="2:20" x14ac:dyDescent="0.45">
      <c r="B30" s="20"/>
      <c r="C30" s="10">
        <v>1</v>
      </c>
      <c r="D30" s="10">
        <v>0</v>
      </c>
      <c r="E30" s="10">
        <v>0</v>
      </c>
      <c r="F30" s="10">
        <v>0</v>
      </c>
      <c r="G30" s="10">
        <v>1</v>
      </c>
      <c r="H30" s="10">
        <v>0</v>
      </c>
      <c r="I30" s="10">
        <v>1</v>
      </c>
      <c r="J30" s="10">
        <v>1</v>
      </c>
      <c r="L30" s="10">
        <v>1</v>
      </c>
      <c r="M30" s="10">
        <v>0</v>
      </c>
      <c r="N30" s="10">
        <v>0</v>
      </c>
      <c r="O30" s="10">
        <v>0</v>
      </c>
      <c r="P30" s="10">
        <v>1</v>
      </c>
      <c r="Q30" s="10">
        <v>0</v>
      </c>
      <c r="R30" s="10">
        <v>1</v>
      </c>
      <c r="S30" s="10">
        <v>1</v>
      </c>
      <c r="T30" s="19"/>
    </row>
    <row r="31" spans="2:20" x14ac:dyDescent="0.45">
      <c r="B31" s="20"/>
      <c r="C31" s="10">
        <v>1</v>
      </c>
      <c r="D31" s="10">
        <v>1</v>
      </c>
      <c r="E31" s="10">
        <v>1</v>
      </c>
      <c r="F31" s="10">
        <v>1</v>
      </c>
      <c r="G31" s="10">
        <v>1</v>
      </c>
      <c r="H31" s="10">
        <v>1</v>
      </c>
      <c r="I31" s="10">
        <v>1</v>
      </c>
      <c r="J31" s="10">
        <v>1</v>
      </c>
      <c r="L31" s="10">
        <v>1</v>
      </c>
      <c r="M31" s="10">
        <v>0</v>
      </c>
      <c r="N31" s="10">
        <v>0</v>
      </c>
      <c r="O31" s="10">
        <v>0</v>
      </c>
      <c r="P31" s="10">
        <v>1</v>
      </c>
      <c r="Q31" s="10">
        <v>0</v>
      </c>
      <c r="R31" s="10">
        <v>1</v>
      </c>
      <c r="S31" s="10">
        <v>1</v>
      </c>
      <c r="T31" s="19"/>
    </row>
    <row r="32" spans="2:20" x14ac:dyDescent="0.45">
      <c r="B32" s="20"/>
      <c r="C32" s="10">
        <v>1</v>
      </c>
      <c r="D32" s="10">
        <v>1</v>
      </c>
      <c r="E32" s="10">
        <v>1</v>
      </c>
      <c r="F32" s="10">
        <v>1</v>
      </c>
      <c r="G32" s="10">
        <v>1</v>
      </c>
      <c r="H32" s="10">
        <v>1</v>
      </c>
      <c r="I32" s="10">
        <v>1</v>
      </c>
      <c r="J32" s="10">
        <v>1</v>
      </c>
      <c r="T32" s="19"/>
    </row>
    <row r="33" spans="2:20" x14ac:dyDescent="0.45"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3"/>
    </row>
  </sheetData>
  <conditionalFormatting sqref="C20:J32">
    <cfRule type="cellIs" dxfId="1" priority="1" operator="equal">
      <formula>1</formula>
    </cfRule>
  </conditionalFormatting>
  <conditionalFormatting sqref="L21:S31"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09DA-F376-4E02-BCB8-A6C7C925DCCE}">
  <sheetPr codeName="Sheet5">
    <tabColor rgb="FFF6C6C6"/>
  </sheetPr>
  <dimension ref="A1:AD21"/>
  <sheetViews>
    <sheetView workbookViewId="0"/>
  </sheetViews>
  <sheetFormatPr defaultRowHeight="16.5" x14ac:dyDescent="0.45"/>
  <cols>
    <col min="1" max="1" width="5" customWidth="1"/>
    <col min="2" max="12" width="3.5" customWidth="1"/>
    <col min="13" max="21" width="4.58203125" customWidth="1"/>
    <col min="22" max="22" width="4.9140625" customWidth="1"/>
    <col min="23" max="23" width="4.33203125" customWidth="1"/>
    <col min="24" max="24" width="4.33203125" bestFit="1" customWidth="1"/>
    <col min="25" max="25" width="4.25" bestFit="1" customWidth="1"/>
    <col min="26" max="26" width="3.83203125" bestFit="1" customWidth="1"/>
    <col min="27" max="27" width="4.5" bestFit="1" customWidth="1"/>
    <col min="28" max="28" width="4.25" bestFit="1" customWidth="1"/>
    <col min="29" max="29" width="5.08203125" bestFit="1" customWidth="1"/>
  </cols>
  <sheetData>
    <row r="1" spans="1:30" x14ac:dyDescent="0.45">
      <c r="A1" s="7"/>
    </row>
    <row r="2" spans="1:30" x14ac:dyDescent="0.45">
      <c r="B2" s="15" t="s">
        <v>248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7"/>
    </row>
    <row r="3" spans="1:30" x14ac:dyDescent="0.45">
      <c r="B3" s="18" t="s">
        <v>249</v>
      </c>
      <c r="AD3" s="19"/>
    </row>
    <row r="4" spans="1:30" x14ac:dyDescent="0.45">
      <c r="B4" s="21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3"/>
    </row>
    <row r="5" spans="1:30" x14ac:dyDescent="0.45">
      <c r="B5" s="20"/>
      <c r="J5" s="17"/>
      <c r="AD5" s="19"/>
    </row>
    <row r="6" spans="1:30" x14ac:dyDescent="0.45">
      <c r="B6" s="20"/>
      <c r="C6" s="116" t="s">
        <v>239</v>
      </c>
      <c r="J6" s="19"/>
      <c r="M6" s="31" t="s">
        <v>257</v>
      </c>
      <c r="W6" s="26" t="s">
        <v>251</v>
      </c>
      <c r="AD6" s="19"/>
    </row>
    <row r="7" spans="1:30" x14ac:dyDescent="0.45">
      <c r="B7" s="20"/>
      <c r="C7" s="9">
        <v>36</v>
      </c>
      <c r="D7" s="9">
        <v>40</v>
      </c>
      <c r="E7" s="14"/>
      <c r="F7" s="9">
        <v>34</v>
      </c>
      <c r="G7" s="9">
        <v>72</v>
      </c>
      <c r="J7" s="19"/>
      <c r="M7" s="9" t="s">
        <v>135</v>
      </c>
      <c r="N7" s="9" t="s">
        <v>136</v>
      </c>
      <c r="O7" s="9" t="s">
        <v>252</v>
      </c>
      <c r="P7" s="14"/>
      <c r="Q7" s="9" t="s">
        <v>253</v>
      </c>
      <c r="R7" s="9" t="s">
        <v>254</v>
      </c>
      <c r="S7" s="9" t="s">
        <v>255</v>
      </c>
      <c r="T7" s="14"/>
      <c r="U7" s="9" t="s">
        <v>130</v>
      </c>
      <c r="W7" s="27" t="s">
        <v>256</v>
      </c>
      <c r="AD7" s="19"/>
    </row>
    <row r="8" spans="1:30" x14ac:dyDescent="0.45">
      <c r="B8" s="20"/>
      <c r="C8" s="9">
        <v>74</v>
      </c>
      <c r="D8" s="9">
        <v>20</v>
      </c>
      <c r="E8" s="14"/>
      <c r="F8" s="9">
        <v>20</v>
      </c>
      <c r="G8" s="9">
        <v>93</v>
      </c>
      <c r="J8" s="19"/>
      <c r="M8" s="9">
        <v>8</v>
      </c>
      <c r="N8" s="9">
        <v>9</v>
      </c>
      <c r="O8" s="9">
        <v>1</v>
      </c>
      <c r="P8" s="14"/>
      <c r="Q8" s="9">
        <v>1</v>
      </c>
      <c r="R8" s="9">
        <v>9</v>
      </c>
      <c r="S8" s="9">
        <v>7</v>
      </c>
      <c r="T8" s="14"/>
      <c r="U8" s="9">
        <v>35</v>
      </c>
      <c r="W8" s="9" t="str" cm="1">
        <f t="array" ref="W8:AC18">Pinchλ(PBoard)</f>
        <v>Jul</v>
      </c>
      <c r="X8" s="9" t="str">
        <v>Aug</v>
      </c>
      <c r="Y8" s="9" t="str">
        <v>Sep</v>
      </c>
      <c r="Z8" s="9" t="str">
        <v>Oct</v>
      </c>
      <c r="AA8" s="9" t="str">
        <v>Nov</v>
      </c>
      <c r="AB8" s="9" t="str">
        <v>Dec</v>
      </c>
      <c r="AC8" s="9" t="str">
        <v>Total</v>
      </c>
      <c r="AD8" s="19"/>
    </row>
    <row r="9" spans="1:30" x14ac:dyDescent="0.45">
      <c r="B9" s="20"/>
      <c r="C9" s="14"/>
      <c r="D9" s="14"/>
      <c r="E9" s="14"/>
      <c r="F9" s="14"/>
      <c r="G9" s="14"/>
      <c r="J9" s="19"/>
      <c r="M9" s="9">
        <v>6</v>
      </c>
      <c r="N9" s="9">
        <v>8</v>
      </c>
      <c r="O9" s="9">
        <v>2</v>
      </c>
      <c r="P9" s="14"/>
      <c r="Q9" s="9">
        <v>6</v>
      </c>
      <c r="R9" s="9">
        <v>6</v>
      </c>
      <c r="S9" s="9">
        <v>8</v>
      </c>
      <c r="T9" s="14"/>
      <c r="U9" s="9">
        <v>36</v>
      </c>
      <c r="W9" s="9">
        <v>8</v>
      </c>
      <c r="X9" s="9">
        <v>9</v>
      </c>
      <c r="Y9" s="9">
        <v>1</v>
      </c>
      <c r="Z9" s="9">
        <v>1</v>
      </c>
      <c r="AA9" s="9">
        <v>9</v>
      </c>
      <c r="AB9" s="9">
        <v>7</v>
      </c>
      <c r="AC9" s="9">
        <v>35</v>
      </c>
      <c r="AD9" s="19"/>
    </row>
    <row r="10" spans="1:30" x14ac:dyDescent="0.45">
      <c r="B10" s="20"/>
      <c r="C10" s="9">
        <v>46</v>
      </c>
      <c r="D10" s="9">
        <v>69</v>
      </c>
      <c r="E10" s="14"/>
      <c r="F10" s="9">
        <v>24</v>
      </c>
      <c r="G10" s="9">
        <v>87</v>
      </c>
      <c r="J10" s="19"/>
      <c r="M10" s="9">
        <v>2</v>
      </c>
      <c r="N10" s="9">
        <v>5</v>
      </c>
      <c r="O10" s="9">
        <v>3</v>
      </c>
      <c r="P10" s="14"/>
      <c r="Q10" s="9">
        <v>1</v>
      </c>
      <c r="R10" s="9">
        <v>10</v>
      </c>
      <c r="S10" s="9">
        <v>3</v>
      </c>
      <c r="T10" s="14"/>
      <c r="U10" s="9">
        <v>24</v>
      </c>
      <c r="W10" s="9">
        <v>6</v>
      </c>
      <c r="X10" s="9">
        <v>8</v>
      </c>
      <c r="Y10" s="9">
        <v>2</v>
      </c>
      <c r="Z10" s="9">
        <v>6</v>
      </c>
      <c r="AA10" s="9">
        <v>6</v>
      </c>
      <c r="AB10" s="9">
        <v>8</v>
      </c>
      <c r="AC10" s="9">
        <v>36</v>
      </c>
      <c r="AD10" s="19"/>
    </row>
    <row r="11" spans="1:30" x14ac:dyDescent="0.45">
      <c r="B11" s="20"/>
      <c r="C11" s="9">
        <v>69</v>
      </c>
      <c r="D11" s="9">
        <v>96</v>
      </c>
      <c r="E11" s="14"/>
      <c r="F11" s="9">
        <v>34</v>
      </c>
      <c r="G11" s="9">
        <v>70</v>
      </c>
      <c r="J11" s="19"/>
      <c r="M11" s="9">
        <v>6</v>
      </c>
      <c r="N11" s="9">
        <v>9</v>
      </c>
      <c r="O11" s="9">
        <v>3</v>
      </c>
      <c r="P11" s="14"/>
      <c r="Q11" s="9">
        <v>5</v>
      </c>
      <c r="R11" s="9">
        <v>9</v>
      </c>
      <c r="S11" s="9">
        <v>7</v>
      </c>
      <c r="T11" s="14"/>
      <c r="U11" s="9">
        <v>39</v>
      </c>
      <c r="W11" s="9">
        <v>2</v>
      </c>
      <c r="X11" s="9">
        <v>5</v>
      </c>
      <c r="Y11" s="9">
        <v>3</v>
      </c>
      <c r="Z11" s="9">
        <v>1</v>
      </c>
      <c r="AA11" s="9">
        <v>10</v>
      </c>
      <c r="AB11" s="9">
        <v>3</v>
      </c>
      <c r="AC11" s="9">
        <v>24</v>
      </c>
      <c r="AD11" s="19"/>
    </row>
    <row r="12" spans="1:30" x14ac:dyDescent="0.45">
      <c r="B12" s="20"/>
      <c r="C12" s="20"/>
      <c r="J12" s="19"/>
      <c r="M12" s="9">
        <v>4</v>
      </c>
      <c r="N12" s="9">
        <v>6</v>
      </c>
      <c r="O12" s="9">
        <v>10</v>
      </c>
      <c r="P12" s="14"/>
      <c r="Q12" s="9">
        <v>7</v>
      </c>
      <c r="R12" s="9">
        <v>2</v>
      </c>
      <c r="S12" s="9">
        <v>8</v>
      </c>
      <c r="T12" s="14"/>
      <c r="U12" s="9">
        <v>37</v>
      </c>
      <c r="W12" s="9">
        <v>6</v>
      </c>
      <c r="X12" s="9">
        <v>9</v>
      </c>
      <c r="Y12" s="9">
        <v>3</v>
      </c>
      <c r="Z12" s="9">
        <v>5</v>
      </c>
      <c r="AA12" s="9">
        <v>9</v>
      </c>
      <c r="AB12" s="9">
        <v>7</v>
      </c>
      <c r="AC12" s="9">
        <v>39</v>
      </c>
      <c r="AD12" s="19"/>
    </row>
    <row r="13" spans="1:30" x14ac:dyDescent="0.45">
      <c r="B13" s="20"/>
      <c r="C13" s="33" t="s">
        <v>251</v>
      </c>
      <c r="J13" s="19"/>
      <c r="M13" s="9">
        <v>4</v>
      </c>
      <c r="N13" s="9">
        <v>4</v>
      </c>
      <c r="O13" s="9">
        <v>4</v>
      </c>
      <c r="P13" s="14"/>
      <c r="Q13" s="9">
        <v>1</v>
      </c>
      <c r="R13" s="9">
        <v>1</v>
      </c>
      <c r="S13" s="9">
        <v>1</v>
      </c>
      <c r="T13" s="14"/>
      <c r="U13" s="9">
        <v>15</v>
      </c>
      <c r="W13" s="9">
        <v>4</v>
      </c>
      <c r="X13" s="9">
        <v>6</v>
      </c>
      <c r="Y13" s="9">
        <v>10</v>
      </c>
      <c r="Z13" s="9">
        <v>7</v>
      </c>
      <c r="AA13" s="9">
        <v>2</v>
      </c>
      <c r="AB13" s="9">
        <v>8</v>
      </c>
      <c r="AC13" s="9">
        <v>37</v>
      </c>
      <c r="AD13" s="19"/>
    </row>
    <row r="14" spans="1:30" x14ac:dyDescent="0.45">
      <c r="B14" s="20"/>
      <c r="C14" s="34" t="s">
        <v>250</v>
      </c>
      <c r="J14" s="19"/>
      <c r="M14" s="9">
        <v>3</v>
      </c>
      <c r="N14" s="9">
        <v>10</v>
      </c>
      <c r="O14" s="9">
        <v>6</v>
      </c>
      <c r="P14" s="14"/>
      <c r="Q14" s="9">
        <v>7</v>
      </c>
      <c r="R14" s="9">
        <v>10</v>
      </c>
      <c r="S14" s="9">
        <v>7</v>
      </c>
      <c r="T14" s="14"/>
      <c r="U14" s="9">
        <v>43</v>
      </c>
      <c r="W14" s="9">
        <v>4</v>
      </c>
      <c r="X14" s="9">
        <v>4</v>
      </c>
      <c r="Y14" s="9">
        <v>4</v>
      </c>
      <c r="Z14" s="9">
        <v>1</v>
      </c>
      <c r="AA14" s="9">
        <v>1</v>
      </c>
      <c r="AB14" s="9">
        <v>1</v>
      </c>
      <c r="AC14" s="9">
        <v>15</v>
      </c>
      <c r="AD14" s="19"/>
    </row>
    <row r="15" spans="1:30" x14ac:dyDescent="0.45">
      <c r="B15" s="20"/>
      <c r="C15" s="9" cm="1">
        <f t="array" ref="C15:F18">Pinchλ(Board)</f>
        <v>36</v>
      </c>
      <c r="D15" s="9">
        <v>40</v>
      </c>
      <c r="E15" s="9">
        <v>34</v>
      </c>
      <c r="F15" s="9">
        <v>72</v>
      </c>
      <c r="J15" s="19"/>
      <c r="M15" s="9">
        <v>3</v>
      </c>
      <c r="N15" s="9">
        <v>7</v>
      </c>
      <c r="O15" s="9">
        <v>5</v>
      </c>
      <c r="P15" s="14"/>
      <c r="Q15" s="9">
        <v>1</v>
      </c>
      <c r="R15" s="9">
        <v>9</v>
      </c>
      <c r="S15" s="9">
        <v>9</v>
      </c>
      <c r="T15" s="14"/>
      <c r="U15" s="9">
        <v>34</v>
      </c>
      <c r="W15" s="9">
        <v>3</v>
      </c>
      <c r="X15" s="9">
        <v>10</v>
      </c>
      <c r="Y15" s="9">
        <v>6</v>
      </c>
      <c r="Z15" s="9">
        <v>7</v>
      </c>
      <c r="AA15" s="9">
        <v>10</v>
      </c>
      <c r="AB15" s="9">
        <v>7</v>
      </c>
      <c r="AC15" s="9">
        <v>43</v>
      </c>
      <c r="AD15" s="19"/>
    </row>
    <row r="16" spans="1:30" x14ac:dyDescent="0.45">
      <c r="B16" s="20"/>
      <c r="C16" s="9">
        <v>74</v>
      </c>
      <c r="D16" s="9">
        <v>20</v>
      </c>
      <c r="E16" s="9">
        <v>20</v>
      </c>
      <c r="F16" s="9">
        <v>93</v>
      </c>
      <c r="J16" s="19"/>
      <c r="M16" s="9">
        <v>9</v>
      </c>
      <c r="N16" s="9">
        <v>3</v>
      </c>
      <c r="O16" s="9">
        <v>4</v>
      </c>
      <c r="P16" s="14"/>
      <c r="Q16" s="9">
        <v>2</v>
      </c>
      <c r="R16" s="9">
        <v>2</v>
      </c>
      <c r="S16" s="9">
        <v>6</v>
      </c>
      <c r="T16" s="14"/>
      <c r="U16" s="9">
        <v>26</v>
      </c>
      <c r="W16" s="9">
        <v>3</v>
      </c>
      <c r="X16" s="9">
        <v>7</v>
      </c>
      <c r="Y16" s="9">
        <v>5</v>
      </c>
      <c r="Z16" s="9">
        <v>1</v>
      </c>
      <c r="AA16" s="9">
        <v>9</v>
      </c>
      <c r="AB16" s="9">
        <v>9</v>
      </c>
      <c r="AC16" s="9">
        <v>34</v>
      </c>
      <c r="AD16" s="19"/>
    </row>
    <row r="17" spans="2:30" x14ac:dyDescent="0.45">
      <c r="B17" s="20"/>
      <c r="C17" s="9">
        <v>46</v>
      </c>
      <c r="D17" s="9">
        <v>69</v>
      </c>
      <c r="E17" s="9">
        <v>24</v>
      </c>
      <c r="F17" s="9">
        <v>87</v>
      </c>
      <c r="J17" s="19"/>
      <c r="M17" s="9">
        <v>6</v>
      </c>
      <c r="N17" s="9">
        <v>10</v>
      </c>
      <c r="O17" s="9">
        <v>6</v>
      </c>
      <c r="P17" s="14"/>
      <c r="Q17" s="9">
        <v>5</v>
      </c>
      <c r="R17" s="9">
        <v>10</v>
      </c>
      <c r="S17" s="9">
        <v>1</v>
      </c>
      <c r="T17" s="14"/>
      <c r="U17" s="9">
        <v>38</v>
      </c>
      <c r="W17" s="9">
        <v>9</v>
      </c>
      <c r="X17" s="9">
        <v>3</v>
      </c>
      <c r="Y17" s="9">
        <v>4</v>
      </c>
      <c r="Z17" s="9">
        <v>2</v>
      </c>
      <c r="AA17" s="9">
        <v>2</v>
      </c>
      <c r="AB17" s="9">
        <v>6</v>
      </c>
      <c r="AC17" s="9">
        <v>26</v>
      </c>
      <c r="AD17" s="19"/>
    </row>
    <row r="18" spans="2:30" x14ac:dyDescent="0.45">
      <c r="B18" s="20"/>
      <c r="C18" s="9">
        <v>69</v>
      </c>
      <c r="D18" s="9">
        <v>96</v>
      </c>
      <c r="E18" s="9">
        <v>34</v>
      </c>
      <c r="F18" s="9">
        <v>70</v>
      </c>
      <c r="J18" s="19"/>
      <c r="M18" s="14"/>
      <c r="N18" s="14"/>
      <c r="O18" s="14"/>
      <c r="P18" s="14"/>
      <c r="Q18" s="14"/>
      <c r="R18" s="14"/>
      <c r="S18" s="14"/>
      <c r="T18" s="14"/>
      <c r="U18" s="14"/>
      <c r="W18" s="9">
        <v>6</v>
      </c>
      <c r="X18" s="9">
        <v>10</v>
      </c>
      <c r="Y18" s="9">
        <v>6</v>
      </c>
      <c r="Z18" s="9">
        <v>5</v>
      </c>
      <c r="AA18" s="9">
        <v>10</v>
      </c>
      <c r="AB18" s="9">
        <v>1</v>
      </c>
      <c r="AC18" s="9">
        <v>38</v>
      </c>
      <c r="AD18" s="19"/>
    </row>
    <row r="19" spans="2:30" x14ac:dyDescent="0.45">
      <c r="B19" s="20"/>
      <c r="J19" s="19"/>
      <c r="AD19" s="19"/>
    </row>
    <row r="20" spans="2:30" x14ac:dyDescent="0.45">
      <c r="B20" s="20"/>
      <c r="J20" s="19"/>
      <c r="AD20" s="19"/>
    </row>
    <row r="21" spans="2:30" x14ac:dyDescent="0.45">
      <c r="B21" s="21"/>
      <c r="C21" s="22"/>
      <c r="D21" s="22"/>
      <c r="E21" s="22"/>
      <c r="F21" s="22"/>
      <c r="G21" s="22"/>
      <c r="H21" s="22"/>
      <c r="I21" s="22"/>
      <c r="J21" s="23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F4076-7D2B-4533-B086-26827CB9C6B0}">
  <sheetPr codeName="Sheet6">
    <tabColor rgb="FFF6C6C6"/>
  </sheetPr>
  <dimension ref="A1:AL30"/>
  <sheetViews>
    <sheetView workbookViewId="0"/>
  </sheetViews>
  <sheetFormatPr defaultRowHeight="16.5" x14ac:dyDescent="0.45"/>
  <cols>
    <col min="1" max="1" width="5" customWidth="1"/>
    <col min="2" max="2" width="3.33203125" customWidth="1"/>
    <col min="3" max="6" width="3.33203125" bestFit="1" customWidth="1"/>
    <col min="7" max="7" width="4.9140625" customWidth="1"/>
    <col min="8" max="12" width="3.33203125" customWidth="1"/>
    <col min="13" max="13" width="7.6640625" customWidth="1"/>
    <col min="14" max="14" width="3" customWidth="1"/>
    <col min="15" max="15" width="9.33203125" customWidth="1"/>
    <col min="16" max="24" width="4.58203125" customWidth="1"/>
    <col min="25" max="25" width="5.58203125" bestFit="1" customWidth="1"/>
    <col min="26" max="35" width="4.58203125" customWidth="1"/>
    <col min="36" max="36" width="6" customWidth="1"/>
    <col min="37" max="37" width="4.58203125" customWidth="1"/>
  </cols>
  <sheetData>
    <row r="1" spans="1:38" x14ac:dyDescent="0.45">
      <c r="A1" s="7"/>
    </row>
    <row r="2" spans="1:38" x14ac:dyDescent="0.45">
      <c r="B2" s="15" t="s">
        <v>258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7"/>
    </row>
    <row r="3" spans="1:38" x14ac:dyDescent="0.45">
      <c r="B3" s="18" t="s">
        <v>259</v>
      </c>
      <c r="O3" s="19"/>
    </row>
    <row r="4" spans="1:38" x14ac:dyDescent="0.45">
      <c r="B4" s="104" t="s">
        <v>260</v>
      </c>
      <c r="O4" s="19"/>
    </row>
    <row r="5" spans="1:38" x14ac:dyDescent="0.45">
      <c r="B5" s="18" t="s">
        <v>261</v>
      </c>
      <c r="O5" s="19"/>
    </row>
    <row r="6" spans="1:38" x14ac:dyDescent="0.45">
      <c r="B6" s="98" t="s">
        <v>262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8" spans="1:38" x14ac:dyDescent="0.45">
      <c r="B8" s="35"/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O8" s="164" t="s">
        <v>280</v>
      </c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7"/>
    </row>
    <row r="9" spans="1:38" x14ac:dyDescent="0.45">
      <c r="B9" s="96" t="s">
        <v>263</v>
      </c>
      <c r="H9" s="26" t="s">
        <v>265</v>
      </c>
      <c r="M9" s="19"/>
      <c r="O9" s="105" t="s">
        <v>270</v>
      </c>
      <c r="P9" s="105">
        <v>1</v>
      </c>
      <c r="Q9" s="105">
        <v>2</v>
      </c>
      <c r="R9" s="105">
        <v>3</v>
      </c>
      <c r="S9" s="105">
        <v>4</v>
      </c>
      <c r="T9" s="105">
        <v>5</v>
      </c>
      <c r="U9" s="105">
        <v>6</v>
      </c>
      <c r="V9" s="105">
        <v>7</v>
      </c>
      <c r="W9" s="105">
        <v>8</v>
      </c>
      <c r="X9" s="105">
        <v>9</v>
      </c>
      <c r="Y9" s="105" t="s">
        <v>243</v>
      </c>
      <c r="Z9" s="105">
        <v>10</v>
      </c>
      <c r="AA9" s="105">
        <v>11</v>
      </c>
      <c r="AB9" s="105">
        <v>12</v>
      </c>
      <c r="AC9" s="105">
        <v>13</v>
      </c>
      <c r="AD9" s="105">
        <v>14</v>
      </c>
      <c r="AE9" s="105">
        <v>15</v>
      </c>
      <c r="AF9" s="105">
        <v>16</v>
      </c>
      <c r="AG9" s="105">
        <v>17</v>
      </c>
      <c r="AH9" s="105">
        <v>18</v>
      </c>
      <c r="AI9" s="105" t="s">
        <v>271</v>
      </c>
      <c r="AJ9" s="105" t="s">
        <v>272</v>
      </c>
      <c r="AK9" s="105" t="s">
        <v>276</v>
      </c>
      <c r="AL9" s="19"/>
    </row>
    <row r="10" spans="1:38" x14ac:dyDescent="0.45">
      <c r="B10" s="9">
        <v>1</v>
      </c>
      <c r="C10" s="9">
        <v>2</v>
      </c>
      <c r="D10" s="9">
        <v>3</v>
      </c>
      <c r="E10" s="9">
        <v>4</v>
      </c>
      <c r="F10" s="9">
        <v>5</v>
      </c>
      <c r="H10" s="27" t="s">
        <v>264</v>
      </c>
      <c r="M10" s="19"/>
      <c r="O10" s="10" t="s">
        <v>273</v>
      </c>
      <c r="P10" s="10">
        <v>4</v>
      </c>
      <c r="Q10" s="10">
        <v>4</v>
      </c>
      <c r="R10" s="10">
        <v>3</v>
      </c>
      <c r="S10" s="10">
        <v>5</v>
      </c>
      <c r="T10" s="10">
        <v>4</v>
      </c>
      <c r="U10" s="10">
        <v>4</v>
      </c>
      <c r="V10" s="10">
        <v>4</v>
      </c>
      <c r="W10" s="10">
        <v>4</v>
      </c>
      <c r="X10" s="10">
        <v>3</v>
      </c>
      <c r="Y10" s="45">
        <v>35</v>
      </c>
      <c r="Z10" s="10">
        <v>4</v>
      </c>
      <c r="AA10" s="10">
        <v>4</v>
      </c>
      <c r="AB10" s="10">
        <v>4</v>
      </c>
      <c r="AC10" s="10">
        <v>4</v>
      </c>
      <c r="AD10" s="10">
        <v>4</v>
      </c>
      <c r="AE10" s="10">
        <v>5</v>
      </c>
      <c r="AF10" s="10">
        <v>5</v>
      </c>
      <c r="AG10" s="10">
        <v>4</v>
      </c>
      <c r="AH10" s="10">
        <v>4</v>
      </c>
      <c r="AI10" s="45">
        <v>38</v>
      </c>
      <c r="AJ10" s="10">
        <v>73</v>
      </c>
      <c r="AK10" s="103"/>
      <c r="AL10" s="19"/>
    </row>
    <row r="11" spans="1:38" x14ac:dyDescent="0.45">
      <c r="B11" s="9">
        <v>2</v>
      </c>
      <c r="C11" s="9">
        <v>4</v>
      </c>
      <c r="D11" s="9">
        <v>6</v>
      </c>
      <c r="E11" s="9">
        <v>8</v>
      </c>
      <c r="F11" s="9">
        <v>10</v>
      </c>
      <c r="H11" s="9" cm="1">
        <f t="array" ref="H11:L14">Removeλ(SimpleGrid,3)</f>
        <v>1</v>
      </c>
      <c r="I11" s="9">
        <v>2</v>
      </c>
      <c r="J11" s="9">
        <v>3</v>
      </c>
      <c r="K11" s="9">
        <v>4</v>
      </c>
      <c r="L11" s="9">
        <v>5</v>
      </c>
      <c r="M11" s="19"/>
      <c r="O11" s="10" t="s">
        <v>274</v>
      </c>
      <c r="P11" s="10">
        <v>410</v>
      </c>
      <c r="Q11" s="10">
        <v>380</v>
      </c>
      <c r="R11" s="10">
        <v>165</v>
      </c>
      <c r="S11" s="10">
        <v>520</v>
      </c>
      <c r="T11" s="10">
        <v>405</v>
      </c>
      <c r="U11" s="10">
        <v>390</v>
      </c>
      <c r="V11" s="10">
        <v>430</v>
      </c>
      <c r="W11" s="10">
        <v>360</v>
      </c>
      <c r="X11" s="10">
        <v>180</v>
      </c>
      <c r="Y11" s="10">
        <v>3060</v>
      </c>
      <c r="Z11" s="10">
        <v>420</v>
      </c>
      <c r="AA11" s="10">
        <v>395</v>
      </c>
      <c r="AB11" s="10">
        <v>410</v>
      </c>
      <c r="AC11" s="10">
        <v>405</v>
      </c>
      <c r="AD11" s="10">
        <v>380</v>
      </c>
      <c r="AE11" s="10">
        <v>520</v>
      </c>
      <c r="AF11" s="10">
        <v>510</v>
      </c>
      <c r="AG11" s="10">
        <v>370</v>
      </c>
      <c r="AH11" s="10">
        <v>400</v>
      </c>
      <c r="AI11" s="45">
        <v>3410</v>
      </c>
      <c r="AJ11" s="10">
        <v>6470</v>
      </c>
      <c r="AK11" s="103"/>
      <c r="AL11" s="19"/>
    </row>
    <row r="12" spans="1:38" x14ac:dyDescent="0.45">
      <c r="B12" s="9">
        <v>3</v>
      </c>
      <c r="C12" s="9">
        <v>6</v>
      </c>
      <c r="D12" s="9">
        <v>9</v>
      </c>
      <c r="E12" s="9">
        <v>12</v>
      </c>
      <c r="F12" s="9">
        <v>15</v>
      </c>
      <c r="H12" s="9">
        <v>2</v>
      </c>
      <c r="I12" s="9">
        <v>4</v>
      </c>
      <c r="J12" s="9">
        <v>6</v>
      </c>
      <c r="K12" s="9">
        <v>8</v>
      </c>
      <c r="L12" s="9">
        <v>10</v>
      </c>
      <c r="M12" s="19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45"/>
      <c r="Z12" s="10"/>
      <c r="AA12" s="10"/>
      <c r="AB12" s="10"/>
      <c r="AC12" s="10"/>
      <c r="AD12" s="10"/>
      <c r="AE12" s="10"/>
      <c r="AF12" s="10"/>
      <c r="AG12" s="10"/>
      <c r="AH12" s="10"/>
      <c r="AI12" s="45"/>
      <c r="AJ12" s="10"/>
      <c r="AK12" s="38"/>
      <c r="AL12" s="19"/>
    </row>
    <row r="13" spans="1:38" x14ac:dyDescent="0.45">
      <c r="B13" s="9">
        <v>4</v>
      </c>
      <c r="C13" s="9">
        <v>8</v>
      </c>
      <c r="D13" s="9">
        <v>12</v>
      </c>
      <c r="E13" s="9">
        <v>16</v>
      </c>
      <c r="F13" s="9">
        <v>20</v>
      </c>
      <c r="H13" s="9">
        <v>4</v>
      </c>
      <c r="I13" s="9">
        <v>8</v>
      </c>
      <c r="J13" s="9">
        <v>12</v>
      </c>
      <c r="K13" s="9">
        <v>16</v>
      </c>
      <c r="L13" s="9">
        <v>20</v>
      </c>
      <c r="M13" s="19"/>
      <c r="O13" s="106" t="s">
        <v>283</v>
      </c>
      <c r="P13" s="10">
        <v>3</v>
      </c>
      <c r="Q13" s="10">
        <v>4</v>
      </c>
      <c r="R13" s="10">
        <v>3</v>
      </c>
      <c r="S13" s="10">
        <v>4</v>
      </c>
      <c r="T13" s="10">
        <v>3</v>
      </c>
      <c r="U13" s="10">
        <v>4</v>
      </c>
      <c r="V13" s="10">
        <v>3</v>
      </c>
      <c r="W13" s="10">
        <v>3</v>
      </c>
      <c r="X13" s="10">
        <v>3</v>
      </c>
      <c r="Y13" s="45">
        <v>30</v>
      </c>
      <c r="Z13" s="10">
        <v>4</v>
      </c>
      <c r="AA13" s="10">
        <v>4</v>
      </c>
      <c r="AB13" s="10">
        <v>3</v>
      </c>
      <c r="AC13" s="10">
        <v>5</v>
      </c>
      <c r="AD13" s="10">
        <v>5</v>
      </c>
      <c r="AE13" s="10">
        <v>5</v>
      </c>
      <c r="AF13" s="10">
        <v>6</v>
      </c>
      <c r="AG13" s="10">
        <v>5</v>
      </c>
      <c r="AH13" s="10">
        <v>4</v>
      </c>
      <c r="AI13" s="45">
        <v>41</v>
      </c>
      <c r="AJ13" s="10">
        <v>71</v>
      </c>
      <c r="AK13" s="45">
        <v>-2</v>
      </c>
      <c r="AL13" s="19"/>
    </row>
    <row r="14" spans="1:38" x14ac:dyDescent="0.45">
      <c r="B14" s="9">
        <v>5</v>
      </c>
      <c r="C14" s="9">
        <v>10</v>
      </c>
      <c r="D14" s="9">
        <v>15</v>
      </c>
      <c r="E14" s="9">
        <v>20</v>
      </c>
      <c r="F14" s="9">
        <v>25</v>
      </c>
      <c r="H14" s="9">
        <v>5</v>
      </c>
      <c r="I14" s="9">
        <v>10</v>
      </c>
      <c r="J14" s="9">
        <v>15</v>
      </c>
      <c r="K14" s="9">
        <v>20</v>
      </c>
      <c r="L14" s="9">
        <v>25</v>
      </c>
      <c r="M14" s="19"/>
      <c r="O14" s="106" t="s">
        <v>284</v>
      </c>
      <c r="P14" s="10">
        <v>5</v>
      </c>
      <c r="Q14" s="10">
        <v>5</v>
      </c>
      <c r="R14" s="10">
        <v>4</v>
      </c>
      <c r="S14" s="10">
        <v>4</v>
      </c>
      <c r="T14" s="10">
        <v>4</v>
      </c>
      <c r="U14" s="10">
        <v>4</v>
      </c>
      <c r="V14" s="10">
        <v>4</v>
      </c>
      <c r="W14" s="10">
        <v>4</v>
      </c>
      <c r="X14" s="10">
        <v>4</v>
      </c>
      <c r="Y14" s="45">
        <v>38</v>
      </c>
      <c r="Z14" s="10">
        <v>4</v>
      </c>
      <c r="AA14" s="10">
        <v>5</v>
      </c>
      <c r="AB14" s="10">
        <v>5</v>
      </c>
      <c r="AC14" s="10">
        <v>4</v>
      </c>
      <c r="AD14" s="10">
        <v>4</v>
      </c>
      <c r="AE14" s="10">
        <v>4</v>
      </c>
      <c r="AF14" s="10">
        <v>4</v>
      </c>
      <c r="AG14" s="10">
        <v>4</v>
      </c>
      <c r="AH14" s="10">
        <v>4</v>
      </c>
      <c r="AI14" s="45">
        <v>38</v>
      </c>
      <c r="AJ14" s="10">
        <v>76</v>
      </c>
      <c r="AK14" s="99" t="s">
        <v>275</v>
      </c>
      <c r="AL14" s="19"/>
    </row>
    <row r="15" spans="1:38" x14ac:dyDescent="0.45">
      <c r="B15" s="20"/>
      <c r="M15" s="19"/>
      <c r="O15" s="106" t="s">
        <v>285</v>
      </c>
      <c r="P15" s="10">
        <v>4</v>
      </c>
      <c r="Q15" s="10">
        <v>4</v>
      </c>
      <c r="R15" s="10">
        <v>4</v>
      </c>
      <c r="S15" s="10">
        <v>5</v>
      </c>
      <c r="T15" s="10">
        <v>5</v>
      </c>
      <c r="U15" s="10">
        <v>5</v>
      </c>
      <c r="V15" s="10">
        <v>5</v>
      </c>
      <c r="W15" s="10">
        <v>6</v>
      </c>
      <c r="X15" s="10">
        <v>5</v>
      </c>
      <c r="Y15" s="45">
        <v>43</v>
      </c>
      <c r="Z15" s="10">
        <v>5</v>
      </c>
      <c r="AA15" s="10">
        <v>4</v>
      </c>
      <c r="AB15" s="10">
        <v>4</v>
      </c>
      <c r="AC15" s="10">
        <v>5</v>
      </c>
      <c r="AD15" s="10">
        <v>4</v>
      </c>
      <c r="AE15" s="10">
        <v>3</v>
      </c>
      <c r="AF15" s="10">
        <v>4</v>
      </c>
      <c r="AG15" s="10">
        <v>4</v>
      </c>
      <c r="AH15" s="10">
        <v>4</v>
      </c>
      <c r="AI15" s="45">
        <v>37</v>
      </c>
      <c r="AJ15" s="10">
        <v>80</v>
      </c>
      <c r="AK15" s="99" t="s">
        <v>277</v>
      </c>
      <c r="AL15" s="19"/>
    </row>
    <row r="16" spans="1:38" x14ac:dyDescent="0.45">
      <c r="B16" s="20"/>
      <c r="H16" s="26" t="s">
        <v>266</v>
      </c>
      <c r="M16" s="19"/>
      <c r="O16" s="106" t="s">
        <v>286</v>
      </c>
      <c r="P16" s="10">
        <v>5</v>
      </c>
      <c r="Q16" s="10">
        <v>5</v>
      </c>
      <c r="R16" s="10">
        <v>5</v>
      </c>
      <c r="S16" s="10">
        <v>6</v>
      </c>
      <c r="T16" s="10">
        <v>5</v>
      </c>
      <c r="U16" s="10">
        <v>5</v>
      </c>
      <c r="V16" s="10">
        <v>5</v>
      </c>
      <c r="W16" s="10">
        <v>5</v>
      </c>
      <c r="X16" s="10">
        <v>5</v>
      </c>
      <c r="Y16" s="45">
        <v>46</v>
      </c>
      <c r="Z16" s="10">
        <v>5</v>
      </c>
      <c r="AA16" s="10">
        <v>5</v>
      </c>
      <c r="AB16" s="10">
        <v>5</v>
      </c>
      <c r="AC16" s="10">
        <v>5</v>
      </c>
      <c r="AD16" s="10">
        <v>5</v>
      </c>
      <c r="AE16" s="10">
        <v>6</v>
      </c>
      <c r="AF16" s="10">
        <v>6</v>
      </c>
      <c r="AG16" s="10">
        <v>5</v>
      </c>
      <c r="AH16" s="10">
        <v>4</v>
      </c>
      <c r="AI16" s="45">
        <v>46</v>
      </c>
      <c r="AJ16" s="10">
        <v>92</v>
      </c>
      <c r="AK16" s="99" t="s">
        <v>278</v>
      </c>
      <c r="AL16" s="19"/>
    </row>
    <row r="17" spans="2:38" x14ac:dyDescent="0.45">
      <c r="B17" s="20"/>
      <c r="H17" s="27" t="s">
        <v>268</v>
      </c>
      <c r="M17" s="19"/>
      <c r="O17" s="100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 t="s">
        <v>279</v>
      </c>
      <c r="AJ17" s="101"/>
      <c r="AK17" s="102"/>
      <c r="AL17" s="19"/>
    </row>
    <row r="18" spans="2:38" x14ac:dyDescent="0.45">
      <c r="B18" s="20"/>
      <c r="H18" s="9" cm="1">
        <f t="array" ref="H18:K22">Removeλ(SimpleGrid,,3)</f>
        <v>1</v>
      </c>
      <c r="I18" s="9">
        <v>2</v>
      </c>
      <c r="J18" s="9">
        <v>4</v>
      </c>
      <c r="K18" s="9">
        <v>5</v>
      </c>
      <c r="M18" s="19"/>
      <c r="O18" s="20"/>
      <c r="AL18" s="19"/>
    </row>
    <row r="19" spans="2:38" x14ac:dyDescent="0.45">
      <c r="B19" s="20"/>
      <c r="H19" s="9">
        <v>2</v>
      </c>
      <c r="I19" s="9">
        <v>4</v>
      </c>
      <c r="J19" s="9">
        <v>8</v>
      </c>
      <c r="K19" s="9">
        <v>10</v>
      </c>
      <c r="M19" s="19"/>
      <c r="O19" s="33" t="s">
        <v>282</v>
      </c>
      <c r="AL19" s="19"/>
    </row>
    <row r="20" spans="2:38" x14ac:dyDescent="0.45">
      <c r="B20" s="20"/>
      <c r="H20" s="9">
        <v>3</v>
      </c>
      <c r="I20" s="9">
        <v>6</v>
      </c>
      <c r="J20" s="9">
        <v>12</v>
      </c>
      <c r="K20" s="9">
        <v>15</v>
      </c>
      <c r="M20" s="19"/>
      <c r="O20" s="34" t="s">
        <v>281</v>
      </c>
      <c r="AL20" s="19"/>
    </row>
    <row r="21" spans="2:38" x14ac:dyDescent="0.45">
      <c r="B21" s="20"/>
      <c r="H21" s="9">
        <v>4</v>
      </c>
      <c r="I21" s="9">
        <v>8</v>
      </c>
      <c r="J21" s="9">
        <v>16</v>
      </c>
      <c r="K21" s="9">
        <v>20</v>
      </c>
      <c r="M21" s="19"/>
      <c r="O21" s="105" t="str" cm="1">
        <f t="array" ref="O21:AH26">Removeλ(MajesticMeadows,{3,4,9},{11,21,22})</f>
        <v>Hole</v>
      </c>
      <c r="P21" s="105">
        <v>1</v>
      </c>
      <c r="Q21" s="105">
        <v>2</v>
      </c>
      <c r="R21" s="105">
        <v>3</v>
      </c>
      <c r="S21" s="105">
        <v>4</v>
      </c>
      <c r="T21" s="105">
        <v>5</v>
      </c>
      <c r="U21" s="105">
        <v>6</v>
      </c>
      <c r="V21" s="105">
        <v>7</v>
      </c>
      <c r="W21" s="105">
        <v>8</v>
      </c>
      <c r="X21" s="105">
        <v>9</v>
      </c>
      <c r="Y21" s="105">
        <v>10</v>
      </c>
      <c r="Z21" s="105">
        <v>11</v>
      </c>
      <c r="AA21" s="105">
        <v>12</v>
      </c>
      <c r="AB21" s="105">
        <v>13</v>
      </c>
      <c r="AC21" s="105">
        <v>14</v>
      </c>
      <c r="AD21" s="105">
        <v>15</v>
      </c>
      <c r="AE21" s="105">
        <v>16</v>
      </c>
      <c r="AF21" s="105">
        <v>17</v>
      </c>
      <c r="AG21" s="105">
        <v>18</v>
      </c>
      <c r="AH21" s="105" t="str">
        <v>FIN</v>
      </c>
      <c r="AL21" s="19"/>
    </row>
    <row r="22" spans="2:38" x14ac:dyDescent="0.45">
      <c r="B22" s="20"/>
      <c r="H22" s="9">
        <v>5</v>
      </c>
      <c r="I22" s="9">
        <v>10</v>
      </c>
      <c r="J22" s="9">
        <v>20</v>
      </c>
      <c r="K22" s="9">
        <v>25</v>
      </c>
      <c r="M22" s="19"/>
      <c r="O22" s="10" t="str">
        <v>PAR</v>
      </c>
      <c r="P22" s="10">
        <v>4</v>
      </c>
      <c r="Q22" s="10">
        <v>4</v>
      </c>
      <c r="R22" s="10">
        <v>3</v>
      </c>
      <c r="S22" s="10">
        <v>5</v>
      </c>
      <c r="T22" s="10">
        <v>4</v>
      </c>
      <c r="U22" s="10">
        <v>4</v>
      </c>
      <c r="V22" s="10">
        <v>4</v>
      </c>
      <c r="W22" s="10">
        <v>4</v>
      </c>
      <c r="X22" s="10">
        <v>3</v>
      </c>
      <c r="Y22" s="10">
        <v>4</v>
      </c>
      <c r="Z22" s="10">
        <v>4</v>
      </c>
      <c r="AA22" s="10">
        <v>4</v>
      </c>
      <c r="AB22" s="10">
        <v>4</v>
      </c>
      <c r="AC22" s="10">
        <v>4</v>
      </c>
      <c r="AD22" s="10">
        <v>5</v>
      </c>
      <c r="AE22" s="10">
        <v>5</v>
      </c>
      <c r="AF22" s="10">
        <v>4</v>
      </c>
      <c r="AG22" s="10">
        <v>4</v>
      </c>
      <c r="AH22" s="10">
        <v>0</v>
      </c>
      <c r="AL22" s="19"/>
    </row>
    <row r="23" spans="2:38" x14ac:dyDescent="0.45">
      <c r="B23" s="20"/>
      <c r="M23" s="19"/>
      <c r="O23" s="106" t="str">
        <v>M. Green</v>
      </c>
      <c r="P23" s="10">
        <v>3</v>
      </c>
      <c r="Q23" s="10">
        <v>4</v>
      </c>
      <c r="R23" s="10">
        <v>3</v>
      </c>
      <c r="S23" s="10">
        <v>4</v>
      </c>
      <c r="T23" s="10">
        <v>3</v>
      </c>
      <c r="U23" s="10">
        <v>4</v>
      </c>
      <c r="V23" s="10">
        <v>3</v>
      </c>
      <c r="W23" s="10">
        <v>3</v>
      </c>
      <c r="X23" s="10">
        <v>3</v>
      </c>
      <c r="Y23" s="10">
        <v>4</v>
      </c>
      <c r="Z23" s="10">
        <v>4</v>
      </c>
      <c r="AA23" s="10">
        <v>3</v>
      </c>
      <c r="AB23" s="10">
        <v>5</v>
      </c>
      <c r="AC23" s="10">
        <v>5</v>
      </c>
      <c r="AD23" s="10">
        <v>5</v>
      </c>
      <c r="AE23" s="10">
        <v>6</v>
      </c>
      <c r="AF23" s="10">
        <v>5</v>
      </c>
      <c r="AG23" s="10">
        <v>4</v>
      </c>
      <c r="AH23" s="10">
        <v>-2</v>
      </c>
      <c r="AL23" s="19"/>
    </row>
    <row r="24" spans="2:38" x14ac:dyDescent="0.45">
      <c r="B24" s="20"/>
      <c r="H24" s="90" t="s">
        <v>267</v>
      </c>
      <c r="M24" s="19"/>
      <c r="O24" s="106" t="str">
        <v>J. Fairway</v>
      </c>
      <c r="P24" s="10">
        <v>5</v>
      </c>
      <c r="Q24" s="10">
        <v>5</v>
      </c>
      <c r="R24" s="10">
        <v>4</v>
      </c>
      <c r="S24" s="10">
        <v>4</v>
      </c>
      <c r="T24" s="10">
        <v>4</v>
      </c>
      <c r="U24" s="10">
        <v>4</v>
      </c>
      <c r="V24" s="10">
        <v>4</v>
      </c>
      <c r="W24" s="10">
        <v>4</v>
      </c>
      <c r="X24" s="10">
        <v>4</v>
      </c>
      <c r="Y24" s="10">
        <v>4</v>
      </c>
      <c r="Z24" s="10">
        <v>5</v>
      </c>
      <c r="AA24" s="10">
        <v>5</v>
      </c>
      <c r="AB24" s="10">
        <v>4</v>
      </c>
      <c r="AC24" s="10">
        <v>4</v>
      </c>
      <c r="AD24" s="10">
        <v>4</v>
      </c>
      <c r="AE24" s="10">
        <v>4</v>
      </c>
      <c r="AF24" s="10">
        <v>4</v>
      </c>
      <c r="AG24" s="10">
        <v>4</v>
      </c>
      <c r="AH24" s="10" t="str">
        <v>+3</v>
      </c>
      <c r="AL24" s="19"/>
    </row>
    <row r="25" spans="2:38" x14ac:dyDescent="0.45">
      <c r="B25" s="20"/>
      <c r="H25" s="27" t="s">
        <v>269</v>
      </c>
      <c r="M25" s="19"/>
      <c r="O25" s="106" t="str">
        <v>L. Tee</v>
      </c>
      <c r="P25" s="10">
        <v>4</v>
      </c>
      <c r="Q25" s="10">
        <v>4</v>
      </c>
      <c r="R25" s="10">
        <v>4</v>
      </c>
      <c r="S25" s="10">
        <v>5</v>
      </c>
      <c r="T25" s="10">
        <v>5</v>
      </c>
      <c r="U25" s="10">
        <v>5</v>
      </c>
      <c r="V25" s="10">
        <v>5</v>
      </c>
      <c r="W25" s="10">
        <v>6</v>
      </c>
      <c r="X25" s="10">
        <v>5</v>
      </c>
      <c r="Y25" s="10">
        <v>5</v>
      </c>
      <c r="Z25" s="10">
        <v>4</v>
      </c>
      <c r="AA25" s="10">
        <v>4</v>
      </c>
      <c r="AB25" s="10">
        <v>5</v>
      </c>
      <c r="AC25" s="10">
        <v>4</v>
      </c>
      <c r="AD25" s="10">
        <v>3</v>
      </c>
      <c r="AE25" s="10">
        <v>4</v>
      </c>
      <c r="AF25" s="10">
        <v>4</v>
      </c>
      <c r="AG25" s="10">
        <v>4</v>
      </c>
      <c r="AH25" s="10" t="str">
        <v>+7</v>
      </c>
      <c r="AL25" s="19"/>
    </row>
    <row r="26" spans="2:38" x14ac:dyDescent="0.45">
      <c r="B26" s="20"/>
      <c r="H26" s="9" cm="1">
        <f t="array" ref="H26:K29">Removeλ(SimpleGrid,3,3)</f>
        <v>1</v>
      </c>
      <c r="I26" s="9">
        <v>2</v>
      </c>
      <c r="J26" s="9">
        <v>4</v>
      </c>
      <c r="K26" s="9">
        <v>5</v>
      </c>
      <c r="M26" s="19"/>
      <c r="O26" s="106" t="str">
        <v>S. Trapp</v>
      </c>
      <c r="P26" s="10">
        <v>5</v>
      </c>
      <c r="Q26" s="10">
        <v>5</v>
      </c>
      <c r="R26" s="10">
        <v>5</v>
      </c>
      <c r="S26" s="10">
        <v>6</v>
      </c>
      <c r="T26" s="10">
        <v>5</v>
      </c>
      <c r="U26" s="10">
        <v>5</v>
      </c>
      <c r="V26" s="10">
        <v>5</v>
      </c>
      <c r="W26" s="10">
        <v>5</v>
      </c>
      <c r="X26" s="10">
        <v>5</v>
      </c>
      <c r="Y26" s="10">
        <v>5</v>
      </c>
      <c r="Z26" s="10">
        <v>5</v>
      </c>
      <c r="AA26" s="10">
        <v>5</v>
      </c>
      <c r="AB26" s="10">
        <v>5</v>
      </c>
      <c r="AC26" s="10">
        <v>5</v>
      </c>
      <c r="AD26" s="10">
        <v>6</v>
      </c>
      <c r="AE26" s="10">
        <v>6</v>
      </c>
      <c r="AF26" s="10">
        <v>5</v>
      </c>
      <c r="AG26" s="10">
        <v>4</v>
      </c>
      <c r="AH26" s="10" t="str">
        <v>+19</v>
      </c>
      <c r="AL26" s="19"/>
    </row>
    <row r="27" spans="2:38" x14ac:dyDescent="0.45">
      <c r="B27" s="20"/>
      <c r="H27" s="9">
        <v>2</v>
      </c>
      <c r="I27" s="9">
        <v>4</v>
      </c>
      <c r="J27" s="9">
        <v>8</v>
      </c>
      <c r="K27" s="9">
        <v>10</v>
      </c>
      <c r="M27" s="19"/>
      <c r="O27" s="20"/>
      <c r="AL27" s="19"/>
    </row>
    <row r="28" spans="2:38" x14ac:dyDescent="0.45">
      <c r="B28" s="20"/>
      <c r="H28" s="9">
        <v>4</v>
      </c>
      <c r="I28" s="9">
        <v>8</v>
      </c>
      <c r="J28" s="9">
        <v>16</v>
      </c>
      <c r="K28" s="9">
        <v>20</v>
      </c>
      <c r="M28" s="19"/>
      <c r="O28" s="33" t="s">
        <v>584</v>
      </c>
      <c r="AL28" s="19"/>
    </row>
    <row r="29" spans="2:38" x14ac:dyDescent="0.45">
      <c r="B29" s="20"/>
      <c r="H29" s="9">
        <v>5</v>
      </c>
      <c r="I29" s="9">
        <v>10</v>
      </c>
      <c r="J29" s="9">
        <v>20</v>
      </c>
      <c r="K29" s="9">
        <v>25</v>
      </c>
      <c r="M29" s="19"/>
      <c r="O29" s="34" t="s">
        <v>287</v>
      </c>
      <c r="V29" s="27" t="s">
        <v>288</v>
      </c>
      <c r="AL29" s="19"/>
    </row>
    <row r="30" spans="2:38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3"/>
      <c r="O30" s="107" t="str" cm="1">
        <f t="array" ref="O30">Removeλ(MajesticMeadows,12,10)</f>
        <v>#INVALID-ROW!</v>
      </c>
      <c r="P30" s="22"/>
      <c r="Q30" s="22"/>
      <c r="R30" s="22"/>
      <c r="S30" s="22"/>
      <c r="T30" s="22"/>
      <c r="U30" s="22"/>
      <c r="V30" s="108" t="str" cm="1">
        <f t="array" ref="V30">Removeλ(MajesticMeadows,4,25)</f>
        <v>#INVALID-COL!</v>
      </c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3"/>
    </row>
  </sheetData>
  <sortState xmlns:xlrd2="http://schemas.microsoft.com/office/spreadsheetml/2017/richdata2" ref="O13:AJ16">
    <sortCondition ref="AJ13:AJ16"/>
  </sortState>
  <pageMargins left="0.7" right="0.7" top="0.75" bottom="0.75" header="0.3" footer="0.3"/>
  <pageSetup orientation="portrait" r:id="rId1"/>
  <ignoredErrors>
    <ignoredError sqref="AK14:AK1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11CBC-920B-49AE-9562-FA24D9A7D98C}">
  <sheetPr codeName="Sheet7">
    <tabColor rgb="FFF6C6C6"/>
  </sheetPr>
  <dimension ref="A1:AE32"/>
  <sheetViews>
    <sheetView workbookViewId="0"/>
  </sheetViews>
  <sheetFormatPr defaultRowHeight="16.5" x14ac:dyDescent="0.45"/>
  <cols>
    <col min="1" max="1" width="5" customWidth="1"/>
    <col min="2" max="11" width="3.08203125" customWidth="1"/>
    <col min="12" max="13" width="2.58203125" customWidth="1"/>
    <col min="14" max="14" width="9.25" customWidth="1"/>
    <col min="15" max="22" width="3.08203125" style="8" customWidth="1"/>
    <col min="23" max="24" width="3.33203125" style="8" bestFit="1" customWidth="1"/>
    <col min="25" max="29" width="3.33203125" bestFit="1" customWidth="1"/>
    <col min="30" max="30" width="12.08203125" customWidth="1"/>
  </cols>
  <sheetData>
    <row r="1" spans="1:31" x14ac:dyDescent="0.45">
      <c r="A1" s="7"/>
    </row>
    <row r="2" spans="1:31" x14ac:dyDescent="0.45">
      <c r="B2" s="15" t="s">
        <v>289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6"/>
      <c r="Z2" s="16"/>
      <c r="AA2" s="16"/>
      <c r="AB2" s="16"/>
      <c r="AC2" s="16"/>
      <c r="AD2" s="17"/>
    </row>
    <row r="3" spans="1:31" x14ac:dyDescent="0.45">
      <c r="B3" s="18" t="s">
        <v>290</v>
      </c>
      <c r="AD3" s="19"/>
    </row>
    <row r="4" spans="1:31" x14ac:dyDescent="0.45">
      <c r="B4" s="104" t="s">
        <v>260</v>
      </c>
      <c r="AD4" s="19"/>
    </row>
    <row r="5" spans="1:31" x14ac:dyDescent="0.45">
      <c r="B5" s="18" t="s">
        <v>291</v>
      </c>
      <c r="AD5" s="19"/>
    </row>
    <row r="6" spans="1:31" x14ac:dyDescent="0.45">
      <c r="B6" s="98" t="s">
        <v>292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22"/>
      <c r="Z6" s="22"/>
      <c r="AA6" s="22"/>
      <c r="AB6" s="22"/>
      <c r="AC6" s="22"/>
      <c r="AD6" s="23"/>
    </row>
    <row r="8" spans="1:31" x14ac:dyDescent="0.45">
      <c r="B8" s="35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7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6"/>
      <c r="Z8" s="16"/>
      <c r="AA8" s="16"/>
      <c r="AB8" s="16"/>
      <c r="AC8" s="16"/>
      <c r="AD8" s="17"/>
    </row>
    <row r="9" spans="1:31" x14ac:dyDescent="0.45">
      <c r="B9" s="96" t="s">
        <v>301</v>
      </c>
      <c r="H9" s="26" t="s">
        <v>303</v>
      </c>
      <c r="N9" s="19"/>
      <c r="P9" s="31" t="s">
        <v>295</v>
      </c>
      <c r="Q9"/>
      <c r="R9"/>
      <c r="S9"/>
      <c r="T9"/>
      <c r="U9"/>
      <c r="V9"/>
      <c r="W9"/>
      <c r="X9" s="26" t="s">
        <v>297</v>
      </c>
      <c r="AC9" s="8"/>
      <c r="AD9" s="61"/>
      <c r="AE9" s="8"/>
    </row>
    <row r="10" spans="1:31" x14ac:dyDescent="0.45">
      <c r="B10" s="9">
        <v>0</v>
      </c>
      <c r="C10" s="38"/>
      <c r="D10" s="9">
        <v>5</v>
      </c>
      <c r="E10" s="9">
        <v>6</v>
      </c>
      <c r="H10" s="27" t="s">
        <v>302</v>
      </c>
      <c r="N10" s="19"/>
      <c r="P10" s="10">
        <v>5</v>
      </c>
      <c r="Q10" s="109" t="s">
        <v>86</v>
      </c>
      <c r="R10" s="10">
        <v>6</v>
      </c>
      <c r="S10" s="10">
        <v>1</v>
      </c>
      <c r="T10" s="10">
        <v>7</v>
      </c>
      <c r="U10" s="109" t="s">
        <v>86</v>
      </c>
      <c r="V10"/>
      <c r="W10"/>
      <c r="X10" s="27" t="s">
        <v>296</v>
      </c>
      <c r="AD10" s="61"/>
      <c r="AE10" s="8"/>
    </row>
    <row r="11" spans="1:31" x14ac:dyDescent="0.45">
      <c r="B11" s="9">
        <v>0</v>
      </c>
      <c r="C11" s="38"/>
      <c r="D11" s="9">
        <v>3</v>
      </c>
      <c r="E11" s="9">
        <v>9</v>
      </c>
      <c r="H11" s="9" cm="1">
        <f t="array" ref="H11:I13">Squeezeλ(MiniGrid)</f>
        <v>5</v>
      </c>
      <c r="I11" s="9">
        <v>6</v>
      </c>
      <c r="N11" s="19"/>
      <c r="P11" s="10">
        <v>6</v>
      </c>
      <c r="Q11" s="109" t="s">
        <v>86</v>
      </c>
      <c r="R11" s="10">
        <v>2</v>
      </c>
      <c r="S11" s="10">
        <v>1</v>
      </c>
      <c r="T11" s="10">
        <v>6</v>
      </c>
      <c r="U11" s="109" t="s">
        <v>86</v>
      </c>
      <c r="V11"/>
      <c r="W11"/>
      <c r="X11" s="10" cm="1">
        <f t="array" ref="X11:AA15">Squeezeλ(LGrid,"A")</f>
        <v>5</v>
      </c>
      <c r="Y11" s="10">
        <v>6</v>
      </c>
      <c r="Z11" s="10">
        <v>1</v>
      </c>
      <c r="AA11" s="10">
        <v>7</v>
      </c>
      <c r="AD11" s="61"/>
      <c r="AE11" s="8"/>
    </row>
    <row r="12" spans="1:31" x14ac:dyDescent="0.45">
      <c r="B12" s="38">
        <v>0</v>
      </c>
      <c r="C12" s="38"/>
      <c r="D12" s="38">
        <v>0</v>
      </c>
      <c r="E12" s="38">
        <v>0</v>
      </c>
      <c r="H12" s="9">
        <v>3</v>
      </c>
      <c r="I12" s="9">
        <v>9</v>
      </c>
      <c r="N12" s="19"/>
      <c r="P12" s="10">
        <v>4</v>
      </c>
      <c r="Q12" s="109" t="s">
        <v>86</v>
      </c>
      <c r="R12" s="10">
        <v>7</v>
      </c>
      <c r="S12" s="10">
        <v>5</v>
      </c>
      <c r="T12" s="10">
        <v>1</v>
      </c>
      <c r="U12" s="109" t="s">
        <v>86</v>
      </c>
      <c r="V12"/>
      <c r="W12"/>
      <c r="X12" s="10">
        <v>6</v>
      </c>
      <c r="Y12" s="10">
        <v>2</v>
      </c>
      <c r="Z12" s="10">
        <v>1</v>
      </c>
      <c r="AA12" s="10">
        <v>6</v>
      </c>
      <c r="AD12" s="61"/>
      <c r="AE12" s="8"/>
    </row>
    <row r="13" spans="1:31" x14ac:dyDescent="0.45">
      <c r="B13" s="9">
        <v>0</v>
      </c>
      <c r="C13" s="38"/>
      <c r="D13" s="9">
        <v>5</v>
      </c>
      <c r="E13" s="9">
        <v>6</v>
      </c>
      <c r="H13" s="9">
        <v>5</v>
      </c>
      <c r="I13" s="9">
        <v>6</v>
      </c>
      <c r="N13" s="19"/>
      <c r="P13" s="109" t="s">
        <v>86</v>
      </c>
      <c r="Q13" s="109" t="s">
        <v>86</v>
      </c>
      <c r="R13" s="109" t="s">
        <v>86</v>
      </c>
      <c r="S13" s="109" t="s">
        <v>86</v>
      </c>
      <c r="T13" s="109" t="s">
        <v>86</v>
      </c>
      <c r="U13" s="109" t="s">
        <v>86</v>
      </c>
      <c r="V13"/>
      <c r="W13"/>
      <c r="X13" s="10">
        <v>4</v>
      </c>
      <c r="Y13" s="10">
        <v>7</v>
      </c>
      <c r="Z13" s="10">
        <v>5</v>
      </c>
      <c r="AA13" s="10">
        <v>1</v>
      </c>
      <c r="AD13" s="61"/>
      <c r="AE13" s="8"/>
    </row>
    <row r="14" spans="1:31" x14ac:dyDescent="0.45">
      <c r="B14" s="20"/>
      <c r="N14" s="19"/>
      <c r="P14" s="10">
        <v>8</v>
      </c>
      <c r="Q14" s="109" t="s">
        <v>86</v>
      </c>
      <c r="R14" s="10">
        <v>2</v>
      </c>
      <c r="S14" s="10">
        <v>3</v>
      </c>
      <c r="T14" s="10">
        <v>3</v>
      </c>
      <c r="U14" s="109" t="s">
        <v>86</v>
      </c>
      <c r="V14"/>
      <c r="W14"/>
      <c r="X14" s="10">
        <v>8</v>
      </c>
      <c r="Y14" s="10">
        <v>2</v>
      </c>
      <c r="Z14" s="10">
        <v>3</v>
      </c>
      <c r="AA14" s="10">
        <v>3</v>
      </c>
      <c r="AD14" s="61"/>
      <c r="AE14" s="8"/>
    </row>
    <row r="15" spans="1:31" x14ac:dyDescent="0.45">
      <c r="B15" s="20"/>
      <c r="N15" s="19"/>
      <c r="P15" s="10" t="s">
        <v>92</v>
      </c>
      <c r="Q15" s="109" t="s">
        <v>86</v>
      </c>
      <c r="R15" s="10">
        <v>7</v>
      </c>
      <c r="S15" s="10">
        <v>4</v>
      </c>
      <c r="T15" s="10">
        <v>3</v>
      </c>
      <c r="U15" s="109" t="s">
        <v>86</v>
      </c>
      <c r="V15"/>
      <c r="W15"/>
      <c r="X15" s="10" t="str">
        <v>B</v>
      </c>
      <c r="Y15" s="10">
        <v>7</v>
      </c>
      <c r="Z15" s="10">
        <v>4</v>
      </c>
      <c r="AA15" s="10">
        <v>3</v>
      </c>
      <c r="AD15" s="61"/>
      <c r="AE15" s="8"/>
    </row>
    <row r="16" spans="1:31" x14ac:dyDescent="0.45">
      <c r="B16" s="20"/>
      <c r="I16" s="46"/>
      <c r="J16" s="46"/>
      <c r="K16" s="46"/>
      <c r="L16" s="46"/>
      <c r="N16" s="19"/>
      <c r="P16"/>
      <c r="Q16"/>
      <c r="R16"/>
      <c r="S16"/>
      <c r="T16"/>
      <c r="U16"/>
      <c r="V16"/>
      <c r="W16"/>
      <c r="AD16" s="61"/>
      <c r="AE16" s="8"/>
    </row>
    <row r="17" spans="2:30" x14ac:dyDescent="0.45">
      <c r="B17" s="21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22"/>
      <c r="Z17" s="22"/>
      <c r="AA17" s="22"/>
      <c r="AB17" s="22"/>
      <c r="AC17" s="22"/>
      <c r="AD17" s="23"/>
    </row>
    <row r="18" spans="2:30" x14ac:dyDescent="0.45">
      <c r="B18" s="3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6"/>
      <c r="Z18" s="16"/>
      <c r="AA18" s="16"/>
      <c r="AB18" s="16"/>
      <c r="AC18" s="16"/>
      <c r="AD18" s="17"/>
    </row>
    <row r="19" spans="2:30" x14ac:dyDescent="0.45">
      <c r="B19" s="96" t="s">
        <v>293</v>
      </c>
      <c r="O19" s="110"/>
      <c r="AD19" s="19"/>
    </row>
    <row r="20" spans="2:30" x14ac:dyDescent="0.45"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O20" s="26" t="s">
        <v>298</v>
      </c>
      <c r="P20"/>
      <c r="Q20"/>
      <c r="R20"/>
      <c r="S20"/>
      <c r="W20" s="26" t="s">
        <v>300</v>
      </c>
      <c r="AD20" s="19"/>
    </row>
    <row r="21" spans="2:30" x14ac:dyDescent="0.45"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O21" s="27" t="s">
        <v>294</v>
      </c>
      <c r="P21"/>
      <c r="Q21"/>
      <c r="R21"/>
      <c r="S21"/>
      <c r="W21" s="27" t="s">
        <v>299</v>
      </c>
      <c r="AD21" s="19"/>
    </row>
    <row r="22" spans="2:30" x14ac:dyDescent="0.45">
      <c r="B22" s="10">
        <v>0</v>
      </c>
      <c r="C22" s="10">
        <v>0</v>
      </c>
      <c r="D22" s="10">
        <v>0</v>
      </c>
      <c r="E22" s="10">
        <v>0</v>
      </c>
      <c r="F22" s="10">
        <v>0</v>
      </c>
      <c r="G22" s="10">
        <v>4</v>
      </c>
      <c r="H22" s="10">
        <v>0</v>
      </c>
      <c r="I22" s="10">
        <v>0</v>
      </c>
      <c r="J22" s="10">
        <v>0</v>
      </c>
      <c r="K22" s="10">
        <v>0</v>
      </c>
      <c r="O22" s="10" cm="1">
        <f t="array" ref="O22:U28">Squeezeλ(Grid)</f>
        <v>0</v>
      </c>
      <c r="P22" s="10">
        <v>0</v>
      </c>
      <c r="Q22" s="10">
        <v>0</v>
      </c>
      <c r="R22" s="10">
        <v>4</v>
      </c>
      <c r="S22" s="10">
        <v>0</v>
      </c>
      <c r="T22" s="10">
        <v>0</v>
      </c>
      <c r="U22" s="10">
        <v>0</v>
      </c>
      <c r="W22" s="10" t="str" cm="1">
        <f t="array" ref="W22:AC28">Squeezeλ(Grid,,TRUE)</f>
        <v/>
      </c>
      <c r="X22" s="10" t="str">
        <v/>
      </c>
      <c r="Y22" s="10" t="str">
        <v/>
      </c>
      <c r="Z22" s="10">
        <v>4</v>
      </c>
      <c r="AA22" s="10" t="str">
        <v/>
      </c>
      <c r="AB22" s="10" t="str">
        <v/>
      </c>
      <c r="AC22" s="10" t="str">
        <v/>
      </c>
      <c r="AD22" s="19"/>
    </row>
    <row r="23" spans="2:30" x14ac:dyDescent="0.45">
      <c r="B23" s="10">
        <v>0</v>
      </c>
      <c r="C23" s="10">
        <v>0</v>
      </c>
      <c r="D23" s="10">
        <v>0</v>
      </c>
      <c r="E23" s="10">
        <v>0</v>
      </c>
      <c r="F23" s="10">
        <v>13</v>
      </c>
      <c r="G23" s="10">
        <v>14</v>
      </c>
      <c r="H23" s="10">
        <v>15</v>
      </c>
      <c r="I23" s="10">
        <v>0</v>
      </c>
      <c r="J23" s="10">
        <v>0</v>
      </c>
      <c r="K23" s="10">
        <v>0</v>
      </c>
      <c r="O23" s="10">
        <v>0</v>
      </c>
      <c r="P23" s="10">
        <v>0</v>
      </c>
      <c r="Q23" s="10">
        <v>13</v>
      </c>
      <c r="R23" s="10">
        <v>14</v>
      </c>
      <c r="S23" s="10">
        <v>15</v>
      </c>
      <c r="T23" s="10">
        <v>0</v>
      </c>
      <c r="U23" s="10">
        <v>0</v>
      </c>
      <c r="W23" s="10" t="str">
        <v/>
      </c>
      <c r="X23" s="10" t="str">
        <v/>
      </c>
      <c r="Y23" s="10">
        <v>13</v>
      </c>
      <c r="Z23" s="10">
        <v>14</v>
      </c>
      <c r="AA23" s="10">
        <v>15</v>
      </c>
      <c r="AB23" s="10" t="str">
        <v/>
      </c>
      <c r="AC23" s="10" t="str">
        <v/>
      </c>
      <c r="AD23" s="19"/>
    </row>
    <row r="24" spans="2:30" x14ac:dyDescent="0.45">
      <c r="B24" s="10">
        <v>0</v>
      </c>
      <c r="C24" s="10">
        <v>0</v>
      </c>
      <c r="D24" s="10">
        <v>0</v>
      </c>
      <c r="E24" s="10">
        <v>22</v>
      </c>
      <c r="F24" s="10">
        <v>23</v>
      </c>
      <c r="G24" s="10">
        <v>24</v>
      </c>
      <c r="H24" s="10">
        <v>25</v>
      </c>
      <c r="I24" s="10">
        <v>26</v>
      </c>
      <c r="J24" s="10">
        <v>0</v>
      </c>
      <c r="K24" s="10">
        <v>0</v>
      </c>
      <c r="O24" s="10">
        <v>0</v>
      </c>
      <c r="P24" s="10">
        <v>22</v>
      </c>
      <c r="Q24" s="10">
        <v>23</v>
      </c>
      <c r="R24" s="10">
        <v>24</v>
      </c>
      <c r="S24" s="10">
        <v>25</v>
      </c>
      <c r="T24" s="10">
        <v>26</v>
      </c>
      <c r="U24" s="10">
        <v>0</v>
      </c>
      <c r="W24" s="10" t="str">
        <v/>
      </c>
      <c r="X24" s="10">
        <v>22</v>
      </c>
      <c r="Y24" s="10">
        <v>23</v>
      </c>
      <c r="Z24" s="10">
        <v>24</v>
      </c>
      <c r="AA24" s="10">
        <v>25</v>
      </c>
      <c r="AB24" s="10">
        <v>26</v>
      </c>
      <c r="AC24" s="10" t="str">
        <v/>
      </c>
      <c r="AD24" s="19"/>
    </row>
    <row r="25" spans="2:30" x14ac:dyDescent="0.45">
      <c r="B25" s="10">
        <v>0</v>
      </c>
      <c r="C25" s="10">
        <v>0</v>
      </c>
      <c r="D25" s="10">
        <v>31</v>
      </c>
      <c r="E25" s="10">
        <v>32</v>
      </c>
      <c r="F25" s="10">
        <v>33</v>
      </c>
      <c r="G25" s="10">
        <v>34</v>
      </c>
      <c r="H25" s="10">
        <v>35</v>
      </c>
      <c r="I25" s="10">
        <v>36</v>
      </c>
      <c r="J25" s="10">
        <v>37</v>
      </c>
      <c r="K25" s="10">
        <v>0</v>
      </c>
      <c r="O25" s="10">
        <v>31</v>
      </c>
      <c r="P25" s="10">
        <v>32</v>
      </c>
      <c r="Q25" s="10">
        <v>33</v>
      </c>
      <c r="R25" s="10">
        <v>34</v>
      </c>
      <c r="S25" s="10">
        <v>35</v>
      </c>
      <c r="T25" s="10">
        <v>36</v>
      </c>
      <c r="U25" s="10">
        <v>37</v>
      </c>
      <c r="W25" s="10">
        <v>31</v>
      </c>
      <c r="X25" s="10">
        <v>32</v>
      </c>
      <c r="Y25" s="10">
        <v>33</v>
      </c>
      <c r="Z25" s="10">
        <v>34</v>
      </c>
      <c r="AA25" s="10">
        <v>35</v>
      </c>
      <c r="AB25" s="10">
        <v>36</v>
      </c>
      <c r="AC25" s="10">
        <v>37</v>
      </c>
      <c r="AD25" s="19"/>
    </row>
    <row r="26" spans="2:30" x14ac:dyDescent="0.45">
      <c r="B26" s="10">
        <v>0</v>
      </c>
      <c r="C26" s="10">
        <v>0</v>
      </c>
      <c r="D26" s="10">
        <v>0</v>
      </c>
      <c r="E26" s="10">
        <v>42</v>
      </c>
      <c r="F26" s="10">
        <v>43</v>
      </c>
      <c r="G26" s="10">
        <v>44</v>
      </c>
      <c r="H26" s="10">
        <v>45</v>
      </c>
      <c r="I26" s="10">
        <v>46</v>
      </c>
      <c r="J26" s="10">
        <v>0</v>
      </c>
      <c r="K26" s="10">
        <v>0</v>
      </c>
      <c r="O26" s="10">
        <v>0</v>
      </c>
      <c r="P26" s="10">
        <v>42</v>
      </c>
      <c r="Q26" s="10">
        <v>43</v>
      </c>
      <c r="R26" s="10">
        <v>44</v>
      </c>
      <c r="S26" s="10">
        <v>45</v>
      </c>
      <c r="T26" s="10">
        <v>46</v>
      </c>
      <c r="U26" s="10">
        <v>0</v>
      </c>
      <c r="W26" s="10" t="str">
        <v/>
      </c>
      <c r="X26" s="10">
        <v>42</v>
      </c>
      <c r="Y26" s="10">
        <v>43</v>
      </c>
      <c r="Z26" s="10">
        <v>44</v>
      </c>
      <c r="AA26" s="10">
        <v>45</v>
      </c>
      <c r="AB26" s="10">
        <v>46</v>
      </c>
      <c r="AC26" s="10" t="str">
        <v/>
      </c>
      <c r="AD26" s="19"/>
    </row>
    <row r="27" spans="2:30" x14ac:dyDescent="0.45">
      <c r="B27" s="10">
        <v>0</v>
      </c>
      <c r="C27" s="10">
        <v>0</v>
      </c>
      <c r="D27" s="10">
        <v>0</v>
      </c>
      <c r="E27" s="10">
        <v>0</v>
      </c>
      <c r="F27" s="10">
        <v>53</v>
      </c>
      <c r="G27" s="10">
        <v>54</v>
      </c>
      <c r="H27" s="10">
        <v>55</v>
      </c>
      <c r="I27" s="10">
        <v>0</v>
      </c>
      <c r="J27" s="10">
        <v>0</v>
      </c>
      <c r="K27" s="10">
        <v>0</v>
      </c>
      <c r="O27" s="10">
        <v>0</v>
      </c>
      <c r="P27" s="10">
        <v>0</v>
      </c>
      <c r="Q27" s="10">
        <v>53</v>
      </c>
      <c r="R27" s="10">
        <v>54</v>
      </c>
      <c r="S27" s="10">
        <v>55</v>
      </c>
      <c r="T27" s="10">
        <v>0</v>
      </c>
      <c r="U27" s="10">
        <v>0</v>
      </c>
      <c r="W27" s="10" t="str">
        <v/>
      </c>
      <c r="X27" s="10" t="str">
        <v/>
      </c>
      <c r="Y27" s="10">
        <v>53</v>
      </c>
      <c r="Z27" s="10">
        <v>54</v>
      </c>
      <c r="AA27" s="10">
        <v>55</v>
      </c>
      <c r="AB27" s="10" t="str">
        <v/>
      </c>
      <c r="AC27" s="10" t="str">
        <v/>
      </c>
      <c r="AD27" s="19"/>
    </row>
    <row r="28" spans="2:30" x14ac:dyDescent="0.45"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64</v>
      </c>
      <c r="H28" s="10">
        <v>0</v>
      </c>
      <c r="I28" s="10">
        <v>0</v>
      </c>
      <c r="J28" s="10">
        <v>0</v>
      </c>
      <c r="K28" s="10">
        <v>0</v>
      </c>
      <c r="O28" s="10">
        <v>0</v>
      </c>
      <c r="P28" s="10">
        <v>0</v>
      </c>
      <c r="Q28" s="10">
        <v>0</v>
      </c>
      <c r="R28" s="10">
        <v>64</v>
      </c>
      <c r="S28" s="10">
        <v>0</v>
      </c>
      <c r="T28" s="10">
        <v>0</v>
      </c>
      <c r="U28" s="10">
        <v>0</v>
      </c>
      <c r="W28" s="10" t="str">
        <v/>
      </c>
      <c r="X28" s="10" t="str">
        <v/>
      </c>
      <c r="Y28" s="10" t="str">
        <v/>
      </c>
      <c r="Z28" s="10">
        <v>64</v>
      </c>
      <c r="AA28" s="10" t="str">
        <v/>
      </c>
      <c r="AB28" s="10" t="str">
        <v/>
      </c>
      <c r="AC28" s="10" t="str">
        <v/>
      </c>
      <c r="AD28" s="19"/>
    </row>
    <row r="29" spans="2:30" x14ac:dyDescent="0.45">
      <c r="B29" s="10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AD29" s="19"/>
    </row>
    <row r="30" spans="2:30" x14ac:dyDescent="0.45"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AD30" s="19"/>
    </row>
    <row r="31" spans="2:30" x14ac:dyDescent="0.45">
      <c r="B31" s="20"/>
      <c r="AD31" s="19"/>
    </row>
    <row r="32" spans="2:30" x14ac:dyDescent="0.45">
      <c r="B32" s="21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22"/>
      <c r="Z32" s="22"/>
      <c r="AA32" s="22"/>
      <c r="AB32" s="22"/>
      <c r="AC32" s="22"/>
      <c r="AD32" s="2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852B-9D76-4C30-ACB2-1C24D44FE2F6}">
  <sheetPr codeName="Sheet8">
    <tabColor rgb="FFA7D8D0"/>
  </sheetPr>
  <dimension ref="A1:R28"/>
  <sheetViews>
    <sheetView workbookViewId="0"/>
  </sheetViews>
  <sheetFormatPr defaultRowHeight="16.5" x14ac:dyDescent="0.45"/>
  <cols>
    <col min="1" max="1" width="5" customWidth="1"/>
    <col min="2" max="2" width="4.58203125" customWidth="1"/>
    <col min="3" max="10" width="6.58203125" customWidth="1"/>
    <col min="11" max="11" width="9.08203125" customWidth="1"/>
    <col min="12" max="12" width="6.58203125" bestFit="1" customWidth="1"/>
    <col min="13" max="13" width="6.58203125" customWidth="1"/>
    <col min="14" max="14" width="5.08203125" customWidth="1"/>
    <col min="15" max="15" width="6.75" customWidth="1"/>
    <col min="16" max="16" width="6.75" bestFit="1" customWidth="1"/>
  </cols>
  <sheetData>
    <row r="1" spans="1:18" x14ac:dyDescent="0.45">
      <c r="A1" s="7"/>
    </row>
    <row r="2" spans="1:18" x14ac:dyDescent="0.45">
      <c r="B2" s="15" t="s">
        <v>304</v>
      </c>
      <c r="C2" s="16"/>
      <c r="D2" s="16"/>
      <c r="E2" s="16"/>
      <c r="F2" s="16"/>
      <c r="G2" s="16"/>
      <c r="H2" s="16"/>
      <c r="I2" s="16"/>
      <c r="J2" s="16"/>
      <c r="K2" s="17"/>
    </row>
    <row r="3" spans="1:18" x14ac:dyDescent="0.45">
      <c r="B3" s="18" t="s">
        <v>307</v>
      </c>
      <c r="K3" s="19"/>
    </row>
    <row r="4" spans="1:18" x14ac:dyDescent="0.45">
      <c r="B4" s="18" t="s">
        <v>305</v>
      </c>
      <c r="K4" s="19"/>
    </row>
    <row r="5" spans="1:18" x14ac:dyDescent="0.45">
      <c r="B5" s="98" t="s">
        <v>306</v>
      </c>
      <c r="C5" s="22"/>
      <c r="D5" s="22"/>
      <c r="E5" s="22"/>
      <c r="F5" s="22"/>
      <c r="G5" s="22"/>
      <c r="H5" s="22"/>
      <c r="I5" s="22"/>
      <c r="J5" s="22"/>
      <c r="K5" s="23"/>
    </row>
    <row r="7" spans="1:18" x14ac:dyDescent="0.45">
      <c r="B7" s="35"/>
      <c r="C7" s="16"/>
      <c r="D7" s="16"/>
      <c r="E7" s="16"/>
      <c r="F7" s="16"/>
      <c r="G7" s="16"/>
      <c r="H7" s="16"/>
      <c r="I7" s="16"/>
      <c r="J7" s="17"/>
      <c r="K7" s="35"/>
      <c r="L7" s="16"/>
      <c r="M7" s="16"/>
      <c r="N7" s="16"/>
      <c r="O7" s="16"/>
      <c r="P7" s="16"/>
      <c r="Q7" s="16"/>
      <c r="R7" s="17"/>
    </row>
    <row r="8" spans="1:18" x14ac:dyDescent="0.45">
      <c r="B8" s="20"/>
      <c r="C8" s="31" t="s">
        <v>308</v>
      </c>
      <c r="F8" s="26" t="s">
        <v>311</v>
      </c>
      <c r="J8" s="19"/>
      <c r="K8" s="20"/>
      <c r="L8" s="31" t="s">
        <v>316</v>
      </c>
      <c r="O8" s="26" t="s">
        <v>319</v>
      </c>
      <c r="R8" s="19"/>
    </row>
    <row r="9" spans="1:18" x14ac:dyDescent="0.45">
      <c r="B9" s="20"/>
      <c r="C9" s="165">
        <v>1</v>
      </c>
      <c r="D9" s="165">
        <v>2</v>
      </c>
      <c r="F9" s="27" t="s">
        <v>310</v>
      </c>
      <c r="J9" s="19"/>
      <c r="K9" s="20"/>
      <c r="L9" s="165">
        <v>10</v>
      </c>
      <c r="M9" s="165">
        <v>20</v>
      </c>
      <c r="O9" s="27" t="s">
        <v>318</v>
      </c>
      <c r="R9" s="19"/>
    </row>
    <row r="10" spans="1:18" x14ac:dyDescent="0.45">
      <c r="B10" s="20"/>
      <c r="C10" s="165">
        <v>3</v>
      </c>
      <c r="D10" s="165">
        <v>4</v>
      </c>
      <c r="F10" s="10" cm="1">
        <f t="array" ref="F10:I13">KroneckerProdλ(Alpha,Bravo)</f>
        <v>0</v>
      </c>
      <c r="G10" s="10">
        <v>5</v>
      </c>
      <c r="H10" s="10">
        <v>0</v>
      </c>
      <c r="I10" s="10">
        <v>10</v>
      </c>
      <c r="J10" s="19"/>
      <c r="K10" s="20"/>
      <c r="L10" s="165">
        <v>30</v>
      </c>
      <c r="M10" s="165">
        <v>40</v>
      </c>
      <c r="O10" s="10" cm="1">
        <f t="array" ref="O10:P17">KroneckerProdλ(Charlie,Delta)</f>
        <v>1000</v>
      </c>
      <c r="P10" s="10">
        <v>2000</v>
      </c>
      <c r="R10" s="19"/>
    </row>
    <row r="11" spans="1:18" x14ac:dyDescent="0.45">
      <c r="B11" s="20"/>
      <c r="F11" s="10">
        <v>6</v>
      </c>
      <c r="G11" s="10">
        <v>7</v>
      </c>
      <c r="H11" s="10">
        <v>12</v>
      </c>
      <c r="I11" s="10">
        <v>14</v>
      </c>
      <c r="J11" s="19"/>
      <c r="K11" s="20"/>
      <c r="O11" s="10">
        <v>2000</v>
      </c>
      <c r="P11" s="10">
        <v>4000</v>
      </c>
      <c r="R11" s="19"/>
    </row>
    <row r="12" spans="1:18" x14ac:dyDescent="0.45">
      <c r="B12" s="20"/>
      <c r="C12" s="31" t="s">
        <v>309</v>
      </c>
      <c r="F12" s="10">
        <v>0</v>
      </c>
      <c r="G12" s="10">
        <v>15</v>
      </c>
      <c r="H12" s="10">
        <v>0</v>
      </c>
      <c r="I12" s="10">
        <v>20</v>
      </c>
      <c r="J12" s="19"/>
      <c r="K12" s="20"/>
      <c r="L12" s="31" t="s">
        <v>317</v>
      </c>
      <c r="O12" s="10">
        <v>3000</v>
      </c>
      <c r="P12" s="10">
        <v>6000</v>
      </c>
      <c r="R12" s="19"/>
    </row>
    <row r="13" spans="1:18" x14ac:dyDescent="0.45">
      <c r="B13" s="20"/>
      <c r="C13" s="165">
        <v>0</v>
      </c>
      <c r="D13" s="165">
        <v>5</v>
      </c>
      <c r="F13" s="10">
        <v>18</v>
      </c>
      <c r="G13" s="10">
        <v>21</v>
      </c>
      <c r="H13" s="10">
        <v>24</v>
      </c>
      <c r="I13" s="10">
        <v>28</v>
      </c>
      <c r="J13" s="19"/>
      <c r="K13" s="20"/>
      <c r="L13" s="165">
        <v>100</v>
      </c>
      <c r="O13" s="10">
        <v>4000</v>
      </c>
      <c r="P13" s="10">
        <v>8000</v>
      </c>
      <c r="R13" s="19"/>
    </row>
    <row r="14" spans="1:18" x14ac:dyDescent="0.45">
      <c r="B14" s="20"/>
      <c r="C14" s="165">
        <v>6</v>
      </c>
      <c r="D14" s="165">
        <v>7</v>
      </c>
      <c r="J14" s="19"/>
      <c r="K14" s="20"/>
      <c r="L14" s="165">
        <v>200</v>
      </c>
      <c r="O14" s="10">
        <v>3000</v>
      </c>
      <c r="P14" s="10">
        <v>4000</v>
      </c>
      <c r="R14" s="19"/>
    </row>
    <row r="15" spans="1:18" x14ac:dyDescent="0.45">
      <c r="B15" s="20"/>
      <c r="J15" s="19"/>
      <c r="K15" s="20"/>
      <c r="L15" s="165">
        <v>300</v>
      </c>
      <c r="O15" s="10">
        <v>6000</v>
      </c>
      <c r="P15" s="10">
        <v>8000</v>
      </c>
      <c r="R15" s="19"/>
    </row>
    <row r="16" spans="1:18" x14ac:dyDescent="0.45">
      <c r="B16" s="20"/>
      <c r="J16" s="19"/>
      <c r="K16" s="20"/>
      <c r="L16" s="165">
        <v>400</v>
      </c>
      <c r="O16" s="10">
        <v>9000</v>
      </c>
      <c r="P16" s="10">
        <v>12000</v>
      </c>
      <c r="R16" s="19"/>
    </row>
    <row r="17" spans="2:18" x14ac:dyDescent="0.45">
      <c r="B17" s="20"/>
      <c r="J17" s="19"/>
      <c r="K17" s="20"/>
      <c r="O17" s="10">
        <v>12000</v>
      </c>
      <c r="P17" s="10">
        <v>16000</v>
      </c>
      <c r="R17" s="19"/>
    </row>
    <row r="18" spans="2:18" x14ac:dyDescent="0.45">
      <c r="B18" s="21"/>
      <c r="C18" s="22"/>
      <c r="D18" s="22"/>
      <c r="E18" s="22"/>
      <c r="F18" s="22"/>
      <c r="G18" s="22"/>
      <c r="H18" s="22"/>
      <c r="I18" s="22"/>
      <c r="J18" s="23"/>
      <c r="K18" s="21"/>
      <c r="L18" s="22"/>
      <c r="M18" s="22"/>
      <c r="N18" s="22"/>
      <c r="O18" s="22"/>
      <c r="P18" s="22"/>
      <c r="Q18" s="22"/>
      <c r="R18" s="23"/>
    </row>
    <row r="19" spans="2:18" x14ac:dyDescent="0.45">
      <c r="B19" s="35"/>
      <c r="C19" s="16"/>
      <c r="D19" s="16"/>
      <c r="E19" s="16"/>
      <c r="J19" s="17"/>
    </row>
    <row r="20" spans="2:18" x14ac:dyDescent="0.45">
      <c r="B20" s="20"/>
      <c r="C20" s="31" t="s">
        <v>312</v>
      </c>
      <c r="F20" s="26" t="s">
        <v>315</v>
      </c>
      <c r="J20" s="19"/>
    </row>
    <row r="21" spans="2:18" x14ac:dyDescent="0.45">
      <c r="B21" s="20"/>
      <c r="C21" s="165">
        <v>5</v>
      </c>
      <c r="F21" s="27" t="s">
        <v>314</v>
      </c>
      <c r="J21" s="19"/>
    </row>
    <row r="22" spans="2:18" x14ac:dyDescent="0.45">
      <c r="B22" s="20"/>
      <c r="C22" s="165">
        <v>10</v>
      </c>
      <c r="F22" s="10" cm="1">
        <f t="array" ref="F22:F25">KroneckerProdλ(Victor,Waldo)</f>
        <v>100</v>
      </c>
      <c r="J22" s="19"/>
    </row>
    <row r="23" spans="2:18" x14ac:dyDescent="0.45">
      <c r="B23" s="20"/>
      <c r="F23" s="10">
        <v>200</v>
      </c>
      <c r="J23" s="19"/>
    </row>
    <row r="24" spans="2:18" x14ac:dyDescent="0.45">
      <c r="B24" s="20"/>
      <c r="C24" s="31" t="s">
        <v>313</v>
      </c>
      <c r="F24" s="10">
        <v>200</v>
      </c>
      <c r="J24" s="19"/>
    </row>
    <row r="25" spans="2:18" x14ac:dyDescent="0.45">
      <c r="B25" s="20"/>
      <c r="C25" s="165">
        <v>20</v>
      </c>
      <c r="F25" s="10">
        <v>400</v>
      </c>
      <c r="J25" s="19"/>
    </row>
    <row r="26" spans="2:18" x14ac:dyDescent="0.45">
      <c r="B26" s="20"/>
      <c r="C26" s="165">
        <v>40</v>
      </c>
      <c r="J26" s="19"/>
    </row>
    <row r="27" spans="2:18" x14ac:dyDescent="0.45">
      <c r="B27" s="20"/>
      <c r="J27" s="19"/>
    </row>
    <row r="28" spans="2:18" x14ac:dyDescent="0.45">
      <c r="B28" s="21"/>
      <c r="C28" s="22"/>
      <c r="D28" s="22"/>
      <c r="E28" s="22"/>
      <c r="F28" s="22"/>
      <c r="G28" s="22"/>
      <c r="H28" s="22"/>
      <c r="I28" s="22"/>
      <c r="J28" s="23"/>
      <c r="K28" s="2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F2E5-7F69-41D4-9B22-8D7039DCA016}">
  <sheetPr codeName="Sheet9">
    <tabColor rgb="FFDBD0F0"/>
  </sheetPr>
  <dimension ref="A1:P31"/>
  <sheetViews>
    <sheetView workbookViewId="0"/>
  </sheetViews>
  <sheetFormatPr defaultRowHeight="16.5" x14ac:dyDescent="0.45"/>
  <cols>
    <col min="1" max="1" width="5" customWidth="1"/>
    <col min="2" max="4" width="5.58203125" customWidth="1"/>
    <col min="5" max="5" width="6.4140625" customWidth="1"/>
    <col min="8" max="8" width="10.1640625" customWidth="1"/>
    <col min="9" max="9" width="3.25" customWidth="1"/>
    <col min="11" max="11" width="10.83203125" bestFit="1" customWidth="1"/>
    <col min="12" max="12" width="13" bestFit="1" customWidth="1"/>
    <col min="13" max="13" width="4.25" customWidth="1"/>
    <col min="15" max="15" width="10.83203125" bestFit="1" customWidth="1"/>
    <col min="16" max="16" width="9.58203125" customWidth="1"/>
  </cols>
  <sheetData>
    <row r="1" spans="1:16" x14ac:dyDescent="0.45">
      <c r="A1" s="7"/>
    </row>
    <row r="2" spans="1:16" x14ac:dyDescent="0.45">
      <c r="B2" s="15" t="s">
        <v>320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321</v>
      </c>
      <c r="P3" s="19"/>
    </row>
    <row r="4" spans="1:16" x14ac:dyDescent="0.45">
      <c r="B4" s="18" t="s">
        <v>322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323</v>
      </c>
      <c r="P6" s="19"/>
    </row>
    <row r="7" spans="1:16" x14ac:dyDescent="0.45">
      <c r="B7" s="20"/>
      <c r="P7" s="19"/>
    </row>
    <row r="8" spans="1:16" x14ac:dyDescent="0.45">
      <c r="B8" s="115" t="s">
        <v>365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</row>
    <row r="9" spans="1:16" x14ac:dyDescent="0.45">
      <c r="B9" s="113"/>
      <c r="P9" s="118"/>
    </row>
    <row r="10" spans="1:16" x14ac:dyDescent="0.45">
      <c r="B10" s="32" t="s">
        <v>326</v>
      </c>
      <c r="C10" s="16"/>
      <c r="D10" s="16"/>
      <c r="E10" s="16"/>
      <c r="F10" s="24" t="s">
        <v>324</v>
      </c>
      <c r="G10" s="16"/>
      <c r="H10" s="17"/>
      <c r="J10" s="32" t="s">
        <v>334</v>
      </c>
      <c r="K10" s="16"/>
      <c r="L10" s="16"/>
      <c r="M10" s="16"/>
      <c r="N10" s="24" t="s">
        <v>337</v>
      </c>
      <c r="O10" s="16"/>
      <c r="P10" s="17"/>
    </row>
    <row r="11" spans="1:16" x14ac:dyDescent="0.45">
      <c r="B11" s="9">
        <v>40</v>
      </c>
      <c r="C11" s="9">
        <v>8</v>
      </c>
      <c r="D11" s="9">
        <v>97</v>
      </c>
      <c r="F11" s="27" t="s">
        <v>325</v>
      </c>
      <c r="G11" s="28"/>
      <c r="H11" s="29"/>
      <c r="J11" s="9" t="s">
        <v>131</v>
      </c>
      <c r="K11" s="9" t="s">
        <v>56</v>
      </c>
      <c r="L11" s="9" t="s">
        <v>327</v>
      </c>
      <c r="N11" s="27" t="s">
        <v>336</v>
      </c>
      <c r="P11" s="19"/>
    </row>
    <row r="12" spans="1:16" x14ac:dyDescent="0.45">
      <c r="B12" s="9">
        <v>4</v>
      </c>
      <c r="C12" s="9">
        <v>9</v>
      </c>
      <c r="D12" s="9">
        <v>4</v>
      </c>
      <c r="F12" s="9" cm="1">
        <f t="array" ref="F12:H14">Excludeλ(ExGrid,50)</f>
        <v>40</v>
      </c>
      <c r="G12" s="9">
        <v>8</v>
      </c>
      <c r="H12" s="9">
        <v>97</v>
      </c>
      <c r="J12" s="9" t="s">
        <v>172</v>
      </c>
      <c r="K12" s="9" t="s">
        <v>81</v>
      </c>
      <c r="L12" s="83" t="s">
        <v>328</v>
      </c>
      <c r="N12" s="9" t="str" cm="1">
        <f t="array" ref="N12:P14">Excludeλ(ExGridB,"Unknown")</f>
        <v>Ann</v>
      </c>
      <c r="O12" s="9" t="str">
        <v>Finance</v>
      </c>
      <c r="P12" s="9" t="str">
        <v>A</v>
      </c>
    </row>
    <row r="13" spans="1:16" x14ac:dyDescent="0.45">
      <c r="B13" s="9">
        <v>68</v>
      </c>
      <c r="C13" s="114">
        <v>50</v>
      </c>
      <c r="D13" s="9">
        <v>20</v>
      </c>
      <c r="F13" s="9">
        <v>4</v>
      </c>
      <c r="G13" s="9">
        <v>9</v>
      </c>
      <c r="H13" s="9">
        <v>4</v>
      </c>
      <c r="J13" s="9" t="s">
        <v>329</v>
      </c>
      <c r="K13" s="9" t="s">
        <v>60</v>
      </c>
      <c r="L13" s="10" t="s">
        <v>86</v>
      </c>
      <c r="N13" s="9" t="str">
        <v>Rosaline</v>
      </c>
      <c r="O13" s="9" t="str">
        <v>HR</v>
      </c>
      <c r="P13" s="9" t="str">
        <v>C</v>
      </c>
    </row>
    <row r="14" spans="1:16" x14ac:dyDescent="0.45">
      <c r="B14" s="9">
        <v>124</v>
      </c>
      <c r="C14" s="9">
        <v>100</v>
      </c>
      <c r="D14" s="114">
        <v>50</v>
      </c>
      <c r="F14" s="9">
        <v>29</v>
      </c>
      <c r="G14" s="9">
        <v>75</v>
      </c>
      <c r="H14" s="9">
        <v>25</v>
      </c>
      <c r="J14" s="9" t="s">
        <v>330</v>
      </c>
      <c r="K14" s="9" t="s">
        <v>335</v>
      </c>
      <c r="L14" s="83" t="s">
        <v>328</v>
      </c>
      <c r="N14" s="9" t="str">
        <v>Vincent</v>
      </c>
      <c r="O14" s="9" t="str">
        <v>Legal</v>
      </c>
      <c r="P14" s="9" t="str">
        <v>B</v>
      </c>
    </row>
    <row r="15" spans="1:16" x14ac:dyDescent="0.45">
      <c r="B15" s="9">
        <v>29</v>
      </c>
      <c r="C15" s="9">
        <v>75</v>
      </c>
      <c r="D15" s="9">
        <v>25</v>
      </c>
      <c r="H15" s="19"/>
      <c r="J15" s="9" t="s">
        <v>331</v>
      </c>
      <c r="K15" s="114" t="s">
        <v>328</v>
      </c>
      <c r="L15" s="10" t="s">
        <v>92</v>
      </c>
      <c r="N15" s="28"/>
      <c r="O15" s="28"/>
      <c r="P15" s="29"/>
    </row>
    <row r="16" spans="1:16" x14ac:dyDescent="0.45">
      <c r="B16" s="20"/>
      <c r="H16" s="19"/>
      <c r="J16" s="9" t="s">
        <v>332</v>
      </c>
      <c r="K16" s="9" t="s">
        <v>59</v>
      </c>
      <c r="L16" s="10" t="s">
        <v>93</v>
      </c>
      <c r="P16" s="19"/>
    </row>
    <row r="17" spans="2:16" x14ac:dyDescent="0.45">
      <c r="B17" s="20"/>
      <c r="H17" s="19"/>
      <c r="J17" s="9" t="s">
        <v>333</v>
      </c>
      <c r="K17" s="9" t="s">
        <v>58</v>
      </c>
      <c r="L17" s="10" t="s">
        <v>92</v>
      </c>
      <c r="P17" s="19"/>
    </row>
    <row r="18" spans="2:16" x14ac:dyDescent="0.45">
      <c r="B18" s="20"/>
      <c r="H18" s="19"/>
      <c r="J18" s="20"/>
      <c r="P18" s="19"/>
    </row>
    <row r="19" spans="2:16" x14ac:dyDescent="0.45">
      <c r="B19" s="35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7"/>
    </row>
    <row r="20" spans="2:16" x14ac:dyDescent="0.45">
      <c r="B20" s="20"/>
      <c r="F20" s="116" t="s">
        <v>345</v>
      </c>
      <c r="J20" s="26" t="s">
        <v>347</v>
      </c>
      <c r="N20" s="26" t="s">
        <v>355</v>
      </c>
      <c r="P20" s="19"/>
    </row>
    <row r="21" spans="2:16" x14ac:dyDescent="0.45">
      <c r="B21" s="20"/>
      <c r="F21" s="9" t="s">
        <v>348</v>
      </c>
      <c r="G21" s="9" t="s">
        <v>338</v>
      </c>
      <c r="H21" s="9" t="s">
        <v>339</v>
      </c>
      <c r="J21" s="27" t="s">
        <v>346</v>
      </c>
      <c r="N21" s="27" t="s">
        <v>354</v>
      </c>
      <c r="P21" s="19"/>
    </row>
    <row r="22" spans="2:16" x14ac:dyDescent="0.45">
      <c r="B22" s="20"/>
      <c r="F22" s="9" t="s">
        <v>350</v>
      </c>
      <c r="G22" s="9" t="s">
        <v>84</v>
      </c>
      <c r="H22" s="9" t="s">
        <v>341</v>
      </c>
      <c r="J22" s="9" t="str" cm="1">
        <f t="array" ref="J22:L26">Excludeλ(Offices,{"North","Malibu"})</f>
        <v>Home</v>
      </c>
      <c r="K22" s="9" t="str">
        <v>West</v>
      </c>
      <c r="L22" s="9" t="str">
        <v>Pasadena</v>
      </c>
      <c r="N22" s="46" cm="1">
        <f t="array" ref="N22">Excludeλ(Offices,{"Home","Satellite"})</f>
        <v>0</v>
      </c>
      <c r="P22" s="19"/>
    </row>
    <row r="23" spans="2:16" x14ac:dyDescent="0.45">
      <c r="B23" s="20"/>
      <c r="F23" s="9" t="s">
        <v>350</v>
      </c>
      <c r="G23" s="9" t="s">
        <v>84</v>
      </c>
      <c r="H23" s="9" t="s">
        <v>352</v>
      </c>
      <c r="J23" s="9" t="str">
        <v>Home</v>
      </c>
      <c r="K23" s="9" t="str">
        <v>West</v>
      </c>
      <c r="L23" s="9" t="str">
        <v>Tucson</v>
      </c>
      <c r="P23" s="19"/>
    </row>
    <row r="24" spans="2:16" x14ac:dyDescent="0.45">
      <c r="B24" s="20"/>
      <c r="F24" s="9" t="s">
        <v>349</v>
      </c>
      <c r="G24" s="9" t="s">
        <v>204</v>
      </c>
      <c r="H24" s="9" t="s">
        <v>340</v>
      </c>
      <c r="J24" s="9" t="str">
        <v>Satellite</v>
      </c>
      <c r="K24" s="9" t="str">
        <v>East</v>
      </c>
      <c r="L24" s="9" t="str">
        <v>Boston</v>
      </c>
      <c r="P24" s="19"/>
    </row>
    <row r="25" spans="2:16" x14ac:dyDescent="0.45">
      <c r="B25" s="20"/>
      <c r="F25" s="9" t="s">
        <v>350</v>
      </c>
      <c r="G25" s="9" t="s">
        <v>84</v>
      </c>
      <c r="H25" s="114" t="s">
        <v>342</v>
      </c>
      <c r="J25" s="9" t="str">
        <v>Home</v>
      </c>
      <c r="K25" s="9" t="str">
        <v>East</v>
      </c>
      <c r="L25" s="9" t="str">
        <v>Hartford</v>
      </c>
      <c r="P25" s="19"/>
    </row>
    <row r="26" spans="2:16" x14ac:dyDescent="0.45">
      <c r="B26" s="20"/>
      <c r="F26" s="9" t="s">
        <v>350</v>
      </c>
      <c r="G26" s="9" t="s">
        <v>204</v>
      </c>
      <c r="H26" s="9" t="s">
        <v>343</v>
      </c>
      <c r="J26" s="9" t="str">
        <v>Home</v>
      </c>
      <c r="K26" s="9" t="str">
        <v>West</v>
      </c>
      <c r="L26" s="9" t="str">
        <v>Phoenix</v>
      </c>
      <c r="P26" s="19"/>
    </row>
    <row r="27" spans="2:16" x14ac:dyDescent="0.45">
      <c r="B27" s="20"/>
      <c r="F27" s="9" t="s">
        <v>349</v>
      </c>
      <c r="G27" s="114" t="s">
        <v>82</v>
      </c>
      <c r="H27" s="9" t="s">
        <v>353</v>
      </c>
      <c r="J27" s="117"/>
      <c r="K27" s="117"/>
      <c r="L27" s="117"/>
      <c r="P27" s="19"/>
    </row>
    <row r="28" spans="2:16" x14ac:dyDescent="0.45">
      <c r="B28" s="20"/>
      <c r="F28" s="9" t="s">
        <v>349</v>
      </c>
      <c r="G28" s="114" t="s">
        <v>82</v>
      </c>
      <c r="H28" s="9" t="s">
        <v>344</v>
      </c>
      <c r="J28" s="28"/>
      <c r="K28" s="28"/>
      <c r="L28" s="28"/>
      <c r="P28" s="19"/>
    </row>
    <row r="29" spans="2:16" x14ac:dyDescent="0.45">
      <c r="B29" s="20"/>
      <c r="F29" s="9" t="s">
        <v>350</v>
      </c>
      <c r="G29" s="9" t="s">
        <v>84</v>
      </c>
      <c r="H29" s="9" t="s">
        <v>351</v>
      </c>
      <c r="P29" s="19"/>
    </row>
    <row r="30" spans="2:16" x14ac:dyDescent="0.45">
      <c r="B30" s="20"/>
      <c r="P30" s="19"/>
    </row>
    <row r="31" spans="2:16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E4F5-999D-47A3-A01D-A5F35BE082AD}">
  <sheetPr codeName="Sheet10">
    <tabColor rgb="FFDBD0F0"/>
  </sheetPr>
  <dimension ref="A1:P30"/>
  <sheetViews>
    <sheetView workbookViewId="0"/>
  </sheetViews>
  <sheetFormatPr defaultRowHeight="16.5" x14ac:dyDescent="0.45"/>
  <cols>
    <col min="1" max="1" width="5" customWidth="1"/>
    <col min="8" max="8" width="10" bestFit="1" customWidth="1"/>
    <col min="9" max="9" width="5.9140625" customWidth="1"/>
    <col min="11" max="11" width="11" bestFit="1" customWidth="1"/>
    <col min="12" max="12" width="13" bestFit="1" customWidth="1"/>
    <col min="13" max="13" width="4.75" customWidth="1"/>
  </cols>
  <sheetData>
    <row r="1" spans="1:16" x14ac:dyDescent="0.45">
      <c r="A1" s="7"/>
    </row>
    <row r="2" spans="1:16" x14ac:dyDescent="0.45">
      <c r="B2" s="15" t="s">
        <v>356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321</v>
      </c>
      <c r="P3" s="19"/>
    </row>
    <row r="4" spans="1:16" x14ac:dyDescent="0.45">
      <c r="B4" s="18" t="s">
        <v>322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323</v>
      </c>
      <c r="P6" s="19"/>
    </row>
    <row r="7" spans="1:16" x14ac:dyDescent="0.45">
      <c r="B7" s="20"/>
      <c r="P7" s="19"/>
    </row>
    <row r="8" spans="1:16" x14ac:dyDescent="0.45">
      <c r="B8" s="115" t="s">
        <v>366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</row>
    <row r="9" spans="1:16" x14ac:dyDescent="0.45">
      <c r="B9" s="35"/>
      <c r="C9" s="16"/>
      <c r="D9" s="16"/>
      <c r="E9" s="16"/>
      <c r="F9" s="16"/>
      <c r="G9" s="16"/>
      <c r="H9" s="16"/>
      <c r="I9" s="17"/>
      <c r="J9" s="35"/>
      <c r="K9" s="16"/>
      <c r="L9" s="16"/>
      <c r="M9" s="16"/>
      <c r="N9" s="16"/>
      <c r="O9" s="16"/>
      <c r="P9" s="17"/>
    </row>
    <row r="10" spans="1:16" x14ac:dyDescent="0.45">
      <c r="B10" s="115" t="s">
        <v>361</v>
      </c>
      <c r="F10" s="26" t="s">
        <v>357</v>
      </c>
      <c r="I10" s="19"/>
      <c r="J10" s="115" t="s">
        <v>362</v>
      </c>
      <c r="N10" s="26" t="s">
        <v>359</v>
      </c>
      <c r="P10" s="19"/>
    </row>
    <row r="11" spans="1:16" x14ac:dyDescent="0.45">
      <c r="B11" s="9">
        <v>40</v>
      </c>
      <c r="C11" s="9">
        <v>8</v>
      </c>
      <c r="D11" s="9">
        <v>97</v>
      </c>
      <c r="F11" s="27" t="s">
        <v>363</v>
      </c>
      <c r="I11" s="19"/>
      <c r="J11" s="9" t="s">
        <v>131</v>
      </c>
      <c r="K11" s="9" t="s">
        <v>56</v>
      </c>
      <c r="L11" s="9" t="s">
        <v>327</v>
      </c>
      <c r="N11" s="27" t="s">
        <v>585</v>
      </c>
      <c r="P11" s="19"/>
    </row>
    <row r="12" spans="1:16" x14ac:dyDescent="0.45">
      <c r="B12" s="9">
        <v>4</v>
      </c>
      <c r="C12" s="9">
        <v>9</v>
      </c>
      <c r="D12" s="9">
        <v>4</v>
      </c>
      <c r="F12" s="9" cm="1">
        <f t="array" ref="F12:H13">Snapλ(SnGrid,50)</f>
        <v>68</v>
      </c>
      <c r="G12" s="9">
        <v>50</v>
      </c>
      <c r="H12" s="9">
        <v>20</v>
      </c>
      <c r="I12" s="19"/>
      <c r="J12" s="9" t="s">
        <v>172</v>
      </c>
      <c r="K12" s="9" t="s">
        <v>81</v>
      </c>
      <c r="L12" s="38" t="s">
        <v>328</v>
      </c>
      <c r="N12" s="9" t="str" cm="1">
        <f t="array" ref="N12:P14">Snapλ(SnGridB,"Unknown")</f>
        <v>Jose</v>
      </c>
      <c r="O12" s="9" t="str">
        <v>Sales</v>
      </c>
      <c r="P12" s="9" t="str">
        <v>Unknown</v>
      </c>
    </row>
    <row r="13" spans="1:16" x14ac:dyDescent="0.45">
      <c r="B13" s="9">
        <v>68</v>
      </c>
      <c r="C13" s="38">
        <v>50</v>
      </c>
      <c r="D13" s="9">
        <v>20</v>
      </c>
      <c r="F13" s="9">
        <v>124</v>
      </c>
      <c r="G13" s="9">
        <v>100</v>
      </c>
      <c r="H13" s="9">
        <v>50</v>
      </c>
      <c r="I13" s="19"/>
      <c r="J13" s="9" t="s">
        <v>329</v>
      </c>
      <c r="K13" s="9" t="s">
        <v>60</v>
      </c>
      <c r="L13" s="9" t="s">
        <v>86</v>
      </c>
      <c r="N13" s="9" t="str">
        <v>Willy</v>
      </c>
      <c r="O13" s="9" t="str">
        <v>Marketing</v>
      </c>
      <c r="P13" s="9" t="str">
        <v>Unknown</v>
      </c>
    </row>
    <row r="14" spans="1:16" x14ac:dyDescent="0.45">
      <c r="B14" s="9">
        <v>124</v>
      </c>
      <c r="C14" s="9">
        <v>100</v>
      </c>
      <c r="D14" s="38">
        <v>50</v>
      </c>
      <c r="I14" s="19"/>
      <c r="J14" s="9" t="s">
        <v>330</v>
      </c>
      <c r="K14" s="9" t="s">
        <v>335</v>
      </c>
      <c r="L14" s="38" t="s">
        <v>328</v>
      </c>
      <c r="N14" s="9" t="str">
        <v>Jerry</v>
      </c>
      <c r="O14" s="9" t="str">
        <v>Unknown</v>
      </c>
      <c r="P14" s="9" t="str">
        <v>B</v>
      </c>
    </row>
    <row r="15" spans="1:16" x14ac:dyDescent="0.45">
      <c r="B15" s="9">
        <v>29</v>
      </c>
      <c r="C15" s="9">
        <v>75</v>
      </c>
      <c r="D15" s="9">
        <v>25</v>
      </c>
      <c r="I15" s="19"/>
      <c r="J15" s="9" t="s">
        <v>331</v>
      </c>
      <c r="K15" s="38" t="s">
        <v>328</v>
      </c>
      <c r="L15" s="9" t="s">
        <v>92</v>
      </c>
      <c r="P15" s="19"/>
    </row>
    <row r="16" spans="1:16" x14ac:dyDescent="0.45">
      <c r="B16" s="20"/>
      <c r="I16" s="19"/>
      <c r="J16" s="9" t="s">
        <v>332</v>
      </c>
      <c r="K16" s="9" t="s">
        <v>59</v>
      </c>
      <c r="L16" s="9" t="s">
        <v>93</v>
      </c>
      <c r="P16" s="19"/>
    </row>
    <row r="17" spans="2:16" x14ac:dyDescent="0.45">
      <c r="B17" s="20"/>
      <c r="I17" s="19"/>
      <c r="J17" s="9" t="s">
        <v>333</v>
      </c>
      <c r="K17" s="9" t="s">
        <v>58</v>
      </c>
      <c r="L17" s="9" t="s">
        <v>92</v>
      </c>
      <c r="P17" s="19"/>
    </row>
    <row r="18" spans="2:16" x14ac:dyDescent="0.45">
      <c r="B18" s="21"/>
      <c r="C18" s="22"/>
      <c r="D18" s="22"/>
      <c r="E18" s="22"/>
      <c r="F18" s="22"/>
      <c r="G18" s="22"/>
      <c r="H18" s="22"/>
      <c r="I18" s="23"/>
      <c r="J18" s="21"/>
      <c r="K18" s="22"/>
      <c r="L18" s="22"/>
      <c r="M18" s="22"/>
      <c r="N18" s="22"/>
      <c r="O18" s="22"/>
      <c r="P18" s="23"/>
    </row>
    <row r="19" spans="2:16" x14ac:dyDescent="0.45">
      <c r="B19" s="20"/>
      <c r="P19" s="19"/>
    </row>
    <row r="20" spans="2:16" x14ac:dyDescent="0.45">
      <c r="B20" s="20"/>
      <c r="F20" s="116" t="s">
        <v>358</v>
      </c>
      <c r="J20" s="26" t="s">
        <v>360</v>
      </c>
      <c r="N20" s="26" t="s">
        <v>355</v>
      </c>
      <c r="P20" s="19"/>
    </row>
    <row r="21" spans="2:16" x14ac:dyDescent="0.45">
      <c r="B21" s="20"/>
      <c r="F21" s="9" t="s">
        <v>348</v>
      </c>
      <c r="G21" s="9" t="s">
        <v>338</v>
      </c>
      <c r="H21" s="9" t="s">
        <v>339</v>
      </c>
      <c r="J21" s="27" t="s">
        <v>367</v>
      </c>
      <c r="N21" s="27" t="s">
        <v>364</v>
      </c>
      <c r="P21" s="19"/>
    </row>
    <row r="22" spans="2:16" x14ac:dyDescent="0.45">
      <c r="B22" s="20"/>
      <c r="F22" s="9" t="s">
        <v>350</v>
      </c>
      <c r="G22" s="9" t="s">
        <v>84</v>
      </c>
      <c r="H22" s="9" t="s">
        <v>341</v>
      </c>
      <c r="J22" s="9" t="str" cm="1">
        <f t="array" ref="J22:L24">Snapλ(OfficesB,{"North","Malibu"})</f>
        <v>Home</v>
      </c>
      <c r="K22" s="9" t="str">
        <v>West</v>
      </c>
      <c r="L22" s="9" t="str">
        <v>Malibu</v>
      </c>
      <c r="N22" s="46" cm="1">
        <f t="array" ref="N22">Snapλ(OfficesB,"Plano")</f>
        <v>0</v>
      </c>
      <c r="P22" s="19"/>
    </row>
    <row r="23" spans="2:16" x14ac:dyDescent="0.45">
      <c r="B23" s="20"/>
      <c r="F23" s="9" t="s">
        <v>350</v>
      </c>
      <c r="G23" s="9" t="s">
        <v>84</v>
      </c>
      <c r="H23" s="9" t="s">
        <v>352</v>
      </c>
      <c r="J23" s="9" t="str">
        <v>Satellite</v>
      </c>
      <c r="K23" s="9" t="str">
        <v>North</v>
      </c>
      <c r="L23" s="9" t="str">
        <v>Portland</v>
      </c>
      <c r="P23" s="19"/>
    </row>
    <row r="24" spans="2:16" x14ac:dyDescent="0.45">
      <c r="B24" s="20"/>
      <c r="F24" s="9" t="s">
        <v>349</v>
      </c>
      <c r="G24" s="9" t="s">
        <v>204</v>
      </c>
      <c r="H24" s="9" t="s">
        <v>340</v>
      </c>
      <c r="J24" s="9" t="str">
        <v>Satellite</v>
      </c>
      <c r="K24" s="9" t="str">
        <v>North</v>
      </c>
      <c r="L24" s="9" t="str">
        <v>Montpelier</v>
      </c>
      <c r="P24" s="19"/>
    </row>
    <row r="25" spans="2:16" x14ac:dyDescent="0.45">
      <c r="B25" s="20"/>
      <c r="F25" s="9" t="s">
        <v>350</v>
      </c>
      <c r="G25" s="9" t="s">
        <v>84</v>
      </c>
      <c r="H25" s="38" t="s">
        <v>342</v>
      </c>
      <c r="P25" s="19"/>
    </row>
    <row r="26" spans="2:16" x14ac:dyDescent="0.45">
      <c r="B26" s="20"/>
      <c r="F26" s="9" t="s">
        <v>350</v>
      </c>
      <c r="G26" s="9" t="s">
        <v>204</v>
      </c>
      <c r="H26" s="9" t="s">
        <v>343</v>
      </c>
      <c r="P26" s="19"/>
    </row>
    <row r="27" spans="2:16" x14ac:dyDescent="0.45">
      <c r="B27" s="20"/>
      <c r="F27" s="9" t="s">
        <v>349</v>
      </c>
      <c r="G27" s="38" t="s">
        <v>82</v>
      </c>
      <c r="H27" s="9" t="s">
        <v>353</v>
      </c>
      <c r="P27" s="19"/>
    </row>
    <row r="28" spans="2:16" x14ac:dyDescent="0.45">
      <c r="B28" s="20"/>
      <c r="F28" s="9" t="s">
        <v>349</v>
      </c>
      <c r="G28" s="38" t="s">
        <v>82</v>
      </c>
      <c r="H28" s="9" t="s">
        <v>344</v>
      </c>
      <c r="P28" s="19"/>
    </row>
    <row r="29" spans="2:16" x14ac:dyDescent="0.45">
      <c r="B29" s="20"/>
      <c r="F29" s="9" t="s">
        <v>350</v>
      </c>
      <c r="G29" s="9" t="s">
        <v>84</v>
      </c>
      <c r="H29" s="9" t="s">
        <v>351</v>
      </c>
      <c r="P29" s="19"/>
    </row>
    <row r="30" spans="2:16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16CA-9CBF-4061-9A72-7C2588499451}">
  <sheetPr codeName="Sheet11">
    <tabColor rgb="FFB7C9D6"/>
  </sheetPr>
  <dimension ref="A1:V31"/>
  <sheetViews>
    <sheetView workbookViewId="0"/>
  </sheetViews>
  <sheetFormatPr defaultRowHeight="16.5" x14ac:dyDescent="0.45"/>
  <cols>
    <col min="1" max="1" width="5" customWidth="1"/>
    <col min="2" max="22" width="5.58203125" customWidth="1"/>
  </cols>
  <sheetData>
    <row r="1" spans="1:22" x14ac:dyDescent="0.45">
      <c r="A1" s="7"/>
    </row>
    <row r="2" spans="1:22" x14ac:dyDescent="0.45">
      <c r="B2" s="15" t="s">
        <v>381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7"/>
    </row>
    <row r="3" spans="1:22" x14ac:dyDescent="0.45">
      <c r="B3" s="18" t="s">
        <v>368</v>
      </c>
      <c r="M3" s="19"/>
    </row>
    <row r="4" spans="1:22" x14ac:dyDescent="0.45">
      <c r="B4" s="104" t="s">
        <v>260</v>
      </c>
      <c r="M4" s="19"/>
    </row>
    <row r="5" spans="1:22" x14ac:dyDescent="0.45">
      <c r="B5" s="18" t="s">
        <v>369</v>
      </c>
      <c r="M5" s="19"/>
    </row>
    <row r="6" spans="1:22" x14ac:dyDescent="0.45">
      <c r="B6" s="20"/>
      <c r="C6" s="1" t="s">
        <v>370</v>
      </c>
      <c r="M6" s="19"/>
    </row>
    <row r="7" spans="1:22" x14ac:dyDescent="0.45">
      <c r="B7" s="20"/>
      <c r="C7" s="1" t="s">
        <v>371</v>
      </c>
      <c r="M7" s="19"/>
    </row>
    <row r="8" spans="1:22" x14ac:dyDescent="0.45"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3"/>
    </row>
    <row r="10" spans="1:22" x14ac:dyDescent="0.45">
      <c r="B10" s="119" t="s">
        <v>373</v>
      </c>
      <c r="C10" s="16"/>
      <c r="D10" s="16"/>
      <c r="E10" s="16"/>
      <c r="F10" s="16"/>
      <c r="G10" s="24" t="s">
        <v>374</v>
      </c>
      <c r="H10" s="16"/>
      <c r="I10" s="16"/>
      <c r="J10" s="16"/>
      <c r="K10" s="16"/>
      <c r="L10" s="24" t="s">
        <v>375</v>
      </c>
      <c r="M10" s="16"/>
      <c r="N10" s="16"/>
      <c r="O10" s="16"/>
      <c r="P10" s="16"/>
      <c r="Q10" s="16"/>
      <c r="R10" s="16"/>
      <c r="S10" s="16"/>
      <c r="T10" s="16"/>
      <c r="U10" s="16"/>
      <c r="V10" s="17"/>
    </row>
    <row r="11" spans="1:22" x14ac:dyDescent="0.45">
      <c r="B11" s="96" t="s">
        <v>383</v>
      </c>
      <c r="G11" s="27" t="s">
        <v>384</v>
      </c>
      <c r="L11" s="27" t="s">
        <v>385</v>
      </c>
      <c r="V11" s="19"/>
    </row>
    <row r="12" spans="1:22" x14ac:dyDescent="0.45">
      <c r="B12" s="166" cm="1">
        <f t="array" ref="B12:E12">_xlfn.SEQUENCE(,4)</f>
        <v>1</v>
      </c>
      <c r="C12" s="167">
        <v>2</v>
      </c>
      <c r="D12" s="167">
        <v>3</v>
      </c>
      <c r="E12" s="168">
        <v>4</v>
      </c>
      <c r="G12" s="10" cm="1">
        <f t="array" ref="G12:J12">Shiftλ(_xlfn.ANCHORARRAY(B12),1)</f>
        <v>2</v>
      </c>
      <c r="H12" s="10">
        <v>3</v>
      </c>
      <c r="I12" s="10">
        <v>4</v>
      </c>
      <c r="J12" s="10">
        <v>1</v>
      </c>
      <c r="L12" s="10" cm="1">
        <f t="array" ref="L12:O12">Shiftλ(_xlfn.ANCHORARRAY(B12),-1)</f>
        <v>4</v>
      </c>
      <c r="M12" s="10">
        <v>1</v>
      </c>
      <c r="N12" s="10">
        <v>2</v>
      </c>
      <c r="O12" s="10">
        <v>3</v>
      </c>
      <c r="V12" s="19"/>
    </row>
    <row r="13" spans="1:22" x14ac:dyDescent="0.45"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3"/>
    </row>
    <row r="14" spans="1:22" x14ac:dyDescent="0.45">
      <c r="B14" s="119" t="s">
        <v>373</v>
      </c>
      <c r="C14" s="16"/>
      <c r="D14" s="16"/>
      <c r="E14" s="16"/>
      <c r="F14" s="16"/>
      <c r="G14" s="24" t="s">
        <v>376</v>
      </c>
      <c r="H14" s="16"/>
      <c r="I14" s="16"/>
      <c r="J14" s="16"/>
      <c r="K14" s="16"/>
      <c r="L14" s="24" t="s">
        <v>391</v>
      </c>
      <c r="M14" s="16"/>
      <c r="N14" s="16"/>
      <c r="O14" s="16"/>
      <c r="P14" s="24" t="s">
        <v>378</v>
      </c>
      <c r="Q14" s="16"/>
      <c r="R14" s="16"/>
      <c r="S14" s="16"/>
      <c r="U14" s="16"/>
      <c r="V14" s="17"/>
    </row>
    <row r="15" spans="1:22" x14ac:dyDescent="0.45">
      <c r="B15" s="96" t="s">
        <v>386</v>
      </c>
      <c r="G15" s="27" t="s">
        <v>387</v>
      </c>
      <c r="L15" s="27" t="s">
        <v>390</v>
      </c>
      <c r="P15" s="27" t="s">
        <v>379</v>
      </c>
      <c r="V15" s="19"/>
    </row>
    <row r="16" spans="1:22" x14ac:dyDescent="0.45">
      <c r="B16" s="121" cm="1">
        <f t="array" ref="B16:B19">_xlfn.SEQUENCE(4)</f>
        <v>1</v>
      </c>
      <c r="G16" s="10" cm="1">
        <f t="array" ref="G16:G19">Shiftλ(_xlfn.ANCHORARRAY(B16),1)</f>
        <v>2</v>
      </c>
      <c r="L16" s="10" cm="1">
        <f t="array" ref="L16:L19">Shiftλ(_xlfn.ANCHORARRAY(B16),-2)</f>
        <v>3</v>
      </c>
      <c r="P16" s="10" t="str" cm="1">
        <f t="array" ref="P16:P19">Shiftλ(1234,-1)</f>
        <v>4</v>
      </c>
      <c r="V16" s="19"/>
    </row>
    <row r="17" spans="2:22" x14ac:dyDescent="0.45">
      <c r="B17" s="121">
        <v>2</v>
      </c>
      <c r="G17" s="10">
        <v>3</v>
      </c>
      <c r="L17" s="10">
        <v>4</v>
      </c>
      <c r="P17" s="10" t="str">
        <v>1</v>
      </c>
      <c r="V17" s="19"/>
    </row>
    <row r="18" spans="2:22" x14ac:dyDescent="0.45">
      <c r="B18" s="121">
        <v>3</v>
      </c>
      <c r="G18" s="10">
        <v>4</v>
      </c>
      <c r="L18" s="10">
        <v>1</v>
      </c>
      <c r="P18" s="10" t="str">
        <v>2</v>
      </c>
      <c r="V18" s="19"/>
    </row>
    <row r="19" spans="2:22" x14ac:dyDescent="0.45">
      <c r="B19" s="121">
        <v>4</v>
      </c>
      <c r="G19" s="10">
        <v>1</v>
      </c>
      <c r="L19" s="10">
        <v>2</v>
      </c>
      <c r="P19" s="10" t="str">
        <v>3</v>
      </c>
      <c r="V19" s="19"/>
    </row>
    <row r="20" spans="2:22" x14ac:dyDescent="0.45"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3"/>
    </row>
    <row r="21" spans="2:22" x14ac:dyDescent="0.45">
      <c r="B21" s="96" t="s">
        <v>372</v>
      </c>
      <c r="V21" s="19"/>
    </row>
    <row r="22" spans="2:22" x14ac:dyDescent="0.45">
      <c r="B22" s="33" t="s">
        <v>373</v>
      </c>
      <c r="G22" s="26" t="s">
        <v>380</v>
      </c>
      <c r="P22" s="26" t="s">
        <v>380</v>
      </c>
      <c r="V22" s="19"/>
    </row>
    <row r="23" spans="2:22" x14ac:dyDescent="0.45">
      <c r="B23" s="96" t="s">
        <v>388</v>
      </c>
      <c r="G23" s="27" t="s">
        <v>389</v>
      </c>
      <c r="P23" s="27" t="s">
        <v>382</v>
      </c>
      <c r="V23" s="19"/>
    </row>
    <row r="24" spans="2:22" x14ac:dyDescent="0.45">
      <c r="B24" s="121" cm="1">
        <f t="array" ref="B24:B29">_xlfn.SEQUENCE(6)</f>
        <v>1</v>
      </c>
      <c r="G24" s="169" cm="1">
        <f t="array" ref="G24:L28">Shiftλ(_xlfn.ANCHORARRAY(B24),_xlfn.SEQUENCE(5))</f>
        <v>2</v>
      </c>
      <c r="H24" s="170">
        <v>3</v>
      </c>
      <c r="I24" s="170">
        <v>4</v>
      </c>
      <c r="J24" s="170">
        <v>5</v>
      </c>
      <c r="K24" s="170">
        <v>6</v>
      </c>
      <c r="L24" s="59">
        <v>1</v>
      </c>
      <c r="P24" s="169" t="str" cm="1">
        <f t="array" ref="P24:U26">Shiftλ(123456,{1,2,3})</f>
        <v>2</v>
      </c>
      <c r="Q24" s="170" t="str">
        <v>3</v>
      </c>
      <c r="R24" s="170" t="str">
        <v>4</v>
      </c>
      <c r="S24" s="170" t="str">
        <v>5</v>
      </c>
      <c r="T24" s="170" t="str">
        <v>6</v>
      </c>
      <c r="U24" s="59" t="str">
        <v>1</v>
      </c>
      <c r="V24" s="19"/>
    </row>
    <row r="25" spans="2:22" x14ac:dyDescent="0.45">
      <c r="B25" s="121">
        <v>2</v>
      </c>
      <c r="G25" s="169">
        <v>3</v>
      </c>
      <c r="H25" s="170">
        <v>4</v>
      </c>
      <c r="I25" s="170">
        <v>5</v>
      </c>
      <c r="J25" s="170">
        <v>6</v>
      </c>
      <c r="K25" s="170">
        <v>1</v>
      </c>
      <c r="L25" s="59">
        <v>2</v>
      </c>
      <c r="P25" s="169" t="str">
        <v>3</v>
      </c>
      <c r="Q25" s="170" t="str">
        <v>4</v>
      </c>
      <c r="R25" s="170" t="str">
        <v>5</v>
      </c>
      <c r="S25" s="170" t="str">
        <v>6</v>
      </c>
      <c r="T25" s="170" t="str">
        <v>1</v>
      </c>
      <c r="U25" s="59" t="str">
        <v>2</v>
      </c>
      <c r="V25" s="19"/>
    </row>
    <row r="26" spans="2:22" x14ac:dyDescent="0.45">
      <c r="B26" s="121">
        <v>3</v>
      </c>
      <c r="G26" s="169">
        <v>4</v>
      </c>
      <c r="H26" s="170">
        <v>5</v>
      </c>
      <c r="I26" s="170">
        <v>6</v>
      </c>
      <c r="J26" s="170">
        <v>1</v>
      </c>
      <c r="K26" s="170">
        <v>2</v>
      </c>
      <c r="L26" s="59">
        <v>3</v>
      </c>
      <c r="P26" s="169" t="str">
        <v>4</v>
      </c>
      <c r="Q26" s="170" t="str">
        <v>5</v>
      </c>
      <c r="R26" s="170" t="str">
        <v>6</v>
      </c>
      <c r="S26" s="170" t="str">
        <v>1</v>
      </c>
      <c r="T26" s="170" t="str">
        <v>2</v>
      </c>
      <c r="U26" s="59" t="str">
        <v>3</v>
      </c>
      <c r="V26" s="19"/>
    </row>
    <row r="27" spans="2:22" x14ac:dyDescent="0.45">
      <c r="B27" s="121">
        <v>4</v>
      </c>
      <c r="G27" s="169">
        <v>5</v>
      </c>
      <c r="H27" s="170">
        <v>6</v>
      </c>
      <c r="I27" s="170">
        <v>1</v>
      </c>
      <c r="J27" s="170">
        <v>2</v>
      </c>
      <c r="K27" s="170">
        <v>3</v>
      </c>
      <c r="L27" s="59">
        <v>4</v>
      </c>
      <c r="V27" s="19"/>
    </row>
    <row r="28" spans="2:22" x14ac:dyDescent="0.45">
      <c r="B28" s="121">
        <v>5</v>
      </c>
      <c r="G28" s="169">
        <v>6</v>
      </c>
      <c r="H28" s="170">
        <v>1</v>
      </c>
      <c r="I28" s="170">
        <v>2</v>
      </c>
      <c r="J28" s="170">
        <v>3</v>
      </c>
      <c r="K28" s="170">
        <v>4</v>
      </c>
      <c r="L28" s="59">
        <v>5</v>
      </c>
      <c r="V28" s="19"/>
    </row>
    <row r="29" spans="2:22" x14ac:dyDescent="0.45">
      <c r="B29" s="121">
        <v>6</v>
      </c>
      <c r="V29" s="19"/>
    </row>
    <row r="30" spans="2:22" x14ac:dyDescent="0.45">
      <c r="B30" s="20"/>
      <c r="V30" s="19"/>
    </row>
    <row r="31" spans="2:22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B4C-23B7-4A32-8531-5513EE5CC2A0}">
  <sheetPr codeName="Sheet12">
    <tabColor rgb="FFB7C9D6"/>
  </sheetPr>
  <dimension ref="A1:M32"/>
  <sheetViews>
    <sheetView workbookViewId="0"/>
  </sheetViews>
  <sheetFormatPr defaultRowHeight="16.5" x14ac:dyDescent="0.45"/>
  <cols>
    <col min="1" max="1" width="5" customWidth="1"/>
    <col min="2" max="2" width="14.1640625" customWidth="1"/>
    <col min="3" max="3" width="9.25" customWidth="1"/>
    <col min="4" max="4" width="10.33203125" customWidth="1"/>
    <col min="5" max="5" width="8.08203125" customWidth="1"/>
    <col min="6" max="6" width="6.1640625" customWidth="1"/>
    <col min="7" max="7" width="22" bestFit="1" customWidth="1"/>
    <col min="8" max="8" width="8.25" bestFit="1" customWidth="1"/>
    <col min="9" max="9" width="20.75" bestFit="1" customWidth="1"/>
    <col min="10" max="10" width="10.08203125" bestFit="1" customWidth="1"/>
    <col min="11" max="11" width="21.25" bestFit="1" customWidth="1"/>
    <col min="12" max="12" width="10.08203125" bestFit="1" customWidth="1"/>
    <col min="13" max="13" width="5.1640625" customWidth="1"/>
  </cols>
  <sheetData>
    <row r="1" spans="1:13" x14ac:dyDescent="0.45">
      <c r="A1" s="7"/>
    </row>
    <row r="2" spans="1:13" x14ac:dyDescent="0.45">
      <c r="B2" s="15" t="s">
        <v>400</v>
      </c>
      <c r="C2" s="16"/>
      <c r="D2" s="16"/>
      <c r="E2" s="16"/>
      <c r="F2" s="16"/>
      <c r="G2" s="17"/>
    </row>
    <row r="3" spans="1:13" x14ac:dyDescent="0.45">
      <c r="B3" s="18" t="s">
        <v>392</v>
      </c>
      <c r="G3" s="19"/>
    </row>
    <row r="4" spans="1:13" x14ac:dyDescent="0.45">
      <c r="B4" s="18" t="s">
        <v>369</v>
      </c>
      <c r="G4" s="19"/>
    </row>
    <row r="5" spans="1:13" x14ac:dyDescent="0.45">
      <c r="B5" s="20"/>
      <c r="C5" s="1" t="s">
        <v>370</v>
      </c>
      <c r="G5" s="19"/>
    </row>
    <row r="6" spans="1:13" x14ac:dyDescent="0.45">
      <c r="B6" s="21"/>
      <c r="C6" s="128" t="s">
        <v>371</v>
      </c>
      <c r="D6" s="22"/>
      <c r="E6" s="22"/>
      <c r="F6" s="22"/>
      <c r="G6" s="23"/>
    </row>
    <row r="8" spans="1:13" x14ac:dyDescent="0.45">
      <c r="B8" s="32" t="s">
        <v>397</v>
      </c>
      <c r="C8" s="16"/>
      <c r="D8" s="16"/>
      <c r="E8" s="17"/>
      <c r="F8" s="35"/>
      <c r="G8" s="36" t="s">
        <v>422</v>
      </c>
      <c r="H8" s="117"/>
      <c r="I8" s="117"/>
      <c r="J8" s="117"/>
      <c r="K8" s="117"/>
      <c r="L8" s="16"/>
      <c r="M8" s="17"/>
    </row>
    <row r="9" spans="1:13" x14ac:dyDescent="0.45">
      <c r="B9" s="171" t="s">
        <v>108</v>
      </c>
      <c r="C9" s="171" t="s">
        <v>393</v>
      </c>
      <c r="D9" s="172" t="s">
        <v>92</v>
      </c>
      <c r="E9" s="49"/>
      <c r="F9" s="126"/>
      <c r="G9" s="172" t="s">
        <v>414</v>
      </c>
      <c r="H9" s="172" t="s">
        <v>401</v>
      </c>
      <c r="I9" s="172" t="s">
        <v>223</v>
      </c>
      <c r="J9" s="172" t="s">
        <v>411</v>
      </c>
      <c r="K9" s="172" t="s">
        <v>413</v>
      </c>
      <c r="L9" s="173" t="s">
        <v>223</v>
      </c>
      <c r="M9" s="19"/>
    </row>
    <row r="10" spans="1:13" x14ac:dyDescent="0.45">
      <c r="B10" s="171" t="s">
        <v>109</v>
      </c>
      <c r="C10" s="171" t="s">
        <v>394</v>
      </c>
      <c r="D10" s="172" t="s">
        <v>86</v>
      </c>
      <c r="E10" s="49"/>
      <c r="F10" s="126"/>
      <c r="G10" s="171" t="s">
        <v>402</v>
      </c>
      <c r="H10" s="171">
        <v>4.08</v>
      </c>
      <c r="I10" s="174">
        <v>49.99</v>
      </c>
      <c r="J10" s="175">
        <v>39508</v>
      </c>
      <c r="K10" s="171" t="s">
        <v>415</v>
      </c>
      <c r="L10" s="174" t="s">
        <v>405</v>
      </c>
      <c r="M10" s="19"/>
    </row>
    <row r="11" spans="1:13" x14ac:dyDescent="0.45">
      <c r="B11" s="171" t="s">
        <v>110</v>
      </c>
      <c r="C11" s="171" t="s">
        <v>395</v>
      </c>
      <c r="D11" s="172" t="s">
        <v>92</v>
      </c>
      <c r="E11" s="49"/>
      <c r="F11" s="126"/>
      <c r="G11" s="171" t="s">
        <v>403</v>
      </c>
      <c r="H11" s="171">
        <v>5.0999999999999996</v>
      </c>
      <c r="I11" s="174">
        <v>199.99</v>
      </c>
      <c r="J11" s="175">
        <v>41737</v>
      </c>
      <c r="K11" s="171" t="s">
        <v>416</v>
      </c>
      <c r="L11" s="174">
        <v>399.99</v>
      </c>
      <c r="M11" s="19"/>
    </row>
    <row r="12" spans="1:13" x14ac:dyDescent="0.45">
      <c r="B12" s="171" t="s">
        <v>180</v>
      </c>
      <c r="C12" s="171" t="s">
        <v>396</v>
      </c>
      <c r="D12" s="172" t="s">
        <v>93</v>
      </c>
      <c r="E12" s="49"/>
      <c r="F12" s="126"/>
      <c r="G12" s="171" t="s">
        <v>404</v>
      </c>
      <c r="H12" s="171">
        <v>32</v>
      </c>
      <c r="I12" s="176" t="s">
        <v>405</v>
      </c>
      <c r="J12" s="175">
        <v>44196</v>
      </c>
      <c r="K12" s="171" t="s">
        <v>417</v>
      </c>
      <c r="L12" s="174" t="s">
        <v>405</v>
      </c>
      <c r="M12" s="19"/>
    </row>
    <row r="13" spans="1:13" x14ac:dyDescent="0.45">
      <c r="B13" s="126"/>
      <c r="C13" s="28"/>
      <c r="D13" s="28"/>
      <c r="E13" s="29"/>
      <c r="F13" s="126"/>
      <c r="G13" s="171" t="s">
        <v>412</v>
      </c>
      <c r="H13" s="171">
        <v>6</v>
      </c>
      <c r="I13" s="176" t="s">
        <v>405</v>
      </c>
      <c r="J13" s="175">
        <v>41651</v>
      </c>
      <c r="K13" s="171" t="s">
        <v>425</v>
      </c>
      <c r="L13" s="174" t="s">
        <v>405</v>
      </c>
      <c r="M13" s="19"/>
    </row>
    <row r="14" spans="1:13" x14ac:dyDescent="0.45">
      <c r="B14" s="20"/>
      <c r="E14" s="19"/>
      <c r="F14" s="20"/>
      <c r="G14" s="171" t="s">
        <v>406</v>
      </c>
      <c r="H14" s="171">
        <v>5.6</v>
      </c>
      <c r="I14" s="174">
        <v>19.95</v>
      </c>
      <c r="J14" s="175">
        <v>41628</v>
      </c>
      <c r="K14" s="171" t="s">
        <v>418</v>
      </c>
      <c r="L14" s="174">
        <v>22.95</v>
      </c>
      <c r="M14" s="19"/>
    </row>
    <row r="15" spans="1:13" x14ac:dyDescent="0.45">
      <c r="B15" s="33" t="s">
        <v>374</v>
      </c>
      <c r="E15" s="19"/>
      <c r="F15" s="20"/>
      <c r="G15" s="171" t="s">
        <v>407</v>
      </c>
      <c r="H15" s="171">
        <v>8.5</v>
      </c>
      <c r="I15" s="174">
        <v>299</v>
      </c>
      <c r="J15" s="175">
        <v>41305</v>
      </c>
      <c r="K15" s="171" t="s">
        <v>419</v>
      </c>
      <c r="L15" s="174">
        <v>599.99</v>
      </c>
      <c r="M15" s="19"/>
    </row>
    <row r="16" spans="1:13" x14ac:dyDescent="0.45">
      <c r="B16" s="113" t="s">
        <v>398</v>
      </c>
      <c r="E16" s="19"/>
      <c r="F16" s="20"/>
      <c r="G16" s="171" t="s">
        <v>408</v>
      </c>
      <c r="H16" s="171">
        <v>16</v>
      </c>
      <c r="I16" s="174">
        <v>39.950000000000003</v>
      </c>
      <c r="J16" s="175">
        <v>42735</v>
      </c>
      <c r="K16" s="171" t="s">
        <v>420</v>
      </c>
      <c r="L16" s="174" t="s">
        <v>405</v>
      </c>
      <c r="M16" s="19"/>
    </row>
    <row r="17" spans="2:13" x14ac:dyDescent="0.45">
      <c r="B17" s="9" t="str" cm="1">
        <f t="array" ref="B17:D20">ShiftRowsλ(Students,1)</f>
        <v>Math</v>
      </c>
      <c r="C17" s="10" t="str">
        <v>B</v>
      </c>
      <c r="D17" s="9" t="str">
        <v>Bob</v>
      </c>
      <c r="E17" s="29"/>
      <c r="F17" s="20"/>
      <c r="G17" s="171" t="s">
        <v>409</v>
      </c>
      <c r="H17" s="171">
        <v>11.5</v>
      </c>
      <c r="I17" s="176" t="s">
        <v>405</v>
      </c>
      <c r="J17" s="175">
        <v>43298</v>
      </c>
      <c r="K17" s="171" t="s">
        <v>421</v>
      </c>
      <c r="L17" s="174" t="s">
        <v>405</v>
      </c>
      <c r="M17" s="19"/>
    </row>
    <row r="18" spans="2:13" x14ac:dyDescent="0.45">
      <c r="B18" s="9" t="str">
        <v>Physics</v>
      </c>
      <c r="C18" s="10" t="str">
        <v>A</v>
      </c>
      <c r="D18" s="9" t="str">
        <v>Deb</v>
      </c>
      <c r="E18" s="29"/>
      <c r="F18" s="20"/>
      <c r="G18" s="171" t="s">
        <v>410</v>
      </c>
      <c r="H18" s="171">
        <v>15</v>
      </c>
      <c r="I18" s="174">
        <v>79.989999999999995</v>
      </c>
      <c r="J18" s="175">
        <v>41305</v>
      </c>
      <c r="K18" s="171" t="s">
        <v>426</v>
      </c>
      <c r="L18" s="174">
        <v>99.99</v>
      </c>
      <c r="M18" s="19"/>
    </row>
    <row r="19" spans="2:13" x14ac:dyDescent="0.45">
      <c r="B19" s="9" t="str">
        <v>History</v>
      </c>
      <c r="C19" s="10" t="str">
        <v>B</v>
      </c>
      <c r="D19" s="9" t="str">
        <v>Sue</v>
      </c>
      <c r="E19" s="29"/>
      <c r="F19" s="20"/>
      <c r="G19" s="28"/>
      <c r="H19" s="28"/>
      <c r="I19" s="28"/>
      <c r="J19" s="28"/>
      <c r="K19" s="28"/>
      <c r="L19" s="28"/>
      <c r="M19" s="19"/>
    </row>
    <row r="20" spans="2:13" x14ac:dyDescent="0.45">
      <c r="B20" s="9" t="str">
        <v>Chemistry</v>
      </c>
      <c r="C20" s="10" t="str">
        <v>C</v>
      </c>
      <c r="D20" s="9" t="str">
        <v>Joe</v>
      </c>
      <c r="E20" s="29"/>
      <c r="F20" s="20"/>
      <c r="G20" s="26" t="s">
        <v>424</v>
      </c>
      <c r="H20" s="28"/>
      <c r="I20" s="28"/>
      <c r="J20" s="28"/>
      <c r="K20" s="28"/>
      <c r="L20" s="28"/>
      <c r="M20" s="19"/>
    </row>
    <row r="21" spans="2:13" x14ac:dyDescent="0.45">
      <c r="B21" s="20"/>
      <c r="E21" s="19"/>
      <c r="F21" s="20"/>
      <c r="G21" s="25" t="s">
        <v>423</v>
      </c>
      <c r="H21" s="28"/>
      <c r="I21" s="28"/>
      <c r="J21" s="28"/>
      <c r="K21" s="28"/>
      <c r="L21" s="28"/>
      <c r="M21" s="19"/>
    </row>
    <row r="22" spans="2:13" x14ac:dyDescent="0.45">
      <c r="B22" s="33" t="s">
        <v>375</v>
      </c>
      <c r="E22" s="19"/>
      <c r="F22" s="20"/>
      <c r="G22" s="9" t="str" cm="1">
        <f t="array" ref="G22:L31">ShiftRowsλ(Apps,-2)</f>
        <v>Modern Option</v>
      </c>
      <c r="H22" s="10" t="str">
        <v>Cost</v>
      </c>
      <c r="I22" s="9" t="str">
        <v>Older Option</v>
      </c>
      <c r="J22" s="9" t="str">
        <v>Version</v>
      </c>
      <c r="K22" s="127" t="str">
        <v>Cost</v>
      </c>
      <c r="L22" s="10" t="str">
        <v>End of Life</v>
      </c>
      <c r="M22" s="19"/>
    </row>
    <row r="23" spans="2:13" x14ac:dyDescent="0.45">
      <c r="B23" s="113" t="s">
        <v>399</v>
      </c>
      <c r="E23" s="19"/>
      <c r="F23" s="20"/>
      <c r="G23" s="9" t="str">
        <v>QuantumWave Browser</v>
      </c>
      <c r="H23" s="124" t="str">
        <v>Free</v>
      </c>
      <c r="I23" s="9" t="str">
        <v>Netscape Navigator</v>
      </c>
      <c r="J23" s="9">
        <v>4.08</v>
      </c>
      <c r="K23" s="124">
        <v>49.99</v>
      </c>
      <c r="L23" s="125">
        <v>39508</v>
      </c>
      <c r="M23" s="19"/>
    </row>
    <row r="24" spans="2:13" x14ac:dyDescent="0.45">
      <c r="B24" s="10" t="str" cm="1">
        <f t="array" ref="B24:D27">ShiftRowsλ(Students,-1)</f>
        <v>B</v>
      </c>
      <c r="C24" s="9" t="str">
        <v>Bob</v>
      </c>
      <c r="D24" s="9" t="str">
        <v>Math</v>
      </c>
      <c r="E24" s="29"/>
      <c r="F24" s="20"/>
      <c r="G24" s="9" t="str">
        <v>NeoOS 12</v>
      </c>
      <c r="H24" s="124">
        <v>399.99</v>
      </c>
      <c r="I24" s="9" t="str">
        <v>Windows XP</v>
      </c>
      <c r="J24" s="9">
        <v>5.0999999999999996</v>
      </c>
      <c r="K24" s="124">
        <v>199.99</v>
      </c>
      <c r="L24" s="125">
        <v>41737</v>
      </c>
      <c r="M24" s="19"/>
    </row>
    <row r="25" spans="2:13" x14ac:dyDescent="0.45">
      <c r="B25" s="10" t="str">
        <v>A</v>
      </c>
      <c r="C25" s="9" t="str">
        <v>Deb</v>
      </c>
      <c r="D25" s="9" t="str">
        <v>Physics</v>
      </c>
      <c r="E25" s="29"/>
      <c r="F25" s="20"/>
      <c r="G25" s="9" t="str">
        <v>FlashX Pro</v>
      </c>
      <c r="H25" s="76" t="str">
        <v>Free</v>
      </c>
      <c r="I25" s="9" t="str">
        <v>Adobe Flash Player</v>
      </c>
      <c r="J25" s="9">
        <v>32</v>
      </c>
      <c r="K25" s="124" t="str">
        <v>Free</v>
      </c>
      <c r="L25" s="125">
        <v>44196</v>
      </c>
      <c r="M25" s="19"/>
    </row>
    <row r="26" spans="2:13" x14ac:dyDescent="0.45">
      <c r="B26" s="10" t="str">
        <v>B</v>
      </c>
      <c r="C26" s="9" t="str">
        <v>Sue</v>
      </c>
      <c r="D26" s="9" t="str">
        <v>History</v>
      </c>
      <c r="E26" s="29"/>
      <c r="F26" s="20"/>
      <c r="G26" s="9" t="str">
        <v>WebTV Revive</v>
      </c>
      <c r="H26" s="76" t="str">
        <v>Free</v>
      </c>
      <c r="I26" s="9" t="str">
        <v>Internet Explorer</v>
      </c>
      <c r="J26" s="9">
        <v>6</v>
      </c>
      <c r="K26" s="124" t="str">
        <v>Free</v>
      </c>
      <c r="L26" s="125">
        <v>41651</v>
      </c>
      <c r="M26" s="19"/>
    </row>
    <row r="27" spans="2:13" x14ac:dyDescent="0.45">
      <c r="B27" s="10" t="str">
        <v>C</v>
      </c>
      <c r="C27" s="9" t="str">
        <v>Joe</v>
      </c>
      <c r="D27" s="9" t="str">
        <v>Chemistry</v>
      </c>
      <c r="E27" s="29"/>
      <c r="F27" s="20"/>
      <c r="G27" s="9" t="str">
        <v>SoundStream</v>
      </c>
      <c r="H27" s="124">
        <v>22.95</v>
      </c>
      <c r="I27" s="9" t="str">
        <v>Winamp</v>
      </c>
      <c r="J27" s="9">
        <v>5.6</v>
      </c>
      <c r="K27" s="124">
        <v>19.95</v>
      </c>
      <c r="L27" s="125">
        <v>41628</v>
      </c>
      <c r="M27" s="19"/>
    </row>
    <row r="28" spans="2:13" x14ac:dyDescent="0.45">
      <c r="B28" s="20"/>
      <c r="E28" s="19"/>
      <c r="F28" s="20"/>
      <c r="G28" s="9" t="str">
        <v>NoteSphere</v>
      </c>
      <c r="H28" s="124">
        <v>599.99</v>
      </c>
      <c r="I28" s="9" t="str">
        <v>Lotus Notes</v>
      </c>
      <c r="J28" s="9">
        <v>8.5</v>
      </c>
      <c r="K28" s="124">
        <v>299</v>
      </c>
      <c r="L28" s="125">
        <v>41305</v>
      </c>
      <c r="M28" s="19"/>
    </row>
    <row r="29" spans="2:13" x14ac:dyDescent="0.45">
      <c r="B29" s="20"/>
      <c r="E29" s="19"/>
      <c r="F29" s="20"/>
      <c r="G29" s="9" t="str">
        <v>StreamMaster</v>
      </c>
      <c r="H29" s="124" t="str">
        <v>Free</v>
      </c>
      <c r="I29" s="9" t="str">
        <v>RealPlayer</v>
      </c>
      <c r="J29" s="9">
        <v>16</v>
      </c>
      <c r="K29" s="124">
        <v>39.950000000000003</v>
      </c>
      <c r="L29" s="125">
        <v>42735</v>
      </c>
      <c r="M29" s="19"/>
    </row>
    <row r="30" spans="2:13" x14ac:dyDescent="0.45">
      <c r="B30" s="20"/>
      <c r="E30" s="19"/>
      <c r="F30" s="20"/>
      <c r="G30" s="9" t="str">
        <v>ChatPulse</v>
      </c>
      <c r="H30" s="76" t="str">
        <v>Free</v>
      </c>
      <c r="I30" s="9" t="str">
        <v>Yahoo Messenger</v>
      </c>
      <c r="J30" s="9">
        <v>11.5</v>
      </c>
      <c r="K30" s="124" t="str">
        <v>Free</v>
      </c>
      <c r="L30" s="125">
        <v>43298</v>
      </c>
      <c r="M30" s="19"/>
    </row>
    <row r="31" spans="2:13" x14ac:dyDescent="0.45">
      <c r="B31" s="20"/>
      <c r="E31" s="19"/>
      <c r="F31" s="20"/>
      <c r="G31" s="9" t="str">
        <v>PhantomGuard+</v>
      </c>
      <c r="H31" s="124">
        <v>99.99</v>
      </c>
      <c r="I31" s="9" t="str">
        <v>Symantec Norton Ghost</v>
      </c>
      <c r="J31" s="9">
        <v>15</v>
      </c>
      <c r="K31" s="124">
        <v>79.989999999999995</v>
      </c>
      <c r="L31" s="125">
        <v>41305</v>
      </c>
      <c r="M31" s="19"/>
    </row>
    <row r="32" spans="2:13" x14ac:dyDescent="0.45">
      <c r="B32" s="21"/>
      <c r="C32" s="22"/>
      <c r="D32" s="22"/>
      <c r="E32" s="23"/>
      <c r="F32" s="21"/>
      <c r="G32" s="22"/>
      <c r="H32" s="22"/>
      <c r="I32" s="22"/>
      <c r="J32" s="22"/>
      <c r="K32" s="22"/>
      <c r="L32" s="22"/>
      <c r="M32" s="23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C5165-B75C-4295-9A20-69D4148781CB}">
  <sheetPr codeName="Sheet13">
    <tabColor rgb="FFB7C9D6"/>
  </sheetPr>
  <dimension ref="A1:M32"/>
  <sheetViews>
    <sheetView workbookViewId="0"/>
  </sheetViews>
  <sheetFormatPr defaultRowHeight="16.5" x14ac:dyDescent="0.45"/>
  <cols>
    <col min="1" max="1" width="5" customWidth="1"/>
    <col min="3" max="3" width="9.6640625" customWidth="1"/>
    <col min="6" max="6" width="7.25" customWidth="1"/>
    <col min="7" max="7" width="24.4140625" customWidth="1"/>
    <col min="8" max="8" width="8.25" bestFit="1" customWidth="1"/>
    <col min="9" max="9" width="21.08203125" bestFit="1" customWidth="1"/>
    <col min="10" max="10" width="10.08203125" bestFit="1" customWidth="1"/>
    <col min="11" max="11" width="21.25" bestFit="1" customWidth="1"/>
    <col min="12" max="12" width="10.08203125" bestFit="1" customWidth="1"/>
    <col min="13" max="13" width="5.1640625" customWidth="1"/>
  </cols>
  <sheetData>
    <row r="1" spans="1:13" x14ac:dyDescent="0.45">
      <c r="A1" s="7"/>
    </row>
    <row r="2" spans="1:13" x14ac:dyDescent="0.45">
      <c r="B2" s="15" t="s">
        <v>429</v>
      </c>
      <c r="C2" s="16"/>
      <c r="D2" s="16"/>
      <c r="E2" s="16"/>
      <c r="F2" s="16"/>
      <c r="G2" s="17"/>
    </row>
    <row r="3" spans="1:13" x14ac:dyDescent="0.45">
      <c r="B3" s="18" t="s">
        <v>392</v>
      </c>
      <c r="G3" s="19"/>
    </row>
    <row r="4" spans="1:13" x14ac:dyDescent="0.45">
      <c r="B4" s="18" t="s">
        <v>369</v>
      </c>
      <c r="G4" s="19"/>
    </row>
    <row r="5" spans="1:13" x14ac:dyDescent="0.45">
      <c r="B5" s="20"/>
      <c r="C5" s="1" t="s">
        <v>430</v>
      </c>
      <c r="G5" s="19"/>
    </row>
    <row r="6" spans="1:13" x14ac:dyDescent="0.45">
      <c r="B6" s="21"/>
      <c r="C6" s="128" t="s">
        <v>431</v>
      </c>
      <c r="D6" s="22"/>
      <c r="E6" s="22"/>
      <c r="F6" s="22"/>
      <c r="G6" s="23"/>
    </row>
    <row r="8" spans="1:13" x14ac:dyDescent="0.45">
      <c r="B8" s="32" t="s">
        <v>427</v>
      </c>
      <c r="C8" s="16"/>
      <c r="D8" s="16"/>
      <c r="E8" s="17"/>
      <c r="F8" s="35"/>
      <c r="G8" s="36" t="s">
        <v>428</v>
      </c>
      <c r="H8" s="117"/>
      <c r="I8" s="117"/>
      <c r="J8" s="117"/>
      <c r="K8" s="117"/>
      <c r="L8" s="16"/>
      <c r="M8" s="17"/>
    </row>
    <row r="9" spans="1:13" x14ac:dyDescent="0.45">
      <c r="B9" s="171" t="s">
        <v>108</v>
      </c>
      <c r="C9" s="171" t="s">
        <v>393</v>
      </c>
      <c r="D9" s="172" t="s">
        <v>92</v>
      </c>
      <c r="E9" s="49"/>
      <c r="F9" s="126"/>
      <c r="G9" s="172" t="s">
        <v>414</v>
      </c>
      <c r="H9" s="172" t="s">
        <v>401</v>
      </c>
      <c r="I9" s="172" t="s">
        <v>223</v>
      </c>
      <c r="J9" s="172" t="s">
        <v>411</v>
      </c>
      <c r="K9" s="172" t="s">
        <v>413</v>
      </c>
      <c r="L9" s="173" t="s">
        <v>223</v>
      </c>
      <c r="M9" s="19"/>
    </row>
    <row r="10" spans="1:13" x14ac:dyDescent="0.45">
      <c r="B10" s="171" t="s">
        <v>109</v>
      </c>
      <c r="C10" s="171" t="s">
        <v>394</v>
      </c>
      <c r="D10" s="172" t="s">
        <v>86</v>
      </c>
      <c r="E10" s="49"/>
      <c r="F10" s="126"/>
      <c r="G10" s="171" t="s">
        <v>402</v>
      </c>
      <c r="H10" s="171">
        <v>4.08</v>
      </c>
      <c r="I10" s="174">
        <v>49.99</v>
      </c>
      <c r="J10" s="175">
        <v>39508</v>
      </c>
      <c r="K10" s="171" t="s">
        <v>415</v>
      </c>
      <c r="L10" s="174" t="s">
        <v>405</v>
      </c>
      <c r="M10" s="19"/>
    </row>
    <row r="11" spans="1:13" x14ac:dyDescent="0.45">
      <c r="B11" s="171" t="s">
        <v>110</v>
      </c>
      <c r="C11" s="171" t="s">
        <v>395</v>
      </c>
      <c r="D11" s="172" t="s">
        <v>92</v>
      </c>
      <c r="E11" s="49"/>
      <c r="F11" s="126"/>
      <c r="G11" s="171" t="s">
        <v>403</v>
      </c>
      <c r="H11" s="171">
        <v>5.0999999999999996</v>
      </c>
      <c r="I11" s="174">
        <v>199.99</v>
      </c>
      <c r="J11" s="175">
        <v>41737</v>
      </c>
      <c r="K11" s="171" t="s">
        <v>416</v>
      </c>
      <c r="L11" s="174">
        <v>399.99</v>
      </c>
      <c r="M11" s="19"/>
    </row>
    <row r="12" spans="1:13" x14ac:dyDescent="0.45">
      <c r="B12" s="171" t="s">
        <v>180</v>
      </c>
      <c r="C12" s="171" t="s">
        <v>396</v>
      </c>
      <c r="D12" s="172" t="s">
        <v>93</v>
      </c>
      <c r="E12" s="49"/>
      <c r="F12" s="126"/>
      <c r="G12" s="171" t="s">
        <v>404</v>
      </c>
      <c r="H12" s="171">
        <v>32</v>
      </c>
      <c r="I12" s="176" t="s">
        <v>405</v>
      </c>
      <c r="J12" s="175">
        <v>44196</v>
      </c>
      <c r="K12" s="171" t="s">
        <v>417</v>
      </c>
      <c r="L12" s="174" t="s">
        <v>405</v>
      </c>
      <c r="M12" s="19"/>
    </row>
    <row r="13" spans="1:13" x14ac:dyDescent="0.45">
      <c r="B13" s="126"/>
      <c r="C13" s="28"/>
      <c r="D13" s="28"/>
      <c r="E13" s="29"/>
      <c r="F13" s="126"/>
      <c r="G13" s="171" t="s">
        <v>412</v>
      </c>
      <c r="H13" s="171">
        <v>6</v>
      </c>
      <c r="I13" s="176" t="s">
        <v>405</v>
      </c>
      <c r="J13" s="175">
        <v>41651</v>
      </c>
      <c r="K13" s="171" t="s">
        <v>425</v>
      </c>
      <c r="L13" s="174" t="s">
        <v>405</v>
      </c>
      <c r="M13" s="19"/>
    </row>
    <row r="14" spans="1:13" x14ac:dyDescent="0.45">
      <c r="B14" s="20"/>
      <c r="E14" s="19"/>
      <c r="F14" s="20"/>
      <c r="G14" s="171" t="s">
        <v>406</v>
      </c>
      <c r="H14" s="171">
        <v>5.6</v>
      </c>
      <c r="I14" s="174">
        <v>19.95</v>
      </c>
      <c r="J14" s="175">
        <v>41628</v>
      </c>
      <c r="K14" s="171" t="s">
        <v>418</v>
      </c>
      <c r="L14" s="174">
        <v>22.95</v>
      </c>
      <c r="M14" s="19"/>
    </row>
    <row r="15" spans="1:13" x14ac:dyDescent="0.45">
      <c r="B15" s="33" t="s">
        <v>376</v>
      </c>
      <c r="E15" s="19"/>
      <c r="F15" s="20"/>
      <c r="G15" s="171" t="s">
        <v>407</v>
      </c>
      <c r="H15" s="171">
        <v>8.5</v>
      </c>
      <c r="I15" s="174">
        <v>299</v>
      </c>
      <c r="J15" s="175">
        <v>41305</v>
      </c>
      <c r="K15" s="171" t="s">
        <v>419</v>
      </c>
      <c r="L15" s="174">
        <v>599.99</v>
      </c>
      <c r="M15" s="19"/>
    </row>
    <row r="16" spans="1:13" x14ac:dyDescent="0.45">
      <c r="B16" s="34" t="s">
        <v>432</v>
      </c>
      <c r="E16" s="19"/>
      <c r="F16" s="20"/>
      <c r="G16" s="171" t="s">
        <v>408</v>
      </c>
      <c r="H16" s="171">
        <v>16</v>
      </c>
      <c r="I16" s="174">
        <v>39.950000000000003</v>
      </c>
      <c r="J16" s="175">
        <v>42735</v>
      </c>
      <c r="K16" s="171" t="s">
        <v>420</v>
      </c>
      <c r="L16" s="174" t="s">
        <v>405</v>
      </c>
      <c r="M16" s="19"/>
    </row>
    <row r="17" spans="2:13" x14ac:dyDescent="0.45">
      <c r="B17" s="9" t="str" cm="1">
        <f t="array" ref="B17:D20">ShiftColsλ(StudentsB,1)</f>
        <v>Deb</v>
      </c>
      <c r="C17" s="106" t="str">
        <v>Physics</v>
      </c>
      <c r="D17" s="9" t="str">
        <v>A</v>
      </c>
      <c r="E17" s="29"/>
      <c r="F17" s="20"/>
      <c r="G17" s="171" t="s">
        <v>409</v>
      </c>
      <c r="H17" s="171">
        <v>11.5</v>
      </c>
      <c r="I17" s="176" t="s">
        <v>405</v>
      </c>
      <c r="J17" s="175">
        <v>43298</v>
      </c>
      <c r="K17" s="171" t="s">
        <v>421</v>
      </c>
      <c r="L17" s="174" t="s">
        <v>405</v>
      </c>
      <c r="M17" s="19"/>
    </row>
    <row r="18" spans="2:13" x14ac:dyDescent="0.45">
      <c r="B18" s="9" t="str">
        <v>Sue</v>
      </c>
      <c r="C18" s="106" t="str">
        <v>History</v>
      </c>
      <c r="D18" s="9" t="str">
        <v>B</v>
      </c>
      <c r="E18" s="29"/>
      <c r="F18" s="20"/>
      <c r="G18" s="171" t="s">
        <v>410</v>
      </c>
      <c r="H18" s="171">
        <v>15</v>
      </c>
      <c r="I18" s="174">
        <v>79.989999999999995</v>
      </c>
      <c r="J18" s="175">
        <v>41305</v>
      </c>
      <c r="K18" s="171" t="s">
        <v>426</v>
      </c>
      <c r="L18" s="174">
        <v>99.99</v>
      </c>
      <c r="M18" s="19"/>
    </row>
    <row r="19" spans="2:13" x14ac:dyDescent="0.45">
      <c r="B19" s="9" t="str">
        <v>Joe</v>
      </c>
      <c r="C19" s="106" t="str">
        <v>Chemistry</v>
      </c>
      <c r="D19" s="9" t="str">
        <v>C</v>
      </c>
      <c r="E19" s="29"/>
      <c r="F19" s="20"/>
      <c r="G19" s="28"/>
      <c r="H19" s="28"/>
      <c r="I19" s="28"/>
      <c r="J19" s="28"/>
      <c r="K19" s="28"/>
      <c r="L19" s="28"/>
      <c r="M19" s="19"/>
    </row>
    <row r="20" spans="2:13" x14ac:dyDescent="0.45">
      <c r="B20" s="9" t="str">
        <v>Bob</v>
      </c>
      <c r="C20" s="106" t="str">
        <v>Math</v>
      </c>
      <c r="D20" s="9" t="str">
        <v>B</v>
      </c>
      <c r="E20" s="29"/>
      <c r="F20" s="20"/>
      <c r="G20" s="26" t="s">
        <v>391</v>
      </c>
      <c r="H20" s="28"/>
      <c r="I20" s="28"/>
      <c r="J20" s="28"/>
      <c r="K20" s="28"/>
      <c r="L20" s="28"/>
      <c r="M20" s="19"/>
    </row>
    <row r="21" spans="2:13" x14ac:dyDescent="0.45">
      <c r="B21" s="20"/>
      <c r="E21" s="19"/>
      <c r="F21" s="20"/>
      <c r="G21" s="27" t="s">
        <v>434</v>
      </c>
      <c r="H21" s="28"/>
      <c r="I21" s="28"/>
      <c r="J21" s="28"/>
      <c r="K21" s="28"/>
      <c r="L21" s="28"/>
      <c r="M21" s="19"/>
    </row>
    <row r="22" spans="2:13" x14ac:dyDescent="0.45">
      <c r="B22" s="33" t="s">
        <v>377</v>
      </c>
      <c r="E22" s="19"/>
      <c r="F22" s="20"/>
      <c r="G22" s="9" t="str" cm="1">
        <f t="array" ref="G22:L30">ShiftColsλ(AppsB,-2)</f>
        <v>Yahoo Messenger</v>
      </c>
      <c r="H22" s="76">
        <v>11.5</v>
      </c>
      <c r="I22" s="124" t="str">
        <v>Free</v>
      </c>
      <c r="J22" s="125">
        <v>43298</v>
      </c>
      <c r="K22" s="127" t="str">
        <v>ChatPulse</v>
      </c>
      <c r="L22" s="10" t="str">
        <v>Free</v>
      </c>
      <c r="M22" s="19"/>
    </row>
    <row r="23" spans="2:13" x14ac:dyDescent="0.45">
      <c r="B23" s="34" t="s">
        <v>433</v>
      </c>
      <c r="E23" s="19"/>
      <c r="F23" s="20"/>
      <c r="G23" s="9" t="str">
        <v>Symantec Norton Ghost</v>
      </c>
      <c r="H23" s="76">
        <v>15</v>
      </c>
      <c r="I23" s="124">
        <v>79.989999999999995</v>
      </c>
      <c r="J23" s="125">
        <v>41305</v>
      </c>
      <c r="K23" s="177" t="str">
        <v>PhantomGuard+</v>
      </c>
      <c r="L23" s="124">
        <v>99.99</v>
      </c>
      <c r="M23" s="19"/>
    </row>
    <row r="24" spans="2:13" x14ac:dyDescent="0.45">
      <c r="B24" s="10" t="str" cm="1">
        <f t="array" ref="B24:D27">ShiftColsλ(StudentsB,-1)</f>
        <v>Joe</v>
      </c>
      <c r="C24" s="9" t="str">
        <v>Chemistry</v>
      </c>
      <c r="D24" s="9" t="str">
        <v>C</v>
      </c>
      <c r="E24" s="29"/>
      <c r="F24" s="20"/>
      <c r="G24" s="9" t="str">
        <v>Netscape Navigator</v>
      </c>
      <c r="H24" s="76">
        <v>4.08</v>
      </c>
      <c r="I24" s="124">
        <v>49.99</v>
      </c>
      <c r="J24" s="125">
        <v>39508</v>
      </c>
      <c r="K24" s="177" t="str">
        <v>QuantumWave Browser</v>
      </c>
      <c r="L24" s="124" t="str">
        <v>Free</v>
      </c>
      <c r="M24" s="19"/>
    </row>
    <row r="25" spans="2:13" x14ac:dyDescent="0.45">
      <c r="B25" s="10" t="str">
        <v>Bob</v>
      </c>
      <c r="C25" s="9" t="str">
        <v>Math</v>
      </c>
      <c r="D25" s="9" t="str">
        <v>B</v>
      </c>
      <c r="E25" s="29"/>
      <c r="F25" s="20"/>
      <c r="G25" s="9" t="str">
        <v>Windows XP</v>
      </c>
      <c r="H25" s="76">
        <v>5.0999999999999996</v>
      </c>
      <c r="I25" s="124">
        <v>199.99</v>
      </c>
      <c r="J25" s="125">
        <v>41737</v>
      </c>
      <c r="K25" s="177" t="str">
        <v>NeoOS 12</v>
      </c>
      <c r="L25" s="124">
        <v>399.99</v>
      </c>
      <c r="M25" s="19"/>
    </row>
    <row r="26" spans="2:13" x14ac:dyDescent="0.45">
      <c r="B26" s="10" t="str">
        <v>Deb</v>
      </c>
      <c r="C26" s="9" t="str">
        <v>Physics</v>
      </c>
      <c r="D26" s="9" t="str">
        <v>A</v>
      </c>
      <c r="E26" s="29"/>
      <c r="F26" s="20"/>
      <c r="G26" s="9" t="str">
        <v>Adobe Flash Player</v>
      </c>
      <c r="H26" s="76">
        <v>32</v>
      </c>
      <c r="I26" s="124" t="str">
        <v>Free</v>
      </c>
      <c r="J26" s="125">
        <v>44196</v>
      </c>
      <c r="K26" s="177" t="str">
        <v>FlashX Pro</v>
      </c>
      <c r="L26" s="124" t="str">
        <v>Free</v>
      </c>
      <c r="M26" s="19"/>
    </row>
    <row r="27" spans="2:13" x14ac:dyDescent="0.45">
      <c r="B27" s="10" t="str">
        <v>Sue</v>
      </c>
      <c r="C27" s="9" t="str">
        <v>History</v>
      </c>
      <c r="D27" s="9" t="str">
        <v>B</v>
      </c>
      <c r="E27" s="29"/>
      <c r="F27" s="20"/>
      <c r="G27" s="9" t="str">
        <v>Internet Explorer</v>
      </c>
      <c r="H27" s="76">
        <v>6</v>
      </c>
      <c r="I27" s="124" t="str">
        <v>Free</v>
      </c>
      <c r="J27" s="125">
        <v>41651</v>
      </c>
      <c r="K27" s="177" t="str">
        <v>WebTV Revive</v>
      </c>
      <c r="L27" s="124" t="str">
        <v>Free</v>
      </c>
      <c r="M27" s="19"/>
    </row>
    <row r="28" spans="2:13" x14ac:dyDescent="0.45">
      <c r="B28" s="20"/>
      <c r="E28" s="19"/>
      <c r="F28" s="20"/>
      <c r="G28" s="9" t="str">
        <v>Winamp</v>
      </c>
      <c r="H28" s="76">
        <v>5.6</v>
      </c>
      <c r="I28" s="124">
        <v>19.95</v>
      </c>
      <c r="J28" s="125">
        <v>41628</v>
      </c>
      <c r="K28" s="177" t="str">
        <v>SoundStream</v>
      </c>
      <c r="L28" s="124">
        <v>22.95</v>
      </c>
      <c r="M28" s="19"/>
    </row>
    <row r="29" spans="2:13" x14ac:dyDescent="0.45">
      <c r="B29" s="20"/>
      <c r="E29" s="19"/>
      <c r="F29" s="20"/>
      <c r="G29" s="9" t="str">
        <v>Lotus Notes</v>
      </c>
      <c r="H29" s="76">
        <v>8.5</v>
      </c>
      <c r="I29" s="124">
        <v>299</v>
      </c>
      <c r="J29" s="125">
        <v>41305</v>
      </c>
      <c r="K29" s="177" t="str">
        <v>NoteSphere</v>
      </c>
      <c r="L29" s="124">
        <v>599.99</v>
      </c>
      <c r="M29" s="19"/>
    </row>
    <row r="30" spans="2:13" x14ac:dyDescent="0.45">
      <c r="B30" s="20"/>
      <c r="E30" s="19"/>
      <c r="F30" s="20"/>
      <c r="G30" s="9" t="str">
        <v>RealPlayer</v>
      </c>
      <c r="H30" s="76">
        <v>16</v>
      </c>
      <c r="I30" s="124">
        <v>39.950000000000003</v>
      </c>
      <c r="J30" s="125">
        <v>42735</v>
      </c>
      <c r="K30" s="177" t="str">
        <v>StreamMaster</v>
      </c>
      <c r="L30" s="124" t="str">
        <v>Free</v>
      </c>
      <c r="M30" s="19"/>
    </row>
    <row r="31" spans="2:13" x14ac:dyDescent="0.45">
      <c r="B31" s="20"/>
      <c r="E31" s="19"/>
      <c r="F31" s="20"/>
      <c r="G31" s="117"/>
      <c r="H31" s="130"/>
      <c r="I31" s="131"/>
      <c r="J31" s="117"/>
      <c r="K31" s="130"/>
      <c r="L31" s="132"/>
      <c r="M31" s="19"/>
    </row>
    <row r="32" spans="2:13" x14ac:dyDescent="0.45">
      <c r="B32" s="21"/>
      <c r="C32" s="22"/>
      <c r="D32" s="22"/>
      <c r="E32" s="23"/>
      <c r="F32" s="21"/>
      <c r="G32" s="22"/>
      <c r="H32" s="22"/>
      <c r="I32" s="22"/>
      <c r="J32" s="22"/>
      <c r="K32" s="22"/>
      <c r="L32" s="22"/>
      <c r="M32" s="23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D616-47B6-4653-852D-09ABF3228A0C}">
  <sheetPr codeName="Sheet14">
    <tabColor rgb="FFC7E6C2"/>
  </sheetPr>
  <dimension ref="A1:P33"/>
  <sheetViews>
    <sheetView workbookViewId="0"/>
  </sheetViews>
  <sheetFormatPr defaultRowHeight="16.5" x14ac:dyDescent="0.45"/>
  <cols>
    <col min="1" max="1" width="5" customWidth="1"/>
    <col min="2" max="8" width="13.1640625" customWidth="1"/>
    <col min="9" max="9" width="10.6640625" customWidth="1"/>
    <col min="10" max="10" width="6.4140625" customWidth="1"/>
    <col min="12" max="12" width="11" bestFit="1" customWidth="1"/>
    <col min="13" max="13" width="7.1640625" customWidth="1"/>
    <col min="16" max="16" width="10" customWidth="1"/>
  </cols>
  <sheetData>
    <row r="1" spans="1:16" x14ac:dyDescent="0.45">
      <c r="A1" s="7"/>
    </row>
    <row r="2" spans="1:16" x14ac:dyDescent="0.45">
      <c r="B2" s="15" t="s">
        <v>435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436</v>
      </c>
      <c r="P3" s="19"/>
    </row>
    <row r="4" spans="1:16" x14ac:dyDescent="0.45">
      <c r="B4" s="18" t="s">
        <v>437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447</v>
      </c>
      <c r="P6" s="19"/>
    </row>
    <row r="7" spans="1:16" x14ac:dyDescent="0.45">
      <c r="B7" s="18" t="s">
        <v>449</v>
      </c>
      <c r="P7" s="19"/>
    </row>
    <row r="8" spans="1:16" x14ac:dyDescent="0.45">
      <c r="B8" s="104" t="s">
        <v>448</v>
      </c>
      <c r="C8" s="1"/>
      <c r="K8" s="22"/>
      <c r="P8" s="19"/>
    </row>
    <row r="9" spans="1:16" x14ac:dyDescent="0.45">
      <c r="B9" s="3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7"/>
    </row>
    <row r="10" spans="1:16" x14ac:dyDescent="0.45">
      <c r="B10" s="96" t="s">
        <v>440</v>
      </c>
      <c r="G10" s="26" t="s">
        <v>446</v>
      </c>
      <c r="K10" s="26" t="s">
        <v>452</v>
      </c>
      <c r="P10" s="19"/>
    </row>
    <row r="11" spans="1:16" x14ac:dyDescent="0.45">
      <c r="B11" s="9" t="s">
        <v>131</v>
      </c>
      <c r="C11" s="9" t="s">
        <v>56</v>
      </c>
      <c r="D11" s="133"/>
      <c r="E11" s="9" t="s">
        <v>441</v>
      </c>
      <c r="G11" s="27" t="s">
        <v>445</v>
      </c>
      <c r="K11" s="27" t="s">
        <v>453</v>
      </c>
      <c r="P11" s="19"/>
    </row>
    <row r="12" spans="1:16" x14ac:dyDescent="0.45">
      <c r="B12" s="9" t="s">
        <v>109</v>
      </c>
      <c r="C12" s="9" t="s">
        <v>60</v>
      </c>
      <c r="D12" s="133"/>
      <c r="E12" s="9" t="s">
        <v>443</v>
      </c>
      <c r="F12" s="28"/>
      <c r="G12" s="9" t="str" cm="1">
        <f t="array" ref="G12:I17">Embedλ(Staff,Title,,2)</f>
        <v>Name</v>
      </c>
      <c r="H12" s="120" t="str">
        <v>Title</v>
      </c>
      <c r="I12" s="9" t="str">
        <v>Department</v>
      </c>
      <c r="K12" s="9" t="str" cm="1">
        <f t="array" ref="K12:L19">Embedλ(Staff,Records,3)</f>
        <v>Name</v>
      </c>
      <c r="L12" s="9" t="str">
        <v>Department</v>
      </c>
      <c r="P12" s="19"/>
    </row>
    <row r="13" spans="1:16" x14ac:dyDescent="0.45">
      <c r="B13" s="9" t="s">
        <v>438</v>
      </c>
      <c r="C13" s="9" t="s">
        <v>61</v>
      </c>
      <c r="D13" s="133"/>
      <c r="E13" s="9" t="s">
        <v>442</v>
      </c>
      <c r="F13" s="28"/>
      <c r="G13" s="9" t="str">
        <v>Deb</v>
      </c>
      <c r="H13" s="120" t="str">
        <v>Sr. Consultant</v>
      </c>
      <c r="I13" s="9" t="str">
        <v>Finance</v>
      </c>
      <c r="K13" s="9" t="str">
        <v>Deb</v>
      </c>
      <c r="L13" s="9" t="str">
        <v>Finance</v>
      </c>
      <c r="P13" s="19"/>
    </row>
    <row r="14" spans="1:16" x14ac:dyDescent="0.45">
      <c r="B14" s="9" t="s">
        <v>439</v>
      </c>
      <c r="C14" s="9" t="s">
        <v>60</v>
      </c>
      <c r="D14" s="133"/>
      <c r="E14" s="9" t="s">
        <v>117</v>
      </c>
      <c r="F14" s="28"/>
      <c r="G14" s="9" t="str">
        <v>Suzy</v>
      </c>
      <c r="H14" s="120" t="str">
        <v>Sr. Officer</v>
      </c>
      <c r="I14" s="9" t="str">
        <v>Security</v>
      </c>
      <c r="K14" s="120" t="str">
        <v>Gus</v>
      </c>
      <c r="L14" s="120" t="str">
        <v>Security</v>
      </c>
      <c r="P14" s="19"/>
    </row>
    <row r="15" spans="1:16" x14ac:dyDescent="0.45">
      <c r="B15" s="9" t="s">
        <v>120</v>
      </c>
      <c r="C15" s="9" t="s">
        <v>60</v>
      </c>
      <c r="D15" s="133"/>
      <c r="E15" s="9" t="s">
        <v>117</v>
      </c>
      <c r="F15" s="28"/>
      <c r="G15" s="9" t="str">
        <v>Phil</v>
      </c>
      <c r="H15" s="120" t="str">
        <v>Consultant</v>
      </c>
      <c r="I15" s="9" t="str">
        <v>Finance</v>
      </c>
      <c r="K15" s="120" t="str">
        <v>Harry</v>
      </c>
      <c r="L15" s="120" t="str">
        <v>Finance</v>
      </c>
      <c r="P15" s="19"/>
    </row>
    <row r="16" spans="1:16" x14ac:dyDescent="0.45">
      <c r="B16" s="9" t="s">
        <v>121</v>
      </c>
      <c r="C16" s="9" t="s">
        <v>58</v>
      </c>
      <c r="D16" s="133"/>
      <c r="E16" s="9" t="s">
        <v>444</v>
      </c>
      <c r="F16" s="28"/>
      <c r="G16" s="9" t="str">
        <v>Ron</v>
      </c>
      <c r="H16" s="120" t="str">
        <v>Consultant</v>
      </c>
      <c r="I16" s="9" t="str">
        <v>Finance</v>
      </c>
      <c r="K16" s="9" t="str">
        <v>Suzy</v>
      </c>
      <c r="L16" s="9" t="str">
        <v>Security</v>
      </c>
      <c r="P16" s="19"/>
    </row>
    <row r="17" spans="2:16" x14ac:dyDescent="0.45">
      <c r="B17" s="20"/>
      <c r="F17" s="28"/>
      <c r="G17" s="9" t="str">
        <v>Juan</v>
      </c>
      <c r="H17" s="120" t="str">
        <v>Advisor</v>
      </c>
      <c r="I17" s="9" t="str">
        <v>Legal</v>
      </c>
      <c r="K17" s="9" t="str">
        <v>Phil</v>
      </c>
      <c r="L17" s="9" t="str">
        <v>Finance</v>
      </c>
      <c r="P17" s="19"/>
    </row>
    <row r="18" spans="2:16" x14ac:dyDescent="0.45">
      <c r="B18" s="96" t="s">
        <v>451</v>
      </c>
      <c r="K18" s="9" t="str">
        <v>Ron</v>
      </c>
      <c r="L18" s="9" t="str">
        <v>Finance</v>
      </c>
      <c r="P18" s="19"/>
    </row>
    <row r="19" spans="2:16" x14ac:dyDescent="0.45">
      <c r="B19" s="9" t="s">
        <v>112</v>
      </c>
      <c r="C19" s="9" t="s">
        <v>61</v>
      </c>
      <c r="K19" s="9" t="str">
        <v>Juan</v>
      </c>
      <c r="L19" s="9" t="str">
        <v>Legal</v>
      </c>
      <c r="P19" s="19"/>
    </row>
    <row r="20" spans="2:16" x14ac:dyDescent="0.45">
      <c r="B20" s="9" t="s">
        <v>450</v>
      </c>
      <c r="C20" s="9" t="s">
        <v>60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/>
    </row>
    <row r="21" spans="2:16" ht="20" customHeight="1" x14ac:dyDescent="0.45">
      <c r="B21" s="20"/>
      <c r="P21" s="19"/>
    </row>
    <row r="22" spans="2:16" x14ac:dyDescent="0.45">
      <c r="B22" s="96" t="s">
        <v>455</v>
      </c>
      <c r="J22" s="31" t="s">
        <v>459</v>
      </c>
      <c r="M22" s="26" t="s">
        <v>460</v>
      </c>
      <c r="P22" s="19"/>
    </row>
    <row r="23" spans="2:16" x14ac:dyDescent="0.45">
      <c r="B23" s="10" t="s">
        <v>132</v>
      </c>
      <c r="C23" s="10" t="s">
        <v>219</v>
      </c>
      <c r="D23" s="10" t="s">
        <v>220</v>
      </c>
      <c r="E23" s="10" t="s">
        <v>221</v>
      </c>
      <c r="F23" s="10" t="s">
        <v>222</v>
      </c>
      <c r="G23" s="10" t="s">
        <v>454</v>
      </c>
      <c r="H23" s="46"/>
      <c r="J23" s="10" t="s">
        <v>132</v>
      </c>
      <c r="K23" s="9">
        <v>10</v>
      </c>
      <c r="M23" s="27" t="s">
        <v>458</v>
      </c>
      <c r="P23" s="19"/>
    </row>
    <row r="24" spans="2:16" x14ac:dyDescent="0.45">
      <c r="B24" s="37"/>
      <c r="C24" s="46"/>
      <c r="D24" s="46"/>
      <c r="E24" s="46"/>
      <c r="F24" s="46"/>
      <c r="G24" s="46"/>
      <c r="H24" s="46"/>
      <c r="J24" s="10" t="s">
        <v>219</v>
      </c>
      <c r="K24" s="9">
        <v>8</v>
      </c>
      <c r="L24" s="28"/>
      <c r="M24" s="10" t="str" cm="1">
        <f t="array" ref="M24:N30">Embedλ(HalfYearB,"",4)</f>
        <v>Jan</v>
      </c>
      <c r="N24" s="9">
        <v>10</v>
      </c>
      <c r="P24" s="19"/>
    </row>
    <row r="25" spans="2:16" x14ac:dyDescent="0.45">
      <c r="B25" s="33" t="s">
        <v>457</v>
      </c>
      <c r="J25" s="10" t="s">
        <v>220</v>
      </c>
      <c r="K25" s="9">
        <v>9</v>
      </c>
      <c r="L25" s="28"/>
      <c r="M25" s="10" t="str">
        <v>Feb</v>
      </c>
      <c r="N25" s="9">
        <v>8</v>
      </c>
      <c r="P25" s="19"/>
    </row>
    <row r="26" spans="2:16" x14ac:dyDescent="0.45">
      <c r="B26" s="34" t="s">
        <v>456</v>
      </c>
      <c r="C26" s="46"/>
      <c r="D26" s="46"/>
      <c r="E26" s="46"/>
      <c r="F26" s="46"/>
      <c r="G26" s="46"/>
      <c r="H26" s="46"/>
      <c r="J26" s="10" t="s">
        <v>221</v>
      </c>
      <c r="K26" s="9">
        <v>11</v>
      </c>
      <c r="L26" s="28"/>
      <c r="M26" s="10" t="str">
        <v>Mar</v>
      </c>
      <c r="N26" s="9">
        <v>9</v>
      </c>
      <c r="P26" s="19"/>
    </row>
    <row r="27" spans="2:16" x14ac:dyDescent="0.45">
      <c r="B27" s="10" t="str" cm="1">
        <f t="array" ref="B27:H27">Embedλ(HalfYear,"Q1 Total",,4)</f>
        <v>Jan</v>
      </c>
      <c r="C27" s="10" t="str">
        <v>Feb</v>
      </c>
      <c r="D27" s="10" t="str">
        <v>Mar</v>
      </c>
      <c r="E27" s="121" t="str">
        <v>Q1 Total</v>
      </c>
      <c r="F27" s="10" t="str">
        <v>Apr</v>
      </c>
      <c r="G27" s="10" t="str">
        <v>May</v>
      </c>
      <c r="H27" s="10" t="str">
        <v>June</v>
      </c>
      <c r="J27" s="10" t="s">
        <v>222</v>
      </c>
      <c r="K27" s="9">
        <v>20</v>
      </c>
      <c r="L27" s="28"/>
      <c r="M27" s="121" t="str">
        <v/>
      </c>
      <c r="N27" s="120" t="str">
        <v/>
      </c>
      <c r="P27" s="19"/>
    </row>
    <row r="28" spans="2:16" x14ac:dyDescent="0.45">
      <c r="B28" s="20"/>
      <c r="J28" s="10" t="s">
        <v>454</v>
      </c>
      <c r="K28" s="9">
        <v>25</v>
      </c>
      <c r="L28" s="28"/>
      <c r="M28" s="10" t="str">
        <v>Apr</v>
      </c>
      <c r="N28" s="9">
        <v>11</v>
      </c>
      <c r="P28" s="19"/>
    </row>
    <row r="29" spans="2:16" x14ac:dyDescent="0.45">
      <c r="B29" s="33" t="s">
        <v>463</v>
      </c>
      <c r="L29" s="28"/>
      <c r="M29" s="10" t="str">
        <v>May</v>
      </c>
      <c r="N29" s="9">
        <v>20</v>
      </c>
      <c r="P29" s="19"/>
    </row>
    <row r="30" spans="2:16" x14ac:dyDescent="0.45">
      <c r="B30" s="34" t="s">
        <v>462</v>
      </c>
      <c r="J30" s="28"/>
      <c r="K30" s="28"/>
      <c r="L30" s="28"/>
      <c r="M30" s="10" t="str">
        <v>June</v>
      </c>
      <c r="N30" s="9">
        <v>25</v>
      </c>
      <c r="P30" s="19"/>
    </row>
    <row r="31" spans="2:16" x14ac:dyDescent="0.45">
      <c r="B31" s="178" t="str" cm="1">
        <f t="array" ref="B31">Embedλ(HalfYear,"Q1 Total",,7)</f>
        <v>#ROW/COL-INDEX</v>
      </c>
      <c r="P31" s="19"/>
    </row>
    <row r="32" spans="2:16" x14ac:dyDescent="0.45">
      <c r="B32" s="20"/>
      <c r="M32" s="123" t="s">
        <v>461</v>
      </c>
      <c r="P32" s="19"/>
    </row>
    <row r="33" spans="2:16" ht="11.5" customHeight="1" x14ac:dyDescent="0.45"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5FB3D-5FC9-4EDF-979B-2EC00A015A45}">
  <sheetPr codeName="Sheet15">
    <tabColor rgb="FFC7E6C2"/>
  </sheetPr>
  <dimension ref="A1:W29"/>
  <sheetViews>
    <sheetView workbookViewId="0"/>
  </sheetViews>
  <sheetFormatPr defaultRowHeight="16.5" x14ac:dyDescent="0.45"/>
  <cols>
    <col min="1" max="1" width="5" customWidth="1"/>
    <col min="2" max="2" width="7.25" customWidth="1"/>
    <col min="3" max="3" width="11.58203125" customWidth="1"/>
    <col min="4" max="4" width="9.1640625" customWidth="1"/>
    <col min="5" max="5" width="6.08203125" bestFit="1" customWidth="1"/>
    <col min="6" max="6" width="3.33203125" customWidth="1"/>
    <col min="7" max="7" width="6.4140625" customWidth="1"/>
    <col min="9" max="9" width="10.4140625" customWidth="1"/>
    <col min="10" max="10" width="8" customWidth="1"/>
    <col min="11" max="11" width="1.6640625" customWidth="1"/>
    <col min="12" max="12" width="11" bestFit="1" customWidth="1"/>
    <col min="13" max="13" width="11.25" bestFit="1" customWidth="1"/>
    <col min="14" max="14" width="20.08203125" bestFit="1" customWidth="1"/>
    <col min="15" max="15" width="2" customWidth="1"/>
    <col min="16" max="16" width="3.33203125" bestFit="1" customWidth="1"/>
    <col min="17" max="17" width="5.33203125" bestFit="1" customWidth="1"/>
    <col min="18" max="18" width="21.33203125" customWidth="1"/>
    <col min="19" max="19" width="2.58203125" customWidth="1"/>
    <col min="22" max="22" width="19.75" bestFit="1" customWidth="1"/>
    <col min="23" max="23" width="2.08203125" customWidth="1"/>
  </cols>
  <sheetData>
    <row r="1" spans="1:23" x14ac:dyDescent="0.45">
      <c r="A1" s="7"/>
    </row>
    <row r="2" spans="1:23" x14ac:dyDescent="0.45">
      <c r="B2" s="15" t="s">
        <v>159</v>
      </c>
      <c r="C2" s="16"/>
      <c r="D2" s="16"/>
      <c r="E2" s="16"/>
      <c r="F2" s="16"/>
      <c r="G2" s="16"/>
      <c r="H2" s="16"/>
      <c r="I2" s="16"/>
      <c r="J2" s="17"/>
      <c r="L2" s="32" t="s">
        <v>175</v>
      </c>
      <c r="M2" s="16"/>
      <c r="N2" s="16"/>
      <c r="O2" s="16"/>
      <c r="P2" s="24" t="s">
        <v>581</v>
      </c>
      <c r="Q2" s="16"/>
      <c r="R2" s="16"/>
      <c r="S2" s="16"/>
      <c r="T2" s="24" t="s">
        <v>200</v>
      </c>
      <c r="U2" s="16"/>
      <c r="V2" s="16"/>
      <c r="W2" s="17"/>
    </row>
    <row r="3" spans="1:23" x14ac:dyDescent="0.45">
      <c r="B3" s="18" t="s">
        <v>51</v>
      </c>
      <c r="C3" s="1"/>
      <c r="J3" s="19"/>
      <c r="L3" s="10" t="s">
        <v>177</v>
      </c>
      <c r="M3" s="10" t="s">
        <v>176</v>
      </c>
      <c r="N3" s="10" t="s">
        <v>178</v>
      </c>
      <c r="P3" s="71" t="s">
        <v>198</v>
      </c>
      <c r="T3" s="71" t="s">
        <v>199</v>
      </c>
      <c r="W3" s="19"/>
    </row>
    <row r="4" spans="1:23" x14ac:dyDescent="0.45">
      <c r="B4" s="18" t="s">
        <v>153</v>
      </c>
      <c r="C4" s="1"/>
      <c r="J4" s="19"/>
      <c r="L4" s="10">
        <v>1</v>
      </c>
      <c r="M4" s="10" t="s">
        <v>112</v>
      </c>
      <c r="N4" s="10" t="s">
        <v>188</v>
      </c>
      <c r="P4" s="10" cm="1">
        <f t="array" ref="P4:R13">KeepRowsλ(Survey,1,Respondent)</f>
        <v>1</v>
      </c>
      <c r="Q4" s="10" t="str">
        <v>Gus</v>
      </c>
      <c r="R4" s="10" t="str">
        <v>Network</v>
      </c>
      <c r="T4" s="10" cm="1">
        <f t="array" ref="T4:V13">KeepRowsλ(Survey,-1,Respondent)</f>
        <v>1</v>
      </c>
      <c r="U4" s="10" t="str">
        <v>Gus</v>
      </c>
      <c r="V4" s="10" t="str">
        <v>Network</v>
      </c>
      <c r="W4" s="19"/>
    </row>
    <row r="5" spans="1:23" x14ac:dyDescent="0.45">
      <c r="B5" s="18"/>
      <c r="C5" s="1" t="s">
        <v>154</v>
      </c>
      <c r="J5" s="19"/>
      <c r="L5" s="84">
        <v>2</v>
      </c>
      <c r="M5" s="84" t="s">
        <v>119</v>
      </c>
      <c r="N5" s="84" t="s">
        <v>186</v>
      </c>
      <c r="P5" s="10">
        <v>2</v>
      </c>
      <c r="Q5" s="10" t="str">
        <v>Lisa</v>
      </c>
      <c r="R5" s="10" t="str">
        <v>The Godfather</v>
      </c>
      <c r="T5" s="10">
        <v>3</v>
      </c>
      <c r="U5" s="10" t="str">
        <v>Lisa</v>
      </c>
      <c r="V5" s="10" t="str">
        <v>The Godfather Part II</v>
      </c>
      <c r="W5" s="19"/>
    </row>
    <row r="6" spans="1:23" x14ac:dyDescent="0.45">
      <c r="B6" s="18"/>
      <c r="C6" s="1" t="s">
        <v>155</v>
      </c>
      <c r="J6" s="19"/>
      <c r="L6" s="84">
        <v>3</v>
      </c>
      <c r="M6" s="84" t="s">
        <v>119</v>
      </c>
      <c r="N6" s="84" t="s">
        <v>187</v>
      </c>
      <c r="P6" s="10">
        <v>4</v>
      </c>
      <c r="Q6" s="10" t="str">
        <v>Art</v>
      </c>
      <c r="R6" s="10" t="str">
        <v>Citizen Kane</v>
      </c>
      <c r="T6" s="10">
        <v>6</v>
      </c>
      <c r="U6" s="10" t="str">
        <v>Art</v>
      </c>
      <c r="V6" s="10" t="str">
        <v>Billy Madison</v>
      </c>
      <c r="W6" s="19"/>
    </row>
    <row r="7" spans="1:23" x14ac:dyDescent="0.45">
      <c r="B7" s="18" t="s">
        <v>158</v>
      </c>
      <c r="C7" s="1"/>
      <c r="J7" s="19"/>
      <c r="L7" s="84">
        <v>4</v>
      </c>
      <c r="M7" s="84" t="s">
        <v>179</v>
      </c>
      <c r="N7" s="84" t="s">
        <v>189</v>
      </c>
      <c r="P7" s="10">
        <v>7</v>
      </c>
      <c r="Q7" s="10" t="str">
        <v>Joe</v>
      </c>
      <c r="R7" s="10" t="str">
        <v>The Wages of Fear</v>
      </c>
      <c r="T7" s="10">
        <v>7</v>
      </c>
      <c r="U7" s="10" t="str">
        <v>Joe</v>
      </c>
      <c r="V7" s="10" t="str">
        <v>The Wages of Fear</v>
      </c>
      <c r="W7" s="19"/>
    </row>
    <row r="8" spans="1:23" x14ac:dyDescent="0.45">
      <c r="B8" s="21"/>
      <c r="C8" s="22"/>
      <c r="D8" s="22"/>
      <c r="E8" s="22"/>
      <c r="F8" s="22"/>
      <c r="G8" s="22"/>
      <c r="H8" s="22"/>
      <c r="I8" s="22"/>
      <c r="J8" s="23"/>
      <c r="L8" s="84">
        <v>5</v>
      </c>
      <c r="M8" s="84" t="s">
        <v>179</v>
      </c>
      <c r="N8" s="84" t="s">
        <v>190</v>
      </c>
      <c r="P8" s="10">
        <v>8</v>
      </c>
      <c r="Q8" s="10" t="str">
        <v>Mike</v>
      </c>
      <c r="R8" s="10" t="str">
        <v>Jaws</v>
      </c>
      <c r="T8" s="10">
        <v>8</v>
      </c>
      <c r="U8" s="10" t="str">
        <v>Mike</v>
      </c>
      <c r="V8" s="10" t="str">
        <v>Jaws</v>
      </c>
      <c r="W8" s="19"/>
    </row>
    <row r="9" spans="1:23" x14ac:dyDescent="0.45">
      <c r="L9" s="84">
        <v>6</v>
      </c>
      <c r="M9" s="84" t="s">
        <v>179</v>
      </c>
      <c r="N9" s="84" t="s">
        <v>191</v>
      </c>
      <c r="P9" s="10">
        <v>9</v>
      </c>
      <c r="Q9" s="10" t="str">
        <v>Hank</v>
      </c>
      <c r="R9" s="10" t="str">
        <v>Major League</v>
      </c>
      <c r="T9" s="10">
        <v>10</v>
      </c>
      <c r="U9" s="10" t="str">
        <v>Hank</v>
      </c>
      <c r="V9" s="10" t="str">
        <v>Major Payne</v>
      </c>
      <c r="W9" s="19"/>
    </row>
    <row r="10" spans="1:23" x14ac:dyDescent="0.45">
      <c r="B10" s="32" t="s">
        <v>167</v>
      </c>
      <c r="C10" s="16"/>
      <c r="D10" s="16"/>
      <c r="E10" s="16"/>
      <c r="F10" s="16"/>
      <c r="G10" s="16"/>
      <c r="H10" s="16"/>
      <c r="I10" s="16"/>
      <c r="J10" s="17"/>
      <c r="L10" s="10">
        <v>7</v>
      </c>
      <c r="M10" s="10" t="s">
        <v>180</v>
      </c>
      <c r="N10" s="10" t="s">
        <v>202</v>
      </c>
      <c r="P10" s="10">
        <v>11</v>
      </c>
      <c r="Q10" s="10" t="str">
        <v>Wes</v>
      </c>
      <c r="R10" s="10" t="str">
        <v>Thief</v>
      </c>
      <c r="T10" s="10">
        <v>11</v>
      </c>
      <c r="U10" s="10" t="str">
        <v>Wes</v>
      </c>
      <c r="V10" s="10" t="str">
        <v>Thief</v>
      </c>
      <c r="W10" s="19"/>
    </row>
    <row r="11" spans="1:23" x14ac:dyDescent="0.45">
      <c r="B11" s="10" t="s">
        <v>162</v>
      </c>
      <c r="C11" s="10" t="s">
        <v>131</v>
      </c>
      <c r="D11" s="10" t="s">
        <v>171</v>
      </c>
      <c r="E11" s="10" t="s">
        <v>163</v>
      </c>
      <c r="G11" s="26" t="s">
        <v>170</v>
      </c>
      <c r="J11" s="19"/>
      <c r="L11" s="10">
        <v>8</v>
      </c>
      <c r="M11" s="10" t="s">
        <v>181</v>
      </c>
      <c r="N11" s="10" t="s">
        <v>192</v>
      </c>
      <c r="P11" s="10">
        <v>12</v>
      </c>
      <c r="Q11" s="10" t="str">
        <v>Ruth</v>
      </c>
      <c r="R11" s="10" t="str">
        <v>Uncut Gems</v>
      </c>
      <c r="T11" s="10">
        <v>12</v>
      </c>
      <c r="U11" s="10" t="str">
        <v>Ruth</v>
      </c>
      <c r="V11" s="10" t="str">
        <v>Uncut Gems</v>
      </c>
      <c r="W11" s="19"/>
    </row>
    <row r="12" spans="1:23" x14ac:dyDescent="0.45">
      <c r="B12" s="73">
        <v>46174</v>
      </c>
      <c r="C12" s="10" t="s">
        <v>172</v>
      </c>
      <c r="D12" s="10" t="s">
        <v>203</v>
      </c>
      <c r="E12" s="76">
        <v>8</v>
      </c>
      <c r="G12" s="71" t="s">
        <v>168</v>
      </c>
      <c r="J12" s="19"/>
      <c r="L12" s="84">
        <v>9</v>
      </c>
      <c r="M12" s="84" t="s">
        <v>182</v>
      </c>
      <c r="N12" s="84" t="s">
        <v>193</v>
      </c>
      <c r="P12" s="10">
        <v>13</v>
      </c>
      <c r="Q12" s="10" t="str">
        <v>Ron</v>
      </c>
      <c r="R12" s="10" t="str">
        <v>The Rules of the Game</v>
      </c>
      <c r="T12" s="10">
        <v>14</v>
      </c>
      <c r="U12" s="10" t="str">
        <v>Ron</v>
      </c>
      <c r="V12" s="10" t="str">
        <v>The Rules of the Game</v>
      </c>
      <c r="W12" s="19"/>
    </row>
    <row r="13" spans="1:23" x14ac:dyDescent="0.45">
      <c r="B13" s="73">
        <v>46174</v>
      </c>
      <c r="C13" s="10" t="s">
        <v>114</v>
      </c>
      <c r="D13" s="10" t="s">
        <v>174</v>
      </c>
      <c r="E13" s="76">
        <v>10</v>
      </c>
      <c r="G13" s="73" cm="1">
        <f t="array" ref="G13:J16">KeepRowsλ(HoursScheduled,1,Date)</f>
        <v>46174</v>
      </c>
      <c r="H13" s="10" t="str">
        <v>Jose</v>
      </c>
      <c r="I13" s="10" t="str">
        <v>Shift Lead</v>
      </c>
      <c r="J13" s="9">
        <v>8</v>
      </c>
      <c r="L13" s="84">
        <v>10</v>
      </c>
      <c r="M13" s="84" t="s">
        <v>182</v>
      </c>
      <c r="N13" s="84" t="s">
        <v>201</v>
      </c>
      <c r="P13" s="10">
        <v>15</v>
      </c>
      <c r="Q13" s="10" t="str">
        <v>Pam</v>
      </c>
      <c r="R13" s="10" t="str">
        <v>The Bicycle Thieves</v>
      </c>
      <c r="T13" s="10">
        <v>15</v>
      </c>
      <c r="U13" s="10" t="str">
        <v>Pam</v>
      </c>
      <c r="V13" s="10" t="str">
        <v>The Bicycle Thieves</v>
      </c>
      <c r="W13" s="19"/>
    </row>
    <row r="14" spans="1:23" x14ac:dyDescent="0.45">
      <c r="B14" s="73">
        <v>46174</v>
      </c>
      <c r="C14" s="10" t="s">
        <v>109</v>
      </c>
      <c r="D14" s="10" t="s">
        <v>174</v>
      </c>
      <c r="E14" s="76">
        <v>5</v>
      </c>
      <c r="G14" s="73">
        <v>46175</v>
      </c>
      <c r="H14" s="10" t="str">
        <v>Bev</v>
      </c>
      <c r="I14" s="10" t="str">
        <v>Lead</v>
      </c>
      <c r="J14" s="9">
        <v>8</v>
      </c>
      <c r="L14" s="10">
        <v>11</v>
      </c>
      <c r="M14" s="10" t="s">
        <v>183</v>
      </c>
      <c r="N14" s="10" t="s">
        <v>194</v>
      </c>
      <c r="T14" s="55"/>
      <c r="U14" s="55"/>
      <c r="V14" s="55"/>
      <c r="W14" s="19"/>
    </row>
    <row r="15" spans="1:23" x14ac:dyDescent="0.45">
      <c r="B15" s="73">
        <v>46174</v>
      </c>
      <c r="C15" s="10" t="s">
        <v>234</v>
      </c>
      <c r="D15" s="10" t="s">
        <v>173</v>
      </c>
      <c r="E15" s="76">
        <v>23</v>
      </c>
      <c r="G15" s="73">
        <v>46176</v>
      </c>
      <c r="H15" s="10" t="str">
        <v>Bev</v>
      </c>
      <c r="I15" s="10" t="str">
        <v>Lead</v>
      </c>
      <c r="J15" s="9">
        <v>10</v>
      </c>
      <c r="L15" s="10">
        <v>12</v>
      </c>
      <c r="M15" s="10" t="s">
        <v>184</v>
      </c>
      <c r="N15" s="10" t="s">
        <v>195</v>
      </c>
      <c r="P15" s="10" cm="1">
        <f t="array" ref="P15:R29">KeepRowsλ(Survey,3,Respondent)</f>
        <v>1</v>
      </c>
      <c r="Q15" s="10" t="str">
        <v>Gus</v>
      </c>
      <c r="R15" s="10" t="str">
        <v>Network</v>
      </c>
      <c r="T15" s="26" t="s">
        <v>216</v>
      </c>
      <c r="W15" s="19"/>
    </row>
    <row r="16" spans="1:23" x14ac:dyDescent="0.45">
      <c r="B16" s="77">
        <v>46175</v>
      </c>
      <c r="C16" s="45" t="s">
        <v>113</v>
      </c>
      <c r="D16" s="45" t="s">
        <v>235</v>
      </c>
      <c r="E16" s="72">
        <v>8</v>
      </c>
      <c r="G16" s="73">
        <v>46177</v>
      </c>
      <c r="H16" s="10" t="str">
        <v>Jose</v>
      </c>
      <c r="I16" s="10" t="str">
        <v>Lead</v>
      </c>
      <c r="J16" s="9">
        <v>10</v>
      </c>
      <c r="L16" s="84">
        <v>13</v>
      </c>
      <c r="M16" s="84" t="s">
        <v>120</v>
      </c>
      <c r="N16" s="84" t="s">
        <v>196</v>
      </c>
      <c r="P16" s="10">
        <v>2</v>
      </c>
      <c r="Q16" s="10" t="str">
        <v>Lisa</v>
      </c>
      <c r="R16" s="10" t="str">
        <v>The Godfather</v>
      </c>
      <c r="T16" s="90" t="s">
        <v>215</v>
      </c>
      <c r="W16" s="19"/>
    </row>
    <row r="17" spans="2:23" x14ac:dyDescent="0.45">
      <c r="B17" s="77">
        <v>46175</v>
      </c>
      <c r="C17" s="45" t="s">
        <v>165</v>
      </c>
      <c r="D17" s="45" t="s">
        <v>174</v>
      </c>
      <c r="E17" s="72">
        <v>8</v>
      </c>
      <c r="J17" s="19"/>
      <c r="L17" s="84">
        <v>14</v>
      </c>
      <c r="M17" s="84" t="s">
        <v>120</v>
      </c>
      <c r="N17" s="84" t="s">
        <v>196</v>
      </c>
      <c r="P17" s="10">
        <v>3</v>
      </c>
      <c r="Q17" s="10" t="str">
        <v>Lisa</v>
      </c>
      <c r="R17" s="10" t="str">
        <v>The Godfather Part II</v>
      </c>
      <c r="T17" s="71" t="s">
        <v>214</v>
      </c>
      <c r="W17" s="19"/>
    </row>
    <row r="18" spans="2:23" x14ac:dyDescent="0.45">
      <c r="B18" s="77">
        <v>46175</v>
      </c>
      <c r="C18" s="45" t="s">
        <v>114</v>
      </c>
      <c r="D18" s="45" t="s">
        <v>174</v>
      </c>
      <c r="E18" s="72">
        <v>8</v>
      </c>
      <c r="J18" s="19"/>
      <c r="L18" s="10">
        <v>15</v>
      </c>
      <c r="M18" s="10" t="s">
        <v>185</v>
      </c>
      <c r="N18" s="10" t="s">
        <v>197</v>
      </c>
      <c r="P18" s="10">
        <v>4</v>
      </c>
      <c r="Q18" s="10" t="str">
        <v>Art</v>
      </c>
      <c r="R18" s="10" t="str">
        <v>Citizen Kane</v>
      </c>
      <c r="W18" s="19"/>
    </row>
    <row r="19" spans="2:23" x14ac:dyDescent="0.45">
      <c r="B19" s="77">
        <v>46175</v>
      </c>
      <c r="C19" s="45" t="s">
        <v>115</v>
      </c>
      <c r="D19" s="45" t="s">
        <v>174</v>
      </c>
      <c r="E19" s="72">
        <v>8</v>
      </c>
      <c r="J19" s="19"/>
      <c r="L19" s="20"/>
      <c r="P19" s="10">
        <v>5</v>
      </c>
      <c r="Q19" s="10" t="str">
        <v>Art</v>
      </c>
      <c r="R19" s="10" t="str">
        <v>Rear Window</v>
      </c>
      <c r="W19" s="19"/>
    </row>
    <row r="20" spans="2:23" x14ac:dyDescent="0.45">
      <c r="B20" s="77">
        <v>46175</v>
      </c>
      <c r="C20" s="45" t="s">
        <v>234</v>
      </c>
      <c r="D20" s="45" t="s">
        <v>173</v>
      </c>
      <c r="E20" s="72">
        <v>32</v>
      </c>
      <c r="G20" s="26" t="s">
        <v>169</v>
      </c>
      <c r="J20" s="19"/>
      <c r="L20" s="20"/>
      <c r="P20" s="10">
        <v>6</v>
      </c>
      <c r="Q20" s="10" t="str">
        <v>Art</v>
      </c>
      <c r="R20" s="10" t="str">
        <v>Billy Madison</v>
      </c>
      <c r="W20" s="19"/>
    </row>
    <row r="21" spans="2:23" x14ac:dyDescent="0.45">
      <c r="B21" s="78">
        <v>46176</v>
      </c>
      <c r="C21" s="44" t="s">
        <v>113</v>
      </c>
      <c r="D21" s="44" t="s">
        <v>235</v>
      </c>
      <c r="E21" s="81">
        <v>10</v>
      </c>
      <c r="G21" s="71" t="s">
        <v>168</v>
      </c>
      <c r="J21" s="19"/>
      <c r="L21" s="20"/>
      <c r="P21" s="10">
        <v>7</v>
      </c>
      <c r="Q21" s="10" t="str">
        <v>Joe</v>
      </c>
      <c r="R21" s="10" t="str">
        <v>The Wages of Fear</v>
      </c>
      <c r="W21" s="19"/>
    </row>
    <row r="22" spans="2:23" x14ac:dyDescent="0.45">
      <c r="B22" s="78">
        <v>46176</v>
      </c>
      <c r="C22" s="44" t="s">
        <v>109</v>
      </c>
      <c r="D22" s="44" t="s">
        <v>174</v>
      </c>
      <c r="E22" s="81">
        <v>10</v>
      </c>
      <c r="G22" s="74" cm="1">
        <f t="array" ref="G22:J25">KeepRowsλ(HoursScheduled,-1,Date)</f>
        <v>46174</v>
      </c>
      <c r="H22" s="70" t="str">
        <v>Subtotal</v>
      </c>
      <c r="I22" s="10" t="str">
        <v>&gt;&gt;&gt;&gt;&gt;&gt;&gt;&gt;&gt;&gt;</v>
      </c>
      <c r="J22" s="9">
        <v>23</v>
      </c>
      <c r="L22" s="20"/>
      <c r="P22" s="10">
        <v>8</v>
      </c>
      <c r="Q22" s="10" t="str">
        <v>Mike</v>
      </c>
      <c r="R22" s="10" t="str">
        <v>Jaws</v>
      </c>
      <c r="W22" s="19"/>
    </row>
    <row r="23" spans="2:23" x14ac:dyDescent="0.45">
      <c r="B23" s="78">
        <v>46176</v>
      </c>
      <c r="C23" s="44" t="s">
        <v>165</v>
      </c>
      <c r="D23" s="44" t="s">
        <v>174</v>
      </c>
      <c r="E23" s="81">
        <v>12</v>
      </c>
      <c r="G23" s="73">
        <v>46175</v>
      </c>
      <c r="H23" s="70" t="str">
        <v>Subtotal</v>
      </c>
      <c r="I23" s="10" t="str">
        <v>&gt;&gt;&gt;&gt;&gt;&gt;&gt;&gt;&gt;&gt;</v>
      </c>
      <c r="J23" s="9">
        <v>32</v>
      </c>
      <c r="L23" s="20"/>
      <c r="P23" s="10">
        <v>9</v>
      </c>
      <c r="Q23" s="10" t="str">
        <v>Hank</v>
      </c>
      <c r="R23" s="10" t="str">
        <v>Major League</v>
      </c>
      <c r="W23" s="19"/>
    </row>
    <row r="24" spans="2:23" x14ac:dyDescent="0.45">
      <c r="B24" s="78">
        <v>46176</v>
      </c>
      <c r="C24" s="44" t="s">
        <v>234</v>
      </c>
      <c r="D24" s="44" t="s">
        <v>173</v>
      </c>
      <c r="E24" s="81">
        <v>32</v>
      </c>
      <c r="G24" s="73">
        <v>46176</v>
      </c>
      <c r="H24" s="70" t="str">
        <v>Subtotal</v>
      </c>
      <c r="I24" s="10" t="str">
        <v>&gt;&gt;&gt;&gt;&gt;&gt;&gt;&gt;&gt;&gt;</v>
      </c>
      <c r="J24" s="9">
        <v>32</v>
      </c>
      <c r="L24" s="20"/>
      <c r="P24" s="10">
        <v>10</v>
      </c>
      <c r="Q24" s="10" t="str">
        <v>Hank</v>
      </c>
      <c r="R24" s="10" t="str">
        <v>Major Payne</v>
      </c>
      <c r="W24" s="19"/>
    </row>
    <row r="25" spans="2:23" x14ac:dyDescent="0.45">
      <c r="B25" s="79">
        <v>46177</v>
      </c>
      <c r="C25" s="80" t="s">
        <v>172</v>
      </c>
      <c r="D25" s="80" t="s">
        <v>235</v>
      </c>
      <c r="E25" s="82">
        <v>10</v>
      </c>
      <c r="G25" s="73">
        <v>46177</v>
      </c>
      <c r="H25" s="70" t="str">
        <v>TOTAL</v>
      </c>
      <c r="I25" s="10" t="str">
        <v>&gt;&gt;&gt;&gt;&gt;&gt;&gt;&gt;&gt;&gt;</v>
      </c>
      <c r="J25" s="9">
        <v>26</v>
      </c>
      <c r="L25" s="20"/>
      <c r="P25" s="10">
        <v>11</v>
      </c>
      <c r="Q25" s="10" t="str">
        <v>Wes</v>
      </c>
      <c r="R25" s="10" t="str">
        <v>Thief</v>
      </c>
      <c r="W25" s="19"/>
    </row>
    <row r="26" spans="2:23" x14ac:dyDescent="0.45">
      <c r="B26" s="79">
        <v>46177</v>
      </c>
      <c r="C26" s="80" t="s">
        <v>166</v>
      </c>
      <c r="D26" s="80" t="s">
        <v>174</v>
      </c>
      <c r="E26" s="82">
        <v>4</v>
      </c>
      <c r="J26" s="19"/>
      <c r="L26" s="20"/>
      <c r="P26" s="10">
        <v>12</v>
      </c>
      <c r="Q26" s="10" t="str">
        <v>Ruth</v>
      </c>
      <c r="R26" s="10" t="str">
        <v>Uncut Gems</v>
      </c>
      <c r="W26" s="19"/>
    </row>
    <row r="27" spans="2:23" x14ac:dyDescent="0.45">
      <c r="B27" s="79">
        <v>46177</v>
      </c>
      <c r="C27" s="80" t="s">
        <v>109</v>
      </c>
      <c r="D27" s="80" t="s">
        <v>174</v>
      </c>
      <c r="E27" s="82">
        <v>12</v>
      </c>
      <c r="J27" s="19"/>
      <c r="L27" s="20"/>
      <c r="P27" s="10">
        <v>13</v>
      </c>
      <c r="Q27" s="10" t="str">
        <v>Ron</v>
      </c>
      <c r="R27" s="10" t="str">
        <v>The Rules of the Game</v>
      </c>
      <c r="W27" s="19"/>
    </row>
    <row r="28" spans="2:23" x14ac:dyDescent="0.45">
      <c r="B28" s="79">
        <v>46177</v>
      </c>
      <c r="C28" s="80" t="s">
        <v>164</v>
      </c>
      <c r="D28" s="80" t="s">
        <v>173</v>
      </c>
      <c r="E28" s="82">
        <v>26</v>
      </c>
      <c r="J28" s="19"/>
      <c r="L28" s="20"/>
      <c r="P28" s="10">
        <v>14</v>
      </c>
      <c r="Q28" s="10" t="str">
        <v>Ron</v>
      </c>
      <c r="R28" s="10" t="str">
        <v>The Rules of the Game</v>
      </c>
      <c r="W28" s="19"/>
    </row>
    <row r="29" spans="2:23" x14ac:dyDescent="0.45">
      <c r="B29" s="21"/>
      <c r="C29" s="22"/>
      <c r="D29" s="22"/>
      <c r="E29" s="22"/>
      <c r="F29" s="22"/>
      <c r="G29" s="22"/>
      <c r="H29" s="22"/>
      <c r="I29" s="22"/>
      <c r="J29" s="23"/>
      <c r="L29" s="21"/>
      <c r="M29" s="22"/>
      <c r="N29" s="22"/>
      <c r="O29" s="22"/>
      <c r="P29" s="10">
        <v>15</v>
      </c>
      <c r="Q29" s="10" t="str">
        <v>Pam</v>
      </c>
      <c r="R29" s="10" t="str">
        <v>The Bicycle Thieves</v>
      </c>
      <c r="S29" s="22"/>
      <c r="T29" s="22"/>
      <c r="U29" s="22"/>
      <c r="V29" s="22"/>
      <c r="W29" s="2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955C-EC83-4444-A65A-BD45BA549D1B}">
  <sheetPr codeName="Sheet16">
    <tabColor rgb="FFC7E6C2"/>
  </sheetPr>
  <dimension ref="A1:AH31"/>
  <sheetViews>
    <sheetView workbookViewId="0"/>
  </sheetViews>
  <sheetFormatPr defaultRowHeight="16.5" x14ac:dyDescent="0.45"/>
  <cols>
    <col min="1" max="1" width="5" customWidth="1"/>
    <col min="2" max="2" width="10.83203125" customWidth="1"/>
    <col min="3" max="16" width="4.58203125" customWidth="1"/>
    <col min="17" max="17" width="1.75" customWidth="1"/>
    <col min="18" max="18" width="2.5" customWidth="1"/>
    <col min="19" max="19" width="5.75" bestFit="1" customWidth="1"/>
    <col min="20" max="20" width="4.83203125" bestFit="1" customWidth="1"/>
    <col min="21" max="22" width="5.75" bestFit="1" customWidth="1"/>
    <col min="23" max="23" width="5.5" customWidth="1"/>
    <col min="24" max="25" width="5.75" bestFit="1" customWidth="1"/>
    <col min="26" max="26" width="4.83203125" bestFit="1" customWidth="1"/>
    <col min="27" max="27" width="8.33203125" bestFit="1" customWidth="1"/>
    <col min="28" max="28" width="5.75" bestFit="1" customWidth="1"/>
    <col min="29" max="29" width="4.83203125" bestFit="1" customWidth="1"/>
    <col min="30" max="30" width="5.75" bestFit="1" customWidth="1"/>
    <col min="31" max="31" width="8.33203125" bestFit="1" customWidth="1"/>
    <col min="32" max="32" width="4.83203125" bestFit="1" customWidth="1"/>
    <col min="33" max="33" width="5.75" bestFit="1" customWidth="1"/>
    <col min="34" max="34" width="4" customWidth="1"/>
  </cols>
  <sheetData>
    <row r="1" spans="1:34" x14ac:dyDescent="0.45">
      <c r="A1" s="7"/>
    </row>
    <row r="2" spans="1:34" x14ac:dyDescent="0.45">
      <c r="B2" s="15" t="s">
        <v>156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  <c r="R2" s="35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7"/>
    </row>
    <row r="3" spans="1:34" x14ac:dyDescent="0.45">
      <c r="B3" s="18" t="s">
        <v>51</v>
      </c>
      <c r="C3" s="1"/>
      <c r="P3" s="19"/>
      <c r="R3" s="20"/>
      <c r="S3" s="68" t="s">
        <v>225</v>
      </c>
      <c r="AH3" s="19"/>
    </row>
    <row r="4" spans="1:34" x14ac:dyDescent="0.45">
      <c r="B4" s="18" t="s">
        <v>153</v>
      </c>
      <c r="C4" s="1"/>
      <c r="P4" s="19"/>
      <c r="R4" s="20"/>
      <c r="S4" s="75" t="s">
        <v>132</v>
      </c>
      <c r="T4" s="75" t="s">
        <v>132</v>
      </c>
      <c r="U4" s="93" t="s">
        <v>132</v>
      </c>
      <c r="V4" s="94" t="s">
        <v>219</v>
      </c>
      <c r="W4" s="75" t="s">
        <v>219</v>
      </c>
      <c r="X4" s="93" t="s">
        <v>219</v>
      </c>
      <c r="Y4" s="94" t="s">
        <v>220</v>
      </c>
      <c r="Z4" s="75" t="s">
        <v>220</v>
      </c>
      <c r="AA4" s="93" t="s">
        <v>220</v>
      </c>
      <c r="AB4" s="94" t="s">
        <v>221</v>
      </c>
      <c r="AC4" s="75" t="s">
        <v>221</v>
      </c>
      <c r="AD4" s="93" t="s">
        <v>221</v>
      </c>
      <c r="AE4" s="94" t="s">
        <v>222</v>
      </c>
      <c r="AF4" s="75" t="s">
        <v>222</v>
      </c>
      <c r="AG4" s="75" t="s">
        <v>222</v>
      </c>
      <c r="AH4" s="19"/>
    </row>
    <row r="5" spans="1:34" x14ac:dyDescent="0.45">
      <c r="B5" s="18"/>
      <c r="C5" s="1" t="s">
        <v>160</v>
      </c>
      <c r="P5" s="19"/>
      <c r="R5" s="20"/>
      <c r="S5" s="10" t="s">
        <v>81</v>
      </c>
      <c r="T5" s="10" t="s">
        <v>223</v>
      </c>
      <c r="U5" s="92" t="s">
        <v>224</v>
      </c>
      <c r="V5" s="59" t="s">
        <v>81</v>
      </c>
      <c r="W5" s="10" t="s">
        <v>223</v>
      </c>
      <c r="X5" s="92" t="s">
        <v>224</v>
      </c>
      <c r="Y5" s="59" t="s">
        <v>81</v>
      </c>
      <c r="Z5" s="10" t="s">
        <v>223</v>
      </c>
      <c r="AA5" s="92" t="s">
        <v>224</v>
      </c>
      <c r="AB5" s="59" t="s">
        <v>81</v>
      </c>
      <c r="AC5" s="10" t="s">
        <v>223</v>
      </c>
      <c r="AD5" s="92" t="s">
        <v>224</v>
      </c>
      <c r="AE5" s="59" t="s">
        <v>233</v>
      </c>
      <c r="AF5" s="10" t="s">
        <v>231</v>
      </c>
      <c r="AG5" s="10" t="s">
        <v>232</v>
      </c>
      <c r="AH5" s="19"/>
    </row>
    <row r="6" spans="1:34" x14ac:dyDescent="0.45">
      <c r="B6" s="18"/>
      <c r="C6" s="1" t="s">
        <v>161</v>
      </c>
      <c r="P6" s="19"/>
      <c r="R6" s="20"/>
      <c r="S6" s="10">
        <v>10</v>
      </c>
      <c r="T6" s="10">
        <v>6</v>
      </c>
      <c r="U6" s="92">
        <v>4</v>
      </c>
      <c r="V6" s="59">
        <v>8</v>
      </c>
      <c r="W6" s="10">
        <v>5</v>
      </c>
      <c r="X6" s="92">
        <v>3</v>
      </c>
      <c r="Y6" s="59">
        <v>12</v>
      </c>
      <c r="Z6" s="10">
        <v>7</v>
      </c>
      <c r="AA6" s="92">
        <v>5</v>
      </c>
      <c r="AB6" s="59">
        <v>21</v>
      </c>
      <c r="AC6" s="10">
        <v>12</v>
      </c>
      <c r="AD6" s="92">
        <v>9</v>
      </c>
      <c r="AE6" s="59">
        <v>25</v>
      </c>
      <c r="AF6" s="10">
        <v>14</v>
      </c>
      <c r="AG6" s="10">
        <v>11</v>
      </c>
      <c r="AH6" s="19"/>
    </row>
    <row r="7" spans="1:34" x14ac:dyDescent="0.45">
      <c r="B7" s="18" t="s">
        <v>157</v>
      </c>
      <c r="C7" s="1"/>
      <c r="P7" s="19"/>
      <c r="R7" s="20"/>
      <c r="AH7" s="19"/>
    </row>
    <row r="8" spans="1:34" x14ac:dyDescent="0.45"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  <c r="R8" s="20"/>
      <c r="AH8" s="19"/>
    </row>
    <row r="9" spans="1:34" x14ac:dyDescent="0.45">
      <c r="R9" s="20"/>
      <c r="S9" s="26" t="s">
        <v>229</v>
      </c>
      <c r="AH9" s="19"/>
    </row>
    <row r="10" spans="1:34" x14ac:dyDescent="0.45">
      <c r="B10" s="91" t="s">
        <v>217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  <c r="R10" s="20"/>
      <c r="S10" s="71" t="s">
        <v>230</v>
      </c>
      <c r="AH10" s="19"/>
    </row>
    <row r="11" spans="1:34" x14ac:dyDescent="0.45">
      <c r="B11" s="10" t="s">
        <v>162</v>
      </c>
      <c r="C11" s="88">
        <v>46204</v>
      </c>
      <c r="D11" s="85">
        <v>46205</v>
      </c>
      <c r="E11" s="85">
        <v>46206</v>
      </c>
      <c r="F11" s="88">
        <v>46207</v>
      </c>
      <c r="G11" s="85">
        <v>46208</v>
      </c>
      <c r="H11" s="88">
        <v>46209</v>
      </c>
      <c r="I11" s="85">
        <v>46210</v>
      </c>
      <c r="J11" s="88">
        <v>46211</v>
      </c>
      <c r="K11" s="85">
        <v>46212</v>
      </c>
      <c r="L11" s="85">
        <v>46213</v>
      </c>
      <c r="M11" s="85">
        <v>46214</v>
      </c>
      <c r="N11" s="88">
        <v>46215</v>
      </c>
      <c r="O11" s="88">
        <v>46216</v>
      </c>
      <c r="P11" s="85">
        <v>46217</v>
      </c>
      <c r="Q11" s="87"/>
      <c r="R11" s="86"/>
      <c r="S11" s="85" t="str" cm="1">
        <f t="array" ref="S11:AB13">KeepColsλ(Report,2,ReportMonth)</f>
        <v>Jan</v>
      </c>
      <c r="T11" s="10" t="str">
        <v>Jan</v>
      </c>
      <c r="U11" s="10" t="str">
        <v>Feb</v>
      </c>
      <c r="V11" s="10" t="str">
        <v>Feb</v>
      </c>
      <c r="W11" s="10" t="str">
        <v>Mar</v>
      </c>
      <c r="X11" s="10" t="str">
        <v>Mar</v>
      </c>
      <c r="Y11" s="10" t="str">
        <v>Apr</v>
      </c>
      <c r="Z11" s="10" t="str">
        <v>Apr</v>
      </c>
      <c r="AA11" s="10" t="str">
        <v>May</v>
      </c>
      <c r="AB11" s="10" t="str">
        <v>May</v>
      </c>
      <c r="AH11" s="19"/>
    </row>
    <row r="12" spans="1:34" x14ac:dyDescent="0.45">
      <c r="B12" s="10" t="s">
        <v>205</v>
      </c>
      <c r="C12" s="40" t="s">
        <v>206</v>
      </c>
      <c r="D12" s="10" t="s">
        <v>206</v>
      </c>
      <c r="E12" s="10" t="s">
        <v>206</v>
      </c>
      <c r="F12" s="40" t="s">
        <v>218</v>
      </c>
      <c r="G12" s="10" t="s">
        <v>218</v>
      </c>
      <c r="H12" s="40" t="s">
        <v>206</v>
      </c>
      <c r="I12" s="10" t="s">
        <v>206</v>
      </c>
      <c r="J12" s="40" t="s">
        <v>208</v>
      </c>
      <c r="K12" s="10" t="s">
        <v>208</v>
      </c>
      <c r="L12" s="10" t="s">
        <v>208</v>
      </c>
      <c r="M12" s="10" t="s">
        <v>208</v>
      </c>
      <c r="N12" s="40" t="s">
        <v>207</v>
      </c>
      <c r="O12" s="40" t="s">
        <v>213</v>
      </c>
      <c r="P12" s="10" t="s">
        <v>213</v>
      </c>
      <c r="Q12" s="46"/>
      <c r="R12" s="37"/>
      <c r="S12" s="10" t="str">
        <v>Sales</v>
      </c>
      <c r="T12" s="10" t="str">
        <v>Cost</v>
      </c>
      <c r="U12" s="10" t="str">
        <v>Sales</v>
      </c>
      <c r="V12" s="10" t="str">
        <v>Cost</v>
      </c>
      <c r="W12" s="10" t="str">
        <v>Sales</v>
      </c>
      <c r="X12" s="10" t="str">
        <v>Cost</v>
      </c>
      <c r="Y12" s="10" t="str">
        <v>Sales</v>
      </c>
      <c r="Z12" s="10" t="str">
        <v>Cost</v>
      </c>
      <c r="AA12" s="10" t="str">
        <v>Revenue</v>
      </c>
      <c r="AB12" s="10" t="str">
        <v>COGS</v>
      </c>
      <c r="AH12" s="19"/>
    </row>
    <row r="13" spans="1:34" x14ac:dyDescent="0.45">
      <c r="B13" s="89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61"/>
      <c r="Q13" s="8"/>
      <c r="R13" s="89"/>
      <c r="S13" s="10">
        <v>10</v>
      </c>
      <c r="T13" s="10">
        <v>6</v>
      </c>
      <c r="U13" s="10">
        <v>8</v>
      </c>
      <c r="V13" s="10">
        <v>5</v>
      </c>
      <c r="W13" s="10">
        <v>12</v>
      </c>
      <c r="X13" s="10">
        <v>7</v>
      </c>
      <c r="Y13" s="10">
        <v>21</v>
      </c>
      <c r="Z13" s="10">
        <v>12</v>
      </c>
      <c r="AA13" s="10">
        <v>25</v>
      </c>
      <c r="AB13" s="10">
        <v>14</v>
      </c>
      <c r="AH13" s="19"/>
    </row>
    <row r="14" spans="1:34" x14ac:dyDescent="0.45">
      <c r="B14" s="89"/>
      <c r="K14" s="8"/>
      <c r="L14" s="8"/>
      <c r="M14" s="8"/>
      <c r="N14" s="8"/>
      <c r="O14" s="8"/>
      <c r="P14" s="61"/>
      <c r="Q14" s="8"/>
      <c r="R14" s="89"/>
      <c r="S14" s="8"/>
      <c r="AH14" s="19"/>
    </row>
    <row r="15" spans="1:34" x14ac:dyDescent="0.45">
      <c r="B15" s="20"/>
      <c r="C15" s="26" t="s">
        <v>210</v>
      </c>
      <c r="D15" s="8"/>
      <c r="E15" s="8"/>
      <c r="F15" s="8"/>
      <c r="G15" s="8"/>
      <c r="H15" s="8"/>
      <c r="I15" s="8"/>
      <c r="J15" s="8"/>
      <c r="P15" s="19"/>
      <c r="R15" s="20"/>
      <c r="S15" s="26" t="s">
        <v>227</v>
      </c>
      <c r="AH15" s="19"/>
    </row>
    <row r="16" spans="1:34" x14ac:dyDescent="0.45">
      <c r="B16" s="20"/>
      <c r="C16" s="71" t="s">
        <v>209</v>
      </c>
      <c r="P16" s="19"/>
      <c r="R16" s="20"/>
      <c r="S16" s="71" t="s">
        <v>228</v>
      </c>
      <c r="AH16" s="19"/>
    </row>
    <row r="17" spans="2:34" x14ac:dyDescent="0.45">
      <c r="B17" s="20"/>
      <c r="C17" s="85" cm="1">
        <f t="array" ref="C17:H18">KeepColsλ(SupervisorSchedule,1,Supervisor)</f>
        <v>46204</v>
      </c>
      <c r="D17" s="85">
        <v>46207</v>
      </c>
      <c r="E17" s="85">
        <v>46209</v>
      </c>
      <c r="F17" s="85">
        <v>46211</v>
      </c>
      <c r="G17" s="85">
        <v>46215</v>
      </c>
      <c r="H17" s="85">
        <v>46216</v>
      </c>
      <c r="P17" s="19"/>
      <c r="R17" s="20"/>
      <c r="S17" s="10" t="str" cm="1">
        <f t="array" ref="S17:W19">KeepColsλ(Report,-1,ReportMonth)</f>
        <v>Jan</v>
      </c>
      <c r="T17" s="10" t="str">
        <v>Feb</v>
      </c>
      <c r="U17" s="10" t="str">
        <v>Mar</v>
      </c>
      <c r="V17" s="10" t="str">
        <v>Apr</v>
      </c>
      <c r="W17" s="10" t="str">
        <v>May</v>
      </c>
      <c r="AH17" s="19"/>
    </row>
    <row r="18" spans="2:34" x14ac:dyDescent="0.45">
      <c r="B18" s="20"/>
      <c r="C18" s="10" t="str">
        <v>AK</v>
      </c>
      <c r="D18" s="10" t="str">
        <v>DB</v>
      </c>
      <c r="E18" s="10" t="str">
        <v>AK</v>
      </c>
      <c r="F18" s="10" t="str">
        <v>WS</v>
      </c>
      <c r="G18" s="10" t="str">
        <v>HD</v>
      </c>
      <c r="H18" s="10" t="str">
        <v>LZ</v>
      </c>
      <c r="P18" s="19"/>
      <c r="R18" s="20"/>
      <c r="S18" s="10" t="str">
        <v>Profit</v>
      </c>
      <c r="T18" s="10" t="str">
        <v>Profit</v>
      </c>
      <c r="U18" s="10" t="str">
        <v>Profit</v>
      </c>
      <c r="V18" s="10" t="str">
        <v>Profit</v>
      </c>
      <c r="W18" s="10" t="str">
        <v>Net</v>
      </c>
      <c r="AH18" s="19"/>
    </row>
    <row r="19" spans="2:34" x14ac:dyDescent="0.45">
      <c r="B19" s="20"/>
      <c r="P19" s="19"/>
      <c r="R19" s="20"/>
      <c r="S19" s="10">
        <v>4</v>
      </c>
      <c r="T19" s="10">
        <v>3</v>
      </c>
      <c r="U19" s="10">
        <v>5</v>
      </c>
      <c r="V19" s="10">
        <v>9</v>
      </c>
      <c r="W19" s="10">
        <v>11</v>
      </c>
      <c r="AH19" s="19"/>
    </row>
    <row r="20" spans="2:34" x14ac:dyDescent="0.45">
      <c r="B20" s="20"/>
      <c r="P20" s="19"/>
      <c r="R20" s="20"/>
      <c r="AH20" s="19"/>
    </row>
    <row r="21" spans="2:34" x14ac:dyDescent="0.45">
      <c r="B21" s="20"/>
      <c r="P21" s="19"/>
      <c r="R21" s="20"/>
      <c r="AH21" s="19"/>
    </row>
    <row r="22" spans="2:34" x14ac:dyDescent="0.45">
      <c r="B22" s="20"/>
      <c r="C22" s="26" t="s">
        <v>211</v>
      </c>
      <c r="D22" s="8"/>
      <c r="E22" s="8"/>
      <c r="F22" s="8"/>
      <c r="G22" s="8"/>
      <c r="H22" s="8"/>
      <c r="P22" s="19"/>
      <c r="R22" s="20"/>
      <c r="S22" s="26" t="s">
        <v>580</v>
      </c>
      <c r="AH22" s="19"/>
    </row>
    <row r="23" spans="2:34" x14ac:dyDescent="0.45">
      <c r="B23" s="20"/>
      <c r="C23" s="71" t="s">
        <v>212</v>
      </c>
      <c r="P23" s="19"/>
      <c r="R23" s="20"/>
      <c r="S23" s="71" t="s">
        <v>226</v>
      </c>
      <c r="AH23" s="19"/>
    </row>
    <row r="24" spans="2:34" x14ac:dyDescent="0.45">
      <c r="B24" s="20"/>
      <c r="C24" s="85" cm="1">
        <f t="array" ref="C24:H25">KeepColsλ(SupervisorSchedule,-1,Supervisor)</f>
        <v>46206</v>
      </c>
      <c r="D24" s="85">
        <v>46208</v>
      </c>
      <c r="E24" s="85">
        <v>46210</v>
      </c>
      <c r="F24" s="85">
        <v>46214</v>
      </c>
      <c r="G24" s="85">
        <v>46215</v>
      </c>
      <c r="H24" s="85">
        <v>46217</v>
      </c>
      <c r="P24" s="19"/>
      <c r="R24" s="20"/>
      <c r="S24" s="10" t="str" cm="1">
        <f t="array" ref="S24:AG26">KeepColsλ(Report,5,ReportMonth)</f>
        <v>Jan</v>
      </c>
      <c r="T24" s="10" t="str">
        <v>Jan</v>
      </c>
      <c r="U24" s="10" t="str">
        <v>Jan</v>
      </c>
      <c r="V24" s="10" t="str">
        <v>Feb</v>
      </c>
      <c r="W24" s="10" t="str">
        <v>Feb</v>
      </c>
      <c r="X24" s="10" t="str">
        <v>Feb</v>
      </c>
      <c r="Y24" s="10" t="str">
        <v>Mar</v>
      </c>
      <c r="Z24" s="10" t="str">
        <v>Mar</v>
      </c>
      <c r="AA24" s="10" t="str">
        <v>Mar</v>
      </c>
      <c r="AB24" s="10" t="str">
        <v>Apr</v>
      </c>
      <c r="AC24" s="10" t="str">
        <v>Apr</v>
      </c>
      <c r="AD24" s="10" t="str">
        <v>Apr</v>
      </c>
      <c r="AE24" s="10" t="str">
        <v>May</v>
      </c>
      <c r="AF24" s="10" t="str">
        <v>May</v>
      </c>
      <c r="AG24" s="10" t="str">
        <v>May</v>
      </c>
      <c r="AH24" s="19"/>
    </row>
    <row r="25" spans="2:34" x14ac:dyDescent="0.45">
      <c r="B25" s="20"/>
      <c r="C25" s="10" t="str">
        <v>AK</v>
      </c>
      <c r="D25" s="10" t="str">
        <v>DB</v>
      </c>
      <c r="E25" s="10" t="str">
        <v>AK</v>
      </c>
      <c r="F25" s="10" t="str">
        <v>WS</v>
      </c>
      <c r="G25" s="10" t="str">
        <v>HD</v>
      </c>
      <c r="H25" s="10" t="str">
        <v>LZ</v>
      </c>
      <c r="P25" s="19"/>
      <c r="R25" s="20"/>
      <c r="S25" s="10" t="str">
        <v>Sales</v>
      </c>
      <c r="T25" s="10" t="str">
        <v>Cost</v>
      </c>
      <c r="U25" s="10" t="str">
        <v>Profit</v>
      </c>
      <c r="V25" s="10" t="str">
        <v>Sales</v>
      </c>
      <c r="W25" s="10" t="str">
        <v>Cost</v>
      </c>
      <c r="X25" s="10" t="str">
        <v>Profit</v>
      </c>
      <c r="Y25" s="10" t="str">
        <v>Sales</v>
      </c>
      <c r="Z25" s="10" t="str">
        <v>Cost</v>
      </c>
      <c r="AA25" s="10" t="str">
        <v>Profit</v>
      </c>
      <c r="AB25" s="10" t="str">
        <v>Sales</v>
      </c>
      <c r="AC25" s="10" t="str">
        <v>Cost</v>
      </c>
      <c r="AD25" s="10" t="str">
        <v>Profit</v>
      </c>
      <c r="AE25" s="10" t="str">
        <v>Revenue</v>
      </c>
      <c r="AF25" s="10" t="str">
        <v>COGS</v>
      </c>
      <c r="AG25" s="10" t="str">
        <v>Net</v>
      </c>
      <c r="AH25" s="19"/>
    </row>
    <row r="26" spans="2:34" x14ac:dyDescent="0.45">
      <c r="B26" s="20"/>
      <c r="P26" s="19"/>
      <c r="R26" s="20"/>
      <c r="S26" s="10">
        <v>10</v>
      </c>
      <c r="T26" s="10">
        <v>6</v>
      </c>
      <c r="U26" s="10">
        <v>4</v>
      </c>
      <c r="V26" s="10">
        <v>8</v>
      </c>
      <c r="W26" s="10">
        <v>5</v>
      </c>
      <c r="X26" s="10">
        <v>3</v>
      </c>
      <c r="Y26" s="10">
        <v>12</v>
      </c>
      <c r="Z26" s="10">
        <v>7</v>
      </c>
      <c r="AA26" s="10">
        <v>5</v>
      </c>
      <c r="AB26" s="10">
        <v>21</v>
      </c>
      <c r="AC26" s="10">
        <v>12</v>
      </c>
      <c r="AD26" s="10">
        <v>9</v>
      </c>
      <c r="AE26" s="10">
        <v>25</v>
      </c>
      <c r="AF26" s="10">
        <v>14</v>
      </c>
      <c r="AG26" s="10">
        <v>11</v>
      </c>
      <c r="AH26" s="19"/>
    </row>
    <row r="27" spans="2:34" x14ac:dyDescent="0.45">
      <c r="B27" s="20"/>
      <c r="P27" s="19"/>
      <c r="R27" s="20"/>
      <c r="AH27" s="19"/>
    </row>
    <row r="28" spans="2:34" x14ac:dyDescent="0.45">
      <c r="B28" s="20"/>
      <c r="P28" s="19"/>
      <c r="R28" s="20"/>
      <c r="AH28" s="19"/>
    </row>
    <row r="29" spans="2:34" x14ac:dyDescent="0.45">
      <c r="B29" s="20"/>
      <c r="P29" s="19"/>
      <c r="R29" s="20"/>
      <c r="AH29" s="19"/>
    </row>
    <row r="30" spans="2:34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/>
      <c r="Q30" s="22"/>
      <c r="R30" s="21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3"/>
    </row>
    <row r="31" spans="2:34" x14ac:dyDescent="0.45"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0840A-B05A-4471-9CC7-B4CF7F297B31}">
  <sheetPr codeName="Sheet17">
    <tabColor rgb="FFF2D5A0"/>
  </sheetPr>
  <dimension ref="A1:AE38"/>
  <sheetViews>
    <sheetView workbookViewId="0"/>
  </sheetViews>
  <sheetFormatPr defaultRowHeight="16.5" x14ac:dyDescent="0.45"/>
  <cols>
    <col min="1" max="1" width="5" customWidth="1"/>
    <col min="2" max="4" width="2.83203125" customWidth="1"/>
    <col min="5" max="5" width="3.4140625" bestFit="1" customWidth="1"/>
    <col min="6" max="6" width="2.83203125" customWidth="1"/>
    <col min="7" max="7" width="3.4140625" bestFit="1" customWidth="1"/>
    <col min="8" max="8" width="2.83203125" customWidth="1"/>
    <col min="9" max="9" width="3.4140625" bestFit="1" customWidth="1"/>
    <col min="10" max="10" width="6.1640625" customWidth="1"/>
    <col min="11" max="13" width="2.83203125" customWidth="1"/>
    <col min="14" max="14" width="3.4140625" bestFit="1" customWidth="1"/>
    <col min="15" max="15" width="2.83203125" customWidth="1"/>
    <col min="16" max="16" width="3.4140625" bestFit="1" customWidth="1"/>
    <col min="17" max="18" width="3.33203125" bestFit="1" customWidth="1"/>
    <col min="20" max="20" width="2.83203125" customWidth="1"/>
    <col min="21" max="23" width="3.4140625" bestFit="1" customWidth="1"/>
    <col min="24" max="25" width="3.33203125" bestFit="1" customWidth="1"/>
  </cols>
  <sheetData>
    <row r="1" spans="1:31" x14ac:dyDescent="0.45">
      <c r="A1" s="7"/>
    </row>
    <row r="2" spans="1:31" x14ac:dyDescent="0.45">
      <c r="B2" s="15" t="s">
        <v>464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7"/>
    </row>
    <row r="3" spans="1:31" x14ac:dyDescent="0.45">
      <c r="B3" s="18" t="s">
        <v>465</v>
      </c>
      <c r="AE3" s="19"/>
    </row>
    <row r="4" spans="1:31" x14ac:dyDescent="0.45">
      <c r="B4" s="18" t="s">
        <v>466</v>
      </c>
      <c r="AE4" s="19"/>
    </row>
    <row r="5" spans="1:31" x14ac:dyDescent="0.45">
      <c r="B5" s="18" t="s">
        <v>467</v>
      </c>
      <c r="AE5" s="19"/>
    </row>
    <row r="6" spans="1:31" x14ac:dyDescent="0.45">
      <c r="B6" s="104" t="s">
        <v>260</v>
      </c>
      <c r="AE6" s="19"/>
    </row>
    <row r="7" spans="1:31" x14ac:dyDescent="0.45">
      <c r="B7" s="18" t="s">
        <v>469</v>
      </c>
      <c r="AE7" s="19"/>
    </row>
    <row r="8" spans="1:31" x14ac:dyDescent="0.45">
      <c r="B8" s="18" t="s">
        <v>468</v>
      </c>
      <c r="AE8" s="19"/>
    </row>
    <row r="9" spans="1:31" x14ac:dyDescent="0.45">
      <c r="B9" s="21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3"/>
    </row>
    <row r="10" spans="1:31" x14ac:dyDescent="0.45">
      <c r="B10" s="35"/>
      <c r="C10" s="16"/>
      <c r="D10" s="16"/>
      <c r="E10" s="16"/>
      <c r="F10" s="16"/>
      <c r="G10" s="16"/>
      <c r="H10" s="16"/>
      <c r="I10" s="16"/>
      <c r="J10" s="16"/>
      <c r="K10" s="24" t="s">
        <v>470</v>
      </c>
      <c r="L10" s="16"/>
      <c r="M10" s="16"/>
      <c r="N10" s="16"/>
      <c r="O10" s="16"/>
      <c r="P10" s="16"/>
      <c r="Q10" s="16"/>
      <c r="R10" s="16"/>
      <c r="S10" s="16"/>
      <c r="T10" s="24" t="s">
        <v>471</v>
      </c>
      <c r="U10" s="16"/>
      <c r="V10" s="16"/>
      <c r="W10" s="16"/>
      <c r="X10" s="16"/>
      <c r="Y10" s="16"/>
      <c r="Z10" s="16"/>
      <c r="AA10" s="24" t="s">
        <v>472</v>
      </c>
      <c r="AB10" s="16"/>
      <c r="AC10" s="16"/>
      <c r="AD10" s="16"/>
      <c r="AE10" s="17"/>
    </row>
    <row r="11" spans="1:31" x14ac:dyDescent="0.45">
      <c r="B11" s="137" t="s">
        <v>473</v>
      </c>
      <c r="K11" s="27" t="s">
        <v>474</v>
      </c>
      <c r="T11" s="27" t="s">
        <v>475</v>
      </c>
      <c r="AA11" s="27" t="s">
        <v>476</v>
      </c>
      <c r="AE11" s="19"/>
    </row>
    <row r="12" spans="1:31" x14ac:dyDescent="0.45">
      <c r="B12" s="76">
        <v>1</v>
      </c>
      <c r="C12" s="9">
        <v>2</v>
      </c>
      <c r="D12" s="9">
        <v>3</v>
      </c>
      <c r="E12" s="11">
        <v>4</v>
      </c>
      <c r="F12" s="11">
        <v>5</v>
      </c>
      <c r="G12" s="11">
        <v>6</v>
      </c>
      <c r="K12" s="9" cm="1">
        <f t="array" ref="K12:P17">BlockMapλ(MatrixA,2,3)</f>
        <v>1</v>
      </c>
      <c r="L12" s="9">
        <v>2</v>
      </c>
      <c r="M12" s="9">
        <v>3</v>
      </c>
      <c r="N12" s="9">
        <v>7</v>
      </c>
      <c r="O12" s="9">
        <v>8</v>
      </c>
      <c r="P12" s="9">
        <v>9</v>
      </c>
      <c r="Q12" s="28"/>
      <c r="R12" s="28"/>
      <c r="S12" s="28"/>
      <c r="T12" s="9" cm="1">
        <f t="array" ref="T12:Y17">BlockMapλ(MatrixA,2,3,TRUE)</f>
        <v>1</v>
      </c>
      <c r="U12" s="11">
        <v>4</v>
      </c>
      <c r="V12" s="114">
        <v>13</v>
      </c>
      <c r="W12" s="38">
        <v>16</v>
      </c>
      <c r="X12" s="134">
        <v>25</v>
      </c>
      <c r="Y12" s="58">
        <v>28</v>
      </c>
      <c r="Z12" s="28"/>
      <c r="AA12" s="28" t="str" cm="1">
        <f t="array" ref="AA12">BlockMapλ(MatrixA,2,4,TRUE)</f>
        <v>#BLOCK MISMATCH!</v>
      </c>
      <c r="AE12" s="19"/>
    </row>
    <row r="13" spans="1:31" x14ac:dyDescent="0.45">
      <c r="B13" s="9">
        <v>7</v>
      </c>
      <c r="C13" s="9">
        <v>8</v>
      </c>
      <c r="D13" s="9">
        <v>9</v>
      </c>
      <c r="E13" s="11">
        <v>10</v>
      </c>
      <c r="F13" s="11">
        <v>11</v>
      </c>
      <c r="G13" s="11">
        <v>12</v>
      </c>
      <c r="K13" s="11">
        <v>4</v>
      </c>
      <c r="L13" s="11">
        <v>5</v>
      </c>
      <c r="M13" s="11">
        <v>6</v>
      </c>
      <c r="N13" s="11">
        <v>10</v>
      </c>
      <c r="O13" s="11">
        <v>11</v>
      </c>
      <c r="P13" s="11">
        <v>12</v>
      </c>
      <c r="Q13" s="28"/>
      <c r="R13" s="28"/>
      <c r="S13" s="28"/>
      <c r="T13" s="9">
        <v>2</v>
      </c>
      <c r="U13" s="11">
        <v>5</v>
      </c>
      <c r="V13" s="114">
        <v>14</v>
      </c>
      <c r="W13" s="38">
        <v>17</v>
      </c>
      <c r="X13" s="134">
        <v>26</v>
      </c>
      <c r="Y13" s="58">
        <v>29</v>
      </c>
      <c r="AE13" s="19"/>
    </row>
    <row r="14" spans="1:31" x14ac:dyDescent="0.45">
      <c r="B14" s="114">
        <v>13</v>
      </c>
      <c r="C14" s="114">
        <v>14</v>
      </c>
      <c r="D14" s="114">
        <v>15</v>
      </c>
      <c r="E14" s="38">
        <v>16</v>
      </c>
      <c r="F14" s="38">
        <v>17</v>
      </c>
      <c r="G14" s="38">
        <v>18</v>
      </c>
      <c r="K14" s="114">
        <v>13</v>
      </c>
      <c r="L14" s="114">
        <v>14</v>
      </c>
      <c r="M14" s="114">
        <v>15</v>
      </c>
      <c r="N14" s="114">
        <v>19</v>
      </c>
      <c r="O14" s="114">
        <v>20</v>
      </c>
      <c r="P14" s="114">
        <v>21</v>
      </c>
      <c r="Q14" s="28"/>
      <c r="R14" s="28"/>
      <c r="S14" s="28"/>
      <c r="T14" s="9">
        <v>3</v>
      </c>
      <c r="U14" s="11">
        <v>6</v>
      </c>
      <c r="V14" s="114">
        <v>15</v>
      </c>
      <c r="W14" s="38">
        <v>18</v>
      </c>
      <c r="X14" s="134">
        <v>27</v>
      </c>
      <c r="Y14" s="58">
        <v>30</v>
      </c>
      <c r="AE14" s="19"/>
    </row>
    <row r="15" spans="1:31" x14ac:dyDescent="0.45">
      <c r="B15" s="114">
        <v>19</v>
      </c>
      <c r="C15" s="114">
        <v>20</v>
      </c>
      <c r="D15" s="114">
        <v>21</v>
      </c>
      <c r="E15" s="38">
        <v>22</v>
      </c>
      <c r="F15" s="38">
        <v>23</v>
      </c>
      <c r="G15" s="38">
        <v>24</v>
      </c>
      <c r="K15" s="38">
        <v>16</v>
      </c>
      <c r="L15" s="38">
        <v>17</v>
      </c>
      <c r="M15" s="38">
        <v>18</v>
      </c>
      <c r="N15" s="38">
        <v>22</v>
      </c>
      <c r="O15" s="38">
        <v>23</v>
      </c>
      <c r="P15" s="38">
        <v>24</v>
      </c>
      <c r="Q15" s="28"/>
      <c r="R15" s="28"/>
      <c r="S15" s="28"/>
      <c r="T15" s="9">
        <v>7</v>
      </c>
      <c r="U15" s="11">
        <v>10</v>
      </c>
      <c r="V15" s="114">
        <v>19</v>
      </c>
      <c r="W15" s="38">
        <v>22</v>
      </c>
      <c r="X15" s="134">
        <v>31</v>
      </c>
      <c r="Y15" s="58">
        <v>34</v>
      </c>
      <c r="AE15" s="19"/>
    </row>
    <row r="16" spans="1:31" x14ac:dyDescent="0.45">
      <c r="B16" s="134">
        <v>25</v>
      </c>
      <c r="C16" s="134">
        <v>26</v>
      </c>
      <c r="D16" s="134">
        <v>27</v>
      </c>
      <c r="E16" s="58">
        <v>28</v>
      </c>
      <c r="F16" s="58">
        <v>29</v>
      </c>
      <c r="G16" s="58">
        <v>30</v>
      </c>
      <c r="K16" s="134">
        <v>25</v>
      </c>
      <c r="L16" s="134">
        <v>26</v>
      </c>
      <c r="M16" s="134">
        <v>27</v>
      </c>
      <c r="N16" s="134">
        <v>31</v>
      </c>
      <c r="O16" s="134">
        <v>32</v>
      </c>
      <c r="P16" s="134">
        <v>33</v>
      </c>
      <c r="Q16" s="28"/>
      <c r="R16" s="28"/>
      <c r="S16" s="28"/>
      <c r="T16" s="9">
        <v>8</v>
      </c>
      <c r="U16" s="11">
        <v>11</v>
      </c>
      <c r="V16" s="114">
        <v>20</v>
      </c>
      <c r="W16" s="38">
        <v>23</v>
      </c>
      <c r="X16" s="134">
        <v>32</v>
      </c>
      <c r="Y16" s="58">
        <v>35</v>
      </c>
      <c r="AE16" s="19"/>
    </row>
    <row r="17" spans="2:31" x14ac:dyDescent="0.45">
      <c r="B17" s="134">
        <v>31</v>
      </c>
      <c r="C17" s="134">
        <v>32</v>
      </c>
      <c r="D17" s="134">
        <v>33</v>
      </c>
      <c r="E17" s="58">
        <v>34</v>
      </c>
      <c r="F17" s="58">
        <v>35</v>
      </c>
      <c r="G17" s="58">
        <v>36</v>
      </c>
      <c r="K17" s="58">
        <v>28</v>
      </c>
      <c r="L17" s="58">
        <v>29</v>
      </c>
      <c r="M17" s="58">
        <v>30</v>
      </c>
      <c r="N17" s="58">
        <v>34</v>
      </c>
      <c r="O17" s="58">
        <v>35</v>
      </c>
      <c r="P17" s="58">
        <v>36</v>
      </c>
      <c r="Q17" s="28"/>
      <c r="R17" s="28"/>
      <c r="S17" s="28"/>
      <c r="T17" s="9">
        <v>9</v>
      </c>
      <c r="U17" s="11">
        <v>12</v>
      </c>
      <c r="V17" s="114">
        <v>21</v>
      </c>
      <c r="W17" s="38">
        <v>24</v>
      </c>
      <c r="X17" s="134">
        <v>33</v>
      </c>
      <c r="Y17" s="58">
        <v>36</v>
      </c>
      <c r="AE17" s="19"/>
    </row>
    <row r="18" spans="2:31" ht="10.5" customHeight="1" x14ac:dyDescent="0.45">
      <c r="B18" s="21"/>
      <c r="C18" s="22"/>
      <c r="D18" s="22"/>
      <c r="E18" s="22"/>
      <c r="F18" s="22"/>
      <c r="G18" s="22"/>
      <c r="H18" s="22"/>
      <c r="I18" s="22"/>
      <c r="J18" s="22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22"/>
      <c r="AA18" s="22"/>
      <c r="AB18" s="22"/>
      <c r="AC18" s="22"/>
      <c r="AD18" s="22"/>
      <c r="AE18" s="23"/>
    </row>
    <row r="19" spans="2:31" x14ac:dyDescent="0.45">
      <c r="B19" s="35"/>
      <c r="C19" s="16"/>
      <c r="D19" s="16"/>
      <c r="E19" s="16"/>
      <c r="F19" s="16"/>
      <c r="G19" s="16"/>
      <c r="H19" s="16"/>
      <c r="I19" s="16"/>
      <c r="J19" s="16"/>
      <c r="K19" s="16"/>
      <c r="L19" s="117"/>
      <c r="M19" s="117"/>
      <c r="N19" s="117"/>
      <c r="O19" s="24" t="s">
        <v>582</v>
      </c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6"/>
      <c r="AA19" s="16"/>
      <c r="AB19" s="16"/>
      <c r="AC19" s="16"/>
      <c r="AD19" s="16"/>
      <c r="AE19" s="17"/>
    </row>
    <row r="20" spans="2:31" x14ac:dyDescent="0.45">
      <c r="B20" s="20"/>
      <c r="K20" s="27" t="s">
        <v>477</v>
      </c>
      <c r="L20" s="28"/>
      <c r="M20" s="28"/>
      <c r="N20" s="28"/>
      <c r="O20" s="28"/>
      <c r="P20" s="28"/>
      <c r="Q20" s="28"/>
      <c r="R20" s="28"/>
      <c r="S20" s="28"/>
      <c r="T20" s="27" t="s">
        <v>478</v>
      </c>
      <c r="U20" s="28"/>
      <c r="V20" s="28"/>
      <c r="W20" s="28"/>
      <c r="X20" s="28"/>
      <c r="Y20" s="28"/>
      <c r="AE20" s="19"/>
    </row>
    <row r="21" spans="2:31" x14ac:dyDescent="0.45">
      <c r="B21" s="20"/>
      <c r="K21" s="9" cm="1">
        <f t="array" ref="K21:P26">BlockMapλ(MatrixA,2,3,,TRUE)</f>
        <v>1</v>
      </c>
      <c r="L21" s="9">
        <v>2</v>
      </c>
      <c r="M21" s="9">
        <v>3</v>
      </c>
      <c r="N21" s="9">
        <v>7</v>
      </c>
      <c r="O21" s="9">
        <v>8</v>
      </c>
      <c r="P21" s="9">
        <v>9</v>
      </c>
      <c r="Q21" s="28"/>
      <c r="R21" s="28"/>
      <c r="S21" s="28"/>
      <c r="T21" s="9" cm="1">
        <f t="array" ref="T21:Y26">BlockMapλ(MatrixA,2,3,TRUE,TRUE)</f>
        <v>1</v>
      </c>
      <c r="U21" s="114">
        <v>13</v>
      </c>
      <c r="V21" s="134">
        <v>25</v>
      </c>
      <c r="W21" s="11">
        <v>4</v>
      </c>
      <c r="X21" s="38">
        <v>16</v>
      </c>
      <c r="Y21" s="58">
        <v>28</v>
      </c>
      <c r="AE21" s="19"/>
    </row>
    <row r="22" spans="2:31" x14ac:dyDescent="0.45">
      <c r="B22" s="20"/>
      <c r="K22" s="114">
        <v>13</v>
      </c>
      <c r="L22" s="114">
        <v>14</v>
      </c>
      <c r="M22" s="114">
        <v>15</v>
      </c>
      <c r="N22" s="114">
        <v>19</v>
      </c>
      <c r="O22" s="114">
        <v>20</v>
      </c>
      <c r="P22" s="114">
        <v>21</v>
      </c>
      <c r="Q22" s="28"/>
      <c r="R22" s="28"/>
      <c r="S22" s="28"/>
      <c r="T22" s="9">
        <v>2</v>
      </c>
      <c r="U22" s="114">
        <v>14</v>
      </c>
      <c r="V22" s="134">
        <v>26</v>
      </c>
      <c r="W22" s="11">
        <v>5</v>
      </c>
      <c r="X22" s="38">
        <v>17</v>
      </c>
      <c r="Y22" s="58">
        <v>29</v>
      </c>
      <c r="AE22" s="19"/>
    </row>
    <row r="23" spans="2:31" x14ac:dyDescent="0.45">
      <c r="B23" s="20"/>
      <c r="K23" s="134">
        <v>25</v>
      </c>
      <c r="L23" s="134">
        <v>26</v>
      </c>
      <c r="M23" s="134">
        <v>27</v>
      </c>
      <c r="N23" s="134">
        <v>31</v>
      </c>
      <c r="O23" s="134">
        <v>32</v>
      </c>
      <c r="P23" s="134">
        <v>33</v>
      </c>
      <c r="Q23" s="28"/>
      <c r="R23" s="28"/>
      <c r="S23" s="28"/>
      <c r="T23" s="9">
        <v>3</v>
      </c>
      <c r="U23" s="114">
        <v>15</v>
      </c>
      <c r="V23" s="134">
        <v>27</v>
      </c>
      <c r="W23" s="11">
        <v>6</v>
      </c>
      <c r="X23" s="38">
        <v>18</v>
      </c>
      <c r="Y23" s="58">
        <v>30</v>
      </c>
      <c r="AE23" s="19"/>
    </row>
    <row r="24" spans="2:31" x14ac:dyDescent="0.45">
      <c r="B24" s="20"/>
      <c r="K24" s="11">
        <v>4</v>
      </c>
      <c r="L24" s="11">
        <v>5</v>
      </c>
      <c r="M24" s="11">
        <v>6</v>
      </c>
      <c r="N24" s="11">
        <v>10</v>
      </c>
      <c r="O24" s="11">
        <v>11</v>
      </c>
      <c r="P24" s="11">
        <v>12</v>
      </c>
      <c r="Q24" s="28"/>
      <c r="R24" s="28"/>
      <c r="S24" s="28"/>
      <c r="T24" s="9">
        <v>7</v>
      </c>
      <c r="U24" s="114">
        <v>19</v>
      </c>
      <c r="V24" s="134">
        <v>31</v>
      </c>
      <c r="W24" s="11">
        <v>10</v>
      </c>
      <c r="X24" s="38">
        <v>22</v>
      </c>
      <c r="Y24" s="58">
        <v>34</v>
      </c>
      <c r="AE24" s="19"/>
    </row>
    <row r="25" spans="2:31" x14ac:dyDescent="0.45">
      <c r="B25" s="20"/>
      <c r="K25" s="38">
        <v>16</v>
      </c>
      <c r="L25" s="38">
        <v>17</v>
      </c>
      <c r="M25" s="38">
        <v>18</v>
      </c>
      <c r="N25" s="38">
        <v>22</v>
      </c>
      <c r="O25" s="38">
        <v>23</v>
      </c>
      <c r="P25" s="38">
        <v>24</v>
      </c>
      <c r="Q25" s="28"/>
      <c r="R25" s="28"/>
      <c r="S25" s="28"/>
      <c r="T25" s="9">
        <v>8</v>
      </c>
      <c r="U25" s="114">
        <v>20</v>
      </c>
      <c r="V25" s="134">
        <v>32</v>
      </c>
      <c r="W25" s="11">
        <v>11</v>
      </c>
      <c r="X25" s="38">
        <v>23</v>
      </c>
      <c r="Y25" s="58">
        <v>35</v>
      </c>
      <c r="AE25" s="19"/>
    </row>
    <row r="26" spans="2:31" x14ac:dyDescent="0.45">
      <c r="B26" s="20"/>
      <c r="K26" s="58">
        <v>28</v>
      </c>
      <c r="L26" s="58">
        <v>29</v>
      </c>
      <c r="M26" s="58">
        <v>30</v>
      </c>
      <c r="N26" s="58">
        <v>34</v>
      </c>
      <c r="O26" s="58">
        <v>35</v>
      </c>
      <c r="P26" s="58">
        <v>36</v>
      </c>
      <c r="Q26" s="28"/>
      <c r="R26" s="28"/>
      <c r="S26" s="28"/>
      <c r="T26" s="9">
        <v>9</v>
      </c>
      <c r="U26" s="114">
        <v>21</v>
      </c>
      <c r="V26" s="134">
        <v>33</v>
      </c>
      <c r="W26" s="11">
        <v>12</v>
      </c>
      <c r="X26" s="38">
        <v>24</v>
      </c>
      <c r="Y26" s="58">
        <v>36</v>
      </c>
      <c r="AE26" s="19"/>
    </row>
    <row r="27" spans="2:31" x14ac:dyDescent="0.45">
      <c r="B27" s="21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3"/>
    </row>
    <row r="28" spans="2:31" x14ac:dyDescent="0.45">
      <c r="B28" s="20"/>
      <c r="K28" s="26" t="s">
        <v>470</v>
      </c>
      <c r="T28" s="26" t="s">
        <v>471</v>
      </c>
      <c r="AE28" s="19"/>
    </row>
    <row r="29" spans="2:31" x14ac:dyDescent="0.45">
      <c r="B29" s="137" t="s">
        <v>479</v>
      </c>
      <c r="K29" s="27" t="s">
        <v>480</v>
      </c>
      <c r="T29" s="27" t="s">
        <v>481</v>
      </c>
      <c r="AE29" s="19"/>
    </row>
    <row r="30" spans="2:31" x14ac:dyDescent="0.45">
      <c r="B30" s="76" cm="1">
        <f t="array" ref="B30:I33">_xlfn.SEQUENCE(4,8)</f>
        <v>1</v>
      </c>
      <c r="C30" s="76">
        <v>2</v>
      </c>
      <c r="D30" s="76">
        <v>3</v>
      </c>
      <c r="E30" s="76">
        <v>4</v>
      </c>
      <c r="F30" s="136">
        <v>5</v>
      </c>
      <c r="G30" s="136">
        <v>6</v>
      </c>
      <c r="H30" s="136">
        <v>7</v>
      </c>
      <c r="I30" s="136">
        <v>8</v>
      </c>
      <c r="J30" s="28"/>
      <c r="K30" s="76" cm="1">
        <f t="array" ref="K30:R33">BlockMapλ(MatrixB,2,4)</f>
        <v>1</v>
      </c>
      <c r="L30" s="76">
        <v>2</v>
      </c>
      <c r="M30" s="76">
        <v>3</v>
      </c>
      <c r="N30" s="76">
        <v>4</v>
      </c>
      <c r="O30" s="76">
        <v>9</v>
      </c>
      <c r="P30" s="76">
        <v>10</v>
      </c>
      <c r="Q30" s="76">
        <v>11</v>
      </c>
      <c r="R30" s="76">
        <v>12</v>
      </c>
      <c r="S30" s="28"/>
      <c r="T30" s="76" cm="1">
        <f t="array" ref="T30:W37">BlockMapλ(MatrixB,2,4,TRUE)</f>
        <v>1</v>
      </c>
      <c r="U30" s="136">
        <v>5</v>
      </c>
      <c r="V30" s="129">
        <v>17</v>
      </c>
      <c r="W30" s="135">
        <v>21</v>
      </c>
      <c r="AE30" s="19"/>
    </row>
    <row r="31" spans="2:31" x14ac:dyDescent="0.45">
      <c r="B31" s="76">
        <v>9</v>
      </c>
      <c r="C31" s="76">
        <v>10</v>
      </c>
      <c r="D31" s="76">
        <v>11</v>
      </c>
      <c r="E31" s="76">
        <v>12</v>
      </c>
      <c r="F31" s="136">
        <v>13</v>
      </c>
      <c r="G31" s="136">
        <v>14</v>
      </c>
      <c r="H31" s="136">
        <v>15</v>
      </c>
      <c r="I31" s="136">
        <v>16</v>
      </c>
      <c r="J31" s="28"/>
      <c r="K31" s="136">
        <v>5</v>
      </c>
      <c r="L31" s="136">
        <v>6</v>
      </c>
      <c r="M31" s="136">
        <v>7</v>
      </c>
      <c r="N31" s="136">
        <v>8</v>
      </c>
      <c r="O31" s="136">
        <v>13</v>
      </c>
      <c r="P31" s="136">
        <v>14</v>
      </c>
      <c r="Q31" s="136">
        <v>15</v>
      </c>
      <c r="R31" s="136">
        <v>16</v>
      </c>
      <c r="S31" s="28"/>
      <c r="T31" s="76">
        <v>2</v>
      </c>
      <c r="U31" s="136">
        <v>6</v>
      </c>
      <c r="V31" s="129">
        <v>18</v>
      </c>
      <c r="W31" s="135">
        <v>22</v>
      </c>
      <c r="AE31" s="19"/>
    </row>
    <row r="32" spans="2:31" x14ac:dyDescent="0.45">
      <c r="B32" s="129">
        <v>17</v>
      </c>
      <c r="C32" s="129">
        <v>18</v>
      </c>
      <c r="D32" s="129">
        <v>19</v>
      </c>
      <c r="E32" s="129">
        <v>20</v>
      </c>
      <c r="F32" s="135">
        <v>21</v>
      </c>
      <c r="G32" s="135">
        <v>22</v>
      </c>
      <c r="H32" s="135">
        <v>23</v>
      </c>
      <c r="I32" s="135">
        <v>24</v>
      </c>
      <c r="J32" s="28"/>
      <c r="K32" s="129">
        <v>17</v>
      </c>
      <c r="L32" s="129">
        <v>18</v>
      </c>
      <c r="M32" s="129">
        <v>19</v>
      </c>
      <c r="N32" s="129">
        <v>20</v>
      </c>
      <c r="O32" s="129">
        <v>25</v>
      </c>
      <c r="P32" s="129">
        <v>26</v>
      </c>
      <c r="Q32" s="129">
        <v>27</v>
      </c>
      <c r="R32" s="129">
        <v>28</v>
      </c>
      <c r="S32" s="28"/>
      <c r="T32" s="76">
        <v>3</v>
      </c>
      <c r="U32" s="136">
        <v>7</v>
      </c>
      <c r="V32" s="129">
        <v>19</v>
      </c>
      <c r="W32" s="135">
        <v>23</v>
      </c>
      <c r="AE32" s="19"/>
    </row>
    <row r="33" spans="2:31" x14ac:dyDescent="0.45">
      <c r="B33" s="129">
        <v>25</v>
      </c>
      <c r="C33" s="129">
        <v>26</v>
      </c>
      <c r="D33" s="129">
        <v>27</v>
      </c>
      <c r="E33" s="129">
        <v>28</v>
      </c>
      <c r="F33" s="135">
        <v>29</v>
      </c>
      <c r="G33" s="135">
        <v>30</v>
      </c>
      <c r="H33" s="135">
        <v>31</v>
      </c>
      <c r="I33" s="135">
        <v>32</v>
      </c>
      <c r="J33" s="28"/>
      <c r="K33" s="135">
        <v>21</v>
      </c>
      <c r="L33" s="135">
        <v>22</v>
      </c>
      <c r="M33" s="135">
        <v>23</v>
      </c>
      <c r="N33" s="135">
        <v>24</v>
      </c>
      <c r="O33" s="135">
        <v>29</v>
      </c>
      <c r="P33" s="135">
        <v>30</v>
      </c>
      <c r="Q33" s="135">
        <v>31</v>
      </c>
      <c r="R33" s="135">
        <v>32</v>
      </c>
      <c r="S33" s="28"/>
      <c r="T33" s="76">
        <v>4</v>
      </c>
      <c r="U33" s="136">
        <v>8</v>
      </c>
      <c r="V33" s="129">
        <v>20</v>
      </c>
      <c r="W33" s="135">
        <v>24</v>
      </c>
      <c r="AE33" s="19"/>
    </row>
    <row r="34" spans="2:31" x14ac:dyDescent="0.45">
      <c r="B34" s="126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76">
        <v>9</v>
      </c>
      <c r="U34" s="136">
        <v>13</v>
      </c>
      <c r="V34" s="129">
        <v>25</v>
      </c>
      <c r="W34" s="135">
        <v>29</v>
      </c>
      <c r="AE34" s="19"/>
    </row>
    <row r="35" spans="2:31" x14ac:dyDescent="0.45">
      <c r="B35" s="126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76">
        <v>10</v>
      </c>
      <c r="U35" s="136">
        <v>14</v>
      </c>
      <c r="V35" s="129">
        <v>26</v>
      </c>
      <c r="W35" s="135">
        <v>30</v>
      </c>
      <c r="AE35" s="19"/>
    </row>
    <row r="36" spans="2:31" x14ac:dyDescent="0.45">
      <c r="B36" s="126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76">
        <v>11</v>
      </c>
      <c r="U36" s="136">
        <v>15</v>
      </c>
      <c r="V36" s="129">
        <v>27</v>
      </c>
      <c r="W36" s="135">
        <v>31</v>
      </c>
      <c r="AE36" s="19"/>
    </row>
    <row r="37" spans="2:31" x14ac:dyDescent="0.45">
      <c r="B37" s="126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76">
        <v>12</v>
      </c>
      <c r="U37" s="136">
        <v>16</v>
      </c>
      <c r="V37" s="129">
        <v>28</v>
      </c>
      <c r="W37" s="135">
        <v>32</v>
      </c>
      <c r="AE37" s="19"/>
    </row>
    <row r="38" spans="2:31" ht="9" customHeight="1" x14ac:dyDescent="0.45"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3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3C74-1CA9-4B72-B9CB-93AB3B89DBA2}">
  <sheetPr codeName="Sheet18">
    <tabColor rgb="FFF2D5A0"/>
  </sheetPr>
  <dimension ref="A1:Q38"/>
  <sheetViews>
    <sheetView workbookViewId="0"/>
  </sheetViews>
  <sheetFormatPr defaultRowHeight="16.5" x14ac:dyDescent="0.45"/>
  <cols>
    <col min="1" max="1" width="5" customWidth="1"/>
    <col min="5" max="5" width="6.4140625" customWidth="1"/>
    <col min="17" max="17" width="2.75" customWidth="1"/>
  </cols>
  <sheetData>
    <row r="1" spans="1:17" x14ac:dyDescent="0.45">
      <c r="A1" s="7"/>
    </row>
    <row r="2" spans="1:17" x14ac:dyDescent="0.45">
      <c r="B2" s="15" t="s">
        <v>482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7"/>
    </row>
    <row r="3" spans="1:17" x14ac:dyDescent="0.45">
      <c r="B3" s="18" t="s">
        <v>483</v>
      </c>
      <c r="Q3" s="19"/>
    </row>
    <row r="4" spans="1:17" x14ac:dyDescent="0.45">
      <c r="B4" s="18" t="s">
        <v>484</v>
      </c>
      <c r="Q4" s="19"/>
    </row>
    <row r="5" spans="1:17" x14ac:dyDescent="0.45">
      <c r="B5" s="104" t="s">
        <v>260</v>
      </c>
      <c r="Q5" s="19"/>
    </row>
    <row r="6" spans="1:17" x14ac:dyDescent="0.45">
      <c r="B6" s="18" t="s">
        <v>485</v>
      </c>
      <c r="Q6" s="19"/>
    </row>
    <row r="7" spans="1:17" x14ac:dyDescent="0.45">
      <c r="B7" s="20"/>
      <c r="Q7" s="19"/>
    </row>
    <row r="8" spans="1:17" x14ac:dyDescent="0.45">
      <c r="B8" s="35"/>
      <c r="C8" s="16"/>
      <c r="D8" s="16"/>
      <c r="E8" s="16"/>
      <c r="F8" s="16"/>
      <c r="G8" s="16"/>
      <c r="H8" s="16"/>
      <c r="I8" s="24" t="s">
        <v>498</v>
      </c>
      <c r="J8" s="16"/>
      <c r="K8" s="16"/>
      <c r="L8" s="16"/>
      <c r="M8" s="16"/>
      <c r="N8" s="16"/>
      <c r="O8" s="16"/>
      <c r="P8" s="16"/>
      <c r="Q8" s="17"/>
    </row>
    <row r="9" spans="1:17" x14ac:dyDescent="0.45">
      <c r="B9" s="96" t="s">
        <v>487</v>
      </c>
      <c r="F9" s="31" t="s">
        <v>486</v>
      </c>
      <c r="I9" s="31" t="s">
        <v>494</v>
      </c>
      <c r="L9" s="31" t="s">
        <v>495</v>
      </c>
      <c r="Q9" s="19"/>
    </row>
    <row r="10" spans="1:17" x14ac:dyDescent="0.45">
      <c r="B10" s="10">
        <v>8</v>
      </c>
      <c r="C10" s="10">
        <v>5</v>
      </c>
      <c r="D10" s="10">
        <v>4</v>
      </c>
      <c r="F10" s="10">
        <v>1</v>
      </c>
      <c r="G10" s="10">
        <v>2</v>
      </c>
      <c r="I10" s="138">
        <v>8</v>
      </c>
      <c r="J10" s="138">
        <v>5</v>
      </c>
      <c r="L10" s="83">
        <v>5</v>
      </c>
      <c r="M10" s="83">
        <v>4</v>
      </c>
      <c r="Q10" s="19"/>
    </row>
    <row r="11" spans="1:17" x14ac:dyDescent="0.45">
      <c r="B11" s="10">
        <v>7</v>
      </c>
      <c r="C11" s="10">
        <v>2</v>
      </c>
      <c r="D11" s="10">
        <v>5</v>
      </c>
      <c r="F11" s="10">
        <v>3</v>
      </c>
      <c r="G11" s="10">
        <v>4</v>
      </c>
      <c r="I11" s="138">
        <v>7</v>
      </c>
      <c r="J11" s="138">
        <v>2</v>
      </c>
      <c r="L11" s="83">
        <v>2</v>
      </c>
      <c r="M11" s="83">
        <v>5</v>
      </c>
      <c r="Q11" s="19"/>
    </row>
    <row r="12" spans="1:17" x14ac:dyDescent="0.45">
      <c r="B12" s="10">
        <v>6</v>
      </c>
      <c r="C12" s="10">
        <v>9</v>
      </c>
      <c r="D12" s="10">
        <v>3</v>
      </c>
      <c r="Q12" s="19"/>
    </row>
    <row r="13" spans="1:17" x14ac:dyDescent="0.45">
      <c r="B13" s="126"/>
      <c r="C13" s="28"/>
      <c r="I13" s="31" t="s">
        <v>496</v>
      </c>
      <c r="L13" s="31" t="s">
        <v>497</v>
      </c>
      <c r="Q13" s="19"/>
    </row>
    <row r="14" spans="1:17" x14ac:dyDescent="0.45">
      <c r="B14" s="126"/>
      <c r="C14" s="28"/>
      <c r="I14" s="84">
        <v>7</v>
      </c>
      <c r="J14" s="84">
        <v>2</v>
      </c>
      <c r="L14" s="45">
        <v>2</v>
      </c>
      <c r="M14" s="45">
        <v>5</v>
      </c>
      <c r="Q14" s="19"/>
    </row>
    <row r="15" spans="1:17" x14ac:dyDescent="0.45">
      <c r="B15" s="126"/>
      <c r="C15" s="28"/>
      <c r="I15" s="84">
        <v>6</v>
      </c>
      <c r="J15" s="84">
        <v>9</v>
      </c>
      <c r="L15" s="45">
        <v>9</v>
      </c>
      <c r="M15" s="45">
        <v>3</v>
      </c>
      <c r="Q15" s="19"/>
    </row>
    <row r="16" spans="1:17" x14ac:dyDescent="0.45">
      <c r="B16" s="126"/>
      <c r="C16" s="28"/>
      <c r="Q16" s="19"/>
    </row>
    <row r="17" spans="2:17" x14ac:dyDescent="0.45">
      <c r="B17" s="33" t="s">
        <v>493</v>
      </c>
      <c r="C17" s="28"/>
      <c r="F17" s="26" t="s">
        <v>492</v>
      </c>
      <c r="J17" s="26" t="s">
        <v>491</v>
      </c>
      <c r="Q17" s="19"/>
    </row>
    <row r="18" spans="2:17" x14ac:dyDescent="0.45">
      <c r="B18" s="34" t="s">
        <v>488</v>
      </c>
      <c r="F18" s="27" t="s">
        <v>489</v>
      </c>
      <c r="J18" s="27" t="s">
        <v>490</v>
      </c>
      <c r="Q18" s="19"/>
    </row>
    <row r="19" spans="2:17" x14ac:dyDescent="0.45">
      <c r="B19" s="10" cm="1">
        <f t="array" ref="B19:C20">Convolveλ(ConvolutionMatrix,Kernel)</f>
        <v>47</v>
      </c>
      <c r="C19" s="10">
        <v>39</v>
      </c>
      <c r="D19" s="28"/>
      <c r="E19" s="28"/>
      <c r="F19" s="138" cm="1">
        <f t="array" ref="F19:G20">Convolveλ(ConvolutionMatrix,Kernel,_xleta.MAX)</f>
        <v>8</v>
      </c>
      <c r="G19" s="83">
        <v>5</v>
      </c>
      <c r="H19" s="28"/>
      <c r="I19" s="28"/>
      <c r="J19" s="138" cm="1">
        <f t="array" ref="J19:K20">Convolveλ(ConvolutionMatrix,Kernel,_xleta.SUM)</f>
        <v>22</v>
      </c>
      <c r="K19" s="83">
        <v>16</v>
      </c>
      <c r="Q19" s="19"/>
    </row>
    <row r="20" spans="2:17" x14ac:dyDescent="0.45">
      <c r="B20" s="10">
        <v>65</v>
      </c>
      <c r="C20" s="10">
        <v>51</v>
      </c>
      <c r="D20" s="28"/>
      <c r="E20" s="28"/>
      <c r="F20" s="84">
        <v>9</v>
      </c>
      <c r="G20" s="45">
        <v>9</v>
      </c>
      <c r="H20" s="28"/>
      <c r="I20" s="28"/>
      <c r="J20" s="84">
        <v>24</v>
      </c>
      <c r="K20" s="45">
        <v>19</v>
      </c>
      <c r="Q20" s="19"/>
    </row>
    <row r="21" spans="2:17" ht="17" thickBot="1" x14ac:dyDescent="0.5">
      <c r="B21" s="20"/>
      <c r="Q21" s="19"/>
    </row>
    <row r="22" spans="2:17" ht="17" thickTop="1" x14ac:dyDescent="0.45">
      <c r="B22" s="141"/>
      <c r="C22" s="142"/>
      <c r="D22" s="142"/>
      <c r="E22" s="142"/>
      <c r="F22" s="142"/>
      <c r="G22" s="142"/>
      <c r="H22" s="142"/>
      <c r="I22" s="142"/>
      <c r="J22" s="142"/>
      <c r="K22" s="143" t="s">
        <v>509</v>
      </c>
      <c r="L22" s="142"/>
      <c r="M22" s="142"/>
      <c r="N22" s="142"/>
      <c r="O22" s="142"/>
      <c r="P22" s="142"/>
      <c r="Q22" s="144"/>
    </row>
    <row r="23" spans="2:17" x14ac:dyDescent="0.45">
      <c r="B23" s="113" t="s">
        <v>499</v>
      </c>
      <c r="H23" s="25" t="s">
        <v>500</v>
      </c>
      <c r="L23" s="25" t="s">
        <v>501</v>
      </c>
      <c r="Q23" s="19"/>
    </row>
    <row r="24" spans="2:17" x14ac:dyDescent="0.45">
      <c r="B24" s="10">
        <v>3</v>
      </c>
      <c r="C24" s="10">
        <v>3</v>
      </c>
      <c r="D24" s="10">
        <v>2</v>
      </c>
      <c r="E24" s="10">
        <v>1</v>
      </c>
      <c r="F24" s="10">
        <v>0</v>
      </c>
      <c r="H24" s="10">
        <v>6.25E-2</v>
      </c>
      <c r="I24" s="10">
        <v>0.125</v>
      </c>
      <c r="J24" s="10">
        <v>6.25E-2</v>
      </c>
      <c r="L24" s="10">
        <v>-1</v>
      </c>
      <c r="M24" s="10">
        <v>-1</v>
      </c>
      <c r="N24" s="10">
        <v>-1</v>
      </c>
      <c r="Q24" s="19"/>
    </row>
    <row r="25" spans="2:17" x14ac:dyDescent="0.45">
      <c r="B25" s="10">
        <v>0</v>
      </c>
      <c r="C25" s="10">
        <v>0</v>
      </c>
      <c r="D25" s="10">
        <v>1</v>
      </c>
      <c r="E25" s="10">
        <v>3</v>
      </c>
      <c r="F25" s="10">
        <v>1</v>
      </c>
      <c r="H25" s="10">
        <v>0.125</v>
      </c>
      <c r="I25" s="10">
        <v>0.25</v>
      </c>
      <c r="J25" s="10">
        <v>0.125</v>
      </c>
      <c r="L25" s="10">
        <v>-1</v>
      </c>
      <c r="M25" s="10">
        <v>8</v>
      </c>
      <c r="N25" s="10">
        <v>-1</v>
      </c>
      <c r="Q25" s="19"/>
    </row>
    <row r="26" spans="2:17" x14ac:dyDescent="0.45">
      <c r="B26" s="10">
        <v>3</v>
      </c>
      <c r="C26" s="10">
        <v>1</v>
      </c>
      <c r="D26" s="10">
        <v>2</v>
      </c>
      <c r="E26" s="10">
        <v>2</v>
      </c>
      <c r="F26" s="10">
        <v>3</v>
      </c>
      <c r="H26" s="10">
        <v>6.25E-2</v>
      </c>
      <c r="I26" s="10">
        <v>0.125</v>
      </c>
      <c r="J26" s="10">
        <v>6.25E-2</v>
      </c>
      <c r="L26" s="10">
        <v>-1</v>
      </c>
      <c r="M26" s="10">
        <v>-1</v>
      </c>
      <c r="N26" s="10">
        <v>-1</v>
      </c>
      <c r="Q26" s="19"/>
    </row>
    <row r="27" spans="2:17" x14ac:dyDescent="0.45">
      <c r="B27" s="10">
        <v>2</v>
      </c>
      <c r="C27" s="10">
        <v>0</v>
      </c>
      <c r="D27" s="10">
        <v>0</v>
      </c>
      <c r="E27" s="10">
        <v>2</v>
      </c>
      <c r="F27" s="10">
        <v>2</v>
      </c>
      <c r="Q27" s="19"/>
    </row>
    <row r="28" spans="2:17" x14ac:dyDescent="0.45">
      <c r="B28" s="10">
        <v>2</v>
      </c>
      <c r="C28" s="10">
        <v>0</v>
      </c>
      <c r="D28" s="10">
        <v>0</v>
      </c>
      <c r="E28" s="10">
        <v>0</v>
      </c>
      <c r="F28" s="10">
        <v>1</v>
      </c>
      <c r="H28" s="25" t="s">
        <v>502</v>
      </c>
      <c r="L28" s="25" t="s">
        <v>503</v>
      </c>
      <c r="Q28" s="19"/>
    </row>
    <row r="29" spans="2:17" x14ac:dyDescent="0.45">
      <c r="B29" s="20"/>
      <c r="H29" s="10">
        <v>-2</v>
      </c>
      <c r="I29" s="10">
        <v>-1</v>
      </c>
      <c r="J29" s="10">
        <v>0</v>
      </c>
      <c r="L29" s="10">
        <v>0</v>
      </c>
      <c r="M29" s="10">
        <v>-1</v>
      </c>
      <c r="N29" s="10">
        <v>0</v>
      </c>
      <c r="Q29" s="19"/>
    </row>
    <row r="30" spans="2:17" x14ac:dyDescent="0.45">
      <c r="B30" s="20"/>
      <c r="H30" s="10">
        <v>-1</v>
      </c>
      <c r="I30" s="10">
        <v>1</v>
      </c>
      <c r="J30" s="10">
        <v>1</v>
      </c>
      <c r="L30" s="10">
        <v>-1</v>
      </c>
      <c r="M30" s="10">
        <v>5</v>
      </c>
      <c r="N30" s="10">
        <v>-1</v>
      </c>
      <c r="Q30" s="19"/>
    </row>
    <row r="31" spans="2:17" x14ac:dyDescent="0.45">
      <c r="B31" s="20"/>
      <c r="H31" s="10">
        <v>0</v>
      </c>
      <c r="I31" s="10">
        <v>2</v>
      </c>
      <c r="J31" s="10">
        <v>1</v>
      </c>
      <c r="L31" s="10">
        <v>0</v>
      </c>
      <c r="M31" s="10">
        <v>-1</v>
      </c>
      <c r="N31" s="10">
        <v>0</v>
      </c>
      <c r="Q31" s="19"/>
    </row>
    <row r="32" spans="2:17" x14ac:dyDescent="0.45">
      <c r="B32" s="96" t="s">
        <v>508</v>
      </c>
      <c r="Q32" s="19"/>
    </row>
    <row r="33" spans="2:17" x14ac:dyDescent="0.45">
      <c r="B33" s="139" t="s">
        <v>500</v>
      </c>
      <c r="F33" s="140" t="s">
        <v>501</v>
      </c>
      <c r="J33" s="140" t="s">
        <v>502</v>
      </c>
      <c r="N33" s="140" t="s">
        <v>503</v>
      </c>
      <c r="Q33" s="19"/>
    </row>
    <row r="34" spans="2:17" x14ac:dyDescent="0.45">
      <c r="B34" s="34" t="s">
        <v>504</v>
      </c>
      <c r="F34" s="27" t="s">
        <v>505</v>
      </c>
      <c r="J34" s="27" t="s">
        <v>506</v>
      </c>
      <c r="N34" s="27" t="s">
        <v>507</v>
      </c>
      <c r="Q34" s="19"/>
    </row>
    <row r="35" spans="2:17" x14ac:dyDescent="0.45">
      <c r="B35" s="10" cm="1">
        <f t="array" ref="B35:D37">Convolveλ(ImageMatrix,Blur)</f>
        <v>1.25</v>
      </c>
      <c r="C35" s="10">
        <v>1.5625</v>
      </c>
      <c r="D35" s="10">
        <v>1.8125</v>
      </c>
      <c r="F35" s="10" cm="1">
        <f t="array" ref="F35:H37">Convolveλ(ImageMatrix,Outline)</f>
        <v>-15</v>
      </c>
      <c r="G35" s="10">
        <v>-6</v>
      </c>
      <c r="H35" s="10">
        <v>12</v>
      </c>
      <c r="J35" s="10" cm="1">
        <f t="array" ref="J35:L37">Convolveλ(ImageMatrix,Emboss)</f>
        <v>-4</v>
      </c>
      <c r="K35" s="10">
        <v>2</v>
      </c>
      <c r="L35" s="10">
        <v>5</v>
      </c>
      <c r="N35" s="10" cm="1">
        <f t="array" ref="N35:P37">Convolveλ(ImageMatrix,Sharpen)</f>
        <v>-5</v>
      </c>
      <c r="O35" s="10">
        <v>-2</v>
      </c>
      <c r="P35" s="10">
        <v>10</v>
      </c>
      <c r="Q35" s="19"/>
    </row>
    <row r="36" spans="2:17" x14ac:dyDescent="0.45">
      <c r="B36" s="10">
        <v>1.0625</v>
      </c>
      <c r="C36" s="10">
        <v>1.3125</v>
      </c>
      <c r="D36" s="10">
        <v>2</v>
      </c>
      <c r="F36" s="10">
        <v>0</v>
      </c>
      <c r="G36" s="10">
        <v>7</v>
      </c>
      <c r="H36" s="10">
        <v>2</v>
      </c>
      <c r="J36" s="10">
        <v>0</v>
      </c>
      <c r="K36" s="10">
        <v>4</v>
      </c>
      <c r="L36" s="10">
        <v>4</v>
      </c>
      <c r="N36" s="10">
        <v>0</v>
      </c>
      <c r="O36" s="10">
        <v>6</v>
      </c>
      <c r="P36" s="10">
        <v>0</v>
      </c>
      <c r="Q36" s="19"/>
    </row>
    <row r="37" spans="2:17" x14ac:dyDescent="0.45">
      <c r="B37" s="10">
        <v>0.8125</v>
      </c>
      <c r="C37" s="10">
        <v>0.6875</v>
      </c>
      <c r="D37" s="10">
        <v>1.375</v>
      </c>
      <c r="F37" s="10">
        <v>-10</v>
      </c>
      <c r="G37" s="10">
        <v>-7</v>
      </c>
      <c r="H37" s="10">
        <v>6</v>
      </c>
      <c r="J37" s="10">
        <v>-9</v>
      </c>
      <c r="K37" s="10">
        <v>-2</v>
      </c>
      <c r="L37" s="10">
        <v>-1</v>
      </c>
      <c r="N37" s="10">
        <v>-3</v>
      </c>
      <c r="O37" s="10">
        <v>-4</v>
      </c>
      <c r="P37" s="10">
        <v>6</v>
      </c>
      <c r="Q37" s="19"/>
    </row>
    <row r="38" spans="2:17" x14ac:dyDescent="0.45"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1279B-C4DC-438A-82A6-43BEA9F016F7}">
  <sheetPr codeName="Sheet19">
    <tabColor rgb="FFF2D5A0"/>
  </sheetPr>
  <dimension ref="A1:U29"/>
  <sheetViews>
    <sheetView workbookViewId="0"/>
  </sheetViews>
  <sheetFormatPr defaultRowHeight="16.5" x14ac:dyDescent="0.45"/>
  <cols>
    <col min="1" max="1" width="5" customWidth="1"/>
    <col min="2" max="2" width="8.6640625" customWidth="1"/>
    <col min="3" max="3" width="7" bestFit="1" customWidth="1"/>
    <col min="4" max="4" width="8.1640625" customWidth="1"/>
    <col min="6" max="6" width="6.1640625" customWidth="1"/>
    <col min="8" max="8" width="7.08203125" bestFit="1" customWidth="1"/>
    <col min="10" max="10" width="4.5" bestFit="1" customWidth="1"/>
    <col min="11" max="11" width="7.75" customWidth="1"/>
    <col min="15" max="15" width="7.08203125" bestFit="1" customWidth="1"/>
    <col min="16" max="16" width="9.6640625" customWidth="1"/>
    <col min="20" max="20" width="6.58203125" customWidth="1"/>
    <col min="21" max="21" width="4.9140625" customWidth="1"/>
  </cols>
  <sheetData>
    <row r="1" spans="1:21" x14ac:dyDescent="0.45">
      <c r="A1" s="7"/>
    </row>
    <row r="2" spans="1:21" x14ac:dyDescent="0.45">
      <c r="B2" s="15" t="s">
        <v>510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7"/>
    </row>
    <row r="3" spans="1:21" x14ac:dyDescent="0.45">
      <c r="B3" s="18" t="s">
        <v>511</v>
      </c>
      <c r="U3" s="19"/>
    </row>
    <row r="4" spans="1:21" x14ac:dyDescent="0.45">
      <c r="B4" s="104" t="s">
        <v>260</v>
      </c>
      <c r="U4" s="19"/>
    </row>
    <row r="5" spans="1:21" x14ac:dyDescent="0.45">
      <c r="B5" s="18" t="s">
        <v>512</v>
      </c>
      <c r="U5" s="19"/>
    </row>
    <row r="6" spans="1:21" x14ac:dyDescent="0.45">
      <c r="B6" s="98" t="s">
        <v>513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3"/>
    </row>
    <row r="7" spans="1:21" x14ac:dyDescent="0.45">
      <c r="B7" s="35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/>
    </row>
    <row r="8" spans="1:21" x14ac:dyDescent="0.45">
      <c r="B8" s="96" t="s">
        <v>528</v>
      </c>
      <c r="G8" s="26" t="s">
        <v>530</v>
      </c>
      <c r="U8" s="19"/>
    </row>
    <row r="9" spans="1:21" x14ac:dyDescent="0.45">
      <c r="B9" s="179" t="s">
        <v>525</v>
      </c>
      <c r="C9" s="179" t="s">
        <v>526</v>
      </c>
      <c r="D9" s="179" t="s">
        <v>527</v>
      </c>
      <c r="G9" s="27" t="s">
        <v>529</v>
      </c>
      <c r="U9" s="19"/>
    </row>
    <row r="10" spans="1:21" x14ac:dyDescent="0.45">
      <c r="B10" s="179" t="s">
        <v>526</v>
      </c>
      <c r="C10" s="179" t="s">
        <v>525</v>
      </c>
      <c r="D10" s="179" t="s">
        <v>527</v>
      </c>
      <c r="G10" s="10" t="str" cm="1">
        <f t="array" ref="G10:J10">Foldλ(HelloWorld)</f>
        <v>Example</v>
      </c>
      <c r="H10" s="10" t="str">
        <v>Hello</v>
      </c>
      <c r="I10" s="10" t="str">
        <v>World</v>
      </c>
      <c r="J10" s="10">
        <v>3</v>
      </c>
      <c r="U10" s="19"/>
    </row>
    <row r="11" spans="1:21" x14ac:dyDescent="0.45">
      <c r="B11" s="179" t="s">
        <v>527</v>
      </c>
      <c r="C11" s="179" t="s">
        <v>526</v>
      </c>
      <c r="D11" s="179" t="s">
        <v>525</v>
      </c>
      <c r="U11" s="19"/>
    </row>
    <row r="12" spans="1:21" x14ac:dyDescent="0.45">
      <c r="B12" s="21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3"/>
    </row>
    <row r="13" spans="1:21" x14ac:dyDescent="0.45">
      <c r="B13" s="3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7"/>
    </row>
    <row r="14" spans="1:21" x14ac:dyDescent="0.45">
      <c r="B14" s="96" t="s">
        <v>517</v>
      </c>
      <c r="E14" s="146" t="s">
        <v>519</v>
      </c>
      <c r="G14" s="26" t="s">
        <v>533</v>
      </c>
      <c r="L14" s="26" t="s">
        <v>535</v>
      </c>
      <c r="Q14" s="26" t="s">
        <v>538</v>
      </c>
      <c r="U14" s="19"/>
    </row>
    <row r="15" spans="1:21" x14ac:dyDescent="0.45">
      <c r="B15" s="180" t="s">
        <v>140</v>
      </c>
      <c r="C15" s="180" t="s">
        <v>141</v>
      </c>
      <c r="D15" s="180" t="s">
        <v>142</v>
      </c>
      <c r="E15" s="180">
        <v>47</v>
      </c>
      <c r="G15" s="145" t="s">
        <v>518</v>
      </c>
      <c r="L15" s="145" t="s">
        <v>531</v>
      </c>
      <c r="Q15" s="145" t="s">
        <v>537</v>
      </c>
      <c r="U15" s="19"/>
    </row>
    <row r="16" spans="1:21" x14ac:dyDescent="0.45">
      <c r="B16" s="180" t="s">
        <v>141</v>
      </c>
      <c r="C16" s="180" t="s">
        <v>142</v>
      </c>
      <c r="D16" s="180" t="s">
        <v>140</v>
      </c>
      <c r="E16" s="180">
        <v>62</v>
      </c>
      <c r="G16" s="9" t="str" cm="1">
        <f t="array" ref="G16:J20">Foldλ(Colors)</f>
        <v>Blue</v>
      </c>
      <c r="H16" s="9" t="str">
        <v>Green</v>
      </c>
      <c r="I16" s="9" t="str">
        <v>Red</v>
      </c>
      <c r="J16" s="9">
        <v>3</v>
      </c>
      <c r="L16" s="9" t="str" cm="1">
        <f t="array" ref="L16:O20">Foldλ(Colors,ColorTotals,_xleta.AVERAGE)</f>
        <v>Blue</v>
      </c>
      <c r="M16" s="9" t="str">
        <v>Green</v>
      </c>
      <c r="N16" s="9" t="str">
        <v>Red</v>
      </c>
      <c r="O16" s="9">
        <v>46</v>
      </c>
      <c r="Q16" s="9" t="str" cm="1">
        <f t="array" ref="Q16:T20">Foldλ(Colors,ColorTotals,_xleta.MAX)</f>
        <v>Blue</v>
      </c>
      <c r="R16" s="9" t="str">
        <v>Green</v>
      </c>
      <c r="S16" s="9" t="str">
        <v>Red</v>
      </c>
      <c r="T16" s="9">
        <v>75</v>
      </c>
      <c r="U16" s="19"/>
    </row>
    <row r="17" spans="2:21" x14ac:dyDescent="0.45">
      <c r="B17" s="180" t="s">
        <v>514</v>
      </c>
      <c r="C17" s="180" t="s">
        <v>515</v>
      </c>
      <c r="D17" s="180" t="s">
        <v>516</v>
      </c>
      <c r="E17" s="180">
        <v>58</v>
      </c>
      <c r="G17" s="9" t="str">
        <v>Blue</v>
      </c>
      <c r="H17" s="9" t="str">
        <v>Red</v>
      </c>
      <c r="I17" s="9" t="str">
        <v>White</v>
      </c>
      <c r="J17" s="9">
        <v>2</v>
      </c>
      <c r="L17" s="9" t="str">
        <v>Blue</v>
      </c>
      <c r="M17" s="9" t="str">
        <v>Red</v>
      </c>
      <c r="N17" s="9" t="str">
        <v>White</v>
      </c>
      <c r="O17" s="9">
        <v>30</v>
      </c>
      <c r="Q17" s="9" t="str">
        <v>Blue</v>
      </c>
      <c r="R17" s="9" t="str">
        <v>Red</v>
      </c>
      <c r="S17" s="9" t="str">
        <v>White</v>
      </c>
      <c r="T17" s="9">
        <v>47</v>
      </c>
      <c r="U17" s="19"/>
    </row>
    <row r="18" spans="2:21" x14ac:dyDescent="0.45">
      <c r="B18" s="180" t="s">
        <v>516</v>
      </c>
      <c r="C18" s="180" t="s">
        <v>515</v>
      </c>
      <c r="D18" s="180" t="s">
        <v>514</v>
      </c>
      <c r="E18" s="180">
        <v>5</v>
      </c>
      <c r="G18" s="9" t="str">
        <v>Bronze</v>
      </c>
      <c r="H18" s="9" t="str">
        <v>Gold</v>
      </c>
      <c r="I18" s="9" t="str">
        <v>Silver</v>
      </c>
      <c r="J18" s="9">
        <v>4</v>
      </c>
      <c r="L18" s="9" t="str">
        <v>Bronze</v>
      </c>
      <c r="M18" s="9" t="str">
        <v>Gold</v>
      </c>
      <c r="N18" s="9" t="str">
        <v>Silver</v>
      </c>
      <c r="O18" s="9">
        <v>55.5</v>
      </c>
      <c r="Q18" s="9" t="str">
        <v>Bronze</v>
      </c>
      <c r="R18" s="9" t="str">
        <v>Gold</v>
      </c>
      <c r="S18" s="9" t="str">
        <v>Silver</v>
      </c>
      <c r="T18" s="9">
        <v>100</v>
      </c>
      <c r="U18" s="19"/>
    </row>
    <row r="19" spans="2:21" x14ac:dyDescent="0.45">
      <c r="B19" s="180" t="s">
        <v>142</v>
      </c>
      <c r="C19" s="180" t="s">
        <v>140</v>
      </c>
      <c r="D19" s="180" t="s">
        <v>141</v>
      </c>
      <c r="E19" s="180">
        <v>100</v>
      </c>
      <c r="G19" s="9" t="str">
        <v>Green</v>
      </c>
      <c r="H19" s="9" t="str">
        <v>Orange</v>
      </c>
      <c r="I19" s="9" t="str">
        <v>Purple</v>
      </c>
      <c r="J19" s="9">
        <v>2</v>
      </c>
      <c r="L19" s="9" t="str">
        <v>Green</v>
      </c>
      <c r="M19" s="9" t="str">
        <v>Orange</v>
      </c>
      <c r="N19" s="9" t="str">
        <v>Purple</v>
      </c>
      <c r="O19" s="9">
        <v>77</v>
      </c>
      <c r="Q19" s="9" t="str">
        <v>Green</v>
      </c>
      <c r="R19" s="9" t="str">
        <v>Orange</v>
      </c>
      <c r="S19" s="9" t="str">
        <v>Purple</v>
      </c>
      <c r="T19" s="9">
        <v>91</v>
      </c>
      <c r="U19" s="19"/>
    </row>
    <row r="20" spans="2:21" x14ac:dyDescent="0.45">
      <c r="B20" s="180" t="s">
        <v>514</v>
      </c>
      <c r="C20" s="180" t="s">
        <v>521</v>
      </c>
      <c r="D20" s="180" t="s">
        <v>515</v>
      </c>
      <c r="E20" s="180">
        <v>47</v>
      </c>
      <c r="G20" s="9" t="str">
        <v>Yellow</v>
      </c>
      <c r="H20" s="9" t="str">
        <v>Yellow</v>
      </c>
      <c r="I20" s="9" t="str">
        <v>Yellow</v>
      </c>
      <c r="J20" s="9">
        <v>3</v>
      </c>
      <c r="L20" s="9" t="str">
        <v>Yellow</v>
      </c>
      <c r="M20" s="9" t="str">
        <v>Yellow</v>
      </c>
      <c r="N20" s="9" t="str">
        <v>Yellow</v>
      </c>
      <c r="O20" s="9">
        <v>13</v>
      </c>
      <c r="Q20" s="9" t="str">
        <v>Yellow</v>
      </c>
      <c r="R20" s="9" t="str">
        <v>Yellow</v>
      </c>
      <c r="S20" s="9" t="str">
        <v>Yellow</v>
      </c>
      <c r="T20" s="9">
        <v>22</v>
      </c>
      <c r="U20" s="19"/>
    </row>
    <row r="21" spans="2:21" x14ac:dyDescent="0.45">
      <c r="B21" s="180" t="s">
        <v>522</v>
      </c>
      <c r="C21" s="180" t="s">
        <v>522</v>
      </c>
      <c r="D21" s="180" t="s">
        <v>522</v>
      </c>
      <c r="E21" s="180">
        <v>22</v>
      </c>
      <c r="U21" s="19"/>
    </row>
    <row r="22" spans="2:21" x14ac:dyDescent="0.45">
      <c r="B22" s="180" t="s">
        <v>521</v>
      </c>
      <c r="C22" s="180" t="s">
        <v>515</v>
      </c>
      <c r="D22" s="180" t="s">
        <v>514</v>
      </c>
      <c r="E22" s="180">
        <v>13</v>
      </c>
      <c r="G22" s="26" t="s">
        <v>534</v>
      </c>
      <c r="N22" s="26" t="s">
        <v>536</v>
      </c>
      <c r="U22" s="19"/>
    </row>
    <row r="23" spans="2:21" x14ac:dyDescent="0.45">
      <c r="B23" s="180" t="s">
        <v>523</v>
      </c>
      <c r="C23" s="180" t="s">
        <v>524</v>
      </c>
      <c r="D23" s="180" t="s">
        <v>516</v>
      </c>
      <c r="E23" s="180">
        <v>91</v>
      </c>
      <c r="G23" s="145" t="s">
        <v>520</v>
      </c>
      <c r="N23" s="145" t="s">
        <v>532</v>
      </c>
      <c r="U23" s="19"/>
    </row>
    <row r="24" spans="2:21" x14ac:dyDescent="0.45">
      <c r="B24" s="180" t="s">
        <v>141</v>
      </c>
      <c r="C24" s="180" t="s">
        <v>142</v>
      </c>
      <c r="D24" s="180" t="s">
        <v>140</v>
      </c>
      <c r="E24" s="180">
        <v>13</v>
      </c>
      <c r="G24" s="9" t="str" cm="1">
        <f t="array" ref="G24:J28">Foldλ(Colors,ColorTotals,_xleta.SUM)</f>
        <v>Blue</v>
      </c>
      <c r="H24" s="9" t="str">
        <v>Green</v>
      </c>
      <c r="I24" s="9" t="str">
        <v>Red</v>
      </c>
      <c r="J24" s="9">
        <v>138</v>
      </c>
      <c r="N24" s="9" t="str" cm="1">
        <f t="array" ref="N24:Q28">Foldλ(Colors,ColorTotals,_xlfn.LAMBDA(_xlpm.v,MAX(_xlpm.v)-MIN(_xlpm.v)))</f>
        <v>Blue</v>
      </c>
      <c r="O24" s="9" t="str">
        <v>Green</v>
      </c>
      <c r="P24" s="9" t="str">
        <v>Red</v>
      </c>
      <c r="Q24" s="9">
        <v>70</v>
      </c>
      <c r="U24" s="19"/>
    </row>
    <row r="25" spans="2:21" x14ac:dyDescent="0.45">
      <c r="B25" s="180" t="s">
        <v>516</v>
      </c>
      <c r="C25" s="180" t="s">
        <v>523</v>
      </c>
      <c r="D25" s="180" t="s">
        <v>524</v>
      </c>
      <c r="E25" s="180">
        <v>63</v>
      </c>
      <c r="G25" s="9" t="str">
        <v>Blue</v>
      </c>
      <c r="H25" s="9" t="str">
        <v>Red</v>
      </c>
      <c r="I25" s="9" t="str">
        <v>White</v>
      </c>
      <c r="J25" s="9">
        <v>60</v>
      </c>
      <c r="N25" s="9" t="str">
        <v>Blue</v>
      </c>
      <c r="O25" s="9" t="str">
        <v>Red</v>
      </c>
      <c r="P25" s="9" t="str">
        <v>White</v>
      </c>
      <c r="Q25" s="9">
        <v>34</v>
      </c>
      <c r="U25" s="19"/>
    </row>
    <row r="26" spans="2:21" x14ac:dyDescent="0.45">
      <c r="B26" s="180" t="s">
        <v>522</v>
      </c>
      <c r="C26" s="180" t="s">
        <v>522</v>
      </c>
      <c r="D26" s="180" t="s">
        <v>522</v>
      </c>
      <c r="E26" s="180">
        <v>14</v>
      </c>
      <c r="G26" s="9" t="str">
        <v>Bronze</v>
      </c>
      <c r="H26" s="9" t="str">
        <v>Gold</v>
      </c>
      <c r="I26" s="9" t="str">
        <v>Silver</v>
      </c>
      <c r="J26" s="9">
        <v>222</v>
      </c>
      <c r="N26" s="9" t="str">
        <v>Bronze</v>
      </c>
      <c r="O26" s="9" t="str">
        <v>Gold</v>
      </c>
      <c r="P26" s="9" t="str">
        <v>Silver</v>
      </c>
      <c r="Q26" s="9">
        <v>87</v>
      </c>
      <c r="U26" s="19"/>
    </row>
    <row r="27" spans="2:21" x14ac:dyDescent="0.45">
      <c r="B27" s="180" t="s">
        <v>515</v>
      </c>
      <c r="C27" s="180" t="s">
        <v>516</v>
      </c>
      <c r="D27" s="180" t="s">
        <v>514</v>
      </c>
      <c r="E27" s="180">
        <v>75</v>
      </c>
      <c r="G27" s="9" t="str">
        <v>Green</v>
      </c>
      <c r="H27" s="9" t="str">
        <v>Orange</v>
      </c>
      <c r="I27" s="9" t="str">
        <v>Purple</v>
      </c>
      <c r="J27" s="9">
        <v>154</v>
      </c>
      <c r="N27" s="9" t="str">
        <v>Green</v>
      </c>
      <c r="O27" s="9" t="str">
        <v>Orange</v>
      </c>
      <c r="P27" s="9" t="str">
        <v>Purple</v>
      </c>
      <c r="Q27" s="9">
        <v>28</v>
      </c>
      <c r="U27" s="19"/>
    </row>
    <row r="28" spans="2:21" x14ac:dyDescent="0.45">
      <c r="B28" s="180" t="s">
        <v>522</v>
      </c>
      <c r="C28" s="180" t="s">
        <v>522</v>
      </c>
      <c r="D28" s="180" t="s">
        <v>522</v>
      </c>
      <c r="E28" s="180">
        <v>3</v>
      </c>
      <c r="G28" s="9" t="str">
        <v>Yellow</v>
      </c>
      <c r="H28" s="9" t="str">
        <v>Yellow</v>
      </c>
      <c r="I28" s="9" t="str">
        <v>Yellow</v>
      </c>
      <c r="J28" s="9">
        <v>39</v>
      </c>
      <c r="N28" s="9" t="str">
        <v>Yellow</v>
      </c>
      <c r="O28" s="9" t="str">
        <v>Yellow</v>
      </c>
      <c r="P28" s="9" t="str">
        <v>Yellow</v>
      </c>
      <c r="Q28" s="9">
        <v>19</v>
      </c>
      <c r="U28" s="19"/>
    </row>
    <row r="29" spans="2:21" x14ac:dyDescent="0.45"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B115-0F1B-4294-92B3-401544E51560}">
  <sheetPr codeName="Sheet20">
    <tabColor rgb="FFF2D5A0"/>
  </sheetPr>
  <dimension ref="A1:L42"/>
  <sheetViews>
    <sheetView workbookViewId="0"/>
  </sheetViews>
  <sheetFormatPr defaultRowHeight="16.5" x14ac:dyDescent="0.45"/>
  <cols>
    <col min="1" max="1" width="5" customWidth="1"/>
    <col min="2" max="2" width="14.08203125" customWidth="1"/>
    <col min="3" max="3" width="10.5" bestFit="1" customWidth="1"/>
    <col min="4" max="4" width="12.75" customWidth="1"/>
    <col min="5" max="5" width="9" customWidth="1"/>
    <col min="6" max="6" width="38.83203125" customWidth="1"/>
    <col min="7" max="7" width="16.33203125" bestFit="1" customWidth="1"/>
    <col min="8" max="8" width="10.6640625" customWidth="1"/>
    <col min="9" max="9" width="4.58203125" customWidth="1"/>
    <col min="10" max="10" width="8.83203125" customWidth="1"/>
    <col min="11" max="11" width="16.25" customWidth="1"/>
    <col min="12" max="12" width="16.33203125" bestFit="1" customWidth="1"/>
  </cols>
  <sheetData>
    <row r="1" spans="1:12" x14ac:dyDescent="0.45">
      <c r="A1" s="7"/>
    </row>
    <row r="2" spans="1:12" x14ac:dyDescent="0.45">
      <c r="B2" s="15" t="s">
        <v>539</v>
      </c>
      <c r="C2" s="16"/>
      <c r="D2" s="16"/>
      <c r="E2" s="16"/>
      <c r="F2" s="16"/>
      <c r="G2" s="16"/>
      <c r="H2" s="16"/>
      <c r="I2" s="17"/>
    </row>
    <row r="3" spans="1:12" x14ac:dyDescent="0.45">
      <c r="B3" s="104" t="s">
        <v>540</v>
      </c>
      <c r="I3" s="19"/>
    </row>
    <row r="4" spans="1:12" x14ac:dyDescent="0.45">
      <c r="B4" s="18" t="s">
        <v>541</v>
      </c>
      <c r="I4" s="19"/>
    </row>
    <row r="5" spans="1:12" x14ac:dyDescent="0.45">
      <c r="B5" s="18" t="s">
        <v>542</v>
      </c>
      <c r="I5" s="19"/>
    </row>
    <row r="6" spans="1:12" x14ac:dyDescent="0.45">
      <c r="B6" s="104" t="s">
        <v>260</v>
      </c>
      <c r="I6" s="19"/>
    </row>
    <row r="7" spans="1:12" x14ac:dyDescent="0.45">
      <c r="B7" s="18" t="s">
        <v>543</v>
      </c>
      <c r="I7" s="19"/>
    </row>
    <row r="8" spans="1:12" x14ac:dyDescent="0.45">
      <c r="B8" s="18" t="s">
        <v>544</v>
      </c>
      <c r="I8" s="19"/>
    </row>
    <row r="9" spans="1:12" x14ac:dyDescent="0.45">
      <c r="B9" s="18" t="s">
        <v>545</v>
      </c>
      <c r="I9" s="19"/>
    </row>
    <row r="10" spans="1:12" x14ac:dyDescent="0.45">
      <c r="B10" s="18" t="s">
        <v>546</v>
      </c>
      <c r="I10" s="19"/>
    </row>
    <row r="11" spans="1:12" ht="9" customHeight="1" x14ac:dyDescent="0.45">
      <c r="B11" s="21"/>
      <c r="C11" s="22"/>
      <c r="D11" s="22"/>
      <c r="E11" s="22"/>
      <c r="F11" s="22"/>
      <c r="G11" s="22"/>
      <c r="H11" s="22"/>
      <c r="I11" s="23"/>
    </row>
    <row r="12" spans="1:12" x14ac:dyDescent="0.45">
      <c r="B12" s="147" t="s">
        <v>547</v>
      </c>
      <c r="C12" s="16"/>
      <c r="D12" s="16"/>
      <c r="E12" s="16"/>
      <c r="F12" s="24" t="s">
        <v>556</v>
      </c>
      <c r="G12" s="16"/>
      <c r="H12" s="16"/>
      <c r="I12" s="17"/>
    </row>
    <row r="13" spans="1:12" x14ac:dyDescent="0.45">
      <c r="B13" s="179" t="s">
        <v>549</v>
      </c>
      <c r="C13" s="179" t="s">
        <v>550</v>
      </c>
      <c r="F13" s="27" t="s">
        <v>555</v>
      </c>
      <c r="I13" s="19"/>
    </row>
    <row r="14" spans="1:12" x14ac:dyDescent="0.45">
      <c r="B14" s="179" t="s">
        <v>551</v>
      </c>
      <c r="C14" s="179"/>
      <c r="D14" s="46"/>
      <c r="F14" s="9" t="str" cm="1">
        <f t="array" ref="F14:G15">Join2Dλ(Flavor,Size)</f>
        <v>Vanilla, Large</v>
      </c>
      <c r="G14" s="9" t="str">
        <v>Strawberry, Large</v>
      </c>
      <c r="I14" s="19"/>
      <c r="J14" s="46"/>
    </row>
    <row r="15" spans="1:12" x14ac:dyDescent="0.45">
      <c r="B15" s="20"/>
      <c r="D15" s="46"/>
      <c r="F15" s="9" t="str">
        <v>Chocolate, Medium</v>
      </c>
      <c r="G15" s="9" t="str">
        <v>Extra Large</v>
      </c>
      <c r="I15" s="19"/>
      <c r="J15" s="46"/>
    </row>
    <row r="16" spans="1:12" x14ac:dyDescent="0.45">
      <c r="B16" s="113" t="s">
        <v>548</v>
      </c>
      <c r="C16" s="28"/>
      <c r="D16" s="46"/>
      <c r="H16" s="28"/>
      <c r="I16" s="29"/>
      <c r="J16" s="46"/>
      <c r="K16" s="28"/>
      <c r="L16" s="28"/>
    </row>
    <row r="17" spans="2:9" x14ac:dyDescent="0.45">
      <c r="B17" s="179" t="s">
        <v>552</v>
      </c>
      <c r="C17" s="179" t="s">
        <v>552</v>
      </c>
      <c r="F17" s="26" t="s">
        <v>558</v>
      </c>
      <c r="I17" s="19"/>
    </row>
    <row r="18" spans="2:9" x14ac:dyDescent="0.45">
      <c r="B18" s="179" t="s">
        <v>553</v>
      </c>
      <c r="C18" s="179" t="s">
        <v>554</v>
      </c>
      <c r="F18" s="27" t="s">
        <v>557</v>
      </c>
      <c r="I18" s="19"/>
    </row>
    <row r="19" spans="2:9" x14ac:dyDescent="0.45">
      <c r="B19" s="20"/>
      <c r="F19" s="9" t="str" cm="1">
        <f t="array" ref="F19:G20">Join2Dλ(Flavor,Size,,,"; ")</f>
        <v>Vanilla; Large</v>
      </c>
      <c r="G19" s="9" t="str">
        <v>Strawberry; Large</v>
      </c>
      <c r="I19" s="19"/>
    </row>
    <row r="20" spans="2:9" x14ac:dyDescent="0.45">
      <c r="B20" s="20"/>
      <c r="F20" s="9" t="str">
        <v>Chocolate; Medium</v>
      </c>
      <c r="G20" s="9" t="str">
        <v>Extra Large</v>
      </c>
      <c r="I20" s="19"/>
    </row>
    <row r="21" spans="2:9" ht="9" customHeight="1" x14ac:dyDescent="0.45">
      <c r="B21" s="21"/>
      <c r="C21" s="22"/>
      <c r="D21" s="22"/>
      <c r="E21" s="22"/>
      <c r="F21" s="22"/>
      <c r="G21" s="22"/>
      <c r="H21" s="22"/>
      <c r="I21" s="23"/>
    </row>
    <row r="22" spans="2:9" x14ac:dyDescent="0.45">
      <c r="B22" s="147" t="s">
        <v>131</v>
      </c>
      <c r="C22" s="16"/>
      <c r="D22" s="122" t="s">
        <v>567</v>
      </c>
      <c r="E22" s="117"/>
      <c r="F22" s="24" t="s">
        <v>574</v>
      </c>
      <c r="G22" s="117"/>
      <c r="H22" s="117"/>
      <c r="I22" s="17"/>
    </row>
    <row r="23" spans="2:9" x14ac:dyDescent="0.45">
      <c r="B23" s="179" t="s">
        <v>559</v>
      </c>
      <c r="D23" s="179" t="s">
        <v>564</v>
      </c>
      <c r="F23" s="145" t="s">
        <v>573</v>
      </c>
      <c r="I23" s="19"/>
    </row>
    <row r="24" spans="2:9" x14ac:dyDescent="0.45">
      <c r="B24" s="179" t="s">
        <v>560</v>
      </c>
      <c r="D24" s="179" t="s">
        <v>564</v>
      </c>
      <c r="E24" s="28"/>
      <c r="F24" s="9" t="str" cm="1">
        <f t="array" ref="F24:F28">Join2Dλ(Name,Account,Email,Phone,"; ","Exchange")</f>
        <v>Bob Smith; 555-555-5500</v>
      </c>
      <c r="G24" s="28"/>
      <c r="I24" s="19"/>
    </row>
    <row r="25" spans="2:9" x14ac:dyDescent="0.45">
      <c r="B25" s="179" t="s">
        <v>561</v>
      </c>
      <c r="D25" s="179"/>
      <c r="E25" s="28"/>
      <c r="F25" s="9" t="str">
        <v>Vaugh Dunbar; 555-531-3210</v>
      </c>
      <c r="G25" s="28"/>
      <c r="I25" s="19"/>
    </row>
    <row r="26" spans="2:9" x14ac:dyDescent="0.45">
      <c r="B26" s="179" t="s">
        <v>562</v>
      </c>
      <c r="D26" s="179" t="s">
        <v>564</v>
      </c>
      <c r="E26" s="28"/>
      <c r="F26" s="9" t="str">
        <v>Rita Yang; ryang@foo.com</v>
      </c>
      <c r="G26" s="28"/>
      <c r="I26" s="19"/>
    </row>
    <row r="27" spans="2:9" x14ac:dyDescent="0.45">
      <c r="B27" s="179" t="s">
        <v>563</v>
      </c>
      <c r="D27" s="179"/>
      <c r="E27" s="28"/>
      <c r="F27" s="9" t="str">
        <v>Julian Richards; 555-987-7845</v>
      </c>
      <c r="G27" s="28"/>
      <c r="I27" s="19"/>
    </row>
    <row r="28" spans="2:9" x14ac:dyDescent="0.45">
      <c r="B28" s="20"/>
      <c r="E28" s="28"/>
      <c r="F28" s="9" t="str">
        <v>Kel Varnson; kvarn@foo.com; x 555</v>
      </c>
      <c r="G28" s="28"/>
      <c r="I28" s="19"/>
    </row>
    <row r="29" spans="2:9" x14ac:dyDescent="0.45">
      <c r="B29" s="113" t="s">
        <v>568</v>
      </c>
      <c r="D29" s="25" t="s">
        <v>569</v>
      </c>
      <c r="I29" s="19"/>
    </row>
    <row r="30" spans="2:9" x14ac:dyDescent="0.45">
      <c r="B30" s="179"/>
      <c r="D30" s="179" t="s">
        <v>570</v>
      </c>
      <c r="F30" s="26" t="s">
        <v>579</v>
      </c>
      <c r="I30" s="19"/>
    </row>
    <row r="31" spans="2:9" x14ac:dyDescent="0.45">
      <c r="B31" s="179"/>
      <c r="D31" s="179" t="s">
        <v>571</v>
      </c>
      <c r="F31" s="145" t="s">
        <v>578</v>
      </c>
      <c r="I31" s="19"/>
    </row>
    <row r="32" spans="2:9" x14ac:dyDescent="0.45">
      <c r="B32" s="179" t="s">
        <v>565</v>
      </c>
      <c r="D32" s="179"/>
      <c r="F32" s="9" t="str" cm="1">
        <f t="array" ref="F32:F36">Join2Dλ(Name,Phone,Fax,Email,,"None")</f>
        <v>Bob Smith, 555-555-5500</v>
      </c>
      <c r="I32" s="19"/>
    </row>
    <row r="33" spans="2:9" x14ac:dyDescent="0.45">
      <c r="B33" s="179"/>
      <c r="D33" s="179" t="s">
        <v>572</v>
      </c>
      <c r="F33" s="9" t="str">
        <v>Vaugh Dunbar, 555-531-3210</v>
      </c>
      <c r="I33" s="19"/>
    </row>
    <row r="34" spans="2:9" x14ac:dyDescent="0.45">
      <c r="B34" s="179" t="s">
        <v>566</v>
      </c>
      <c r="D34" s="179" t="s">
        <v>575</v>
      </c>
      <c r="F34" s="9" t="str">
        <v>Rita Yang, ryang@foo.com</v>
      </c>
      <c r="I34" s="19"/>
    </row>
    <row r="35" spans="2:9" x14ac:dyDescent="0.45">
      <c r="B35" s="20"/>
      <c r="F35" s="9" t="str">
        <v>Julian Richards, 555-987-7845</v>
      </c>
      <c r="I35" s="19"/>
    </row>
    <row r="36" spans="2:9" x14ac:dyDescent="0.45">
      <c r="B36" s="20"/>
      <c r="D36" s="148" t="s">
        <v>576</v>
      </c>
      <c r="F36" s="9" t="str">
        <v>Kel Varnson, x 555, kvarn@foo.com</v>
      </c>
      <c r="I36" s="19"/>
    </row>
    <row r="37" spans="2:9" x14ac:dyDescent="0.45">
      <c r="B37" s="20"/>
      <c r="D37" s="181"/>
      <c r="I37" s="19"/>
    </row>
    <row r="38" spans="2:9" x14ac:dyDescent="0.45">
      <c r="B38" s="20"/>
      <c r="D38" s="181" t="s">
        <v>577</v>
      </c>
      <c r="I38" s="19"/>
    </row>
    <row r="39" spans="2:9" x14ac:dyDescent="0.45">
      <c r="B39" s="20"/>
      <c r="D39" s="181" t="s">
        <v>577</v>
      </c>
      <c r="I39" s="19"/>
    </row>
    <row r="40" spans="2:9" x14ac:dyDescent="0.45">
      <c r="B40" s="20"/>
      <c r="D40" s="181"/>
      <c r="I40" s="19"/>
    </row>
    <row r="41" spans="2:9" x14ac:dyDescent="0.45">
      <c r="B41" s="20"/>
      <c r="D41" s="181" t="s">
        <v>577</v>
      </c>
      <c r="I41" s="19"/>
    </row>
    <row r="42" spans="2:9" ht="9" customHeight="1" x14ac:dyDescent="0.45">
      <c r="B42" s="21"/>
      <c r="C42" s="22"/>
      <c r="D42" s="22"/>
      <c r="E42" s="22"/>
      <c r="F42" s="22"/>
      <c r="G42" s="22"/>
      <c r="H42" s="22"/>
      <c r="I42" s="2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criptIds xmlns="http://schemas.microsoft.com/office/extensibility/maker/v1.0" id="script-ids-node-id">
  <scriptId id="ms-officescript%3A%2F%2Fonedrive_business_itemlink%2F01GCFFU4YAVYEX3EV7Z5GKDVOTOE2GNERT:ms-officescript%3A%2F%2Fonedrive_business_sharinglink%2Fu!aHR0cHM6Ly9lZGdld2F0ZXItbXkuc2hhcmVwb2ludC5jb20vOnU6L2cvcGVyc29uYWwvcGF0X2hvZ2FuX2FsaXRoeWFfY29tL0lRQUFyZ2w5a3JfUFRLSFYwM0UwWnBJekFZYU9ROU9aUUNSc1VsME5yR25pSE9N"/>
</scriptId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AF376F00-21E9-4A96-8B03-F6687EA470B9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A906DA44-5E65-482A-BF8A-FFC3FE1F0E34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70</vt:i4>
      </vt:variant>
    </vt:vector>
  </HeadingPairs>
  <TitlesOfParts>
    <vt:vector size="90" baseType="lpstr">
      <vt:lpstr>Introduction</vt:lpstr>
      <vt:lpstr>DeleteRows</vt:lpstr>
      <vt:lpstr>DeleteCols</vt:lpstr>
      <vt:lpstr>DeleteWhere</vt:lpstr>
      <vt:lpstr>Pinch</vt:lpstr>
      <vt:lpstr>Remove</vt:lpstr>
      <vt:lpstr>Squeeze</vt:lpstr>
      <vt:lpstr>KroneckerProd</vt:lpstr>
      <vt:lpstr>Exclude</vt:lpstr>
      <vt:lpstr>Snap</vt:lpstr>
      <vt:lpstr>Shift</vt:lpstr>
      <vt:lpstr>ShiftRows</vt:lpstr>
      <vt:lpstr>ShiftCols</vt:lpstr>
      <vt:lpstr>Embed</vt:lpstr>
      <vt:lpstr>KeepRows</vt:lpstr>
      <vt:lpstr>KeepCols</vt:lpstr>
      <vt:lpstr>BlockMap</vt:lpstr>
      <vt:lpstr>Convolve</vt:lpstr>
      <vt:lpstr>Fold</vt:lpstr>
      <vt:lpstr>Join2D</vt:lpstr>
      <vt:lpstr>Account</vt:lpstr>
      <vt:lpstr>Alpha</vt:lpstr>
      <vt:lpstr>Apps</vt:lpstr>
      <vt:lpstr>AppsB</vt:lpstr>
      <vt:lpstr>Athlete</vt:lpstr>
      <vt:lpstr>Blur</vt:lpstr>
      <vt:lpstr>Board</vt:lpstr>
      <vt:lpstr>Bravo</vt:lpstr>
      <vt:lpstr>Charlie</vt:lpstr>
      <vt:lpstr>Colors</vt:lpstr>
      <vt:lpstr>ColorTotals</vt:lpstr>
      <vt:lpstr>ConvolutionMatrix</vt:lpstr>
      <vt:lpstr>Date</vt:lpstr>
      <vt:lpstr>Delta</vt:lpstr>
      <vt:lpstr>Department</vt:lpstr>
      <vt:lpstr>EBoard</vt:lpstr>
      <vt:lpstr>Email</vt:lpstr>
      <vt:lpstr>Emboss</vt:lpstr>
      <vt:lpstr>EmployeeSched</vt:lpstr>
      <vt:lpstr>ExGrid</vt:lpstr>
      <vt:lpstr>ExGridB</vt:lpstr>
      <vt:lpstr>Fax</vt:lpstr>
      <vt:lpstr>Flavor</vt:lpstr>
      <vt:lpstr>Grid</vt:lpstr>
      <vt:lpstr>Group</vt:lpstr>
      <vt:lpstr>HalfYear</vt:lpstr>
      <vt:lpstr>HalfYearB</vt:lpstr>
      <vt:lpstr>HelloWorld</vt:lpstr>
      <vt:lpstr>HoursScheduled</vt:lpstr>
      <vt:lpstr>ImageMatrix</vt:lpstr>
      <vt:lpstr>Kernel</vt:lpstr>
      <vt:lpstr>LGrid</vt:lpstr>
      <vt:lpstr>MajesticMeadows</vt:lpstr>
      <vt:lpstr>MatrixA</vt:lpstr>
      <vt:lpstr>MatrixB</vt:lpstr>
      <vt:lpstr>Medal</vt:lpstr>
      <vt:lpstr>MiniGrid</vt:lpstr>
      <vt:lpstr>Month</vt:lpstr>
      <vt:lpstr>Name</vt:lpstr>
      <vt:lpstr>Offices</vt:lpstr>
      <vt:lpstr>OfficesB</vt:lpstr>
      <vt:lpstr>Outline</vt:lpstr>
      <vt:lpstr>PBoard</vt:lpstr>
      <vt:lpstr>Phone</vt:lpstr>
      <vt:lpstr>Records</vt:lpstr>
      <vt:lpstr>Region</vt:lpstr>
      <vt:lpstr>Report</vt:lpstr>
      <vt:lpstr>ReportMonth</vt:lpstr>
      <vt:lpstr>Respondent</vt:lpstr>
      <vt:lpstr>Roster</vt:lpstr>
      <vt:lpstr>SalesData</vt:lpstr>
      <vt:lpstr>Schedule</vt:lpstr>
      <vt:lpstr>Sharpen</vt:lpstr>
      <vt:lpstr>SimpleGrid</vt:lpstr>
      <vt:lpstr>Size</vt:lpstr>
      <vt:lpstr>SnGrid</vt:lpstr>
      <vt:lpstr>SnGridB</vt:lpstr>
      <vt:lpstr>Staff</vt:lpstr>
      <vt:lpstr>Students</vt:lpstr>
      <vt:lpstr>StudentsB</vt:lpstr>
      <vt:lpstr>Supervisor</vt:lpstr>
      <vt:lpstr>SupervisorSchedule</vt:lpstr>
      <vt:lpstr>Supplies</vt:lpstr>
      <vt:lpstr>Survey</vt:lpstr>
      <vt:lpstr>TBoard</vt:lpstr>
      <vt:lpstr>Title</vt:lpstr>
      <vt:lpstr>Victor</vt:lpstr>
      <vt:lpstr>Waldo</vt:lpstr>
      <vt:lpstr>WeeklyData</vt:lpstr>
      <vt:lpstr>Winners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 Algebra</dc:title>
  <dc:creator>BigSpill Project</dc:creator>
  <dc:description>Demonstration workbook for BigSpill - Grid Algebra</dc:description>
  <dcterms:created xsi:type="dcterms:W3CDTF">2026-07-07T13:35:21Z</dcterms:created>
  <dcterms:modified xsi:type="dcterms:W3CDTF">2026-09-18T12:58:40Z</dcterms:modified>
</cp:coreProperties>
</file>