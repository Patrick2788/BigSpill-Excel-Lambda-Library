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"/>
    </mc:Choice>
  </mc:AlternateContent>
  <xr:revisionPtr revIDLastSave="0" documentId="13_ncr:1_{23D69631-6575-4978-AF7F-8A26DD73F5FC}" xr6:coauthVersionLast="47" xr6:coauthVersionMax="47" xr10:uidLastSave="{00000000-0000-0000-0000-000000000000}"/>
  <bookViews>
    <workbookView xWindow="28680" yWindow="-120" windowWidth="29040" windowHeight="15720" xr2:uid="{9CC4FAB6-CEFA-49D1-8B24-DD5FDB567CD9}"/>
  </bookViews>
  <sheets>
    <sheet name="Introduction" sheetId="1" r:id="rId1"/>
    <sheet name="DeleteRows" sheetId="3" r:id="rId2"/>
    <sheet name="DeleteCols" sheetId="4" r:id="rId3"/>
    <sheet name="DeleteWhere" sheetId="5" r:id="rId4"/>
    <sheet name="Pinch" sheetId="6" r:id="rId5"/>
    <sheet name="Remove" sheetId="7" r:id="rId6"/>
    <sheet name="Squeeze" sheetId="8" r:id="rId7"/>
    <sheet name="KroneckerProd" sheetId="9" r:id="rId8"/>
    <sheet name="Exclude" sheetId="10" r:id="rId9"/>
    <sheet name="Snap" sheetId="11" r:id="rId10"/>
    <sheet name="Shift" sheetId="12" r:id="rId11"/>
    <sheet name="ShiftRows" sheetId="13" r:id="rId12"/>
    <sheet name="ShiftCols" sheetId="14" r:id="rId13"/>
    <sheet name="Embed" sheetId="15" r:id="rId14"/>
    <sheet name="KeepRows" sheetId="16" r:id="rId15"/>
    <sheet name="KeepCols" sheetId="17" r:id="rId16"/>
    <sheet name="BlockMap" sheetId="18" r:id="rId17"/>
    <sheet name="Convolve" sheetId="19" r:id="rId18"/>
    <sheet name="Fold" sheetId="20" r:id="rId19"/>
    <sheet name="Join2D" sheetId="21" r:id="rId20"/>
  </sheets>
  <definedNames>
    <definedName name="Account">Join2D!$D$23:$D$27</definedName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lpha">KroneckerProd!$C$9:$D$10</definedName>
    <definedName name="Apps">ShiftRows!$G$9:$L$18</definedName>
    <definedName name="AppsB">ShiftCols!$G$10:$L$18</definedName>
    <definedName name="Athlete">DeleteCols!$N$16:$U$16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_xlfn.LAMBDA(_xlpm.matrix,_xlpm.depth,_xlpm.width,_xlop.re_shape_by_column?,_xlop.transpose_anchors?, ValidateBlockMapλ(_xlpm.matrix, _xlpm.depth, _xlpm.width, _xlpm.re_shape_by_column?, _xlfn.LET(_xlpm.x, ROUNDUP(ROWS(_xlpm.matrix) / _xlpm.depth, 0), _xlpm.y, ROUNDUP(COLUMNS(_xlpm.matrix)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INDEX(_xlpm.matrix, _xlpm.row_indices, _xlpm.col_indices), _xlpm.result, IF(_xlpm.re_shape_by_column?, TRANSPOSE(_xlpm.reshaped), _xlpm.reshaped), _xlpm.result)))</definedName>
    <definedName name="Blur">Convolve!$H$24:$J$26</definedName>
    <definedName name="Board">Pinch!$C$7:$G$11</definedName>
    <definedName name="Bravo">KroneckerProd!$C$13:$D$14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harlie">KroneckerProd!$L$9:$M$10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ors">Fold!$B$15:$D$28</definedName>
    <definedName name="ColorTotals">Fold!$E$15:$E$28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utionMatrix">Convolve!$B$10:$D$12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ate">KeepRows!$B$12:$B$28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lta">KroneckerProd!$L$13:$L$16</definedName>
    <definedName name="Department">DeleteRows!$B$12:$B$24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Board">DeleteWhere!$C$8:$J$17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ail">Join2D!$B$30:$B$34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mboss">Convolve!$H$29:$J$31</definedName>
    <definedName name="EmployeeSched">DeleteRows!$M$4:$N$9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Grid">Exclude!$B$11:$D$15</definedName>
    <definedName name="ExGridB">Exclude!$J$12:$L$17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ax">Join2D!$D$37:$D$41</definedName>
    <definedName name="Flavor">Join2D!$B$13:$C$14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_xlfn.LAMBDA(_xlpm.matrix,_xlpm.depth,_xlpm.width,_xlpm.function, IF(NOT(TYPE(_xlpm.matrix) = 64), "#MATRIX!", IF(OR(_xlpm.depth &gt; ROWS(_xlpm.matrix), _xlpm.width &gt; COLUMNS(_xlpm.matrix), ISTEXT(_xlpm.depth), ISTEXT(_xlpm.width)), "#DIMENSIONS!", IF(TYPE(_xlpm.function) &lt;&gt; 128, "#ETA FUNCTION!", _xlfn.LET(_xlpm.h, ROWS(_xlpm.matrix), _xlpm.w, COLUMNS(_xlpm.matrix),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_xlfn.TOCOL(INDEX(_xlpm.matrix, _xlpm.i(), _xlpm.j()), 2), _xlpm.result, _xlpm.function(_xlpm.block), _xlpm.result)), _xlpm.deliver, _xlfn.MAP(_xlpm.down(), _xlpm.across(), _xlpm.Blocksλ), _xlpm.deliver)))))</definedName>
    <definedName name="Grid">Squeeze!$B$20:$K$30</definedName>
    <definedName name="Group">DeleteCols!$C$11:$K$11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alfYear">Embed!$B$23:$G$23</definedName>
    <definedName name="HalfYearB">Embed!$J$23:$K$28</definedName>
    <definedName name="HelloWorld">Fold!$B$9:$D$11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HoursScheduled">KeepRows!$B$12:$E$28</definedName>
    <definedName name="ImageMatrix">Convolve!$B$24:$F$28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ernel">Convolve!$F$10:$G$11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Grid">Squeeze!$P$10:$U$15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ajesticMeadows">Remove!$O$9:$AK$17</definedName>
    <definedName name="MatrixA">BlockMap!$B$12:$G$17</definedName>
    <definedName name="MatrixB">BlockMap!$B$30:$I$33</definedName>
    <definedName name="Medal">DeleteCols!$N$15:$U$15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iniGrid">Squeeze!$B$10:$E$13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nth">DeleteCols!$O$3:$AC$3</definedName>
    <definedName name="MooreAggλ">_xlfn.LAMBDA(_xlpm.Matrix,_xlpm.function,_xlop.IsvonNeumann?,_xlop.omit_center, IF(TYPE(_xlpm.Matrix) &lt;&gt; 64, "#MATRIX!", IF(TYPE(_xlpm.function) &lt;&gt; 128, "#ETA FUNCTION!", _xlfn.LET(_xlpm.IsvonNeumann?, NOT(_xlfn.ISOMITTED(_xlpm.IsvonNeumann?)), _xlpm.omit_center, NOT(_xlfn.ISOMITTED(_xlpm.omit_center)), _xlpm.height, ROWS(_xlpm.Matrix), _xlpm.width, COLUMNS(_xlpm.Matrix), _xlpm.M, _xlfn.VSTACK("omit", _xlfn.HSTACK("omit", _xlpm.Matrix,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_xlfn.LAMBDA(_xlpm.matrix,_xlpm.neighbor, IF(TYPE(_xlpm.matrix) &lt;&gt; 64, "#MATRIX!", IF(NOT(AND(_xlpm.neighbor &gt;= 1, _xlpm.neighbor &lt;= 9, NOT(ISTEXT(_xlpm.neighbor)))), "#NEIGHBOR!", _xlfn.LET(_xlpm.height, ROWS(_xlpm.matrix), _xlpm.width, COLUMNS(_xlpm.matrix), _xlpm.hpad, _xlfn.EXPAND(0, , _xlpm.width + 2, 0), _xlpm.vpad, _xlfn.EXPAND(0, _xlpm.height, , 0), _xlpm.M, _xlfn.VSTACK(_xlpm.hpad, _xlfn.HSTACK(_xlpm.vpad, _xlpm.matrix,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ame">Join2D!$B$23:$B$27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ffices">Exclude!$F$22:$H$29</definedName>
    <definedName name="OfficesB">Snap!$F$22:$H$29</definedName>
    <definedName name="Outline">Convolve!$L$24:$N$26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Board">Pinch!$M$7:$U$18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hone">Join2D!$D$30:$D$34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Records">Embed!$B$19:$C$20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gion">DeleteRows!$J$4:$J$9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port">KeepCols!$S$4:$AG$6</definedName>
    <definedName name="ReportMonth">KeepCols!$S$4:$AG$4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spondent">KeepRows!$M$4:$M$18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Roster">DeleteCols!$C$11:$K$13</definedName>
    <definedName name="SalesData">DeleteRows!$J$4:$K$9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chedule">DeleteRows!$M$4:$M$9</definedName>
    <definedName name="Sharpen">Convolve!$L$29:$N$31</definedName>
    <definedName name="ShiftColsλ">_xlfn.LAMBDA(_xlpm.matrix,_xlop.shift_by, _xlfn.LET(_xlpm.h, ROWS(_xlpm.matrix), _xlpm.w, COLUMNS(_xlpm.matrix), _xlpm.Is1D?, OR(_xlpm.h = 1, _xlpm.w = 1), IF(_xlpm.Is1D?, Shiftλ(_xlpm.matrix, _xlpm.shift_by), _xlfn.LET(_xlpm.i, Resizeλ(Shiftλ(_xlfn.SEQUENCE(_xlpm.h), _xlpm.shift_by), , _xlpm.w), _xlpm.j, MGridλ(_xlpm.matrix, 1), _xlpm.result, INDEX(_xlpm.matrix, _xlpm.i, _xlpm.j), _xlpm.result))))</definedName>
    <definedName name="ShiftRowsλ">_xlfn.LAMBDA(_xlpm.matrix,_xlop.shift_by, _xlfn.LET(_xlpm.h, ROWS(_xlpm.matrix), _xlpm.w, COLUMNS(_xlpm.matrix), _xlpm.Is1D?, OR(_xlpm.h = 1, _xlpm.w = 1), IF(_xlpm.Is1D?, Shiftλ(_xlpm.matrix, _xlpm.shift_by), _xlfn.LET(_xlpm.i, MGridλ(_xlpm.matrix), _xlpm.j, Resizeλ(Shiftλ(_xlfn.SEQUENCE(, _xlpm.w), _xlpm.shift_by), _xlpm.h), _xlpm.result, INDEX(_xlpm.matrix,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impleGrid">Remove!$B$10:$F$14</definedName>
    <definedName name="Size">Join2D!$B$17:$C$18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nGrid">Snap!$B$11:$D$15</definedName>
    <definedName name="SnGridB">Snap!$J$12:$L$17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ff">Embed!$B$11:$C$16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tudents">ShiftRows!$B$9:$D$12</definedName>
    <definedName name="StudentsB">ShiftCols!$B$9:$D$12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Supervisor">KeepCols!$C$12:$P$12</definedName>
    <definedName name="SupervisorSchedule">KeepCols!$C$11:$P$12</definedName>
    <definedName name="Supplies">DeleteRows!$B$12:$D$24</definedName>
    <definedName name="Survey">KeepRows!$L$4:$N$18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Board">DeleteWhere!$C$20:$J$32</definedName>
    <definedName name="Tessellateλ">_xlfn.LAMBDA(_xlpm.pattern,_xlpm.new_height,_xlpm.new_width, _xlfn.LET(_xlpm.h, ROWS(_xlpm.pattern), _xlpm.w, COLUMNS(_xlpm.pattern), _xlpm.IsScalar?, AND(_xlpm.h = 1, _xlpm.w = 1), _xlpm.Is1D?, _xlfn.XOR(_xlpm.h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IF(_xlpm.Is1D?, "#1D-ARRAY!",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itle">Embed!$E$11:$E$16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_xlfn.LAMBDA(_xlpm.matrix,_xlpm.depth,_xlpm.width,_xlpm.re_shape_by_column?,_xlpm.on_valid, IF(NOT(TYPE(_xlpm.matrix) = 64), "#MATRIX!", IF((_xlpm.re_shape_by_column?) * (ROWS(_xlpm.matrix) * COLUMNS(_xlpm.matrix) / (_xlpm.width * _xlpm.depth) ^ 2 &gt; 16384), "#SPILL-RISK!", IF((MOD(ROWS(_xlpm.matrix), _xlpm.depth) &lt;&gt; 0) + (MOD(COLUMNS(_xlpm.matrix), _xlpm.width) &lt;&gt; 0), "#BLOCK MISMATCH!", IF(OR(AND(_xlpm.width = 1, _xlpm.depth = 1), _xlpm.depth &gt; ROWS(_xlpm.matrix), _xlpm.width &gt; COLUMNS(_xlpm.matrix),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ictor">KroneckerProd!$C$21:$C$22</definedName>
    <definedName name="Waldo">KroneckerProd!$C$25:$C$26</definedName>
    <definedName name="WeeklyData">DeleteCols!$O$3:$AC$5</definedName>
    <definedName name="Winners">DeleteCols!$N$15:$U$16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22" i="8" l="1" a="1"/>
  <c r="O22" i="8" s="1"/>
  <c r="F32" i="21" a="1"/>
  <c r="F32" i="21" s="1"/>
  <c r="F24" i="21" a="1"/>
  <c r="F24" i="21" s="1"/>
  <c r="F19" i="21" a="1"/>
  <c r="F19" i="21" s="1"/>
  <c r="F14" i="21" a="1"/>
  <c r="F14" i="21" s="1"/>
  <c r="Q16" i="20" a="1"/>
  <c r="Q16" i="20" s="1"/>
  <c r="N24" i="20" a="1"/>
  <c r="N24" i="20" s="1"/>
  <c r="L16" i="20" a="1"/>
  <c r="L16" i="20" s="1"/>
  <c r="G10" i="20" a="1"/>
  <c r="G10" i="20" s="1"/>
  <c r="G24" i="20" a="1"/>
  <c r="G24" i="20" s="1"/>
  <c r="G16" i="20" a="1"/>
  <c r="G16" i="20" s="1"/>
  <c r="N35" i="19" a="1"/>
  <c r="N35" i="19" s="1"/>
  <c r="J35" i="19" a="1"/>
  <c r="J35" i="19" s="1"/>
  <c r="F35" i="19" a="1"/>
  <c r="F35" i="19" s="1"/>
  <c r="B35" i="19" a="1"/>
  <c r="B35" i="19" s="1"/>
  <c r="J19" i="19" a="1"/>
  <c r="J19" i="19" s="1"/>
  <c r="F19" i="19" a="1"/>
  <c r="F19" i="19" s="1"/>
  <c r="B19" i="19" a="1"/>
  <c r="B19" i="19" s="1"/>
  <c r="T30" i="18" a="1"/>
  <c r="T30" i="18" s="1"/>
  <c r="K30" i="18" a="1"/>
  <c r="K30" i="18" s="1"/>
  <c r="B30" i="18" a="1"/>
  <c r="B30" i="18" s="1"/>
  <c r="AA12" i="18" a="1"/>
  <c r="AA12" i="18" s="1"/>
  <c r="T21" i="18" a="1"/>
  <c r="T21" i="18" s="1"/>
  <c r="K21" i="18" a="1"/>
  <c r="K21" i="18" s="1"/>
  <c r="T12" i="18" a="1"/>
  <c r="T12" i="18" s="1"/>
  <c r="K12" i="18" a="1"/>
  <c r="K12" i="18" s="1"/>
  <c r="B31" i="15" a="1"/>
  <c r="B31" i="15" s="1"/>
  <c r="M24" i="15" a="1"/>
  <c r="M24" i="15" s="1"/>
  <c r="B27" i="15" a="1"/>
  <c r="B27" i="15" s="1"/>
  <c r="K12" i="15" a="1"/>
  <c r="K12" i="15" s="1"/>
  <c r="G12" i="15" a="1"/>
  <c r="G12" i="15" s="1"/>
  <c r="G22" i="14" a="1"/>
  <c r="G22" i="14" s="1"/>
  <c r="B24" i="14" a="1"/>
  <c r="B24" i="14" s="1"/>
  <c r="B17" i="14" a="1"/>
  <c r="B17" i="14" s="1"/>
  <c r="G22" i="13" a="1"/>
  <c r="G22" i="13" s="1"/>
  <c r="B24" i="13" a="1"/>
  <c r="B24" i="13" s="1"/>
  <c r="B17" i="13" a="1"/>
  <c r="B17" i="13" s="1"/>
  <c r="G12" i="12" a="1"/>
  <c r="G12" i="12" s="1"/>
  <c r="L16" i="12" a="1"/>
  <c r="L16" i="12" s="1"/>
  <c r="P24" i="12" a="1"/>
  <c r="P24" i="12" s="1"/>
  <c r="B24" i="12" a="1"/>
  <c r="B24" i="12" s="1"/>
  <c r="P16" i="12" a="1"/>
  <c r="P16" i="12" s="1"/>
  <c r="B16" i="12" a="1"/>
  <c r="B16" i="12" s="1"/>
  <c r="B12" i="12" a="1"/>
  <c r="B12" i="12" s="1"/>
  <c r="J22" i="11" a="1"/>
  <c r="J22" i="11" s="1"/>
  <c r="N22" i="11" a="1"/>
  <c r="N22" i="11" s="1"/>
  <c r="N12" i="11" a="1"/>
  <c r="N12" i="11" s="1"/>
  <c r="F12" i="11" a="1"/>
  <c r="F12" i="11" s="1"/>
  <c r="N22" i="10" a="1"/>
  <c r="N22" i="10" s="1"/>
  <c r="J22" i="10" a="1"/>
  <c r="J22" i="10" s="1"/>
  <c r="N12" i="10" a="1"/>
  <c r="N12" i="10" s="1"/>
  <c r="F12" i="10" a="1"/>
  <c r="F12" i="10" s="1"/>
  <c r="O10" i="9" a="1"/>
  <c r="O10" i="9" s="1"/>
  <c r="F22" i="9" a="1"/>
  <c r="F22" i="9" s="1"/>
  <c r="F10" i="9" a="1"/>
  <c r="F10" i="9" s="1"/>
  <c r="H11" i="8" a="1"/>
  <c r="H11" i="8" s="1"/>
  <c r="W22" i="8" a="1"/>
  <c r="W22" i="8" s="1"/>
  <c r="X11" i="8" a="1"/>
  <c r="X11" i="8" s="1"/>
  <c r="V30" i="7" a="1"/>
  <c r="V30" i="7" s="1"/>
  <c r="O30" i="7" a="1"/>
  <c r="O30" i="7" s="1"/>
  <c r="O21" i="7" a="1"/>
  <c r="O21" i="7" s="1"/>
  <c r="H26" i="7" a="1"/>
  <c r="H26" i="7" s="1"/>
  <c r="H18" i="7" a="1"/>
  <c r="H18" i="7" s="1"/>
  <c r="H11" i="7" a="1"/>
  <c r="H11" i="7" s="1"/>
  <c r="W8" i="6" a="1"/>
  <c r="W8" i="6" s="1"/>
  <c r="C15" i="6" a="1"/>
  <c r="C15" i="6" s="1"/>
  <c r="C8" i="5"/>
  <c r="D8" i="5"/>
  <c r="E8" i="5"/>
  <c r="F8" i="5"/>
  <c r="G8" i="5"/>
  <c r="H8" i="5"/>
  <c r="I8" i="5"/>
  <c r="J8" i="5"/>
  <c r="C13" i="5"/>
  <c r="D13" i="5"/>
  <c r="E13" i="5"/>
  <c r="F13" i="5"/>
  <c r="G13" i="5"/>
  <c r="H13" i="5"/>
  <c r="I13" i="5"/>
  <c r="J13" i="5"/>
  <c r="D17" i="5"/>
  <c r="E17" i="5"/>
  <c r="F17" i="5"/>
  <c r="G17" i="5"/>
  <c r="H17" i="5"/>
  <c r="I17" i="5"/>
  <c r="J17" i="5"/>
  <c r="J9" i="5"/>
  <c r="J10" i="5"/>
  <c r="J11" i="5"/>
  <c r="J12" i="5"/>
  <c r="J14" i="5"/>
  <c r="J15" i="5"/>
  <c r="J16" i="5"/>
  <c r="C9" i="5"/>
  <c r="C10" i="5"/>
  <c r="C11" i="5"/>
  <c r="C12" i="5"/>
  <c r="C14" i="5"/>
  <c r="C15" i="5"/>
  <c r="C16" i="5"/>
  <c r="C17" i="5"/>
  <c r="D10" i="5"/>
  <c r="E10" i="5"/>
  <c r="F10" i="5"/>
  <c r="G10" i="5"/>
  <c r="H10" i="5"/>
  <c r="I10" i="5"/>
  <c r="E11" i="5"/>
  <c r="E12" i="5"/>
  <c r="E14" i="5"/>
  <c r="E15" i="5"/>
  <c r="E16" i="5"/>
  <c r="G11" i="5"/>
  <c r="I9" i="5"/>
  <c r="I11" i="5"/>
  <c r="I12" i="5"/>
  <c r="I14" i="5"/>
  <c r="I15" i="5"/>
  <c r="I16" i="5"/>
  <c r="E9" i="5"/>
  <c r="D16" i="5"/>
  <c r="F16" i="5"/>
  <c r="G16" i="5"/>
  <c r="H16" i="5"/>
  <c r="L21" i="5" a="1"/>
  <c r="L21" i="5" s="1"/>
  <c r="S11" i="17" a="1"/>
  <c r="S11" i="17" s="1"/>
  <c r="S17" i="17" a="1"/>
  <c r="S17" i="17" s="1"/>
  <c r="S24" i="17" a="1"/>
  <c r="S24" i="17" s="1"/>
  <c r="G24" i="12" l="1" a="1"/>
  <c r="G24" i="12" s="1"/>
  <c r="L12" i="12" a="1"/>
  <c r="L12" i="12" s="1"/>
  <c r="G16" i="12" a="1"/>
  <c r="G16" i="12" s="1"/>
  <c r="L16" i="5" a="1"/>
  <c r="L16" i="5" s="1"/>
  <c r="L8" i="5" a="1"/>
  <c r="L8" i="5" s="1"/>
  <c r="P15" i="16" a="1"/>
  <c r="P15" i="16" s="1"/>
  <c r="C24" i="17" a="1"/>
  <c r="C24" i="17" s="1"/>
  <c r="C17" i="17" a="1"/>
  <c r="C17" i="17" s="1"/>
  <c r="T4" i="16" a="1"/>
  <c r="T4" i="16" s="1"/>
  <c r="P4" i="16" a="1"/>
  <c r="P4" i="16" s="1"/>
  <c r="G13" i="16" a="1"/>
  <c r="G13" i="16" s="1"/>
  <c r="G22" i="16" a="1"/>
  <c r="G22" i="16" s="1"/>
  <c r="N25" i="4" a="1"/>
  <c r="N25" i="4" s="1"/>
  <c r="W20" i="4" a="1"/>
  <c r="W20" i="4" s="1"/>
  <c r="N20" i="4" a="1"/>
  <c r="N20" i="4" s="1"/>
  <c r="N9" i="4" a="1"/>
  <c r="N9" i="4" s="1"/>
  <c r="C30" i="4" a="1"/>
  <c r="C30" i="4" s="1"/>
  <c r="C24" i="4" a="1"/>
  <c r="C24" i="4" s="1"/>
  <c r="C17" i="4" a="1"/>
  <c r="C17" i="4" s="1"/>
  <c r="J19" i="3" a="1"/>
  <c r="J19" i="3" s="1"/>
  <c r="M18" i="3" a="1"/>
  <c r="M18" i="3" s="1"/>
  <c r="M13" i="3" a="1"/>
  <c r="M13" i="3" s="1"/>
  <c r="J13" i="3" a="1"/>
  <c r="J13" i="3" s="1"/>
  <c r="F20" i="3" a="1"/>
  <c r="F20" i="3" s="1"/>
  <c r="F12" i="3" a="1"/>
  <c r="F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<sst xmlns="http://schemas.openxmlformats.org/spreadsheetml/2006/main" count="976" uniqueCount="586">
  <si>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</si>
  <si>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</si>
  <si>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</si>
  <si>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</si>
  <si>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</si>
  <si>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Deletion</t>
  </si>
  <si>
    <t>DeleteRowsλ</t>
  </si>
  <si>
    <t>DeleteColsλ</t>
  </si>
  <si>
    <t>DeleteWhereλ</t>
  </si>
  <si>
    <t>Pinchλ</t>
  </si>
  <si>
    <t>Removeλ</t>
  </si>
  <si>
    <t>Squeezeλ</t>
  </si>
  <si>
    <t>Expansion</t>
  </si>
  <si>
    <t>KroneckerProdλ</t>
  </si>
  <si>
    <t>Filtering</t>
  </si>
  <si>
    <t>Excludeλ</t>
  </si>
  <si>
    <t>Snapλ</t>
  </si>
  <si>
    <t>Rolling</t>
  </si>
  <si>
    <t>Shiftλ</t>
  </si>
  <si>
    <t>ShiftRowsλ</t>
  </si>
  <si>
    <t>ShiftColsλ</t>
  </si>
  <si>
    <t>Selection</t>
  </si>
  <si>
    <t>Embedλ</t>
  </si>
  <si>
    <t>KeepRowsλ</t>
  </si>
  <si>
    <t>KeepColsλ</t>
  </si>
  <si>
    <t>Structural Mapping</t>
  </si>
  <si>
    <t>BlockMapλ</t>
  </si>
  <si>
    <t>Convolveλ</t>
  </si>
  <si>
    <t>Foldλ</t>
  </si>
  <si>
    <t>Join2Dλ</t>
  </si>
  <si>
    <t>Grid Algebra</t>
  </si>
  <si>
    <t>These functions support deletion, selection, filtering, rolling, expansion, and structural mapping.</t>
  </si>
  <si>
    <t>Deletes rows from a 2D array based on contiguous subgroup runs.</t>
  </si>
  <si>
    <t>Deletes columns from a 2D array based on contiguous subgroup runs.</t>
  </si>
  <si>
    <t>Removes vertical and horizontal vectors from a 2D array based on a predicate Lambda.</t>
  </si>
  <si>
    <t>Removes any full rows or columns whose cells all have LEN(cell) = 0.</t>
  </si>
  <si>
    <t>Removes specific rows and/or columns from a supplied array.</t>
  </si>
  <si>
    <t>Removes null and straight‑zero vertical or horizontal vectors from a 2D array.</t>
  </si>
  <si>
    <t>Computes the Kronecker product of two arrays.</t>
  </si>
  <si>
    <t>Filters an array (1D or 2D) by excluding any row that contains a specified criterion.</t>
  </si>
  <si>
    <t>Filters an array (1D or 2D) by selecting rows that contain at least one value from the 'include' criteria.</t>
  </si>
  <si>
    <t>Performs a circular shift on a supplied tuple (scalar, 1D array, or 2D array).</t>
  </si>
  <si>
    <t>Performs a circular horizontal shift on each row of a 2D array.</t>
  </si>
  <si>
    <t>Performs a circular vertical shift on each column of a 2D array.</t>
  </si>
  <si>
    <t>Embeds a supplied array into a 2D host array at a specified row or column index.</t>
  </si>
  <si>
    <t>Retains rows from a 2D array based on contiguous subgroup runs.</t>
  </si>
  <si>
    <t>Retains columns from a 2D array based on contiguous subgroup runs.</t>
  </si>
  <si>
    <t>Reshapes a matrix row‑wise or column‑wise into blocks of size depth × width.</t>
  </si>
  <si>
    <t>Performs a sliding‑window convolution over a 2D array using a 2D kernel.</t>
  </si>
  <si>
    <t>Reduces records in an array by grouping identical rows and applying an aggregation function to the corresponding entries in values_array.</t>
  </si>
  <si>
    <t>Joins all non‑empty values across 2 to 4 identically‑shaped 2D arrays using a specified delimiter.</t>
  </si>
  <si>
    <t>• input: array - 2D array</t>
  </si>
  <si>
    <t>• delete - scalar integer</t>
  </si>
  <si>
    <t>&gt; 0 → trim from top of each run</t>
  </si>
  <si>
    <t>&lt; 0 → trim from bottom of each run</t>
  </si>
  <si>
    <t>• at_each_change - subgroup labels (same height as array)</t>
  </si>
  <si>
    <t>Department</t>
  </si>
  <si>
    <t>Item</t>
  </si>
  <si>
    <t>Legal</t>
  </si>
  <si>
    <t>HR</t>
  </si>
  <si>
    <t>Finance</t>
  </si>
  <si>
    <t>Security</t>
  </si>
  <si>
    <t>Stapler</t>
  </si>
  <si>
    <t>Eraser</t>
  </si>
  <si>
    <t>External monitor</t>
  </si>
  <si>
    <t>Supplies</t>
  </si>
  <si>
    <t>#2 Pencil</t>
  </si>
  <si>
    <t>Sticky Tack</t>
  </si>
  <si>
    <t>Floppy Disk</t>
  </si>
  <si>
    <t>4K External Monitor</t>
  </si>
  <si>
    <t>HDMI cable</t>
  </si>
  <si>
    <t>Bluetooth headset</t>
  </si>
  <si>
    <t>Sun glasses</t>
  </si>
  <si>
    <t>Issued</t>
  </si>
  <si>
    <t>=DeleteRowsλ(Supplies,2,Department)</t>
  </si>
  <si>
    <t>=DeleteRowsλ(Supplies,-2,Department)</t>
  </si>
  <si>
    <t>Delete two rows from the bottom of each run</t>
  </si>
  <si>
    <t>DeleteRowsλ - Deletes rows from a 2D array based on contiguous subgroup runs</t>
  </si>
  <si>
    <t>Delete two rows from the top of each run</t>
  </si>
  <si>
    <t>Solar calculator</t>
  </si>
  <si>
    <t>Region</t>
  </si>
  <si>
    <t>Sales</t>
  </si>
  <si>
    <t>North</t>
  </si>
  <si>
    <t>South</t>
  </si>
  <si>
    <t>West</t>
  </si>
  <si>
    <t>Employee</t>
  </si>
  <si>
    <t>A</t>
  </si>
  <si>
    <t>Maria</t>
  </si>
  <si>
    <t>Sam</t>
  </si>
  <si>
    <t>Olivia</t>
  </si>
  <si>
    <t>Ben</t>
  </si>
  <si>
    <t>Kate</t>
  </si>
  <si>
    <t>B</t>
  </si>
  <si>
    <t>C</t>
  </si>
  <si>
    <t>SalesData</t>
  </si>
  <si>
    <t>Schedule</t>
  </si>
  <si>
    <t>EmployeeSched</t>
  </si>
  <si>
    <t>=DeleteRowsλ(SalesData,1,Region)</t>
  </si>
  <si>
    <t>Delete one row from the top of each run</t>
  </si>
  <si>
    <t>=DeleteRowsλ(EmployeeSched,2,Schedule)</t>
  </si>
  <si>
    <t>=DeleteRowsλ(EmployeeSched,-2,Schedule)</t>
  </si>
  <si>
    <t>=DeleteRowsλ(SalesData,3,Region)</t>
  </si>
  <si>
    <t>Deletion results in empty array</t>
  </si>
  <si>
    <t>DeleteColsλ - Deletes columns from a 2D array based on contiguous subgroup runs</t>
  </si>
  <si>
    <t>&gt; 0 → trim from left of each run</t>
  </si>
  <si>
    <t>&lt; 0 → trim from right of each run</t>
  </si>
  <si>
    <t>• at_each_change - subgroup labels (same width as array)</t>
  </si>
  <si>
    <t>Jim</t>
  </si>
  <si>
    <t>Bob</t>
  </si>
  <si>
    <t>Deb</t>
  </si>
  <si>
    <t>Sue</t>
  </si>
  <si>
    <t>Peg</t>
  </si>
  <si>
    <t>Gus</t>
  </si>
  <si>
    <t>Bev</t>
  </si>
  <si>
    <t>Ned</t>
  </si>
  <si>
    <t>Ted</t>
  </si>
  <si>
    <t>Group</t>
  </si>
  <si>
    <t>Consultant</t>
  </si>
  <si>
    <t>Manager</t>
  </si>
  <si>
    <t>Lisa</t>
  </si>
  <si>
    <t>Ron</t>
  </si>
  <si>
    <t>Juan</t>
  </si>
  <si>
    <t>Roster</t>
  </si>
  <si>
    <t>=DeleteColsλ(Roster,1,Group)</t>
  </si>
  <si>
    <t>Delete one column from the left of each run</t>
  </si>
  <si>
    <t>Delete one column from the right of each run</t>
  </si>
  <si>
    <t>=DeleteColsλ(Roster,-1,Group)</t>
  </si>
  <si>
    <t>=DeleteColsλ(Roster,2,Group)</t>
  </si>
  <si>
    <t>Delete two columns from the left of each run</t>
  </si>
  <si>
    <t>Month</t>
  </si>
  <si>
    <t>Total</t>
  </si>
  <si>
    <t>Name</t>
  </si>
  <si>
    <t>Jan</t>
  </si>
  <si>
    <t>Week</t>
  </si>
  <si>
    <t>Jun</t>
  </si>
  <si>
    <t>Jul</t>
  </si>
  <si>
    <t>Aug</t>
  </si>
  <si>
    <t>WeeklyData</t>
  </si>
  <si>
    <t>=DeleteColsλ(WeeklyData,-1,Month)</t>
  </si>
  <si>
    <t>Delete one column from the right of each run (Subtotals are deleted)</t>
  </si>
  <si>
    <t>Gold</t>
  </si>
  <si>
    <t>Silver</t>
  </si>
  <si>
    <t>Bronze</t>
  </si>
  <si>
    <t>Phelps</t>
  </si>
  <si>
    <t>Lewis</t>
  </si>
  <si>
    <t>Dunbar</t>
  </si>
  <si>
    <t>Reid</t>
  </si>
  <si>
    <t>Jones</t>
  </si>
  <si>
    <t>Quinn</t>
  </si>
  <si>
    <t>Winners</t>
  </si>
  <si>
    <t>=DeleteColsλ(Winners,-1,Medal)</t>
  </si>
  <si>
    <t>=DeleteColsλ(Winners,3,Medal)</t>
  </si>
  <si>
    <t>=DeleteColsλ(Winners,-1,Athlete)</t>
  </si>
  <si>
    <t>• keep - scalar integer:</t>
  </si>
  <si>
    <t>&gt; 0 → keep from top of each run</t>
  </si>
  <si>
    <t>&lt; 0 → keep from bottom of each run</t>
  </si>
  <si>
    <t>KeepColsλ - Retains columns from a 2D array based on contiguous subgroup runs</t>
  </si>
  <si>
    <t>• at_each_change - Subgroup labels (same width as array)</t>
  </si>
  <si>
    <t>• at_each_change - Subgroup labels (same height as array)</t>
  </si>
  <si>
    <t>KeepRowsλ - Retains rows from a 2D array based on contiguous subgroup runs</t>
  </si>
  <si>
    <t>&gt; 0 → keep from left of each run</t>
  </si>
  <si>
    <t>&lt; 0 → keep from right of each run</t>
  </si>
  <si>
    <t>Date</t>
  </si>
  <si>
    <t>Hours</t>
  </si>
  <si>
    <t>TOTAL</t>
  </si>
  <si>
    <t>Fred</t>
  </si>
  <si>
    <t>Jed</t>
  </si>
  <si>
    <t>HoursScheduled</t>
  </si>
  <si>
    <t>=KeepRowsλ(HoursScheduled,-1,Date)</t>
  </si>
  <si>
    <t>Keep one row from bottom of each run</t>
  </si>
  <si>
    <t>Keep one row from top of each run</t>
  </si>
  <si>
    <t>Role</t>
  </si>
  <si>
    <t>Jose</t>
  </si>
  <si>
    <t>&gt;&gt;&gt;&gt;&gt;&gt;&gt;&gt;&gt;&gt;</t>
  </si>
  <si>
    <t>Worker</t>
  </si>
  <si>
    <t>Survey</t>
  </si>
  <si>
    <t xml:space="preserve">Respondent </t>
  </si>
  <si>
    <t>Response #</t>
  </si>
  <si>
    <t>Favorite Movie</t>
  </si>
  <si>
    <t>Art</t>
  </si>
  <si>
    <t>Joe</t>
  </si>
  <si>
    <t>Mike</t>
  </si>
  <si>
    <t>Hank</t>
  </si>
  <si>
    <t>Wes</t>
  </si>
  <si>
    <t>Ruth</t>
  </si>
  <si>
    <t>Pam</t>
  </si>
  <si>
    <t>The Godfather</t>
  </si>
  <si>
    <t>The Godfather Part II</t>
  </si>
  <si>
    <t>Network</t>
  </si>
  <si>
    <t>Citizen Kane</t>
  </si>
  <si>
    <t>Rear Window</t>
  </si>
  <si>
    <t>Billy Madison</t>
  </si>
  <si>
    <t>Jaws</t>
  </si>
  <si>
    <t>Major League</t>
  </si>
  <si>
    <t>Thief</t>
  </si>
  <si>
    <t>Uncut Gems</t>
  </si>
  <si>
    <t>The Rules of the Game</t>
  </si>
  <si>
    <t>The Bicycle Thieves</t>
  </si>
  <si>
    <t>=KeepRowsλ(Survey,1,Respondent)</t>
  </si>
  <si>
    <t>=KeepRowsλ(Survey,-1,Respondent)</t>
  </si>
  <si>
    <t>Keep the last survey response</t>
  </si>
  <si>
    <t>Major Payne</t>
  </si>
  <si>
    <t>The Wages of Fear</t>
  </si>
  <si>
    <t>Shift Lead</t>
  </si>
  <si>
    <t>East</t>
  </si>
  <si>
    <t>Supervisor</t>
  </si>
  <si>
    <t>AK</t>
  </si>
  <si>
    <t>HD</t>
  </si>
  <si>
    <t>WS</t>
  </si>
  <si>
    <t>=KeepColsλ(SupervisorSchedule,1,Supervisor)</t>
  </si>
  <si>
    <t>Keep the first date for each supervisor block</t>
  </si>
  <si>
    <t>Keep the last date for each supervisor block</t>
  </si>
  <si>
    <t>=KeepColsλ(SupervisorSchedule,-1,Supervisor)</t>
  </si>
  <si>
    <t>LZ</t>
  </si>
  <si>
    <t>=KeepRowsλ(Survey,3,Respondent)</t>
  </si>
  <si>
    <t>when 'keep' exceeds count of run</t>
  </si>
  <si>
    <t>KeepRowsλ will retain all it can</t>
  </si>
  <si>
    <t>SupervisorSchedule</t>
  </si>
  <si>
    <t>DB</t>
  </si>
  <si>
    <t>Feb</t>
  </si>
  <si>
    <t>Mar</t>
  </si>
  <si>
    <t>Apr</t>
  </si>
  <si>
    <t>May</t>
  </si>
  <si>
    <t>Cost</t>
  </si>
  <si>
    <t>Profit</t>
  </si>
  <si>
    <t>Report</t>
  </si>
  <si>
    <t>=KeepColsλ(Report,5,ReportMonth)</t>
  </si>
  <si>
    <t>Keep the profit for each month</t>
  </si>
  <si>
    <t>=KeepColsλ(Report,-1,ReportMonth)</t>
  </si>
  <si>
    <t>Keep the sales and cost for each month</t>
  </si>
  <si>
    <t>=KeepColsλ(Report,2,ReportMonth)</t>
  </si>
  <si>
    <t>COGS</t>
  </si>
  <si>
    <t>Net</t>
  </si>
  <si>
    <t>Revenue</t>
  </si>
  <si>
    <t>Subtotal</t>
  </si>
  <si>
    <t>Lead</t>
  </si>
  <si>
    <t>DeleteWhereλ - Removes vertical and horizontal vectors from a 2D array based on a predicate Lambda</t>
  </si>
  <si>
    <t>• input: array - 1D or 2D array</t>
  </si>
  <si>
    <t>• function - Lambda applied to each row and column vector</t>
  </si>
  <si>
    <t>Board</t>
  </si>
  <si>
    <t>TBoard</t>
  </si>
  <si>
    <t>=DeleteWhereλ(TBoard,LAMBDA(v,AND(v)))</t>
  </si>
  <si>
    <t>Delete any row or column where every cell is 1</t>
  </si>
  <si>
    <t>OUT</t>
  </si>
  <si>
    <t>EBoard</t>
  </si>
  <si>
    <t>=DeleteWhereλ(EBoard,LAMBDA(v,AND(ISNA(v))))</t>
  </si>
  <si>
    <t>=DeleteWhereλ(EBoard,LAMBDA(v,OR(ISNA(v))))</t>
  </si>
  <si>
    <t>Error returned when deletion would consume input</t>
  </si>
  <si>
    <t>Pinchλ - Removes any full rows or columns whose cells all have LEN(cell) = 0</t>
  </si>
  <si>
    <t>• input: array - 1D or 2D array from which empty rows and columns are removed</t>
  </si>
  <si>
    <t>=Pinchλ(Board)</t>
  </si>
  <si>
    <t>Remove all full empty row/columns</t>
  </si>
  <si>
    <t>Sep</t>
  </si>
  <si>
    <t>Oct</t>
  </si>
  <si>
    <t>Nov</t>
  </si>
  <si>
    <t>Dec</t>
  </si>
  <si>
    <t>=Pinchλ(PBoard)</t>
  </si>
  <si>
    <t>PBoard</t>
  </si>
  <si>
    <t>Removeλ - Removes specific rows and/or columns from a supplied array</t>
  </si>
  <si>
    <t>• input: array - required array from which rows and/or column</t>
  </si>
  <si>
    <t>Optional</t>
  </si>
  <si>
    <t>• rows - row index or array of indices to remove</t>
  </si>
  <si>
    <t>• cols - column index or array of column indices to remove</t>
  </si>
  <si>
    <t>SimpleGrid</t>
  </si>
  <si>
    <t>=Removeλ(SimpleGrid,3)</t>
  </si>
  <si>
    <t>Remove row 3</t>
  </si>
  <si>
    <t>Remove column 3</t>
  </si>
  <si>
    <t>Remove row 3 and column 3</t>
  </si>
  <si>
    <t>=Removeλ(SimpleGrid,,3)</t>
  </si>
  <si>
    <t>=Removeλ(SimpleGrid,3,3)</t>
  </si>
  <si>
    <t>Hole</t>
  </si>
  <si>
    <t>IN</t>
  </si>
  <si>
    <t>TOT</t>
  </si>
  <si>
    <t>PAR</t>
  </si>
  <si>
    <t>YDS</t>
  </si>
  <si>
    <t>+3</t>
  </si>
  <si>
    <t>FIN</t>
  </si>
  <si>
    <t>+7</t>
  </si>
  <si>
    <t>+19</t>
  </si>
  <si>
    <t>Course par: 73</t>
  </si>
  <si>
    <t>MajesticMeadows</t>
  </si>
  <si>
    <t>=Removeλ(MajesticMeadows,{3,4,9},{11,21,22})</t>
  </si>
  <si>
    <t>Remove rows 3, 4, and 9. Remove columns 11, 21, and 22</t>
  </si>
  <si>
    <t>M. Green</t>
  </si>
  <si>
    <t>J. Fairway</t>
  </si>
  <si>
    <t>L. Tee</t>
  </si>
  <si>
    <t>S. Trapp</t>
  </si>
  <si>
    <t>=Removeλ(MajesticMeadows,12,10)</t>
  </si>
  <si>
    <t>=Removeλ(MajesticMeadows,4,25)</t>
  </si>
  <si>
    <t>Squeezeλ - Removes null and straight‑zero vertical or horizontal vectors from a 2D array</t>
  </si>
  <si>
    <t>• input: array - 1D or 2D array from which rows/columns are removed</t>
  </si>
  <si>
    <t>• custom_criteria - scalar used as removal criterion</t>
  </si>
  <si>
    <t>• suppress_zeros - if TRUE, zeros in the final result are replaced with ""</t>
  </si>
  <si>
    <t>Grid</t>
  </si>
  <si>
    <t>=Squeezeλ(Grid)</t>
  </si>
  <si>
    <t>LGrid</t>
  </si>
  <si>
    <t>=Squeezeλ(LGrid,"A")</t>
  </si>
  <si>
    <t>Squeeze by custom criteria - "A"</t>
  </si>
  <si>
    <t>Squeez null and zero vectors</t>
  </si>
  <si>
    <t>=Squeezeλ(Grid,,TRUE)</t>
  </si>
  <si>
    <t>Squeez null and zero vectors - suppress zeros</t>
  </si>
  <si>
    <t>MiniGrid</t>
  </si>
  <si>
    <t>=Squeezeλ(MiniGrid)</t>
  </si>
  <si>
    <t>Squeeze null and zero vectors</t>
  </si>
  <si>
    <t>KroneckerProdλ - Computes the Kronecker product of two arrays</t>
  </si>
  <si>
    <t>• array 1</t>
  </si>
  <si>
    <t>• array 2</t>
  </si>
  <si>
    <t>inputs (1D or 2D arrays, scalars also accepted)</t>
  </si>
  <si>
    <t>Alpha</t>
  </si>
  <si>
    <t>Bravo</t>
  </si>
  <si>
    <t>=KroneckerProdλ(Alpha,Bravo)</t>
  </si>
  <si>
    <t>Kronecker product - Alpha x Bravo</t>
  </si>
  <si>
    <t>Victor</t>
  </si>
  <si>
    <t>Waldo</t>
  </si>
  <si>
    <t>=KroneckerProdλ(Victor,Waldo)</t>
  </si>
  <si>
    <t>Tensor product - Victor x Waldo</t>
  </si>
  <si>
    <t>Charlie</t>
  </si>
  <si>
    <t>Delta</t>
  </si>
  <si>
    <t>=KroneckerProdλ(Charlie,Delta)</t>
  </si>
  <si>
    <t>Product vectorization - Charlie x Delta</t>
  </si>
  <si>
    <t>Excludeλ - Filters an array (1D or 2D) by excluding any row that contains a specified criterion</t>
  </si>
  <si>
    <t>• input: array - 1D or 2D array to filter</t>
  </si>
  <si>
    <t>• exclude - scalar or 1D array of values to exclude</t>
  </si>
  <si>
    <t>• if_empty - fallback value for when no rows remain (default = 0)</t>
  </si>
  <si>
    <t>Exclude any rows containing 50</t>
  </si>
  <si>
    <t>=Excludeλ(ExGrid,50)</t>
  </si>
  <si>
    <t>ExGrid</t>
  </si>
  <si>
    <t>Security Level</t>
  </si>
  <si>
    <t>Unknown</t>
  </si>
  <si>
    <t>Ann</t>
  </si>
  <si>
    <t>Willy</t>
  </si>
  <si>
    <t>Jerry</t>
  </si>
  <si>
    <t>Rosaline</t>
  </si>
  <si>
    <t>Vincent</t>
  </si>
  <si>
    <t>ExGridB</t>
  </si>
  <si>
    <t>Marketing</t>
  </si>
  <si>
    <t>=Excludeλ(ExGridB,"Unknown")</t>
  </si>
  <si>
    <t>Exclude any rows with "Unknown"</t>
  </si>
  <si>
    <t>Division</t>
  </si>
  <si>
    <t>Location</t>
  </si>
  <si>
    <t>Boston</t>
  </si>
  <si>
    <t>Pasadena</t>
  </si>
  <si>
    <t>Malibu</t>
  </si>
  <si>
    <t>Hartford</t>
  </si>
  <si>
    <t>Montpelier</t>
  </si>
  <si>
    <t>Offices</t>
  </si>
  <si>
    <t>=Excludeλ(Offices,{"North","Malibu"})</t>
  </si>
  <si>
    <t>Exclude rows with North or Malibu</t>
  </si>
  <si>
    <t>Type</t>
  </si>
  <si>
    <t>Satellite</t>
  </si>
  <si>
    <t>Home</t>
  </si>
  <si>
    <t>Phoenix</t>
  </si>
  <si>
    <t>Tucson</t>
  </si>
  <si>
    <t>Portland</t>
  </si>
  <si>
    <t>=Excludeλ(Offices,{"Home","Satellite"})</t>
  </si>
  <si>
    <t>Fallback when no rows remain</t>
  </si>
  <si>
    <t>Snapλ - Filters an array (1D or 2D) by selecting rows that contain at least one value from the 'include' criteria</t>
  </si>
  <si>
    <t>Snap any rows containing 50</t>
  </si>
  <si>
    <t>OfficesB</t>
  </si>
  <si>
    <t>Snap any rows with "Unknown"</t>
  </si>
  <si>
    <t>Snap rows with North or Malibu</t>
  </si>
  <si>
    <t>SnGrid</t>
  </si>
  <si>
    <t>SnGridB</t>
  </si>
  <si>
    <t>=Snapλ(SnGrid,50)</t>
  </si>
  <si>
    <t>=Snapλ(OfficesB,"Plano")</t>
  </si>
  <si>
    <t>Excludeλ is a simplified "filter false" version of FILTER (Boolean vector not required)</t>
  </si>
  <si>
    <t>Snapλ is a simplified version of FILTER (Boolean vector not required)</t>
  </si>
  <si>
    <t>=Snapλ(OfficesB,{"North","Malibu"})</t>
  </si>
  <si>
    <t>• input: tuple - scalar, 1D, or 2D array</t>
  </si>
  <si>
    <t>• shift_by - shift count (default = 1)</t>
  </si>
  <si>
    <t>Positive → left shift</t>
  </si>
  <si>
    <t>Negative → right shift</t>
  </si>
  <si>
    <t>Multi‑shift arrays produce a matrix of shifted tuples</t>
  </si>
  <si>
    <t>Input array</t>
  </si>
  <si>
    <t>Shift left by 1</t>
  </si>
  <si>
    <t>Shift right by 1</t>
  </si>
  <si>
    <t>Shift up by 1</t>
  </si>
  <si>
    <t>Shift down by 1</t>
  </si>
  <si>
    <t>Shift down by 1 (scalar input)</t>
  </si>
  <si>
    <t>=Shiftλ(1234,-1)</t>
  </si>
  <si>
    <t>Multi-Shift</t>
  </si>
  <si>
    <t>Shiftλ - Performs a circular shift on a supplied tuple</t>
  </si>
  <si>
    <t>=Shiftλ(123456,{1,2,3})</t>
  </si>
  <si>
    <t>B12#</t>
  </si>
  <si>
    <t>=Shiftλ(B12#,1)</t>
  </si>
  <si>
    <t>=Shiftλ(B12#,-1)</t>
  </si>
  <si>
    <t>B16#</t>
  </si>
  <si>
    <t>=Shiftλ(B16#,1)</t>
  </si>
  <si>
    <t>B24#</t>
  </si>
  <si>
    <t>=Shiftλ(B24#,SEQUENCE(5))</t>
  </si>
  <si>
    <t>=Shiftλ(B16#,-2)</t>
  </si>
  <si>
    <t>Shift down by 2</t>
  </si>
  <si>
    <t>• input: matrix - 2D array</t>
  </si>
  <si>
    <t>Math</t>
  </si>
  <si>
    <t>Physics</t>
  </si>
  <si>
    <t>History</t>
  </si>
  <si>
    <t>Chemistry</t>
  </si>
  <si>
    <t>Students</t>
  </si>
  <si>
    <t>=ShiftRowsλ(Students,1)</t>
  </si>
  <si>
    <t>=ShiftRowsλ(Students,-1)</t>
  </si>
  <si>
    <t>ShiftRowsλ - Performs a circular horizontal shift on each row of a 2D array</t>
  </si>
  <si>
    <t>Version</t>
  </si>
  <si>
    <t>Netscape Navigator</t>
  </si>
  <si>
    <t>Windows XP</t>
  </si>
  <si>
    <t>Adobe Flash Player</t>
  </si>
  <si>
    <t>Free</t>
  </si>
  <si>
    <t>Winamp</t>
  </si>
  <si>
    <t>Lotus Notes</t>
  </si>
  <si>
    <t>RealPlayer</t>
  </si>
  <si>
    <t>Yahoo Messenger</t>
  </si>
  <si>
    <t>Symantec Norton Ghost</t>
  </si>
  <si>
    <t>End of Life</t>
  </si>
  <si>
    <t>Internet Explorer</t>
  </si>
  <si>
    <t>Modern Option</t>
  </si>
  <si>
    <t>Older Option</t>
  </si>
  <si>
    <t>QuantumWave Browser</t>
  </si>
  <si>
    <t>NeoOS 12</t>
  </si>
  <si>
    <t>FlashX Pro</t>
  </si>
  <si>
    <t>SoundStream</t>
  </si>
  <si>
    <t>NoteSphere</t>
  </si>
  <si>
    <t>StreamMaster</t>
  </si>
  <si>
    <t>ChatPulse</t>
  </si>
  <si>
    <t>Apps</t>
  </si>
  <si>
    <t>=ShiftRowsλ(Apps,-2)</t>
  </si>
  <si>
    <t>Shift right by 2</t>
  </si>
  <si>
    <t>WebTV Revive</t>
  </si>
  <si>
    <t>PhantomGuard+</t>
  </si>
  <si>
    <t>StudentsB</t>
  </si>
  <si>
    <t>AppsB</t>
  </si>
  <si>
    <t>ShiftColsλ - Performs a circular vertical shift on each column of a 2D array</t>
  </si>
  <si>
    <t>Positive → shift up</t>
  </si>
  <si>
    <t>Negative → shift down</t>
  </si>
  <si>
    <t>=ShiftColsλ(StudentsB,1)</t>
  </si>
  <si>
    <t>=ShiftColsλ(StudentsB,-1)</t>
  </si>
  <si>
    <t>=ShiftColsλ(AppsB,-2)</t>
  </si>
  <si>
    <t>Embedλ - Embeds a supplied array into a 2D host array at a specified row or column index</t>
  </si>
  <si>
    <t>• input: array - required 1D or 2D host array</t>
  </si>
  <si>
    <t>• embed_array - array to embed within the host array</t>
  </si>
  <si>
    <t>Suzy</t>
  </si>
  <si>
    <t>Phil</t>
  </si>
  <si>
    <t>Staff</t>
  </si>
  <si>
    <t>Title</t>
  </si>
  <si>
    <t>Sr. Officer</t>
  </si>
  <si>
    <t>Sr. Consultant</t>
  </si>
  <si>
    <t>Advisor</t>
  </si>
  <si>
    <t>=Embedλ(Staff,Title,,2)</t>
  </si>
  <si>
    <t>Embed Title in Column 2</t>
  </si>
  <si>
    <t>• row_index - row position for insertion.</t>
  </si>
  <si>
    <t>If both are supplied, row_index takes precedence</t>
  </si>
  <si>
    <t>• col_index - col position for insertion.</t>
  </si>
  <si>
    <t>Harry</t>
  </si>
  <si>
    <t>Records</t>
  </si>
  <si>
    <t>Embed Records starting in Row 3</t>
  </si>
  <si>
    <t>=Embedλ(Staff,Records,3)</t>
  </si>
  <si>
    <t>June</t>
  </si>
  <si>
    <t>HalfYear</t>
  </si>
  <si>
    <t>=Embedλ(HalfYear,"Q1 Total",,4)</t>
  </si>
  <si>
    <t>Embed "Q1 Total" in Column 4</t>
  </si>
  <si>
    <t>=Embedλ(HalfYearB,"",4)</t>
  </si>
  <si>
    <t>HalfYearB</t>
  </si>
  <si>
    <t xml:space="preserve">Embed a blank row starting at row </t>
  </si>
  <si>
    <t>"" is expand to fill the width of HalfYearB</t>
  </si>
  <si>
    <t>=Embedλ(HalfYear,"Q1 Total",,7)</t>
  </si>
  <si>
    <t>Error when row/col index is out of bounds</t>
  </si>
  <si>
    <t>BlockMapλ - Reshapes a matrix row‑wise or column‑wise into blocks of size depth × width</t>
  </si>
  <si>
    <t>• input: matrix</t>
  </si>
  <si>
    <t>• depth: height of each block</t>
  </si>
  <si>
    <t>• width: width of each block</t>
  </si>
  <si>
    <t>• transpose_anchors? - If TRUE, transpose row/column anchor grids</t>
  </si>
  <si>
    <t>• re_shape_by_column? - If TRUE, re-shape column-wise; else row_wise</t>
  </si>
  <si>
    <t>Re-shape row-wise</t>
  </si>
  <si>
    <t>Re-shape column-wise</t>
  </si>
  <si>
    <t>Depth x Width not compatible with shape of input</t>
  </si>
  <si>
    <t>MatrixA</t>
  </si>
  <si>
    <t>=BlockMapλ(MatrixA,2,3)</t>
  </si>
  <si>
    <t>=BlockMapλ(MatrixA,2,3,TRUE)</t>
  </si>
  <si>
    <t>BlockMapλ(MatrixA,2,4,TRUE)</t>
  </si>
  <si>
    <t>=BlockMapλ(MatrixA,2,3,,TRUE)</t>
  </si>
  <si>
    <t>=BlockMapλ(MatrixA,2,3,TRUE,TRUE)</t>
  </si>
  <si>
    <t>MatrixB</t>
  </si>
  <si>
    <t>=BlockMapλ(MatrixB,2,4)</t>
  </si>
  <si>
    <t>=BlockMapλ(MatrixB,2,4,TRUE)</t>
  </si>
  <si>
    <t>Convolveλ - Performs a sliding‑window convolution over a 2D array using a 2D kernel</t>
  </si>
  <si>
    <t>• input: array - 2D array to which kernel is applied</t>
  </si>
  <si>
    <t>• kernel - 2D array defining the sliding window dimensions</t>
  </si>
  <si>
    <t>• function - reducer LAMBDA accepting single array argument (Defaults to SUM(v * kernel)</t>
  </si>
  <si>
    <t>Kernel</t>
  </si>
  <si>
    <t>ConvolutionMatrix</t>
  </si>
  <si>
    <t>=Convolveλ(ConvulationMatrix,Kernel)</t>
  </si>
  <si>
    <t>=Convolveλ(ConvolutionMatrix,Kernel,MAX)</t>
  </si>
  <si>
    <t>=Convolveλ(ConvolutionMatrix,Kernel,SUM)</t>
  </si>
  <si>
    <t>Sum of 2 x 2 windows</t>
  </si>
  <si>
    <t>Max value of 2 x 2 windows</t>
  </si>
  <si>
    <t>Dot product of 2 x 2 windows</t>
  </si>
  <si>
    <t>Window 1</t>
  </si>
  <si>
    <t>Window 2</t>
  </si>
  <si>
    <t>Window 3</t>
  </si>
  <si>
    <t>Window 4</t>
  </si>
  <si>
    <t>Illustration of the 2 x 2 windowing</t>
  </si>
  <si>
    <t>ImageMatrix</t>
  </si>
  <si>
    <t>Blur</t>
  </si>
  <si>
    <t>Outline</t>
  </si>
  <si>
    <t>Emboss</t>
  </si>
  <si>
    <t>Sharpen</t>
  </si>
  <si>
    <t>=Convolveλ(ImageMatrix,Blur)</t>
  </si>
  <si>
    <t>=Convolveλ(ImageMatrix,Outline)</t>
  </si>
  <si>
    <t>=Convolveλ(ImageMatrix,Emboss)</t>
  </si>
  <si>
    <t>=Convolveλ(ImageMatrix,Sharpen)</t>
  </si>
  <si>
    <t>Apply filters to ImageMatrix</t>
  </si>
  <si>
    <t>Image Kernels</t>
  </si>
  <si>
    <t>Foldλ - Reduces records in an array by grouping identical rows and applying an aggregation function to the corresponding entries in values_array</t>
  </si>
  <si>
    <t>• input: array - 1D or 2D array whose rows define grouping keys</t>
  </si>
  <si>
    <t>• values_array - 1D or 2D array of values to aggregate</t>
  </si>
  <si>
    <t>• function - Reducer LAMBDA accepting a 1D vector (Default = COUNTA)</t>
  </si>
  <si>
    <t>Red</t>
  </si>
  <si>
    <t>Blue</t>
  </si>
  <si>
    <t>Green</t>
  </si>
  <si>
    <t>Colors</t>
  </si>
  <si>
    <t>=Foldλ(Colors)</t>
  </si>
  <si>
    <t>ColorTotals</t>
  </si>
  <si>
    <t>=Foldλ(Colors,ColorTotals,SUM)</t>
  </si>
  <si>
    <t>White</t>
  </si>
  <si>
    <t>Yellow</t>
  </si>
  <si>
    <t>Purple</t>
  </si>
  <si>
    <t>Orange</t>
  </si>
  <si>
    <t>Hello</t>
  </si>
  <si>
    <t>World</t>
  </si>
  <si>
    <t>Example</t>
  </si>
  <si>
    <t>HelloWorld</t>
  </si>
  <si>
    <t>=Foldλ(HelloWorld)</t>
  </si>
  <si>
    <t>Fold HelloWorld (values_array omitted, no function provided = COUNTA)</t>
  </si>
  <si>
    <t>=Foldλ(Colors,ColorTotals,AVERAGE)</t>
  </si>
  <si>
    <t>=Foldλ(Colors,ColorTotals,LAMBDA(v,MAX(v)-MIN(v)))</t>
  </si>
  <si>
    <t>COUNTA</t>
  </si>
  <si>
    <t>SUM</t>
  </si>
  <si>
    <t>AVERAGE</t>
  </si>
  <si>
    <t>LAMBDA(v,MAX(v)-MIN(v))</t>
  </si>
  <si>
    <t>=Foldλ(Colors,ColorTotals,MAX)</t>
  </si>
  <si>
    <t>MAX</t>
  </si>
  <si>
    <t>Join2Dλ - Joins all non‑empty values across 2 to 4 identically‑shaped 2D arrays using a specified delimiter</t>
  </si>
  <si>
    <t>Required</t>
  </si>
  <si>
    <t>• array_1 - 2D array</t>
  </si>
  <si>
    <t>• array_2 - 2D array</t>
  </si>
  <si>
    <t>• array_3 - 2D array</t>
  </si>
  <si>
    <t>• array_4 - 2D array</t>
  </si>
  <si>
    <t>• delimiter - Delimiter for joining (default = ", ")</t>
  </si>
  <si>
    <t>• ignore - value treated as empty (default = "")</t>
  </si>
  <si>
    <t>Flavor</t>
  </si>
  <si>
    <t>Size</t>
  </si>
  <si>
    <t>Vanilla</t>
  </si>
  <si>
    <t>Strawberry</t>
  </si>
  <si>
    <t>Chocolate</t>
  </si>
  <si>
    <t>Large</t>
  </si>
  <si>
    <t>Medium</t>
  </si>
  <si>
    <t>Extra Large</t>
  </si>
  <si>
    <t>=Join2Dλ(Flavor,Size)</t>
  </si>
  <si>
    <t>Join Flavor and Size (Default delimiter)</t>
  </si>
  <si>
    <t>=Join2Dλ(Flavor,Size,,,"; ")</t>
  </si>
  <si>
    <t>Join Flavor and Size (Semi-colon)</t>
  </si>
  <si>
    <t>Bob Smith</t>
  </si>
  <si>
    <t>Vaugh Dunbar</t>
  </si>
  <si>
    <t>Rita Yang</t>
  </si>
  <si>
    <t>Julian Richards</t>
  </si>
  <si>
    <t>Kel Varnson</t>
  </si>
  <si>
    <t>Exchange</t>
  </si>
  <si>
    <t>ryang@foo.com</t>
  </si>
  <si>
    <t>kvarn@foo.com</t>
  </si>
  <si>
    <t>Account</t>
  </si>
  <si>
    <t>Email</t>
  </si>
  <si>
    <t>Phone</t>
  </si>
  <si>
    <t>555-555-5500</t>
  </si>
  <si>
    <t>555-531-3210</t>
  </si>
  <si>
    <t>555-987-7845</t>
  </si>
  <si>
    <t>=Join2Dλ(Name,Account,Email,Phone,"; ","Exchange")</t>
  </si>
  <si>
    <t>Join Name, Account, Email, and Phone (Semi-colon delimiter, ignore "Exchange")</t>
  </si>
  <si>
    <t>x 555</t>
  </si>
  <si>
    <t>Fax</t>
  </si>
  <si>
    <t>None</t>
  </si>
  <si>
    <t>=Join2Dλ(Name,Phone,Fax,Email,,"None")</t>
  </si>
  <si>
    <t>Join Name, Phone, Fax, and Email (Ignore "None")</t>
  </si>
  <si>
    <t>KeepColsλ will retain all it can when 'keep' exceeds count of run (Entire input array Report is returned)</t>
  </si>
  <si>
    <t>Keep the first survey response</t>
  </si>
  <si>
    <t>Same as above with transposed anchors</t>
  </si>
  <si>
    <t>Delete rows/columns consisting entirely of #N/A</t>
  </si>
  <si>
    <t>Errors returned when row/col is out of bounds</t>
  </si>
  <si>
    <t>=Snapλ(SnGridB,"Unknown")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</si>
</sst>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8" formatCode="&quot;$&quot;#,##0.00_);[Red]\(&quot;$&quot;#,##0.00\)"/>
    <numFmt numFmtId="164" formatCode="m/d;@"/>
    <numFmt numFmtId="165" formatCode="m\-d"/>
  </numFmts>
  <fonts count="12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Bahnschrift"/>
      <family val="2"/>
    </font>
    <font>
      <i/>
      <sz val="11"/>
      <color theme="1"/>
      <name val="Segoe UI Variable Display"/>
    </font>
    <font>
      <sz val="10"/>
      <color theme="1"/>
      <name val="Segoe UI Variable Display"/>
    </font>
    <font>
      <b/>
      <sz val="10"/>
      <color theme="1"/>
      <name val="Segoe UI Variable Display"/>
    </font>
    <font>
      <i/>
      <sz val="10"/>
      <color theme="1"/>
      <name val="Segoe UI Variable Display"/>
    </font>
    <font>
      <u/>
      <sz val="11"/>
      <color theme="1"/>
      <name val="Bahnschrift"/>
      <family val="2"/>
    </font>
    <font>
      <b/>
      <sz val="10"/>
      <color theme="1"/>
      <name val="segoe ui"/>
      <family val="2"/>
    </font>
    <font>
      <i/>
      <sz val="10"/>
      <color theme="1"/>
      <name val="segoe ui"/>
      <family val="2"/>
    </font>
  </fonts>
  <fills count="26">
    <fill>
      <patternFill patternType="none"/>
    </fill>
    <fill>
      <patternFill patternType="gray125"/>
    </fill>
    <fill>
      <patternFill patternType="solid">
        <fgColor rgb="FFA7D8D0"/>
        <bgColor indexed="64"/>
      </patternFill>
    </fill>
    <fill>
      <patternFill patternType="solid">
        <fgColor rgb="FFB7C9D6"/>
        <bgColor indexed="64"/>
      </patternFill>
    </fill>
    <fill>
      <patternFill patternType="solid">
        <fgColor rgb="FFC7E6C2"/>
        <bgColor indexed="64"/>
      </patternFill>
    </fill>
    <fill>
      <patternFill patternType="solid">
        <fgColor rgb="FFF6C6C6"/>
        <bgColor indexed="64"/>
      </patternFill>
    </fill>
    <fill>
      <patternFill patternType="solid">
        <fgColor rgb="FFDBD0F0"/>
        <bgColor indexed="64"/>
      </patternFill>
    </fill>
    <fill>
      <patternFill patternType="solid">
        <fgColor rgb="FFF2D5A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9B5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DE9E4"/>
        <bgColor indexed="64"/>
      </patternFill>
    </fill>
    <fill>
      <patternFill patternType="solid">
        <fgColor rgb="FFC9D7E1"/>
        <bgColor indexed="64"/>
      </patternFill>
    </fill>
    <fill>
      <patternFill patternType="solid">
        <fgColor rgb="FFF6E3C0"/>
        <bgColor indexed="64"/>
      </patternFill>
    </fill>
  </fills>
  <borders count="2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ck">
        <color theme="1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 diagonalUp="1" diagonalDown="1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 style="thin">
        <color rgb="FFC0C0C0"/>
      </diagonal>
    </border>
    <border>
      <left style="thin">
        <color rgb="FFC0C0C0"/>
      </left>
      <right/>
      <top style="thick">
        <color rgb="FFC0C0C0"/>
      </top>
      <bottom/>
      <diagonal/>
    </border>
    <border>
      <left/>
      <right/>
      <top style="thick">
        <color rgb="FFC0C0C0"/>
      </top>
      <bottom/>
      <diagonal/>
    </border>
    <border>
      <left/>
      <right style="thin">
        <color rgb="FFC0C0C0"/>
      </right>
      <top style="thick">
        <color rgb="FFC0C0C0"/>
      </top>
      <bottom/>
      <diagonal/>
    </border>
  </borders>
  <cellStyleXfs count="1">
    <xf numFmtId="0" fontId="0" fillId="0" borderId="0"/>
  </cellStyleXfs>
  <cellXfs count="182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1" fillId="0" borderId="0" xfId="0" applyFont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8" borderId="1" xfId="0" applyFont="1" applyFill="1" applyBorder="1"/>
    <xf numFmtId="0" fontId="4" fillId="9" borderId="1" xfId="0" applyFont="1" applyFill="1" applyBorder="1"/>
    <xf numFmtId="0" fontId="4" fillId="10" borderId="1" xfId="0" applyFont="1" applyFill="1" applyBorder="1"/>
    <xf numFmtId="0" fontId="4" fillId="11" borderId="1" xfId="0" applyFont="1" applyFill="1" applyBorder="1"/>
    <xf numFmtId="0" fontId="3" fillId="0" borderId="2" xfId="0" applyFont="1" applyBorder="1"/>
    <xf numFmtId="0" fontId="0" fillId="0" borderId="3" xfId="0" applyBorder="1"/>
    <xf numFmtId="0" fontId="0" fillId="0" borderId="4" xfId="0" applyBorder="1"/>
    <xf numFmtId="0" fontId="2" fillId="0" borderId="5" xfId="0" applyFont="1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7" fillId="0" borderId="3" xfId="0" applyFont="1" applyBorder="1"/>
    <xf numFmtId="0" fontId="6" fillId="0" borderId="0" xfId="0" applyFont="1"/>
    <xf numFmtId="0" fontId="7" fillId="0" borderId="0" xfId="0" applyFont="1"/>
    <xf numFmtId="0" fontId="6" fillId="0" borderId="0" xfId="0" quotePrefix="1" applyFont="1"/>
    <xf numFmtId="0" fontId="4" fillId="0" borderId="0" xfId="0" applyFont="1"/>
    <xf numFmtId="0" fontId="4" fillId="0" borderId="6" xfId="0" applyFont="1" applyBorder="1"/>
    <xf numFmtId="0" fontId="0" fillId="0" borderId="1" xfId="0" applyBorder="1"/>
    <xf numFmtId="0" fontId="8" fillId="0" borderId="0" xfId="0" applyFont="1"/>
    <xf numFmtId="0" fontId="8" fillId="0" borderId="2" xfId="0" applyFont="1" applyBorder="1"/>
    <xf numFmtId="0" fontId="7" fillId="0" borderId="5" xfId="0" applyFont="1" applyBorder="1"/>
    <xf numFmtId="0" fontId="6" fillId="0" borderId="5" xfId="0" quotePrefix="1" applyFont="1" applyBorder="1"/>
    <xf numFmtId="0" fontId="0" fillId="0" borderId="2" xfId="0" applyBorder="1"/>
    <xf numFmtId="0" fontId="8" fillId="0" borderId="3" xfId="0" applyFont="1" applyBorder="1"/>
    <xf numFmtId="0" fontId="4" fillId="0" borderId="5" xfId="0" applyFont="1" applyBorder="1" applyAlignment="1">
      <alignment horizontal="center"/>
    </xf>
    <xf numFmtId="0" fontId="4" fillId="12" borderId="1" xfId="0" applyFont="1" applyFill="1" applyBorder="1"/>
    <xf numFmtId="0" fontId="4" fillId="13" borderId="1" xfId="0" applyFont="1" applyFill="1" applyBorder="1"/>
    <xf numFmtId="0" fontId="4" fillId="15" borderId="1" xfId="0" applyFont="1" applyFill="1" applyBorder="1" applyAlignment="1">
      <alignment horizontal="center"/>
    </xf>
    <xf numFmtId="0" fontId="4" fillId="15" borderId="1" xfId="0" applyFont="1" applyFill="1" applyBorder="1"/>
    <xf numFmtId="0" fontId="4" fillId="16" borderId="1" xfId="0" applyFont="1" applyFill="1" applyBorder="1" applyAlignment="1">
      <alignment horizontal="center"/>
    </xf>
    <xf numFmtId="0" fontId="4" fillId="16" borderId="1" xfId="0" applyFont="1" applyFill="1" applyBorder="1"/>
    <xf numFmtId="0" fontId="4" fillId="13" borderId="1" xfId="0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17" borderId="1" xfId="0" applyFont="1" applyFill="1" applyBorder="1"/>
    <xf numFmtId="0" fontId="4" fillId="0" borderId="13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8" fillId="0" borderId="3" xfId="0" applyFont="1" applyBorder="1" applyAlignment="1">
      <alignment horizontal="left"/>
    </xf>
    <xf numFmtId="0" fontId="0" fillId="0" borderId="10" xfId="0" applyBorder="1"/>
    <xf numFmtId="0" fontId="8" fillId="0" borderId="1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6" fillId="0" borderId="8" xfId="0" applyFont="1" applyBorder="1"/>
    <xf numFmtId="0" fontId="8" fillId="0" borderId="8" xfId="0" applyFont="1" applyBorder="1" applyAlignment="1">
      <alignment horizontal="left"/>
    </xf>
    <xf numFmtId="0" fontId="0" fillId="0" borderId="12" xfId="0" applyBorder="1"/>
    <xf numFmtId="14" fontId="4" fillId="0" borderId="1" xfId="0" applyNumberFormat="1" applyFont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12" borderId="1" xfId="0" applyFont="1" applyFill="1" applyBorder="1" applyAlignment="1">
      <alignment horizontal="right"/>
    </xf>
    <xf numFmtId="164" fontId="4" fillId="0" borderId="1" xfId="0" applyNumberFormat="1" applyFont="1" applyBorder="1" applyAlignment="1">
      <alignment horizontal="center"/>
    </xf>
    <xf numFmtId="164" fontId="4" fillId="0" borderId="1" xfId="0" quotePrefix="1" applyNumberFormat="1" applyFont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right"/>
    </xf>
    <xf numFmtId="164" fontId="4" fillId="12" borderId="1" xfId="0" applyNumberFormat="1" applyFont="1" applyFill="1" applyBorder="1" applyAlignment="1">
      <alignment horizontal="center"/>
    </xf>
    <xf numFmtId="164" fontId="4" fillId="13" borderId="1" xfId="0" applyNumberFormat="1" applyFont="1" applyFill="1" applyBorder="1" applyAlignment="1">
      <alignment horizontal="center"/>
    </xf>
    <xf numFmtId="164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right"/>
    </xf>
    <xf numFmtId="0" fontId="4" fillId="14" borderId="1" xfId="0" applyFont="1" applyFill="1" applyBorder="1" applyAlignment="1">
      <alignment horizontal="right"/>
    </xf>
    <xf numFmtId="0" fontId="4" fillId="1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4" fillId="0" borderId="5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0" xfId="0" quotePrefix="1" applyFont="1"/>
    <xf numFmtId="0" fontId="8" fillId="0" borderId="2" xfId="0" applyFont="1" applyBorder="1" applyAlignment="1">
      <alignment horizontal="left"/>
    </xf>
    <xf numFmtId="0" fontId="4" fillId="0" borderId="15" xfId="0" applyFont="1" applyBorder="1" applyAlignment="1">
      <alignment horizontal="center"/>
    </xf>
    <xf numFmtId="0" fontId="4" fillId="9" borderId="15" xfId="0" applyFont="1" applyFill="1" applyBorder="1" applyAlignment="1">
      <alignment horizontal="center"/>
    </xf>
    <xf numFmtId="0" fontId="4" fillId="9" borderId="13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8" fillId="0" borderId="5" xfId="0" applyFont="1" applyBorder="1"/>
    <xf numFmtId="1" fontId="4" fillId="0" borderId="0" xfId="0" applyNumberFormat="1" applyFont="1" applyAlignment="1">
      <alignment horizontal="left"/>
    </xf>
    <xf numFmtId="0" fontId="2" fillId="0" borderId="7" xfId="0" applyFont="1" applyBorder="1"/>
    <xf numFmtId="0" fontId="4" fillId="12" borderId="1" xfId="0" quotePrefix="1" applyFont="1" applyFill="1" applyBorder="1" applyAlignment="1">
      <alignment horizontal="center"/>
    </xf>
    <xf numFmtId="0" fontId="4" fillId="0" borderId="16" xfId="0" applyFont="1" applyBorder="1"/>
    <xf numFmtId="0" fontId="4" fillId="0" borderId="14" xfId="0" applyFont="1" applyBorder="1"/>
    <xf numFmtId="0" fontId="4" fillId="0" borderId="13" xfId="0" applyFont="1" applyBorder="1"/>
    <xf numFmtId="0" fontId="4" fillId="12" borderId="17" xfId="0" applyFont="1" applyFill="1" applyBorder="1"/>
    <xf numFmtId="0" fontId="5" fillId="0" borderId="5" xfId="0" applyFont="1" applyBorder="1"/>
    <xf numFmtId="0" fontId="9" fillId="1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20" borderId="1" xfId="0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6" fillId="0" borderId="5" xfId="0" applyFont="1" applyBorder="1"/>
    <xf numFmtId="0" fontId="4" fillId="19" borderId="1" xfId="0" applyFont="1" applyFill="1" applyBorder="1"/>
    <xf numFmtId="0" fontId="8" fillId="0" borderId="7" xfId="0" applyFont="1" applyBorder="1"/>
    <xf numFmtId="0" fontId="8" fillId="0" borderId="8" xfId="0" applyFont="1" applyBorder="1"/>
    <xf numFmtId="0" fontId="4" fillId="0" borderId="3" xfId="0" applyFont="1" applyBorder="1"/>
    <xf numFmtId="0" fontId="0" fillId="0" borderId="13" xfId="0" applyBorder="1"/>
    <xf numFmtId="0" fontId="7" fillId="0" borderId="2" xfId="0" applyFont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6" fillId="0" borderId="3" xfId="0" applyFont="1" applyBorder="1"/>
    <xf numFmtId="0" fontId="5" fillId="0" borderId="0" xfId="0" applyFont="1"/>
    <xf numFmtId="8" fontId="4" fillId="0" borderId="1" xfId="0" applyNumberFormat="1" applyFont="1" applyBorder="1" applyAlignment="1">
      <alignment horizontal="right"/>
    </xf>
    <xf numFmtId="14" fontId="4" fillId="0" borderId="1" xfId="0" applyNumberFormat="1" applyFont="1" applyBorder="1"/>
    <xf numFmtId="0" fontId="4" fillId="0" borderId="5" xfId="0" applyFont="1" applyBorder="1"/>
    <xf numFmtId="8" fontId="4" fillId="0" borderId="1" xfId="0" applyNumberFormat="1" applyFont="1" applyBorder="1" applyAlignment="1">
      <alignment horizontal="center"/>
    </xf>
    <xf numFmtId="0" fontId="2" fillId="0" borderId="8" xfId="0" applyFont="1" applyBorder="1"/>
    <xf numFmtId="0" fontId="4" fillId="3" borderId="1" xfId="0" applyFont="1" applyFill="1" applyBorder="1" applyAlignment="1">
      <alignment horizontal="right"/>
    </xf>
    <xf numFmtId="8" fontId="4" fillId="0" borderId="3" xfId="0" applyNumberFormat="1" applyFont="1" applyBorder="1" applyAlignment="1">
      <alignment horizontal="right"/>
    </xf>
    <xf numFmtId="0" fontId="4" fillId="0" borderId="3" xfId="0" applyFont="1" applyBorder="1" applyAlignment="1">
      <alignment horizontal="right"/>
    </xf>
    <xf numFmtId="14" fontId="4" fillId="0" borderId="3" xfId="0" applyNumberFormat="1" applyFont="1" applyBorder="1" applyAlignment="1">
      <alignment horizontal="right"/>
    </xf>
    <xf numFmtId="0" fontId="4" fillId="0" borderId="11" xfId="0" applyFont="1" applyBorder="1"/>
    <xf numFmtId="0" fontId="4" fillId="21" borderId="1" xfId="0" applyFont="1" applyFill="1" applyBorder="1"/>
    <xf numFmtId="0" fontId="4" fillId="22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4" fillId="8" borderId="1" xfId="0" applyFont="1" applyFill="1" applyBorder="1" applyAlignment="1">
      <alignment horizontal="center"/>
    </xf>
    <xf numFmtId="0" fontId="10" fillId="0" borderId="5" xfId="0" applyFont="1" applyBorder="1"/>
    <xf numFmtId="0" fontId="10" fillId="0" borderId="0" xfId="0" applyFont="1"/>
    <xf numFmtId="0" fontId="0" fillId="0" borderId="18" xfId="0" applyBorder="1"/>
    <xf numFmtId="0" fontId="0" fillId="0" borderId="19" xfId="0" applyBorder="1"/>
    <xf numFmtId="0" fontId="7" fillId="0" borderId="19" xfId="0" applyFont="1" applyBorder="1"/>
    <xf numFmtId="0" fontId="0" fillId="0" borderId="20" xfId="0" applyBorder="1"/>
    <xf numFmtId="0" fontId="6" fillId="0" borderId="8" xfId="0" quotePrefix="1" applyFont="1" applyBorder="1"/>
    <xf numFmtId="0" fontId="11" fillId="0" borderId="0" xfId="0" applyFont="1"/>
    <xf numFmtId="0" fontId="6" fillId="0" borderId="2" xfId="0" applyFont="1" applyBorder="1"/>
    <xf numFmtId="0" fontId="6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/>
    </xf>
    <xf numFmtId="0" fontId="11" fillId="0" borderId="2" xfId="0" applyFont="1" applyBorder="1"/>
    <xf numFmtId="0" fontId="4" fillId="23" borderId="1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24" borderId="1" xfId="0" applyFont="1" applyFill="1" applyBorder="1"/>
    <xf numFmtId="0" fontId="4" fillId="24" borderId="1" xfId="0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center"/>
    </xf>
    <xf numFmtId="8" fontId="4" fillId="24" borderId="1" xfId="0" applyNumberFormat="1" applyFont="1" applyFill="1" applyBorder="1" applyAlignment="1">
      <alignment horizontal="right"/>
    </xf>
    <xf numFmtId="14" fontId="4" fillId="24" borderId="1" xfId="0" applyNumberFormat="1" applyFont="1" applyFill="1" applyBorder="1"/>
    <xf numFmtId="0" fontId="4" fillId="24" borderId="1" xfId="0" applyFont="1" applyFill="1" applyBorder="1" applyAlignment="1">
      <alignment horizontal="right"/>
    </xf>
    <xf numFmtId="8" fontId="4" fillId="0" borderId="1" xfId="0" applyNumberFormat="1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25" borderId="1" xfId="0" applyFont="1" applyFill="1" applyBorder="1" applyAlignment="1">
      <alignment horizontal="left"/>
    </xf>
    <xf numFmtId="0" fontId="4" fillId="25" borderId="1" xfId="0" applyFont="1" applyFill="1" applyBorder="1"/>
    <xf numFmtId="0" fontId="4" fillId="25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968FC3EA-486F-46AF-8E8C-51141EA48DEB}"/>
  </tableStyles>
  <colors>
    <mruColors>
      <color rgb="FFF6E3C0"/>
      <color rgb="FFF2D5A0"/>
      <color rgb="FFC0C0C0"/>
      <color rgb="FFC9D7E1"/>
      <color rgb="FFB7C9D6"/>
      <color rgb="FFCDE9E4"/>
      <color rgb="FFA7D8D0"/>
      <color rgb="FFFFFF99"/>
      <color rgb="FFFFFFFF"/>
      <color rgb="FFFFB1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microsoft.com/office/2017/06/relationships/rdRichValueTypes" Target="richData/rdRichValueTypes.xml"/><Relationship Id="rId30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25400</xdr:colOff>
      <xdr:row>1</xdr:row>
      <xdr:rowOff>19050</xdr:rowOff>
    </xdr:from>
    <xdr:to>
      <xdr:col>3</xdr:col>
      <xdr:colOff>1370540</xdr:colOff>
      <xdr:row>5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AB66B0F-D80D-4C80-983A-3150788E8427}"/>
            </a:ext>
          </a:extLst>
        </xdr:cNvPr>
        <xdr:cNvSpPr>
          <a:spLocks noChangeAspect="1"/>
        </xdr:cNvSpPr>
      </xdr:nvSpPr>
      <xdr:spPr>
        <a:xfrm>
          <a:off x="2092325" y="228600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9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34D0B8-74C6-4921-87E0-CA2E6C274AB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906DA44-5E65-482A-BF8A-FFC3FE1F0E34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59D-F4BB-4E50-AEA6-5A9733883520}">
  <sheetPr codeName="Sheet1">
    <tabColor theme="0"/>
  </sheetPr>
  <dimension ref="A8:E40"/>
  <sheetViews>
    <sheetView showGridLines="0" showRowColHeaders="0" tabSelected="1" workbookViewId="0"/>
  </sheetViews>
  <sheetFormatPr defaultColWidth="0" defaultRowHeight="16.5" x14ac:dyDescent="0.45"/>
  <cols>
    <col min="1" max="1" width="8.6640625" style="1" customWidth="1"/>
    <col min="2" max="2" width="18.5" style="1" bestFit="1" customWidth="1"/>
    <col min="3" max="3" width="16.6640625" style="1" customWidth="1"/>
    <col min="4" max="4" width="81.33203125" style="2" customWidth="1"/>
    <col min="5" max="5" width="8.6640625" style="1" customWidth="1"/>
    <col min="6" max="16384" width="8.6640625" style="1" hidden="1"/>
  </cols>
  <sheetData>
    <row r="8" spans="3:4" x14ac:dyDescent="0.45">
      <c r="C8" s="3" t="s">
        <v>30</v>
      </c>
    </row>
    <row r="9" spans="3:4" x14ac:dyDescent="0.45">
      <c r="C9" s="1" t="s">
        <v>31</v>
      </c>
    </row>
    <row r="11" spans="3:4" x14ac:dyDescent="0.45">
      <c r="C11" s="3" t="s">
        <v>0</v>
      </c>
    </row>
    <row r="12" spans="3:4" x14ac:dyDescent="0.45">
      <c r="C12" s="1" t="s">
        <v>1</v>
      </c>
    </row>
    <row r="13" spans="3:4" x14ac:dyDescent="0.45">
      <c r="C13" s="1" t="s">
        <v>2</v>
      </c>
    </row>
    <row r="16" spans="3:4" x14ac:dyDescent="0.45">
      <c r="C16" s="5" t="s">
        <v>3</v>
      </c>
      <c r="D16" s="6" t="s">
        <v>4</v>
      </c>
    </row>
    <row r="17" spans="2:4" ht="30" customHeight="1" x14ac:dyDescent="0.45">
      <c r="B17" s="4" t="s">
        <v>5</v>
      </c>
      <c r="C17" s="149" t="s">
        <v>6</v>
      </c>
      <c r="D17" s="150" t="s">
        <v>32</v>
      </c>
    </row>
    <row r="18" spans="2:4" ht="30" customHeight="1" x14ac:dyDescent="0.45">
      <c r="B18" s="4"/>
      <c r="C18" s="149" t="s">
        <v>7</v>
      </c>
      <c r="D18" s="150" t="s">
        <v>33</v>
      </c>
    </row>
    <row r="19" spans="2:4" ht="30" customHeight="1" x14ac:dyDescent="0.45">
      <c r="B19" s="4"/>
      <c r="C19" s="149" t="s">
        <v>8</v>
      </c>
      <c r="D19" s="150" t="s">
        <v>34</v>
      </c>
    </row>
    <row r="20" spans="2:4" ht="30" customHeight="1" x14ac:dyDescent="0.45">
      <c r="B20" s="4"/>
      <c r="C20" s="149" t="s">
        <v>9</v>
      </c>
      <c r="D20" s="150" t="s">
        <v>35</v>
      </c>
    </row>
    <row r="21" spans="2:4" ht="30" customHeight="1" x14ac:dyDescent="0.45">
      <c r="B21" s="4"/>
      <c r="C21" s="149" t="s">
        <v>10</v>
      </c>
      <c r="D21" s="150" t="s">
        <v>36</v>
      </c>
    </row>
    <row r="22" spans="2:4" ht="30" customHeight="1" x14ac:dyDescent="0.45">
      <c r="B22" s="4"/>
      <c r="C22" s="149" t="s">
        <v>11</v>
      </c>
      <c r="D22" s="150" t="s">
        <v>37</v>
      </c>
    </row>
    <row r="23" spans="2:4" ht="10.5" customHeight="1" x14ac:dyDescent="0.45">
      <c r="B23" s="4"/>
      <c r="C23" s="151"/>
      <c r="D23" s="152"/>
    </row>
    <row r="24" spans="2:4" ht="30" customHeight="1" x14ac:dyDescent="0.45">
      <c r="B24" s="4" t="s">
        <v>12</v>
      </c>
      <c r="C24" s="153" t="s">
        <v>13</v>
      </c>
      <c r="D24" s="154" t="s">
        <v>38</v>
      </c>
    </row>
    <row r="25" spans="2:4" ht="9" customHeight="1" x14ac:dyDescent="0.45">
      <c r="B25" s="4"/>
      <c r="C25" s="151"/>
      <c r="D25" s="152"/>
    </row>
    <row r="26" spans="2:4" ht="30" customHeight="1" x14ac:dyDescent="0.45">
      <c r="B26" s="4" t="s">
        <v>14</v>
      </c>
      <c r="C26" s="155" t="s">
        <v>15</v>
      </c>
      <c r="D26" s="156" t="s">
        <v>39</v>
      </c>
    </row>
    <row r="27" spans="2:4" ht="30" customHeight="1" x14ac:dyDescent="0.45">
      <c r="B27" s="4"/>
      <c r="C27" s="155" t="s">
        <v>16</v>
      </c>
      <c r="D27" s="156" t="s">
        <v>40</v>
      </c>
    </row>
    <row r="28" spans="2:4" ht="10.5" customHeight="1" x14ac:dyDescent="0.45">
      <c r="B28" s="4"/>
      <c r="C28" s="151"/>
      <c r="D28" s="152"/>
    </row>
    <row r="29" spans="2:4" ht="30" customHeight="1" x14ac:dyDescent="0.45">
      <c r="B29" s="4" t="s">
        <v>17</v>
      </c>
      <c r="C29" s="157" t="s">
        <v>18</v>
      </c>
      <c r="D29" s="158" t="s">
        <v>41</v>
      </c>
    </row>
    <row r="30" spans="2:4" ht="30" customHeight="1" x14ac:dyDescent="0.45">
      <c r="B30" s="4"/>
      <c r="C30" s="157" t="s">
        <v>19</v>
      </c>
      <c r="D30" s="158" t="s">
        <v>42</v>
      </c>
    </row>
    <row r="31" spans="2:4" ht="30" customHeight="1" x14ac:dyDescent="0.45">
      <c r="B31" s="4"/>
      <c r="C31" s="157" t="s">
        <v>20</v>
      </c>
      <c r="D31" s="158" t="s">
        <v>43</v>
      </c>
    </row>
    <row r="32" spans="2:4" ht="9.5" customHeight="1" x14ac:dyDescent="0.45">
      <c r="B32" s="4"/>
      <c r="C32" s="151"/>
      <c r="D32" s="152"/>
    </row>
    <row r="33" spans="2:4" ht="30" customHeight="1" x14ac:dyDescent="0.45">
      <c r="B33" s="4" t="s">
        <v>21</v>
      </c>
      <c r="C33" s="159" t="s">
        <v>22</v>
      </c>
      <c r="D33" s="160" t="s">
        <v>44</v>
      </c>
    </row>
    <row r="34" spans="2:4" ht="30" customHeight="1" x14ac:dyDescent="0.45">
      <c r="B34" s="4"/>
      <c r="C34" s="159" t="s">
        <v>23</v>
      </c>
      <c r="D34" s="160" t="s">
        <v>45</v>
      </c>
    </row>
    <row r="35" spans="2:4" ht="30" customHeight="1" x14ac:dyDescent="0.45">
      <c r="B35" s="4"/>
      <c r="C35" s="159" t="s">
        <v>24</v>
      </c>
      <c r="D35" s="160" t="s">
        <v>46</v>
      </c>
    </row>
    <row r="36" spans="2:4" ht="11" customHeight="1" x14ac:dyDescent="0.45">
      <c r="B36" s="4"/>
      <c r="C36" s="151"/>
      <c r="D36" s="152"/>
    </row>
    <row r="37" spans="2:4" ht="30" customHeight="1" x14ac:dyDescent="0.45">
      <c r="B37" s="4" t="s">
        <v>25</v>
      </c>
      <c r="C37" s="161" t="s">
        <v>26</v>
      </c>
      <c r="D37" s="162" t="s">
        <v>47</v>
      </c>
    </row>
    <row r="38" spans="2:4" ht="30" customHeight="1" x14ac:dyDescent="0.45">
      <c r="C38" s="161" t="s">
        <v>27</v>
      </c>
      <c r="D38" s="162" t="s">
        <v>48</v>
      </c>
    </row>
    <row r="39" spans="2:4" ht="30" customHeight="1" x14ac:dyDescent="0.45">
      <c r="C39" s="161" t="s">
        <v>28</v>
      </c>
      <c r="D39" s="162" t="s">
        <v>49</v>
      </c>
    </row>
    <row r="40" spans="2:4" ht="30" customHeight="1" x14ac:dyDescent="0.45">
      <c r="C40" s="161" t="s">
        <v>29</v>
      </c>
      <c r="D40" s="162" t="s">
        <v>50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3B5AC-E9A7-4DB5-9924-F6A0D6FB5F05}">
  <sheetPr codeName="Sheet2">
    <tabColor rgb="FFF6C6C6"/>
  </sheetPr>
  <dimension ref="A1:P25"/>
  <sheetViews>
    <sheetView workbookViewId="0"/>
  </sheetViews>
  <sheetFormatPr defaultRowHeight="16.5" x14ac:dyDescent="0.45"/>
  <cols>
    <col min="1" max="1" width="5" customWidth="1"/>
    <col min="2" max="2" width="11.08203125" customWidth="1"/>
    <col min="3" max="3" width="21.58203125" customWidth="1"/>
    <col min="5" max="5" width="5.25" customWidth="1"/>
    <col min="7" max="7" width="17.5" bestFit="1" customWidth="1"/>
    <col min="9" max="9" width="4.4140625" customWidth="1"/>
    <col min="12" max="12" width="14.08203125" customWidth="1"/>
    <col min="14" max="14" width="9.25" bestFit="1" customWidth="1"/>
  </cols>
  <sheetData>
    <row r="1" spans="1:16" x14ac:dyDescent="0.45">
      <c r="A1" s="7"/>
    </row>
    <row r="2" spans="1:16" x14ac:dyDescent="0.45">
      <c r="B2" s="15" t="s">
        <v>77</v>
      </c>
      <c r="C2" s="16"/>
      <c r="D2" s="16"/>
      <c r="E2" s="16"/>
      <c r="F2" s="16"/>
      <c r="G2" s="16"/>
      <c r="H2" s="16"/>
      <c r="I2" s="35"/>
      <c r="J2" s="36" t="s">
        <v>94</v>
      </c>
      <c r="K2" s="16"/>
      <c r="L2" s="17"/>
      <c r="M2" s="32" t="s">
        <v>96</v>
      </c>
      <c r="N2" s="16"/>
      <c r="O2" s="16"/>
      <c r="P2" s="17"/>
    </row>
    <row r="3" spans="1:16" x14ac:dyDescent="0.45">
      <c r="B3" s="18" t="s">
        <v>51</v>
      </c>
      <c r="I3" s="20"/>
      <c r="J3" s="10" t="s">
        <v>80</v>
      </c>
      <c r="K3" s="10" t="s">
        <v>81</v>
      </c>
      <c r="L3" s="19"/>
      <c r="M3" s="9" t="s">
        <v>95</v>
      </c>
      <c r="N3" s="9" t="s">
        <v>85</v>
      </c>
      <c r="P3" s="19"/>
    </row>
    <row r="4" spans="1:16" x14ac:dyDescent="0.45">
      <c r="B4" s="18" t="s">
        <v>52</v>
      </c>
      <c r="I4" s="20"/>
      <c r="J4" s="9" t="s">
        <v>82</v>
      </c>
      <c r="K4" s="9">
        <v>12</v>
      </c>
      <c r="L4" s="19"/>
      <c r="M4" s="10" t="s">
        <v>86</v>
      </c>
      <c r="N4" s="9" t="s">
        <v>87</v>
      </c>
      <c r="P4" s="19"/>
    </row>
    <row r="5" spans="1:16" x14ac:dyDescent="0.45">
      <c r="B5" s="20"/>
      <c r="C5" s="1" t="s">
        <v>53</v>
      </c>
      <c r="I5" s="20"/>
      <c r="J5" s="38" t="s">
        <v>83</v>
      </c>
      <c r="K5" s="38">
        <v>7</v>
      </c>
      <c r="L5" s="19"/>
      <c r="M5" s="40" t="s">
        <v>92</v>
      </c>
      <c r="N5" s="41" t="s">
        <v>87</v>
      </c>
      <c r="P5" s="19"/>
    </row>
    <row r="6" spans="1:16" x14ac:dyDescent="0.45">
      <c r="B6" s="20"/>
      <c r="C6" s="1" t="s">
        <v>54</v>
      </c>
      <c r="I6" s="20"/>
      <c r="J6" s="38" t="s">
        <v>83</v>
      </c>
      <c r="K6" s="38">
        <v>9</v>
      </c>
      <c r="L6" s="19"/>
      <c r="M6" s="40" t="s">
        <v>92</v>
      </c>
      <c r="N6" s="41" t="s">
        <v>88</v>
      </c>
      <c r="P6" s="19"/>
    </row>
    <row r="7" spans="1:16" x14ac:dyDescent="0.45">
      <c r="B7" s="18" t="s">
        <v>55</v>
      </c>
      <c r="I7" s="20"/>
      <c r="J7" s="38" t="s">
        <v>83</v>
      </c>
      <c r="K7" s="38">
        <v>32</v>
      </c>
      <c r="L7" s="19"/>
      <c r="M7" s="42" t="s">
        <v>93</v>
      </c>
      <c r="N7" s="43" t="s">
        <v>89</v>
      </c>
      <c r="P7" s="19"/>
    </row>
    <row r="8" spans="1:16" x14ac:dyDescent="0.45">
      <c r="B8" s="21"/>
      <c r="C8" s="22"/>
      <c r="D8" s="22"/>
      <c r="E8" s="22"/>
      <c r="F8" s="22"/>
      <c r="G8" s="22"/>
      <c r="H8" s="22"/>
      <c r="I8" s="20"/>
      <c r="J8" s="39" t="s">
        <v>84</v>
      </c>
      <c r="K8" s="39">
        <v>19</v>
      </c>
      <c r="L8" s="19"/>
      <c r="M8" s="42" t="s">
        <v>93</v>
      </c>
      <c r="N8" s="43" t="s">
        <v>90</v>
      </c>
      <c r="P8" s="19"/>
    </row>
    <row r="9" spans="1:16" x14ac:dyDescent="0.45">
      <c r="I9" s="20"/>
      <c r="J9" s="39" t="s">
        <v>84</v>
      </c>
      <c r="K9" s="39">
        <v>40</v>
      </c>
      <c r="L9" s="19"/>
      <c r="M9" s="42" t="s">
        <v>93</v>
      </c>
      <c r="N9" s="43" t="s">
        <v>91</v>
      </c>
      <c r="P9" s="19"/>
    </row>
    <row r="10" spans="1:16" x14ac:dyDescent="0.45">
      <c r="B10" s="32" t="s">
        <v>65</v>
      </c>
      <c r="C10" s="16"/>
      <c r="D10" s="16"/>
      <c r="E10" s="16"/>
      <c r="F10" s="24" t="s">
        <v>78</v>
      </c>
      <c r="G10" s="16"/>
      <c r="H10" s="16"/>
      <c r="I10" s="20"/>
      <c r="L10" s="19"/>
      <c r="M10" s="20"/>
      <c r="P10" s="19"/>
    </row>
    <row r="11" spans="1:16" x14ac:dyDescent="0.45">
      <c r="B11" s="10" t="s">
        <v>56</v>
      </c>
      <c r="C11" s="10" t="s">
        <v>57</v>
      </c>
      <c r="D11" s="10" t="s">
        <v>73</v>
      </c>
      <c r="F11" s="25" t="s">
        <v>74</v>
      </c>
      <c r="I11" s="20"/>
      <c r="J11" s="26" t="s">
        <v>98</v>
      </c>
      <c r="L11" s="19"/>
      <c r="M11" s="33" t="s">
        <v>78</v>
      </c>
      <c r="P11" s="19"/>
    </row>
    <row r="12" spans="1:16" x14ac:dyDescent="0.45">
      <c r="B12" s="11" t="s">
        <v>58</v>
      </c>
      <c r="C12" s="11" t="s">
        <v>62</v>
      </c>
      <c r="D12" s="11">
        <v>6</v>
      </c>
      <c r="F12" s="9" t="str" cm="1">
        <f t="array" ref="F12:H16">DeleteRowsλ(Supplies,2,Department)</f>
        <v>Legal</v>
      </c>
      <c r="G12" s="9" t="str">
        <v>External monitor</v>
      </c>
      <c r="H12" s="9">
        <v>22</v>
      </c>
      <c r="I12" s="20"/>
      <c r="J12" s="25" t="s">
        <v>97</v>
      </c>
      <c r="L12" s="19"/>
      <c r="M12" s="34" t="s">
        <v>99</v>
      </c>
      <c r="P12" s="19"/>
    </row>
    <row r="13" spans="1:16" x14ac:dyDescent="0.45">
      <c r="B13" s="11" t="s">
        <v>58</v>
      </c>
      <c r="C13" s="11" t="s">
        <v>63</v>
      </c>
      <c r="D13" s="11">
        <v>31</v>
      </c>
      <c r="F13" s="9" t="str">
        <v>HR</v>
      </c>
      <c r="G13" s="9" t="str">
        <v>4K External Monitor</v>
      </c>
      <c r="H13" s="9">
        <v>26</v>
      </c>
      <c r="I13" s="20"/>
      <c r="J13" s="9" t="str" cm="1">
        <f t="array" ref="J13:K15">DeleteRowsλ(SalesData,1,Region)</f>
        <v>South</v>
      </c>
      <c r="K13" s="9">
        <v>9</v>
      </c>
      <c r="L13" s="19"/>
      <c r="M13" s="10" t="str" cm="1">
        <f t="array" ref="M13:N13">DeleteRowsλ(EmployeeSched,2,Schedule)</f>
        <v>C</v>
      </c>
      <c r="N13" s="9" t="str">
        <v>Kate</v>
      </c>
      <c r="P13" s="19"/>
    </row>
    <row r="14" spans="1:16" x14ac:dyDescent="0.45">
      <c r="B14" s="11" t="s">
        <v>58</v>
      </c>
      <c r="C14" s="11" t="s">
        <v>64</v>
      </c>
      <c r="D14" s="11">
        <v>22</v>
      </c>
      <c r="F14" s="9" t="str">
        <v>HR</v>
      </c>
      <c r="G14" s="9" t="str">
        <v>Floppy Disk</v>
      </c>
      <c r="H14" s="9">
        <v>3</v>
      </c>
      <c r="I14" s="20"/>
      <c r="J14" s="9" t="str">
        <v>South</v>
      </c>
      <c r="K14" s="9">
        <v>32</v>
      </c>
      <c r="L14" s="19"/>
      <c r="M14" s="20"/>
      <c r="P14" s="19"/>
    </row>
    <row r="15" spans="1:16" x14ac:dyDescent="0.45">
      <c r="B15" s="12" t="s">
        <v>59</v>
      </c>
      <c r="C15" s="12" t="s">
        <v>66</v>
      </c>
      <c r="D15" s="12">
        <v>21</v>
      </c>
      <c r="F15" s="9" t="str">
        <v>Finance</v>
      </c>
      <c r="G15" s="9" t="str">
        <v>Solar calculator</v>
      </c>
      <c r="H15" s="9">
        <v>15</v>
      </c>
      <c r="I15" s="20"/>
      <c r="J15" s="9" t="str">
        <v>West</v>
      </c>
      <c r="K15" s="9">
        <v>40</v>
      </c>
      <c r="L15" s="19"/>
      <c r="M15" s="20"/>
      <c r="P15" s="19"/>
    </row>
    <row r="16" spans="1:16" x14ac:dyDescent="0.45">
      <c r="B16" s="12" t="s">
        <v>59</v>
      </c>
      <c r="C16" s="12" t="s">
        <v>67</v>
      </c>
      <c r="D16" s="12">
        <v>32</v>
      </c>
      <c r="F16" s="9" t="str">
        <v>Security</v>
      </c>
      <c r="G16" s="9" t="str">
        <v>Sun glasses</v>
      </c>
      <c r="H16" s="9">
        <v>9</v>
      </c>
      <c r="I16" s="20"/>
      <c r="L16" s="19"/>
      <c r="M16" s="33" t="s">
        <v>76</v>
      </c>
      <c r="P16" s="19"/>
    </row>
    <row r="17" spans="2:16" x14ac:dyDescent="0.45">
      <c r="B17" s="12" t="s">
        <v>59</v>
      </c>
      <c r="C17" s="12" t="s">
        <v>69</v>
      </c>
      <c r="D17" s="12">
        <v>26</v>
      </c>
      <c r="I17" s="20"/>
      <c r="J17" s="26" t="s">
        <v>102</v>
      </c>
      <c r="L17" s="19"/>
      <c r="M17" s="34" t="s">
        <v>100</v>
      </c>
      <c r="P17" s="19"/>
    </row>
    <row r="18" spans="2:16" x14ac:dyDescent="0.45">
      <c r="B18" s="12" t="s">
        <v>59</v>
      </c>
      <c r="C18" s="12" t="s">
        <v>68</v>
      </c>
      <c r="D18" s="12">
        <v>3</v>
      </c>
      <c r="F18" s="26" t="s">
        <v>76</v>
      </c>
      <c r="I18" s="20"/>
      <c r="J18" s="25" t="s">
        <v>101</v>
      </c>
      <c r="L18" s="19"/>
      <c r="M18" s="10" t="str" cm="1">
        <f t="array" ref="M18:N18">DeleteRowsλ(EmployeeSched,-2,Schedule)</f>
        <v>C</v>
      </c>
      <c r="N18" s="9" t="str">
        <v>Olivia</v>
      </c>
      <c r="P18" s="19"/>
    </row>
    <row r="19" spans="2:16" x14ac:dyDescent="0.45">
      <c r="B19" s="13" t="s">
        <v>60</v>
      </c>
      <c r="C19" s="13" t="s">
        <v>66</v>
      </c>
      <c r="D19" s="13">
        <v>18</v>
      </c>
      <c r="F19" s="27" t="s">
        <v>75</v>
      </c>
      <c r="I19" s="20"/>
      <c r="J19" s="28" t="e" cm="1" vm="1">
        <f t="array" ref="J19">DeleteRowsλ(SalesData,3,Region)</f>
        <v>#VALUE!</v>
      </c>
      <c r="L19" s="19"/>
      <c r="M19" s="20"/>
      <c r="P19" s="19"/>
    </row>
    <row r="20" spans="2:16" x14ac:dyDescent="0.45">
      <c r="B20" s="13" t="s">
        <v>60</v>
      </c>
      <c r="C20" s="13" t="s">
        <v>70</v>
      </c>
      <c r="D20" s="13">
        <v>22</v>
      </c>
      <c r="F20" s="9" t="str" cm="1">
        <f t="array" ref="F20:H24">DeleteRowsλ(Supplies,-2,Department)</f>
        <v>Legal</v>
      </c>
      <c r="G20" s="9" t="str">
        <v>Stapler</v>
      </c>
      <c r="H20" s="9">
        <v>6</v>
      </c>
      <c r="I20" s="20"/>
      <c r="L20" s="19"/>
      <c r="M20" s="20"/>
      <c r="P20" s="19"/>
    </row>
    <row r="21" spans="2:16" x14ac:dyDescent="0.45">
      <c r="B21" s="13" t="s">
        <v>60</v>
      </c>
      <c r="C21" s="13" t="s">
        <v>79</v>
      </c>
      <c r="D21" s="13">
        <v>15</v>
      </c>
      <c r="F21" s="9" t="str">
        <v>HR</v>
      </c>
      <c r="G21" s="9" t="str">
        <v>#2 Pencil</v>
      </c>
      <c r="H21" s="9">
        <v>21</v>
      </c>
      <c r="I21" s="20"/>
      <c r="L21" s="19"/>
      <c r="M21" s="20"/>
      <c r="P21" s="19"/>
    </row>
    <row r="22" spans="2:16" x14ac:dyDescent="0.45">
      <c r="B22" s="14" t="s">
        <v>61</v>
      </c>
      <c r="C22" s="14" t="s">
        <v>71</v>
      </c>
      <c r="D22" s="14">
        <v>16</v>
      </c>
      <c r="F22" s="9" t="str">
        <v>HR</v>
      </c>
      <c r="G22" s="9" t="str">
        <v>Sticky Tack</v>
      </c>
      <c r="H22" s="9">
        <v>32</v>
      </c>
      <c r="I22" s="20"/>
      <c r="L22" s="19"/>
      <c r="M22" s="20"/>
      <c r="P22" s="19"/>
    </row>
    <row r="23" spans="2:16" x14ac:dyDescent="0.45">
      <c r="B23" s="14" t="s">
        <v>61</v>
      </c>
      <c r="C23" s="14" t="s">
        <v>62</v>
      </c>
      <c r="D23" s="14">
        <v>24</v>
      </c>
      <c r="F23" s="9" t="str">
        <v>Finance</v>
      </c>
      <c r="G23" s="9" t="str">
        <v>#2 Pencil</v>
      </c>
      <c r="H23" s="9">
        <v>18</v>
      </c>
      <c r="I23" s="20"/>
      <c r="L23" s="19"/>
      <c r="M23" s="20"/>
      <c r="P23" s="19"/>
    </row>
    <row r="24" spans="2:16" x14ac:dyDescent="0.45">
      <c r="B24" s="14" t="s">
        <v>61</v>
      </c>
      <c r="C24" s="14" t="s">
        <v>72</v>
      </c>
      <c r="D24" s="14">
        <v>9</v>
      </c>
      <c r="F24" s="9" t="str">
        <v>Security</v>
      </c>
      <c r="G24" s="9" t="str">
        <v>Bluetooth headset</v>
      </c>
      <c r="H24" s="9">
        <v>16</v>
      </c>
      <c r="I24" s="20"/>
      <c r="L24" s="19"/>
      <c r="M24" s="20"/>
      <c r="P24" s="19"/>
    </row>
    <row r="25" spans="2:16" x14ac:dyDescent="0.45">
      <c r="B25" s="21"/>
      <c r="C25" s="22"/>
      <c r="D25" s="22"/>
      <c r="E25" s="22"/>
      <c r="F25" s="22"/>
      <c r="G25" s="22"/>
      <c r="H25" s="22"/>
      <c r="I25" s="21"/>
      <c r="J25" s="22"/>
      <c r="K25" s="22"/>
      <c r="L25" s="23"/>
      <c r="M25" s="21"/>
      <c r="N25" s="22"/>
      <c r="O25" s="22"/>
      <c r="P25" s="2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27A5F-CF32-452A-967C-1B499BBB4A79}">
  <sheetPr codeName="Sheet3">
    <tabColor rgb="FFF6C6C6"/>
  </sheetPr>
  <dimension ref="A1:AC35"/>
  <sheetViews>
    <sheetView zoomScaleNormal="100" workbookViewId="0"/>
  </sheetViews>
  <sheetFormatPr defaultRowHeight="16.5" x14ac:dyDescent="0.45"/>
  <cols>
    <col min="1" max="1" width="5" customWidth="1"/>
    <col min="2" max="2" width="11.08203125" customWidth="1"/>
    <col min="3" max="11" width="5.58203125" customWidth="1"/>
    <col min="12" max="12" width="12.6640625" customWidth="1"/>
    <col min="13" max="13" width="3.5" customWidth="1"/>
    <col min="14" max="14" width="6.75" customWidth="1"/>
    <col min="15" max="15" width="6.5" customWidth="1"/>
    <col min="16" max="16" width="6.25" customWidth="1"/>
    <col min="17" max="17" width="7.5" customWidth="1"/>
    <col min="18" max="18" width="6.5" customWidth="1"/>
    <col min="19" max="19" width="6.83203125" customWidth="1"/>
    <col min="20" max="20" width="7" customWidth="1"/>
    <col min="21" max="21" width="8" customWidth="1"/>
    <col min="22" max="22" width="5.4140625" customWidth="1"/>
    <col min="23" max="23" width="6.83203125" customWidth="1"/>
    <col min="24" max="28" width="5.58203125" bestFit="1" customWidth="1"/>
  </cols>
  <sheetData>
    <row r="1" spans="1:29" x14ac:dyDescent="0.45">
      <c r="A1" s="7"/>
    </row>
    <row r="2" spans="1:29" x14ac:dyDescent="0.45">
      <c r="B2" s="15" t="s">
        <v>103</v>
      </c>
      <c r="C2" s="16"/>
      <c r="D2" s="16"/>
      <c r="E2" s="16"/>
      <c r="F2" s="16"/>
      <c r="G2" s="16"/>
      <c r="H2" s="16"/>
      <c r="I2" s="16"/>
      <c r="J2" s="16"/>
      <c r="K2" s="16"/>
      <c r="L2" s="17"/>
      <c r="M2" s="35"/>
      <c r="N2" s="64"/>
      <c r="O2" s="62" t="s">
        <v>137</v>
      </c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7"/>
    </row>
    <row r="3" spans="1:29" x14ac:dyDescent="0.45">
      <c r="B3" s="18" t="s">
        <v>51</v>
      </c>
      <c r="L3" s="19"/>
      <c r="M3" s="20"/>
      <c r="N3" s="10" t="s">
        <v>129</v>
      </c>
      <c r="O3" s="65" t="s">
        <v>134</v>
      </c>
      <c r="P3" s="65" t="s">
        <v>134</v>
      </c>
      <c r="Q3" s="65" t="s">
        <v>134</v>
      </c>
      <c r="R3" s="65" t="s">
        <v>134</v>
      </c>
      <c r="S3" s="66" t="s">
        <v>134</v>
      </c>
      <c r="T3" s="65" t="s">
        <v>135</v>
      </c>
      <c r="U3" s="65" t="s">
        <v>135</v>
      </c>
      <c r="V3" s="65" t="s">
        <v>135</v>
      </c>
      <c r="W3" s="65" t="s">
        <v>135</v>
      </c>
      <c r="X3" s="66" t="s">
        <v>135</v>
      </c>
      <c r="Y3" s="65" t="s">
        <v>136</v>
      </c>
      <c r="Z3" s="65" t="s">
        <v>136</v>
      </c>
      <c r="AA3" s="65" t="s">
        <v>136</v>
      </c>
      <c r="AB3" s="65" t="s">
        <v>136</v>
      </c>
      <c r="AC3" s="66" t="s">
        <v>136</v>
      </c>
    </row>
    <row r="4" spans="1:29" x14ac:dyDescent="0.45">
      <c r="B4" s="18" t="s">
        <v>52</v>
      </c>
      <c r="L4" s="19"/>
      <c r="M4" s="20"/>
      <c r="N4" s="10" t="s">
        <v>133</v>
      </c>
      <c r="O4" s="10">
        <v>1</v>
      </c>
      <c r="P4" s="10">
        <v>2</v>
      </c>
      <c r="Q4" s="10">
        <v>3</v>
      </c>
      <c r="R4" s="10">
        <v>4</v>
      </c>
      <c r="S4" s="57" t="s">
        <v>130</v>
      </c>
      <c r="T4" s="10">
        <v>5</v>
      </c>
      <c r="U4" s="10">
        <v>6</v>
      </c>
      <c r="V4" s="10">
        <v>7</v>
      </c>
      <c r="W4" s="10">
        <v>8</v>
      </c>
      <c r="X4" s="57" t="s">
        <v>130</v>
      </c>
      <c r="Y4" s="10">
        <v>9</v>
      </c>
      <c r="Z4" s="10">
        <v>10</v>
      </c>
      <c r="AA4" s="10">
        <v>11</v>
      </c>
      <c r="AB4" s="10">
        <v>12</v>
      </c>
      <c r="AC4" s="57" t="s">
        <v>130</v>
      </c>
    </row>
    <row r="5" spans="1:29" x14ac:dyDescent="0.45">
      <c r="B5" s="20"/>
      <c r="C5" s="1" t="s">
        <v>104</v>
      </c>
      <c r="L5" s="19"/>
      <c r="M5" s="20"/>
      <c r="N5" s="10" t="s">
        <v>130</v>
      </c>
      <c r="O5" s="10">
        <v>588</v>
      </c>
      <c r="P5" s="9">
        <v>663</v>
      </c>
      <c r="Q5" s="9">
        <v>437</v>
      </c>
      <c r="R5" s="9">
        <v>781</v>
      </c>
      <c r="S5" s="58">
        <v>2469</v>
      </c>
      <c r="T5" s="9">
        <v>249</v>
      </c>
      <c r="U5" s="9">
        <v>961</v>
      </c>
      <c r="V5" s="9">
        <v>614</v>
      </c>
      <c r="W5" s="9">
        <v>710</v>
      </c>
      <c r="X5" s="58">
        <v>2534</v>
      </c>
      <c r="Y5" s="9">
        <v>545</v>
      </c>
      <c r="Z5" s="9">
        <v>919</v>
      </c>
      <c r="AA5" s="9">
        <v>856</v>
      </c>
      <c r="AB5" s="9">
        <v>768</v>
      </c>
      <c r="AC5" s="57">
        <v>3088</v>
      </c>
    </row>
    <row r="6" spans="1:29" x14ac:dyDescent="0.45">
      <c r="B6" s="20"/>
      <c r="C6" s="1" t="s">
        <v>105</v>
      </c>
      <c r="L6" s="19"/>
      <c r="M6" s="20"/>
      <c r="N6" s="16"/>
      <c r="AC6" s="19"/>
    </row>
    <row r="7" spans="1:29" x14ac:dyDescent="0.45">
      <c r="B7" s="18" t="s">
        <v>106</v>
      </c>
      <c r="L7" s="19"/>
      <c r="M7" s="20"/>
      <c r="N7" s="26" t="s">
        <v>139</v>
      </c>
      <c r="AC7" s="19"/>
    </row>
    <row r="8" spans="1:29" x14ac:dyDescent="0.45">
      <c r="B8" s="20"/>
      <c r="L8" s="19"/>
      <c r="M8" s="20"/>
      <c r="N8" s="67" t="s">
        <v>138</v>
      </c>
      <c r="AC8" s="19"/>
    </row>
    <row r="9" spans="1:29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3"/>
      <c r="M9" s="20"/>
      <c r="N9" s="65" t="str" cm="1">
        <f t="array" ref="N9:Y11">DeleteColsλ(WeeklyData,-1,Month)</f>
        <v>Jun</v>
      </c>
      <c r="O9" s="65" t="str">
        <v>Jun</v>
      </c>
      <c r="P9" s="65" t="str">
        <v>Jun</v>
      </c>
      <c r="Q9" s="65" t="str">
        <v>Jun</v>
      </c>
      <c r="R9" s="65" t="str">
        <v>Jul</v>
      </c>
      <c r="S9" s="65" t="str">
        <v>Jul</v>
      </c>
      <c r="T9" s="65" t="str">
        <v>Jul</v>
      </c>
      <c r="U9" s="65" t="str">
        <v>Jul</v>
      </c>
      <c r="V9" s="65" t="str">
        <v>Aug</v>
      </c>
      <c r="W9" s="65" t="str">
        <v>Aug</v>
      </c>
      <c r="X9" s="65" t="str">
        <v>Aug</v>
      </c>
      <c r="Y9" s="65" t="str">
        <v>Aug</v>
      </c>
      <c r="AC9" s="19"/>
    </row>
    <row r="10" spans="1:29" x14ac:dyDescent="0.45">
      <c r="B10" s="60" t="s">
        <v>122</v>
      </c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20"/>
      <c r="N10" s="10">
        <v>1</v>
      </c>
      <c r="O10" s="10">
        <v>2</v>
      </c>
      <c r="P10" s="10">
        <v>3</v>
      </c>
      <c r="Q10" s="10">
        <v>4</v>
      </c>
      <c r="R10" s="10">
        <v>5</v>
      </c>
      <c r="S10" s="10">
        <v>6</v>
      </c>
      <c r="T10" s="10">
        <v>7</v>
      </c>
      <c r="U10" s="10">
        <v>8</v>
      </c>
      <c r="V10" s="10">
        <v>9</v>
      </c>
      <c r="W10" s="10">
        <v>10</v>
      </c>
      <c r="X10" s="10">
        <v>11</v>
      </c>
      <c r="Y10" s="10">
        <v>12</v>
      </c>
      <c r="AC10" s="19"/>
    </row>
    <row r="11" spans="1:29" x14ac:dyDescent="0.45">
      <c r="B11" s="76" t="s">
        <v>116</v>
      </c>
      <c r="C11" s="10" t="s">
        <v>86</v>
      </c>
      <c r="D11" s="10" t="s">
        <v>86</v>
      </c>
      <c r="E11" s="10" t="s">
        <v>86</v>
      </c>
      <c r="F11" s="45" t="s">
        <v>92</v>
      </c>
      <c r="G11" s="45" t="s">
        <v>92</v>
      </c>
      <c r="H11" s="44" t="s">
        <v>93</v>
      </c>
      <c r="I11" s="44" t="s">
        <v>93</v>
      </c>
      <c r="J11" s="44" t="s">
        <v>93</v>
      </c>
      <c r="K11" s="44" t="s">
        <v>93</v>
      </c>
      <c r="L11" s="61"/>
      <c r="M11" s="20"/>
      <c r="N11" s="10">
        <v>588</v>
      </c>
      <c r="O11" s="10">
        <v>663</v>
      </c>
      <c r="P11" s="10">
        <v>437</v>
      </c>
      <c r="Q11" s="10">
        <v>781</v>
      </c>
      <c r="R11" s="10">
        <v>249</v>
      </c>
      <c r="S11" s="10">
        <v>961</v>
      </c>
      <c r="T11" s="10">
        <v>614</v>
      </c>
      <c r="U11" s="10">
        <v>710</v>
      </c>
      <c r="V11" s="10">
        <v>545</v>
      </c>
      <c r="W11" s="10">
        <v>919</v>
      </c>
      <c r="X11" s="10">
        <v>856</v>
      </c>
      <c r="Y11" s="10">
        <v>768</v>
      </c>
      <c r="AC11" s="19"/>
    </row>
    <row r="12" spans="1:29" x14ac:dyDescent="0.45">
      <c r="B12" s="76" t="s">
        <v>117</v>
      </c>
      <c r="C12" s="10" t="s">
        <v>107</v>
      </c>
      <c r="D12" s="10" t="s">
        <v>108</v>
      </c>
      <c r="E12" s="10" t="s">
        <v>109</v>
      </c>
      <c r="F12" s="45" t="s">
        <v>110</v>
      </c>
      <c r="G12" s="45" t="s">
        <v>111</v>
      </c>
      <c r="H12" s="44" t="s">
        <v>112</v>
      </c>
      <c r="I12" s="44" t="s">
        <v>113</v>
      </c>
      <c r="J12" s="44" t="s">
        <v>114</v>
      </c>
      <c r="K12" s="44" t="s">
        <v>115</v>
      </c>
      <c r="L12" s="61"/>
      <c r="M12" s="20"/>
      <c r="AC12" s="19"/>
    </row>
    <row r="13" spans="1:29" x14ac:dyDescent="0.45">
      <c r="B13" s="76" t="s">
        <v>118</v>
      </c>
      <c r="C13" s="10" t="s">
        <v>119</v>
      </c>
      <c r="D13" s="10" t="s">
        <v>119</v>
      </c>
      <c r="E13" s="10" t="s">
        <v>119</v>
      </c>
      <c r="F13" s="45" t="s">
        <v>120</v>
      </c>
      <c r="G13" s="45" t="s">
        <v>120</v>
      </c>
      <c r="H13" s="44" t="s">
        <v>121</v>
      </c>
      <c r="I13" s="44" t="s">
        <v>121</v>
      </c>
      <c r="J13" s="44" t="s">
        <v>121</v>
      </c>
      <c r="K13" s="44" t="s">
        <v>121</v>
      </c>
      <c r="L13" s="61"/>
      <c r="M13" s="21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3"/>
    </row>
    <row r="14" spans="1:29" x14ac:dyDescent="0.45">
      <c r="B14" s="20"/>
      <c r="L14" s="19"/>
      <c r="M14" s="35"/>
      <c r="N14" s="62" t="s">
        <v>149</v>
      </c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7"/>
    </row>
    <row r="15" spans="1:29" x14ac:dyDescent="0.45">
      <c r="B15" s="20"/>
      <c r="C15" s="26" t="s">
        <v>124</v>
      </c>
      <c r="L15" s="19"/>
      <c r="M15" s="20"/>
      <c r="N15" s="10" t="s">
        <v>140</v>
      </c>
      <c r="O15" s="10" t="s">
        <v>140</v>
      </c>
      <c r="P15" s="10" t="s">
        <v>140</v>
      </c>
      <c r="Q15" s="57" t="s">
        <v>141</v>
      </c>
      <c r="R15" s="57" t="s">
        <v>141</v>
      </c>
      <c r="S15" s="163" t="s">
        <v>142</v>
      </c>
      <c r="T15" s="163" t="s">
        <v>142</v>
      </c>
      <c r="U15" s="163" t="s">
        <v>142</v>
      </c>
      <c r="AC15" s="19"/>
    </row>
    <row r="16" spans="1:29" x14ac:dyDescent="0.45">
      <c r="B16" s="20"/>
      <c r="C16" s="25" t="s">
        <v>123</v>
      </c>
      <c r="L16" s="19"/>
      <c r="M16" s="20"/>
      <c r="N16" s="10" t="s">
        <v>143</v>
      </c>
      <c r="O16" s="10" t="s">
        <v>143</v>
      </c>
      <c r="P16" s="10" t="s">
        <v>144</v>
      </c>
      <c r="Q16" s="57" t="s">
        <v>144</v>
      </c>
      <c r="R16" s="57" t="s">
        <v>147</v>
      </c>
      <c r="S16" s="163" t="s">
        <v>145</v>
      </c>
      <c r="T16" s="163" t="s">
        <v>146</v>
      </c>
      <c r="U16" s="163" t="s">
        <v>148</v>
      </c>
      <c r="AC16" s="19"/>
    </row>
    <row r="17" spans="2:29" x14ac:dyDescent="0.45">
      <c r="B17" s="20"/>
      <c r="C17" s="47" t="str" cm="1">
        <f t="array" ref="C17:H19">DeleteColsλ(Roster,1,Group)</f>
        <v>A</v>
      </c>
      <c r="D17" s="48" t="str">
        <v>A</v>
      </c>
      <c r="E17" s="56" t="str">
        <v>B</v>
      </c>
      <c r="F17" s="55" t="str">
        <v>C</v>
      </c>
      <c r="G17" s="55" t="str">
        <v>C</v>
      </c>
      <c r="H17" s="48" t="str">
        <v>C</v>
      </c>
      <c r="L17" s="19"/>
      <c r="M17" s="20"/>
      <c r="AC17" s="19"/>
    </row>
    <row r="18" spans="2:29" x14ac:dyDescent="0.45">
      <c r="B18" s="20"/>
      <c r="C18" s="37" t="str">
        <v>Bob</v>
      </c>
      <c r="D18" s="49" t="str">
        <v>Deb</v>
      </c>
      <c r="E18" s="52" t="str">
        <v>Peg</v>
      </c>
      <c r="F18" s="37" t="str">
        <v>Bev</v>
      </c>
      <c r="G18" s="46" t="str">
        <v>Ned</v>
      </c>
      <c r="H18" s="49" t="str">
        <v>Ted</v>
      </c>
      <c r="L18" s="19"/>
      <c r="M18" s="20"/>
      <c r="N18" s="26" t="s">
        <v>125</v>
      </c>
      <c r="W18" s="26" t="s">
        <v>102</v>
      </c>
      <c r="AC18" s="19"/>
    </row>
    <row r="19" spans="2:29" x14ac:dyDescent="0.45">
      <c r="B19" s="20"/>
      <c r="C19" s="50" t="str">
        <v>Lisa</v>
      </c>
      <c r="D19" s="51" t="str">
        <v>Lisa</v>
      </c>
      <c r="E19" s="53" t="str">
        <v>Ron</v>
      </c>
      <c r="F19" s="50" t="str">
        <v>Juan</v>
      </c>
      <c r="G19" s="54" t="str">
        <v>Juan</v>
      </c>
      <c r="H19" s="51" t="str">
        <v>Juan</v>
      </c>
      <c r="L19" s="19"/>
      <c r="M19" s="20"/>
      <c r="N19" s="25" t="s">
        <v>150</v>
      </c>
      <c r="W19" s="25" t="s">
        <v>151</v>
      </c>
      <c r="AC19" s="19"/>
    </row>
    <row r="20" spans="2:29" x14ac:dyDescent="0.45">
      <c r="B20" s="20"/>
      <c r="L20" s="19"/>
      <c r="M20" s="20"/>
      <c r="N20" s="35" t="str" cm="1">
        <f t="array" ref="N20:R21">DeleteColsλ(Winners,-1,Medal)</f>
        <v>Gold</v>
      </c>
      <c r="O20" s="17" t="str">
        <v>Gold</v>
      </c>
      <c r="P20" s="35" t="str">
        <v>Silver</v>
      </c>
      <c r="Q20" s="17" t="str">
        <v>Bronze</v>
      </c>
      <c r="R20" s="63" t="str">
        <v>Bronze</v>
      </c>
      <c r="W20" t="e" cm="1" vm="1">
        <f t="array" ref="W20">DeleteColsλ(Winners,3,Medal)</f>
        <v>#VALUE!</v>
      </c>
      <c r="AC20" s="19"/>
    </row>
    <row r="21" spans="2:29" x14ac:dyDescent="0.45">
      <c r="B21" s="20"/>
      <c r="L21" s="19"/>
      <c r="M21" s="20"/>
      <c r="N21" s="21" t="str">
        <v>Phelps</v>
      </c>
      <c r="O21" s="23" t="str">
        <v>Phelps</v>
      </c>
      <c r="P21" s="21" t="str">
        <v>Lewis</v>
      </c>
      <c r="Q21" s="23" t="str">
        <v>Dunbar</v>
      </c>
      <c r="R21" s="69" t="str">
        <v>Reid</v>
      </c>
      <c r="AC21" s="19"/>
    </row>
    <row r="22" spans="2:29" x14ac:dyDescent="0.45">
      <c r="B22" s="20"/>
      <c r="C22" s="26" t="s">
        <v>125</v>
      </c>
      <c r="L22" s="19"/>
      <c r="M22" s="20"/>
      <c r="AC22" s="19"/>
    </row>
    <row r="23" spans="2:29" x14ac:dyDescent="0.45">
      <c r="B23" s="20"/>
      <c r="C23" s="27" t="s">
        <v>126</v>
      </c>
      <c r="L23" s="19"/>
      <c r="M23" s="20"/>
      <c r="N23" s="26" t="s">
        <v>125</v>
      </c>
      <c r="AC23" s="19"/>
    </row>
    <row r="24" spans="2:29" x14ac:dyDescent="0.45">
      <c r="B24" s="20"/>
      <c r="C24" s="47" t="str" cm="1">
        <f t="array" ref="C24:H26">DeleteColsλ(Roster,-1,Group)</f>
        <v>A</v>
      </c>
      <c r="D24" s="48" t="str">
        <v>A</v>
      </c>
      <c r="E24" s="47" t="str">
        <v>B</v>
      </c>
      <c r="F24" s="48" t="str">
        <v>C</v>
      </c>
      <c r="G24" s="47" t="str">
        <v>C</v>
      </c>
      <c r="H24" s="48" t="str">
        <v>C</v>
      </c>
      <c r="L24" s="19"/>
      <c r="M24" s="20"/>
      <c r="N24" s="27" t="s">
        <v>152</v>
      </c>
      <c r="AC24" s="19"/>
    </row>
    <row r="25" spans="2:29" x14ac:dyDescent="0.45">
      <c r="B25" s="20"/>
      <c r="C25" s="37" t="str">
        <v>Jim</v>
      </c>
      <c r="D25" s="49" t="str">
        <v>Bob</v>
      </c>
      <c r="E25" s="37" t="str">
        <v>Sue</v>
      </c>
      <c r="F25" s="49" t="str">
        <v>Gus</v>
      </c>
      <c r="G25" s="37" t="str">
        <v>Bev</v>
      </c>
      <c r="H25" s="49" t="str">
        <v>Ned</v>
      </c>
      <c r="L25" s="19"/>
      <c r="M25" s="20"/>
      <c r="N25" s="30" t="str" cm="1">
        <f t="array" ref="N25:O26">DeleteColsλ(Winners,-1,Athlete)</f>
        <v>Gold</v>
      </c>
      <c r="O25" s="30" t="str">
        <v>Gold</v>
      </c>
      <c r="AC25" s="19"/>
    </row>
    <row r="26" spans="2:29" x14ac:dyDescent="0.45">
      <c r="B26" s="20"/>
      <c r="C26" s="50" t="str">
        <v>Lisa</v>
      </c>
      <c r="D26" s="51" t="str">
        <v>Lisa</v>
      </c>
      <c r="E26" s="50" t="str">
        <v>Ron</v>
      </c>
      <c r="F26" s="51" t="str">
        <v>Juan</v>
      </c>
      <c r="G26" s="50" t="str">
        <v>Juan</v>
      </c>
      <c r="H26" s="51" t="str">
        <v>Juan</v>
      </c>
      <c r="L26" s="19"/>
      <c r="M26" s="20"/>
      <c r="N26" s="30" t="str">
        <v>Phelps</v>
      </c>
      <c r="O26" s="30" t="str">
        <v>Lewis</v>
      </c>
      <c r="AC26" s="19"/>
    </row>
    <row r="27" spans="2:29" x14ac:dyDescent="0.45">
      <c r="B27" s="20"/>
      <c r="L27" s="19"/>
      <c r="M27" s="20"/>
      <c r="AC27" s="19"/>
    </row>
    <row r="28" spans="2:29" x14ac:dyDescent="0.45">
      <c r="B28" s="20"/>
      <c r="C28" s="26" t="s">
        <v>128</v>
      </c>
      <c r="L28" s="19"/>
      <c r="M28" s="20"/>
      <c r="AC28" s="19"/>
    </row>
    <row r="29" spans="2:29" x14ac:dyDescent="0.45">
      <c r="B29" s="20"/>
      <c r="C29" s="27" t="s">
        <v>127</v>
      </c>
      <c r="L29" s="19"/>
      <c r="M29" s="20"/>
      <c r="AC29" s="19"/>
    </row>
    <row r="30" spans="2:29" x14ac:dyDescent="0.45">
      <c r="B30" s="20"/>
      <c r="C30" s="10" t="str" cm="1">
        <f t="array" ref="C30:E32">DeleteColsλ(Roster,2,Group)</f>
        <v>A</v>
      </c>
      <c r="D30" s="10" t="str">
        <v>C</v>
      </c>
      <c r="E30" s="10" t="str">
        <v>C</v>
      </c>
      <c r="L30" s="19"/>
      <c r="M30" s="20"/>
      <c r="AC30" s="19"/>
    </row>
    <row r="31" spans="2:29" x14ac:dyDescent="0.45">
      <c r="B31" s="20"/>
      <c r="C31" s="10" t="str">
        <v>Deb</v>
      </c>
      <c r="D31" s="10" t="str">
        <v>Ned</v>
      </c>
      <c r="E31" s="10" t="str">
        <v>Ted</v>
      </c>
      <c r="L31" s="19"/>
      <c r="M31" s="20"/>
      <c r="AC31" s="19"/>
    </row>
    <row r="32" spans="2:29" x14ac:dyDescent="0.45">
      <c r="B32" s="20"/>
      <c r="C32" s="10" t="str">
        <v>Lisa</v>
      </c>
      <c r="D32" s="10" t="str">
        <v>Juan</v>
      </c>
      <c r="E32" s="10" t="str">
        <v>Juan</v>
      </c>
      <c r="L32" s="19"/>
      <c r="M32" s="20"/>
      <c r="AC32" s="19"/>
    </row>
    <row r="33" spans="2:29" x14ac:dyDescent="0.45">
      <c r="B33" s="20"/>
      <c r="L33" s="19"/>
      <c r="M33" s="20"/>
      <c r="AC33" s="19"/>
    </row>
    <row r="34" spans="2:29" x14ac:dyDescent="0.45">
      <c r="B34" s="20"/>
      <c r="L34" s="19"/>
      <c r="M34" s="20"/>
      <c r="AC34" s="19"/>
    </row>
    <row r="35" spans="2:29" x14ac:dyDescent="0.45">
      <c r="B35" s="21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1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E0546-15C2-4721-89F2-3CED58BD1B1B}">
  <sheetPr codeName="Sheet4">
    <tabColor rgb="FFF6C6C6"/>
  </sheetPr>
  <dimension ref="A1:AL33"/>
  <sheetViews>
    <sheetView workbookViewId="0"/>
  </sheetViews>
  <sheetFormatPr defaultRowHeight="16.5" x14ac:dyDescent="0.45"/>
  <cols>
    <col min="1" max="1" width="5" customWidth="1"/>
    <col min="2" max="2" width="6.5" customWidth="1"/>
    <col min="3" max="27" width="5.58203125" customWidth="1"/>
    <col min="28" max="28" width="3.83203125" customWidth="1"/>
    <col min="29" max="30" width="5.58203125" customWidth="1"/>
    <col min="31" max="31" width="5.58203125" bestFit="1" customWidth="1"/>
    <col min="32" max="33" width="4.5" customWidth="1"/>
    <col min="34" max="34" width="5.08203125" bestFit="1" customWidth="1"/>
    <col min="35" max="35" width="3.33203125" customWidth="1"/>
    <col min="36" max="36" width="6.08203125" bestFit="1" customWidth="1"/>
    <col min="37" max="37" width="4.5" bestFit="1" customWidth="1"/>
    <col min="38" max="38" width="3.33203125" customWidth="1"/>
  </cols>
  <sheetData>
    <row r="1" spans="1:38" x14ac:dyDescent="0.45">
      <c r="A1" s="7"/>
    </row>
    <row r="2" spans="1:38" x14ac:dyDescent="0.45">
      <c r="B2" s="15" t="s">
        <v>236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</row>
    <row r="3" spans="1:38" x14ac:dyDescent="0.45">
      <c r="B3" s="18" t="s">
        <v>237</v>
      </c>
      <c r="T3" s="19"/>
    </row>
    <row r="4" spans="1:38" x14ac:dyDescent="0.45">
      <c r="B4" s="98" t="s">
        <v>238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3"/>
    </row>
    <row r="5" spans="1:38" x14ac:dyDescent="0.45">
      <c r="B5" s="35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7"/>
    </row>
    <row r="6" spans="1:38" x14ac:dyDescent="0.45">
      <c r="B6" s="20"/>
      <c r="L6" s="26" t="s">
        <v>583</v>
      </c>
      <c r="T6" s="19"/>
    </row>
    <row r="7" spans="1:38" x14ac:dyDescent="0.45">
      <c r="B7" s="20"/>
      <c r="C7" s="31" t="s">
        <v>244</v>
      </c>
      <c r="L7" s="27" t="s">
        <v>245</v>
      </c>
      <c r="T7" s="19"/>
    </row>
    <row r="8" spans="1:38" x14ac:dyDescent="0.45">
      <c r="B8" s="20"/>
      <c r="C8" s="95" t="e">
        <f>NA()</f>
        <v>#N/A</v>
      </c>
      <c r="D8" s="95" t="e">
        <f>NA()</f>
        <v>#N/A</v>
      </c>
      <c r="E8" s="95" t="e">
        <f>NA()</f>
        <v>#N/A</v>
      </c>
      <c r="F8" s="95" t="e">
        <f>NA()</f>
        <v>#N/A</v>
      </c>
      <c r="G8" s="95" t="e">
        <f>NA()</f>
        <v>#N/A</v>
      </c>
      <c r="H8" s="95" t="e">
        <f>NA()</f>
        <v>#N/A</v>
      </c>
      <c r="I8" s="95" t="e">
        <f>NA()</f>
        <v>#N/A</v>
      </c>
      <c r="J8" s="95" t="e">
        <f>NA()</f>
        <v>#N/A</v>
      </c>
      <c r="L8" s="95" cm="1">
        <f t="array" ref="L8:O12">DeleteWhereλ(EBoard,_xlfn.LAMBDA(_xlpm.v,AND(ISNA(_xlpm.v))))</f>
        <v>7</v>
      </c>
      <c r="M8" s="95">
        <v>5</v>
      </c>
      <c r="N8" s="95">
        <v>7</v>
      </c>
      <c r="O8" s="95">
        <v>6</v>
      </c>
      <c r="T8" s="19"/>
    </row>
    <row r="9" spans="1:38" x14ac:dyDescent="0.45">
      <c r="B9" s="20"/>
      <c r="C9" s="95" t="e">
        <f>NA()</f>
        <v>#N/A</v>
      </c>
      <c r="D9" s="95">
        <v>7</v>
      </c>
      <c r="E9" s="95" t="e">
        <f>NA()</f>
        <v>#N/A</v>
      </c>
      <c r="F9" s="95">
        <v>5</v>
      </c>
      <c r="G9" s="95">
        <v>7</v>
      </c>
      <c r="H9" s="95">
        <v>6</v>
      </c>
      <c r="I9" s="95" t="e">
        <f>NA()</f>
        <v>#N/A</v>
      </c>
      <c r="J9" s="95" t="e">
        <f>NA()</f>
        <v>#N/A</v>
      </c>
      <c r="L9" s="95">
        <v>9</v>
      </c>
      <c r="M9" s="95">
        <v>4</v>
      </c>
      <c r="N9" s="95" t="e">
        <v>#N/A</v>
      </c>
      <c r="O9" s="95">
        <v>5</v>
      </c>
      <c r="T9" s="19"/>
    </row>
    <row r="10" spans="1:38" x14ac:dyDescent="0.45">
      <c r="B10" s="20"/>
      <c r="C10" s="95" t="e">
        <f>NA()</f>
        <v>#N/A</v>
      </c>
      <c r="D10" s="95" t="e">
        <f>NA()</f>
        <v>#N/A</v>
      </c>
      <c r="E10" s="95" t="e">
        <f>NA()</f>
        <v>#N/A</v>
      </c>
      <c r="F10" s="95" t="e">
        <f>NA()</f>
        <v>#N/A</v>
      </c>
      <c r="G10" s="95" t="e">
        <f>NA()</f>
        <v>#N/A</v>
      </c>
      <c r="H10" s="95" t="e">
        <f>NA()</f>
        <v>#N/A</v>
      </c>
      <c r="I10" s="95" t="e">
        <f>NA()</f>
        <v>#N/A</v>
      </c>
      <c r="J10" s="95" t="e">
        <f>NA()</f>
        <v>#N/A</v>
      </c>
      <c r="L10" s="95">
        <v>4</v>
      </c>
      <c r="M10" s="95">
        <v>1</v>
      </c>
      <c r="N10" s="95">
        <v>2</v>
      </c>
      <c r="O10" s="95">
        <v>9</v>
      </c>
      <c r="T10" s="19"/>
    </row>
    <row r="11" spans="1:38" x14ac:dyDescent="0.45">
      <c r="B11" s="20"/>
      <c r="C11" s="95" t="e">
        <f>NA()</f>
        <v>#N/A</v>
      </c>
      <c r="D11" s="95">
        <v>9</v>
      </c>
      <c r="E11" s="95" t="e">
        <f>NA()</f>
        <v>#N/A</v>
      </c>
      <c r="F11" s="95">
        <v>4</v>
      </c>
      <c r="G11" s="95" t="e">
        <f>NA()</f>
        <v>#N/A</v>
      </c>
      <c r="H11" s="95">
        <v>5</v>
      </c>
      <c r="I11" s="95" t="e">
        <f>NA()</f>
        <v>#N/A</v>
      </c>
      <c r="J11" s="95" t="e">
        <f>NA()</f>
        <v>#N/A</v>
      </c>
      <c r="L11" s="95">
        <v>7</v>
      </c>
      <c r="M11" s="95">
        <v>6</v>
      </c>
      <c r="N11" s="95">
        <v>9</v>
      </c>
      <c r="O11" s="95">
        <v>10</v>
      </c>
      <c r="T11" s="19"/>
    </row>
    <row r="12" spans="1:38" x14ac:dyDescent="0.45">
      <c r="B12" s="20"/>
      <c r="C12" s="95" t="e">
        <f>NA()</f>
        <v>#N/A</v>
      </c>
      <c r="D12" s="95">
        <v>4</v>
      </c>
      <c r="E12" s="95" t="e">
        <f>NA()</f>
        <v>#N/A</v>
      </c>
      <c r="F12" s="95">
        <v>1</v>
      </c>
      <c r="G12" s="95">
        <v>2</v>
      </c>
      <c r="H12" s="95">
        <v>9</v>
      </c>
      <c r="I12" s="95" t="e">
        <f>NA()</f>
        <v>#N/A</v>
      </c>
      <c r="J12" s="95" t="e">
        <f>NA()</f>
        <v>#N/A</v>
      </c>
      <c r="L12" s="95">
        <v>5</v>
      </c>
      <c r="M12" s="95">
        <v>2</v>
      </c>
      <c r="N12" s="95">
        <v>2</v>
      </c>
      <c r="O12" s="95">
        <v>5</v>
      </c>
      <c r="T12" s="19"/>
      <c r="AL12" s="28"/>
    </row>
    <row r="13" spans="1:38" x14ac:dyDescent="0.45">
      <c r="B13" s="20"/>
      <c r="C13" s="95" t="e">
        <f>NA()</f>
        <v>#N/A</v>
      </c>
      <c r="D13" s="95" t="e">
        <f>NA()</f>
        <v>#N/A</v>
      </c>
      <c r="E13" s="95" t="e">
        <f>NA()</f>
        <v>#N/A</v>
      </c>
      <c r="F13" s="95" t="e">
        <f>NA()</f>
        <v>#N/A</v>
      </c>
      <c r="G13" s="95" t="e">
        <f>NA()</f>
        <v>#N/A</v>
      </c>
      <c r="H13" s="95" t="e">
        <f>NA()</f>
        <v>#N/A</v>
      </c>
      <c r="I13" s="95" t="e">
        <f>NA()</f>
        <v>#N/A</v>
      </c>
      <c r="J13" s="95" t="e">
        <f>NA()</f>
        <v>#N/A</v>
      </c>
      <c r="T13" s="19"/>
      <c r="AL13" s="28"/>
    </row>
    <row r="14" spans="1:38" x14ac:dyDescent="0.45">
      <c r="B14" s="20"/>
      <c r="C14" s="95" t="e">
        <f>NA()</f>
        <v>#N/A</v>
      </c>
      <c r="D14" s="95">
        <v>7</v>
      </c>
      <c r="E14" s="95" t="e">
        <f>NA()</f>
        <v>#N/A</v>
      </c>
      <c r="F14" s="95">
        <v>6</v>
      </c>
      <c r="G14" s="95">
        <v>9</v>
      </c>
      <c r="H14" s="95">
        <v>10</v>
      </c>
      <c r="I14" s="95" t="e">
        <f>NA()</f>
        <v>#N/A</v>
      </c>
      <c r="J14" s="95" t="e">
        <f>NA()</f>
        <v>#N/A</v>
      </c>
      <c r="L14" s="26" t="s">
        <v>247</v>
      </c>
      <c r="T14" s="19"/>
    </row>
    <row r="15" spans="1:38" x14ac:dyDescent="0.45">
      <c r="B15" s="20"/>
      <c r="C15" s="95" t="e">
        <f>NA()</f>
        <v>#N/A</v>
      </c>
      <c r="D15" s="95">
        <v>5</v>
      </c>
      <c r="E15" s="95" t="e">
        <f>NA()</f>
        <v>#N/A</v>
      </c>
      <c r="F15" s="95">
        <v>2</v>
      </c>
      <c r="G15" s="95">
        <v>2</v>
      </c>
      <c r="H15" s="95">
        <v>5</v>
      </c>
      <c r="I15" s="95" t="e">
        <f>NA()</f>
        <v>#N/A</v>
      </c>
      <c r="J15" s="95" t="e">
        <f>NA()</f>
        <v>#N/A</v>
      </c>
      <c r="L15" s="27" t="s">
        <v>246</v>
      </c>
      <c r="T15" s="19"/>
    </row>
    <row r="16" spans="1:38" x14ac:dyDescent="0.45">
      <c r="B16" s="20"/>
      <c r="C16" s="95" t="e">
        <f>NA()</f>
        <v>#N/A</v>
      </c>
      <c r="D16" s="95" t="e">
        <f>NA()</f>
        <v>#N/A</v>
      </c>
      <c r="E16" s="95" t="e">
        <f>NA()</f>
        <v>#N/A</v>
      </c>
      <c r="F16" s="95" t="e">
        <f>NA()</f>
        <v>#N/A</v>
      </c>
      <c r="G16" s="95" t="e">
        <f>NA()</f>
        <v>#N/A</v>
      </c>
      <c r="H16" s="95" t="e">
        <f>NA()</f>
        <v>#N/A</v>
      </c>
      <c r="I16" s="95" t="e">
        <f>NA()</f>
        <v>#N/A</v>
      </c>
      <c r="J16" s="95" t="e">
        <f>NA()</f>
        <v>#N/A</v>
      </c>
      <c r="L16" s="97" t="str" cm="1">
        <f t="array" ref="L16">DeleteWhereλ(EBoard,_xlfn.LAMBDA(_xlpm.v,OR(ISNA(_xlpm.v))))</f>
        <v>#EMPTY-ARRAY!</v>
      </c>
      <c r="T16" s="19"/>
    </row>
    <row r="17" spans="2:20" x14ac:dyDescent="0.45">
      <c r="B17" s="21"/>
      <c r="C17" s="95" t="e">
        <f>NA()</f>
        <v>#N/A</v>
      </c>
      <c r="D17" s="95" t="e">
        <f>NA()</f>
        <v>#N/A</v>
      </c>
      <c r="E17" s="95" t="e">
        <f>NA()</f>
        <v>#N/A</v>
      </c>
      <c r="F17" s="95" t="e">
        <f>NA()</f>
        <v>#N/A</v>
      </c>
      <c r="G17" s="95" t="e">
        <f>NA()</f>
        <v>#N/A</v>
      </c>
      <c r="H17" s="95" t="e">
        <f>NA()</f>
        <v>#N/A</v>
      </c>
      <c r="I17" s="95" t="e">
        <f>NA()</f>
        <v>#N/A</v>
      </c>
      <c r="J17" s="95" t="e">
        <f>NA()</f>
        <v>#N/A</v>
      </c>
      <c r="K17" s="22"/>
      <c r="L17" s="22"/>
      <c r="M17" s="22"/>
      <c r="N17" s="22"/>
      <c r="O17" s="22"/>
      <c r="P17" s="22"/>
      <c r="Q17" s="22"/>
      <c r="R17" s="22"/>
      <c r="S17" s="22"/>
      <c r="T17" s="23"/>
    </row>
    <row r="18" spans="2:2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7"/>
    </row>
    <row r="19" spans="2:20" x14ac:dyDescent="0.45">
      <c r="B19" s="20"/>
      <c r="C19" s="31" t="s">
        <v>240</v>
      </c>
      <c r="L19" s="26" t="s">
        <v>242</v>
      </c>
      <c r="T19" s="19"/>
    </row>
    <row r="20" spans="2:20" x14ac:dyDescent="0.45">
      <c r="B20" s="20"/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L20" s="27" t="s">
        <v>241</v>
      </c>
      <c r="T20" s="19"/>
    </row>
    <row r="21" spans="2:20" x14ac:dyDescent="0.45">
      <c r="B21" s="20"/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L21" s="10" cm="1">
        <f t="array" ref="L21:S31">DeleteWhereλ(TBoard,_xlfn.LAMBDA(_xlpm.v,AND(_xlpm.v)))</f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9"/>
    </row>
    <row r="22" spans="2:20" x14ac:dyDescent="0.45">
      <c r="B22" s="20"/>
      <c r="C22" s="10">
        <v>0</v>
      </c>
      <c r="D22" s="10">
        <v>0</v>
      </c>
      <c r="E22" s="10">
        <v>1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9"/>
    </row>
    <row r="23" spans="2:20" x14ac:dyDescent="0.45">
      <c r="B23" s="20"/>
      <c r="C23" s="10">
        <v>0</v>
      </c>
      <c r="D23" s="10">
        <v>1</v>
      </c>
      <c r="E23" s="10">
        <v>1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L23" s="10">
        <v>0</v>
      </c>
      <c r="M23" s="10">
        <v>0</v>
      </c>
      <c r="N23" s="10">
        <v>1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9"/>
    </row>
    <row r="24" spans="2:20" x14ac:dyDescent="0.45">
      <c r="B24" s="20"/>
      <c r="C24" s="95">
        <v>0</v>
      </c>
      <c r="D24" s="95">
        <v>1</v>
      </c>
      <c r="E24" s="95">
        <v>0</v>
      </c>
      <c r="F24" s="95">
        <v>0</v>
      </c>
      <c r="G24" s="95">
        <v>0</v>
      </c>
      <c r="H24" s="95">
        <v>0</v>
      </c>
      <c r="I24" s="95">
        <v>0</v>
      </c>
      <c r="J24" s="95">
        <v>0</v>
      </c>
      <c r="L24" s="10">
        <v>0</v>
      </c>
      <c r="M24" s="10">
        <v>1</v>
      </c>
      <c r="N24" s="10">
        <v>1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9"/>
    </row>
    <row r="25" spans="2:20" x14ac:dyDescent="0.45">
      <c r="B25" s="20"/>
      <c r="C25" s="95">
        <v>0</v>
      </c>
      <c r="D25" s="95">
        <v>0</v>
      </c>
      <c r="E25" s="95">
        <v>0</v>
      </c>
      <c r="F25" s="95">
        <v>0</v>
      </c>
      <c r="G25" s="95">
        <v>0</v>
      </c>
      <c r="H25" s="95">
        <v>0</v>
      </c>
      <c r="I25" s="95">
        <v>0</v>
      </c>
      <c r="J25" s="95">
        <v>0</v>
      </c>
      <c r="L25" s="10">
        <v>0</v>
      </c>
      <c r="M25" s="10">
        <v>1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9"/>
    </row>
    <row r="26" spans="2:20" x14ac:dyDescent="0.45">
      <c r="B26" s="20"/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0</v>
      </c>
      <c r="S26" s="10">
        <v>0</v>
      </c>
      <c r="T26" s="19"/>
    </row>
    <row r="27" spans="2:20" x14ac:dyDescent="0.45">
      <c r="B27" s="20"/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9"/>
    </row>
    <row r="28" spans="2:20" x14ac:dyDescent="0.45">
      <c r="B28" s="20"/>
      <c r="C28" s="10">
        <v>1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9"/>
    </row>
    <row r="29" spans="2:20" x14ac:dyDescent="0.45">
      <c r="B29" s="20"/>
      <c r="C29" s="10">
        <v>1</v>
      </c>
      <c r="D29" s="10">
        <v>0</v>
      </c>
      <c r="E29" s="10">
        <v>0</v>
      </c>
      <c r="F29" s="10">
        <v>0</v>
      </c>
      <c r="G29" s="10">
        <v>1</v>
      </c>
      <c r="H29" s="10">
        <v>0</v>
      </c>
      <c r="I29" s="10">
        <v>1</v>
      </c>
      <c r="J29" s="10">
        <v>1</v>
      </c>
      <c r="L29" s="10">
        <v>1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9"/>
    </row>
    <row r="30" spans="2:20" x14ac:dyDescent="0.45">
      <c r="B30" s="20"/>
      <c r="C30" s="10">
        <v>1</v>
      </c>
      <c r="D30" s="10">
        <v>0</v>
      </c>
      <c r="E30" s="10">
        <v>0</v>
      </c>
      <c r="F30" s="10">
        <v>0</v>
      </c>
      <c r="G30" s="10">
        <v>1</v>
      </c>
      <c r="H30" s="10">
        <v>0</v>
      </c>
      <c r="I30" s="10">
        <v>1</v>
      </c>
      <c r="J30" s="10">
        <v>1</v>
      </c>
      <c r="L30" s="10">
        <v>1</v>
      </c>
      <c r="M30" s="10">
        <v>0</v>
      </c>
      <c r="N30" s="10">
        <v>0</v>
      </c>
      <c r="O30" s="10">
        <v>0</v>
      </c>
      <c r="P30" s="10">
        <v>1</v>
      </c>
      <c r="Q30" s="10">
        <v>0</v>
      </c>
      <c r="R30" s="10">
        <v>1</v>
      </c>
      <c r="S30" s="10">
        <v>1</v>
      </c>
      <c r="T30" s="19"/>
    </row>
    <row r="31" spans="2:20" x14ac:dyDescent="0.45">
      <c r="B31" s="20"/>
      <c r="C31" s="10">
        <v>1</v>
      </c>
      <c r="D31" s="10">
        <v>1</v>
      </c>
      <c r="E31" s="10">
        <v>1</v>
      </c>
      <c r="F31" s="10">
        <v>1</v>
      </c>
      <c r="G31" s="10">
        <v>1</v>
      </c>
      <c r="H31" s="10">
        <v>1</v>
      </c>
      <c r="I31" s="10">
        <v>1</v>
      </c>
      <c r="J31" s="10">
        <v>1</v>
      </c>
      <c r="L31" s="10">
        <v>1</v>
      </c>
      <c r="M31" s="10">
        <v>0</v>
      </c>
      <c r="N31" s="10">
        <v>0</v>
      </c>
      <c r="O31" s="10">
        <v>0</v>
      </c>
      <c r="P31" s="10">
        <v>1</v>
      </c>
      <c r="Q31" s="10">
        <v>0</v>
      </c>
      <c r="R31" s="10">
        <v>1</v>
      </c>
      <c r="S31" s="10">
        <v>1</v>
      </c>
      <c r="T31" s="19"/>
    </row>
    <row r="32" spans="2:20" x14ac:dyDescent="0.45">
      <c r="B32" s="20"/>
      <c r="C32" s="10">
        <v>1</v>
      </c>
      <c r="D32" s="10">
        <v>1</v>
      </c>
      <c r="E32" s="10">
        <v>1</v>
      </c>
      <c r="F32" s="10">
        <v>1</v>
      </c>
      <c r="G32" s="10">
        <v>1</v>
      </c>
      <c r="H32" s="10">
        <v>1</v>
      </c>
      <c r="I32" s="10">
        <v>1</v>
      </c>
      <c r="J32" s="10">
        <v>1</v>
      </c>
      <c r="T32" s="19"/>
    </row>
    <row r="33" spans="2:20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3"/>
    </row>
  </sheetData>
  <conditionalFormatting sqref="C20:J32">
    <cfRule type="cellIs" dxfId="1" priority="1" operator="equal">
      <formula>1</formula>
    </cfRule>
  </conditionalFormatting>
  <conditionalFormatting sqref="L21:S31"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209DA-F376-4E02-BCB8-A6C7C925DCCE}">
  <sheetPr codeName="Sheet5">
    <tabColor rgb="FFF6C6C6"/>
  </sheetPr>
  <dimension ref="A1:AD21"/>
  <sheetViews>
    <sheetView workbookViewId="0"/>
  </sheetViews>
  <sheetFormatPr defaultRowHeight="16.5" x14ac:dyDescent="0.45"/>
  <cols>
    <col min="1" max="1" width="5" customWidth="1"/>
    <col min="2" max="12" width="3.5" customWidth="1"/>
    <col min="13" max="21" width="4.58203125" customWidth="1"/>
    <col min="22" max="22" width="4.9140625" customWidth="1"/>
    <col min="23" max="23" width="4.33203125" customWidth="1"/>
    <col min="24" max="24" width="4.33203125" bestFit="1" customWidth="1"/>
    <col min="25" max="25" width="4.25" bestFit="1" customWidth="1"/>
    <col min="26" max="26" width="3.83203125" bestFit="1" customWidth="1"/>
    <col min="27" max="27" width="4.5" bestFit="1" customWidth="1"/>
    <col min="28" max="28" width="4.25" bestFit="1" customWidth="1"/>
    <col min="29" max="29" width="5.08203125" bestFit="1" customWidth="1"/>
  </cols>
  <sheetData>
    <row r="1" spans="1:30" x14ac:dyDescent="0.45">
      <c r="A1" s="7"/>
    </row>
    <row r="2" spans="1:30" x14ac:dyDescent="0.45">
      <c r="B2" s="15" t="s">
        <v>248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7"/>
    </row>
    <row r="3" spans="1:30" x14ac:dyDescent="0.45">
      <c r="B3" s="18" t="s">
        <v>249</v>
      </c>
      <c r="AD3" s="19"/>
    </row>
    <row r="4" spans="1:30" x14ac:dyDescent="0.45">
      <c r="B4" s="21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3"/>
    </row>
    <row r="5" spans="1:30" x14ac:dyDescent="0.45">
      <c r="B5" s="20"/>
      <c r="J5" s="17"/>
      <c r="AD5" s="19"/>
    </row>
    <row r="6" spans="1:30" x14ac:dyDescent="0.45">
      <c r="B6" s="20"/>
      <c r="C6" s="116" t="s">
        <v>239</v>
      </c>
      <c r="J6" s="19"/>
      <c r="M6" s="31" t="s">
        <v>257</v>
      </c>
      <c r="W6" s="26" t="s">
        <v>251</v>
      </c>
      <c r="AD6" s="19"/>
    </row>
    <row r="7" spans="1:30" x14ac:dyDescent="0.45">
      <c r="B7" s="20"/>
      <c r="C7" s="9">
        <v>36</v>
      </c>
      <c r="D7" s="9">
        <v>40</v>
      </c>
      <c r="E7" s="14"/>
      <c r="F7" s="9">
        <v>34</v>
      </c>
      <c r="G7" s="9">
        <v>72</v>
      </c>
      <c r="J7" s="19"/>
      <c r="M7" s="9" t="s">
        <v>135</v>
      </c>
      <c r="N7" s="9" t="s">
        <v>136</v>
      </c>
      <c r="O7" s="9" t="s">
        <v>252</v>
      </c>
      <c r="P7" s="14"/>
      <c r="Q7" s="9" t="s">
        <v>253</v>
      </c>
      <c r="R7" s="9" t="s">
        <v>254</v>
      </c>
      <c r="S7" s="9" t="s">
        <v>255</v>
      </c>
      <c r="T7" s="14"/>
      <c r="U7" s="9" t="s">
        <v>130</v>
      </c>
      <c r="W7" s="27" t="s">
        <v>256</v>
      </c>
      <c r="AD7" s="19"/>
    </row>
    <row r="8" spans="1:30" x14ac:dyDescent="0.45">
      <c r="B8" s="20"/>
      <c r="C8" s="9">
        <v>74</v>
      </c>
      <c r="D8" s="9">
        <v>20</v>
      </c>
      <c r="E8" s="14"/>
      <c r="F8" s="9">
        <v>20</v>
      </c>
      <c r="G8" s="9">
        <v>93</v>
      </c>
      <c r="J8" s="19"/>
      <c r="M8" s="9">
        <v>8</v>
      </c>
      <c r="N8" s="9">
        <v>9</v>
      </c>
      <c r="O8" s="9">
        <v>1</v>
      </c>
      <c r="P8" s="14"/>
      <c r="Q8" s="9">
        <v>1</v>
      </c>
      <c r="R8" s="9">
        <v>9</v>
      </c>
      <c r="S8" s="9">
        <v>7</v>
      </c>
      <c r="T8" s="14"/>
      <c r="U8" s="9">
        <v>35</v>
      </c>
      <c r="W8" s="9" t="str" cm="1">
        <f t="array" ref="W8:AC18">Pinchλ(PBoard)</f>
        <v>Jul</v>
      </c>
      <c r="X8" s="9" t="str">
        <v>Aug</v>
      </c>
      <c r="Y8" s="9" t="str">
        <v>Sep</v>
      </c>
      <c r="Z8" s="9" t="str">
        <v>Oct</v>
      </c>
      <c r="AA8" s="9" t="str">
        <v>Nov</v>
      </c>
      <c r="AB8" s="9" t="str">
        <v>Dec</v>
      </c>
      <c r="AC8" s="9" t="str">
        <v>Total</v>
      </c>
      <c r="AD8" s="19"/>
    </row>
    <row r="9" spans="1:30" x14ac:dyDescent="0.45">
      <c r="B9" s="20"/>
      <c r="C9" s="14"/>
      <c r="D9" s="14"/>
      <c r="E9" s="14"/>
      <c r="F9" s="14"/>
      <c r="G9" s="14"/>
      <c r="J9" s="19"/>
      <c r="M9" s="9">
        <v>6</v>
      </c>
      <c r="N9" s="9">
        <v>8</v>
      </c>
      <c r="O9" s="9">
        <v>2</v>
      </c>
      <c r="P9" s="14"/>
      <c r="Q9" s="9">
        <v>6</v>
      </c>
      <c r="R9" s="9">
        <v>6</v>
      </c>
      <c r="S9" s="9">
        <v>8</v>
      </c>
      <c r="T9" s="14"/>
      <c r="U9" s="9">
        <v>36</v>
      </c>
      <c r="W9" s="9">
        <v>8</v>
      </c>
      <c r="X9" s="9">
        <v>9</v>
      </c>
      <c r="Y9" s="9">
        <v>1</v>
      </c>
      <c r="Z9" s="9">
        <v>1</v>
      </c>
      <c r="AA9" s="9">
        <v>9</v>
      </c>
      <c r="AB9" s="9">
        <v>7</v>
      </c>
      <c r="AC9" s="9">
        <v>35</v>
      </c>
      <c r="AD9" s="19"/>
    </row>
    <row r="10" spans="1:30" x14ac:dyDescent="0.45">
      <c r="B10" s="20"/>
      <c r="C10" s="9">
        <v>46</v>
      </c>
      <c r="D10" s="9">
        <v>69</v>
      </c>
      <c r="E10" s="14"/>
      <c r="F10" s="9">
        <v>24</v>
      </c>
      <c r="G10" s="9">
        <v>87</v>
      </c>
      <c r="J10" s="19"/>
      <c r="M10" s="9">
        <v>2</v>
      </c>
      <c r="N10" s="9">
        <v>5</v>
      </c>
      <c r="O10" s="9">
        <v>3</v>
      </c>
      <c r="P10" s="14"/>
      <c r="Q10" s="9">
        <v>1</v>
      </c>
      <c r="R10" s="9">
        <v>10</v>
      </c>
      <c r="S10" s="9">
        <v>3</v>
      </c>
      <c r="T10" s="14"/>
      <c r="U10" s="9">
        <v>24</v>
      </c>
      <c r="W10" s="9">
        <v>6</v>
      </c>
      <c r="X10" s="9">
        <v>8</v>
      </c>
      <c r="Y10" s="9">
        <v>2</v>
      </c>
      <c r="Z10" s="9">
        <v>6</v>
      </c>
      <c r="AA10" s="9">
        <v>6</v>
      </c>
      <c r="AB10" s="9">
        <v>8</v>
      </c>
      <c r="AC10" s="9">
        <v>36</v>
      </c>
      <c r="AD10" s="19"/>
    </row>
    <row r="11" spans="1:30" x14ac:dyDescent="0.45">
      <c r="B11" s="20"/>
      <c r="C11" s="9">
        <v>69</v>
      </c>
      <c r="D11" s="9">
        <v>96</v>
      </c>
      <c r="E11" s="14"/>
      <c r="F11" s="9">
        <v>34</v>
      </c>
      <c r="G11" s="9">
        <v>70</v>
      </c>
      <c r="J11" s="19"/>
      <c r="M11" s="9">
        <v>6</v>
      </c>
      <c r="N11" s="9">
        <v>9</v>
      </c>
      <c r="O11" s="9">
        <v>3</v>
      </c>
      <c r="P11" s="14"/>
      <c r="Q11" s="9">
        <v>5</v>
      </c>
      <c r="R11" s="9">
        <v>9</v>
      </c>
      <c r="S11" s="9">
        <v>7</v>
      </c>
      <c r="T11" s="14"/>
      <c r="U11" s="9">
        <v>39</v>
      </c>
      <c r="W11" s="9">
        <v>2</v>
      </c>
      <c r="X11" s="9">
        <v>5</v>
      </c>
      <c r="Y11" s="9">
        <v>3</v>
      </c>
      <c r="Z11" s="9">
        <v>1</v>
      </c>
      <c r="AA11" s="9">
        <v>10</v>
      </c>
      <c r="AB11" s="9">
        <v>3</v>
      </c>
      <c r="AC11" s="9">
        <v>24</v>
      </c>
      <c r="AD11" s="19"/>
    </row>
    <row r="12" spans="1:30" x14ac:dyDescent="0.45">
      <c r="B12" s="20"/>
      <c r="C12" s="20"/>
      <c r="J12" s="19"/>
      <c r="M12" s="9">
        <v>4</v>
      </c>
      <c r="N12" s="9">
        <v>6</v>
      </c>
      <c r="O12" s="9">
        <v>10</v>
      </c>
      <c r="P12" s="14"/>
      <c r="Q12" s="9">
        <v>7</v>
      </c>
      <c r="R12" s="9">
        <v>2</v>
      </c>
      <c r="S12" s="9">
        <v>8</v>
      </c>
      <c r="T12" s="14"/>
      <c r="U12" s="9">
        <v>37</v>
      </c>
      <c r="W12" s="9">
        <v>6</v>
      </c>
      <c r="X12" s="9">
        <v>9</v>
      </c>
      <c r="Y12" s="9">
        <v>3</v>
      </c>
      <c r="Z12" s="9">
        <v>5</v>
      </c>
      <c r="AA12" s="9">
        <v>9</v>
      </c>
      <c r="AB12" s="9">
        <v>7</v>
      </c>
      <c r="AC12" s="9">
        <v>39</v>
      </c>
      <c r="AD12" s="19"/>
    </row>
    <row r="13" spans="1:30" x14ac:dyDescent="0.45">
      <c r="B13" s="20"/>
      <c r="C13" s="33" t="s">
        <v>251</v>
      </c>
      <c r="J13" s="19"/>
      <c r="M13" s="9">
        <v>4</v>
      </c>
      <c r="N13" s="9">
        <v>4</v>
      </c>
      <c r="O13" s="9">
        <v>4</v>
      </c>
      <c r="P13" s="14"/>
      <c r="Q13" s="9">
        <v>1</v>
      </c>
      <c r="R13" s="9">
        <v>1</v>
      </c>
      <c r="S13" s="9">
        <v>1</v>
      </c>
      <c r="T13" s="14"/>
      <c r="U13" s="9">
        <v>15</v>
      </c>
      <c r="W13" s="9">
        <v>4</v>
      </c>
      <c r="X13" s="9">
        <v>6</v>
      </c>
      <c r="Y13" s="9">
        <v>10</v>
      </c>
      <c r="Z13" s="9">
        <v>7</v>
      </c>
      <c r="AA13" s="9">
        <v>2</v>
      </c>
      <c r="AB13" s="9">
        <v>8</v>
      </c>
      <c r="AC13" s="9">
        <v>37</v>
      </c>
      <c r="AD13" s="19"/>
    </row>
    <row r="14" spans="1:30" x14ac:dyDescent="0.45">
      <c r="B14" s="20"/>
      <c r="C14" s="34" t="s">
        <v>250</v>
      </c>
      <c r="J14" s="19"/>
      <c r="M14" s="9">
        <v>3</v>
      </c>
      <c r="N14" s="9">
        <v>10</v>
      </c>
      <c r="O14" s="9">
        <v>6</v>
      </c>
      <c r="P14" s="14"/>
      <c r="Q14" s="9">
        <v>7</v>
      </c>
      <c r="R14" s="9">
        <v>10</v>
      </c>
      <c r="S14" s="9">
        <v>7</v>
      </c>
      <c r="T14" s="14"/>
      <c r="U14" s="9">
        <v>43</v>
      </c>
      <c r="W14" s="9">
        <v>4</v>
      </c>
      <c r="X14" s="9">
        <v>4</v>
      </c>
      <c r="Y14" s="9">
        <v>4</v>
      </c>
      <c r="Z14" s="9">
        <v>1</v>
      </c>
      <c r="AA14" s="9">
        <v>1</v>
      </c>
      <c r="AB14" s="9">
        <v>1</v>
      </c>
      <c r="AC14" s="9">
        <v>15</v>
      </c>
      <c r="AD14" s="19"/>
    </row>
    <row r="15" spans="1:30" x14ac:dyDescent="0.45">
      <c r="B15" s="20"/>
      <c r="C15" s="9" cm="1">
        <f t="array" ref="C15:F18">Pinchλ(Board)</f>
        <v>36</v>
      </c>
      <c r="D15" s="9">
        <v>40</v>
      </c>
      <c r="E15" s="9">
        <v>34</v>
      </c>
      <c r="F15" s="9">
        <v>72</v>
      </c>
      <c r="J15" s="19"/>
      <c r="M15" s="9">
        <v>3</v>
      </c>
      <c r="N15" s="9">
        <v>7</v>
      </c>
      <c r="O15" s="9">
        <v>5</v>
      </c>
      <c r="P15" s="14"/>
      <c r="Q15" s="9">
        <v>1</v>
      </c>
      <c r="R15" s="9">
        <v>9</v>
      </c>
      <c r="S15" s="9">
        <v>9</v>
      </c>
      <c r="T15" s="14"/>
      <c r="U15" s="9">
        <v>34</v>
      </c>
      <c r="W15" s="9">
        <v>3</v>
      </c>
      <c r="X15" s="9">
        <v>10</v>
      </c>
      <c r="Y15" s="9">
        <v>6</v>
      </c>
      <c r="Z15" s="9">
        <v>7</v>
      </c>
      <c r="AA15" s="9">
        <v>10</v>
      </c>
      <c r="AB15" s="9">
        <v>7</v>
      </c>
      <c r="AC15" s="9">
        <v>43</v>
      </c>
      <c r="AD15" s="19"/>
    </row>
    <row r="16" spans="1:30" x14ac:dyDescent="0.45">
      <c r="B16" s="20"/>
      <c r="C16" s="9">
        <v>74</v>
      </c>
      <c r="D16" s="9">
        <v>20</v>
      </c>
      <c r="E16" s="9">
        <v>20</v>
      </c>
      <c r="F16" s="9">
        <v>93</v>
      </c>
      <c r="J16" s="19"/>
      <c r="M16" s="9">
        <v>9</v>
      </c>
      <c r="N16" s="9">
        <v>3</v>
      </c>
      <c r="O16" s="9">
        <v>4</v>
      </c>
      <c r="P16" s="14"/>
      <c r="Q16" s="9">
        <v>2</v>
      </c>
      <c r="R16" s="9">
        <v>2</v>
      </c>
      <c r="S16" s="9">
        <v>6</v>
      </c>
      <c r="T16" s="14"/>
      <c r="U16" s="9">
        <v>26</v>
      </c>
      <c r="W16" s="9">
        <v>3</v>
      </c>
      <c r="X16" s="9">
        <v>7</v>
      </c>
      <c r="Y16" s="9">
        <v>5</v>
      </c>
      <c r="Z16" s="9">
        <v>1</v>
      </c>
      <c r="AA16" s="9">
        <v>9</v>
      </c>
      <c r="AB16" s="9">
        <v>9</v>
      </c>
      <c r="AC16" s="9">
        <v>34</v>
      </c>
      <c r="AD16" s="19"/>
    </row>
    <row r="17" spans="2:30" x14ac:dyDescent="0.45">
      <c r="B17" s="20"/>
      <c r="C17" s="9">
        <v>46</v>
      </c>
      <c r="D17" s="9">
        <v>69</v>
      </c>
      <c r="E17" s="9">
        <v>24</v>
      </c>
      <c r="F17" s="9">
        <v>87</v>
      </c>
      <c r="J17" s="19"/>
      <c r="M17" s="9">
        <v>6</v>
      </c>
      <c r="N17" s="9">
        <v>10</v>
      </c>
      <c r="O17" s="9">
        <v>6</v>
      </c>
      <c r="P17" s="14"/>
      <c r="Q17" s="9">
        <v>5</v>
      </c>
      <c r="R17" s="9">
        <v>10</v>
      </c>
      <c r="S17" s="9">
        <v>1</v>
      </c>
      <c r="T17" s="14"/>
      <c r="U17" s="9">
        <v>38</v>
      </c>
      <c r="W17" s="9">
        <v>9</v>
      </c>
      <c r="X17" s="9">
        <v>3</v>
      </c>
      <c r="Y17" s="9">
        <v>4</v>
      </c>
      <c r="Z17" s="9">
        <v>2</v>
      </c>
      <c r="AA17" s="9">
        <v>2</v>
      </c>
      <c r="AB17" s="9">
        <v>6</v>
      </c>
      <c r="AC17" s="9">
        <v>26</v>
      </c>
      <c r="AD17" s="19"/>
    </row>
    <row r="18" spans="2:30" x14ac:dyDescent="0.45">
      <c r="B18" s="20"/>
      <c r="C18" s="9">
        <v>69</v>
      </c>
      <c r="D18" s="9">
        <v>96</v>
      </c>
      <c r="E18" s="9">
        <v>34</v>
      </c>
      <c r="F18" s="9">
        <v>70</v>
      </c>
      <c r="J18" s="19"/>
      <c r="M18" s="14"/>
      <c r="N18" s="14"/>
      <c r="O18" s="14"/>
      <c r="P18" s="14"/>
      <c r="Q18" s="14"/>
      <c r="R18" s="14"/>
      <c r="S18" s="14"/>
      <c r="T18" s="14"/>
      <c r="U18" s="14"/>
      <c r="W18" s="9">
        <v>6</v>
      </c>
      <c r="X18" s="9">
        <v>10</v>
      </c>
      <c r="Y18" s="9">
        <v>6</v>
      </c>
      <c r="Z18" s="9">
        <v>5</v>
      </c>
      <c r="AA18" s="9">
        <v>10</v>
      </c>
      <c r="AB18" s="9">
        <v>1</v>
      </c>
      <c r="AC18" s="9">
        <v>38</v>
      </c>
      <c r="AD18" s="19"/>
    </row>
    <row r="19" spans="2:30" x14ac:dyDescent="0.45">
      <c r="B19" s="20"/>
      <c r="J19" s="19"/>
      <c r="AD19" s="19"/>
    </row>
    <row r="20" spans="2:30" x14ac:dyDescent="0.45">
      <c r="B20" s="20"/>
      <c r="J20" s="19"/>
      <c r="AD20" s="19"/>
    </row>
    <row r="21" spans="2:30" x14ac:dyDescent="0.45">
      <c r="B21" s="21"/>
      <c r="C21" s="22"/>
      <c r="D21" s="22"/>
      <c r="E21" s="22"/>
      <c r="F21" s="22"/>
      <c r="G21" s="22"/>
      <c r="H21" s="22"/>
      <c r="I21" s="22"/>
      <c r="J21" s="23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F4076-7D2B-4533-B086-26827CB9C6B0}">
  <sheetPr codeName="Sheet6">
    <tabColor rgb="FFF6C6C6"/>
  </sheetPr>
  <dimension ref="A1:AL30"/>
  <sheetViews>
    <sheetView workbookViewId="0"/>
  </sheetViews>
  <sheetFormatPr defaultRowHeight="16.5" x14ac:dyDescent="0.45"/>
  <cols>
    <col min="1" max="1" width="5" customWidth="1"/>
    <col min="2" max="2" width="3.33203125" customWidth="1"/>
    <col min="3" max="6" width="3.33203125" bestFit="1" customWidth="1"/>
    <col min="7" max="7" width="4.9140625" customWidth="1"/>
    <col min="8" max="12" width="3.33203125" customWidth="1"/>
    <col min="13" max="13" width="7.6640625" customWidth="1"/>
    <col min="14" max="14" width="3" customWidth="1"/>
    <col min="15" max="15" width="9.33203125" customWidth="1"/>
    <col min="16" max="24" width="4.58203125" customWidth="1"/>
    <col min="25" max="25" width="5.58203125" bestFit="1" customWidth="1"/>
    <col min="26" max="35" width="4.58203125" customWidth="1"/>
    <col min="36" max="36" width="6" customWidth="1"/>
    <col min="37" max="37" width="4.58203125" customWidth="1"/>
  </cols>
  <sheetData>
    <row r="1" spans="1:38" x14ac:dyDescent="0.45">
      <c r="A1" s="7"/>
    </row>
    <row r="2" spans="1:38" x14ac:dyDescent="0.45">
      <c r="B2" s="15" t="s">
        <v>258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7"/>
    </row>
    <row r="3" spans="1:38" x14ac:dyDescent="0.45">
      <c r="B3" s="18" t="s">
        <v>259</v>
      </c>
      <c r="O3" s="19"/>
    </row>
    <row r="4" spans="1:38" x14ac:dyDescent="0.45">
      <c r="B4" s="104" t="s">
        <v>260</v>
      </c>
      <c r="O4" s="19"/>
    </row>
    <row r="5" spans="1:38" x14ac:dyDescent="0.45">
      <c r="B5" s="18" t="s">
        <v>261</v>
      </c>
      <c r="O5" s="19"/>
    </row>
    <row r="6" spans="1:38" x14ac:dyDescent="0.45">
      <c r="B6" s="98" t="s">
        <v>262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3"/>
    </row>
    <row r="8" spans="1:38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O8" s="164" t="s">
        <v>280</v>
      </c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7"/>
    </row>
    <row r="9" spans="1:38" x14ac:dyDescent="0.45">
      <c r="B9" s="96" t="s">
        <v>263</v>
      </c>
      <c r="H9" s="26" t="s">
        <v>265</v>
      </c>
      <c r="M9" s="19"/>
      <c r="O9" s="105" t="s">
        <v>270</v>
      </c>
      <c r="P9" s="105">
        <v>1</v>
      </c>
      <c r="Q9" s="105">
        <v>2</v>
      </c>
      <c r="R9" s="105">
        <v>3</v>
      </c>
      <c r="S9" s="105">
        <v>4</v>
      </c>
      <c r="T9" s="105">
        <v>5</v>
      </c>
      <c r="U9" s="105">
        <v>6</v>
      </c>
      <c r="V9" s="105">
        <v>7</v>
      </c>
      <c r="W9" s="105">
        <v>8</v>
      </c>
      <c r="X9" s="105">
        <v>9</v>
      </c>
      <c r="Y9" s="105" t="s">
        <v>243</v>
      </c>
      <c r="Z9" s="105">
        <v>10</v>
      </c>
      <c r="AA9" s="105">
        <v>11</v>
      </c>
      <c r="AB9" s="105">
        <v>12</v>
      </c>
      <c r="AC9" s="105">
        <v>13</v>
      </c>
      <c r="AD9" s="105">
        <v>14</v>
      </c>
      <c r="AE9" s="105">
        <v>15</v>
      </c>
      <c r="AF9" s="105">
        <v>16</v>
      </c>
      <c r="AG9" s="105">
        <v>17</v>
      </c>
      <c r="AH9" s="105">
        <v>18</v>
      </c>
      <c r="AI9" s="105" t="s">
        <v>271</v>
      </c>
      <c r="AJ9" s="105" t="s">
        <v>272</v>
      </c>
      <c r="AK9" s="105" t="s">
        <v>276</v>
      </c>
      <c r="AL9" s="19"/>
    </row>
    <row r="10" spans="1:38" x14ac:dyDescent="0.45">
      <c r="B10" s="9">
        <v>1</v>
      </c>
      <c r="C10" s="9">
        <v>2</v>
      </c>
      <c r="D10" s="9">
        <v>3</v>
      </c>
      <c r="E10" s="9">
        <v>4</v>
      </c>
      <c r="F10" s="9">
        <v>5</v>
      </c>
      <c r="H10" s="27" t="s">
        <v>264</v>
      </c>
      <c r="M10" s="19"/>
      <c r="O10" s="10" t="s">
        <v>273</v>
      </c>
      <c r="P10" s="10">
        <v>4</v>
      </c>
      <c r="Q10" s="10">
        <v>4</v>
      </c>
      <c r="R10" s="10">
        <v>3</v>
      </c>
      <c r="S10" s="10">
        <v>5</v>
      </c>
      <c r="T10" s="10">
        <v>4</v>
      </c>
      <c r="U10" s="10">
        <v>4</v>
      </c>
      <c r="V10" s="10">
        <v>4</v>
      </c>
      <c r="W10" s="10">
        <v>4</v>
      </c>
      <c r="X10" s="10">
        <v>3</v>
      </c>
      <c r="Y10" s="45">
        <v>35</v>
      </c>
      <c r="Z10" s="10">
        <v>4</v>
      </c>
      <c r="AA10" s="10">
        <v>4</v>
      </c>
      <c r="AB10" s="10">
        <v>4</v>
      </c>
      <c r="AC10" s="10">
        <v>4</v>
      </c>
      <c r="AD10" s="10">
        <v>4</v>
      </c>
      <c r="AE10" s="10">
        <v>5</v>
      </c>
      <c r="AF10" s="10">
        <v>5</v>
      </c>
      <c r="AG10" s="10">
        <v>4</v>
      </c>
      <c r="AH10" s="10">
        <v>4</v>
      </c>
      <c r="AI10" s="45">
        <v>38</v>
      </c>
      <c r="AJ10" s="10">
        <v>73</v>
      </c>
      <c r="AK10" s="103"/>
      <c r="AL10" s="19"/>
    </row>
    <row r="11" spans="1:38" x14ac:dyDescent="0.45">
      <c r="B11" s="9">
        <v>2</v>
      </c>
      <c r="C11" s="9">
        <v>4</v>
      </c>
      <c r="D11" s="9">
        <v>6</v>
      </c>
      <c r="E11" s="9">
        <v>8</v>
      </c>
      <c r="F11" s="9">
        <v>10</v>
      </c>
      <c r="H11" s="9" cm="1">
        <f t="array" ref="H11:L14">Removeλ(SimpleGrid,3)</f>
        <v>1</v>
      </c>
      <c r="I11" s="9">
        <v>2</v>
      </c>
      <c r="J11" s="9">
        <v>3</v>
      </c>
      <c r="K11" s="9">
        <v>4</v>
      </c>
      <c r="L11" s="9">
        <v>5</v>
      </c>
      <c r="M11" s="19"/>
      <c r="O11" s="10" t="s">
        <v>274</v>
      </c>
      <c r="P11" s="10">
        <v>410</v>
      </c>
      <c r="Q11" s="10">
        <v>380</v>
      </c>
      <c r="R11" s="10">
        <v>165</v>
      </c>
      <c r="S11" s="10">
        <v>520</v>
      </c>
      <c r="T11" s="10">
        <v>405</v>
      </c>
      <c r="U11" s="10">
        <v>390</v>
      </c>
      <c r="V11" s="10">
        <v>430</v>
      </c>
      <c r="W11" s="10">
        <v>360</v>
      </c>
      <c r="X11" s="10">
        <v>180</v>
      </c>
      <c r="Y11" s="10">
        <v>3060</v>
      </c>
      <c r="Z11" s="10">
        <v>420</v>
      </c>
      <c r="AA11" s="10">
        <v>395</v>
      </c>
      <c r="AB11" s="10">
        <v>410</v>
      </c>
      <c r="AC11" s="10">
        <v>405</v>
      </c>
      <c r="AD11" s="10">
        <v>380</v>
      </c>
      <c r="AE11" s="10">
        <v>520</v>
      </c>
      <c r="AF11" s="10">
        <v>510</v>
      </c>
      <c r="AG11" s="10">
        <v>370</v>
      </c>
      <c r="AH11" s="10">
        <v>400</v>
      </c>
      <c r="AI11" s="45">
        <v>3410</v>
      </c>
      <c r="AJ11" s="10">
        <v>6470</v>
      </c>
      <c r="AK11" s="103"/>
      <c r="AL11" s="19"/>
    </row>
    <row r="12" spans="1:38" x14ac:dyDescent="0.45">
      <c r="B12" s="9">
        <v>3</v>
      </c>
      <c r="C12" s="9">
        <v>6</v>
      </c>
      <c r="D12" s="9">
        <v>9</v>
      </c>
      <c r="E12" s="9">
        <v>12</v>
      </c>
      <c r="F12" s="9">
        <v>15</v>
      </c>
      <c r="H12" s="9">
        <v>2</v>
      </c>
      <c r="I12" s="9">
        <v>4</v>
      </c>
      <c r="J12" s="9">
        <v>6</v>
      </c>
      <c r="K12" s="9">
        <v>8</v>
      </c>
      <c r="L12" s="9">
        <v>10</v>
      </c>
      <c r="M12" s="19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45"/>
      <c r="Z12" s="10"/>
      <c r="AA12" s="10"/>
      <c r="AB12" s="10"/>
      <c r="AC12" s="10"/>
      <c r="AD12" s="10"/>
      <c r="AE12" s="10"/>
      <c r="AF12" s="10"/>
      <c r="AG12" s="10"/>
      <c r="AH12" s="10"/>
      <c r="AI12" s="45"/>
      <c r="AJ12" s="10"/>
      <c r="AK12" s="38"/>
      <c r="AL12" s="19"/>
    </row>
    <row r="13" spans="1:38" x14ac:dyDescent="0.45">
      <c r="B13" s="9">
        <v>4</v>
      </c>
      <c r="C13" s="9">
        <v>8</v>
      </c>
      <c r="D13" s="9">
        <v>12</v>
      </c>
      <c r="E13" s="9">
        <v>16</v>
      </c>
      <c r="F13" s="9">
        <v>20</v>
      </c>
      <c r="H13" s="9">
        <v>4</v>
      </c>
      <c r="I13" s="9">
        <v>8</v>
      </c>
      <c r="J13" s="9">
        <v>12</v>
      </c>
      <c r="K13" s="9">
        <v>16</v>
      </c>
      <c r="L13" s="9">
        <v>20</v>
      </c>
      <c r="M13" s="19"/>
      <c r="O13" s="106" t="s">
        <v>283</v>
      </c>
      <c r="P13" s="10">
        <v>3</v>
      </c>
      <c r="Q13" s="10">
        <v>4</v>
      </c>
      <c r="R13" s="10">
        <v>3</v>
      </c>
      <c r="S13" s="10">
        <v>4</v>
      </c>
      <c r="T13" s="10">
        <v>3</v>
      </c>
      <c r="U13" s="10">
        <v>4</v>
      </c>
      <c r="V13" s="10">
        <v>3</v>
      </c>
      <c r="W13" s="10">
        <v>3</v>
      </c>
      <c r="X13" s="10">
        <v>3</v>
      </c>
      <c r="Y13" s="45">
        <v>30</v>
      </c>
      <c r="Z13" s="10">
        <v>4</v>
      </c>
      <c r="AA13" s="10">
        <v>4</v>
      </c>
      <c r="AB13" s="10">
        <v>3</v>
      </c>
      <c r="AC13" s="10">
        <v>5</v>
      </c>
      <c r="AD13" s="10">
        <v>5</v>
      </c>
      <c r="AE13" s="10">
        <v>5</v>
      </c>
      <c r="AF13" s="10">
        <v>6</v>
      </c>
      <c r="AG13" s="10">
        <v>5</v>
      </c>
      <c r="AH13" s="10">
        <v>4</v>
      </c>
      <c r="AI13" s="45">
        <v>41</v>
      </c>
      <c r="AJ13" s="10">
        <v>71</v>
      </c>
      <c r="AK13" s="45">
        <v>-2</v>
      </c>
      <c r="AL13" s="19"/>
    </row>
    <row r="14" spans="1:38" x14ac:dyDescent="0.45">
      <c r="B14" s="9">
        <v>5</v>
      </c>
      <c r="C14" s="9">
        <v>10</v>
      </c>
      <c r="D14" s="9">
        <v>15</v>
      </c>
      <c r="E14" s="9">
        <v>20</v>
      </c>
      <c r="F14" s="9">
        <v>25</v>
      </c>
      <c r="H14" s="9">
        <v>5</v>
      </c>
      <c r="I14" s="9">
        <v>10</v>
      </c>
      <c r="J14" s="9">
        <v>15</v>
      </c>
      <c r="K14" s="9">
        <v>20</v>
      </c>
      <c r="L14" s="9">
        <v>25</v>
      </c>
      <c r="M14" s="19"/>
      <c r="O14" s="106" t="s">
        <v>284</v>
      </c>
      <c r="P14" s="10">
        <v>5</v>
      </c>
      <c r="Q14" s="10">
        <v>5</v>
      </c>
      <c r="R14" s="10">
        <v>4</v>
      </c>
      <c r="S14" s="10">
        <v>4</v>
      </c>
      <c r="T14" s="10">
        <v>4</v>
      </c>
      <c r="U14" s="10">
        <v>4</v>
      </c>
      <c r="V14" s="10">
        <v>4</v>
      </c>
      <c r="W14" s="10">
        <v>4</v>
      </c>
      <c r="X14" s="10">
        <v>4</v>
      </c>
      <c r="Y14" s="45">
        <v>38</v>
      </c>
      <c r="Z14" s="10">
        <v>4</v>
      </c>
      <c r="AA14" s="10">
        <v>5</v>
      </c>
      <c r="AB14" s="10">
        <v>5</v>
      </c>
      <c r="AC14" s="10">
        <v>4</v>
      </c>
      <c r="AD14" s="10">
        <v>4</v>
      </c>
      <c r="AE14" s="10">
        <v>4</v>
      </c>
      <c r="AF14" s="10">
        <v>4</v>
      </c>
      <c r="AG14" s="10">
        <v>4</v>
      </c>
      <c r="AH14" s="10">
        <v>4</v>
      </c>
      <c r="AI14" s="45">
        <v>38</v>
      </c>
      <c r="AJ14" s="10">
        <v>76</v>
      </c>
      <c r="AK14" s="99" t="s">
        <v>275</v>
      </c>
      <c r="AL14" s="19"/>
    </row>
    <row r="15" spans="1:38" x14ac:dyDescent="0.45">
      <c r="B15" s="20"/>
      <c r="M15" s="19"/>
      <c r="O15" s="106" t="s">
        <v>285</v>
      </c>
      <c r="P15" s="10">
        <v>4</v>
      </c>
      <c r="Q15" s="10">
        <v>4</v>
      </c>
      <c r="R15" s="10">
        <v>4</v>
      </c>
      <c r="S15" s="10">
        <v>5</v>
      </c>
      <c r="T15" s="10">
        <v>5</v>
      </c>
      <c r="U15" s="10">
        <v>5</v>
      </c>
      <c r="V15" s="10">
        <v>5</v>
      </c>
      <c r="W15" s="10">
        <v>6</v>
      </c>
      <c r="X15" s="10">
        <v>5</v>
      </c>
      <c r="Y15" s="45">
        <v>43</v>
      </c>
      <c r="Z15" s="10">
        <v>5</v>
      </c>
      <c r="AA15" s="10">
        <v>4</v>
      </c>
      <c r="AB15" s="10">
        <v>4</v>
      </c>
      <c r="AC15" s="10">
        <v>5</v>
      </c>
      <c r="AD15" s="10">
        <v>4</v>
      </c>
      <c r="AE15" s="10">
        <v>3</v>
      </c>
      <c r="AF15" s="10">
        <v>4</v>
      </c>
      <c r="AG15" s="10">
        <v>4</v>
      </c>
      <c r="AH15" s="10">
        <v>4</v>
      </c>
      <c r="AI15" s="45">
        <v>37</v>
      </c>
      <c r="AJ15" s="10">
        <v>80</v>
      </c>
      <c r="AK15" s="99" t="s">
        <v>277</v>
      </c>
      <c r="AL15" s="19"/>
    </row>
    <row r="16" spans="1:38" x14ac:dyDescent="0.45">
      <c r="B16" s="20"/>
      <c r="H16" s="26" t="s">
        <v>266</v>
      </c>
      <c r="M16" s="19"/>
      <c r="O16" s="106" t="s">
        <v>286</v>
      </c>
      <c r="P16" s="10">
        <v>5</v>
      </c>
      <c r="Q16" s="10">
        <v>5</v>
      </c>
      <c r="R16" s="10">
        <v>5</v>
      </c>
      <c r="S16" s="10">
        <v>6</v>
      </c>
      <c r="T16" s="10">
        <v>5</v>
      </c>
      <c r="U16" s="10">
        <v>5</v>
      </c>
      <c r="V16" s="10">
        <v>5</v>
      </c>
      <c r="W16" s="10">
        <v>5</v>
      </c>
      <c r="X16" s="10">
        <v>5</v>
      </c>
      <c r="Y16" s="45">
        <v>46</v>
      </c>
      <c r="Z16" s="10">
        <v>5</v>
      </c>
      <c r="AA16" s="10">
        <v>5</v>
      </c>
      <c r="AB16" s="10">
        <v>5</v>
      </c>
      <c r="AC16" s="10">
        <v>5</v>
      </c>
      <c r="AD16" s="10">
        <v>5</v>
      </c>
      <c r="AE16" s="10">
        <v>6</v>
      </c>
      <c r="AF16" s="10">
        <v>6</v>
      </c>
      <c r="AG16" s="10">
        <v>5</v>
      </c>
      <c r="AH16" s="10">
        <v>4</v>
      </c>
      <c r="AI16" s="45">
        <v>46</v>
      </c>
      <c r="AJ16" s="10">
        <v>92</v>
      </c>
      <c r="AK16" s="99" t="s">
        <v>278</v>
      </c>
      <c r="AL16" s="19"/>
    </row>
    <row r="17" spans="2:38" x14ac:dyDescent="0.45">
      <c r="B17" s="20"/>
      <c r="H17" s="27" t="s">
        <v>268</v>
      </c>
      <c r="M17" s="19"/>
      <c r="O17" s="100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 t="s">
        <v>279</v>
      </c>
      <c r="AJ17" s="101"/>
      <c r="AK17" s="102"/>
      <c r="AL17" s="19"/>
    </row>
    <row r="18" spans="2:38" x14ac:dyDescent="0.45">
      <c r="B18" s="20"/>
      <c r="H18" s="9" cm="1">
        <f t="array" ref="H18:K22">Removeλ(SimpleGrid,,3)</f>
        <v>1</v>
      </c>
      <c r="I18" s="9">
        <v>2</v>
      </c>
      <c r="J18" s="9">
        <v>4</v>
      </c>
      <c r="K18" s="9">
        <v>5</v>
      </c>
      <c r="M18" s="19"/>
      <c r="O18" s="20"/>
      <c r="AL18" s="19"/>
    </row>
    <row r="19" spans="2:38" x14ac:dyDescent="0.45">
      <c r="B19" s="20"/>
      <c r="H19" s="9">
        <v>2</v>
      </c>
      <c r="I19" s="9">
        <v>4</v>
      </c>
      <c r="J19" s="9">
        <v>8</v>
      </c>
      <c r="K19" s="9">
        <v>10</v>
      </c>
      <c r="M19" s="19"/>
      <c r="O19" s="33" t="s">
        <v>282</v>
      </c>
      <c r="AL19" s="19"/>
    </row>
    <row r="20" spans="2:38" x14ac:dyDescent="0.45">
      <c r="B20" s="20"/>
      <c r="H20" s="9">
        <v>3</v>
      </c>
      <c r="I20" s="9">
        <v>6</v>
      </c>
      <c r="J20" s="9">
        <v>12</v>
      </c>
      <c r="K20" s="9">
        <v>15</v>
      </c>
      <c r="M20" s="19"/>
      <c r="O20" s="34" t="s">
        <v>281</v>
      </c>
      <c r="AL20" s="19"/>
    </row>
    <row r="21" spans="2:38" x14ac:dyDescent="0.45">
      <c r="B21" s="20"/>
      <c r="H21" s="9">
        <v>4</v>
      </c>
      <c r="I21" s="9">
        <v>8</v>
      </c>
      <c r="J21" s="9">
        <v>16</v>
      </c>
      <c r="K21" s="9">
        <v>20</v>
      </c>
      <c r="M21" s="19"/>
      <c r="O21" s="105" t="str" cm="1">
        <f t="array" ref="O21:AH26">Removeλ(MajesticMeadows,{3,4,9},{11,21,22})</f>
        <v>Hole</v>
      </c>
      <c r="P21" s="105">
        <v>1</v>
      </c>
      <c r="Q21" s="105">
        <v>2</v>
      </c>
      <c r="R21" s="105">
        <v>3</v>
      </c>
      <c r="S21" s="105">
        <v>4</v>
      </c>
      <c r="T21" s="105">
        <v>5</v>
      </c>
      <c r="U21" s="105">
        <v>6</v>
      </c>
      <c r="V21" s="105">
        <v>7</v>
      </c>
      <c r="W21" s="105">
        <v>8</v>
      </c>
      <c r="X21" s="105">
        <v>9</v>
      </c>
      <c r="Y21" s="105">
        <v>10</v>
      </c>
      <c r="Z21" s="105">
        <v>11</v>
      </c>
      <c r="AA21" s="105">
        <v>12</v>
      </c>
      <c r="AB21" s="105">
        <v>13</v>
      </c>
      <c r="AC21" s="105">
        <v>14</v>
      </c>
      <c r="AD21" s="105">
        <v>15</v>
      </c>
      <c r="AE21" s="105">
        <v>16</v>
      </c>
      <c r="AF21" s="105">
        <v>17</v>
      </c>
      <c r="AG21" s="105">
        <v>18</v>
      </c>
      <c r="AH21" s="105" t="str">
        <v>FIN</v>
      </c>
      <c r="AL21" s="19"/>
    </row>
    <row r="22" spans="2:38" x14ac:dyDescent="0.45">
      <c r="B22" s="20"/>
      <c r="H22" s="9">
        <v>5</v>
      </c>
      <c r="I22" s="9">
        <v>10</v>
      </c>
      <c r="J22" s="9">
        <v>20</v>
      </c>
      <c r="K22" s="9">
        <v>25</v>
      </c>
      <c r="M22" s="19"/>
      <c r="O22" s="10" t="str">
        <v>PAR</v>
      </c>
      <c r="P22" s="10">
        <v>4</v>
      </c>
      <c r="Q22" s="10">
        <v>4</v>
      </c>
      <c r="R22" s="10">
        <v>3</v>
      </c>
      <c r="S22" s="10">
        <v>5</v>
      </c>
      <c r="T22" s="10">
        <v>4</v>
      </c>
      <c r="U22" s="10">
        <v>4</v>
      </c>
      <c r="V22" s="10">
        <v>4</v>
      </c>
      <c r="W22" s="10">
        <v>4</v>
      </c>
      <c r="X22" s="10">
        <v>3</v>
      </c>
      <c r="Y22" s="10">
        <v>4</v>
      </c>
      <c r="Z22" s="10">
        <v>4</v>
      </c>
      <c r="AA22" s="10">
        <v>4</v>
      </c>
      <c r="AB22" s="10">
        <v>4</v>
      </c>
      <c r="AC22" s="10">
        <v>4</v>
      </c>
      <c r="AD22" s="10">
        <v>5</v>
      </c>
      <c r="AE22" s="10">
        <v>5</v>
      </c>
      <c r="AF22" s="10">
        <v>4</v>
      </c>
      <c r="AG22" s="10">
        <v>4</v>
      </c>
      <c r="AH22" s="10">
        <v>0</v>
      </c>
      <c r="AL22" s="19"/>
    </row>
    <row r="23" spans="2:38" x14ac:dyDescent="0.45">
      <c r="B23" s="20"/>
      <c r="M23" s="19"/>
      <c r="O23" s="106" t="str">
        <v>M. Green</v>
      </c>
      <c r="P23" s="10">
        <v>3</v>
      </c>
      <c r="Q23" s="10">
        <v>4</v>
      </c>
      <c r="R23" s="10">
        <v>3</v>
      </c>
      <c r="S23" s="10">
        <v>4</v>
      </c>
      <c r="T23" s="10">
        <v>3</v>
      </c>
      <c r="U23" s="10">
        <v>4</v>
      </c>
      <c r="V23" s="10">
        <v>3</v>
      </c>
      <c r="W23" s="10">
        <v>3</v>
      </c>
      <c r="X23" s="10">
        <v>3</v>
      </c>
      <c r="Y23" s="10">
        <v>4</v>
      </c>
      <c r="Z23" s="10">
        <v>4</v>
      </c>
      <c r="AA23" s="10">
        <v>3</v>
      </c>
      <c r="AB23" s="10">
        <v>5</v>
      </c>
      <c r="AC23" s="10">
        <v>5</v>
      </c>
      <c r="AD23" s="10">
        <v>5</v>
      </c>
      <c r="AE23" s="10">
        <v>6</v>
      </c>
      <c r="AF23" s="10">
        <v>5</v>
      </c>
      <c r="AG23" s="10">
        <v>4</v>
      </c>
      <c r="AH23" s="10">
        <v>-2</v>
      </c>
      <c r="AL23" s="19"/>
    </row>
    <row r="24" spans="2:38" x14ac:dyDescent="0.45">
      <c r="B24" s="20"/>
      <c r="H24" s="90" t="s">
        <v>267</v>
      </c>
      <c r="M24" s="19"/>
      <c r="O24" s="106" t="str">
        <v>J. Fairway</v>
      </c>
      <c r="P24" s="10">
        <v>5</v>
      </c>
      <c r="Q24" s="10">
        <v>5</v>
      </c>
      <c r="R24" s="10">
        <v>4</v>
      </c>
      <c r="S24" s="10">
        <v>4</v>
      </c>
      <c r="T24" s="10">
        <v>4</v>
      </c>
      <c r="U24" s="10">
        <v>4</v>
      </c>
      <c r="V24" s="10">
        <v>4</v>
      </c>
      <c r="W24" s="10">
        <v>4</v>
      </c>
      <c r="X24" s="10">
        <v>4</v>
      </c>
      <c r="Y24" s="10">
        <v>4</v>
      </c>
      <c r="Z24" s="10">
        <v>5</v>
      </c>
      <c r="AA24" s="10">
        <v>5</v>
      </c>
      <c r="AB24" s="10">
        <v>4</v>
      </c>
      <c r="AC24" s="10">
        <v>4</v>
      </c>
      <c r="AD24" s="10">
        <v>4</v>
      </c>
      <c r="AE24" s="10">
        <v>4</v>
      </c>
      <c r="AF24" s="10">
        <v>4</v>
      </c>
      <c r="AG24" s="10">
        <v>4</v>
      </c>
      <c r="AH24" s="10" t="str">
        <v>+3</v>
      </c>
      <c r="AL24" s="19"/>
    </row>
    <row r="25" spans="2:38" x14ac:dyDescent="0.45">
      <c r="B25" s="20"/>
      <c r="H25" s="27" t="s">
        <v>269</v>
      </c>
      <c r="M25" s="19"/>
      <c r="O25" s="106" t="str">
        <v>L. Tee</v>
      </c>
      <c r="P25" s="10">
        <v>4</v>
      </c>
      <c r="Q25" s="10">
        <v>4</v>
      </c>
      <c r="R25" s="10">
        <v>4</v>
      </c>
      <c r="S25" s="10">
        <v>5</v>
      </c>
      <c r="T25" s="10">
        <v>5</v>
      </c>
      <c r="U25" s="10">
        <v>5</v>
      </c>
      <c r="V25" s="10">
        <v>5</v>
      </c>
      <c r="W25" s="10">
        <v>6</v>
      </c>
      <c r="X25" s="10">
        <v>5</v>
      </c>
      <c r="Y25" s="10">
        <v>5</v>
      </c>
      <c r="Z25" s="10">
        <v>4</v>
      </c>
      <c r="AA25" s="10">
        <v>4</v>
      </c>
      <c r="AB25" s="10">
        <v>5</v>
      </c>
      <c r="AC25" s="10">
        <v>4</v>
      </c>
      <c r="AD25" s="10">
        <v>3</v>
      </c>
      <c r="AE25" s="10">
        <v>4</v>
      </c>
      <c r="AF25" s="10">
        <v>4</v>
      </c>
      <c r="AG25" s="10">
        <v>4</v>
      </c>
      <c r="AH25" s="10" t="str">
        <v>+7</v>
      </c>
      <c r="AL25" s="19"/>
    </row>
    <row r="26" spans="2:38" x14ac:dyDescent="0.45">
      <c r="B26" s="20"/>
      <c r="H26" s="9" cm="1">
        <f t="array" ref="H26:K29">Removeλ(SimpleGrid,3,3)</f>
        <v>1</v>
      </c>
      <c r="I26" s="9">
        <v>2</v>
      </c>
      <c r="J26" s="9">
        <v>4</v>
      </c>
      <c r="K26" s="9">
        <v>5</v>
      </c>
      <c r="M26" s="19"/>
      <c r="O26" s="106" t="str">
        <v>S. Trapp</v>
      </c>
      <c r="P26" s="10">
        <v>5</v>
      </c>
      <c r="Q26" s="10">
        <v>5</v>
      </c>
      <c r="R26" s="10">
        <v>5</v>
      </c>
      <c r="S26" s="10">
        <v>6</v>
      </c>
      <c r="T26" s="10">
        <v>5</v>
      </c>
      <c r="U26" s="10">
        <v>5</v>
      </c>
      <c r="V26" s="10">
        <v>5</v>
      </c>
      <c r="W26" s="10">
        <v>5</v>
      </c>
      <c r="X26" s="10">
        <v>5</v>
      </c>
      <c r="Y26" s="10">
        <v>5</v>
      </c>
      <c r="Z26" s="10">
        <v>5</v>
      </c>
      <c r="AA26" s="10">
        <v>5</v>
      </c>
      <c r="AB26" s="10">
        <v>5</v>
      </c>
      <c r="AC26" s="10">
        <v>5</v>
      </c>
      <c r="AD26" s="10">
        <v>6</v>
      </c>
      <c r="AE26" s="10">
        <v>6</v>
      </c>
      <c r="AF26" s="10">
        <v>5</v>
      </c>
      <c r="AG26" s="10">
        <v>4</v>
      </c>
      <c r="AH26" s="10" t="str">
        <v>+19</v>
      </c>
      <c r="AL26" s="19"/>
    </row>
    <row r="27" spans="2:38" x14ac:dyDescent="0.45">
      <c r="B27" s="20"/>
      <c r="H27" s="9">
        <v>2</v>
      </c>
      <c r="I27" s="9">
        <v>4</v>
      </c>
      <c r="J27" s="9">
        <v>8</v>
      </c>
      <c r="K27" s="9">
        <v>10</v>
      </c>
      <c r="M27" s="19"/>
      <c r="O27" s="20"/>
      <c r="AL27" s="19"/>
    </row>
    <row r="28" spans="2:38" x14ac:dyDescent="0.45">
      <c r="B28" s="20"/>
      <c r="H28" s="9">
        <v>4</v>
      </c>
      <c r="I28" s="9">
        <v>8</v>
      </c>
      <c r="J28" s="9">
        <v>16</v>
      </c>
      <c r="K28" s="9">
        <v>20</v>
      </c>
      <c r="M28" s="19"/>
      <c r="O28" s="33" t="s">
        <v>584</v>
      </c>
      <c r="AL28" s="19"/>
    </row>
    <row r="29" spans="2:38" x14ac:dyDescent="0.45">
      <c r="B29" s="20"/>
      <c r="H29" s="9">
        <v>5</v>
      </c>
      <c r="I29" s="9">
        <v>10</v>
      </c>
      <c r="J29" s="9">
        <v>20</v>
      </c>
      <c r="K29" s="9">
        <v>25</v>
      </c>
      <c r="M29" s="19"/>
      <c r="O29" s="34" t="s">
        <v>287</v>
      </c>
      <c r="V29" s="27" t="s">
        <v>288</v>
      </c>
      <c r="AL29" s="19"/>
    </row>
    <row r="30" spans="2:38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3"/>
      <c r="O30" s="107" t="str" cm="1">
        <f t="array" ref="O30">Removeλ(MajesticMeadows,12,10)</f>
        <v>#INVALID-ROW!</v>
      </c>
      <c r="P30" s="22"/>
      <c r="Q30" s="22"/>
      <c r="R30" s="22"/>
      <c r="S30" s="22"/>
      <c r="T30" s="22"/>
      <c r="U30" s="22"/>
      <c r="V30" s="108" t="str" cm="1">
        <f t="array" ref="V30">Removeλ(MajesticMeadows,4,25)</f>
        <v>#INVALID-COL!</v>
      </c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3"/>
    </row>
  </sheetData>
  <sortState xmlns:xlrd2="http://schemas.microsoft.com/office/spreadsheetml/2017/richdata2" ref="O13:AJ16">
    <sortCondition ref="AJ13:AJ16"/>
  </sortState>
  <pageMargins left="0.7" right="0.7" top="0.75" bottom="0.75" header="0.3" footer="0.3"/>
  <pageSetup orientation="portrait" r:id="rId1"/>
  <ignoredErrors>
    <ignoredError sqref="AK14:AK1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11CBC-920B-49AE-9562-FA24D9A7D98C}">
  <sheetPr codeName="Sheet7">
    <tabColor rgb="FFF6C6C6"/>
  </sheetPr>
  <dimension ref="A1:AE32"/>
  <sheetViews>
    <sheetView workbookViewId="0"/>
  </sheetViews>
  <sheetFormatPr defaultRowHeight="16.5" x14ac:dyDescent="0.45"/>
  <cols>
    <col min="1" max="1" width="5" customWidth="1"/>
    <col min="2" max="11" width="3.08203125" customWidth="1"/>
    <col min="12" max="13" width="2.58203125" customWidth="1"/>
    <col min="14" max="14" width="9.25" customWidth="1"/>
    <col min="15" max="22" width="3.08203125" style="8" customWidth="1"/>
    <col min="23" max="24" width="3.33203125" style="8" bestFit="1" customWidth="1"/>
    <col min="25" max="29" width="3.33203125" bestFit="1" customWidth="1"/>
    <col min="30" max="30" width="12.08203125" customWidth="1"/>
  </cols>
  <sheetData>
    <row r="1" spans="1:31" x14ac:dyDescent="0.45">
      <c r="A1" s="7"/>
    </row>
    <row r="2" spans="1:31" x14ac:dyDescent="0.45">
      <c r="B2" s="15" t="s">
        <v>289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6"/>
      <c r="Z2" s="16"/>
      <c r="AA2" s="16"/>
      <c r="AB2" s="16"/>
      <c r="AC2" s="16"/>
      <c r="AD2" s="17"/>
    </row>
    <row r="3" spans="1:31" x14ac:dyDescent="0.45">
      <c r="B3" s="18" t="s">
        <v>290</v>
      </c>
      <c r="AD3" s="19"/>
    </row>
    <row r="4" spans="1:31" x14ac:dyDescent="0.45">
      <c r="B4" s="104" t="s">
        <v>260</v>
      </c>
      <c r="AD4" s="19"/>
    </row>
    <row r="5" spans="1:31" x14ac:dyDescent="0.45">
      <c r="B5" s="18" t="s">
        <v>291</v>
      </c>
      <c r="AD5" s="19"/>
    </row>
    <row r="6" spans="1:31" x14ac:dyDescent="0.45">
      <c r="B6" s="98" t="s">
        <v>292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22"/>
      <c r="Z6" s="22"/>
      <c r="AA6" s="22"/>
      <c r="AB6" s="22"/>
      <c r="AC6" s="22"/>
      <c r="AD6" s="23"/>
    </row>
    <row r="8" spans="1:31" x14ac:dyDescent="0.45">
      <c r="B8" s="3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7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6"/>
      <c r="Z8" s="16"/>
      <c r="AA8" s="16"/>
      <c r="AB8" s="16"/>
      <c r="AC8" s="16"/>
      <c r="AD8" s="17"/>
    </row>
    <row r="9" spans="1:31" x14ac:dyDescent="0.45">
      <c r="B9" s="96" t="s">
        <v>301</v>
      </c>
      <c r="H9" s="26" t="s">
        <v>303</v>
      </c>
      <c r="N9" s="19"/>
      <c r="P9" s="31" t="s">
        <v>295</v>
      </c>
      <c r="Q9"/>
      <c r="R9"/>
      <c r="S9"/>
      <c r="T9"/>
      <c r="U9"/>
      <c r="V9"/>
      <c r="W9"/>
      <c r="X9" s="26" t="s">
        <v>297</v>
      </c>
      <c r="AC9" s="8"/>
      <c r="AD9" s="61"/>
      <c r="AE9" s="8"/>
    </row>
    <row r="10" spans="1:31" x14ac:dyDescent="0.45">
      <c r="B10" s="9">
        <v>0</v>
      </c>
      <c r="C10" s="38"/>
      <c r="D10" s="9">
        <v>5</v>
      </c>
      <c r="E10" s="9">
        <v>6</v>
      </c>
      <c r="H10" s="27" t="s">
        <v>302</v>
      </c>
      <c r="N10" s="19"/>
      <c r="P10" s="10">
        <v>5</v>
      </c>
      <c r="Q10" s="109" t="s">
        <v>86</v>
      </c>
      <c r="R10" s="10">
        <v>6</v>
      </c>
      <c r="S10" s="10">
        <v>1</v>
      </c>
      <c r="T10" s="10">
        <v>7</v>
      </c>
      <c r="U10" s="109" t="s">
        <v>86</v>
      </c>
      <c r="V10"/>
      <c r="W10"/>
      <c r="X10" s="27" t="s">
        <v>296</v>
      </c>
      <c r="AD10" s="61"/>
      <c r="AE10" s="8"/>
    </row>
    <row r="11" spans="1:31" x14ac:dyDescent="0.45">
      <c r="B11" s="9">
        <v>0</v>
      </c>
      <c r="C11" s="38"/>
      <c r="D11" s="9">
        <v>3</v>
      </c>
      <c r="E11" s="9">
        <v>9</v>
      </c>
      <c r="H11" s="9" cm="1">
        <f t="array" ref="H11:I13">Squeezeλ(MiniGrid)</f>
        <v>5</v>
      </c>
      <c r="I11" s="9">
        <v>6</v>
      </c>
      <c r="N11" s="19"/>
      <c r="P11" s="10">
        <v>6</v>
      </c>
      <c r="Q11" s="109" t="s">
        <v>86</v>
      </c>
      <c r="R11" s="10">
        <v>2</v>
      </c>
      <c r="S11" s="10">
        <v>1</v>
      </c>
      <c r="T11" s="10">
        <v>6</v>
      </c>
      <c r="U11" s="109" t="s">
        <v>86</v>
      </c>
      <c r="V11"/>
      <c r="W11"/>
      <c r="X11" s="10" cm="1">
        <f t="array" ref="X11:AA15">Squeezeλ(LGrid,"A")</f>
        <v>5</v>
      </c>
      <c r="Y11" s="10">
        <v>6</v>
      </c>
      <c r="Z11" s="10">
        <v>1</v>
      </c>
      <c r="AA11" s="10">
        <v>7</v>
      </c>
      <c r="AD11" s="61"/>
      <c r="AE11" s="8"/>
    </row>
    <row r="12" spans="1:31" x14ac:dyDescent="0.45">
      <c r="B12" s="38">
        <v>0</v>
      </c>
      <c r="C12" s="38"/>
      <c r="D12" s="38">
        <v>0</v>
      </c>
      <c r="E12" s="38">
        <v>0</v>
      </c>
      <c r="H12" s="9">
        <v>3</v>
      </c>
      <c r="I12" s="9">
        <v>9</v>
      </c>
      <c r="N12" s="19"/>
      <c r="P12" s="10">
        <v>4</v>
      </c>
      <c r="Q12" s="109" t="s">
        <v>86</v>
      </c>
      <c r="R12" s="10">
        <v>7</v>
      </c>
      <c r="S12" s="10">
        <v>5</v>
      </c>
      <c r="T12" s="10">
        <v>1</v>
      </c>
      <c r="U12" s="109" t="s">
        <v>86</v>
      </c>
      <c r="V12"/>
      <c r="W12"/>
      <c r="X12" s="10">
        <v>6</v>
      </c>
      <c r="Y12" s="10">
        <v>2</v>
      </c>
      <c r="Z12" s="10">
        <v>1</v>
      </c>
      <c r="AA12" s="10">
        <v>6</v>
      </c>
      <c r="AD12" s="61"/>
      <c r="AE12" s="8"/>
    </row>
    <row r="13" spans="1:31" x14ac:dyDescent="0.45">
      <c r="B13" s="9">
        <v>0</v>
      </c>
      <c r="C13" s="38"/>
      <c r="D13" s="9">
        <v>5</v>
      </c>
      <c r="E13" s="9">
        <v>6</v>
      </c>
      <c r="H13" s="9">
        <v>5</v>
      </c>
      <c r="I13" s="9">
        <v>6</v>
      </c>
      <c r="N13" s="19"/>
      <c r="P13" s="109" t="s">
        <v>86</v>
      </c>
      <c r="Q13" s="109" t="s">
        <v>86</v>
      </c>
      <c r="R13" s="109" t="s">
        <v>86</v>
      </c>
      <c r="S13" s="109" t="s">
        <v>86</v>
      </c>
      <c r="T13" s="109" t="s">
        <v>86</v>
      </c>
      <c r="U13" s="109" t="s">
        <v>86</v>
      </c>
      <c r="V13"/>
      <c r="W13"/>
      <c r="X13" s="10">
        <v>4</v>
      </c>
      <c r="Y13" s="10">
        <v>7</v>
      </c>
      <c r="Z13" s="10">
        <v>5</v>
      </c>
      <c r="AA13" s="10">
        <v>1</v>
      </c>
      <c r="AD13" s="61"/>
      <c r="AE13" s="8"/>
    </row>
    <row r="14" spans="1:31" x14ac:dyDescent="0.45">
      <c r="B14" s="20"/>
      <c r="N14" s="19"/>
      <c r="P14" s="10">
        <v>8</v>
      </c>
      <c r="Q14" s="109" t="s">
        <v>86</v>
      </c>
      <c r="R14" s="10">
        <v>2</v>
      </c>
      <c r="S14" s="10">
        <v>3</v>
      </c>
      <c r="T14" s="10">
        <v>3</v>
      </c>
      <c r="U14" s="109" t="s">
        <v>86</v>
      </c>
      <c r="V14"/>
      <c r="W14"/>
      <c r="X14" s="10">
        <v>8</v>
      </c>
      <c r="Y14" s="10">
        <v>2</v>
      </c>
      <c r="Z14" s="10">
        <v>3</v>
      </c>
      <c r="AA14" s="10">
        <v>3</v>
      </c>
      <c r="AD14" s="61"/>
      <c r="AE14" s="8"/>
    </row>
    <row r="15" spans="1:31" x14ac:dyDescent="0.45">
      <c r="B15" s="20"/>
      <c r="N15" s="19"/>
      <c r="P15" s="10" t="s">
        <v>92</v>
      </c>
      <c r="Q15" s="109" t="s">
        <v>86</v>
      </c>
      <c r="R15" s="10">
        <v>7</v>
      </c>
      <c r="S15" s="10">
        <v>4</v>
      </c>
      <c r="T15" s="10">
        <v>3</v>
      </c>
      <c r="U15" s="109" t="s">
        <v>86</v>
      </c>
      <c r="V15"/>
      <c r="W15"/>
      <c r="X15" s="10" t="str">
        <v>B</v>
      </c>
      <c r="Y15" s="10">
        <v>7</v>
      </c>
      <c r="Z15" s="10">
        <v>4</v>
      </c>
      <c r="AA15" s="10">
        <v>3</v>
      </c>
      <c r="AD15" s="61"/>
      <c r="AE15" s="8"/>
    </row>
    <row r="16" spans="1:31" x14ac:dyDescent="0.45">
      <c r="B16" s="20"/>
      <c r="I16" s="46"/>
      <c r="J16" s="46"/>
      <c r="K16" s="46"/>
      <c r="L16" s="46"/>
      <c r="N16" s="19"/>
      <c r="P16"/>
      <c r="Q16"/>
      <c r="R16"/>
      <c r="S16"/>
      <c r="T16"/>
      <c r="U16"/>
      <c r="V16"/>
      <c r="W16"/>
      <c r="AD16" s="61"/>
      <c r="AE16" s="8"/>
    </row>
    <row r="17" spans="2:30" x14ac:dyDescent="0.45">
      <c r="B17" s="21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22"/>
      <c r="Z17" s="22"/>
      <c r="AA17" s="22"/>
      <c r="AB17" s="22"/>
      <c r="AC17" s="22"/>
      <c r="AD17" s="23"/>
    </row>
    <row r="18" spans="2:30" x14ac:dyDescent="0.45">
      <c r="B18" s="3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6"/>
      <c r="Z18" s="16"/>
      <c r="AA18" s="16"/>
      <c r="AB18" s="16"/>
      <c r="AC18" s="16"/>
      <c r="AD18" s="17"/>
    </row>
    <row r="19" spans="2:30" x14ac:dyDescent="0.45">
      <c r="B19" s="96" t="s">
        <v>293</v>
      </c>
      <c r="O19" s="110"/>
      <c r="AD19" s="19"/>
    </row>
    <row r="20" spans="2:30" x14ac:dyDescent="0.45">
      <c r="B20" s="10">
        <v>0</v>
      </c>
      <c r="C20" s="10">
        <v>0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  <c r="O20" s="26" t="s">
        <v>298</v>
      </c>
      <c r="P20"/>
      <c r="Q20"/>
      <c r="R20"/>
      <c r="S20"/>
      <c r="W20" s="26" t="s">
        <v>300</v>
      </c>
      <c r="AD20" s="19"/>
    </row>
    <row r="21" spans="2:30" x14ac:dyDescent="0.45">
      <c r="B21" s="10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  <c r="O21" s="27" t="s">
        <v>294</v>
      </c>
      <c r="P21"/>
      <c r="Q21"/>
      <c r="R21"/>
      <c r="S21"/>
      <c r="W21" s="27" t="s">
        <v>299</v>
      </c>
      <c r="AD21" s="19"/>
    </row>
    <row r="22" spans="2:30" x14ac:dyDescent="0.45">
      <c r="B22" s="10">
        <v>0</v>
      </c>
      <c r="C22" s="10">
        <v>0</v>
      </c>
      <c r="D22" s="10">
        <v>0</v>
      </c>
      <c r="E22" s="10">
        <v>0</v>
      </c>
      <c r="F22" s="10">
        <v>0</v>
      </c>
      <c r="G22" s="10">
        <v>4</v>
      </c>
      <c r="H22" s="10">
        <v>0</v>
      </c>
      <c r="I22" s="10">
        <v>0</v>
      </c>
      <c r="J22" s="10">
        <v>0</v>
      </c>
      <c r="K22" s="10">
        <v>0</v>
      </c>
      <c r="O22" s="10" cm="1">
        <f t="array" ref="O22:U28">Squeezeλ(Grid)</f>
        <v>0</v>
      </c>
      <c r="P22" s="10">
        <v>0</v>
      </c>
      <c r="Q22" s="10">
        <v>0</v>
      </c>
      <c r="R22" s="10">
        <v>4</v>
      </c>
      <c r="S22" s="10">
        <v>0</v>
      </c>
      <c r="T22" s="10">
        <v>0</v>
      </c>
      <c r="U22" s="10">
        <v>0</v>
      </c>
      <c r="W22" s="10" t="str" cm="1">
        <f t="array" ref="W22:AC28">Squeezeλ(Grid,,TRUE)</f>
        <v/>
      </c>
      <c r="X22" s="10" t="str">
        <v/>
      </c>
      <c r="Y22" s="10" t="str">
        <v/>
      </c>
      <c r="Z22" s="10">
        <v>4</v>
      </c>
      <c r="AA22" s="10" t="str">
        <v/>
      </c>
      <c r="AB22" s="10" t="str">
        <v/>
      </c>
      <c r="AC22" s="10" t="str">
        <v/>
      </c>
      <c r="AD22" s="19"/>
    </row>
    <row r="23" spans="2:30" x14ac:dyDescent="0.45">
      <c r="B23" s="10">
        <v>0</v>
      </c>
      <c r="C23" s="10">
        <v>0</v>
      </c>
      <c r="D23" s="10">
        <v>0</v>
      </c>
      <c r="E23" s="10">
        <v>0</v>
      </c>
      <c r="F23" s="10">
        <v>13</v>
      </c>
      <c r="G23" s="10">
        <v>14</v>
      </c>
      <c r="H23" s="10">
        <v>15</v>
      </c>
      <c r="I23" s="10">
        <v>0</v>
      </c>
      <c r="J23" s="10">
        <v>0</v>
      </c>
      <c r="K23" s="10">
        <v>0</v>
      </c>
      <c r="O23" s="10">
        <v>0</v>
      </c>
      <c r="P23" s="10">
        <v>0</v>
      </c>
      <c r="Q23" s="10">
        <v>13</v>
      </c>
      <c r="R23" s="10">
        <v>14</v>
      </c>
      <c r="S23" s="10">
        <v>15</v>
      </c>
      <c r="T23" s="10">
        <v>0</v>
      </c>
      <c r="U23" s="10">
        <v>0</v>
      </c>
      <c r="W23" s="10" t="str">
        <v/>
      </c>
      <c r="X23" s="10" t="str">
        <v/>
      </c>
      <c r="Y23" s="10">
        <v>13</v>
      </c>
      <c r="Z23" s="10">
        <v>14</v>
      </c>
      <c r="AA23" s="10">
        <v>15</v>
      </c>
      <c r="AB23" s="10" t="str">
        <v/>
      </c>
      <c r="AC23" s="10" t="str">
        <v/>
      </c>
      <c r="AD23" s="19"/>
    </row>
    <row r="24" spans="2:30" x14ac:dyDescent="0.45">
      <c r="B24" s="10">
        <v>0</v>
      </c>
      <c r="C24" s="10">
        <v>0</v>
      </c>
      <c r="D24" s="10">
        <v>0</v>
      </c>
      <c r="E24" s="10">
        <v>22</v>
      </c>
      <c r="F24" s="10">
        <v>23</v>
      </c>
      <c r="G24" s="10">
        <v>24</v>
      </c>
      <c r="H24" s="10">
        <v>25</v>
      </c>
      <c r="I24" s="10">
        <v>26</v>
      </c>
      <c r="J24" s="10">
        <v>0</v>
      </c>
      <c r="K24" s="10">
        <v>0</v>
      </c>
      <c r="O24" s="10">
        <v>0</v>
      </c>
      <c r="P24" s="10">
        <v>22</v>
      </c>
      <c r="Q24" s="10">
        <v>23</v>
      </c>
      <c r="R24" s="10">
        <v>24</v>
      </c>
      <c r="S24" s="10">
        <v>25</v>
      </c>
      <c r="T24" s="10">
        <v>26</v>
      </c>
      <c r="U24" s="10">
        <v>0</v>
      </c>
      <c r="W24" s="10" t="str">
        <v/>
      </c>
      <c r="X24" s="10">
        <v>22</v>
      </c>
      <c r="Y24" s="10">
        <v>23</v>
      </c>
      <c r="Z24" s="10">
        <v>24</v>
      </c>
      <c r="AA24" s="10">
        <v>25</v>
      </c>
      <c r="AB24" s="10">
        <v>26</v>
      </c>
      <c r="AC24" s="10" t="str">
        <v/>
      </c>
      <c r="AD24" s="19"/>
    </row>
    <row r="25" spans="2:30" x14ac:dyDescent="0.45">
      <c r="B25" s="10">
        <v>0</v>
      </c>
      <c r="C25" s="10">
        <v>0</v>
      </c>
      <c r="D25" s="10">
        <v>31</v>
      </c>
      <c r="E25" s="10">
        <v>32</v>
      </c>
      <c r="F25" s="10">
        <v>33</v>
      </c>
      <c r="G25" s="10">
        <v>34</v>
      </c>
      <c r="H25" s="10">
        <v>35</v>
      </c>
      <c r="I25" s="10">
        <v>36</v>
      </c>
      <c r="J25" s="10">
        <v>37</v>
      </c>
      <c r="K25" s="10">
        <v>0</v>
      </c>
      <c r="O25" s="10">
        <v>31</v>
      </c>
      <c r="P25" s="10">
        <v>32</v>
      </c>
      <c r="Q25" s="10">
        <v>33</v>
      </c>
      <c r="R25" s="10">
        <v>34</v>
      </c>
      <c r="S25" s="10">
        <v>35</v>
      </c>
      <c r="T25" s="10">
        <v>36</v>
      </c>
      <c r="U25" s="10">
        <v>37</v>
      </c>
      <c r="W25" s="10">
        <v>31</v>
      </c>
      <c r="X25" s="10">
        <v>32</v>
      </c>
      <c r="Y25" s="10">
        <v>33</v>
      </c>
      <c r="Z25" s="10">
        <v>34</v>
      </c>
      <c r="AA25" s="10">
        <v>35</v>
      </c>
      <c r="AB25" s="10">
        <v>36</v>
      </c>
      <c r="AC25" s="10">
        <v>37</v>
      </c>
      <c r="AD25" s="19"/>
    </row>
    <row r="26" spans="2:30" x14ac:dyDescent="0.45">
      <c r="B26" s="10">
        <v>0</v>
      </c>
      <c r="C26" s="10">
        <v>0</v>
      </c>
      <c r="D26" s="10">
        <v>0</v>
      </c>
      <c r="E26" s="10">
        <v>42</v>
      </c>
      <c r="F26" s="10">
        <v>43</v>
      </c>
      <c r="G26" s="10">
        <v>44</v>
      </c>
      <c r="H26" s="10">
        <v>45</v>
      </c>
      <c r="I26" s="10">
        <v>46</v>
      </c>
      <c r="J26" s="10">
        <v>0</v>
      </c>
      <c r="K26" s="10">
        <v>0</v>
      </c>
      <c r="O26" s="10">
        <v>0</v>
      </c>
      <c r="P26" s="10">
        <v>42</v>
      </c>
      <c r="Q26" s="10">
        <v>43</v>
      </c>
      <c r="R26" s="10">
        <v>44</v>
      </c>
      <c r="S26" s="10">
        <v>45</v>
      </c>
      <c r="T26" s="10">
        <v>46</v>
      </c>
      <c r="U26" s="10">
        <v>0</v>
      </c>
      <c r="W26" s="10" t="str">
        <v/>
      </c>
      <c r="X26" s="10">
        <v>42</v>
      </c>
      <c r="Y26" s="10">
        <v>43</v>
      </c>
      <c r="Z26" s="10">
        <v>44</v>
      </c>
      <c r="AA26" s="10">
        <v>45</v>
      </c>
      <c r="AB26" s="10">
        <v>46</v>
      </c>
      <c r="AC26" s="10" t="str">
        <v/>
      </c>
      <c r="AD26" s="19"/>
    </row>
    <row r="27" spans="2:30" x14ac:dyDescent="0.45">
      <c r="B27" s="10">
        <v>0</v>
      </c>
      <c r="C27" s="10">
        <v>0</v>
      </c>
      <c r="D27" s="10">
        <v>0</v>
      </c>
      <c r="E27" s="10">
        <v>0</v>
      </c>
      <c r="F27" s="10">
        <v>53</v>
      </c>
      <c r="G27" s="10">
        <v>54</v>
      </c>
      <c r="H27" s="10">
        <v>55</v>
      </c>
      <c r="I27" s="10">
        <v>0</v>
      </c>
      <c r="J27" s="10">
        <v>0</v>
      </c>
      <c r="K27" s="10">
        <v>0</v>
      </c>
      <c r="O27" s="10">
        <v>0</v>
      </c>
      <c r="P27" s="10">
        <v>0</v>
      </c>
      <c r="Q27" s="10">
        <v>53</v>
      </c>
      <c r="R27" s="10">
        <v>54</v>
      </c>
      <c r="S27" s="10">
        <v>55</v>
      </c>
      <c r="T27" s="10">
        <v>0</v>
      </c>
      <c r="U27" s="10">
        <v>0</v>
      </c>
      <c r="W27" s="10" t="str">
        <v/>
      </c>
      <c r="X27" s="10" t="str">
        <v/>
      </c>
      <c r="Y27" s="10">
        <v>53</v>
      </c>
      <c r="Z27" s="10">
        <v>54</v>
      </c>
      <c r="AA27" s="10">
        <v>55</v>
      </c>
      <c r="AB27" s="10" t="str">
        <v/>
      </c>
      <c r="AC27" s="10" t="str">
        <v/>
      </c>
      <c r="AD27" s="19"/>
    </row>
    <row r="28" spans="2:30" x14ac:dyDescent="0.45"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64</v>
      </c>
      <c r="H28" s="10">
        <v>0</v>
      </c>
      <c r="I28" s="10">
        <v>0</v>
      </c>
      <c r="J28" s="10">
        <v>0</v>
      </c>
      <c r="K28" s="10">
        <v>0</v>
      </c>
      <c r="O28" s="10">
        <v>0</v>
      </c>
      <c r="P28" s="10">
        <v>0</v>
      </c>
      <c r="Q28" s="10">
        <v>0</v>
      </c>
      <c r="R28" s="10">
        <v>64</v>
      </c>
      <c r="S28" s="10">
        <v>0</v>
      </c>
      <c r="T28" s="10">
        <v>0</v>
      </c>
      <c r="U28" s="10">
        <v>0</v>
      </c>
      <c r="W28" s="10" t="str">
        <v/>
      </c>
      <c r="X28" s="10" t="str">
        <v/>
      </c>
      <c r="Y28" s="10" t="str">
        <v/>
      </c>
      <c r="Z28" s="10">
        <v>64</v>
      </c>
      <c r="AA28" s="10" t="str">
        <v/>
      </c>
      <c r="AB28" s="10" t="str">
        <v/>
      </c>
      <c r="AC28" s="10" t="str">
        <v/>
      </c>
      <c r="AD28" s="19"/>
    </row>
    <row r="29" spans="2:30" x14ac:dyDescent="0.45"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AD29" s="19"/>
    </row>
    <row r="30" spans="2:30" x14ac:dyDescent="0.45">
      <c r="B30" s="10">
        <v>0</v>
      </c>
      <c r="C30" s="10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10">
        <v>0</v>
      </c>
      <c r="AD30" s="19"/>
    </row>
    <row r="31" spans="2:30" x14ac:dyDescent="0.45">
      <c r="B31" s="20"/>
      <c r="AD31" s="19"/>
    </row>
    <row r="32" spans="2:30" x14ac:dyDescent="0.45">
      <c r="B32" s="21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22"/>
      <c r="Z32" s="22"/>
      <c r="AA32" s="22"/>
      <c r="AB32" s="22"/>
      <c r="AC32" s="22"/>
      <c r="AD32" s="23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852B-9D76-4C30-ACB2-1C24D44FE2F6}">
  <sheetPr codeName="Sheet8">
    <tabColor rgb="FFA7D8D0"/>
  </sheetPr>
  <dimension ref="A1:R28"/>
  <sheetViews>
    <sheetView workbookViewId="0"/>
  </sheetViews>
  <sheetFormatPr defaultRowHeight="16.5" x14ac:dyDescent="0.45"/>
  <cols>
    <col min="1" max="1" width="5" customWidth="1"/>
    <col min="2" max="2" width="4.58203125" customWidth="1"/>
    <col min="3" max="10" width="6.58203125" customWidth="1"/>
    <col min="11" max="11" width="9.08203125" customWidth="1"/>
    <col min="12" max="12" width="6.58203125" bestFit="1" customWidth="1"/>
    <col min="13" max="13" width="6.58203125" customWidth="1"/>
    <col min="14" max="14" width="5.08203125" customWidth="1"/>
    <col min="15" max="15" width="6.75" customWidth="1"/>
    <col min="16" max="16" width="6.75" bestFit="1" customWidth="1"/>
  </cols>
  <sheetData>
    <row r="1" spans="1:18" x14ac:dyDescent="0.45">
      <c r="A1" s="7"/>
    </row>
    <row r="2" spans="1:18" x14ac:dyDescent="0.45">
      <c r="B2" s="15" t="s">
        <v>304</v>
      </c>
      <c r="C2" s="16"/>
      <c r="D2" s="16"/>
      <c r="E2" s="16"/>
      <c r="F2" s="16"/>
      <c r="G2" s="16"/>
      <c r="H2" s="16"/>
      <c r="I2" s="16"/>
      <c r="J2" s="16"/>
      <c r="K2" s="17"/>
    </row>
    <row r="3" spans="1:18" x14ac:dyDescent="0.45">
      <c r="B3" s="18" t="s">
        <v>307</v>
      </c>
      <c r="K3" s="19"/>
    </row>
    <row r="4" spans="1:18" x14ac:dyDescent="0.45">
      <c r="B4" s="18" t="s">
        <v>305</v>
      </c>
      <c r="K4" s="19"/>
    </row>
    <row r="5" spans="1:18" x14ac:dyDescent="0.45">
      <c r="B5" s="98" t="s">
        <v>306</v>
      </c>
      <c r="C5" s="22"/>
      <c r="D5" s="22"/>
      <c r="E5" s="22"/>
      <c r="F5" s="22"/>
      <c r="G5" s="22"/>
      <c r="H5" s="22"/>
      <c r="I5" s="22"/>
      <c r="J5" s="22"/>
      <c r="K5" s="23"/>
    </row>
    <row r="7" spans="1:18" x14ac:dyDescent="0.45">
      <c r="B7" s="35"/>
      <c r="C7" s="16"/>
      <c r="D7" s="16"/>
      <c r="E7" s="16"/>
      <c r="F7" s="16"/>
      <c r="G7" s="16"/>
      <c r="H7" s="16"/>
      <c r="I7" s="16"/>
      <c r="J7" s="17"/>
      <c r="K7" s="35"/>
      <c r="L7" s="16"/>
      <c r="M7" s="16"/>
      <c r="N7" s="16"/>
      <c r="O7" s="16"/>
      <c r="P7" s="16"/>
      <c r="Q7" s="16"/>
      <c r="R7" s="17"/>
    </row>
    <row r="8" spans="1:18" x14ac:dyDescent="0.45">
      <c r="B8" s="20"/>
      <c r="C8" s="31" t="s">
        <v>308</v>
      </c>
      <c r="F8" s="26" t="s">
        <v>311</v>
      </c>
      <c r="J8" s="19"/>
      <c r="K8" s="20"/>
      <c r="L8" s="31" t="s">
        <v>316</v>
      </c>
      <c r="O8" s="26" t="s">
        <v>319</v>
      </c>
      <c r="R8" s="19"/>
    </row>
    <row r="9" spans="1:18" x14ac:dyDescent="0.45">
      <c r="B9" s="20"/>
      <c r="C9" s="165">
        <v>1</v>
      </c>
      <c r="D9" s="165">
        <v>2</v>
      </c>
      <c r="F9" s="27" t="s">
        <v>310</v>
      </c>
      <c r="J9" s="19"/>
      <c r="K9" s="20"/>
      <c r="L9" s="165">
        <v>10</v>
      </c>
      <c r="M9" s="165">
        <v>20</v>
      </c>
      <c r="O9" s="27" t="s">
        <v>318</v>
      </c>
      <c r="R9" s="19"/>
    </row>
    <row r="10" spans="1:18" x14ac:dyDescent="0.45">
      <c r="B10" s="20"/>
      <c r="C10" s="165">
        <v>3</v>
      </c>
      <c r="D10" s="165">
        <v>4</v>
      </c>
      <c r="F10" s="10" cm="1">
        <f t="array" ref="F10:I13">KroneckerProdλ(Alpha,Bravo)</f>
        <v>0</v>
      </c>
      <c r="G10" s="10">
        <v>5</v>
      </c>
      <c r="H10" s="10">
        <v>0</v>
      </c>
      <c r="I10" s="10">
        <v>10</v>
      </c>
      <c r="J10" s="19"/>
      <c r="K10" s="20"/>
      <c r="L10" s="165">
        <v>30</v>
      </c>
      <c r="M10" s="165">
        <v>40</v>
      </c>
      <c r="O10" s="10" cm="1">
        <f t="array" ref="O10:P17">KroneckerProdλ(Charlie,Delta)</f>
        <v>1000</v>
      </c>
      <c r="P10" s="10">
        <v>2000</v>
      </c>
      <c r="R10" s="19"/>
    </row>
    <row r="11" spans="1:18" x14ac:dyDescent="0.45">
      <c r="B11" s="20"/>
      <c r="F11" s="10">
        <v>6</v>
      </c>
      <c r="G11" s="10">
        <v>7</v>
      </c>
      <c r="H11" s="10">
        <v>12</v>
      </c>
      <c r="I11" s="10">
        <v>14</v>
      </c>
      <c r="J11" s="19"/>
      <c r="K11" s="20"/>
      <c r="O11" s="10">
        <v>2000</v>
      </c>
      <c r="P11" s="10">
        <v>4000</v>
      </c>
      <c r="R11" s="19"/>
    </row>
    <row r="12" spans="1:18" x14ac:dyDescent="0.45">
      <c r="B12" s="20"/>
      <c r="C12" s="31" t="s">
        <v>309</v>
      </c>
      <c r="F12" s="10">
        <v>0</v>
      </c>
      <c r="G12" s="10">
        <v>15</v>
      </c>
      <c r="H12" s="10">
        <v>0</v>
      </c>
      <c r="I12" s="10">
        <v>20</v>
      </c>
      <c r="J12" s="19"/>
      <c r="K12" s="20"/>
      <c r="L12" s="31" t="s">
        <v>317</v>
      </c>
      <c r="O12" s="10">
        <v>3000</v>
      </c>
      <c r="P12" s="10">
        <v>6000</v>
      </c>
      <c r="R12" s="19"/>
    </row>
    <row r="13" spans="1:18" x14ac:dyDescent="0.45">
      <c r="B13" s="20"/>
      <c r="C13" s="165">
        <v>0</v>
      </c>
      <c r="D13" s="165">
        <v>5</v>
      </c>
      <c r="F13" s="10">
        <v>18</v>
      </c>
      <c r="G13" s="10">
        <v>21</v>
      </c>
      <c r="H13" s="10">
        <v>24</v>
      </c>
      <c r="I13" s="10">
        <v>28</v>
      </c>
      <c r="J13" s="19"/>
      <c r="K13" s="20"/>
      <c r="L13" s="165">
        <v>100</v>
      </c>
      <c r="O13" s="10">
        <v>4000</v>
      </c>
      <c r="P13" s="10">
        <v>8000</v>
      </c>
      <c r="R13" s="19"/>
    </row>
    <row r="14" spans="1:18" x14ac:dyDescent="0.45">
      <c r="B14" s="20"/>
      <c r="C14" s="165">
        <v>6</v>
      </c>
      <c r="D14" s="165">
        <v>7</v>
      </c>
      <c r="J14" s="19"/>
      <c r="K14" s="20"/>
      <c r="L14" s="165">
        <v>200</v>
      </c>
      <c r="O14" s="10">
        <v>3000</v>
      </c>
      <c r="P14" s="10">
        <v>4000</v>
      </c>
      <c r="R14" s="19"/>
    </row>
    <row r="15" spans="1:18" x14ac:dyDescent="0.45">
      <c r="B15" s="20"/>
      <c r="J15" s="19"/>
      <c r="K15" s="20"/>
      <c r="L15" s="165">
        <v>300</v>
      </c>
      <c r="O15" s="10">
        <v>6000</v>
      </c>
      <c r="P15" s="10">
        <v>8000</v>
      </c>
      <c r="R15" s="19"/>
    </row>
    <row r="16" spans="1:18" x14ac:dyDescent="0.45">
      <c r="B16" s="20"/>
      <c r="J16" s="19"/>
      <c r="K16" s="20"/>
      <c r="L16" s="165">
        <v>400</v>
      </c>
      <c r="O16" s="10">
        <v>9000</v>
      </c>
      <c r="P16" s="10">
        <v>12000</v>
      </c>
      <c r="R16" s="19"/>
    </row>
    <row r="17" spans="2:18" x14ac:dyDescent="0.45">
      <c r="B17" s="20"/>
      <c r="J17" s="19"/>
      <c r="K17" s="20"/>
      <c r="O17" s="10">
        <v>12000</v>
      </c>
      <c r="P17" s="10">
        <v>16000</v>
      </c>
      <c r="R17" s="19"/>
    </row>
    <row r="18" spans="2:18" x14ac:dyDescent="0.45">
      <c r="B18" s="21"/>
      <c r="C18" s="22"/>
      <c r="D18" s="22"/>
      <c r="E18" s="22"/>
      <c r="F18" s="22"/>
      <c r="G18" s="22"/>
      <c r="H18" s="22"/>
      <c r="I18" s="22"/>
      <c r="J18" s="23"/>
      <c r="K18" s="21"/>
      <c r="L18" s="22"/>
      <c r="M18" s="22"/>
      <c r="N18" s="22"/>
      <c r="O18" s="22"/>
      <c r="P18" s="22"/>
      <c r="Q18" s="22"/>
      <c r="R18" s="23"/>
    </row>
    <row r="19" spans="2:18" x14ac:dyDescent="0.45">
      <c r="B19" s="35"/>
      <c r="C19" s="16"/>
      <c r="D19" s="16"/>
      <c r="E19" s="16"/>
      <c r="J19" s="17"/>
    </row>
    <row r="20" spans="2:18" x14ac:dyDescent="0.45">
      <c r="B20" s="20"/>
      <c r="C20" s="31" t="s">
        <v>312</v>
      </c>
      <c r="F20" s="26" t="s">
        <v>315</v>
      </c>
      <c r="J20" s="19"/>
    </row>
    <row r="21" spans="2:18" x14ac:dyDescent="0.45">
      <c r="B21" s="20"/>
      <c r="C21" s="165">
        <v>5</v>
      </c>
      <c r="F21" s="27" t="s">
        <v>314</v>
      </c>
      <c r="J21" s="19"/>
    </row>
    <row r="22" spans="2:18" x14ac:dyDescent="0.45">
      <c r="B22" s="20"/>
      <c r="C22" s="165">
        <v>10</v>
      </c>
      <c r="F22" s="10" cm="1">
        <f t="array" ref="F22:F25">KroneckerProdλ(Victor,Waldo)</f>
        <v>100</v>
      </c>
      <c r="J22" s="19"/>
    </row>
    <row r="23" spans="2:18" x14ac:dyDescent="0.45">
      <c r="B23" s="20"/>
      <c r="F23" s="10">
        <v>200</v>
      </c>
      <c r="J23" s="19"/>
    </row>
    <row r="24" spans="2:18" x14ac:dyDescent="0.45">
      <c r="B24" s="20"/>
      <c r="C24" s="31" t="s">
        <v>313</v>
      </c>
      <c r="F24" s="10">
        <v>200</v>
      </c>
      <c r="J24" s="19"/>
    </row>
    <row r="25" spans="2:18" x14ac:dyDescent="0.45">
      <c r="B25" s="20"/>
      <c r="C25" s="165">
        <v>20</v>
      </c>
      <c r="F25" s="10">
        <v>400</v>
      </c>
      <c r="J25" s="19"/>
    </row>
    <row r="26" spans="2:18" x14ac:dyDescent="0.45">
      <c r="B26" s="20"/>
      <c r="C26" s="165">
        <v>40</v>
      </c>
      <c r="J26" s="19"/>
    </row>
    <row r="27" spans="2:18" x14ac:dyDescent="0.45">
      <c r="B27" s="20"/>
      <c r="J27" s="19"/>
    </row>
    <row r="28" spans="2:18" x14ac:dyDescent="0.45">
      <c r="B28" s="21"/>
      <c r="C28" s="22"/>
      <c r="D28" s="22"/>
      <c r="E28" s="22"/>
      <c r="F28" s="22"/>
      <c r="G28" s="22"/>
      <c r="H28" s="22"/>
      <c r="I28" s="22"/>
      <c r="J28" s="23"/>
      <c r="K28" s="2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F2E5-7F69-41D4-9B22-8D7039DCA016}">
  <sheetPr codeName="Sheet9">
    <tabColor rgb="FFDBD0F0"/>
  </sheetPr>
  <dimension ref="A1:P31"/>
  <sheetViews>
    <sheetView workbookViewId="0"/>
  </sheetViews>
  <sheetFormatPr defaultRowHeight="16.5" x14ac:dyDescent="0.45"/>
  <cols>
    <col min="1" max="1" width="5" customWidth="1"/>
    <col min="2" max="4" width="5.58203125" customWidth="1"/>
    <col min="5" max="5" width="6.4140625" customWidth="1"/>
    <col min="8" max="8" width="10.1640625" customWidth="1"/>
    <col min="9" max="9" width="3.25" customWidth="1"/>
    <col min="11" max="11" width="10.83203125" bestFit="1" customWidth="1"/>
    <col min="12" max="12" width="13" bestFit="1" customWidth="1"/>
    <col min="13" max="13" width="4.25" customWidth="1"/>
    <col min="15" max="15" width="10.83203125" bestFit="1" customWidth="1"/>
    <col min="16" max="16" width="9.58203125" customWidth="1"/>
  </cols>
  <sheetData>
    <row r="1" spans="1:16" x14ac:dyDescent="0.45">
      <c r="A1" s="7"/>
    </row>
    <row r="2" spans="1:16" x14ac:dyDescent="0.45">
      <c r="B2" s="15" t="s">
        <v>320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365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113"/>
      <c r="P9" s="118"/>
    </row>
    <row r="10" spans="1:16" x14ac:dyDescent="0.45">
      <c r="B10" s="32" t="s">
        <v>326</v>
      </c>
      <c r="C10" s="16"/>
      <c r="D10" s="16"/>
      <c r="E10" s="16"/>
      <c r="F10" s="24" t="s">
        <v>324</v>
      </c>
      <c r="G10" s="16"/>
      <c r="H10" s="17"/>
      <c r="J10" s="32" t="s">
        <v>334</v>
      </c>
      <c r="K10" s="16"/>
      <c r="L10" s="16"/>
      <c r="M10" s="16"/>
      <c r="N10" s="24" t="s">
        <v>337</v>
      </c>
      <c r="O10" s="16"/>
      <c r="P10" s="17"/>
    </row>
    <row r="11" spans="1:16" x14ac:dyDescent="0.45">
      <c r="B11" s="9">
        <v>40</v>
      </c>
      <c r="C11" s="9">
        <v>8</v>
      </c>
      <c r="D11" s="9">
        <v>97</v>
      </c>
      <c r="F11" s="27" t="s">
        <v>325</v>
      </c>
      <c r="G11" s="28"/>
      <c r="H11" s="29"/>
      <c r="J11" s="9" t="s">
        <v>131</v>
      </c>
      <c r="K11" s="9" t="s">
        <v>56</v>
      </c>
      <c r="L11" s="9" t="s">
        <v>327</v>
      </c>
      <c r="N11" s="27" t="s">
        <v>336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4">Excludeλ(ExGrid,50)</f>
        <v>40</v>
      </c>
      <c r="G12" s="9">
        <v>8</v>
      </c>
      <c r="H12" s="9">
        <v>97</v>
      </c>
      <c r="J12" s="9" t="s">
        <v>172</v>
      </c>
      <c r="K12" s="9" t="s">
        <v>81</v>
      </c>
      <c r="L12" s="83" t="s">
        <v>328</v>
      </c>
      <c r="N12" s="9" t="str" cm="1">
        <f t="array" ref="N12:P14">Excludeλ(ExGridB,"Unknown")</f>
        <v>Ann</v>
      </c>
      <c r="O12" s="9" t="str">
        <v>Finance</v>
      </c>
      <c r="P12" s="9" t="str">
        <v>A</v>
      </c>
    </row>
    <row r="13" spans="1:16" x14ac:dyDescent="0.45">
      <c r="B13" s="9">
        <v>68</v>
      </c>
      <c r="C13" s="114">
        <v>50</v>
      </c>
      <c r="D13" s="9">
        <v>20</v>
      </c>
      <c r="F13" s="9">
        <v>4</v>
      </c>
      <c r="G13" s="9">
        <v>9</v>
      </c>
      <c r="H13" s="9">
        <v>4</v>
      </c>
      <c r="J13" s="9" t="s">
        <v>329</v>
      </c>
      <c r="K13" s="9" t="s">
        <v>60</v>
      </c>
      <c r="L13" s="10" t="s">
        <v>86</v>
      </c>
      <c r="N13" s="9" t="str">
        <v>Rosaline</v>
      </c>
      <c r="O13" s="9" t="str">
        <v>HR</v>
      </c>
      <c r="P13" s="9" t="str">
        <v>C</v>
      </c>
    </row>
    <row r="14" spans="1:16" x14ac:dyDescent="0.45">
      <c r="B14" s="9">
        <v>124</v>
      </c>
      <c r="C14" s="9">
        <v>100</v>
      </c>
      <c r="D14" s="114">
        <v>50</v>
      </c>
      <c r="F14" s="9">
        <v>29</v>
      </c>
      <c r="G14" s="9">
        <v>75</v>
      </c>
      <c r="H14" s="9">
        <v>25</v>
      </c>
      <c r="J14" s="9" t="s">
        <v>330</v>
      </c>
      <c r="K14" s="9" t="s">
        <v>335</v>
      </c>
      <c r="L14" s="83" t="s">
        <v>328</v>
      </c>
      <c r="N14" s="9" t="str">
        <v>Vincent</v>
      </c>
      <c r="O14" s="9" t="str">
        <v>Legal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H15" s="19"/>
      <c r="J15" s="9" t="s">
        <v>331</v>
      </c>
      <c r="K15" s="114" t="s">
        <v>328</v>
      </c>
      <c r="L15" s="10" t="s">
        <v>92</v>
      </c>
      <c r="N15" s="28"/>
      <c r="O15" s="28"/>
      <c r="P15" s="29"/>
    </row>
    <row r="16" spans="1:16" x14ac:dyDescent="0.45">
      <c r="B16" s="20"/>
      <c r="H16" s="19"/>
      <c r="J16" s="9" t="s">
        <v>332</v>
      </c>
      <c r="K16" s="9" t="s">
        <v>59</v>
      </c>
      <c r="L16" s="10" t="s">
        <v>93</v>
      </c>
      <c r="P16" s="19"/>
    </row>
    <row r="17" spans="2:16" x14ac:dyDescent="0.45">
      <c r="B17" s="20"/>
      <c r="H17" s="19"/>
      <c r="J17" s="9" t="s">
        <v>333</v>
      </c>
      <c r="K17" s="9" t="s">
        <v>58</v>
      </c>
      <c r="L17" s="10" t="s">
        <v>92</v>
      </c>
      <c r="P17" s="19"/>
    </row>
    <row r="18" spans="2:16" x14ac:dyDescent="0.45">
      <c r="B18" s="20"/>
      <c r="H18" s="19"/>
      <c r="J18" s="20"/>
      <c r="P18" s="19"/>
    </row>
    <row r="19" spans="2:16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7"/>
    </row>
    <row r="20" spans="2:16" x14ac:dyDescent="0.45">
      <c r="B20" s="20"/>
      <c r="F20" s="116" t="s">
        <v>345</v>
      </c>
      <c r="J20" s="26" t="s">
        <v>347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346</v>
      </c>
      <c r="N21" s="27" t="s">
        <v>354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6">Excludeλ(Offices,{"North","Malibu"})</f>
        <v>Home</v>
      </c>
      <c r="K22" s="9" t="str">
        <v>West</v>
      </c>
      <c r="L22" s="9" t="str">
        <v>Pasadena</v>
      </c>
      <c r="N22" s="46" cm="1">
        <f t="array" ref="N22">Excludeλ(Offices,{"Home","Satellite"})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Home</v>
      </c>
      <c r="K23" s="9" t="str">
        <v>West</v>
      </c>
      <c r="L23" s="9" t="str">
        <v>Tucson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East</v>
      </c>
      <c r="L24" s="9" t="str">
        <v>Boston</v>
      </c>
      <c r="P24" s="19"/>
    </row>
    <row r="25" spans="2:16" x14ac:dyDescent="0.45">
      <c r="B25" s="20"/>
      <c r="F25" s="9" t="s">
        <v>350</v>
      </c>
      <c r="G25" s="9" t="s">
        <v>84</v>
      </c>
      <c r="H25" s="114" t="s">
        <v>342</v>
      </c>
      <c r="J25" s="9" t="str">
        <v>Home</v>
      </c>
      <c r="K25" s="9" t="str">
        <v>East</v>
      </c>
      <c r="L25" s="9" t="str">
        <v>Hartford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J26" s="9" t="str">
        <v>Home</v>
      </c>
      <c r="K26" s="9" t="str">
        <v>West</v>
      </c>
      <c r="L26" s="9" t="str">
        <v>Phoenix</v>
      </c>
      <c r="P26" s="19"/>
    </row>
    <row r="27" spans="2:16" x14ac:dyDescent="0.45">
      <c r="B27" s="20"/>
      <c r="F27" s="9" t="s">
        <v>349</v>
      </c>
      <c r="G27" s="114" t="s">
        <v>82</v>
      </c>
      <c r="H27" s="9" t="s">
        <v>353</v>
      </c>
      <c r="J27" s="117"/>
      <c r="K27" s="117"/>
      <c r="L27" s="117"/>
      <c r="P27" s="19"/>
    </row>
    <row r="28" spans="2:16" x14ac:dyDescent="0.45">
      <c r="B28" s="20"/>
      <c r="F28" s="9" t="s">
        <v>349</v>
      </c>
      <c r="G28" s="114" t="s">
        <v>82</v>
      </c>
      <c r="H28" s="9" t="s">
        <v>344</v>
      </c>
      <c r="J28" s="28"/>
      <c r="K28" s="28"/>
      <c r="L28" s="28"/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0"/>
      <c r="P30" s="19"/>
    </row>
    <row r="31" spans="2:16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2E4F5-999D-47A3-A01D-A5F35BE082AD}">
  <sheetPr codeName="Sheet10">
    <tabColor rgb="FFDBD0F0"/>
  </sheetPr>
  <dimension ref="A1:P30"/>
  <sheetViews>
    <sheetView workbookViewId="0"/>
  </sheetViews>
  <sheetFormatPr defaultRowHeight="16.5" x14ac:dyDescent="0.45"/>
  <cols>
    <col min="1" max="1" width="5" customWidth="1"/>
    <col min="8" max="8" width="10" bestFit="1" customWidth="1"/>
    <col min="9" max="9" width="5.9140625" customWidth="1"/>
    <col min="11" max="11" width="11" bestFit="1" customWidth="1"/>
    <col min="12" max="12" width="13" bestFit="1" customWidth="1"/>
    <col min="13" max="13" width="4.75" customWidth="1"/>
  </cols>
  <sheetData>
    <row r="1" spans="1:16" x14ac:dyDescent="0.45">
      <c r="A1" s="7"/>
    </row>
    <row r="2" spans="1:16" x14ac:dyDescent="0.45">
      <c r="B2" s="15" t="s">
        <v>356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321</v>
      </c>
      <c r="P3" s="19"/>
    </row>
    <row r="4" spans="1:16" x14ac:dyDescent="0.45">
      <c r="B4" s="18" t="s">
        <v>322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323</v>
      </c>
      <c r="P6" s="19"/>
    </row>
    <row r="7" spans="1:16" x14ac:dyDescent="0.45">
      <c r="B7" s="20"/>
      <c r="P7" s="19"/>
    </row>
    <row r="8" spans="1:16" x14ac:dyDescent="0.45">
      <c r="B8" s="115" t="s">
        <v>366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</row>
    <row r="9" spans="1:16" x14ac:dyDescent="0.45">
      <c r="B9" s="35"/>
      <c r="C9" s="16"/>
      <c r="D9" s="16"/>
      <c r="E9" s="16"/>
      <c r="F9" s="16"/>
      <c r="G9" s="16"/>
      <c r="H9" s="16"/>
      <c r="I9" s="17"/>
      <c r="J9" s="35"/>
      <c r="K9" s="16"/>
      <c r="L9" s="16"/>
      <c r="M9" s="16"/>
      <c r="N9" s="16"/>
      <c r="O9" s="16"/>
      <c r="P9" s="17"/>
    </row>
    <row r="10" spans="1:16" x14ac:dyDescent="0.45">
      <c r="B10" s="115" t="s">
        <v>361</v>
      </c>
      <c r="F10" s="26" t="s">
        <v>357</v>
      </c>
      <c r="I10" s="19"/>
      <c r="J10" s="115" t="s">
        <v>362</v>
      </c>
      <c r="N10" s="26" t="s">
        <v>359</v>
      </c>
      <c r="P10" s="19"/>
    </row>
    <row r="11" spans="1:16" x14ac:dyDescent="0.45">
      <c r="B11" s="9">
        <v>40</v>
      </c>
      <c r="C11" s="9">
        <v>8</v>
      </c>
      <c r="D11" s="9">
        <v>97</v>
      </c>
      <c r="F11" s="27" t="s">
        <v>363</v>
      </c>
      <c r="I11" s="19"/>
      <c r="J11" s="9" t="s">
        <v>131</v>
      </c>
      <c r="K11" s="9" t="s">
        <v>56</v>
      </c>
      <c r="L11" s="9" t="s">
        <v>327</v>
      </c>
      <c r="N11" s="27" t="s">
        <v>585</v>
      </c>
      <c r="P11" s="19"/>
    </row>
    <row r="12" spans="1:16" x14ac:dyDescent="0.45">
      <c r="B12" s="9">
        <v>4</v>
      </c>
      <c r="C12" s="9">
        <v>9</v>
      </c>
      <c r="D12" s="9">
        <v>4</v>
      </c>
      <c r="F12" s="9" cm="1">
        <f t="array" ref="F12:H13">Snapλ(SnGrid,50)</f>
        <v>68</v>
      </c>
      <c r="G12" s="9">
        <v>50</v>
      </c>
      <c r="H12" s="9">
        <v>20</v>
      </c>
      <c r="I12" s="19"/>
      <c r="J12" s="9" t="s">
        <v>172</v>
      </c>
      <c r="K12" s="9" t="s">
        <v>81</v>
      </c>
      <c r="L12" s="38" t="s">
        <v>328</v>
      </c>
      <c r="N12" s="9" t="str" cm="1">
        <f t="array" ref="N12:P14">Snapλ(SnGridB,"Unknown")</f>
        <v>Jose</v>
      </c>
      <c r="O12" s="9" t="str">
        <v>Sales</v>
      </c>
      <c r="P12" s="9" t="str">
        <v>Unknown</v>
      </c>
    </row>
    <row r="13" spans="1:16" x14ac:dyDescent="0.45">
      <c r="B13" s="9">
        <v>68</v>
      </c>
      <c r="C13" s="38">
        <v>50</v>
      </c>
      <c r="D13" s="9">
        <v>20</v>
      </c>
      <c r="F13" s="9">
        <v>124</v>
      </c>
      <c r="G13" s="9">
        <v>100</v>
      </c>
      <c r="H13" s="9">
        <v>50</v>
      </c>
      <c r="I13" s="19"/>
      <c r="J13" s="9" t="s">
        <v>329</v>
      </c>
      <c r="K13" s="9" t="s">
        <v>60</v>
      </c>
      <c r="L13" s="9" t="s">
        <v>86</v>
      </c>
      <c r="N13" s="9" t="str">
        <v>Willy</v>
      </c>
      <c r="O13" s="9" t="str">
        <v>Marketing</v>
      </c>
      <c r="P13" s="9" t="str">
        <v>Unknown</v>
      </c>
    </row>
    <row r="14" spans="1:16" x14ac:dyDescent="0.45">
      <c r="B14" s="9">
        <v>124</v>
      </c>
      <c r="C14" s="9">
        <v>100</v>
      </c>
      <c r="D14" s="38">
        <v>50</v>
      </c>
      <c r="I14" s="19"/>
      <c r="J14" s="9" t="s">
        <v>330</v>
      </c>
      <c r="K14" s="9" t="s">
        <v>335</v>
      </c>
      <c r="L14" s="38" t="s">
        <v>328</v>
      </c>
      <c r="N14" s="9" t="str">
        <v>Jerry</v>
      </c>
      <c r="O14" s="9" t="str">
        <v>Unknown</v>
      </c>
      <c r="P14" s="9" t="str">
        <v>B</v>
      </c>
    </row>
    <row r="15" spans="1:16" x14ac:dyDescent="0.45">
      <c r="B15" s="9">
        <v>29</v>
      </c>
      <c r="C15" s="9">
        <v>75</v>
      </c>
      <c r="D15" s="9">
        <v>25</v>
      </c>
      <c r="I15" s="19"/>
      <c r="J15" s="9" t="s">
        <v>331</v>
      </c>
      <c r="K15" s="38" t="s">
        <v>328</v>
      </c>
      <c r="L15" s="9" t="s">
        <v>92</v>
      </c>
      <c r="P15" s="19"/>
    </row>
    <row r="16" spans="1:16" x14ac:dyDescent="0.45">
      <c r="B16" s="20"/>
      <c r="I16" s="19"/>
      <c r="J16" s="9" t="s">
        <v>332</v>
      </c>
      <c r="K16" s="9" t="s">
        <v>59</v>
      </c>
      <c r="L16" s="9" t="s">
        <v>93</v>
      </c>
      <c r="P16" s="19"/>
    </row>
    <row r="17" spans="2:16" x14ac:dyDescent="0.45">
      <c r="B17" s="20"/>
      <c r="I17" s="19"/>
      <c r="J17" s="9" t="s">
        <v>333</v>
      </c>
      <c r="K17" s="9" t="s">
        <v>58</v>
      </c>
      <c r="L17" s="9" t="s">
        <v>92</v>
      </c>
      <c r="P17" s="19"/>
    </row>
    <row r="18" spans="2:16" x14ac:dyDescent="0.45">
      <c r="B18" s="21"/>
      <c r="C18" s="22"/>
      <c r="D18" s="22"/>
      <c r="E18" s="22"/>
      <c r="F18" s="22"/>
      <c r="G18" s="22"/>
      <c r="H18" s="22"/>
      <c r="I18" s="23"/>
      <c r="J18" s="21"/>
      <c r="K18" s="22"/>
      <c r="L18" s="22"/>
      <c r="M18" s="22"/>
      <c r="N18" s="22"/>
      <c r="O18" s="22"/>
      <c r="P18" s="23"/>
    </row>
    <row r="19" spans="2:16" x14ac:dyDescent="0.45">
      <c r="B19" s="20"/>
      <c r="P19" s="19"/>
    </row>
    <row r="20" spans="2:16" x14ac:dyDescent="0.45">
      <c r="B20" s="20"/>
      <c r="F20" s="116" t="s">
        <v>358</v>
      </c>
      <c r="J20" s="26" t="s">
        <v>360</v>
      </c>
      <c r="N20" s="26" t="s">
        <v>355</v>
      </c>
      <c r="P20" s="19"/>
    </row>
    <row r="21" spans="2:16" x14ac:dyDescent="0.45">
      <c r="B21" s="20"/>
      <c r="F21" s="9" t="s">
        <v>348</v>
      </c>
      <c r="G21" s="9" t="s">
        <v>338</v>
      </c>
      <c r="H21" s="9" t="s">
        <v>339</v>
      </c>
      <c r="J21" s="27" t="s">
        <v>367</v>
      </c>
      <c r="N21" s="27" t="s">
        <v>364</v>
      </c>
      <c r="P21" s="19"/>
    </row>
    <row r="22" spans="2:16" x14ac:dyDescent="0.45">
      <c r="B22" s="20"/>
      <c r="F22" s="9" t="s">
        <v>350</v>
      </c>
      <c r="G22" s="9" t="s">
        <v>84</v>
      </c>
      <c r="H22" s="9" t="s">
        <v>341</v>
      </c>
      <c r="J22" s="9" t="str" cm="1">
        <f t="array" ref="J22:L24">Snapλ(OfficesB,{"North","Malibu"})</f>
        <v>Home</v>
      </c>
      <c r="K22" s="9" t="str">
        <v>West</v>
      </c>
      <c r="L22" s="9" t="str">
        <v>Malibu</v>
      </c>
      <c r="N22" s="46" cm="1">
        <f t="array" ref="N22">Snapλ(OfficesB,"Plano")</f>
        <v>0</v>
      </c>
      <c r="P22" s="19"/>
    </row>
    <row r="23" spans="2:16" x14ac:dyDescent="0.45">
      <c r="B23" s="20"/>
      <c r="F23" s="9" t="s">
        <v>350</v>
      </c>
      <c r="G23" s="9" t="s">
        <v>84</v>
      </c>
      <c r="H23" s="9" t="s">
        <v>352</v>
      </c>
      <c r="J23" s="9" t="str">
        <v>Satellite</v>
      </c>
      <c r="K23" s="9" t="str">
        <v>North</v>
      </c>
      <c r="L23" s="9" t="str">
        <v>Portland</v>
      </c>
      <c r="P23" s="19"/>
    </row>
    <row r="24" spans="2:16" x14ac:dyDescent="0.45">
      <c r="B24" s="20"/>
      <c r="F24" s="9" t="s">
        <v>349</v>
      </c>
      <c r="G24" s="9" t="s">
        <v>204</v>
      </c>
      <c r="H24" s="9" t="s">
        <v>340</v>
      </c>
      <c r="J24" s="9" t="str">
        <v>Satellite</v>
      </c>
      <c r="K24" s="9" t="str">
        <v>North</v>
      </c>
      <c r="L24" s="9" t="str">
        <v>Montpelier</v>
      </c>
      <c r="P24" s="19"/>
    </row>
    <row r="25" spans="2:16" x14ac:dyDescent="0.45">
      <c r="B25" s="20"/>
      <c r="F25" s="9" t="s">
        <v>350</v>
      </c>
      <c r="G25" s="9" t="s">
        <v>84</v>
      </c>
      <c r="H25" s="38" t="s">
        <v>342</v>
      </c>
      <c r="P25" s="19"/>
    </row>
    <row r="26" spans="2:16" x14ac:dyDescent="0.45">
      <c r="B26" s="20"/>
      <c r="F26" s="9" t="s">
        <v>350</v>
      </c>
      <c r="G26" s="9" t="s">
        <v>204</v>
      </c>
      <c r="H26" s="9" t="s">
        <v>343</v>
      </c>
      <c r="P26" s="19"/>
    </row>
    <row r="27" spans="2:16" x14ac:dyDescent="0.45">
      <c r="B27" s="20"/>
      <c r="F27" s="9" t="s">
        <v>349</v>
      </c>
      <c r="G27" s="38" t="s">
        <v>82</v>
      </c>
      <c r="H27" s="9" t="s">
        <v>353</v>
      </c>
      <c r="P27" s="19"/>
    </row>
    <row r="28" spans="2:16" x14ac:dyDescent="0.45">
      <c r="B28" s="20"/>
      <c r="F28" s="9" t="s">
        <v>349</v>
      </c>
      <c r="G28" s="38" t="s">
        <v>82</v>
      </c>
      <c r="H28" s="9" t="s">
        <v>344</v>
      </c>
      <c r="P28" s="19"/>
    </row>
    <row r="29" spans="2:16" x14ac:dyDescent="0.45">
      <c r="B29" s="20"/>
      <c r="F29" s="9" t="s">
        <v>350</v>
      </c>
      <c r="G29" s="9" t="s">
        <v>84</v>
      </c>
      <c r="H29" s="9" t="s">
        <v>351</v>
      </c>
      <c r="P29" s="19"/>
    </row>
    <row r="30" spans="2:16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16CA-9CBF-4061-9A72-7C2588499451}">
  <sheetPr codeName="Sheet11">
    <tabColor rgb="FFB7C9D6"/>
  </sheetPr>
  <dimension ref="A1:V31"/>
  <sheetViews>
    <sheetView workbookViewId="0"/>
  </sheetViews>
  <sheetFormatPr defaultRowHeight="16.5" x14ac:dyDescent="0.45"/>
  <cols>
    <col min="1" max="1" width="5" customWidth="1"/>
    <col min="2" max="22" width="5.58203125" customWidth="1"/>
  </cols>
  <sheetData>
    <row r="1" spans="1:22" x14ac:dyDescent="0.45">
      <c r="A1" s="7"/>
    </row>
    <row r="2" spans="1:22" x14ac:dyDescent="0.45">
      <c r="B2" s="15" t="s">
        <v>381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7"/>
    </row>
    <row r="3" spans="1:22" x14ac:dyDescent="0.45">
      <c r="B3" s="18" t="s">
        <v>368</v>
      </c>
      <c r="M3" s="19"/>
    </row>
    <row r="4" spans="1:22" x14ac:dyDescent="0.45">
      <c r="B4" s="104" t="s">
        <v>260</v>
      </c>
      <c r="M4" s="19"/>
    </row>
    <row r="5" spans="1:22" x14ac:dyDescent="0.45">
      <c r="B5" s="18" t="s">
        <v>369</v>
      </c>
      <c r="M5" s="19"/>
    </row>
    <row r="6" spans="1:22" x14ac:dyDescent="0.45">
      <c r="B6" s="20"/>
      <c r="C6" s="1" t="s">
        <v>370</v>
      </c>
      <c r="M6" s="19"/>
    </row>
    <row r="7" spans="1:22" x14ac:dyDescent="0.45">
      <c r="B7" s="20"/>
      <c r="C7" s="1" t="s">
        <v>371</v>
      </c>
      <c r="M7" s="19"/>
    </row>
    <row r="8" spans="1:22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3"/>
    </row>
    <row r="10" spans="1:22" x14ac:dyDescent="0.45">
      <c r="B10" s="119" t="s">
        <v>373</v>
      </c>
      <c r="C10" s="16"/>
      <c r="D10" s="16"/>
      <c r="E10" s="16"/>
      <c r="F10" s="16"/>
      <c r="G10" s="24" t="s">
        <v>374</v>
      </c>
      <c r="H10" s="16"/>
      <c r="I10" s="16"/>
      <c r="J10" s="16"/>
      <c r="K10" s="16"/>
      <c r="L10" s="24" t="s">
        <v>375</v>
      </c>
      <c r="M10" s="16"/>
      <c r="N10" s="16"/>
      <c r="O10" s="16"/>
      <c r="P10" s="16"/>
      <c r="Q10" s="16"/>
      <c r="R10" s="16"/>
      <c r="S10" s="16"/>
      <c r="T10" s="16"/>
      <c r="U10" s="16"/>
      <c r="V10" s="17"/>
    </row>
    <row r="11" spans="1:22" x14ac:dyDescent="0.45">
      <c r="B11" s="96" t="s">
        <v>383</v>
      </c>
      <c r="G11" s="27" t="s">
        <v>384</v>
      </c>
      <c r="L11" s="27" t="s">
        <v>385</v>
      </c>
      <c r="V11" s="19"/>
    </row>
    <row r="12" spans="1:22" x14ac:dyDescent="0.45">
      <c r="B12" s="166" cm="1">
        <f t="array" ref="B12:E12">_xlfn.SEQUENCE(,4)</f>
        <v>1</v>
      </c>
      <c r="C12" s="167">
        <v>2</v>
      </c>
      <c r="D12" s="167">
        <v>3</v>
      </c>
      <c r="E12" s="168">
        <v>4</v>
      </c>
      <c r="G12" s="10" cm="1">
        <f t="array" ref="G12:J12">Shiftλ(_xlfn.ANCHORARRAY(B12),1)</f>
        <v>2</v>
      </c>
      <c r="H12" s="10">
        <v>3</v>
      </c>
      <c r="I12" s="10">
        <v>4</v>
      </c>
      <c r="J12" s="10">
        <v>1</v>
      </c>
      <c r="L12" s="10" cm="1">
        <f t="array" ref="L12:O12">Shiftλ(_xlfn.ANCHORARRAY(B12),-1)</f>
        <v>4</v>
      </c>
      <c r="M12" s="10">
        <v>1</v>
      </c>
      <c r="N12" s="10">
        <v>2</v>
      </c>
      <c r="O12" s="10">
        <v>3</v>
      </c>
      <c r="V12" s="19"/>
    </row>
    <row r="13" spans="1:22" x14ac:dyDescent="0.45">
      <c r="B13" s="21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3"/>
    </row>
    <row r="14" spans="1:22" x14ac:dyDescent="0.45">
      <c r="B14" s="119" t="s">
        <v>373</v>
      </c>
      <c r="C14" s="16"/>
      <c r="D14" s="16"/>
      <c r="E14" s="16"/>
      <c r="F14" s="16"/>
      <c r="G14" s="24" t="s">
        <v>376</v>
      </c>
      <c r="H14" s="16"/>
      <c r="I14" s="16"/>
      <c r="J14" s="16"/>
      <c r="K14" s="16"/>
      <c r="L14" s="24" t="s">
        <v>391</v>
      </c>
      <c r="M14" s="16"/>
      <c r="N14" s="16"/>
      <c r="O14" s="16"/>
      <c r="P14" s="24" t="s">
        <v>378</v>
      </c>
      <c r="Q14" s="16"/>
      <c r="R14" s="16"/>
      <c r="S14" s="16"/>
      <c r="U14" s="16"/>
      <c r="V14" s="17"/>
    </row>
    <row r="15" spans="1:22" x14ac:dyDescent="0.45">
      <c r="B15" s="96" t="s">
        <v>386</v>
      </c>
      <c r="G15" s="27" t="s">
        <v>387</v>
      </c>
      <c r="L15" s="27" t="s">
        <v>390</v>
      </c>
      <c r="P15" s="27" t="s">
        <v>379</v>
      </c>
      <c r="V15" s="19"/>
    </row>
    <row r="16" spans="1:22" x14ac:dyDescent="0.45">
      <c r="B16" s="121" cm="1">
        <f t="array" ref="B16:B19">_xlfn.SEQUENCE(4)</f>
        <v>1</v>
      </c>
      <c r="G16" s="10" cm="1">
        <f t="array" ref="G16:G19">Shiftλ(_xlfn.ANCHORARRAY(B16),1)</f>
        <v>2</v>
      </c>
      <c r="L16" s="10" cm="1">
        <f t="array" ref="L16:L19">Shiftλ(_xlfn.ANCHORARRAY(B16),-2)</f>
        <v>3</v>
      </c>
      <c r="P16" s="10" t="str" cm="1">
        <f t="array" ref="P16:P19">Shiftλ(1234,-1)</f>
        <v>4</v>
      </c>
      <c r="V16" s="19"/>
    </row>
    <row r="17" spans="2:22" x14ac:dyDescent="0.45">
      <c r="B17" s="121">
        <v>2</v>
      </c>
      <c r="G17" s="10">
        <v>3</v>
      </c>
      <c r="L17" s="10">
        <v>4</v>
      </c>
      <c r="P17" s="10" t="str">
        <v>1</v>
      </c>
      <c r="V17" s="19"/>
    </row>
    <row r="18" spans="2:22" x14ac:dyDescent="0.45">
      <c r="B18" s="121">
        <v>3</v>
      </c>
      <c r="G18" s="10">
        <v>4</v>
      </c>
      <c r="L18" s="10">
        <v>1</v>
      </c>
      <c r="P18" s="10" t="str">
        <v>2</v>
      </c>
      <c r="V18" s="19"/>
    </row>
    <row r="19" spans="2:22" x14ac:dyDescent="0.45">
      <c r="B19" s="121">
        <v>4</v>
      </c>
      <c r="G19" s="10">
        <v>1</v>
      </c>
      <c r="L19" s="10">
        <v>2</v>
      </c>
      <c r="P19" s="10" t="str">
        <v>3</v>
      </c>
      <c r="V19" s="19"/>
    </row>
    <row r="20" spans="2:22" x14ac:dyDescent="0.45">
      <c r="B20" s="21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3"/>
    </row>
    <row r="21" spans="2:22" x14ac:dyDescent="0.45">
      <c r="B21" s="96" t="s">
        <v>372</v>
      </c>
      <c r="V21" s="19"/>
    </row>
    <row r="22" spans="2:22" x14ac:dyDescent="0.45">
      <c r="B22" s="33" t="s">
        <v>373</v>
      </c>
      <c r="G22" s="26" t="s">
        <v>380</v>
      </c>
      <c r="P22" s="26" t="s">
        <v>380</v>
      </c>
      <c r="V22" s="19"/>
    </row>
    <row r="23" spans="2:22" x14ac:dyDescent="0.45">
      <c r="B23" s="96" t="s">
        <v>388</v>
      </c>
      <c r="G23" s="27" t="s">
        <v>389</v>
      </c>
      <c r="P23" s="27" t="s">
        <v>382</v>
      </c>
      <c r="V23" s="19"/>
    </row>
    <row r="24" spans="2:22" x14ac:dyDescent="0.45">
      <c r="B24" s="121" cm="1">
        <f t="array" ref="B24:B29">_xlfn.SEQUENCE(6)</f>
        <v>1</v>
      </c>
      <c r="G24" s="169" cm="1">
        <f t="array" ref="G24:L28">Shiftλ(_xlfn.ANCHORARRAY(B24),_xlfn.SEQUENCE(5))</f>
        <v>2</v>
      </c>
      <c r="H24" s="170">
        <v>3</v>
      </c>
      <c r="I24" s="170">
        <v>4</v>
      </c>
      <c r="J24" s="170">
        <v>5</v>
      </c>
      <c r="K24" s="170">
        <v>6</v>
      </c>
      <c r="L24" s="59">
        <v>1</v>
      </c>
      <c r="P24" s="169" t="str" cm="1">
        <f t="array" ref="P24:U26">Shiftλ(123456,{1,2,3})</f>
        <v>2</v>
      </c>
      <c r="Q24" s="170" t="str">
        <v>3</v>
      </c>
      <c r="R24" s="170" t="str">
        <v>4</v>
      </c>
      <c r="S24" s="170" t="str">
        <v>5</v>
      </c>
      <c r="T24" s="170" t="str">
        <v>6</v>
      </c>
      <c r="U24" s="59" t="str">
        <v>1</v>
      </c>
      <c r="V24" s="19"/>
    </row>
    <row r="25" spans="2:22" x14ac:dyDescent="0.45">
      <c r="B25" s="121">
        <v>2</v>
      </c>
      <c r="G25" s="169">
        <v>3</v>
      </c>
      <c r="H25" s="170">
        <v>4</v>
      </c>
      <c r="I25" s="170">
        <v>5</v>
      </c>
      <c r="J25" s="170">
        <v>6</v>
      </c>
      <c r="K25" s="170">
        <v>1</v>
      </c>
      <c r="L25" s="59">
        <v>2</v>
      </c>
      <c r="P25" s="169" t="str">
        <v>3</v>
      </c>
      <c r="Q25" s="170" t="str">
        <v>4</v>
      </c>
      <c r="R25" s="170" t="str">
        <v>5</v>
      </c>
      <c r="S25" s="170" t="str">
        <v>6</v>
      </c>
      <c r="T25" s="170" t="str">
        <v>1</v>
      </c>
      <c r="U25" s="59" t="str">
        <v>2</v>
      </c>
      <c r="V25" s="19"/>
    </row>
    <row r="26" spans="2:22" x14ac:dyDescent="0.45">
      <c r="B26" s="121">
        <v>3</v>
      </c>
      <c r="G26" s="169">
        <v>4</v>
      </c>
      <c r="H26" s="170">
        <v>5</v>
      </c>
      <c r="I26" s="170">
        <v>6</v>
      </c>
      <c r="J26" s="170">
        <v>1</v>
      </c>
      <c r="K26" s="170">
        <v>2</v>
      </c>
      <c r="L26" s="59">
        <v>3</v>
      </c>
      <c r="P26" s="169" t="str">
        <v>4</v>
      </c>
      <c r="Q26" s="170" t="str">
        <v>5</v>
      </c>
      <c r="R26" s="170" t="str">
        <v>6</v>
      </c>
      <c r="S26" s="170" t="str">
        <v>1</v>
      </c>
      <c r="T26" s="170" t="str">
        <v>2</v>
      </c>
      <c r="U26" s="59" t="str">
        <v>3</v>
      </c>
      <c r="V26" s="19"/>
    </row>
    <row r="27" spans="2:22" x14ac:dyDescent="0.45">
      <c r="B27" s="121">
        <v>4</v>
      </c>
      <c r="G27" s="169">
        <v>5</v>
      </c>
      <c r="H27" s="170">
        <v>6</v>
      </c>
      <c r="I27" s="170">
        <v>1</v>
      </c>
      <c r="J27" s="170">
        <v>2</v>
      </c>
      <c r="K27" s="170">
        <v>3</v>
      </c>
      <c r="L27" s="59">
        <v>4</v>
      </c>
      <c r="V27" s="19"/>
    </row>
    <row r="28" spans="2:22" x14ac:dyDescent="0.45">
      <c r="B28" s="121">
        <v>5</v>
      </c>
      <c r="G28" s="169">
        <v>6</v>
      </c>
      <c r="H28" s="170">
        <v>1</v>
      </c>
      <c r="I28" s="170">
        <v>2</v>
      </c>
      <c r="J28" s="170">
        <v>3</v>
      </c>
      <c r="K28" s="170">
        <v>4</v>
      </c>
      <c r="L28" s="59">
        <v>5</v>
      </c>
      <c r="V28" s="19"/>
    </row>
    <row r="29" spans="2:22" x14ac:dyDescent="0.45">
      <c r="B29" s="121">
        <v>6</v>
      </c>
      <c r="V29" s="19"/>
    </row>
    <row r="30" spans="2:22" x14ac:dyDescent="0.45">
      <c r="B30" s="20"/>
      <c r="V30" s="19"/>
    </row>
    <row r="31" spans="2:22" x14ac:dyDescent="0.45">
      <c r="B31" s="21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ACB4C-23B7-4A32-8531-5513EE5CC2A0}">
  <sheetPr codeName="Sheet12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2" max="2" width="14.1640625" customWidth="1"/>
    <col min="3" max="3" width="9.25" customWidth="1"/>
    <col min="4" max="4" width="10.33203125" customWidth="1"/>
    <col min="5" max="5" width="8.08203125" customWidth="1"/>
    <col min="6" max="6" width="6.1640625" customWidth="1"/>
    <col min="7" max="7" width="22" bestFit="1" customWidth="1"/>
    <col min="8" max="8" width="8.25" bestFit="1" customWidth="1"/>
    <col min="9" max="9" width="20.7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400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370</v>
      </c>
      <c r="G5" s="19"/>
    </row>
    <row r="6" spans="1:13" x14ac:dyDescent="0.45">
      <c r="B6" s="21"/>
      <c r="C6" s="128" t="s">
        <v>371</v>
      </c>
      <c r="D6" s="22"/>
      <c r="E6" s="22"/>
      <c r="F6" s="22"/>
      <c r="G6" s="23"/>
    </row>
    <row r="8" spans="1:13" x14ac:dyDescent="0.45">
      <c r="B8" s="32" t="s">
        <v>397</v>
      </c>
      <c r="C8" s="16"/>
      <c r="D8" s="16"/>
      <c r="E8" s="17"/>
      <c r="F8" s="35"/>
      <c r="G8" s="36" t="s">
        <v>422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374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113" t="s">
        <v>398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ShiftRowsλ(Students,1)</f>
        <v>Math</v>
      </c>
      <c r="C17" s="10" t="str">
        <v>B</v>
      </c>
      <c r="D17" s="9" t="str">
        <v>Bob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Physics</v>
      </c>
      <c r="C18" s="10" t="str">
        <v>A</v>
      </c>
      <c r="D18" s="9" t="str">
        <v>Deb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History</v>
      </c>
      <c r="C19" s="10" t="str">
        <v>B</v>
      </c>
      <c r="D19" s="9" t="str">
        <v>Sue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Chemistry</v>
      </c>
      <c r="C20" s="10" t="str">
        <v>C</v>
      </c>
      <c r="D20" s="9" t="str">
        <v>Joe</v>
      </c>
      <c r="E20" s="29"/>
      <c r="F20" s="20"/>
      <c r="G20" s="26" t="s">
        <v>424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5" t="s">
        <v>423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375</v>
      </c>
      <c r="E22" s="19"/>
      <c r="F22" s="20"/>
      <c r="G22" s="9" t="str" cm="1">
        <f t="array" ref="G22:L31">ShiftRowsλ(Apps,-2)</f>
        <v>Modern Option</v>
      </c>
      <c r="H22" s="10" t="str">
        <v>Cost</v>
      </c>
      <c r="I22" s="9" t="str">
        <v>Older Option</v>
      </c>
      <c r="J22" s="9" t="str">
        <v>Version</v>
      </c>
      <c r="K22" s="127" t="str">
        <v>Cost</v>
      </c>
      <c r="L22" s="10" t="str">
        <v>End of Life</v>
      </c>
      <c r="M22" s="19"/>
    </row>
    <row r="23" spans="2:13" x14ac:dyDescent="0.45">
      <c r="B23" s="113" t="s">
        <v>399</v>
      </c>
      <c r="E23" s="19"/>
      <c r="F23" s="20"/>
      <c r="G23" s="9" t="str">
        <v>QuantumWave Browser</v>
      </c>
      <c r="H23" s="124" t="str">
        <v>Free</v>
      </c>
      <c r="I23" s="9" t="str">
        <v>Netscape Navigator</v>
      </c>
      <c r="J23" s="9">
        <v>4.08</v>
      </c>
      <c r="K23" s="124">
        <v>49.99</v>
      </c>
      <c r="L23" s="125">
        <v>39508</v>
      </c>
      <c r="M23" s="19"/>
    </row>
    <row r="24" spans="2:13" x14ac:dyDescent="0.45">
      <c r="B24" s="10" t="str" cm="1">
        <f t="array" ref="B24:D27">ShiftRowsλ(Students,-1)</f>
        <v>B</v>
      </c>
      <c r="C24" s="9" t="str">
        <v>Bob</v>
      </c>
      <c r="D24" s="9" t="str">
        <v>Math</v>
      </c>
      <c r="E24" s="29"/>
      <c r="F24" s="20"/>
      <c r="G24" s="9" t="str">
        <v>NeoOS 12</v>
      </c>
      <c r="H24" s="124">
        <v>399.99</v>
      </c>
      <c r="I24" s="9" t="str">
        <v>Windows XP</v>
      </c>
      <c r="J24" s="9">
        <v>5.0999999999999996</v>
      </c>
      <c r="K24" s="124">
        <v>199.99</v>
      </c>
      <c r="L24" s="125">
        <v>41737</v>
      </c>
      <c r="M24" s="19"/>
    </row>
    <row r="25" spans="2:13" x14ac:dyDescent="0.45">
      <c r="B25" s="10" t="str">
        <v>A</v>
      </c>
      <c r="C25" s="9" t="str">
        <v>Deb</v>
      </c>
      <c r="D25" s="9" t="str">
        <v>Physics</v>
      </c>
      <c r="E25" s="29"/>
      <c r="F25" s="20"/>
      <c r="G25" s="9" t="str">
        <v>FlashX Pro</v>
      </c>
      <c r="H25" s="76" t="str">
        <v>Free</v>
      </c>
      <c r="I25" s="9" t="str">
        <v>Adobe Flash Player</v>
      </c>
      <c r="J25" s="9">
        <v>32</v>
      </c>
      <c r="K25" s="124" t="str">
        <v>Free</v>
      </c>
      <c r="L25" s="125">
        <v>44196</v>
      </c>
      <c r="M25" s="19"/>
    </row>
    <row r="26" spans="2:13" x14ac:dyDescent="0.45">
      <c r="B26" s="10" t="str">
        <v>B</v>
      </c>
      <c r="C26" s="9" t="str">
        <v>Sue</v>
      </c>
      <c r="D26" s="9" t="str">
        <v>History</v>
      </c>
      <c r="E26" s="29"/>
      <c r="F26" s="20"/>
      <c r="G26" s="9" t="str">
        <v>WebTV Revive</v>
      </c>
      <c r="H26" s="76" t="str">
        <v>Free</v>
      </c>
      <c r="I26" s="9" t="str">
        <v>Internet Explorer</v>
      </c>
      <c r="J26" s="9">
        <v>6</v>
      </c>
      <c r="K26" s="124" t="str">
        <v>Free</v>
      </c>
      <c r="L26" s="125">
        <v>41651</v>
      </c>
      <c r="M26" s="19"/>
    </row>
    <row r="27" spans="2:13" x14ac:dyDescent="0.45">
      <c r="B27" s="10" t="str">
        <v>C</v>
      </c>
      <c r="C27" s="9" t="str">
        <v>Joe</v>
      </c>
      <c r="D27" s="9" t="str">
        <v>Chemistry</v>
      </c>
      <c r="E27" s="29"/>
      <c r="F27" s="20"/>
      <c r="G27" s="9" t="str">
        <v>SoundStream</v>
      </c>
      <c r="H27" s="124">
        <v>22.95</v>
      </c>
      <c r="I27" s="9" t="str">
        <v>Winamp</v>
      </c>
      <c r="J27" s="9">
        <v>5.6</v>
      </c>
      <c r="K27" s="124">
        <v>19.95</v>
      </c>
      <c r="L27" s="125">
        <v>41628</v>
      </c>
      <c r="M27" s="19"/>
    </row>
    <row r="28" spans="2:13" x14ac:dyDescent="0.45">
      <c r="B28" s="20"/>
      <c r="E28" s="19"/>
      <c r="F28" s="20"/>
      <c r="G28" s="9" t="str">
        <v>NoteSphere</v>
      </c>
      <c r="H28" s="124">
        <v>599.99</v>
      </c>
      <c r="I28" s="9" t="str">
        <v>Lotus Notes</v>
      </c>
      <c r="J28" s="9">
        <v>8.5</v>
      </c>
      <c r="K28" s="124">
        <v>299</v>
      </c>
      <c r="L28" s="125">
        <v>41305</v>
      </c>
      <c r="M28" s="19"/>
    </row>
    <row r="29" spans="2:13" x14ac:dyDescent="0.45">
      <c r="B29" s="20"/>
      <c r="E29" s="19"/>
      <c r="F29" s="20"/>
      <c r="G29" s="9" t="str">
        <v>StreamMaster</v>
      </c>
      <c r="H29" s="124" t="str">
        <v>Free</v>
      </c>
      <c r="I29" s="9" t="str">
        <v>RealPlayer</v>
      </c>
      <c r="J29" s="9">
        <v>16</v>
      </c>
      <c r="K29" s="124">
        <v>39.950000000000003</v>
      </c>
      <c r="L29" s="125">
        <v>42735</v>
      </c>
      <c r="M29" s="19"/>
    </row>
    <row r="30" spans="2:13" x14ac:dyDescent="0.45">
      <c r="B30" s="20"/>
      <c r="E30" s="19"/>
      <c r="F30" s="20"/>
      <c r="G30" s="9" t="str">
        <v>ChatPulse</v>
      </c>
      <c r="H30" s="76" t="str">
        <v>Free</v>
      </c>
      <c r="I30" s="9" t="str">
        <v>Yahoo Messenger</v>
      </c>
      <c r="J30" s="9">
        <v>11.5</v>
      </c>
      <c r="K30" s="124" t="str">
        <v>Free</v>
      </c>
      <c r="L30" s="125">
        <v>43298</v>
      </c>
      <c r="M30" s="19"/>
    </row>
    <row r="31" spans="2:13" x14ac:dyDescent="0.45">
      <c r="B31" s="20"/>
      <c r="E31" s="19"/>
      <c r="F31" s="20"/>
      <c r="G31" s="9" t="str">
        <v>PhantomGuard+</v>
      </c>
      <c r="H31" s="124">
        <v>99.99</v>
      </c>
      <c r="I31" s="9" t="str">
        <v>Symantec Norton Ghost</v>
      </c>
      <c r="J31" s="9">
        <v>15</v>
      </c>
      <c r="K31" s="124">
        <v>79.989999999999995</v>
      </c>
      <c r="L31" s="125">
        <v>41305</v>
      </c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C5165-B75C-4295-9A20-69D4148781CB}">
  <sheetPr codeName="Sheet13">
    <tabColor rgb="FFB7C9D6"/>
  </sheetPr>
  <dimension ref="A1:M32"/>
  <sheetViews>
    <sheetView workbookViewId="0"/>
  </sheetViews>
  <sheetFormatPr defaultRowHeight="16.5" x14ac:dyDescent="0.45"/>
  <cols>
    <col min="1" max="1" width="5" customWidth="1"/>
    <col min="3" max="3" width="9.6640625" customWidth="1"/>
    <col min="6" max="6" width="7.25" customWidth="1"/>
    <col min="7" max="7" width="24.4140625" customWidth="1"/>
    <col min="8" max="8" width="8.25" bestFit="1" customWidth="1"/>
    <col min="9" max="9" width="21.08203125" bestFit="1" customWidth="1"/>
    <col min="10" max="10" width="10.08203125" bestFit="1" customWidth="1"/>
    <col min="11" max="11" width="21.25" bestFit="1" customWidth="1"/>
    <col min="12" max="12" width="10.08203125" bestFit="1" customWidth="1"/>
    <col min="13" max="13" width="5.1640625" customWidth="1"/>
  </cols>
  <sheetData>
    <row r="1" spans="1:13" x14ac:dyDescent="0.45">
      <c r="A1" s="7"/>
    </row>
    <row r="2" spans="1:13" x14ac:dyDescent="0.45">
      <c r="B2" s="15" t="s">
        <v>429</v>
      </c>
      <c r="C2" s="16"/>
      <c r="D2" s="16"/>
      <c r="E2" s="16"/>
      <c r="F2" s="16"/>
      <c r="G2" s="17"/>
    </row>
    <row r="3" spans="1:13" x14ac:dyDescent="0.45">
      <c r="B3" s="18" t="s">
        <v>392</v>
      </c>
      <c r="G3" s="19"/>
    </row>
    <row r="4" spans="1:13" x14ac:dyDescent="0.45">
      <c r="B4" s="18" t="s">
        <v>369</v>
      </c>
      <c r="G4" s="19"/>
    </row>
    <row r="5" spans="1:13" x14ac:dyDescent="0.45">
      <c r="B5" s="20"/>
      <c r="C5" s="1" t="s">
        <v>430</v>
      </c>
      <c r="G5" s="19"/>
    </row>
    <row r="6" spans="1:13" x14ac:dyDescent="0.45">
      <c r="B6" s="21"/>
      <c r="C6" s="128" t="s">
        <v>431</v>
      </c>
      <c r="D6" s="22"/>
      <c r="E6" s="22"/>
      <c r="F6" s="22"/>
      <c r="G6" s="23"/>
    </row>
    <row r="8" spans="1:13" x14ac:dyDescent="0.45">
      <c r="B8" s="32" t="s">
        <v>427</v>
      </c>
      <c r="C8" s="16"/>
      <c r="D8" s="16"/>
      <c r="E8" s="17"/>
      <c r="F8" s="35"/>
      <c r="G8" s="36" t="s">
        <v>428</v>
      </c>
      <c r="H8" s="117"/>
      <c r="I8" s="117"/>
      <c r="J8" s="117"/>
      <c r="K8" s="117"/>
      <c r="L8" s="16"/>
      <c r="M8" s="17"/>
    </row>
    <row r="9" spans="1:13" x14ac:dyDescent="0.45">
      <c r="B9" s="171" t="s">
        <v>108</v>
      </c>
      <c r="C9" s="171" t="s">
        <v>393</v>
      </c>
      <c r="D9" s="172" t="s">
        <v>92</v>
      </c>
      <c r="E9" s="49"/>
      <c r="F9" s="126"/>
      <c r="G9" s="172" t="s">
        <v>414</v>
      </c>
      <c r="H9" s="172" t="s">
        <v>401</v>
      </c>
      <c r="I9" s="172" t="s">
        <v>223</v>
      </c>
      <c r="J9" s="172" t="s">
        <v>411</v>
      </c>
      <c r="K9" s="172" t="s">
        <v>413</v>
      </c>
      <c r="L9" s="173" t="s">
        <v>223</v>
      </c>
      <c r="M9" s="19"/>
    </row>
    <row r="10" spans="1:13" x14ac:dyDescent="0.45">
      <c r="B10" s="171" t="s">
        <v>109</v>
      </c>
      <c r="C10" s="171" t="s">
        <v>394</v>
      </c>
      <c r="D10" s="172" t="s">
        <v>86</v>
      </c>
      <c r="E10" s="49"/>
      <c r="F10" s="126"/>
      <c r="G10" s="171" t="s">
        <v>402</v>
      </c>
      <c r="H10" s="171">
        <v>4.08</v>
      </c>
      <c r="I10" s="174">
        <v>49.99</v>
      </c>
      <c r="J10" s="175">
        <v>39508</v>
      </c>
      <c r="K10" s="171" t="s">
        <v>415</v>
      </c>
      <c r="L10" s="174" t="s">
        <v>405</v>
      </c>
      <c r="M10" s="19"/>
    </row>
    <row r="11" spans="1:13" x14ac:dyDescent="0.45">
      <c r="B11" s="171" t="s">
        <v>110</v>
      </c>
      <c r="C11" s="171" t="s">
        <v>395</v>
      </c>
      <c r="D11" s="172" t="s">
        <v>92</v>
      </c>
      <c r="E11" s="49"/>
      <c r="F11" s="126"/>
      <c r="G11" s="171" t="s">
        <v>403</v>
      </c>
      <c r="H11" s="171">
        <v>5.0999999999999996</v>
      </c>
      <c r="I11" s="174">
        <v>199.99</v>
      </c>
      <c r="J11" s="175">
        <v>41737</v>
      </c>
      <c r="K11" s="171" t="s">
        <v>416</v>
      </c>
      <c r="L11" s="174">
        <v>399.99</v>
      </c>
      <c r="M11" s="19"/>
    </row>
    <row r="12" spans="1:13" x14ac:dyDescent="0.45">
      <c r="B12" s="171" t="s">
        <v>180</v>
      </c>
      <c r="C12" s="171" t="s">
        <v>396</v>
      </c>
      <c r="D12" s="172" t="s">
        <v>93</v>
      </c>
      <c r="E12" s="49"/>
      <c r="F12" s="126"/>
      <c r="G12" s="171" t="s">
        <v>404</v>
      </c>
      <c r="H12" s="171">
        <v>32</v>
      </c>
      <c r="I12" s="176" t="s">
        <v>405</v>
      </c>
      <c r="J12" s="175">
        <v>44196</v>
      </c>
      <c r="K12" s="171" t="s">
        <v>417</v>
      </c>
      <c r="L12" s="174" t="s">
        <v>405</v>
      </c>
      <c r="M12" s="19"/>
    </row>
    <row r="13" spans="1:13" x14ac:dyDescent="0.45">
      <c r="B13" s="126"/>
      <c r="C13" s="28"/>
      <c r="D13" s="28"/>
      <c r="E13" s="29"/>
      <c r="F13" s="126"/>
      <c r="G13" s="171" t="s">
        <v>412</v>
      </c>
      <c r="H13" s="171">
        <v>6</v>
      </c>
      <c r="I13" s="176" t="s">
        <v>405</v>
      </c>
      <c r="J13" s="175">
        <v>41651</v>
      </c>
      <c r="K13" s="171" t="s">
        <v>425</v>
      </c>
      <c r="L13" s="174" t="s">
        <v>405</v>
      </c>
      <c r="M13" s="19"/>
    </row>
    <row r="14" spans="1:13" x14ac:dyDescent="0.45">
      <c r="B14" s="20"/>
      <c r="E14" s="19"/>
      <c r="F14" s="20"/>
      <c r="G14" s="171" t="s">
        <v>406</v>
      </c>
      <c r="H14" s="171">
        <v>5.6</v>
      </c>
      <c r="I14" s="174">
        <v>19.95</v>
      </c>
      <c r="J14" s="175">
        <v>41628</v>
      </c>
      <c r="K14" s="171" t="s">
        <v>418</v>
      </c>
      <c r="L14" s="174">
        <v>22.95</v>
      </c>
      <c r="M14" s="19"/>
    </row>
    <row r="15" spans="1:13" x14ac:dyDescent="0.45">
      <c r="B15" s="33" t="s">
        <v>376</v>
      </c>
      <c r="E15" s="19"/>
      <c r="F15" s="20"/>
      <c r="G15" s="171" t="s">
        <v>407</v>
      </c>
      <c r="H15" s="171">
        <v>8.5</v>
      </c>
      <c r="I15" s="174">
        <v>299</v>
      </c>
      <c r="J15" s="175">
        <v>41305</v>
      </c>
      <c r="K15" s="171" t="s">
        <v>419</v>
      </c>
      <c r="L15" s="174">
        <v>599.99</v>
      </c>
      <c r="M15" s="19"/>
    </row>
    <row r="16" spans="1:13" x14ac:dyDescent="0.45">
      <c r="B16" s="34" t="s">
        <v>432</v>
      </c>
      <c r="E16" s="19"/>
      <c r="F16" s="20"/>
      <c r="G16" s="171" t="s">
        <v>408</v>
      </c>
      <c r="H16" s="171">
        <v>16</v>
      </c>
      <c r="I16" s="174">
        <v>39.950000000000003</v>
      </c>
      <c r="J16" s="175">
        <v>42735</v>
      </c>
      <c r="K16" s="171" t="s">
        <v>420</v>
      </c>
      <c r="L16" s="174" t="s">
        <v>405</v>
      </c>
      <c r="M16" s="19"/>
    </row>
    <row r="17" spans="2:13" x14ac:dyDescent="0.45">
      <c r="B17" s="9" t="str" cm="1">
        <f t="array" ref="B17:D20">ShiftColsλ(StudentsB,1)</f>
        <v>Deb</v>
      </c>
      <c r="C17" s="106" t="str">
        <v>Physics</v>
      </c>
      <c r="D17" s="9" t="str">
        <v>A</v>
      </c>
      <c r="E17" s="29"/>
      <c r="F17" s="20"/>
      <c r="G17" s="171" t="s">
        <v>409</v>
      </c>
      <c r="H17" s="171">
        <v>11.5</v>
      </c>
      <c r="I17" s="176" t="s">
        <v>405</v>
      </c>
      <c r="J17" s="175">
        <v>43298</v>
      </c>
      <c r="K17" s="171" t="s">
        <v>421</v>
      </c>
      <c r="L17" s="174" t="s">
        <v>405</v>
      </c>
      <c r="M17" s="19"/>
    </row>
    <row r="18" spans="2:13" x14ac:dyDescent="0.45">
      <c r="B18" s="9" t="str">
        <v>Sue</v>
      </c>
      <c r="C18" s="106" t="str">
        <v>History</v>
      </c>
      <c r="D18" s="9" t="str">
        <v>B</v>
      </c>
      <c r="E18" s="29"/>
      <c r="F18" s="20"/>
      <c r="G18" s="171" t="s">
        <v>410</v>
      </c>
      <c r="H18" s="171">
        <v>15</v>
      </c>
      <c r="I18" s="174">
        <v>79.989999999999995</v>
      </c>
      <c r="J18" s="175">
        <v>41305</v>
      </c>
      <c r="K18" s="171" t="s">
        <v>426</v>
      </c>
      <c r="L18" s="174">
        <v>99.99</v>
      </c>
      <c r="M18" s="19"/>
    </row>
    <row r="19" spans="2:13" x14ac:dyDescent="0.45">
      <c r="B19" s="9" t="str">
        <v>Joe</v>
      </c>
      <c r="C19" s="106" t="str">
        <v>Chemistry</v>
      </c>
      <c r="D19" s="9" t="str">
        <v>C</v>
      </c>
      <c r="E19" s="29"/>
      <c r="F19" s="20"/>
      <c r="G19" s="28"/>
      <c r="H19" s="28"/>
      <c r="I19" s="28"/>
      <c r="J19" s="28"/>
      <c r="K19" s="28"/>
      <c r="L19" s="28"/>
      <c r="M19" s="19"/>
    </row>
    <row r="20" spans="2:13" x14ac:dyDescent="0.45">
      <c r="B20" s="9" t="str">
        <v>Bob</v>
      </c>
      <c r="C20" s="106" t="str">
        <v>Math</v>
      </c>
      <c r="D20" s="9" t="str">
        <v>B</v>
      </c>
      <c r="E20" s="29"/>
      <c r="F20" s="20"/>
      <c r="G20" s="26" t="s">
        <v>391</v>
      </c>
      <c r="H20" s="28"/>
      <c r="I20" s="28"/>
      <c r="J20" s="28"/>
      <c r="K20" s="28"/>
      <c r="L20" s="28"/>
      <c r="M20" s="19"/>
    </row>
    <row r="21" spans="2:13" x14ac:dyDescent="0.45">
      <c r="B21" s="20"/>
      <c r="E21" s="19"/>
      <c r="F21" s="20"/>
      <c r="G21" s="27" t="s">
        <v>434</v>
      </c>
      <c r="H21" s="28"/>
      <c r="I21" s="28"/>
      <c r="J21" s="28"/>
      <c r="K21" s="28"/>
      <c r="L21" s="28"/>
      <c r="M21" s="19"/>
    </row>
    <row r="22" spans="2:13" x14ac:dyDescent="0.45">
      <c r="B22" s="33" t="s">
        <v>377</v>
      </c>
      <c r="E22" s="19"/>
      <c r="F22" s="20"/>
      <c r="G22" s="9" t="str" cm="1">
        <f t="array" ref="G22:L30">ShiftColsλ(AppsB,-2)</f>
        <v>Yahoo Messenger</v>
      </c>
      <c r="H22" s="76">
        <v>11.5</v>
      </c>
      <c r="I22" s="124" t="str">
        <v>Free</v>
      </c>
      <c r="J22" s="125">
        <v>43298</v>
      </c>
      <c r="K22" s="127" t="str">
        <v>ChatPulse</v>
      </c>
      <c r="L22" s="10" t="str">
        <v>Free</v>
      </c>
      <c r="M22" s="19"/>
    </row>
    <row r="23" spans="2:13" x14ac:dyDescent="0.45">
      <c r="B23" s="34" t="s">
        <v>433</v>
      </c>
      <c r="E23" s="19"/>
      <c r="F23" s="20"/>
      <c r="G23" s="9" t="str">
        <v>Symantec Norton Ghost</v>
      </c>
      <c r="H23" s="76">
        <v>15</v>
      </c>
      <c r="I23" s="124">
        <v>79.989999999999995</v>
      </c>
      <c r="J23" s="125">
        <v>41305</v>
      </c>
      <c r="K23" s="177" t="str">
        <v>PhantomGuard+</v>
      </c>
      <c r="L23" s="124">
        <v>99.99</v>
      </c>
      <c r="M23" s="19"/>
    </row>
    <row r="24" spans="2:13" x14ac:dyDescent="0.45">
      <c r="B24" s="10" t="str" cm="1">
        <f t="array" ref="B24:D27">ShiftColsλ(StudentsB,-1)</f>
        <v>Joe</v>
      </c>
      <c r="C24" s="9" t="str">
        <v>Chemistry</v>
      </c>
      <c r="D24" s="9" t="str">
        <v>C</v>
      </c>
      <c r="E24" s="29"/>
      <c r="F24" s="20"/>
      <c r="G24" s="9" t="str">
        <v>Netscape Navigator</v>
      </c>
      <c r="H24" s="76">
        <v>4.08</v>
      </c>
      <c r="I24" s="124">
        <v>49.99</v>
      </c>
      <c r="J24" s="125">
        <v>39508</v>
      </c>
      <c r="K24" s="177" t="str">
        <v>QuantumWave Browser</v>
      </c>
      <c r="L24" s="124" t="str">
        <v>Free</v>
      </c>
      <c r="M24" s="19"/>
    </row>
    <row r="25" spans="2:13" x14ac:dyDescent="0.45">
      <c r="B25" s="10" t="str">
        <v>Bob</v>
      </c>
      <c r="C25" s="9" t="str">
        <v>Math</v>
      </c>
      <c r="D25" s="9" t="str">
        <v>B</v>
      </c>
      <c r="E25" s="29"/>
      <c r="F25" s="20"/>
      <c r="G25" s="9" t="str">
        <v>Windows XP</v>
      </c>
      <c r="H25" s="76">
        <v>5.0999999999999996</v>
      </c>
      <c r="I25" s="124">
        <v>199.99</v>
      </c>
      <c r="J25" s="125">
        <v>41737</v>
      </c>
      <c r="K25" s="177" t="str">
        <v>NeoOS 12</v>
      </c>
      <c r="L25" s="124">
        <v>399.99</v>
      </c>
      <c r="M25" s="19"/>
    </row>
    <row r="26" spans="2:13" x14ac:dyDescent="0.45">
      <c r="B26" s="10" t="str">
        <v>Deb</v>
      </c>
      <c r="C26" s="9" t="str">
        <v>Physics</v>
      </c>
      <c r="D26" s="9" t="str">
        <v>A</v>
      </c>
      <c r="E26" s="29"/>
      <c r="F26" s="20"/>
      <c r="G26" s="9" t="str">
        <v>Adobe Flash Player</v>
      </c>
      <c r="H26" s="76">
        <v>32</v>
      </c>
      <c r="I26" s="124" t="str">
        <v>Free</v>
      </c>
      <c r="J26" s="125">
        <v>44196</v>
      </c>
      <c r="K26" s="177" t="str">
        <v>FlashX Pro</v>
      </c>
      <c r="L26" s="124" t="str">
        <v>Free</v>
      </c>
      <c r="M26" s="19"/>
    </row>
    <row r="27" spans="2:13" x14ac:dyDescent="0.45">
      <c r="B27" s="10" t="str">
        <v>Sue</v>
      </c>
      <c r="C27" s="9" t="str">
        <v>History</v>
      </c>
      <c r="D27" s="9" t="str">
        <v>B</v>
      </c>
      <c r="E27" s="29"/>
      <c r="F27" s="20"/>
      <c r="G27" s="9" t="str">
        <v>Internet Explorer</v>
      </c>
      <c r="H27" s="76">
        <v>6</v>
      </c>
      <c r="I27" s="124" t="str">
        <v>Free</v>
      </c>
      <c r="J27" s="125">
        <v>41651</v>
      </c>
      <c r="K27" s="177" t="str">
        <v>WebTV Revive</v>
      </c>
      <c r="L27" s="124" t="str">
        <v>Free</v>
      </c>
      <c r="M27" s="19"/>
    </row>
    <row r="28" spans="2:13" x14ac:dyDescent="0.45">
      <c r="B28" s="20"/>
      <c r="E28" s="19"/>
      <c r="F28" s="20"/>
      <c r="G28" s="9" t="str">
        <v>Winamp</v>
      </c>
      <c r="H28" s="76">
        <v>5.6</v>
      </c>
      <c r="I28" s="124">
        <v>19.95</v>
      </c>
      <c r="J28" s="125">
        <v>41628</v>
      </c>
      <c r="K28" s="177" t="str">
        <v>SoundStream</v>
      </c>
      <c r="L28" s="124">
        <v>22.95</v>
      </c>
      <c r="M28" s="19"/>
    </row>
    <row r="29" spans="2:13" x14ac:dyDescent="0.45">
      <c r="B29" s="20"/>
      <c r="E29" s="19"/>
      <c r="F29" s="20"/>
      <c r="G29" s="9" t="str">
        <v>Lotus Notes</v>
      </c>
      <c r="H29" s="76">
        <v>8.5</v>
      </c>
      <c r="I29" s="124">
        <v>299</v>
      </c>
      <c r="J29" s="125">
        <v>41305</v>
      </c>
      <c r="K29" s="177" t="str">
        <v>NoteSphere</v>
      </c>
      <c r="L29" s="124">
        <v>599.99</v>
      </c>
      <c r="M29" s="19"/>
    </row>
    <row r="30" spans="2:13" x14ac:dyDescent="0.45">
      <c r="B30" s="20"/>
      <c r="E30" s="19"/>
      <c r="F30" s="20"/>
      <c r="G30" s="9" t="str">
        <v>RealPlayer</v>
      </c>
      <c r="H30" s="76">
        <v>16</v>
      </c>
      <c r="I30" s="124">
        <v>39.950000000000003</v>
      </c>
      <c r="J30" s="125">
        <v>42735</v>
      </c>
      <c r="K30" s="177" t="str">
        <v>StreamMaster</v>
      </c>
      <c r="L30" s="124" t="str">
        <v>Free</v>
      </c>
      <c r="M30" s="19"/>
    </row>
    <row r="31" spans="2:13" x14ac:dyDescent="0.45">
      <c r="B31" s="20"/>
      <c r="E31" s="19"/>
      <c r="F31" s="20"/>
      <c r="G31" s="117"/>
      <c r="H31" s="130"/>
      <c r="I31" s="131"/>
      <c r="J31" s="117"/>
      <c r="K31" s="130"/>
      <c r="L31" s="132"/>
      <c r="M31" s="19"/>
    </row>
    <row r="32" spans="2:13" x14ac:dyDescent="0.45">
      <c r="B32" s="21"/>
      <c r="C32" s="22"/>
      <c r="D32" s="22"/>
      <c r="E32" s="23"/>
      <c r="F32" s="21"/>
      <c r="G32" s="22"/>
      <c r="H32" s="22"/>
      <c r="I32" s="22"/>
      <c r="J32" s="22"/>
      <c r="K32" s="22"/>
      <c r="L32" s="22"/>
      <c r="M32" s="23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D616-47B6-4653-852D-09ABF3228A0C}">
  <sheetPr codeName="Sheet14">
    <tabColor rgb="FFC7E6C2"/>
  </sheetPr>
  <dimension ref="A1:P33"/>
  <sheetViews>
    <sheetView workbookViewId="0"/>
  </sheetViews>
  <sheetFormatPr defaultRowHeight="16.5" x14ac:dyDescent="0.45"/>
  <cols>
    <col min="1" max="1" width="5" customWidth="1"/>
    <col min="2" max="8" width="13.1640625" customWidth="1"/>
    <col min="9" max="9" width="10.6640625" customWidth="1"/>
    <col min="10" max="10" width="6.4140625" customWidth="1"/>
    <col min="12" max="12" width="11" bestFit="1" customWidth="1"/>
    <col min="13" max="13" width="7.1640625" customWidth="1"/>
    <col min="16" max="16" width="10" customWidth="1"/>
  </cols>
  <sheetData>
    <row r="1" spans="1:16" x14ac:dyDescent="0.45">
      <c r="A1" s="7"/>
    </row>
    <row r="2" spans="1:16" x14ac:dyDescent="0.45">
      <c r="B2" s="15" t="s">
        <v>435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</row>
    <row r="3" spans="1:16" x14ac:dyDescent="0.45">
      <c r="B3" s="18" t="s">
        <v>436</v>
      </c>
      <c r="P3" s="19"/>
    </row>
    <row r="4" spans="1:16" x14ac:dyDescent="0.45">
      <c r="B4" s="18" t="s">
        <v>437</v>
      </c>
      <c r="P4" s="19"/>
    </row>
    <row r="5" spans="1:16" x14ac:dyDescent="0.45">
      <c r="B5" s="104" t="s">
        <v>260</v>
      </c>
      <c r="P5" s="19"/>
    </row>
    <row r="6" spans="1:16" x14ac:dyDescent="0.45">
      <c r="B6" s="18" t="s">
        <v>447</v>
      </c>
      <c r="P6" s="19"/>
    </row>
    <row r="7" spans="1:16" x14ac:dyDescent="0.45">
      <c r="B7" s="18" t="s">
        <v>449</v>
      </c>
      <c r="P7" s="19"/>
    </row>
    <row r="8" spans="1:16" x14ac:dyDescent="0.45">
      <c r="B8" s="104" t="s">
        <v>448</v>
      </c>
      <c r="C8" s="1"/>
      <c r="K8" s="22"/>
      <c r="P8" s="19"/>
    </row>
    <row r="9" spans="1:16" x14ac:dyDescent="0.45">
      <c r="B9" s="3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7"/>
    </row>
    <row r="10" spans="1:16" x14ac:dyDescent="0.45">
      <c r="B10" s="96" t="s">
        <v>440</v>
      </c>
      <c r="G10" s="26" t="s">
        <v>446</v>
      </c>
      <c r="K10" s="26" t="s">
        <v>452</v>
      </c>
      <c r="P10" s="19"/>
    </row>
    <row r="11" spans="1:16" x14ac:dyDescent="0.45">
      <c r="B11" s="9" t="s">
        <v>131</v>
      </c>
      <c r="C11" s="9" t="s">
        <v>56</v>
      </c>
      <c r="D11" s="133"/>
      <c r="E11" s="9" t="s">
        <v>441</v>
      </c>
      <c r="G11" s="27" t="s">
        <v>445</v>
      </c>
      <c r="K11" s="27" t="s">
        <v>453</v>
      </c>
      <c r="P11" s="19"/>
    </row>
    <row r="12" spans="1:16" x14ac:dyDescent="0.45">
      <c r="B12" s="9" t="s">
        <v>109</v>
      </c>
      <c r="C12" s="9" t="s">
        <v>60</v>
      </c>
      <c r="D12" s="133"/>
      <c r="E12" s="9" t="s">
        <v>443</v>
      </c>
      <c r="F12" s="28"/>
      <c r="G12" s="9" t="str" cm="1">
        <f t="array" ref="G12:I17">Embedλ(Staff,Title,,2)</f>
        <v>Name</v>
      </c>
      <c r="H12" s="120" t="str">
        <v>Title</v>
      </c>
      <c r="I12" s="9" t="str">
        <v>Department</v>
      </c>
      <c r="K12" s="9" t="str" cm="1">
        <f t="array" ref="K12:L19">Embedλ(Staff,Records,3)</f>
        <v>Name</v>
      </c>
      <c r="L12" s="9" t="str">
        <v>Department</v>
      </c>
      <c r="P12" s="19"/>
    </row>
    <row r="13" spans="1:16" x14ac:dyDescent="0.45">
      <c r="B13" s="9" t="s">
        <v>438</v>
      </c>
      <c r="C13" s="9" t="s">
        <v>61</v>
      </c>
      <c r="D13" s="133"/>
      <c r="E13" s="9" t="s">
        <v>442</v>
      </c>
      <c r="F13" s="28"/>
      <c r="G13" s="9" t="str">
        <v>Deb</v>
      </c>
      <c r="H13" s="120" t="str">
        <v>Sr. Consultant</v>
      </c>
      <c r="I13" s="9" t="str">
        <v>Finance</v>
      </c>
      <c r="K13" s="9" t="str">
        <v>Deb</v>
      </c>
      <c r="L13" s="9" t="str">
        <v>Finance</v>
      </c>
      <c r="P13" s="19"/>
    </row>
    <row r="14" spans="1:16" x14ac:dyDescent="0.45">
      <c r="B14" s="9" t="s">
        <v>439</v>
      </c>
      <c r="C14" s="9" t="s">
        <v>60</v>
      </c>
      <c r="D14" s="133"/>
      <c r="E14" s="9" t="s">
        <v>117</v>
      </c>
      <c r="F14" s="28"/>
      <c r="G14" s="9" t="str">
        <v>Suzy</v>
      </c>
      <c r="H14" s="120" t="str">
        <v>Sr. Officer</v>
      </c>
      <c r="I14" s="9" t="str">
        <v>Security</v>
      </c>
      <c r="K14" s="120" t="str">
        <v>Gus</v>
      </c>
      <c r="L14" s="120" t="str">
        <v>Security</v>
      </c>
      <c r="P14" s="19"/>
    </row>
    <row r="15" spans="1:16" x14ac:dyDescent="0.45">
      <c r="B15" s="9" t="s">
        <v>120</v>
      </c>
      <c r="C15" s="9" t="s">
        <v>60</v>
      </c>
      <c r="D15" s="133"/>
      <c r="E15" s="9" t="s">
        <v>117</v>
      </c>
      <c r="F15" s="28"/>
      <c r="G15" s="9" t="str">
        <v>Phil</v>
      </c>
      <c r="H15" s="120" t="str">
        <v>Consultant</v>
      </c>
      <c r="I15" s="9" t="str">
        <v>Finance</v>
      </c>
      <c r="K15" s="120" t="str">
        <v>Harry</v>
      </c>
      <c r="L15" s="120" t="str">
        <v>Finance</v>
      </c>
      <c r="P15" s="19"/>
    </row>
    <row r="16" spans="1:16" x14ac:dyDescent="0.45">
      <c r="B16" s="9" t="s">
        <v>121</v>
      </c>
      <c r="C16" s="9" t="s">
        <v>58</v>
      </c>
      <c r="D16" s="133"/>
      <c r="E16" s="9" t="s">
        <v>444</v>
      </c>
      <c r="F16" s="28"/>
      <c r="G16" s="9" t="str">
        <v>Ron</v>
      </c>
      <c r="H16" s="120" t="str">
        <v>Consultant</v>
      </c>
      <c r="I16" s="9" t="str">
        <v>Finance</v>
      </c>
      <c r="K16" s="9" t="str">
        <v>Suzy</v>
      </c>
      <c r="L16" s="9" t="str">
        <v>Security</v>
      </c>
      <c r="P16" s="19"/>
    </row>
    <row r="17" spans="2:16" x14ac:dyDescent="0.45">
      <c r="B17" s="20"/>
      <c r="F17" s="28"/>
      <c r="G17" s="9" t="str">
        <v>Juan</v>
      </c>
      <c r="H17" s="120" t="str">
        <v>Advisor</v>
      </c>
      <c r="I17" s="9" t="str">
        <v>Legal</v>
      </c>
      <c r="K17" s="9" t="str">
        <v>Phil</v>
      </c>
      <c r="L17" s="9" t="str">
        <v>Finance</v>
      </c>
      <c r="P17" s="19"/>
    </row>
    <row r="18" spans="2:16" x14ac:dyDescent="0.45">
      <c r="B18" s="96" t="s">
        <v>451</v>
      </c>
      <c r="K18" s="9" t="str">
        <v>Ron</v>
      </c>
      <c r="L18" s="9" t="str">
        <v>Finance</v>
      </c>
      <c r="P18" s="19"/>
    </row>
    <row r="19" spans="2:16" x14ac:dyDescent="0.45">
      <c r="B19" s="9" t="s">
        <v>112</v>
      </c>
      <c r="C19" s="9" t="s">
        <v>61</v>
      </c>
      <c r="K19" s="9" t="str">
        <v>Juan</v>
      </c>
      <c r="L19" s="9" t="str">
        <v>Legal</v>
      </c>
      <c r="P19" s="19"/>
    </row>
    <row r="20" spans="2:16" x14ac:dyDescent="0.45">
      <c r="B20" s="9" t="s">
        <v>450</v>
      </c>
      <c r="C20" s="9" t="s">
        <v>60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/>
    </row>
    <row r="21" spans="2:16" ht="20" customHeight="1" x14ac:dyDescent="0.45">
      <c r="B21" s="20"/>
      <c r="P21" s="19"/>
    </row>
    <row r="22" spans="2:16" x14ac:dyDescent="0.45">
      <c r="B22" s="96" t="s">
        <v>455</v>
      </c>
      <c r="J22" s="31" t="s">
        <v>459</v>
      </c>
      <c r="M22" s="26" t="s">
        <v>460</v>
      </c>
      <c r="P22" s="19"/>
    </row>
    <row r="23" spans="2:16" x14ac:dyDescent="0.45">
      <c r="B23" s="10" t="s">
        <v>132</v>
      </c>
      <c r="C23" s="10" t="s">
        <v>219</v>
      </c>
      <c r="D23" s="10" t="s">
        <v>220</v>
      </c>
      <c r="E23" s="10" t="s">
        <v>221</v>
      </c>
      <c r="F23" s="10" t="s">
        <v>222</v>
      </c>
      <c r="G23" s="10" t="s">
        <v>454</v>
      </c>
      <c r="H23" s="46"/>
      <c r="J23" s="10" t="s">
        <v>132</v>
      </c>
      <c r="K23" s="9">
        <v>10</v>
      </c>
      <c r="M23" s="27" t="s">
        <v>458</v>
      </c>
      <c r="P23" s="19"/>
    </row>
    <row r="24" spans="2:16" x14ac:dyDescent="0.45">
      <c r="B24" s="37"/>
      <c r="C24" s="46"/>
      <c r="D24" s="46"/>
      <c r="E24" s="46"/>
      <c r="F24" s="46"/>
      <c r="G24" s="46"/>
      <c r="H24" s="46"/>
      <c r="J24" s="10" t="s">
        <v>219</v>
      </c>
      <c r="K24" s="9">
        <v>8</v>
      </c>
      <c r="L24" s="28"/>
      <c r="M24" s="10" t="str" cm="1">
        <f t="array" ref="M24:N30">Embedλ(HalfYearB,"",4)</f>
        <v>Jan</v>
      </c>
      <c r="N24" s="9">
        <v>10</v>
      </c>
      <c r="P24" s="19"/>
    </row>
    <row r="25" spans="2:16" x14ac:dyDescent="0.45">
      <c r="B25" s="33" t="s">
        <v>457</v>
      </c>
      <c r="J25" s="10" t="s">
        <v>220</v>
      </c>
      <c r="K25" s="9">
        <v>9</v>
      </c>
      <c r="L25" s="28"/>
      <c r="M25" s="10" t="str">
        <v>Feb</v>
      </c>
      <c r="N25" s="9">
        <v>8</v>
      </c>
      <c r="P25" s="19"/>
    </row>
    <row r="26" spans="2:16" x14ac:dyDescent="0.45">
      <c r="B26" s="34" t="s">
        <v>456</v>
      </c>
      <c r="C26" s="46"/>
      <c r="D26" s="46"/>
      <c r="E26" s="46"/>
      <c r="F26" s="46"/>
      <c r="G26" s="46"/>
      <c r="H26" s="46"/>
      <c r="J26" s="10" t="s">
        <v>221</v>
      </c>
      <c r="K26" s="9">
        <v>11</v>
      </c>
      <c r="L26" s="28"/>
      <c r="M26" s="10" t="str">
        <v>Mar</v>
      </c>
      <c r="N26" s="9">
        <v>9</v>
      </c>
      <c r="P26" s="19"/>
    </row>
    <row r="27" spans="2:16" x14ac:dyDescent="0.45">
      <c r="B27" s="10" t="str" cm="1">
        <f t="array" ref="B27:H27">Embedλ(HalfYear,"Q1 Total",,4)</f>
        <v>Jan</v>
      </c>
      <c r="C27" s="10" t="str">
        <v>Feb</v>
      </c>
      <c r="D27" s="10" t="str">
        <v>Mar</v>
      </c>
      <c r="E27" s="121" t="str">
        <v>Q1 Total</v>
      </c>
      <c r="F27" s="10" t="str">
        <v>Apr</v>
      </c>
      <c r="G27" s="10" t="str">
        <v>May</v>
      </c>
      <c r="H27" s="10" t="str">
        <v>June</v>
      </c>
      <c r="J27" s="10" t="s">
        <v>222</v>
      </c>
      <c r="K27" s="9">
        <v>20</v>
      </c>
      <c r="L27" s="28"/>
      <c r="M27" s="121" t="str">
        <v/>
      </c>
      <c r="N27" s="120" t="str">
        <v/>
      </c>
      <c r="P27" s="19"/>
    </row>
    <row r="28" spans="2:16" x14ac:dyDescent="0.45">
      <c r="B28" s="20"/>
      <c r="J28" s="10" t="s">
        <v>454</v>
      </c>
      <c r="K28" s="9">
        <v>25</v>
      </c>
      <c r="L28" s="28"/>
      <c r="M28" s="10" t="str">
        <v>Apr</v>
      </c>
      <c r="N28" s="9">
        <v>11</v>
      </c>
      <c r="P28" s="19"/>
    </row>
    <row r="29" spans="2:16" x14ac:dyDescent="0.45">
      <c r="B29" s="33" t="s">
        <v>463</v>
      </c>
      <c r="L29" s="28"/>
      <c r="M29" s="10" t="str">
        <v>May</v>
      </c>
      <c r="N29" s="9">
        <v>20</v>
      </c>
      <c r="P29" s="19"/>
    </row>
    <row r="30" spans="2:16" x14ac:dyDescent="0.45">
      <c r="B30" s="34" t="s">
        <v>462</v>
      </c>
      <c r="J30" s="28"/>
      <c r="K30" s="28"/>
      <c r="L30" s="28"/>
      <c r="M30" s="10" t="str">
        <v>June</v>
      </c>
      <c r="N30" s="9">
        <v>25</v>
      </c>
      <c r="P30" s="19"/>
    </row>
    <row r="31" spans="2:16" x14ac:dyDescent="0.45">
      <c r="B31" s="178" t="str" cm="1">
        <f t="array" ref="B31">Embedλ(HalfYear,"Q1 Total",,7)</f>
        <v>#ROW/COL-INDEX</v>
      </c>
      <c r="P31" s="19"/>
    </row>
    <row r="32" spans="2:16" x14ac:dyDescent="0.45">
      <c r="B32" s="20"/>
      <c r="M32" s="123" t="s">
        <v>461</v>
      </c>
      <c r="P32" s="19"/>
    </row>
    <row r="33" spans="2:16" ht="11.5" customHeight="1" x14ac:dyDescent="0.45">
      <c r="B33" s="21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5FB3D-5FC9-4EDF-979B-2EC00A015A45}">
  <sheetPr codeName="Sheet15">
    <tabColor rgb="FFC7E6C2"/>
  </sheetPr>
  <dimension ref="A1:W29"/>
  <sheetViews>
    <sheetView workbookViewId="0"/>
  </sheetViews>
  <sheetFormatPr defaultRowHeight="16.5" x14ac:dyDescent="0.45"/>
  <cols>
    <col min="1" max="1" width="5" customWidth="1"/>
    <col min="2" max="2" width="7.25" customWidth="1"/>
    <col min="3" max="3" width="11.58203125" customWidth="1"/>
    <col min="4" max="4" width="9.1640625" customWidth="1"/>
    <col min="5" max="5" width="6.08203125" bestFit="1" customWidth="1"/>
    <col min="6" max="6" width="3.33203125" customWidth="1"/>
    <col min="7" max="7" width="6.4140625" customWidth="1"/>
    <col min="9" max="9" width="10.4140625" customWidth="1"/>
    <col min="10" max="10" width="8" customWidth="1"/>
    <col min="11" max="11" width="1.6640625" customWidth="1"/>
    <col min="12" max="12" width="11" bestFit="1" customWidth="1"/>
    <col min="13" max="13" width="11.25" bestFit="1" customWidth="1"/>
    <col min="14" max="14" width="20.08203125" bestFit="1" customWidth="1"/>
    <col min="15" max="15" width="2" customWidth="1"/>
    <col min="16" max="16" width="3.33203125" bestFit="1" customWidth="1"/>
    <col min="17" max="17" width="5.33203125" bestFit="1" customWidth="1"/>
    <col min="18" max="18" width="21.33203125" customWidth="1"/>
    <col min="19" max="19" width="2.58203125" customWidth="1"/>
    <col min="22" max="22" width="19.75" bestFit="1" customWidth="1"/>
    <col min="23" max="23" width="2.08203125" customWidth="1"/>
  </cols>
  <sheetData>
    <row r="1" spans="1:23" x14ac:dyDescent="0.45">
      <c r="A1" s="7"/>
    </row>
    <row r="2" spans="1:23" x14ac:dyDescent="0.45">
      <c r="B2" s="15" t="s">
        <v>159</v>
      </c>
      <c r="C2" s="16"/>
      <c r="D2" s="16"/>
      <c r="E2" s="16"/>
      <c r="F2" s="16"/>
      <c r="G2" s="16"/>
      <c r="H2" s="16"/>
      <c r="I2" s="16"/>
      <c r="J2" s="17"/>
      <c r="L2" s="32" t="s">
        <v>175</v>
      </c>
      <c r="M2" s="16"/>
      <c r="N2" s="16"/>
      <c r="O2" s="16"/>
      <c r="P2" s="24" t="s">
        <v>581</v>
      </c>
      <c r="Q2" s="16"/>
      <c r="R2" s="16"/>
      <c r="S2" s="16"/>
      <c r="T2" s="24" t="s">
        <v>200</v>
      </c>
      <c r="U2" s="16"/>
      <c r="V2" s="16"/>
      <c r="W2" s="17"/>
    </row>
    <row r="3" spans="1:23" x14ac:dyDescent="0.45">
      <c r="B3" s="18" t="s">
        <v>51</v>
      </c>
      <c r="C3" s="1"/>
      <c r="J3" s="19"/>
      <c r="L3" s="10" t="s">
        <v>177</v>
      </c>
      <c r="M3" s="10" t="s">
        <v>176</v>
      </c>
      <c r="N3" s="10" t="s">
        <v>178</v>
      </c>
      <c r="P3" s="71" t="s">
        <v>198</v>
      </c>
      <c r="T3" s="71" t="s">
        <v>199</v>
      </c>
      <c r="W3" s="19"/>
    </row>
    <row r="4" spans="1:23" x14ac:dyDescent="0.45">
      <c r="B4" s="18" t="s">
        <v>153</v>
      </c>
      <c r="C4" s="1"/>
      <c r="J4" s="19"/>
      <c r="L4" s="10">
        <v>1</v>
      </c>
      <c r="M4" s="10" t="s">
        <v>112</v>
      </c>
      <c r="N4" s="10" t="s">
        <v>188</v>
      </c>
      <c r="P4" s="10" cm="1">
        <f t="array" ref="P4:R13">KeepRowsλ(Survey,1,Respondent)</f>
        <v>1</v>
      </c>
      <c r="Q4" s="10" t="str">
        <v>Gus</v>
      </c>
      <c r="R4" s="10" t="str">
        <v>Network</v>
      </c>
      <c r="T4" s="10" cm="1">
        <f t="array" ref="T4:V13">KeepRowsλ(Survey,-1,Respondent)</f>
        <v>1</v>
      </c>
      <c r="U4" s="10" t="str">
        <v>Gus</v>
      </c>
      <c r="V4" s="10" t="str">
        <v>Network</v>
      </c>
      <c r="W4" s="19"/>
    </row>
    <row r="5" spans="1:23" x14ac:dyDescent="0.45">
      <c r="B5" s="18"/>
      <c r="C5" s="1" t="s">
        <v>154</v>
      </c>
      <c r="J5" s="19"/>
      <c r="L5" s="84">
        <v>2</v>
      </c>
      <c r="M5" s="84" t="s">
        <v>119</v>
      </c>
      <c r="N5" s="84" t="s">
        <v>186</v>
      </c>
      <c r="P5" s="10">
        <v>2</v>
      </c>
      <c r="Q5" s="10" t="str">
        <v>Lisa</v>
      </c>
      <c r="R5" s="10" t="str">
        <v>The Godfather</v>
      </c>
      <c r="T5" s="10">
        <v>3</v>
      </c>
      <c r="U5" s="10" t="str">
        <v>Lisa</v>
      </c>
      <c r="V5" s="10" t="str">
        <v>The Godfather Part II</v>
      </c>
      <c r="W5" s="19"/>
    </row>
    <row r="6" spans="1:23" x14ac:dyDescent="0.45">
      <c r="B6" s="18"/>
      <c r="C6" s="1" t="s">
        <v>155</v>
      </c>
      <c r="J6" s="19"/>
      <c r="L6" s="84">
        <v>3</v>
      </c>
      <c r="M6" s="84" t="s">
        <v>119</v>
      </c>
      <c r="N6" s="84" t="s">
        <v>187</v>
      </c>
      <c r="P6" s="10">
        <v>4</v>
      </c>
      <c r="Q6" s="10" t="str">
        <v>Art</v>
      </c>
      <c r="R6" s="10" t="str">
        <v>Citizen Kane</v>
      </c>
      <c r="T6" s="10">
        <v>6</v>
      </c>
      <c r="U6" s="10" t="str">
        <v>Art</v>
      </c>
      <c r="V6" s="10" t="str">
        <v>Billy Madison</v>
      </c>
      <c r="W6" s="19"/>
    </row>
    <row r="7" spans="1:23" x14ac:dyDescent="0.45">
      <c r="B7" s="18" t="s">
        <v>158</v>
      </c>
      <c r="C7" s="1"/>
      <c r="J7" s="19"/>
      <c r="L7" s="84">
        <v>4</v>
      </c>
      <c r="M7" s="84" t="s">
        <v>179</v>
      </c>
      <c r="N7" s="84" t="s">
        <v>189</v>
      </c>
      <c r="P7" s="10">
        <v>7</v>
      </c>
      <c r="Q7" s="10" t="str">
        <v>Joe</v>
      </c>
      <c r="R7" s="10" t="str">
        <v>The Wages of Fear</v>
      </c>
      <c r="T7" s="10">
        <v>7</v>
      </c>
      <c r="U7" s="10" t="str">
        <v>Joe</v>
      </c>
      <c r="V7" s="10" t="str">
        <v>The Wages of Fear</v>
      </c>
      <c r="W7" s="19"/>
    </row>
    <row r="8" spans="1:23" x14ac:dyDescent="0.45">
      <c r="B8" s="21"/>
      <c r="C8" s="22"/>
      <c r="D8" s="22"/>
      <c r="E8" s="22"/>
      <c r="F8" s="22"/>
      <c r="G8" s="22"/>
      <c r="H8" s="22"/>
      <c r="I8" s="22"/>
      <c r="J8" s="23"/>
      <c r="L8" s="84">
        <v>5</v>
      </c>
      <c r="M8" s="84" t="s">
        <v>179</v>
      </c>
      <c r="N8" s="84" t="s">
        <v>190</v>
      </c>
      <c r="P8" s="10">
        <v>8</v>
      </c>
      <c r="Q8" s="10" t="str">
        <v>Mike</v>
      </c>
      <c r="R8" s="10" t="str">
        <v>Jaws</v>
      </c>
      <c r="T8" s="10">
        <v>8</v>
      </c>
      <c r="U8" s="10" t="str">
        <v>Mike</v>
      </c>
      <c r="V8" s="10" t="str">
        <v>Jaws</v>
      </c>
      <c r="W8" s="19"/>
    </row>
    <row r="9" spans="1:23" x14ac:dyDescent="0.45">
      <c r="L9" s="84">
        <v>6</v>
      </c>
      <c r="M9" s="84" t="s">
        <v>179</v>
      </c>
      <c r="N9" s="84" t="s">
        <v>191</v>
      </c>
      <c r="P9" s="10">
        <v>9</v>
      </c>
      <c r="Q9" s="10" t="str">
        <v>Hank</v>
      </c>
      <c r="R9" s="10" t="str">
        <v>Major League</v>
      </c>
      <c r="T9" s="10">
        <v>10</v>
      </c>
      <c r="U9" s="10" t="str">
        <v>Hank</v>
      </c>
      <c r="V9" s="10" t="str">
        <v>Major Payne</v>
      </c>
      <c r="W9" s="19"/>
    </row>
    <row r="10" spans="1:23" x14ac:dyDescent="0.45">
      <c r="B10" s="32" t="s">
        <v>167</v>
      </c>
      <c r="C10" s="16"/>
      <c r="D10" s="16"/>
      <c r="E10" s="16"/>
      <c r="F10" s="16"/>
      <c r="G10" s="16"/>
      <c r="H10" s="16"/>
      <c r="I10" s="16"/>
      <c r="J10" s="17"/>
      <c r="L10" s="10">
        <v>7</v>
      </c>
      <c r="M10" s="10" t="s">
        <v>180</v>
      </c>
      <c r="N10" s="10" t="s">
        <v>202</v>
      </c>
      <c r="P10" s="10">
        <v>11</v>
      </c>
      <c r="Q10" s="10" t="str">
        <v>Wes</v>
      </c>
      <c r="R10" s="10" t="str">
        <v>Thief</v>
      </c>
      <c r="T10" s="10">
        <v>11</v>
      </c>
      <c r="U10" s="10" t="str">
        <v>Wes</v>
      </c>
      <c r="V10" s="10" t="str">
        <v>Thief</v>
      </c>
      <c r="W10" s="19"/>
    </row>
    <row r="11" spans="1:23" x14ac:dyDescent="0.45">
      <c r="B11" s="10" t="s">
        <v>162</v>
      </c>
      <c r="C11" s="10" t="s">
        <v>131</v>
      </c>
      <c r="D11" s="10" t="s">
        <v>171</v>
      </c>
      <c r="E11" s="10" t="s">
        <v>163</v>
      </c>
      <c r="G11" s="26" t="s">
        <v>170</v>
      </c>
      <c r="J11" s="19"/>
      <c r="L11" s="10">
        <v>8</v>
      </c>
      <c r="M11" s="10" t="s">
        <v>181</v>
      </c>
      <c r="N11" s="10" t="s">
        <v>192</v>
      </c>
      <c r="P11" s="10">
        <v>12</v>
      </c>
      <c r="Q11" s="10" t="str">
        <v>Ruth</v>
      </c>
      <c r="R11" s="10" t="str">
        <v>Uncut Gems</v>
      </c>
      <c r="T11" s="10">
        <v>12</v>
      </c>
      <c r="U11" s="10" t="str">
        <v>Ruth</v>
      </c>
      <c r="V11" s="10" t="str">
        <v>Uncut Gems</v>
      </c>
      <c r="W11" s="19"/>
    </row>
    <row r="12" spans="1:23" x14ac:dyDescent="0.45">
      <c r="B12" s="73">
        <v>46174</v>
      </c>
      <c r="C12" s="10" t="s">
        <v>172</v>
      </c>
      <c r="D12" s="10" t="s">
        <v>203</v>
      </c>
      <c r="E12" s="76">
        <v>8</v>
      </c>
      <c r="G12" s="71" t="s">
        <v>168</v>
      </c>
      <c r="J12" s="19"/>
      <c r="L12" s="84">
        <v>9</v>
      </c>
      <c r="M12" s="84" t="s">
        <v>182</v>
      </c>
      <c r="N12" s="84" t="s">
        <v>193</v>
      </c>
      <c r="P12" s="10">
        <v>13</v>
      </c>
      <c r="Q12" s="10" t="str">
        <v>Ron</v>
      </c>
      <c r="R12" s="10" t="str">
        <v>The Rules of the Game</v>
      </c>
      <c r="T12" s="10">
        <v>14</v>
      </c>
      <c r="U12" s="10" t="str">
        <v>Ron</v>
      </c>
      <c r="V12" s="10" t="str">
        <v>The Rules of the Game</v>
      </c>
      <c r="W12" s="19"/>
    </row>
    <row r="13" spans="1:23" x14ac:dyDescent="0.45">
      <c r="B13" s="73">
        <v>46174</v>
      </c>
      <c r="C13" s="10" t="s">
        <v>114</v>
      </c>
      <c r="D13" s="10" t="s">
        <v>174</v>
      </c>
      <c r="E13" s="76">
        <v>10</v>
      </c>
      <c r="G13" s="73" cm="1">
        <f t="array" ref="G13:J16">KeepRowsλ(HoursScheduled,1,Date)</f>
        <v>46174</v>
      </c>
      <c r="H13" s="10" t="str">
        <v>Jose</v>
      </c>
      <c r="I13" s="10" t="str">
        <v>Shift Lead</v>
      </c>
      <c r="J13" s="9">
        <v>8</v>
      </c>
      <c r="L13" s="84">
        <v>10</v>
      </c>
      <c r="M13" s="84" t="s">
        <v>182</v>
      </c>
      <c r="N13" s="84" t="s">
        <v>201</v>
      </c>
      <c r="P13" s="10">
        <v>15</v>
      </c>
      <c r="Q13" s="10" t="str">
        <v>Pam</v>
      </c>
      <c r="R13" s="10" t="str">
        <v>The Bicycle Thieves</v>
      </c>
      <c r="T13" s="10">
        <v>15</v>
      </c>
      <c r="U13" s="10" t="str">
        <v>Pam</v>
      </c>
      <c r="V13" s="10" t="str">
        <v>The Bicycle Thieves</v>
      </c>
      <c r="W13" s="19"/>
    </row>
    <row r="14" spans="1:23" x14ac:dyDescent="0.45">
      <c r="B14" s="73">
        <v>46174</v>
      </c>
      <c r="C14" s="10" t="s">
        <v>109</v>
      </c>
      <c r="D14" s="10" t="s">
        <v>174</v>
      </c>
      <c r="E14" s="76">
        <v>5</v>
      </c>
      <c r="G14" s="73">
        <v>46175</v>
      </c>
      <c r="H14" s="10" t="str">
        <v>Bev</v>
      </c>
      <c r="I14" s="10" t="str">
        <v>Lead</v>
      </c>
      <c r="J14" s="9">
        <v>8</v>
      </c>
      <c r="L14" s="10">
        <v>11</v>
      </c>
      <c r="M14" s="10" t="s">
        <v>183</v>
      </c>
      <c r="N14" s="10" t="s">
        <v>194</v>
      </c>
      <c r="T14" s="55"/>
      <c r="U14" s="55"/>
      <c r="V14" s="55"/>
      <c r="W14" s="19"/>
    </row>
    <row r="15" spans="1:23" x14ac:dyDescent="0.45">
      <c r="B15" s="73">
        <v>46174</v>
      </c>
      <c r="C15" s="10" t="s">
        <v>234</v>
      </c>
      <c r="D15" s="10" t="s">
        <v>173</v>
      </c>
      <c r="E15" s="76">
        <v>23</v>
      </c>
      <c r="G15" s="73">
        <v>46176</v>
      </c>
      <c r="H15" s="10" t="str">
        <v>Bev</v>
      </c>
      <c r="I15" s="10" t="str">
        <v>Lead</v>
      </c>
      <c r="J15" s="9">
        <v>10</v>
      </c>
      <c r="L15" s="10">
        <v>12</v>
      </c>
      <c r="M15" s="10" t="s">
        <v>184</v>
      </c>
      <c r="N15" s="10" t="s">
        <v>195</v>
      </c>
      <c r="P15" s="10" cm="1">
        <f t="array" ref="P15:R29">KeepRowsλ(Survey,3,Respondent)</f>
        <v>1</v>
      </c>
      <c r="Q15" s="10" t="str">
        <v>Gus</v>
      </c>
      <c r="R15" s="10" t="str">
        <v>Network</v>
      </c>
      <c r="T15" s="26" t="s">
        <v>216</v>
      </c>
      <c r="W15" s="19"/>
    </row>
    <row r="16" spans="1:23" x14ac:dyDescent="0.45">
      <c r="B16" s="77">
        <v>46175</v>
      </c>
      <c r="C16" s="45" t="s">
        <v>113</v>
      </c>
      <c r="D16" s="45" t="s">
        <v>235</v>
      </c>
      <c r="E16" s="72">
        <v>8</v>
      </c>
      <c r="G16" s="73">
        <v>46177</v>
      </c>
      <c r="H16" s="10" t="str">
        <v>Jose</v>
      </c>
      <c r="I16" s="10" t="str">
        <v>Lead</v>
      </c>
      <c r="J16" s="9">
        <v>10</v>
      </c>
      <c r="L16" s="84">
        <v>13</v>
      </c>
      <c r="M16" s="84" t="s">
        <v>120</v>
      </c>
      <c r="N16" s="84" t="s">
        <v>196</v>
      </c>
      <c r="P16" s="10">
        <v>2</v>
      </c>
      <c r="Q16" s="10" t="str">
        <v>Lisa</v>
      </c>
      <c r="R16" s="10" t="str">
        <v>The Godfather</v>
      </c>
      <c r="T16" s="90" t="s">
        <v>215</v>
      </c>
      <c r="W16" s="19"/>
    </row>
    <row r="17" spans="2:23" x14ac:dyDescent="0.45">
      <c r="B17" s="77">
        <v>46175</v>
      </c>
      <c r="C17" s="45" t="s">
        <v>165</v>
      </c>
      <c r="D17" s="45" t="s">
        <v>174</v>
      </c>
      <c r="E17" s="72">
        <v>8</v>
      </c>
      <c r="J17" s="19"/>
      <c r="L17" s="84">
        <v>14</v>
      </c>
      <c r="M17" s="84" t="s">
        <v>120</v>
      </c>
      <c r="N17" s="84" t="s">
        <v>196</v>
      </c>
      <c r="P17" s="10">
        <v>3</v>
      </c>
      <c r="Q17" s="10" t="str">
        <v>Lisa</v>
      </c>
      <c r="R17" s="10" t="str">
        <v>The Godfather Part II</v>
      </c>
      <c r="T17" s="71" t="s">
        <v>214</v>
      </c>
      <c r="W17" s="19"/>
    </row>
    <row r="18" spans="2:23" x14ac:dyDescent="0.45">
      <c r="B18" s="77">
        <v>46175</v>
      </c>
      <c r="C18" s="45" t="s">
        <v>114</v>
      </c>
      <c r="D18" s="45" t="s">
        <v>174</v>
      </c>
      <c r="E18" s="72">
        <v>8</v>
      </c>
      <c r="J18" s="19"/>
      <c r="L18" s="10">
        <v>15</v>
      </c>
      <c r="M18" s="10" t="s">
        <v>185</v>
      </c>
      <c r="N18" s="10" t="s">
        <v>197</v>
      </c>
      <c r="P18" s="10">
        <v>4</v>
      </c>
      <c r="Q18" s="10" t="str">
        <v>Art</v>
      </c>
      <c r="R18" s="10" t="str">
        <v>Citizen Kane</v>
      </c>
      <c r="W18" s="19"/>
    </row>
    <row r="19" spans="2:23" x14ac:dyDescent="0.45">
      <c r="B19" s="77">
        <v>46175</v>
      </c>
      <c r="C19" s="45" t="s">
        <v>115</v>
      </c>
      <c r="D19" s="45" t="s">
        <v>174</v>
      </c>
      <c r="E19" s="72">
        <v>8</v>
      </c>
      <c r="J19" s="19"/>
      <c r="L19" s="20"/>
      <c r="P19" s="10">
        <v>5</v>
      </c>
      <c r="Q19" s="10" t="str">
        <v>Art</v>
      </c>
      <c r="R19" s="10" t="str">
        <v>Rear Window</v>
      </c>
      <c r="W19" s="19"/>
    </row>
    <row r="20" spans="2:23" x14ac:dyDescent="0.45">
      <c r="B20" s="77">
        <v>46175</v>
      </c>
      <c r="C20" s="45" t="s">
        <v>234</v>
      </c>
      <c r="D20" s="45" t="s">
        <v>173</v>
      </c>
      <c r="E20" s="72">
        <v>32</v>
      </c>
      <c r="G20" s="26" t="s">
        <v>169</v>
      </c>
      <c r="J20" s="19"/>
      <c r="L20" s="20"/>
      <c r="P20" s="10">
        <v>6</v>
      </c>
      <c r="Q20" s="10" t="str">
        <v>Art</v>
      </c>
      <c r="R20" s="10" t="str">
        <v>Billy Madison</v>
      </c>
      <c r="W20" s="19"/>
    </row>
    <row r="21" spans="2:23" x14ac:dyDescent="0.45">
      <c r="B21" s="78">
        <v>46176</v>
      </c>
      <c r="C21" s="44" t="s">
        <v>113</v>
      </c>
      <c r="D21" s="44" t="s">
        <v>235</v>
      </c>
      <c r="E21" s="81">
        <v>10</v>
      </c>
      <c r="G21" s="71" t="s">
        <v>168</v>
      </c>
      <c r="J21" s="19"/>
      <c r="L21" s="20"/>
      <c r="P21" s="10">
        <v>7</v>
      </c>
      <c r="Q21" s="10" t="str">
        <v>Joe</v>
      </c>
      <c r="R21" s="10" t="str">
        <v>The Wages of Fear</v>
      </c>
      <c r="W21" s="19"/>
    </row>
    <row r="22" spans="2:23" x14ac:dyDescent="0.45">
      <c r="B22" s="78">
        <v>46176</v>
      </c>
      <c r="C22" s="44" t="s">
        <v>109</v>
      </c>
      <c r="D22" s="44" t="s">
        <v>174</v>
      </c>
      <c r="E22" s="81">
        <v>10</v>
      </c>
      <c r="G22" s="74" cm="1">
        <f t="array" ref="G22:J25">KeepRowsλ(HoursScheduled,-1,Date)</f>
        <v>46174</v>
      </c>
      <c r="H22" s="70" t="str">
        <v>Subtotal</v>
      </c>
      <c r="I22" s="10" t="str">
        <v>&gt;&gt;&gt;&gt;&gt;&gt;&gt;&gt;&gt;&gt;</v>
      </c>
      <c r="J22" s="9">
        <v>23</v>
      </c>
      <c r="L22" s="20"/>
      <c r="P22" s="10">
        <v>8</v>
      </c>
      <c r="Q22" s="10" t="str">
        <v>Mike</v>
      </c>
      <c r="R22" s="10" t="str">
        <v>Jaws</v>
      </c>
      <c r="W22" s="19"/>
    </row>
    <row r="23" spans="2:23" x14ac:dyDescent="0.45">
      <c r="B23" s="78">
        <v>46176</v>
      </c>
      <c r="C23" s="44" t="s">
        <v>165</v>
      </c>
      <c r="D23" s="44" t="s">
        <v>174</v>
      </c>
      <c r="E23" s="81">
        <v>12</v>
      </c>
      <c r="G23" s="73">
        <v>46175</v>
      </c>
      <c r="H23" s="70" t="str">
        <v>Subtotal</v>
      </c>
      <c r="I23" s="10" t="str">
        <v>&gt;&gt;&gt;&gt;&gt;&gt;&gt;&gt;&gt;&gt;</v>
      </c>
      <c r="J23" s="9">
        <v>32</v>
      </c>
      <c r="L23" s="20"/>
      <c r="P23" s="10">
        <v>9</v>
      </c>
      <c r="Q23" s="10" t="str">
        <v>Hank</v>
      </c>
      <c r="R23" s="10" t="str">
        <v>Major League</v>
      </c>
      <c r="W23" s="19"/>
    </row>
    <row r="24" spans="2:23" x14ac:dyDescent="0.45">
      <c r="B24" s="78">
        <v>46176</v>
      </c>
      <c r="C24" s="44" t="s">
        <v>234</v>
      </c>
      <c r="D24" s="44" t="s">
        <v>173</v>
      </c>
      <c r="E24" s="81">
        <v>32</v>
      </c>
      <c r="G24" s="73">
        <v>46176</v>
      </c>
      <c r="H24" s="70" t="str">
        <v>Subtotal</v>
      </c>
      <c r="I24" s="10" t="str">
        <v>&gt;&gt;&gt;&gt;&gt;&gt;&gt;&gt;&gt;&gt;</v>
      </c>
      <c r="J24" s="9">
        <v>32</v>
      </c>
      <c r="L24" s="20"/>
      <c r="P24" s="10">
        <v>10</v>
      </c>
      <c r="Q24" s="10" t="str">
        <v>Hank</v>
      </c>
      <c r="R24" s="10" t="str">
        <v>Major Payne</v>
      </c>
      <c r="W24" s="19"/>
    </row>
    <row r="25" spans="2:23" x14ac:dyDescent="0.45">
      <c r="B25" s="79">
        <v>46177</v>
      </c>
      <c r="C25" s="80" t="s">
        <v>172</v>
      </c>
      <c r="D25" s="80" t="s">
        <v>235</v>
      </c>
      <c r="E25" s="82">
        <v>10</v>
      </c>
      <c r="G25" s="73">
        <v>46177</v>
      </c>
      <c r="H25" s="70" t="str">
        <v>TOTAL</v>
      </c>
      <c r="I25" s="10" t="str">
        <v>&gt;&gt;&gt;&gt;&gt;&gt;&gt;&gt;&gt;&gt;</v>
      </c>
      <c r="J25" s="9">
        <v>26</v>
      </c>
      <c r="L25" s="20"/>
      <c r="P25" s="10">
        <v>11</v>
      </c>
      <c r="Q25" s="10" t="str">
        <v>Wes</v>
      </c>
      <c r="R25" s="10" t="str">
        <v>Thief</v>
      </c>
      <c r="W25" s="19"/>
    </row>
    <row r="26" spans="2:23" x14ac:dyDescent="0.45">
      <c r="B26" s="79">
        <v>46177</v>
      </c>
      <c r="C26" s="80" t="s">
        <v>166</v>
      </c>
      <c r="D26" s="80" t="s">
        <v>174</v>
      </c>
      <c r="E26" s="82">
        <v>4</v>
      </c>
      <c r="J26" s="19"/>
      <c r="L26" s="20"/>
      <c r="P26" s="10">
        <v>12</v>
      </c>
      <c r="Q26" s="10" t="str">
        <v>Ruth</v>
      </c>
      <c r="R26" s="10" t="str">
        <v>Uncut Gems</v>
      </c>
      <c r="W26" s="19"/>
    </row>
    <row r="27" spans="2:23" x14ac:dyDescent="0.45">
      <c r="B27" s="79">
        <v>46177</v>
      </c>
      <c r="C27" s="80" t="s">
        <v>109</v>
      </c>
      <c r="D27" s="80" t="s">
        <v>174</v>
      </c>
      <c r="E27" s="82">
        <v>12</v>
      </c>
      <c r="J27" s="19"/>
      <c r="L27" s="20"/>
      <c r="P27" s="10">
        <v>13</v>
      </c>
      <c r="Q27" s="10" t="str">
        <v>Ron</v>
      </c>
      <c r="R27" s="10" t="str">
        <v>The Rules of the Game</v>
      </c>
      <c r="W27" s="19"/>
    </row>
    <row r="28" spans="2:23" x14ac:dyDescent="0.45">
      <c r="B28" s="79">
        <v>46177</v>
      </c>
      <c r="C28" s="80" t="s">
        <v>164</v>
      </c>
      <c r="D28" s="80" t="s">
        <v>173</v>
      </c>
      <c r="E28" s="82">
        <v>26</v>
      </c>
      <c r="J28" s="19"/>
      <c r="L28" s="20"/>
      <c r="P28" s="10">
        <v>14</v>
      </c>
      <c r="Q28" s="10" t="str">
        <v>Ron</v>
      </c>
      <c r="R28" s="10" t="str">
        <v>The Rules of the Game</v>
      </c>
      <c r="W28" s="19"/>
    </row>
    <row r="29" spans="2:23" x14ac:dyDescent="0.45">
      <c r="B29" s="21"/>
      <c r="C29" s="22"/>
      <c r="D29" s="22"/>
      <c r="E29" s="22"/>
      <c r="F29" s="22"/>
      <c r="G29" s="22"/>
      <c r="H29" s="22"/>
      <c r="I29" s="22"/>
      <c r="J29" s="23"/>
      <c r="L29" s="21"/>
      <c r="M29" s="22"/>
      <c r="N29" s="22"/>
      <c r="O29" s="22"/>
      <c r="P29" s="10">
        <v>15</v>
      </c>
      <c r="Q29" s="10" t="str">
        <v>Pam</v>
      </c>
      <c r="R29" s="10" t="str">
        <v>The Bicycle Thieves</v>
      </c>
      <c r="S29" s="22"/>
      <c r="T29" s="22"/>
      <c r="U29" s="22"/>
      <c r="V29" s="22"/>
      <c r="W29" s="2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955C-EC83-4444-A65A-BD45BA549D1B}">
  <sheetPr codeName="Sheet16">
    <tabColor rgb="FFC7E6C2"/>
  </sheetPr>
  <dimension ref="A1:AH31"/>
  <sheetViews>
    <sheetView workbookViewId="0"/>
  </sheetViews>
  <sheetFormatPr defaultRowHeight="16.5" x14ac:dyDescent="0.45"/>
  <cols>
    <col min="1" max="1" width="5" customWidth="1"/>
    <col min="2" max="2" width="10.83203125" customWidth="1"/>
    <col min="3" max="16" width="4.58203125" customWidth="1"/>
    <col min="17" max="17" width="1.75" customWidth="1"/>
    <col min="18" max="18" width="2.5" customWidth="1"/>
    <col min="19" max="19" width="5.75" bestFit="1" customWidth="1"/>
    <col min="20" max="20" width="4.83203125" bestFit="1" customWidth="1"/>
    <col min="21" max="22" width="5.75" bestFit="1" customWidth="1"/>
    <col min="23" max="23" width="5.5" customWidth="1"/>
    <col min="24" max="25" width="5.75" bestFit="1" customWidth="1"/>
    <col min="26" max="26" width="4.83203125" bestFit="1" customWidth="1"/>
    <col min="27" max="27" width="8.33203125" bestFit="1" customWidth="1"/>
    <col min="28" max="28" width="5.75" bestFit="1" customWidth="1"/>
    <col min="29" max="29" width="4.83203125" bestFit="1" customWidth="1"/>
    <col min="30" max="30" width="5.75" bestFit="1" customWidth="1"/>
    <col min="31" max="31" width="8.33203125" bestFit="1" customWidth="1"/>
    <col min="32" max="32" width="4.83203125" bestFit="1" customWidth="1"/>
    <col min="33" max="33" width="5.75" bestFit="1" customWidth="1"/>
    <col min="34" max="34" width="4" customWidth="1"/>
  </cols>
  <sheetData>
    <row r="1" spans="1:34" x14ac:dyDescent="0.45">
      <c r="A1" s="7"/>
    </row>
    <row r="2" spans="1:34" x14ac:dyDescent="0.45">
      <c r="B2" s="15" t="s">
        <v>156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7"/>
      <c r="R2" s="35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7"/>
    </row>
    <row r="3" spans="1:34" x14ac:dyDescent="0.45">
      <c r="B3" s="18" t="s">
        <v>51</v>
      </c>
      <c r="C3" s="1"/>
      <c r="P3" s="19"/>
      <c r="R3" s="20"/>
      <c r="S3" s="68" t="s">
        <v>225</v>
      </c>
      <c r="AH3" s="19"/>
    </row>
    <row r="4" spans="1:34" x14ac:dyDescent="0.45">
      <c r="B4" s="18" t="s">
        <v>153</v>
      </c>
      <c r="C4" s="1"/>
      <c r="P4" s="19"/>
      <c r="R4" s="20"/>
      <c r="S4" s="75" t="s">
        <v>132</v>
      </c>
      <c r="T4" s="75" t="s">
        <v>132</v>
      </c>
      <c r="U4" s="93" t="s">
        <v>132</v>
      </c>
      <c r="V4" s="94" t="s">
        <v>219</v>
      </c>
      <c r="W4" s="75" t="s">
        <v>219</v>
      </c>
      <c r="X4" s="93" t="s">
        <v>219</v>
      </c>
      <c r="Y4" s="94" t="s">
        <v>220</v>
      </c>
      <c r="Z4" s="75" t="s">
        <v>220</v>
      </c>
      <c r="AA4" s="93" t="s">
        <v>220</v>
      </c>
      <c r="AB4" s="94" t="s">
        <v>221</v>
      </c>
      <c r="AC4" s="75" t="s">
        <v>221</v>
      </c>
      <c r="AD4" s="93" t="s">
        <v>221</v>
      </c>
      <c r="AE4" s="94" t="s">
        <v>222</v>
      </c>
      <c r="AF4" s="75" t="s">
        <v>222</v>
      </c>
      <c r="AG4" s="75" t="s">
        <v>222</v>
      </c>
      <c r="AH4" s="19"/>
    </row>
    <row r="5" spans="1:34" x14ac:dyDescent="0.45">
      <c r="B5" s="18"/>
      <c r="C5" s="1" t="s">
        <v>160</v>
      </c>
      <c r="P5" s="19"/>
      <c r="R5" s="20"/>
      <c r="S5" s="10" t="s">
        <v>81</v>
      </c>
      <c r="T5" s="10" t="s">
        <v>223</v>
      </c>
      <c r="U5" s="92" t="s">
        <v>224</v>
      </c>
      <c r="V5" s="59" t="s">
        <v>81</v>
      </c>
      <c r="W5" s="10" t="s">
        <v>223</v>
      </c>
      <c r="X5" s="92" t="s">
        <v>224</v>
      </c>
      <c r="Y5" s="59" t="s">
        <v>81</v>
      </c>
      <c r="Z5" s="10" t="s">
        <v>223</v>
      </c>
      <c r="AA5" s="92" t="s">
        <v>224</v>
      </c>
      <c r="AB5" s="59" t="s">
        <v>81</v>
      </c>
      <c r="AC5" s="10" t="s">
        <v>223</v>
      </c>
      <c r="AD5" s="92" t="s">
        <v>224</v>
      </c>
      <c r="AE5" s="59" t="s">
        <v>233</v>
      </c>
      <c r="AF5" s="10" t="s">
        <v>231</v>
      </c>
      <c r="AG5" s="10" t="s">
        <v>232</v>
      </c>
      <c r="AH5" s="19"/>
    </row>
    <row r="6" spans="1:34" x14ac:dyDescent="0.45">
      <c r="B6" s="18"/>
      <c r="C6" s="1" t="s">
        <v>161</v>
      </c>
      <c r="P6" s="19"/>
      <c r="R6" s="20"/>
      <c r="S6" s="10">
        <v>10</v>
      </c>
      <c r="T6" s="10">
        <v>6</v>
      </c>
      <c r="U6" s="92">
        <v>4</v>
      </c>
      <c r="V6" s="59">
        <v>8</v>
      </c>
      <c r="W6" s="10">
        <v>5</v>
      </c>
      <c r="X6" s="92">
        <v>3</v>
      </c>
      <c r="Y6" s="59">
        <v>12</v>
      </c>
      <c r="Z6" s="10">
        <v>7</v>
      </c>
      <c r="AA6" s="92">
        <v>5</v>
      </c>
      <c r="AB6" s="59">
        <v>21</v>
      </c>
      <c r="AC6" s="10">
        <v>12</v>
      </c>
      <c r="AD6" s="92">
        <v>9</v>
      </c>
      <c r="AE6" s="59">
        <v>25</v>
      </c>
      <c r="AF6" s="10">
        <v>14</v>
      </c>
      <c r="AG6" s="10">
        <v>11</v>
      </c>
      <c r="AH6" s="19"/>
    </row>
    <row r="7" spans="1:34" x14ac:dyDescent="0.45">
      <c r="B7" s="18" t="s">
        <v>157</v>
      </c>
      <c r="C7" s="1"/>
      <c r="P7" s="19"/>
      <c r="R7" s="20"/>
      <c r="AH7" s="19"/>
    </row>
    <row r="8" spans="1:34" x14ac:dyDescent="0.45">
      <c r="B8" s="21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3"/>
      <c r="R8" s="20"/>
      <c r="AH8" s="19"/>
    </row>
    <row r="9" spans="1:34" x14ac:dyDescent="0.45">
      <c r="R9" s="20"/>
      <c r="S9" s="26" t="s">
        <v>229</v>
      </c>
      <c r="AH9" s="19"/>
    </row>
    <row r="10" spans="1:34" x14ac:dyDescent="0.45">
      <c r="B10" s="91" t="s">
        <v>217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  <c r="R10" s="20"/>
      <c r="S10" s="71" t="s">
        <v>230</v>
      </c>
      <c r="AH10" s="19"/>
    </row>
    <row r="11" spans="1:34" x14ac:dyDescent="0.45">
      <c r="B11" s="10" t="s">
        <v>162</v>
      </c>
      <c r="C11" s="88">
        <v>46204</v>
      </c>
      <c r="D11" s="85">
        <v>46205</v>
      </c>
      <c r="E11" s="85">
        <v>46206</v>
      </c>
      <c r="F11" s="88">
        <v>46207</v>
      </c>
      <c r="G11" s="85">
        <v>46208</v>
      </c>
      <c r="H11" s="88">
        <v>46209</v>
      </c>
      <c r="I11" s="85">
        <v>46210</v>
      </c>
      <c r="J11" s="88">
        <v>46211</v>
      </c>
      <c r="K11" s="85">
        <v>46212</v>
      </c>
      <c r="L11" s="85">
        <v>46213</v>
      </c>
      <c r="M11" s="85">
        <v>46214</v>
      </c>
      <c r="N11" s="88">
        <v>46215</v>
      </c>
      <c r="O11" s="88">
        <v>46216</v>
      </c>
      <c r="P11" s="85">
        <v>46217</v>
      </c>
      <c r="Q11" s="87"/>
      <c r="R11" s="86"/>
      <c r="S11" s="85" t="str" cm="1">
        <f t="array" ref="S11:AB13">KeepColsλ(Report,2,ReportMonth)</f>
        <v>Jan</v>
      </c>
      <c r="T11" s="10" t="str">
        <v>Jan</v>
      </c>
      <c r="U11" s="10" t="str">
        <v>Feb</v>
      </c>
      <c r="V11" s="10" t="str">
        <v>Feb</v>
      </c>
      <c r="W11" s="10" t="str">
        <v>Mar</v>
      </c>
      <c r="X11" s="10" t="str">
        <v>Mar</v>
      </c>
      <c r="Y11" s="10" t="str">
        <v>Apr</v>
      </c>
      <c r="Z11" s="10" t="str">
        <v>Apr</v>
      </c>
      <c r="AA11" s="10" t="str">
        <v>May</v>
      </c>
      <c r="AB11" s="10" t="str">
        <v>May</v>
      </c>
      <c r="AH11" s="19"/>
    </row>
    <row r="12" spans="1:34" x14ac:dyDescent="0.45">
      <c r="B12" s="10" t="s">
        <v>205</v>
      </c>
      <c r="C12" s="40" t="s">
        <v>206</v>
      </c>
      <c r="D12" s="10" t="s">
        <v>206</v>
      </c>
      <c r="E12" s="10" t="s">
        <v>206</v>
      </c>
      <c r="F12" s="40" t="s">
        <v>218</v>
      </c>
      <c r="G12" s="10" t="s">
        <v>218</v>
      </c>
      <c r="H12" s="40" t="s">
        <v>206</v>
      </c>
      <c r="I12" s="10" t="s">
        <v>206</v>
      </c>
      <c r="J12" s="40" t="s">
        <v>208</v>
      </c>
      <c r="K12" s="10" t="s">
        <v>208</v>
      </c>
      <c r="L12" s="10" t="s">
        <v>208</v>
      </c>
      <c r="M12" s="10" t="s">
        <v>208</v>
      </c>
      <c r="N12" s="40" t="s">
        <v>207</v>
      </c>
      <c r="O12" s="40" t="s">
        <v>213</v>
      </c>
      <c r="P12" s="10" t="s">
        <v>213</v>
      </c>
      <c r="Q12" s="46"/>
      <c r="R12" s="37"/>
      <c r="S12" s="10" t="str">
        <v>Sales</v>
      </c>
      <c r="T12" s="10" t="str">
        <v>Cost</v>
      </c>
      <c r="U12" s="10" t="str">
        <v>Sales</v>
      </c>
      <c r="V12" s="10" t="str">
        <v>Cost</v>
      </c>
      <c r="W12" s="10" t="str">
        <v>Sales</v>
      </c>
      <c r="X12" s="10" t="str">
        <v>Cost</v>
      </c>
      <c r="Y12" s="10" t="str">
        <v>Sales</v>
      </c>
      <c r="Z12" s="10" t="str">
        <v>Cost</v>
      </c>
      <c r="AA12" s="10" t="str">
        <v>Revenue</v>
      </c>
      <c r="AB12" s="10" t="str">
        <v>COGS</v>
      </c>
      <c r="AH12" s="19"/>
    </row>
    <row r="13" spans="1:34" x14ac:dyDescent="0.45">
      <c r="B13" s="89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61"/>
      <c r="Q13" s="8"/>
      <c r="R13" s="89"/>
      <c r="S13" s="10">
        <v>10</v>
      </c>
      <c r="T13" s="10">
        <v>6</v>
      </c>
      <c r="U13" s="10">
        <v>8</v>
      </c>
      <c r="V13" s="10">
        <v>5</v>
      </c>
      <c r="W13" s="10">
        <v>12</v>
      </c>
      <c r="X13" s="10">
        <v>7</v>
      </c>
      <c r="Y13" s="10">
        <v>21</v>
      </c>
      <c r="Z13" s="10">
        <v>12</v>
      </c>
      <c r="AA13" s="10">
        <v>25</v>
      </c>
      <c r="AB13" s="10">
        <v>14</v>
      </c>
      <c r="AH13" s="19"/>
    </row>
    <row r="14" spans="1:34" x14ac:dyDescent="0.45">
      <c r="B14" s="89"/>
      <c r="K14" s="8"/>
      <c r="L14" s="8"/>
      <c r="M14" s="8"/>
      <c r="N14" s="8"/>
      <c r="O14" s="8"/>
      <c r="P14" s="61"/>
      <c r="Q14" s="8"/>
      <c r="R14" s="89"/>
      <c r="S14" s="8"/>
      <c r="AH14" s="19"/>
    </row>
    <row r="15" spans="1:34" x14ac:dyDescent="0.45">
      <c r="B15" s="20"/>
      <c r="C15" s="26" t="s">
        <v>210</v>
      </c>
      <c r="D15" s="8"/>
      <c r="E15" s="8"/>
      <c r="F15" s="8"/>
      <c r="G15" s="8"/>
      <c r="H15" s="8"/>
      <c r="I15" s="8"/>
      <c r="J15" s="8"/>
      <c r="P15" s="19"/>
      <c r="R15" s="20"/>
      <c r="S15" s="26" t="s">
        <v>227</v>
      </c>
      <c r="AH15" s="19"/>
    </row>
    <row r="16" spans="1:34" x14ac:dyDescent="0.45">
      <c r="B16" s="20"/>
      <c r="C16" s="71" t="s">
        <v>209</v>
      </c>
      <c r="P16" s="19"/>
      <c r="R16" s="20"/>
      <c r="S16" s="71" t="s">
        <v>228</v>
      </c>
      <c r="AH16" s="19"/>
    </row>
    <row r="17" spans="2:34" x14ac:dyDescent="0.45">
      <c r="B17" s="20"/>
      <c r="C17" s="85" cm="1">
        <f t="array" ref="C17:H18">KeepColsλ(SupervisorSchedule,1,Supervisor)</f>
        <v>46204</v>
      </c>
      <c r="D17" s="85">
        <v>46207</v>
      </c>
      <c r="E17" s="85">
        <v>46209</v>
      </c>
      <c r="F17" s="85">
        <v>46211</v>
      </c>
      <c r="G17" s="85">
        <v>46215</v>
      </c>
      <c r="H17" s="85">
        <v>46216</v>
      </c>
      <c r="P17" s="19"/>
      <c r="R17" s="20"/>
      <c r="S17" s="10" t="str" cm="1">
        <f t="array" ref="S17:W19">KeepColsλ(Report,-1,ReportMonth)</f>
        <v>Jan</v>
      </c>
      <c r="T17" s="10" t="str">
        <v>Feb</v>
      </c>
      <c r="U17" s="10" t="str">
        <v>Mar</v>
      </c>
      <c r="V17" s="10" t="str">
        <v>Apr</v>
      </c>
      <c r="W17" s="10" t="str">
        <v>May</v>
      </c>
      <c r="AH17" s="19"/>
    </row>
    <row r="18" spans="2:34" x14ac:dyDescent="0.45">
      <c r="B18" s="20"/>
      <c r="C18" s="10" t="str">
        <v>AK</v>
      </c>
      <c r="D18" s="10" t="str">
        <v>DB</v>
      </c>
      <c r="E18" s="10" t="str">
        <v>AK</v>
      </c>
      <c r="F18" s="10" t="str">
        <v>WS</v>
      </c>
      <c r="G18" s="10" t="str">
        <v>HD</v>
      </c>
      <c r="H18" s="10" t="str">
        <v>LZ</v>
      </c>
      <c r="P18" s="19"/>
      <c r="R18" s="20"/>
      <c r="S18" s="10" t="str">
        <v>Profit</v>
      </c>
      <c r="T18" s="10" t="str">
        <v>Profit</v>
      </c>
      <c r="U18" s="10" t="str">
        <v>Profit</v>
      </c>
      <c r="V18" s="10" t="str">
        <v>Profit</v>
      </c>
      <c r="W18" s="10" t="str">
        <v>Net</v>
      </c>
      <c r="AH18" s="19"/>
    </row>
    <row r="19" spans="2:34" x14ac:dyDescent="0.45">
      <c r="B19" s="20"/>
      <c r="P19" s="19"/>
      <c r="R19" s="20"/>
      <c r="S19" s="10">
        <v>4</v>
      </c>
      <c r="T19" s="10">
        <v>3</v>
      </c>
      <c r="U19" s="10">
        <v>5</v>
      </c>
      <c r="V19" s="10">
        <v>9</v>
      </c>
      <c r="W19" s="10">
        <v>11</v>
      </c>
      <c r="AH19" s="19"/>
    </row>
    <row r="20" spans="2:34" x14ac:dyDescent="0.45">
      <c r="B20" s="20"/>
      <c r="P20" s="19"/>
      <c r="R20" s="20"/>
      <c r="AH20" s="19"/>
    </row>
    <row r="21" spans="2:34" x14ac:dyDescent="0.45">
      <c r="B21" s="20"/>
      <c r="P21" s="19"/>
      <c r="R21" s="20"/>
      <c r="AH21" s="19"/>
    </row>
    <row r="22" spans="2:34" x14ac:dyDescent="0.45">
      <c r="B22" s="20"/>
      <c r="C22" s="26" t="s">
        <v>211</v>
      </c>
      <c r="D22" s="8"/>
      <c r="E22" s="8"/>
      <c r="F22" s="8"/>
      <c r="G22" s="8"/>
      <c r="H22" s="8"/>
      <c r="P22" s="19"/>
      <c r="R22" s="20"/>
      <c r="S22" s="26" t="s">
        <v>580</v>
      </c>
      <c r="AH22" s="19"/>
    </row>
    <row r="23" spans="2:34" x14ac:dyDescent="0.45">
      <c r="B23" s="20"/>
      <c r="C23" s="71" t="s">
        <v>212</v>
      </c>
      <c r="P23" s="19"/>
      <c r="R23" s="20"/>
      <c r="S23" s="71" t="s">
        <v>226</v>
      </c>
      <c r="AH23" s="19"/>
    </row>
    <row r="24" spans="2:34" x14ac:dyDescent="0.45">
      <c r="B24" s="20"/>
      <c r="C24" s="85" cm="1">
        <f t="array" ref="C24:H25">KeepColsλ(SupervisorSchedule,-1,Supervisor)</f>
        <v>46206</v>
      </c>
      <c r="D24" s="85">
        <v>46208</v>
      </c>
      <c r="E24" s="85">
        <v>46210</v>
      </c>
      <c r="F24" s="85">
        <v>46214</v>
      </c>
      <c r="G24" s="85">
        <v>46215</v>
      </c>
      <c r="H24" s="85">
        <v>46217</v>
      </c>
      <c r="P24" s="19"/>
      <c r="R24" s="20"/>
      <c r="S24" s="10" t="str" cm="1">
        <f t="array" ref="S24:AG26">KeepColsλ(Report,5,ReportMonth)</f>
        <v>Jan</v>
      </c>
      <c r="T24" s="10" t="str">
        <v>Jan</v>
      </c>
      <c r="U24" s="10" t="str">
        <v>Jan</v>
      </c>
      <c r="V24" s="10" t="str">
        <v>Feb</v>
      </c>
      <c r="W24" s="10" t="str">
        <v>Feb</v>
      </c>
      <c r="X24" s="10" t="str">
        <v>Feb</v>
      </c>
      <c r="Y24" s="10" t="str">
        <v>Mar</v>
      </c>
      <c r="Z24" s="10" t="str">
        <v>Mar</v>
      </c>
      <c r="AA24" s="10" t="str">
        <v>Mar</v>
      </c>
      <c r="AB24" s="10" t="str">
        <v>Apr</v>
      </c>
      <c r="AC24" s="10" t="str">
        <v>Apr</v>
      </c>
      <c r="AD24" s="10" t="str">
        <v>Apr</v>
      </c>
      <c r="AE24" s="10" t="str">
        <v>May</v>
      </c>
      <c r="AF24" s="10" t="str">
        <v>May</v>
      </c>
      <c r="AG24" s="10" t="str">
        <v>May</v>
      </c>
      <c r="AH24" s="19"/>
    </row>
    <row r="25" spans="2:34" x14ac:dyDescent="0.45">
      <c r="B25" s="20"/>
      <c r="C25" s="10" t="str">
        <v>AK</v>
      </c>
      <c r="D25" s="10" t="str">
        <v>DB</v>
      </c>
      <c r="E25" s="10" t="str">
        <v>AK</v>
      </c>
      <c r="F25" s="10" t="str">
        <v>WS</v>
      </c>
      <c r="G25" s="10" t="str">
        <v>HD</v>
      </c>
      <c r="H25" s="10" t="str">
        <v>LZ</v>
      </c>
      <c r="P25" s="19"/>
      <c r="R25" s="20"/>
      <c r="S25" s="10" t="str">
        <v>Sales</v>
      </c>
      <c r="T25" s="10" t="str">
        <v>Cost</v>
      </c>
      <c r="U25" s="10" t="str">
        <v>Profit</v>
      </c>
      <c r="V25" s="10" t="str">
        <v>Sales</v>
      </c>
      <c r="W25" s="10" t="str">
        <v>Cost</v>
      </c>
      <c r="X25" s="10" t="str">
        <v>Profit</v>
      </c>
      <c r="Y25" s="10" t="str">
        <v>Sales</v>
      </c>
      <c r="Z25" s="10" t="str">
        <v>Cost</v>
      </c>
      <c r="AA25" s="10" t="str">
        <v>Profit</v>
      </c>
      <c r="AB25" s="10" t="str">
        <v>Sales</v>
      </c>
      <c r="AC25" s="10" t="str">
        <v>Cost</v>
      </c>
      <c r="AD25" s="10" t="str">
        <v>Profit</v>
      </c>
      <c r="AE25" s="10" t="str">
        <v>Revenue</v>
      </c>
      <c r="AF25" s="10" t="str">
        <v>COGS</v>
      </c>
      <c r="AG25" s="10" t="str">
        <v>Net</v>
      </c>
      <c r="AH25" s="19"/>
    </row>
    <row r="26" spans="2:34" x14ac:dyDescent="0.45">
      <c r="B26" s="20"/>
      <c r="P26" s="19"/>
      <c r="R26" s="20"/>
      <c r="S26" s="10">
        <v>10</v>
      </c>
      <c r="T26" s="10">
        <v>6</v>
      </c>
      <c r="U26" s="10">
        <v>4</v>
      </c>
      <c r="V26" s="10">
        <v>8</v>
      </c>
      <c r="W26" s="10">
        <v>5</v>
      </c>
      <c r="X26" s="10">
        <v>3</v>
      </c>
      <c r="Y26" s="10">
        <v>12</v>
      </c>
      <c r="Z26" s="10">
        <v>7</v>
      </c>
      <c r="AA26" s="10">
        <v>5</v>
      </c>
      <c r="AB26" s="10">
        <v>21</v>
      </c>
      <c r="AC26" s="10">
        <v>12</v>
      </c>
      <c r="AD26" s="10">
        <v>9</v>
      </c>
      <c r="AE26" s="10">
        <v>25</v>
      </c>
      <c r="AF26" s="10">
        <v>14</v>
      </c>
      <c r="AG26" s="10">
        <v>11</v>
      </c>
      <c r="AH26" s="19"/>
    </row>
    <row r="27" spans="2:34" x14ac:dyDescent="0.45">
      <c r="B27" s="20"/>
      <c r="P27" s="19"/>
      <c r="R27" s="20"/>
      <c r="AH27" s="19"/>
    </row>
    <row r="28" spans="2:34" x14ac:dyDescent="0.45">
      <c r="B28" s="20"/>
      <c r="P28" s="19"/>
      <c r="R28" s="20"/>
      <c r="AH28" s="19"/>
    </row>
    <row r="29" spans="2:34" x14ac:dyDescent="0.45">
      <c r="B29" s="20"/>
      <c r="P29" s="19"/>
      <c r="R29" s="20"/>
      <c r="AH29" s="19"/>
    </row>
    <row r="30" spans="2:34" x14ac:dyDescent="0.45">
      <c r="B30" s="21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/>
      <c r="Q30" s="22"/>
      <c r="R30" s="21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3"/>
    </row>
    <row r="31" spans="2:34" x14ac:dyDescent="0.45"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0840A-B05A-4471-9CC7-B4CF7F297B31}">
  <sheetPr codeName="Sheet17">
    <tabColor rgb="FFF2D5A0"/>
  </sheetPr>
  <dimension ref="A1:AE38"/>
  <sheetViews>
    <sheetView workbookViewId="0"/>
  </sheetViews>
  <sheetFormatPr defaultRowHeight="16.5" x14ac:dyDescent="0.45"/>
  <cols>
    <col min="1" max="1" width="5" customWidth="1"/>
    <col min="2" max="4" width="2.83203125" customWidth="1"/>
    <col min="5" max="5" width="3.4140625" bestFit="1" customWidth="1"/>
    <col min="6" max="6" width="2.83203125" customWidth="1"/>
    <col min="7" max="7" width="3.4140625" bestFit="1" customWidth="1"/>
    <col min="8" max="8" width="2.83203125" customWidth="1"/>
    <col min="9" max="9" width="3.4140625" bestFit="1" customWidth="1"/>
    <col min="10" max="10" width="6.1640625" customWidth="1"/>
    <col min="11" max="13" width="2.83203125" customWidth="1"/>
    <col min="14" max="14" width="3.4140625" bestFit="1" customWidth="1"/>
    <col min="15" max="15" width="2.83203125" customWidth="1"/>
    <col min="16" max="16" width="3.4140625" bestFit="1" customWidth="1"/>
    <col min="17" max="18" width="3.33203125" bestFit="1" customWidth="1"/>
    <col min="20" max="20" width="2.83203125" customWidth="1"/>
    <col min="21" max="23" width="3.4140625" bestFit="1" customWidth="1"/>
    <col min="24" max="25" width="3.33203125" bestFit="1" customWidth="1"/>
  </cols>
  <sheetData>
    <row r="1" spans="1:31" x14ac:dyDescent="0.45">
      <c r="A1" s="7"/>
    </row>
    <row r="2" spans="1:31" x14ac:dyDescent="0.45">
      <c r="B2" s="15" t="s">
        <v>464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7"/>
    </row>
    <row r="3" spans="1:31" x14ac:dyDescent="0.45">
      <c r="B3" s="18" t="s">
        <v>465</v>
      </c>
      <c r="AE3" s="19"/>
    </row>
    <row r="4" spans="1:31" x14ac:dyDescent="0.45">
      <c r="B4" s="18" t="s">
        <v>466</v>
      </c>
      <c r="AE4" s="19"/>
    </row>
    <row r="5" spans="1:31" x14ac:dyDescent="0.45">
      <c r="B5" s="18" t="s">
        <v>467</v>
      </c>
      <c r="AE5" s="19"/>
    </row>
    <row r="6" spans="1:31" x14ac:dyDescent="0.45">
      <c r="B6" s="104" t="s">
        <v>260</v>
      </c>
      <c r="AE6" s="19"/>
    </row>
    <row r="7" spans="1:31" x14ac:dyDescent="0.45">
      <c r="B7" s="18" t="s">
        <v>469</v>
      </c>
      <c r="AE7" s="19"/>
    </row>
    <row r="8" spans="1:31" x14ac:dyDescent="0.45">
      <c r="B8" s="18" t="s">
        <v>468</v>
      </c>
      <c r="AE8" s="19"/>
    </row>
    <row r="9" spans="1:31" x14ac:dyDescent="0.45">
      <c r="B9" s="21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3"/>
    </row>
    <row r="10" spans="1:31" x14ac:dyDescent="0.45">
      <c r="B10" s="35"/>
      <c r="C10" s="16"/>
      <c r="D10" s="16"/>
      <c r="E10" s="16"/>
      <c r="F10" s="16"/>
      <c r="G10" s="16"/>
      <c r="H10" s="16"/>
      <c r="I10" s="16"/>
      <c r="J10" s="16"/>
      <c r="K10" s="24" t="s">
        <v>470</v>
      </c>
      <c r="L10" s="16"/>
      <c r="M10" s="16"/>
      <c r="N10" s="16"/>
      <c r="O10" s="16"/>
      <c r="P10" s="16"/>
      <c r="Q10" s="16"/>
      <c r="R10" s="16"/>
      <c r="S10" s="16"/>
      <c r="T10" s="24" t="s">
        <v>471</v>
      </c>
      <c r="U10" s="16"/>
      <c r="V10" s="16"/>
      <c r="W10" s="16"/>
      <c r="X10" s="16"/>
      <c r="Y10" s="16"/>
      <c r="Z10" s="16"/>
      <c r="AA10" s="24" t="s">
        <v>472</v>
      </c>
      <c r="AB10" s="16"/>
      <c r="AC10" s="16"/>
      <c r="AD10" s="16"/>
      <c r="AE10" s="17"/>
    </row>
    <row r="11" spans="1:31" x14ac:dyDescent="0.45">
      <c r="B11" s="137" t="s">
        <v>473</v>
      </c>
      <c r="K11" s="27" t="s">
        <v>474</v>
      </c>
      <c r="T11" s="27" t="s">
        <v>475</v>
      </c>
      <c r="AA11" s="27" t="s">
        <v>476</v>
      </c>
      <c r="AE11" s="19"/>
    </row>
    <row r="12" spans="1:31" x14ac:dyDescent="0.45">
      <c r="B12" s="76">
        <v>1</v>
      </c>
      <c r="C12" s="9">
        <v>2</v>
      </c>
      <c r="D12" s="9">
        <v>3</v>
      </c>
      <c r="E12" s="11">
        <v>4</v>
      </c>
      <c r="F12" s="11">
        <v>5</v>
      </c>
      <c r="G12" s="11">
        <v>6</v>
      </c>
      <c r="K12" s="9" cm="1">
        <f t="array" ref="K12:P17">BlockMapλ(MatrixA,2,3)</f>
        <v>1</v>
      </c>
      <c r="L12" s="9">
        <v>2</v>
      </c>
      <c r="M12" s="9">
        <v>3</v>
      </c>
      <c r="N12" s="9">
        <v>7</v>
      </c>
      <c r="O12" s="9">
        <v>8</v>
      </c>
      <c r="P12" s="9">
        <v>9</v>
      </c>
      <c r="Q12" s="28"/>
      <c r="R12" s="28"/>
      <c r="S12" s="28"/>
      <c r="T12" s="9" cm="1">
        <f t="array" ref="T12:Y17">BlockMapλ(MatrixA,2,3,TRUE)</f>
        <v>1</v>
      </c>
      <c r="U12" s="11">
        <v>4</v>
      </c>
      <c r="V12" s="114">
        <v>13</v>
      </c>
      <c r="W12" s="38">
        <v>16</v>
      </c>
      <c r="X12" s="134">
        <v>25</v>
      </c>
      <c r="Y12" s="58">
        <v>28</v>
      </c>
      <c r="Z12" s="28"/>
      <c r="AA12" s="28" t="str" cm="1">
        <f t="array" ref="AA12">BlockMapλ(MatrixA,2,4,TRUE)</f>
        <v>#BLOCK MISMATCH!</v>
      </c>
      <c r="AE12" s="19"/>
    </row>
    <row r="13" spans="1:31" x14ac:dyDescent="0.45">
      <c r="B13" s="9">
        <v>7</v>
      </c>
      <c r="C13" s="9">
        <v>8</v>
      </c>
      <c r="D13" s="9">
        <v>9</v>
      </c>
      <c r="E13" s="11">
        <v>10</v>
      </c>
      <c r="F13" s="11">
        <v>11</v>
      </c>
      <c r="G13" s="11">
        <v>12</v>
      </c>
      <c r="K13" s="11">
        <v>4</v>
      </c>
      <c r="L13" s="11">
        <v>5</v>
      </c>
      <c r="M13" s="11">
        <v>6</v>
      </c>
      <c r="N13" s="11">
        <v>10</v>
      </c>
      <c r="O13" s="11">
        <v>11</v>
      </c>
      <c r="P13" s="11">
        <v>12</v>
      </c>
      <c r="Q13" s="28"/>
      <c r="R13" s="28"/>
      <c r="S13" s="28"/>
      <c r="T13" s="9">
        <v>2</v>
      </c>
      <c r="U13" s="11">
        <v>5</v>
      </c>
      <c r="V13" s="114">
        <v>14</v>
      </c>
      <c r="W13" s="38">
        <v>17</v>
      </c>
      <c r="X13" s="134">
        <v>26</v>
      </c>
      <c r="Y13" s="58">
        <v>29</v>
      </c>
      <c r="AE13" s="19"/>
    </row>
    <row r="14" spans="1:31" x14ac:dyDescent="0.45">
      <c r="B14" s="114">
        <v>13</v>
      </c>
      <c r="C14" s="114">
        <v>14</v>
      </c>
      <c r="D14" s="114">
        <v>15</v>
      </c>
      <c r="E14" s="38">
        <v>16</v>
      </c>
      <c r="F14" s="38">
        <v>17</v>
      </c>
      <c r="G14" s="38">
        <v>18</v>
      </c>
      <c r="K14" s="114">
        <v>13</v>
      </c>
      <c r="L14" s="114">
        <v>14</v>
      </c>
      <c r="M14" s="114">
        <v>15</v>
      </c>
      <c r="N14" s="114">
        <v>19</v>
      </c>
      <c r="O14" s="114">
        <v>20</v>
      </c>
      <c r="P14" s="114">
        <v>21</v>
      </c>
      <c r="Q14" s="28"/>
      <c r="R14" s="28"/>
      <c r="S14" s="28"/>
      <c r="T14" s="9">
        <v>3</v>
      </c>
      <c r="U14" s="11">
        <v>6</v>
      </c>
      <c r="V14" s="114">
        <v>15</v>
      </c>
      <c r="W14" s="38">
        <v>18</v>
      </c>
      <c r="X14" s="134">
        <v>27</v>
      </c>
      <c r="Y14" s="58">
        <v>30</v>
      </c>
      <c r="AE14" s="19"/>
    </row>
    <row r="15" spans="1:31" x14ac:dyDescent="0.45">
      <c r="B15" s="114">
        <v>19</v>
      </c>
      <c r="C15" s="114">
        <v>20</v>
      </c>
      <c r="D15" s="114">
        <v>21</v>
      </c>
      <c r="E15" s="38">
        <v>22</v>
      </c>
      <c r="F15" s="38">
        <v>23</v>
      </c>
      <c r="G15" s="38">
        <v>24</v>
      </c>
      <c r="K15" s="38">
        <v>16</v>
      </c>
      <c r="L15" s="38">
        <v>17</v>
      </c>
      <c r="M15" s="38">
        <v>18</v>
      </c>
      <c r="N15" s="38">
        <v>22</v>
      </c>
      <c r="O15" s="38">
        <v>23</v>
      </c>
      <c r="P15" s="38">
        <v>24</v>
      </c>
      <c r="Q15" s="28"/>
      <c r="R15" s="28"/>
      <c r="S15" s="28"/>
      <c r="T15" s="9">
        <v>7</v>
      </c>
      <c r="U15" s="11">
        <v>10</v>
      </c>
      <c r="V15" s="114">
        <v>19</v>
      </c>
      <c r="W15" s="38">
        <v>22</v>
      </c>
      <c r="X15" s="134">
        <v>31</v>
      </c>
      <c r="Y15" s="58">
        <v>34</v>
      </c>
      <c r="AE15" s="19"/>
    </row>
    <row r="16" spans="1:31" x14ac:dyDescent="0.45">
      <c r="B16" s="134">
        <v>25</v>
      </c>
      <c r="C16" s="134">
        <v>26</v>
      </c>
      <c r="D16" s="134">
        <v>27</v>
      </c>
      <c r="E16" s="58">
        <v>28</v>
      </c>
      <c r="F16" s="58">
        <v>29</v>
      </c>
      <c r="G16" s="58">
        <v>30</v>
      </c>
      <c r="K16" s="134">
        <v>25</v>
      </c>
      <c r="L16" s="134">
        <v>26</v>
      </c>
      <c r="M16" s="134">
        <v>27</v>
      </c>
      <c r="N16" s="134">
        <v>31</v>
      </c>
      <c r="O16" s="134">
        <v>32</v>
      </c>
      <c r="P16" s="134">
        <v>33</v>
      </c>
      <c r="Q16" s="28"/>
      <c r="R16" s="28"/>
      <c r="S16" s="28"/>
      <c r="T16" s="9">
        <v>8</v>
      </c>
      <c r="U16" s="11">
        <v>11</v>
      </c>
      <c r="V16" s="114">
        <v>20</v>
      </c>
      <c r="W16" s="38">
        <v>23</v>
      </c>
      <c r="X16" s="134">
        <v>32</v>
      </c>
      <c r="Y16" s="58">
        <v>35</v>
      </c>
      <c r="AE16" s="19"/>
    </row>
    <row r="17" spans="2:31" x14ac:dyDescent="0.45">
      <c r="B17" s="134">
        <v>31</v>
      </c>
      <c r="C17" s="134">
        <v>32</v>
      </c>
      <c r="D17" s="134">
        <v>33</v>
      </c>
      <c r="E17" s="58">
        <v>34</v>
      </c>
      <c r="F17" s="58">
        <v>35</v>
      </c>
      <c r="G17" s="58">
        <v>36</v>
      </c>
      <c r="K17" s="58">
        <v>28</v>
      </c>
      <c r="L17" s="58">
        <v>29</v>
      </c>
      <c r="M17" s="58">
        <v>30</v>
      </c>
      <c r="N17" s="58">
        <v>34</v>
      </c>
      <c r="O17" s="58">
        <v>35</v>
      </c>
      <c r="P17" s="58">
        <v>36</v>
      </c>
      <c r="Q17" s="28"/>
      <c r="R17" s="28"/>
      <c r="S17" s="28"/>
      <c r="T17" s="9">
        <v>9</v>
      </c>
      <c r="U17" s="11">
        <v>12</v>
      </c>
      <c r="V17" s="114">
        <v>21</v>
      </c>
      <c r="W17" s="38">
        <v>24</v>
      </c>
      <c r="X17" s="134">
        <v>33</v>
      </c>
      <c r="Y17" s="58">
        <v>36</v>
      </c>
      <c r="AE17" s="19"/>
    </row>
    <row r="18" spans="2:31" ht="10.5" customHeight="1" x14ac:dyDescent="0.45">
      <c r="B18" s="21"/>
      <c r="C18" s="22"/>
      <c r="D18" s="22"/>
      <c r="E18" s="22"/>
      <c r="F18" s="22"/>
      <c r="G18" s="22"/>
      <c r="H18" s="22"/>
      <c r="I18" s="22"/>
      <c r="J18" s="22"/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22"/>
      <c r="AA18" s="22"/>
      <c r="AB18" s="22"/>
      <c r="AC18" s="22"/>
      <c r="AD18" s="22"/>
      <c r="AE18" s="23"/>
    </row>
    <row r="19" spans="2:31" x14ac:dyDescent="0.45">
      <c r="B19" s="35"/>
      <c r="C19" s="16"/>
      <c r="D19" s="16"/>
      <c r="E19" s="16"/>
      <c r="F19" s="16"/>
      <c r="G19" s="16"/>
      <c r="H19" s="16"/>
      <c r="I19" s="16"/>
      <c r="J19" s="16"/>
      <c r="K19" s="16"/>
      <c r="L19" s="117"/>
      <c r="M19" s="117"/>
      <c r="N19" s="117"/>
      <c r="O19" s="24" t="s">
        <v>582</v>
      </c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6"/>
      <c r="AA19" s="16"/>
      <c r="AB19" s="16"/>
      <c r="AC19" s="16"/>
      <c r="AD19" s="16"/>
      <c r="AE19" s="17"/>
    </row>
    <row r="20" spans="2:31" x14ac:dyDescent="0.45">
      <c r="B20" s="20"/>
      <c r="K20" s="27" t="s">
        <v>477</v>
      </c>
      <c r="L20" s="28"/>
      <c r="M20" s="28"/>
      <c r="N20" s="28"/>
      <c r="O20" s="28"/>
      <c r="P20" s="28"/>
      <c r="Q20" s="28"/>
      <c r="R20" s="28"/>
      <c r="S20" s="28"/>
      <c r="T20" s="27" t="s">
        <v>478</v>
      </c>
      <c r="U20" s="28"/>
      <c r="V20" s="28"/>
      <c r="W20" s="28"/>
      <c r="X20" s="28"/>
      <c r="Y20" s="28"/>
      <c r="AE20" s="19"/>
    </row>
    <row r="21" spans="2:31" x14ac:dyDescent="0.45">
      <c r="B21" s="20"/>
      <c r="K21" s="9" cm="1">
        <f t="array" ref="K21:P26">BlockMapλ(MatrixA,2,3,,TRUE)</f>
        <v>1</v>
      </c>
      <c r="L21" s="9">
        <v>2</v>
      </c>
      <c r="M21" s="9">
        <v>3</v>
      </c>
      <c r="N21" s="9">
        <v>7</v>
      </c>
      <c r="O21" s="9">
        <v>8</v>
      </c>
      <c r="P21" s="9">
        <v>9</v>
      </c>
      <c r="Q21" s="28"/>
      <c r="R21" s="28"/>
      <c r="S21" s="28"/>
      <c r="T21" s="9" cm="1">
        <f t="array" ref="T21:Y26">BlockMapλ(MatrixA,2,3,TRUE,TRUE)</f>
        <v>1</v>
      </c>
      <c r="U21" s="114">
        <v>13</v>
      </c>
      <c r="V21" s="134">
        <v>25</v>
      </c>
      <c r="W21" s="11">
        <v>4</v>
      </c>
      <c r="X21" s="38">
        <v>16</v>
      </c>
      <c r="Y21" s="58">
        <v>28</v>
      </c>
      <c r="AE21" s="19"/>
    </row>
    <row r="22" spans="2:31" x14ac:dyDescent="0.45">
      <c r="B22" s="20"/>
      <c r="K22" s="114">
        <v>13</v>
      </c>
      <c r="L22" s="114">
        <v>14</v>
      </c>
      <c r="M22" s="114">
        <v>15</v>
      </c>
      <c r="N22" s="114">
        <v>19</v>
      </c>
      <c r="O22" s="114">
        <v>20</v>
      </c>
      <c r="P22" s="114">
        <v>21</v>
      </c>
      <c r="Q22" s="28"/>
      <c r="R22" s="28"/>
      <c r="S22" s="28"/>
      <c r="T22" s="9">
        <v>2</v>
      </c>
      <c r="U22" s="114">
        <v>14</v>
      </c>
      <c r="V22" s="134">
        <v>26</v>
      </c>
      <c r="W22" s="11">
        <v>5</v>
      </c>
      <c r="X22" s="38">
        <v>17</v>
      </c>
      <c r="Y22" s="58">
        <v>29</v>
      </c>
      <c r="AE22" s="19"/>
    </row>
    <row r="23" spans="2:31" x14ac:dyDescent="0.45">
      <c r="B23" s="20"/>
      <c r="K23" s="134">
        <v>25</v>
      </c>
      <c r="L23" s="134">
        <v>26</v>
      </c>
      <c r="M23" s="134">
        <v>27</v>
      </c>
      <c r="N23" s="134">
        <v>31</v>
      </c>
      <c r="O23" s="134">
        <v>32</v>
      </c>
      <c r="P23" s="134">
        <v>33</v>
      </c>
      <c r="Q23" s="28"/>
      <c r="R23" s="28"/>
      <c r="S23" s="28"/>
      <c r="T23" s="9">
        <v>3</v>
      </c>
      <c r="U23" s="114">
        <v>15</v>
      </c>
      <c r="V23" s="134">
        <v>27</v>
      </c>
      <c r="W23" s="11">
        <v>6</v>
      </c>
      <c r="X23" s="38">
        <v>18</v>
      </c>
      <c r="Y23" s="58">
        <v>30</v>
      </c>
      <c r="AE23" s="19"/>
    </row>
    <row r="24" spans="2:31" x14ac:dyDescent="0.45">
      <c r="B24" s="20"/>
      <c r="K24" s="11">
        <v>4</v>
      </c>
      <c r="L24" s="11">
        <v>5</v>
      </c>
      <c r="M24" s="11">
        <v>6</v>
      </c>
      <c r="N24" s="11">
        <v>10</v>
      </c>
      <c r="O24" s="11">
        <v>11</v>
      </c>
      <c r="P24" s="11">
        <v>12</v>
      </c>
      <c r="Q24" s="28"/>
      <c r="R24" s="28"/>
      <c r="S24" s="28"/>
      <c r="T24" s="9">
        <v>7</v>
      </c>
      <c r="U24" s="114">
        <v>19</v>
      </c>
      <c r="V24" s="134">
        <v>31</v>
      </c>
      <c r="W24" s="11">
        <v>10</v>
      </c>
      <c r="X24" s="38">
        <v>22</v>
      </c>
      <c r="Y24" s="58">
        <v>34</v>
      </c>
      <c r="AE24" s="19"/>
    </row>
    <row r="25" spans="2:31" x14ac:dyDescent="0.45">
      <c r="B25" s="20"/>
      <c r="K25" s="38">
        <v>16</v>
      </c>
      <c r="L25" s="38">
        <v>17</v>
      </c>
      <c r="M25" s="38">
        <v>18</v>
      </c>
      <c r="N25" s="38">
        <v>22</v>
      </c>
      <c r="O25" s="38">
        <v>23</v>
      </c>
      <c r="P25" s="38">
        <v>24</v>
      </c>
      <c r="Q25" s="28"/>
      <c r="R25" s="28"/>
      <c r="S25" s="28"/>
      <c r="T25" s="9">
        <v>8</v>
      </c>
      <c r="U25" s="114">
        <v>20</v>
      </c>
      <c r="V25" s="134">
        <v>32</v>
      </c>
      <c r="W25" s="11">
        <v>11</v>
      </c>
      <c r="X25" s="38">
        <v>23</v>
      </c>
      <c r="Y25" s="58">
        <v>35</v>
      </c>
      <c r="AE25" s="19"/>
    </row>
    <row r="26" spans="2:31" x14ac:dyDescent="0.45">
      <c r="B26" s="20"/>
      <c r="K26" s="58">
        <v>28</v>
      </c>
      <c r="L26" s="58">
        <v>29</v>
      </c>
      <c r="M26" s="58">
        <v>30</v>
      </c>
      <c r="N26" s="58">
        <v>34</v>
      </c>
      <c r="O26" s="58">
        <v>35</v>
      </c>
      <c r="P26" s="58">
        <v>36</v>
      </c>
      <c r="Q26" s="28"/>
      <c r="R26" s="28"/>
      <c r="S26" s="28"/>
      <c r="T26" s="9">
        <v>9</v>
      </c>
      <c r="U26" s="114">
        <v>21</v>
      </c>
      <c r="V26" s="134">
        <v>33</v>
      </c>
      <c r="W26" s="11">
        <v>12</v>
      </c>
      <c r="X26" s="38">
        <v>24</v>
      </c>
      <c r="Y26" s="58">
        <v>36</v>
      </c>
      <c r="AE26" s="19"/>
    </row>
    <row r="27" spans="2:31" x14ac:dyDescent="0.45">
      <c r="B27" s="21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3"/>
    </row>
    <row r="28" spans="2:31" x14ac:dyDescent="0.45">
      <c r="B28" s="20"/>
      <c r="K28" s="26" t="s">
        <v>470</v>
      </c>
      <c r="T28" s="26" t="s">
        <v>471</v>
      </c>
      <c r="AE28" s="19"/>
    </row>
    <row r="29" spans="2:31" x14ac:dyDescent="0.45">
      <c r="B29" s="137" t="s">
        <v>479</v>
      </c>
      <c r="K29" s="27" t="s">
        <v>480</v>
      </c>
      <c r="T29" s="27" t="s">
        <v>481</v>
      </c>
      <c r="AE29" s="19"/>
    </row>
    <row r="30" spans="2:31" x14ac:dyDescent="0.45">
      <c r="B30" s="76" cm="1">
        <f t="array" ref="B30:I33">_xlfn.SEQUENCE(4,8)</f>
        <v>1</v>
      </c>
      <c r="C30" s="76">
        <v>2</v>
      </c>
      <c r="D30" s="76">
        <v>3</v>
      </c>
      <c r="E30" s="76">
        <v>4</v>
      </c>
      <c r="F30" s="136">
        <v>5</v>
      </c>
      <c r="G30" s="136">
        <v>6</v>
      </c>
      <c r="H30" s="136">
        <v>7</v>
      </c>
      <c r="I30" s="136">
        <v>8</v>
      </c>
      <c r="J30" s="28"/>
      <c r="K30" s="76" cm="1">
        <f t="array" ref="K30:R33">BlockMapλ(MatrixB,2,4)</f>
        <v>1</v>
      </c>
      <c r="L30" s="76">
        <v>2</v>
      </c>
      <c r="M30" s="76">
        <v>3</v>
      </c>
      <c r="N30" s="76">
        <v>4</v>
      </c>
      <c r="O30" s="76">
        <v>9</v>
      </c>
      <c r="P30" s="76">
        <v>10</v>
      </c>
      <c r="Q30" s="76">
        <v>11</v>
      </c>
      <c r="R30" s="76">
        <v>12</v>
      </c>
      <c r="S30" s="28"/>
      <c r="T30" s="76" cm="1">
        <f t="array" ref="T30:W37">BlockMapλ(MatrixB,2,4,TRUE)</f>
        <v>1</v>
      </c>
      <c r="U30" s="136">
        <v>5</v>
      </c>
      <c r="V30" s="129">
        <v>17</v>
      </c>
      <c r="W30" s="135">
        <v>21</v>
      </c>
      <c r="AE30" s="19"/>
    </row>
    <row r="31" spans="2:31" x14ac:dyDescent="0.45">
      <c r="B31" s="76">
        <v>9</v>
      </c>
      <c r="C31" s="76">
        <v>10</v>
      </c>
      <c r="D31" s="76">
        <v>11</v>
      </c>
      <c r="E31" s="76">
        <v>12</v>
      </c>
      <c r="F31" s="136">
        <v>13</v>
      </c>
      <c r="G31" s="136">
        <v>14</v>
      </c>
      <c r="H31" s="136">
        <v>15</v>
      </c>
      <c r="I31" s="136">
        <v>16</v>
      </c>
      <c r="J31" s="28"/>
      <c r="K31" s="136">
        <v>5</v>
      </c>
      <c r="L31" s="136">
        <v>6</v>
      </c>
      <c r="M31" s="136">
        <v>7</v>
      </c>
      <c r="N31" s="136">
        <v>8</v>
      </c>
      <c r="O31" s="136">
        <v>13</v>
      </c>
      <c r="P31" s="136">
        <v>14</v>
      </c>
      <c r="Q31" s="136">
        <v>15</v>
      </c>
      <c r="R31" s="136">
        <v>16</v>
      </c>
      <c r="S31" s="28"/>
      <c r="T31" s="76">
        <v>2</v>
      </c>
      <c r="U31" s="136">
        <v>6</v>
      </c>
      <c r="V31" s="129">
        <v>18</v>
      </c>
      <c r="W31" s="135">
        <v>22</v>
      </c>
      <c r="AE31" s="19"/>
    </row>
    <row r="32" spans="2:31" x14ac:dyDescent="0.45">
      <c r="B32" s="129">
        <v>17</v>
      </c>
      <c r="C32" s="129">
        <v>18</v>
      </c>
      <c r="D32" s="129">
        <v>19</v>
      </c>
      <c r="E32" s="129">
        <v>20</v>
      </c>
      <c r="F32" s="135">
        <v>21</v>
      </c>
      <c r="G32" s="135">
        <v>22</v>
      </c>
      <c r="H32" s="135">
        <v>23</v>
      </c>
      <c r="I32" s="135">
        <v>24</v>
      </c>
      <c r="J32" s="28"/>
      <c r="K32" s="129">
        <v>17</v>
      </c>
      <c r="L32" s="129">
        <v>18</v>
      </c>
      <c r="M32" s="129">
        <v>19</v>
      </c>
      <c r="N32" s="129">
        <v>20</v>
      </c>
      <c r="O32" s="129">
        <v>25</v>
      </c>
      <c r="P32" s="129">
        <v>26</v>
      </c>
      <c r="Q32" s="129">
        <v>27</v>
      </c>
      <c r="R32" s="129">
        <v>28</v>
      </c>
      <c r="S32" s="28"/>
      <c r="T32" s="76">
        <v>3</v>
      </c>
      <c r="U32" s="136">
        <v>7</v>
      </c>
      <c r="V32" s="129">
        <v>19</v>
      </c>
      <c r="W32" s="135">
        <v>23</v>
      </c>
      <c r="AE32" s="19"/>
    </row>
    <row r="33" spans="2:31" x14ac:dyDescent="0.45">
      <c r="B33" s="129">
        <v>25</v>
      </c>
      <c r="C33" s="129">
        <v>26</v>
      </c>
      <c r="D33" s="129">
        <v>27</v>
      </c>
      <c r="E33" s="129">
        <v>28</v>
      </c>
      <c r="F33" s="135">
        <v>29</v>
      </c>
      <c r="G33" s="135">
        <v>30</v>
      </c>
      <c r="H33" s="135">
        <v>31</v>
      </c>
      <c r="I33" s="135">
        <v>32</v>
      </c>
      <c r="J33" s="28"/>
      <c r="K33" s="135">
        <v>21</v>
      </c>
      <c r="L33" s="135">
        <v>22</v>
      </c>
      <c r="M33" s="135">
        <v>23</v>
      </c>
      <c r="N33" s="135">
        <v>24</v>
      </c>
      <c r="O33" s="135">
        <v>29</v>
      </c>
      <c r="P33" s="135">
        <v>30</v>
      </c>
      <c r="Q33" s="135">
        <v>31</v>
      </c>
      <c r="R33" s="135">
        <v>32</v>
      </c>
      <c r="S33" s="28"/>
      <c r="T33" s="76">
        <v>4</v>
      </c>
      <c r="U33" s="136">
        <v>8</v>
      </c>
      <c r="V33" s="129">
        <v>20</v>
      </c>
      <c r="W33" s="135">
        <v>24</v>
      </c>
      <c r="AE33" s="19"/>
    </row>
    <row r="34" spans="2:31" x14ac:dyDescent="0.45">
      <c r="B34" s="126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76">
        <v>9</v>
      </c>
      <c r="U34" s="136">
        <v>13</v>
      </c>
      <c r="V34" s="129">
        <v>25</v>
      </c>
      <c r="W34" s="135">
        <v>29</v>
      </c>
      <c r="AE34" s="19"/>
    </row>
    <row r="35" spans="2:31" x14ac:dyDescent="0.45">
      <c r="B35" s="126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76">
        <v>10</v>
      </c>
      <c r="U35" s="136">
        <v>14</v>
      </c>
      <c r="V35" s="129">
        <v>26</v>
      </c>
      <c r="W35" s="135">
        <v>30</v>
      </c>
      <c r="AE35" s="19"/>
    </row>
    <row r="36" spans="2:31" x14ac:dyDescent="0.45">
      <c r="B36" s="126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76">
        <v>11</v>
      </c>
      <c r="U36" s="136">
        <v>15</v>
      </c>
      <c r="V36" s="129">
        <v>27</v>
      </c>
      <c r="W36" s="135">
        <v>31</v>
      </c>
      <c r="AE36" s="19"/>
    </row>
    <row r="37" spans="2:31" x14ac:dyDescent="0.45">
      <c r="B37" s="126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76">
        <v>12</v>
      </c>
      <c r="U37" s="136">
        <v>16</v>
      </c>
      <c r="V37" s="129">
        <v>28</v>
      </c>
      <c r="W37" s="135">
        <v>32</v>
      </c>
      <c r="AE37" s="19"/>
    </row>
    <row r="38" spans="2:31" ht="9" customHeight="1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3"/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43C74-1CA9-4B72-B9CB-93AB3B89DBA2}">
  <sheetPr codeName="Sheet18">
    <tabColor rgb="FFF2D5A0"/>
  </sheetPr>
  <dimension ref="A1:Q38"/>
  <sheetViews>
    <sheetView workbookViewId="0"/>
  </sheetViews>
  <sheetFormatPr defaultRowHeight="16.5" x14ac:dyDescent="0.45"/>
  <cols>
    <col min="1" max="1" width="5" customWidth="1"/>
    <col min="5" max="5" width="6.4140625" customWidth="1"/>
    <col min="17" max="17" width="2.75" customWidth="1"/>
  </cols>
  <sheetData>
    <row r="1" spans="1:17" x14ac:dyDescent="0.45">
      <c r="A1" s="7"/>
    </row>
    <row r="2" spans="1:17" x14ac:dyDescent="0.45">
      <c r="B2" s="15" t="s">
        <v>482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7"/>
    </row>
    <row r="3" spans="1:17" x14ac:dyDescent="0.45">
      <c r="B3" s="18" t="s">
        <v>483</v>
      </c>
      <c r="Q3" s="19"/>
    </row>
    <row r="4" spans="1:17" x14ac:dyDescent="0.45">
      <c r="B4" s="18" t="s">
        <v>484</v>
      </c>
      <c r="Q4" s="19"/>
    </row>
    <row r="5" spans="1:17" x14ac:dyDescent="0.45">
      <c r="B5" s="104" t="s">
        <v>260</v>
      </c>
      <c r="Q5" s="19"/>
    </row>
    <row r="6" spans="1:17" x14ac:dyDescent="0.45">
      <c r="B6" s="18" t="s">
        <v>485</v>
      </c>
      <c r="Q6" s="19"/>
    </row>
    <row r="7" spans="1:17" x14ac:dyDescent="0.45">
      <c r="B7" s="20"/>
      <c r="Q7" s="19"/>
    </row>
    <row r="8" spans="1:17" x14ac:dyDescent="0.45">
      <c r="B8" s="35"/>
      <c r="C8" s="16"/>
      <c r="D8" s="16"/>
      <c r="E8" s="16"/>
      <c r="F8" s="16"/>
      <c r="G8" s="16"/>
      <c r="H8" s="16"/>
      <c r="I8" s="24" t="s">
        <v>498</v>
      </c>
      <c r="J8" s="16"/>
      <c r="K8" s="16"/>
      <c r="L8" s="16"/>
      <c r="M8" s="16"/>
      <c r="N8" s="16"/>
      <c r="O8" s="16"/>
      <c r="P8" s="16"/>
      <c r="Q8" s="17"/>
    </row>
    <row r="9" spans="1:17" x14ac:dyDescent="0.45">
      <c r="B9" s="96" t="s">
        <v>487</v>
      </c>
      <c r="F9" s="31" t="s">
        <v>486</v>
      </c>
      <c r="I9" s="31" t="s">
        <v>494</v>
      </c>
      <c r="L9" s="31" t="s">
        <v>495</v>
      </c>
      <c r="Q9" s="19"/>
    </row>
    <row r="10" spans="1:17" x14ac:dyDescent="0.45">
      <c r="B10" s="10">
        <v>8</v>
      </c>
      <c r="C10" s="10">
        <v>5</v>
      </c>
      <c r="D10" s="10">
        <v>4</v>
      </c>
      <c r="F10" s="10">
        <v>1</v>
      </c>
      <c r="G10" s="10">
        <v>2</v>
      </c>
      <c r="I10" s="138">
        <v>8</v>
      </c>
      <c r="J10" s="138">
        <v>5</v>
      </c>
      <c r="L10" s="83">
        <v>5</v>
      </c>
      <c r="M10" s="83">
        <v>4</v>
      </c>
      <c r="Q10" s="19"/>
    </row>
    <row r="11" spans="1:17" x14ac:dyDescent="0.45">
      <c r="B11" s="10">
        <v>7</v>
      </c>
      <c r="C11" s="10">
        <v>2</v>
      </c>
      <c r="D11" s="10">
        <v>5</v>
      </c>
      <c r="F11" s="10">
        <v>3</v>
      </c>
      <c r="G11" s="10">
        <v>4</v>
      </c>
      <c r="I11" s="138">
        <v>7</v>
      </c>
      <c r="J11" s="138">
        <v>2</v>
      </c>
      <c r="L11" s="83">
        <v>2</v>
      </c>
      <c r="M11" s="83">
        <v>5</v>
      </c>
      <c r="Q11" s="19"/>
    </row>
    <row r="12" spans="1:17" x14ac:dyDescent="0.45">
      <c r="B12" s="10">
        <v>6</v>
      </c>
      <c r="C12" s="10">
        <v>9</v>
      </c>
      <c r="D12" s="10">
        <v>3</v>
      </c>
      <c r="Q12" s="19"/>
    </row>
    <row r="13" spans="1:17" x14ac:dyDescent="0.45">
      <c r="B13" s="126"/>
      <c r="C13" s="28"/>
      <c r="I13" s="31" t="s">
        <v>496</v>
      </c>
      <c r="L13" s="31" t="s">
        <v>497</v>
      </c>
      <c r="Q13" s="19"/>
    </row>
    <row r="14" spans="1:17" x14ac:dyDescent="0.45">
      <c r="B14" s="126"/>
      <c r="C14" s="28"/>
      <c r="I14" s="84">
        <v>7</v>
      </c>
      <c r="J14" s="84">
        <v>2</v>
      </c>
      <c r="L14" s="45">
        <v>2</v>
      </c>
      <c r="M14" s="45">
        <v>5</v>
      </c>
      <c r="Q14" s="19"/>
    </row>
    <row r="15" spans="1:17" x14ac:dyDescent="0.45">
      <c r="B15" s="126"/>
      <c r="C15" s="28"/>
      <c r="I15" s="84">
        <v>6</v>
      </c>
      <c r="J15" s="84">
        <v>9</v>
      </c>
      <c r="L15" s="45">
        <v>9</v>
      </c>
      <c r="M15" s="45">
        <v>3</v>
      </c>
      <c r="Q15" s="19"/>
    </row>
    <row r="16" spans="1:17" x14ac:dyDescent="0.45">
      <c r="B16" s="126"/>
      <c r="C16" s="28"/>
      <c r="Q16" s="19"/>
    </row>
    <row r="17" spans="2:17" x14ac:dyDescent="0.45">
      <c r="B17" s="33" t="s">
        <v>493</v>
      </c>
      <c r="C17" s="28"/>
      <c r="F17" s="26" t="s">
        <v>492</v>
      </c>
      <c r="J17" s="26" t="s">
        <v>491</v>
      </c>
      <c r="Q17" s="19"/>
    </row>
    <row r="18" spans="2:17" x14ac:dyDescent="0.45">
      <c r="B18" s="34" t="s">
        <v>488</v>
      </c>
      <c r="F18" s="27" t="s">
        <v>489</v>
      </c>
      <c r="J18" s="27" t="s">
        <v>490</v>
      </c>
      <c r="Q18" s="19"/>
    </row>
    <row r="19" spans="2:17" x14ac:dyDescent="0.45">
      <c r="B19" s="10" cm="1">
        <f t="array" ref="B19:C20">Convolveλ(ConvolutionMatrix,Kernel)</f>
        <v>47</v>
      </c>
      <c r="C19" s="10">
        <v>39</v>
      </c>
      <c r="D19" s="28"/>
      <c r="E19" s="28"/>
      <c r="F19" s="138" cm="1">
        <f t="array" ref="F19:G20">Convolveλ(ConvolutionMatrix,Kernel,_xleta.MAX)</f>
        <v>8</v>
      </c>
      <c r="G19" s="83">
        <v>5</v>
      </c>
      <c r="H19" s="28"/>
      <c r="I19" s="28"/>
      <c r="J19" s="138" cm="1">
        <f t="array" ref="J19:K20">Convolveλ(ConvolutionMatrix,Kernel,_xleta.SUM)</f>
        <v>22</v>
      </c>
      <c r="K19" s="83">
        <v>16</v>
      </c>
      <c r="Q19" s="19"/>
    </row>
    <row r="20" spans="2:17" x14ac:dyDescent="0.45">
      <c r="B20" s="10">
        <v>65</v>
      </c>
      <c r="C20" s="10">
        <v>51</v>
      </c>
      <c r="D20" s="28"/>
      <c r="E20" s="28"/>
      <c r="F20" s="84">
        <v>9</v>
      </c>
      <c r="G20" s="45">
        <v>9</v>
      </c>
      <c r="H20" s="28"/>
      <c r="I20" s="28"/>
      <c r="J20" s="84">
        <v>24</v>
      </c>
      <c r="K20" s="45">
        <v>19</v>
      </c>
      <c r="Q20" s="19"/>
    </row>
    <row r="21" spans="2:17" ht="17" thickBot="1" x14ac:dyDescent="0.5">
      <c r="B21" s="20"/>
      <c r="Q21" s="19"/>
    </row>
    <row r="22" spans="2:17" ht="17" thickTop="1" x14ac:dyDescent="0.45">
      <c r="B22" s="141"/>
      <c r="C22" s="142"/>
      <c r="D22" s="142"/>
      <c r="E22" s="142"/>
      <c r="F22" s="142"/>
      <c r="G22" s="142"/>
      <c r="H22" s="142"/>
      <c r="I22" s="142"/>
      <c r="J22" s="142"/>
      <c r="K22" s="143" t="s">
        <v>509</v>
      </c>
      <c r="L22" s="142"/>
      <c r="M22" s="142"/>
      <c r="N22" s="142"/>
      <c r="O22" s="142"/>
      <c r="P22" s="142"/>
      <c r="Q22" s="144"/>
    </row>
    <row r="23" spans="2:17" x14ac:dyDescent="0.45">
      <c r="B23" s="113" t="s">
        <v>499</v>
      </c>
      <c r="H23" s="25" t="s">
        <v>500</v>
      </c>
      <c r="L23" s="25" t="s">
        <v>501</v>
      </c>
      <c r="Q23" s="19"/>
    </row>
    <row r="24" spans="2:17" x14ac:dyDescent="0.45">
      <c r="B24" s="10">
        <v>3</v>
      </c>
      <c r="C24" s="10">
        <v>3</v>
      </c>
      <c r="D24" s="10">
        <v>2</v>
      </c>
      <c r="E24" s="10">
        <v>1</v>
      </c>
      <c r="F24" s="10">
        <v>0</v>
      </c>
      <c r="H24" s="10">
        <v>6.25E-2</v>
      </c>
      <c r="I24" s="10">
        <v>0.125</v>
      </c>
      <c r="J24" s="10">
        <v>6.25E-2</v>
      </c>
      <c r="L24" s="10">
        <v>-1</v>
      </c>
      <c r="M24" s="10">
        <v>-1</v>
      </c>
      <c r="N24" s="10">
        <v>-1</v>
      </c>
      <c r="Q24" s="19"/>
    </row>
    <row r="25" spans="2:17" x14ac:dyDescent="0.45">
      <c r="B25" s="10">
        <v>0</v>
      </c>
      <c r="C25" s="10">
        <v>0</v>
      </c>
      <c r="D25" s="10">
        <v>1</v>
      </c>
      <c r="E25" s="10">
        <v>3</v>
      </c>
      <c r="F25" s="10">
        <v>1</v>
      </c>
      <c r="H25" s="10">
        <v>0.125</v>
      </c>
      <c r="I25" s="10">
        <v>0.25</v>
      </c>
      <c r="J25" s="10">
        <v>0.125</v>
      </c>
      <c r="L25" s="10">
        <v>-1</v>
      </c>
      <c r="M25" s="10">
        <v>8</v>
      </c>
      <c r="N25" s="10">
        <v>-1</v>
      </c>
      <c r="Q25" s="19"/>
    </row>
    <row r="26" spans="2:17" x14ac:dyDescent="0.45">
      <c r="B26" s="10">
        <v>3</v>
      </c>
      <c r="C26" s="10">
        <v>1</v>
      </c>
      <c r="D26" s="10">
        <v>2</v>
      </c>
      <c r="E26" s="10">
        <v>2</v>
      </c>
      <c r="F26" s="10">
        <v>3</v>
      </c>
      <c r="H26" s="10">
        <v>6.25E-2</v>
      </c>
      <c r="I26" s="10">
        <v>0.125</v>
      </c>
      <c r="J26" s="10">
        <v>6.25E-2</v>
      </c>
      <c r="L26" s="10">
        <v>-1</v>
      </c>
      <c r="M26" s="10">
        <v>-1</v>
      </c>
      <c r="N26" s="10">
        <v>-1</v>
      </c>
      <c r="Q26" s="19"/>
    </row>
    <row r="27" spans="2:17" x14ac:dyDescent="0.45">
      <c r="B27" s="10">
        <v>2</v>
      </c>
      <c r="C27" s="10">
        <v>0</v>
      </c>
      <c r="D27" s="10">
        <v>0</v>
      </c>
      <c r="E27" s="10">
        <v>2</v>
      </c>
      <c r="F27" s="10">
        <v>2</v>
      </c>
      <c r="Q27" s="19"/>
    </row>
    <row r="28" spans="2:17" x14ac:dyDescent="0.45">
      <c r="B28" s="10">
        <v>2</v>
      </c>
      <c r="C28" s="10">
        <v>0</v>
      </c>
      <c r="D28" s="10">
        <v>0</v>
      </c>
      <c r="E28" s="10">
        <v>0</v>
      </c>
      <c r="F28" s="10">
        <v>1</v>
      </c>
      <c r="H28" s="25" t="s">
        <v>502</v>
      </c>
      <c r="L28" s="25" t="s">
        <v>503</v>
      </c>
      <c r="Q28" s="19"/>
    </row>
    <row r="29" spans="2:17" x14ac:dyDescent="0.45">
      <c r="B29" s="20"/>
      <c r="H29" s="10">
        <v>-2</v>
      </c>
      <c r="I29" s="10">
        <v>-1</v>
      </c>
      <c r="J29" s="10">
        <v>0</v>
      </c>
      <c r="L29" s="10">
        <v>0</v>
      </c>
      <c r="M29" s="10">
        <v>-1</v>
      </c>
      <c r="N29" s="10">
        <v>0</v>
      </c>
      <c r="Q29" s="19"/>
    </row>
    <row r="30" spans="2:17" x14ac:dyDescent="0.45">
      <c r="B30" s="20"/>
      <c r="H30" s="10">
        <v>-1</v>
      </c>
      <c r="I30" s="10">
        <v>1</v>
      </c>
      <c r="J30" s="10">
        <v>1</v>
      </c>
      <c r="L30" s="10">
        <v>-1</v>
      </c>
      <c r="M30" s="10">
        <v>5</v>
      </c>
      <c r="N30" s="10">
        <v>-1</v>
      </c>
      <c r="Q30" s="19"/>
    </row>
    <row r="31" spans="2:17" x14ac:dyDescent="0.45">
      <c r="B31" s="20"/>
      <c r="H31" s="10">
        <v>0</v>
      </c>
      <c r="I31" s="10">
        <v>2</v>
      </c>
      <c r="J31" s="10">
        <v>1</v>
      </c>
      <c r="L31" s="10">
        <v>0</v>
      </c>
      <c r="M31" s="10">
        <v>-1</v>
      </c>
      <c r="N31" s="10">
        <v>0</v>
      </c>
      <c r="Q31" s="19"/>
    </row>
    <row r="32" spans="2:17" x14ac:dyDescent="0.45">
      <c r="B32" s="96" t="s">
        <v>508</v>
      </c>
      <c r="Q32" s="19"/>
    </row>
    <row r="33" spans="2:17" x14ac:dyDescent="0.45">
      <c r="B33" s="139" t="s">
        <v>500</v>
      </c>
      <c r="F33" s="140" t="s">
        <v>501</v>
      </c>
      <c r="J33" s="140" t="s">
        <v>502</v>
      </c>
      <c r="N33" s="140" t="s">
        <v>503</v>
      </c>
      <c r="Q33" s="19"/>
    </row>
    <row r="34" spans="2:17" x14ac:dyDescent="0.45">
      <c r="B34" s="34" t="s">
        <v>504</v>
      </c>
      <c r="F34" s="27" t="s">
        <v>505</v>
      </c>
      <c r="J34" s="27" t="s">
        <v>506</v>
      </c>
      <c r="N34" s="27" t="s">
        <v>507</v>
      </c>
      <c r="Q34" s="19"/>
    </row>
    <row r="35" spans="2:17" x14ac:dyDescent="0.45">
      <c r="B35" s="10" cm="1">
        <f t="array" ref="B35:D37">Convolveλ(ImageMatrix,Blur)</f>
        <v>1.25</v>
      </c>
      <c r="C35" s="10">
        <v>1.5625</v>
      </c>
      <c r="D35" s="10">
        <v>1.8125</v>
      </c>
      <c r="F35" s="10" cm="1">
        <f t="array" ref="F35:H37">Convolveλ(ImageMatrix,Outline)</f>
        <v>-15</v>
      </c>
      <c r="G35" s="10">
        <v>-6</v>
      </c>
      <c r="H35" s="10">
        <v>12</v>
      </c>
      <c r="J35" s="10" cm="1">
        <f t="array" ref="J35:L37">Convolveλ(ImageMatrix,Emboss)</f>
        <v>-4</v>
      </c>
      <c r="K35" s="10">
        <v>2</v>
      </c>
      <c r="L35" s="10">
        <v>5</v>
      </c>
      <c r="N35" s="10" cm="1">
        <f t="array" ref="N35:P37">Convolveλ(ImageMatrix,Sharpen)</f>
        <v>-5</v>
      </c>
      <c r="O35" s="10">
        <v>-2</v>
      </c>
      <c r="P35" s="10">
        <v>10</v>
      </c>
      <c r="Q35" s="19"/>
    </row>
    <row r="36" spans="2:17" x14ac:dyDescent="0.45">
      <c r="B36" s="10">
        <v>1.0625</v>
      </c>
      <c r="C36" s="10">
        <v>1.3125</v>
      </c>
      <c r="D36" s="10">
        <v>2</v>
      </c>
      <c r="F36" s="10">
        <v>0</v>
      </c>
      <c r="G36" s="10">
        <v>7</v>
      </c>
      <c r="H36" s="10">
        <v>2</v>
      </c>
      <c r="J36" s="10">
        <v>0</v>
      </c>
      <c r="K36" s="10">
        <v>4</v>
      </c>
      <c r="L36" s="10">
        <v>4</v>
      </c>
      <c r="N36" s="10">
        <v>0</v>
      </c>
      <c r="O36" s="10">
        <v>6</v>
      </c>
      <c r="P36" s="10">
        <v>0</v>
      </c>
      <c r="Q36" s="19"/>
    </row>
    <row r="37" spans="2:17" x14ac:dyDescent="0.45">
      <c r="B37" s="10">
        <v>0.8125</v>
      </c>
      <c r="C37" s="10">
        <v>0.6875</v>
      </c>
      <c r="D37" s="10">
        <v>1.375</v>
      </c>
      <c r="F37" s="10">
        <v>-10</v>
      </c>
      <c r="G37" s="10">
        <v>-7</v>
      </c>
      <c r="H37" s="10">
        <v>6</v>
      </c>
      <c r="J37" s="10">
        <v>-9</v>
      </c>
      <c r="K37" s="10">
        <v>-2</v>
      </c>
      <c r="L37" s="10">
        <v>-1</v>
      </c>
      <c r="N37" s="10">
        <v>-3</v>
      </c>
      <c r="O37" s="10">
        <v>-4</v>
      </c>
      <c r="P37" s="10">
        <v>6</v>
      </c>
      <c r="Q37" s="19"/>
    </row>
    <row r="38" spans="2:17" x14ac:dyDescent="0.45">
      <c r="B38" s="21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1279B-C4DC-438A-82A6-43BEA9F016F7}">
  <sheetPr codeName="Sheet19">
    <tabColor rgb="FFF2D5A0"/>
  </sheetPr>
  <dimension ref="A1:U29"/>
  <sheetViews>
    <sheetView workbookViewId="0"/>
  </sheetViews>
  <sheetFormatPr defaultRowHeight="16.5" x14ac:dyDescent="0.45"/>
  <cols>
    <col min="1" max="1" width="5" customWidth="1"/>
    <col min="2" max="2" width="8.6640625" customWidth="1"/>
    <col min="3" max="3" width="7" bestFit="1" customWidth="1"/>
    <col min="4" max="4" width="8.1640625" customWidth="1"/>
    <col min="6" max="6" width="6.1640625" customWidth="1"/>
    <col min="8" max="8" width="7.08203125" bestFit="1" customWidth="1"/>
    <col min="10" max="10" width="4.5" bestFit="1" customWidth="1"/>
    <col min="11" max="11" width="7.75" customWidth="1"/>
    <col min="15" max="15" width="7.08203125" bestFit="1" customWidth="1"/>
    <col min="16" max="16" width="9.6640625" customWidth="1"/>
    <col min="20" max="20" width="6.58203125" customWidth="1"/>
    <col min="21" max="21" width="4.9140625" customWidth="1"/>
  </cols>
  <sheetData>
    <row r="1" spans="1:21" x14ac:dyDescent="0.45">
      <c r="A1" s="7"/>
    </row>
    <row r="2" spans="1:21" x14ac:dyDescent="0.45">
      <c r="B2" s="15" t="s">
        <v>510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7"/>
    </row>
    <row r="3" spans="1:21" x14ac:dyDescent="0.45">
      <c r="B3" s="18" t="s">
        <v>511</v>
      </c>
      <c r="U3" s="19"/>
    </row>
    <row r="4" spans="1:21" x14ac:dyDescent="0.45">
      <c r="B4" s="104" t="s">
        <v>260</v>
      </c>
      <c r="U4" s="19"/>
    </row>
    <row r="5" spans="1:21" x14ac:dyDescent="0.45">
      <c r="B5" s="18" t="s">
        <v>512</v>
      </c>
      <c r="U5" s="19"/>
    </row>
    <row r="6" spans="1:21" x14ac:dyDescent="0.45">
      <c r="B6" s="98" t="s">
        <v>513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3"/>
    </row>
    <row r="7" spans="1:21" x14ac:dyDescent="0.45">
      <c r="B7" s="35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7"/>
    </row>
    <row r="8" spans="1:21" x14ac:dyDescent="0.45">
      <c r="B8" s="96" t="s">
        <v>528</v>
      </c>
      <c r="G8" s="26" t="s">
        <v>530</v>
      </c>
      <c r="U8" s="19"/>
    </row>
    <row r="9" spans="1:21" x14ac:dyDescent="0.45">
      <c r="B9" s="179" t="s">
        <v>525</v>
      </c>
      <c r="C9" s="179" t="s">
        <v>526</v>
      </c>
      <c r="D9" s="179" t="s">
        <v>527</v>
      </c>
      <c r="G9" s="27" t="s">
        <v>529</v>
      </c>
      <c r="U9" s="19"/>
    </row>
    <row r="10" spans="1:21" x14ac:dyDescent="0.45">
      <c r="B10" s="179" t="s">
        <v>526</v>
      </c>
      <c r="C10" s="179" t="s">
        <v>525</v>
      </c>
      <c r="D10" s="179" t="s">
        <v>527</v>
      </c>
      <c r="G10" s="10" t="str" cm="1">
        <f t="array" ref="G10:J10">Foldλ(HelloWorld)</f>
        <v>Example</v>
      </c>
      <c r="H10" s="10" t="str">
        <v>Hello</v>
      </c>
      <c r="I10" s="10" t="str">
        <v>World</v>
      </c>
      <c r="J10" s="10">
        <v>3</v>
      </c>
      <c r="U10" s="19"/>
    </row>
    <row r="11" spans="1:21" x14ac:dyDescent="0.45">
      <c r="B11" s="179" t="s">
        <v>527</v>
      </c>
      <c r="C11" s="179" t="s">
        <v>526</v>
      </c>
      <c r="D11" s="179" t="s">
        <v>525</v>
      </c>
      <c r="U11" s="19"/>
    </row>
    <row r="12" spans="1:21" x14ac:dyDescent="0.45">
      <c r="B12" s="21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3"/>
    </row>
    <row r="13" spans="1:21" x14ac:dyDescent="0.45">
      <c r="B13" s="3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7"/>
    </row>
    <row r="14" spans="1:21" x14ac:dyDescent="0.45">
      <c r="B14" s="96" t="s">
        <v>517</v>
      </c>
      <c r="E14" s="146" t="s">
        <v>519</v>
      </c>
      <c r="G14" s="26" t="s">
        <v>533</v>
      </c>
      <c r="L14" s="26" t="s">
        <v>535</v>
      </c>
      <c r="Q14" s="26" t="s">
        <v>538</v>
      </c>
      <c r="U14" s="19"/>
    </row>
    <row r="15" spans="1:21" x14ac:dyDescent="0.45">
      <c r="B15" s="180" t="s">
        <v>140</v>
      </c>
      <c r="C15" s="180" t="s">
        <v>141</v>
      </c>
      <c r="D15" s="180" t="s">
        <v>142</v>
      </c>
      <c r="E15" s="180">
        <v>47</v>
      </c>
      <c r="G15" s="145" t="s">
        <v>518</v>
      </c>
      <c r="L15" s="145" t="s">
        <v>531</v>
      </c>
      <c r="Q15" s="145" t="s">
        <v>537</v>
      </c>
      <c r="U15" s="19"/>
    </row>
    <row r="16" spans="1:21" x14ac:dyDescent="0.45">
      <c r="B16" s="180" t="s">
        <v>141</v>
      </c>
      <c r="C16" s="180" t="s">
        <v>142</v>
      </c>
      <c r="D16" s="180" t="s">
        <v>140</v>
      </c>
      <c r="E16" s="180">
        <v>62</v>
      </c>
      <c r="G16" s="9" t="str" cm="1">
        <f t="array" ref="G16:J20">Foldλ(Colors)</f>
        <v>Blue</v>
      </c>
      <c r="H16" s="9" t="str">
        <v>Green</v>
      </c>
      <c r="I16" s="9" t="str">
        <v>Red</v>
      </c>
      <c r="J16" s="9">
        <v>3</v>
      </c>
      <c r="L16" s="9" t="str" cm="1">
        <f t="array" ref="L16:O20">Foldλ(Colors,ColorTotals,_xleta.AVERAGE)</f>
        <v>Blue</v>
      </c>
      <c r="M16" s="9" t="str">
        <v>Green</v>
      </c>
      <c r="N16" s="9" t="str">
        <v>Red</v>
      </c>
      <c r="O16" s="9">
        <v>46</v>
      </c>
      <c r="Q16" s="9" t="str" cm="1">
        <f t="array" ref="Q16:T20">Foldλ(Colors,ColorTotals,_xleta.MAX)</f>
        <v>Blue</v>
      </c>
      <c r="R16" s="9" t="str">
        <v>Green</v>
      </c>
      <c r="S16" s="9" t="str">
        <v>Red</v>
      </c>
      <c r="T16" s="9">
        <v>75</v>
      </c>
      <c r="U16" s="19"/>
    </row>
    <row r="17" spans="2:21" x14ac:dyDescent="0.45">
      <c r="B17" s="180" t="s">
        <v>514</v>
      </c>
      <c r="C17" s="180" t="s">
        <v>515</v>
      </c>
      <c r="D17" s="180" t="s">
        <v>516</v>
      </c>
      <c r="E17" s="180">
        <v>58</v>
      </c>
      <c r="G17" s="9" t="str">
        <v>Blue</v>
      </c>
      <c r="H17" s="9" t="str">
        <v>Red</v>
      </c>
      <c r="I17" s="9" t="str">
        <v>White</v>
      </c>
      <c r="J17" s="9">
        <v>2</v>
      </c>
      <c r="L17" s="9" t="str">
        <v>Blue</v>
      </c>
      <c r="M17" s="9" t="str">
        <v>Red</v>
      </c>
      <c r="N17" s="9" t="str">
        <v>White</v>
      </c>
      <c r="O17" s="9">
        <v>30</v>
      </c>
      <c r="Q17" s="9" t="str">
        <v>Blue</v>
      </c>
      <c r="R17" s="9" t="str">
        <v>Red</v>
      </c>
      <c r="S17" s="9" t="str">
        <v>White</v>
      </c>
      <c r="T17" s="9">
        <v>47</v>
      </c>
      <c r="U17" s="19"/>
    </row>
    <row r="18" spans="2:21" x14ac:dyDescent="0.45">
      <c r="B18" s="180" t="s">
        <v>516</v>
      </c>
      <c r="C18" s="180" t="s">
        <v>515</v>
      </c>
      <c r="D18" s="180" t="s">
        <v>514</v>
      </c>
      <c r="E18" s="180">
        <v>5</v>
      </c>
      <c r="G18" s="9" t="str">
        <v>Bronze</v>
      </c>
      <c r="H18" s="9" t="str">
        <v>Gold</v>
      </c>
      <c r="I18" s="9" t="str">
        <v>Silver</v>
      </c>
      <c r="J18" s="9">
        <v>4</v>
      </c>
      <c r="L18" s="9" t="str">
        <v>Bronze</v>
      </c>
      <c r="M18" s="9" t="str">
        <v>Gold</v>
      </c>
      <c r="N18" s="9" t="str">
        <v>Silver</v>
      </c>
      <c r="O18" s="9">
        <v>55.5</v>
      </c>
      <c r="Q18" s="9" t="str">
        <v>Bronze</v>
      </c>
      <c r="R18" s="9" t="str">
        <v>Gold</v>
      </c>
      <c r="S18" s="9" t="str">
        <v>Silver</v>
      </c>
      <c r="T18" s="9">
        <v>100</v>
      </c>
      <c r="U18" s="19"/>
    </row>
    <row r="19" spans="2:21" x14ac:dyDescent="0.45">
      <c r="B19" s="180" t="s">
        <v>142</v>
      </c>
      <c r="C19" s="180" t="s">
        <v>140</v>
      </c>
      <c r="D19" s="180" t="s">
        <v>141</v>
      </c>
      <c r="E19" s="180">
        <v>100</v>
      </c>
      <c r="G19" s="9" t="str">
        <v>Green</v>
      </c>
      <c r="H19" s="9" t="str">
        <v>Orange</v>
      </c>
      <c r="I19" s="9" t="str">
        <v>Purple</v>
      </c>
      <c r="J19" s="9">
        <v>2</v>
      </c>
      <c r="L19" s="9" t="str">
        <v>Green</v>
      </c>
      <c r="M19" s="9" t="str">
        <v>Orange</v>
      </c>
      <c r="N19" s="9" t="str">
        <v>Purple</v>
      </c>
      <c r="O19" s="9">
        <v>77</v>
      </c>
      <c r="Q19" s="9" t="str">
        <v>Green</v>
      </c>
      <c r="R19" s="9" t="str">
        <v>Orange</v>
      </c>
      <c r="S19" s="9" t="str">
        <v>Purple</v>
      </c>
      <c r="T19" s="9">
        <v>91</v>
      </c>
      <c r="U19" s="19"/>
    </row>
    <row r="20" spans="2:21" x14ac:dyDescent="0.45">
      <c r="B20" s="180" t="s">
        <v>514</v>
      </c>
      <c r="C20" s="180" t="s">
        <v>521</v>
      </c>
      <c r="D20" s="180" t="s">
        <v>515</v>
      </c>
      <c r="E20" s="180">
        <v>47</v>
      </c>
      <c r="G20" s="9" t="str">
        <v>Yellow</v>
      </c>
      <c r="H20" s="9" t="str">
        <v>Yellow</v>
      </c>
      <c r="I20" s="9" t="str">
        <v>Yellow</v>
      </c>
      <c r="J20" s="9">
        <v>3</v>
      </c>
      <c r="L20" s="9" t="str">
        <v>Yellow</v>
      </c>
      <c r="M20" s="9" t="str">
        <v>Yellow</v>
      </c>
      <c r="N20" s="9" t="str">
        <v>Yellow</v>
      </c>
      <c r="O20" s="9">
        <v>13</v>
      </c>
      <c r="Q20" s="9" t="str">
        <v>Yellow</v>
      </c>
      <c r="R20" s="9" t="str">
        <v>Yellow</v>
      </c>
      <c r="S20" s="9" t="str">
        <v>Yellow</v>
      </c>
      <c r="T20" s="9">
        <v>22</v>
      </c>
      <c r="U20" s="19"/>
    </row>
    <row r="21" spans="2:21" x14ac:dyDescent="0.45">
      <c r="B21" s="180" t="s">
        <v>522</v>
      </c>
      <c r="C21" s="180" t="s">
        <v>522</v>
      </c>
      <c r="D21" s="180" t="s">
        <v>522</v>
      </c>
      <c r="E21" s="180">
        <v>22</v>
      </c>
      <c r="U21" s="19"/>
    </row>
    <row r="22" spans="2:21" x14ac:dyDescent="0.45">
      <c r="B22" s="180" t="s">
        <v>521</v>
      </c>
      <c r="C22" s="180" t="s">
        <v>515</v>
      </c>
      <c r="D22" s="180" t="s">
        <v>514</v>
      </c>
      <c r="E22" s="180">
        <v>13</v>
      </c>
      <c r="G22" s="26" t="s">
        <v>534</v>
      </c>
      <c r="N22" s="26" t="s">
        <v>536</v>
      </c>
      <c r="U22" s="19"/>
    </row>
    <row r="23" spans="2:21" x14ac:dyDescent="0.45">
      <c r="B23" s="180" t="s">
        <v>523</v>
      </c>
      <c r="C23" s="180" t="s">
        <v>524</v>
      </c>
      <c r="D23" s="180" t="s">
        <v>516</v>
      </c>
      <c r="E23" s="180">
        <v>91</v>
      </c>
      <c r="G23" s="145" t="s">
        <v>520</v>
      </c>
      <c r="N23" s="145" t="s">
        <v>532</v>
      </c>
      <c r="U23" s="19"/>
    </row>
    <row r="24" spans="2:21" x14ac:dyDescent="0.45">
      <c r="B24" s="180" t="s">
        <v>141</v>
      </c>
      <c r="C24" s="180" t="s">
        <v>142</v>
      </c>
      <c r="D24" s="180" t="s">
        <v>140</v>
      </c>
      <c r="E24" s="180">
        <v>13</v>
      </c>
      <c r="G24" s="9" t="str" cm="1">
        <f t="array" ref="G24:J28">Foldλ(Colors,ColorTotals,_xleta.SUM)</f>
        <v>Blue</v>
      </c>
      <c r="H24" s="9" t="str">
        <v>Green</v>
      </c>
      <c r="I24" s="9" t="str">
        <v>Red</v>
      </c>
      <c r="J24" s="9">
        <v>138</v>
      </c>
      <c r="N24" s="9" t="str" cm="1">
        <f t="array" ref="N24:Q28">Foldλ(Colors,ColorTotals,_xlfn.LAMBDA(_xlpm.v,MAX(_xlpm.v)-MIN(_xlpm.v)))</f>
        <v>Blue</v>
      </c>
      <c r="O24" s="9" t="str">
        <v>Green</v>
      </c>
      <c r="P24" s="9" t="str">
        <v>Red</v>
      </c>
      <c r="Q24" s="9">
        <v>70</v>
      </c>
      <c r="U24" s="19"/>
    </row>
    <row r="25" spans="2:21" x14ac:dyDescent="0.45">
      <c r="B25" s="180" t="s">
        <v>516</v>
      </c>
      <c r="C25" s="180" t="s">
        <v>523</v>
      </c>
      <c r="D25" s="180" t="s">
        <v>524</v>
      </c>
      <c r="E25" s="180">
        <v>63</v>
      </c>
      <c r="G25" s="9" t="str">
        <v>Blue</v>
      </c>
      <c r="H25" s="9" t="str">
        <v>Red</v>
      </c>
      <c r="I25" s="9" t="str">
        <v>White</v>
      </c>
      <c r="J25" s="9">
        <v>60</v>
      </c>
      <c r="N25" s="9" t="str">
        <v>Blue</v>
      </c>
      <c r="O25" s="9" t="str">
        <v>Red</v>
      </c>
      <c r="P25" s="9" t="str">
        <v>White</v>
      </c>
      <c r="Q25" s="9">
        <v>34</v>
      </c>
      <c r="U25" s="19"/>
    </row>
    <row r="26" spans="2:21" x14ac:dyDescent="0.45">
      <c r="B26" s="180" t="s">
        <v>522</v>
      </c>
      <c r="C26" s="180" t="s">
        <v>522</v>
      </c>
      <c r="D26" s="180" t="s">
        <v>522</v>
      </c>
      <c r="E26" s="180">
        <v>14</v>
      </c>
      <c r="G26" s="9" t="str">
        <v>Bronze</v>
      </c>
      <c r="H26" s="9" t="str">
        <v>Gold</v>
      </c>
      <c r="I26" s="9" t="str">
        <v>Silver</v>
      </c>
      <c r="J26" s="9">
        <v>222</v>
      </c>
      <c r="N26" s="9" t="str">
        <v>Bronze</v>
      </c>
      <c r="O26" s="9" t="str">
        <v>Gold</v>
      </c>
      <c r="P26" s="9" t="str">
        <v>Silver</v>
      </c>
      <c r="Q26" s="9">
        <v>87</v>
      </c>
      <c r="U26" s="19"/>
    </row>
    <row r="27" spans="2:21" x14ac:dyDescent="0.45">
      <c r="B27" s="180" t="s">
        <v>515</v>
      </c>
      <c r="C27" s="180" t="s">
        <v>516</v>
      </c>
      <c r="D27" s="180" t="s">
        <v>514</v>
      </c>
      <c r="E27" s="180">
        <v>75</v>
      </c>
      <c r="G27" s="9" t="str">
        <v>Green</v>
      </c>
      <c r="H27" s="9" t="str">
        <v>Orange</v>
      </c>
      <c r="I27" s="9" t="str">
        <v>Purple</v>
      </c>
      <c r="J27" s="9">
        <v>154</v>
      </c>
      <c r="N27" s="9" t="str">
        <v>Green</v>
      </c>
      <c r="O27" s="9" t="str">
        <v>Orange</v>
      </c>
      <c r="P27" s="9" t="str">
        <v>Purple</v>
      </c>
      <c r="Q27" s="9">
        <v>28</v>
      </c>
      <c r="U27" s="19"/>
    </row>
    <row r="28" spans="2:21" x14ac:dyDescent="0.45">
      <c r="B28" s="180" t="s">
        <v>522</v>
      </c>
      <c r="C28" s="180" t="s">
        <v>522</v>
      </c>
      <c r="D28" s="180" t="s">
        <v>522</v>
      </c>
      <c r="E28" s="180">
        <v>3</v>
      </c>
      <c r="G28" s="9" t="str">
        <v>Yellow</v>
      </c>
      <c r="H28" s="9" t="str">
        <v>Yellow</v>
      </c>
      <c r="I28" s="9" t="str">
        <v>Yellow</v>
      </c>
      <c r="J28" s="9">
        <v>39</v>
      </c>
      <c r="N28" s="9" t="str">
        <v>Yellow</v>
      </c>
      <c r="O28" s="9" t="str">
        <v>Yellow</v>
      </c>
      <c r="P28" s="9" t="str">
        <v>Yellow</v>
      </c>
      <c r="Q28" s="9">
        <v>19</v>
      </c>
      <c r="U28" s="19"/>
    </row>
    <row r="29" spans="2:21" x14ac:dyDescent="0.45">
      <c r="B29" s="21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3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B115-0F1B-4294-92B3-401544E51560}">
  <sheetPr codeName="Sheet20">
    <tabColor rgb="FFF2D5A0"/>
  </sheetPr>
  <dimension ref="A1:L42"/>
  <sheetViews>
    <sheetView workbookViewId="0"/>
  </sheetViews>
  <sheetFormatPr defaultRowHeight="16.5" x14ac:dyDescent="0.45"/>
  <cols>
    <col min="1" max="1" width="5" customWidth="1"/>
    <col min="2" max="2" width="14.08203125" customWidth="1"/>
    <col min="3" max="3" width="10.5" bestFit="1" customWidth="1"/>
    <col min="4" max="4" width="12.75" customWidth="1"/>
    <col min="5" max="5" width="9" customWidth="1"/>
    <col min="6" max="6" width="38.83203125" customWidth="1"/>
    <col min="7" max="7" width="16.33203125" bestFit="1" customWidth="1"/>
    <col min="8" max="8" width="10.6640625" customWidth="1"/>
    <col min="9" max="9" width="4.58203125" customWidth="1"/>
    <col min="10" max="10" width="8.83203125" customWidth="1"/>
    <col min="11" max="11" width="16.25" customWidth="1"/>
    <col min="12" max="12" width="16.33203125" bestFit="1" customWidth="1"/>
  </cols>
  <sheetData>
    <row r="1" spans="1:12" x14ac:dyDescent="0.45">
      <c r="A1" s="7"/>
    </row>
    <row r="2" spans="1:12" x14ac:dyDescent="0.45">
      <c r="B2" s="15" t="s">
        <v>539</v>
      </c>
      <c r="C2" s="16"/>
      <c r="D2" s="16"/>
      <c r="E2" s="16"/>
      <c r="F2" s="16"/>
      <c r="G2" s="16"/>
      <c r="H2" s="16"/>
      <c r="I2" s="17"/>
    </row>
    <row r="3" spans="1:12" x14ac:dyDescent="0.45">
      <c r="B3" s="104" t="s">
        <v>540</v>
      </c>
      <c r="I3" s="19"/>
    </row>
    <row r="4" spans="1:12" x14ac:dyDescent="0.45">
      <c r="B4" s="18" t="s">
        <v>541</v>
      </c>
      <c r="I4" s="19"/>
    </row>
    <row r="5" spans="1:12" x14ac:dyDescent="0.45">
      <c r="B5" s="18" t="s">
        <v>542</v>
      </c>
      <c r="I5" s="19"/>
    </row>
    <row r="6" spans="1:12" x14ac:dyDescent="0.45">
      <c r="B6" s="104" t="s">
        <v>260</v>
      </c>
      <c r="I6" s="19"/>
    </row>
    <row r="7" spans="1:12" x14ac:dyDescent="0.45">
      <c r="B7" s="18" t="s">
        <v>543</v>
      </c>
      <c r="I7" s="19"/>
    </row>
    <row r="8" spans="1:12" x14ac:dyDescent="0.45">
      <c r="B8" s="18" t="s">
        <v>544</v>
      </c>
      <c r="I8" s="19"/>
    </row>
    <row r="9" spans="1:12" x14ac:dyDescent="0.45">
      <c r="B9" s="18" t="s">
        <v>545</v>
      </c>
      <c r="I9" s="19"/>
    </row>
    <row r="10" spans="1:12" x14ac:dyDescent="0.45">
      <c r="B10" s="18" t="s">
        <v>546</v>
      </c>
      <c r="I10" s="19"/>
    </row>
    <row r="11" spans="1:12" ht="9" customHeight="1" x14ac:dyDescent="0.45">
      <c r="B11" s="21"/>
      <c r="C11" s="22"/>
      <c r="D11" s="22"/>
      <c r="E11" s="22"/>
      <c r="F11" s="22"/>
      <c r="G11" s="22"/>
      <c r="H11" s="22"/>
      <c r="I11" s="23"/>
    </row>
    <row r="12" spans="1:12" x14ac:dyDescent="0.45">
      <c r="B12" s="147" t="s">
        <v>547</v>
      </c>
      <c r="C12" s="16"/>
      <c r="D12" s="16"/>
      <c r="E12" s="16"/>
      <c r="F12" s="24" t="s">
        <v>556</v>
      </c>
      <c r="G12" s="16"/>
      <c r="H12" s="16"/>
      <c r="I12" s="17"/>
    </row>
    <row r="13" spans="1:12" x14ac:dyDescent="0.45">
      <c r="B13" s="179" t="s">
        <v>549</v>
      </c>
      <c r="C13" s="179" t="s">
        <v>550</v>
      </c>
      <c r="F13" s="27" t="s">
        <v>555</v>
      </c>
      <c r="I13" s="19"/>
    </row>
    <row r="14" spans="1:12" x14ac:dyDescent="0.45">
      <c r="B14" s="179" t="s">
        <v>551</v>
      </c>
      <c r="C14" s="179"/>
      <c r="D14" s="46"/>
      <c r="F14" s="9" t="str" cm="1">
        <f t="array" ref="F14:G15">Join2Dλ(Flavor,Size)</f>
        <v>Vanilla, Large</v>
      </c>
      <c r="G14" s="9" t="str">
        <v>Strawberry, Large</v>
      </c>
      <c r="I14" s="19"/>
      <c r="J14" s="46"/>
    </row>
    <row r="15" spans="1:12" x14ac:dyDescent="0.45">
      <c r="B15" s="20"/>
      <c r="D15" s="46"/>
      <c r="F15" s="9" t="str">
        <v>Chocolate, Medium</v>
      </c>
      <c r="G15" s="9" t="str">
        <v>Extra Large</v>
      </c>
      <c r="I15" s="19"/>
      <c r="J15" s="46"/>
    </row>
    <row r="16" spans="1:12" x14ac:dyDescent="0.45">
      <c r="B16" s="113" t="s">
        <v>548</v>
      </c>
      <c r="C16" s="28"/>
      <c r="D16" s="46"/>
      <c r="H16" s="28"/>
      <c r="I16" s="29"/>
      <c r="J16" s="46"/>
      <c r="K16" s="28"/>
      <c r="L16" s="28"/>
    </row>
    <row r="17" spans="2:9" x14ac:dyDescent="0.45">
      <c r="B17" s="179" t="s">
        <v>552</v>
      </c>
      <c r="C17" s="179" t="s">
        <v>552</v>
      </c>
      <c r="F17" s="26" t="s">
        <v>558</v>
      </c>
      <c r="I17" s="19"/>
    </row>
    <row r="18" spans="2:9" x14ac:dyDescent="0.45">
      <c r="B18" s="179" t="s">
        <v>553</v>
      </c>
      <c r="C18" s="179" t="s">
        <v>554</v>
      </c>
      <c r="F18" s="27" t="s">
        <v>557</v>
      </c>
      <c r="I18" s="19"/>
    </row>
    <row r="19" spans="2:9" x14ac:dyDescent="0.45">
      <c r="B19" s="20"/>
      <c r="F19" s="9" t="str" cm="1">
        <f t="array" ref="F19:G20">Join2Dλ(Flavor,Size,,,"; ")</f>
        <v>Vanilla; Large</v>
      </c>
      <c r="G19" s="9" t="str">
        <v>Strawberry; Large</v>
      </c>
      <c r="I19" s="19"/>
    </row>
    <row r="20" spans="2:9" x14ac:dyDescent="0.45">
      <c r="B20" s="20"/>
      <c r="F20" s="9" t="str">
        <v>Chocolate; Medium</v>
      </c>
      <c r="G20" s="9" t="str">
        <v>Extra Large</v>
      </c>
      <c r="I20" s="19"/>
    </row>
    <row r="21" spans="2:9" ht="9" customHeight="1" x14ac:dyDescent="0.45">
      <c r="B21" s="21"/>
      <c r="C21" s="22"/>
      <c r="D21" s="22"/>
      <c r="E21" s="22"/>
      <c r="F21" s="22"/>
      <c r="G21" s="22"/>
      <c r="H21" s="22"/>
      <c r="I21" s="23"/>
    </row>
    <row r="22" spans="2:9" x14ac:dyDescent="0.45">
      <c r="B22" s="147" t="s">
        <v>131</v>
      </c>
      <c r="C22" s="16"/>
      <c r="D22" s="122" t="s">
        <v>567</v>
      </c>
      <c r="E22" s="117"/>
      <c r="F22" s="24" t="s">
        <v>574</v>
      </c>
      <c r="G22" s="117"/>
      <c r="H22" s="117"/>
      <c r="I22" s="17"/>
    </row>
    <row r="23" spans="2:9" x14ac:dyDescent="0.45">
      <c r="B23" s="179" t="s">
        <v>559</v>
      </c>
      <c r="D23" s="179" t="s">
        <v>564</v>
      </c>
      <c r="F23" s="145" t="s">
        <v>573</v>
      </c>
      <c r="I23" s="19"/>
    </row>
    <row r="24" spans="2:9" x14ac:dyDescent="0.45">
      <c r="B24" s="179" t="s">
        <v>560</v>
      </c>
      <c r="D24" s="179" t="s">
        <v>564</v>
      </c>
      <c r="E24" s="28"/>
      <c r="F24" s="9" t="str" cm="1">
        <f t="array" ref="F24:F28">Join2Dλ(Name,Account,Email,Phone,"; ","Exchange")</f>
        <v>Bob Smith; 555-555-5500</v>
      </c>
      <c r="G24" s="28"/>
      <c r="I24" s="19"/>
    </row>
    <row r="25" spans="2:9" x14ac:dyDescent="0.45">
      <c r="B25" s="179" t="s">
        <v>561</v>
      </c>
      <c r="D25" s="179"/>
      <c r="E25" s="28"/>
      <c r="F25" s="9" t="str">
        <v>Vaugh Dunbar; 555-531-3210</v>
      </c>
      <c r="G25" s="28"/>
      <c r="I25" s="19"/>
    </row>
    <row r="26" spans="2:9" x14ac:dyDescent="0.45">
      <c r="B26" s="179" t="s">
        <v>562</v>
      </c>
      <c r="D26" s="179" t="s">
        <v>564</v>
      </c>
      <c r="E26" s="28"/>
      <c r="F26" s="9" t="str">
        <v>Rita Yang; ryang@foo.com</v>
      </c>
      <c r="G26" s="28"/>
      <c r="I26" s="19"/>
    </row>
    <row r="27" spans="2:9" x14ac:dyDescent="0.45">
      <c r="B27" s="179" t="s">
        <v>563</v>
      </c>
      <c r="D27" s="179"/>
      <c r="E27" s="28"/>
      <c r="F27" s="9" t="str">
        <v>Julian Richards; 555-987-7845</v>
      </c>
      <c r="G27" s="28"/>
      <c r="I27" s="19"/>
    </row>
    <row r="28" spans="2:9" x14ac:dyDescent="0.45">
      <c r="B28" s="20"/>
      <c r="E28" s="28"/>
      <c r="F28" s="9" t="str">
        <v>Kel Varnson; kvarn@foo.com; x 555</v>
      </c>
      <c r="G28" s="28"/>
      <c r="I28" s="19"/>
    </row>
    <row r="29" spans="2:9" x14ac:dyDescent="0.45">
      <c r="B29" s="113" t="s">
        <v>568</v>
      </c>
      <c r="D29" s="25" t="s">
        <v>569</v>
      </c>
      <c r="I29" s="19"/>
    </row>
    <row r="30" spans="2:9" x14ac:dyDescent="0.45">
      <c r="B30" s="179"/>
      <c r="D30" s="179" t="s">
        <v>570</v>
      </c>
      <c r="F30" s="26" t="s">
        <v>579</v>
      </c>
      <c r="I30" s="19"/>
    </row>
    <row r="31" spans="2:9" x14ac:dyDescent="0.45">
      <c r="B31" s="179"/>
      <c r="D31" s="179" t="s">
        <v>571</v>
      </c>
      <c r="F31" s="145" t="s">
        <v>578</v>
      </c>
      <c r="I31" s="19"/>
    </row>
    <row r="32" spans="2:9" x14ac:dyDescent="0.45">
      <c r="B32" s="179" t="s">
        <v>565</v>
      </c>
      <c r="D32" s="179"/>
      <c r="F32" s="9" t="str" cm="1">
        <f t="array" ref="F32:F36">Join2Dλ(Name,Phone,Fax,Email,,"None")</f>
        <v>Bob Smith, 555-555-5500</v>
      </c>
      <c r="I32" s="19"/>
    </row>
    <row r="33" spans="2:9" x14ac:dyDescent="0.45">
      <c r="B33" s="179"/>
      <c r="D33" s="179" t="s">
        <v>572</v>
      </c>
      <c r="F33" s="9" t="str">
        <v>Vaugh Dunbar, 555-531-3210</v>
      </c>
      <c r="I33" s="19"/>
    </row>
    <row r="34" spans="2:9" x14ac:dyDescent="0.45">
      <c r="B34" s="179" t="s">
        <v>566</v>
      </c>
      <c r="D34" s="179" t="s">
        <v>575</v>
      </c>
      <c r="F34" s="9" t="str">
        <v>Rita Yang, ryang@foo.com</v>
      </c>
      <c r="I34" s="19"/>
    </row>
    <row r="35" spans="2:9" x14ac:dyDescent="0.45">
      <c r="B35" s="20"/>
      <c r="F35" s="9" t="str">
        <v>Julian Richards, 555-987-7845</v>
      </c>
      <c r="I35" s="19"/>
    </row>
    <row r="36" spans="2:9" x14ac:dyDescent="0.45">
      <c r="B36" s="20"/>
      <c r="D36" s="148" t="s">
        <v>576</v>
      </c>
      <c r="F36" s="9" t="str">
        <v>Kel Varnson, x 555, kvarn@foo.com</v>
      </c>
      <c r="I36" s="19"/>
    </row>
    <row r="37" spans="2:9" x14ac:dyDescent="0.45">
      <c r="B37" s="20"/>
      <c r="D37" s="181"/>
      <c r="I37" s="19"/>
    </row>
    <row r="38" spans="2:9" x14ac:dyDescent="0.45">
      <c r="B38" s="20"/>
      <c r="D38" s="181" t="s">
        <v>577</v>
      </c>
      <c r="I38" s="19"/>
    </row>
    <row r="39" spans="2:9" x14ac:dyDescent="0.45">
      <c r="B39" s="20"/>
      <c r="D39" s="181" t="s">
        <v>577</v>
      </c>
      <c r="I39" s="19"/>
    </row>
    <row r="40" spans="2:9" x14ac:dyDescent="0.45">
      <c r="B40" s="20"/>
      <c r="D40" s="181"/>
      <c r="I40" s="19"/>
    </row>
    <row r="41" spans="2:9" x14ac:dyDescent="0.45">
      <c r="B41" s="20"/>
      <c r="D41" s="181" t="s">
        <v>577</v>
      </c>
      <c r="I41" s="19"/>
    </row>
    <row r="42" spans="2:9" ht="9" customHeight="1" x14ac:dyDescent="0.45">
      <c r="B42" s="21"/>
      <c r="C42" s="22"/>
      <c r="D42" s="22"/>
      <c r="E42" s="22"/>
      <c r="F42" s="22"/>
      <c r="G42" s="22"/>
      <c r="H42" s="22"/>
      <c r="I42" s="23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criptIds xmlns="http://schemas.microsoft.com/office/extensibility/maker/v1.0" id="script-ids-node-id">
  <scriptId id="ms-officescript%3A%2F%2Fonedrive_business_itemlink%2F01GCFFU4YAVYEX3EV7Z5GKDVOTOE2GNERT:ms-officescript%3A%2F%2Fonedrive_business_sharinglink%2Fu!aHR0cHM6Ly9lZGdld2F0ZXItbXkuc2hhcmVwb2ludC5jb20vOnU6L2cvcGVyc29uYWwvcGF0X2hvZ2FuX2FsaXRoeWFfY29tL0lRQUFyZ2w5a3JfUFRLSFYwM0UwWnBJekFZYU9ROU9aUUNSc1VsME5yR25pSE9N"/>
</scriptId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IAAgACAAIAAgACAAIAAgACAAIABcAG4ATQBvAGQAdQBsAGUAOgAgACAAQgBpAGcAUwBwAGkAbABsAFwAbgBMAGkAYwBlAG4AcwBlADoAIABNAEkAVAAgACgAcwBlAGUAIABMAEkAQwBFAE4AUwBFACAAZgBpAGwAZQApAFwAbgBBAHUAdABoAG8AcgA6ACAAIABQAGEAdAByAGkAYwBrACAASAAuAFwAbgBEAGEAdABlADoAIAAgACAAIAA3AC8ANgAvADIAMAAyADYAXABuAFwAbgBEAGUAcwBjAHIAaQBwAHQAaQBvAG4AOgBcAG4AQwBvAHIAZQAgAG0AbwBkAHUAbABlACAAYQBnAGcAcgBlAGcAYQB0AG8AcgAgAGYAbwByACAAYQBsAGwAIABCAGkAZwBTAHAAaQBsAGwAIABmAHUAbgBjAHQAaQBvAG4AcwA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bQBhAHQAcgBpAHgAIABpAG4AdABvACAAYQAgAGYAbABhAHQAdABlAG4AZQBkACAAcgBvAHcAESB3AGkAcwBlACAAdABhAGIAbABlACAAYgB5ACAAcAByAG8AdgBpAGQAaQBuAGcAIAByAG8AdwAgAGwAYQBiAGUAbABzACwAXABuACAAIAAgACAAYwBvAGwAdQBtAG4AIABsAGEAYgBlAGwAcwAsACAAYQBuAGQAIABhACAAdgBhAGwAdQBlACAAbQBhAHQAcgBpAHg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TQBhAHQAcgBpAHg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bQBhAHQAcgBpAHgAIABvAGYAIABzAGgAaQBmAHQAZQBkACAAdAB1AHAAbABlAHMALgBcAG4AXABuAE4AbwB0AGUAcwA6AFwAbgAgACAAIAAgACIgIABPAHUAdABwAHUAdAAgAG8AcgBpAGUAbgB0AGEAdABpAG8AbgAgAG0AYQB0AGMAaABlAHMAIABpAG4AcAB1AHQAOgBcAG4AIAAgACAAIAAgACAAIAAgACAAIAAtACAAUwBjAGEAbABhAHIAcwAgAJIhIAB2AGUAcgB0AGkAYwBhAGwAXABuACAAIAAgACAAIAAgACAAIAAgACAALQAgAFYAZQByAHQAaQBjAGEAbAAgAGEAcgByAGEAeQBzACAAkiEgAHYAZQByAHQAaQBjAGEAbABcAG4AIAAgACAAIAAgACAAIAAgACAAIAAtACAASABvAHIAaQB6AG8AbgB0AGEAbAAgAGEAcgByAGEAeQBzACAAkiEgAGgAbwByAGkAegBvAG4AdABhAGwAXABuACAAIAAgACAAIiAgAE0AdQBsAHQAaQARIHMAaABpAGYAdAAgAGkAbgBwAHUAdABzACAAcgBlAHQAdQByAG4AIABhACAAcwB0AGEAYwBrAGUAZAAgAG0AYQB0AHIAaQB4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bQBhAHQAcgBpAHgALABcAG4AIAAgACAAIABbAHMAaABpAGYAdABfAGIAeQBdACwAXABuAEwARQBUACgAXABuACAAIAAgACAALwAvACAARABpAG0AZQBuAHMAaQBvAG4AcwBcAG4AIAAgACAAIABoACwAIAAgACAAIAAgACAAIAAgAFIATwBXAFMAKABtAGEAdAByAGkAeAApACwAXABuACAAIAAgACAAdwAsACAAIAAgACAAIAAgACAAIABDAE8ATABVAE0ATgBTACgAbQBhAHQAcgBpAHg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0AYQB0AHIAaQB4ACwAIABzAGgAaQBmAHQAXwBiAHkAKQAsAFwAbgBcAG4ATABFAFQAKABcAG4AIAAgACAAIAAvAC8AIABSAG8AdwAgAGkAbgBkAGkAYwBlAHMAIAByAGUAbQBhAGkAbgAgAGYAaQB4AGUAZABcAG4AIAAgACAAIABpACwAIAAgACAAIAAgACAAIAAgAE0ARwByAGkAZAC7AygAbQBhAHQAcgBpAHgAKQAsAFwAbgBcAG4AIAAgACAAIAAvAC8AIABDAG8AbAB1AG0AbgAgAGkAbgBkAGkAYwBlAHMAIABhAHIAZQAgAGMAaQByAGMAdQBsAGEAcgBsAHkAIABzAGgAaQBmAHQAZQBkAFwAbgAgACAAIAAgAGoALAAgACAAIAAgACAAIAAgACAAUgBlAHMAaQB6AGUAuwMoAFMAaABpAGYAdAC7AygAUwBFAFEAVQBFAE4AQwBFACgALAAgAHcAKQAsACAAcwBoAGkAZgB0AF8AYgB5ACkALABoACkALABcAG4AXABuACAAIAAgACAAcgBlAHMAdQBsAHQALAAgACAAIABJAE4ARABFAFgAKABtAGEAdAByAGkAe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bQBhAHQAcgBpAHgALABcAG4AIAAgACAAIABbAHMAaABpAGYAdABfAGIAeQBdACwAXABuAEwARQBUACgAXABuACAAIAAgACAALwAvACAARABpAG0AZQBuAHMAaQBvAG4AcwBcAG4AIAAgACAAIABoACwAIAAgACAAIAAgACAAIAAgACAAIAAgAFIATwBXAFMAKABtAGEAdAByAGkAeAApACwAXABuACAAIAAgACAAdwAsACAAIAAgACAAIAAgACAAIAAgACAAIABDAE8ATABVAE0ATgBTACgAbQBhAHQAcgBpAHg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0AYQB0AHIAaQB4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tAGEAdAByAGkAeAAsACAAMQApACwAXABuAFwAbgAgACAAIAAgAHIAZQBzAHUAbAB0ACwAIAAgACAAIAAgACAASQBOAEQARQBYACgAbQBhAHQAcgBpAHg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bQBhAHQAcgBpAHg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bQBhAHQAcgBpAHgAIAAgACAAIAAgACAAIAAgACAAIAAgACAAIAAgACAALQAgAEkAbgBwAHUAdAAgAG0AYQB0AHIAaQB4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tAGEAdAByAGkAe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tAGEAdAByAGkAeAAsACAAZABlAHAAdABoACwAIAB3AGkAZAB0AGgALAAgAHIAZQBfAHMAaABhAHAAZQBfAGIAeQBfAGMAbwBsAHUAbQBuAD8ALABcAG4AXABuAEwARQBUACgAXABuACAAIAAgACAALwAvACAAQgBsAG8AYwBrACAAZwByAGkAZAAgAGQAaQBtAGUAbgBzAGkAbwBuAHMAXABuACAAIAAgACAAeAAsACAAIAAgACAAIAAgACAAIAAgACAAIAAgACAAUgBPAFUATgBEAFUAUAAoAFIATwBXAFMAKABtAGEAdAByAGkAeAApACAALwAgAGQAZQBwAHQAaAAsACAAMAApACwAIAAgACAAIAAgAC8ALwAgAGIAbABvAGMAawAgAHIAbwB3AHMAXABuACAAIAAgACAAeQAsACAAIAAgACAAIAAgACAAIAAgACAAIAAgACAAUgBPAFUATgBEAFUAUAAoAEMATwBMAFUATQBOAFMAKABtAGEAdAByAGkAe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tAGEAdAByAGkAeAAsACAAcgBvAHcAXwBpAG4AZABpAGMAZQBzACwAIABjAG8AbABfAGkAbgBkAGkAYwBlAHMAKQAsAFwAbgBcAG4AIAAgACAAIAAvAC8AIABPAHAAdABpAG8AbgBhAGwAIABjAG8AbAB1AG0AbgARIHcAaQBzAGUAIAByAGUAcwBoAGEAcABlAFwAbgAgACAAIAAgAHIAZQBzAHUAbAB0ACwAIAAgACAAIAAgACAAIAAgAEkARgAoAHIAZQBfAHMAaABhAHAAZQBfAGIAeQBfAGMAbwBsAHUAbQBuAD8ALAAgAFQAUgBBAE4AUwBQAE8AUwBFACgAcgBlAHMAaABhAHAAZQBkACkALAAgAHIAZQBzAGgAYQBwAGUAZAApACwAXABuAFwAbgAgACAAIAAgAHIAZQBzAHUAbAB0AFwAbgApACkAKQA7AFwAbgBcAG4AXABuAFwAbgAvACoAIABbAEcAQQARIEMATwBSAEUAXQAgAC0ALQAtAC0ALQAtAC0ALQAtAC0ALQAtAC0ALQAtAC0ALQAtAC0ALQAtAC0ALQAtAC0ALQAtAC0ALQAtAC0ALQAtAC0ALQAtAC0ALQAtAC0ALQAtAC0ALQAtAC0ALQAtAC0ALQAtAC0ALQAtAC0ALQAtAC0ALQAtAC0ALQAtAC0ALQAtAC0ALQAtAC0AXABuAEYAdQBuAGMAdABpAG8AbgA6ACAAIAAgACAAIABWAGEAbABpAGQAYQB0AGUAQgBsAG8AYwBrAE0AYQBwALsDXABuAEMAYQB0AGUAZwBvAHIAeQA6ACAAIAAgACAAIABHAHIAaQBkACAAQQBsAGcAZQBiAHIAYQ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bABvAGMAawBNAGEAcAC7Ay4AIABFAG4AcwB1AHIAZQBzACAAdABoAGUAIABtAGEAdAByAGkAe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bQBhAHQAcgBpAHgAIABjAGwAZQBhAG4AbAB5AC4AXABuAFwAbgBQAGEAcgBhAG0AZQB0AGUAcgBzADoAXABuACAAIAAgACAAbQBhAHQAcgBpAHgAIAAgACAAIAAgACAAIAAgACAAIAAgACAAIAAgACAALQAgAEkAbgBwAHUAdAAgAG0AYQB0AHIAaQB4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0AYQB0AHIAaQB4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bQBhAHQAcgBpAHgALABcAG4AIAAgACAAIABkAGUAcAB0AGgALABcAG4AIAAgACAAIAB3AGkAZAB0AGgALABcAG4AIAAgACAAIAByAGUAXwBzAGgAYQBwAGUAXwBiAHkAXwBjAG8AbAB1AG0AbgA/ACwAXABuACAAIAAgACAAbwBuAF8AdgBhAGwAaQBkACwAXABuAFwAbgAgACAAIAAgAC8ALwAgAE0AdQBzAHQAIABiAGUAIABhAG4AIABhAHIAcgBhAHkAXABuACAAIAAgACAASQBGACgATgBPAFQAKABUAFkAUABFACgAbQBhAHQAcgBpAHgAKQAgAD0AIAA2ADQAKQAsAFwAIgAjAE0AQQBUAFIASQBYACEAXAAiACwAXABuAFwAbgAgACAAIAAgAC8ALwAgAFMAcABpAGwAbAARIHIAaQBzAGsAIAB3AGgAZQBuACAAcgBlAHMAaABhAHAAaQBuAGcAIABiAHkAIABjAG8AbAB1AG0AbgBcAG4AIAAgACAAIABJAEYAKAAoAHIAZQBfAHMAaABhAHAAZQBfAGIAeQBfAGMAbwBsAHUAbQBuAD8AKQAgACoAIABcAG4AIAAgACAAIAAgACAAIAAoAFIATwBXAFMAKABtAGEAdAByAGkAeAApACAAKgAgAEMATwBMAFUATQBOAFMAKABtAGEAdAByAGkAeAApACAALwAgACgAdwBpAGQAdABoACAAKgAgAGQAZQBwAHQAaAApAF4AMgAgAD4AIAAxADYAMwA4ADQAKQAsAFwAIgAjAFMAUABJAEwATAAtAFIASQBTAEsAIQBcACIALABcAG4AXABuACAAIAAgACAALwAvACAATQB1AHMAdAAgAHQAaQBsAGUAIABjAGwAZQBhAG4AbAB5AFwAbgAgACAAIAAgAEkARgAoACgATQBPAEQAKABSAE8AVwBTACgAbQBhAHQAcgBpAHgAKQAsACAAZABlAHAAdABoACkAIAA8AD4AIAAwACkAIAArACgATQBPAEQAKABDAE8ATABVAE0ATgBTACgAbQBhAHQAcgBpAHgAKQAsACAAdwBpAGQAdABoACkAIAA8AD4AIAAwACkALABcACIAIwBCAEwATwBDAEsAIABNAEkAUwBNAEEAVABDAEgAIQBcACIALABcAG4AXABuACAAIAAgACAALwAvACAAQgBsAG8AYwBrACAAcwBpAHoAZQAgAG0AdQBzAHQAIABiAGUAIAB2AGEAbABpAGQAXABuACAAIAAgACAASQBGACgATwBSACgAQQBOAEQAKAB3AGkAZAB0AGgAIAA9ACAAMQAsACAAZABlAHAAdABoACAAPQAgADEAKQAsAGQAZQBwAHQAaAAgAD4AIABSAE8AVwBTACgAbQBhAHQAcgBpAHgAKQAsAFwAbgAgACAAIAAgACAAIAAgACAAIAAgACAAIAAgACAAdwBpAGQAdABoACAAPgAgAEMATwBMAFUATQBOAFMAKABtAGEAdAByAGkAe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cwBjAGEAbABhAHIAcwAgAGEAbgBkACAAMQBEACAAYQByAHIAYQB5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YQBuAGQAIAAxAEQAIABpAG4AcAB1AHQAcwAgAHQAbwAgAGUAbgBmAG8AcgBjAGUAIABzAHQAcgBpAGMAdAAgADIARAAgAGcAZQBvAG0AZQB0AHIAeQAuAFwAbgAtAC0ALQAtAC0ALQAtAC0ALQAtAC0ALQAtAC0ALQAtAC0ALQAtAC0ALQAtAC0ALQAtAC0ALQAtAC0ALQAtAC0ALQAtAC0ALQAtAC0ALQAtAC0ALQAtAC0ALQAtAC0ALQAtAC0ALQAtAC0ALQAtAC0ALQAtAC0ALQAtAC0ALQAtAC0ALQAtAC0ALQAtAC0ALQAtAC0ALQAtAC0ALQAqAC8AXABuAFwAbgBUAGUAcwBzAGUAbABsAGEAdABlALsDIAA9AFwAbgBMAEEATQBCAEQAQQAoAFwAbgAgACAAIAAgAHAAYQB0AHQAZQByAG4ALABcAG4AIAAgACAAIABuAGUAdwBfAGgAZQBpAGcAaAB0ACwAXABuACAAIAAgACAAbgBlAHcAXwB3AGkAZAB0AGgALABcAG4ATABFAFQAKABcAG4AIAAgACAAIAAvAC8AIABQAGEAdAB0AGUAcgBuACAAZABpAG0AZQBuAHMAaQBvAG4AcwBcAG4AIAAgACAAIABoACwAIAAgACAAIAAgACAAIAAgACAAIAAgACAAIAAgAFIATwBXAFMAKABwAGEAdAB0AGUAcgBuACkALABcAG4AIAAgACAAIAB3ACwAIAAgACAAIAAgACAAIAAgACAAIAAgACAAIAAgAEMATwBMAFUATQBOAFMAKABwAGEAdAB0AGUAcgBuACkALABcAG4AXABuACAAIAAgACAALwAvACAASQBuAHYAYQBsAGkAZAAgAHMAaABhAHAAZQBzAFwAbgAgACAAIAAgAEkAcwBTAGMAYQBsAGEAcgA/ACwAIAAgACAAIAAgACAAQQBOAEQAKABoACAAPQAgADEALAAgAHcAIAA9ACAAMQApACwAXABuACAAIAAgACAASQBzADEARAA/ACwAIAAgACAAIAAgACAAIAAgACAAIABYAE8AUg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SQBGACgASQBzADEARAA/ACwAIABcACIAIwAxAEQALQBBAFIAUgBBAFkAIQBcACIALABcAG4AXABuACAAIAAgACAAIAAgACAAIAAgACAAIAAgAEkARgAoAE4AbwBDAGgAYQBuAGcAZQA/ACwAIABwAGEAdAB0AGUAcgBuACwAXABuAFwAbgAgACAAIAAgACAAIAAgACAAIAAgACAAIAAgACAAIAAgAEkARgAoAEkAbgB2AGEAbABpAGQASABXAD8ALAAgAFwAIgAjAE4ARQBXAC0ASABFAEkARwBIAFQALwBXAEkARABUAEgAIQBcACIALABcAG4AXABuAEwARQBUACgAXABuACAAIAAgACAALwAvACAATwB1AHQAcAB1AHQAIABnAGUAbwBtAGUAdAByAHkAIABwAGwAYQBjAGUAaABvAGwAZABlAHIAXABuACAAIAAgACAAZQB4AHAAXwBzAGgAYQBwAGUALAAgACAAIAAgAEUAWABQAEEATgBEACgAMAAsACAAbgBlAHcAXwBoAGUAaQBnAGgAdAAsACAAbgBlAHcAXwB3AGkAZAB0AGgAKQAsAFwAbgBcAG4AIAAgACAAIAAvAC8AIABNAG8AZAB1AGwAYQByACAAcgBvAHcALwBjAG8AbAB1AG0AbgAgAGkAbgBkAGkAYwBlAHMAXABuACAAIAAgACAAaQAsACAAIAAgACAAIAAgACAAIAAgACAAIAAgAFQARwByAGkAZAC7AygAZQB4AHAAXwBzAGgAYQBwAGUALAAgAGgAKQAsAFwAbgAgACAAIAAgAGoALAAgACAAIAAgACAAIAAgACAAIAAgACAAIABUAEcAcgBpAGQAuwMoAGUAeABwAF8AcwBoAGEAcABlACwAIAB3ACwAIAAxACkALABcAG4AXABuACAAIAAgACAALwAvACAAVABlAHMAcwBlAGwAbABhAHQAZQBkACAAbwB1AHQAcAB1AHQAXABuACAAIAAgACAAdABlAHMAcwAsACAAIAAgACAAIAAgACAAIAAgAEkATgBEAEUAWAAoAHAAYQB0AHQAZQByAG4ALAAgAGkALAAgAGoAKQAsAFwAbgBcAG4AIAAgACAAIAB0AGUAcwBzAFwAbgApACkAKQApACkAKQApADsAXABuAFwAbgBcAG4AXABuAC8AKgAgAFsARwBSAF0AIAAtAC0ALQAtAC0ALQAtAC0ALQAtAC0ALQAtAC0ALQAtAC0ALQAtAC0ALQAtAC0ALQAtAC0ALQAtAC0ALQAtAC0ALQAtAC0ALQAtAC0ALQAtAC0ALQAtAC0ALQAtAC0ALQAtAC0ALQAtAC0ALQAtAC0ALQAtAC0ALQAtAC0ALQAtAC0ALQAtAC0ALQAtAC0ALQAtAC0ALQBcAG4AIwAjACAAMAA2ACAAFCAgAEcAcgBpAGQAIABBAG4AYQBsAHkAdABpAGMAcw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RwByAGkAZAAgAEEAbgBhAGwAeQB0AGkAYwBzACAAaQBzACAAYQAgAGMAbwBsAGwAZQBjAHQAaQBvAG4AIABvAGYAIABmAHUAbgBjAHQAaQBvAG4AcwAgAGYAbwByACAAZQBsAGUAZwBhAG4AdAAgAHMAZQBxAHUAZQBuAGMAaQBuAGcALABcAG4AIAAgACAAIABjAGEAdABlAGcAbwByAGkAYwBhAGwAIABhAG4AYQBsAHkAcwBpAHMALAAgAG4AZQBpAGcAaABiAG8AcgBoAG8AbwBkABEgYgBhAHMAZQBkACAAYQBnAGcAcgBlAGcAYQB0AGkAbwBuACwAIABhAG4AZAAgAHMAdABhAHQAaQBzAHQAaQBjAHMALgBcAG4AIAAgACAAIABUAGgAaQBzACAAbQBvAGQAdQBsAGUAIABlAHgAdABlAG4AZABzACAAdABoAGUAIABjAGEAcABhAGIAaQBsAGkAdABpAGUAcwAgAG8AZgAgAG4AYQB0AGkAdgBlACAARQB4AGMAZQBsACAAZgB1AG4AYwB0AGkAbwBuAHMAXABuACAAIAAgACAAKABlAC4AZwAuACwAIABNAG8AZABlALsDIABjAGEAbgAgAHIAZQB0AHUAcgBuACAAdABoAGUAIABtAG8AcwB0ACAAZgByAGUAcQB1AGUAbgB0ACAAbgB1AG0AZQByAGkAYwBhAGwAIABvAHIAIAB0AGUAeAB0ACAAdgBhAGwAdQBlAHMAKQAuAFwAbgBcAG4AIAAgACAAIABTAHUAYgARIGMAYQB0AGUAZwBvAHIAaQBlAHMAOgBcAG4AXABuACAAIAAgACAAIAAgACAAIAAiICAAUwBlAHEAdQBlAG4AYwBpAG4AZwBcAG4AIAAgACAAIAAgACAAIAAgACAAIAAgACAAIAAgAFMAdAByAGUAYQBrALsDLAAgAEMAbwB1AG4AdABkAG8AdwBuALsDXABuAFwAbgAgACAAIAAgACAAIAAgACAAIiAgAEMAYQB0AGUAZwBvAHIAaQBjAGEAbAAgAEEAbgBhAGwAeQBzAGkAcwBcAG4AIAAgACAAIAAgACAAIAAgACAAIAAgACAAIAAgAEIAeQBEAGkAYQBnALsDLAAgAEQAaQBhAGcATQBhAHAAuwMsACAARABpAGEAZwBJAG4AZABlAHgAuwMsACAAUABhAGkAcgB3AGkAcwBlALsDLAAgAEcAcgBvAHUAcABiAHkAQgBpAG4AuwMsACAARwByAG8AdQBwAGIAeQBEAGEAdABlALsDLAAgAFAAaQB2AG8AdABiAHkAQwBhAHQ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0AYQB0AHIAaQB4AC4AIABPAHAAdABpAG8AbgBhAGwAIAByAG8AdwARIHcAaQBzAGUAIABzAHQAYQBjAGsAaQBuAGcAIABpAHMAXABuACAAIAAgACAAcwB1AHAAcABvAHIAdABlAGQALgBcAG4AXABuAFAAYQByAGEAbQBlAHQAZQByAHMAOgBcAG4AIAAgACAAIABhAHIAcgBhAHkAIAAgACAAIAAgACAAIAAgACAAIAAgACAAIAAgACAALQAgADIARAAgAGkAbgBwAHUAdAAgAGEAcgByAGEAeQAuAFwAbgAgACAAIAAgAFsAcgBvAHcAXwB3AGkAcwBlAF8AcwB0AGEAYwBrAD8AXQAgACAAIAAtACAASQBmACAAVABSAFUARQAsACAAZABpAGEAZwBvAG4AYQBsAHMAIABhAHIAZQAgAHMAdABhAGMAawBlAGQAIAB2AGUAcgB0AGkAYwBhAGwAbAB5AC4AXABuAFwAbgBOAG8AdABlAHMAOgBcAG4AIAAgACAAIAAiICAARQBxAHUAaQB2AGEAbABlAG4AdAAgAHQAbwAgAGMAYQBsAGwAaQBuAGcAIABCAHkARABpAGEAZwC7AygAYQByAHIAYQB5ACwAIAAsACAAcgBvAHcAXwB3AGkAcwBlAF8AcwB0AGEAYwBrAD8AKQAuAFwAbgAtAC0ALQAtAC0ALQAtAC0ALQAtAC0ALQAtAC0ALQAtAC0ALQAtAC0ALQAtAC0ALQAtAC0ALQAtAC0ALQAtAC0ALQAtAC0ALQAtAC0ALQAtAC0ALQAtAC0ALQAtAC0ALQAtAC0ALQAtAC0ALQAtAC0ALQAtAC0ALQAtAC0ALQAtAC0ALQAtAC0ALQAtAC0ALQAtAC0ALQAtAC0ALQAqAC8AXABuAFwAbgBEAGkAYQBnAE0AYQBwALsDIAA9AFwAbgBMAEEATQBCAEQAQQAoAFwAbgAgACAAIAAgAGEAcgByAGEAeQAsAFwAbgAgACAAIAAgAFsAcgBvAHcAXwB3AGkAcwBlAF8AcwB0AGEAYwBrAD8AXQAsAFwAbgAgACAAIAAgAEIAeQBEAGkAYQBnALsDKABhAHIAcgBhAHkALAAgACwAIAByAG8AdwBfAHcAaQBzAGUAXwBzAHQAYQBjAGsAPwApACkAOwBcAG4AXABuAFwAbgBcAG4ALwAqACAAWwBHAFIAMAA1AF0AIAAtAC0ALQAtAC0ALQAtAC0ALQAtAC0ALQAtAC0ALQAtAC0ALQAtAC0ALQAtAC0ALQAtAC0ALQAtAC0ALQAtAC0ALQAtAC0ALQAtAC0ALQAtAC0ALQAtAC0ALQAtAC0ALQAtAC0ALQAtAC0ALQAtAC0ALQAtAC0ALQAtAC0ALQAtAC0ALQAtAC0ALQAtAC0ALQAtAFwAbgBGAHUAbgBjAHQAaQBvAG4AOgAgACAAIAAgACAARABpAGEAZwBJAG4AZABlAHg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RQB4AHQAcgBhAGMAdABzACAAYQAgAHMAaQBuAGcAbABlACAAZABpAGEAZwBvAG4AYQBsACAAbwByACAAYQBuAHQAaQARIGQAaQBhAGcAbwBuAGEAbAAgAHYAZQBjAHQAbwByACAAZgByAG8AbQAgAGEAIAAyAEQAIABhAHIAcgBhAHkALgBcAG4AIAAgACAAIABQAG8AcwBpAHQAaQB2AGUAIABjAG8AbABfAGkAbgBkAGUAeAAgAHMAZQBsAGUAYwB0AHMAIABhACAAcwB0AGEAbgBkAGEAcgBkACAAKABTAEUAESBkAGkAcgBlAGMAdABpAG8AbgApACAAZABpAGEAZwBvAG4AYQBsAC4AXABuACAAIAAgACAATgBlAGcAYQB0AGkAdgBlACAAYwBvAGwAXwBpAG4AZABlAHgAIABzAGUAbABlAGMAdABzACAAYQBuACAAYQBuAHQAaQARIGQAaQBhAGcAbwBuAGEAbAAgACgAUwBXABEgZABpAHIAZQBjAHQAaQBvAG4AKQAuAFwAbgBcAG4AUABhAHIAYQBtAGUAdABlAHIAcwA6AFwAbgAgACAAIAAgAGEAcgByAGEAeQAgACAAIAAgACAAIAAgAC0AIAAyAEQAIABpAG4AcAB1AHQAIABhAHIAcgBhAHkAIAAoAHMAYwBhAGwAYQByAHMAIABuAG8AdAAgAGEAYwBjAGUAcAB0AGUAZAApAC4AXABuACAAIAAgACAAYwBvAGwAXwBpAG4AZABlAHgAIAAgACAALQAgAFMAdABhAHIAdABpAG4AZwAgAGMAbwBsAHUAbQBuACAAaQBuAGQAZQB4AC4AIABOAGUAZwBhAHQAaQB2AGUAIAB2AGEAbAB1AGUAcwAgAGkAbgBkAGkAYwBhAHQAZQBcAG4AIAAgACAAIAAgACAAIAAgACAAIAAgACAAIAAgACAAIAAgACAAIABhAG4AdABpABEgZABpAGEAZwBvAG4AYQBsACAAZQB4AHQAcgBhAGMAdABpAG8AbgAuAFwAbgBcAG4ATgBvAHQAZQBzADoAXABuACAAIAAgACAAIiAgAE8AdQB0AHAAdQB0ACAAaQBzACAAYQBsAHcAYQB5AHMAIABhACAAMQBEACAAdgBlAGMAdABvAHIAIABvAGYAIABsAGUAbgBnAHQAaAAgAGsAIAA9ACAAZABpAGEAZwBvAG4AYQBsACAAbABlAG4AZwB0AGgALgBcAG4ALQAtAC0ALQAtAC0ALQAtAC0ALQAtAC0ALQAtAC0ALQAtAC0ALQAtAC0ALQAtAC0ALQAtAC0ALQAtAC0ALQAtAC0ALQAtAC0ALQAtAC0ALQAtAC0ALQAtAC0ALQAtAC0ALQAtAC0ALQAtAC0ALQAtAC0ALQAtAC0ALQAtAC0ALQAtAC0ALQAtAC0ALQAtAC0ALQAtAC0ALQAtAC0AKgAvAFwAbgBcAG4ARABpAGEAZwBJAG4AZABlAHgAuwMgAD0AXABuAEwAQQBNAEIARABBACgAXABuACAAIAAgACAAYQByAHIAYQB5ACwAXABuACAAIAAgACAAYwBvAGwAXwBpAG4AZABlAHgALABcAG4AXABuAFYAYQBsAGkAZABhAHQAZQBEAGkAYQBnALsDKABhAHIAcgBhAHkALAAgAGMAbwBsAF8AaQBuAGQAZQB4ACwAIAAsACAALABcAG4AXABuAEwARQBUACgAXABuACAAIAAgACAALwAvACAARABpAG0AZQBuAHMAaQBvAG4AcwBcAG4AIAAgACAAIABoACwAIAAgACAAIAAgACAAIABSAE8AVwBTACgAYQByAHIAYQB5ACkALABcAG4AIAAgACAAIAB3ACwAIAAgACAAIAAgACAAIABDAE8ATABVAE0ATgBTACgAYQByAHIAYQB5ACkALABcAG4AXABuACAAIAAgACAALwAvACAARABpAHIAZQBjAHQAaQBvAG4AOgAgACsAMQAgAD0AIABTAEUALAAgABMgMQAgAD0AIABTAFcAXABuACAAIAAgACAAcwAsACAAIAAgACAAIAAgACAAUwBJAEcATgAoAGMAbwBsAF8AaQBuAGQAZQB4ACkALABcAG4AXABuACAAIAAgACAALwAvACAARABpAGEAZwBvAG4AYQBsACAAbABlAG4AZwB0AGgAXABuACAAIAAgACAAawAsACAAIAAgACAAIAAgACAASQBGACgAcwAgAD4AIAAwACwATQBJAE4AKABoACwAIAB3ACAAKwAgADEAIAAtACAAYwBvAGwAXwBpAG4AZABlAHgAKQAsAFwAbgAgACAAIAAgACAAIAAgACAAIAAgACAAIAAgACAAIAAgACAAIAAgACAAIAAgAE0ASQBOACgAaAAsACAAQQBCAFMAKABjAG8AbABfAGkAbgBkAGUAeAApACkAKQAsAFwAbgBcAG4AIAAgACAAIAAvAC8AIABTAHQAYQByAHQAaQBuAGcAIABjAG8AbAB1AG0AbgBcAG4AIAAgACAAIABzAHQAYQByAHQALAAgACAAIABJAEYAKABzACAAPAAgADAALAAgAEEAQgBTACgAYwBvAGwAXwBpAG4AZABlAHgAKQAsACAAYwBvAGwAXwBpAG4AZABlAHgAKQAsAFwAbgBcAG4AIAAgACAAIAAvAC8AIABEAGUAZgBlAHIAcgBlAGQAIABpAG4AZABlAHgAIABnAGUAbgBlAHIAYQB0AG8AcgBzAFwAbgAgACAAIAAgAHgALAAgACAAIAAgACAAIAAgAEwAQQBNAEIARABBACgAUwBFAFEAVQBFAE4AQwBFACgAawApACkALABcAG4AIAAgACAAIAB5ACwAIAAgACAAIAAgACAAIABMAEEATQBCAEQAQQAoAFMARQBRAFUARQBOAEMARQAoAGsALAAgACwAIABzAHQAYQByAHQALAAgAHMAKQApACwAXABuAFwAbgAgACAAIAAgAC8ALwAgAEUAeAB0AHIAYQBjAHQAIABkAGkAYQBnAG8AbgBhAGwAXABuACAAIAAgACAAZABlAGwAaQB2AGUAcgAsACAASQBOAEQARQBYACgAYQByAHIAYQB5ACwAIAB4ACgAKQAsACAAeQAoACkAKQAsAFwAbgBcAG4AIAAgACAAIABkAGUAbABpAHYAZQBy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ABpAGEAZw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5AEQAaQBhAGcAuwMsACAARABpAGEAZwBNAGEAcAC7AywAIABhAG4AZAAgAEQAaQBhAGcASQBuAGQAZQB4ALsDLgAgAEUAbgBzAHUAcgBlAHMAIAB0AGgAYQB0ACAAdABoAGUAXABuACAAIAAgACAAYQByAHIAYQB5ACAAaQBzACAAYQAgAHYAYQBsAGkAZAAgADIARAAgAHMAdAByAHUAYwB0AHUAcgBlACwAIAB0AGgAYQB0ACAAYwBvAGwAdQBtAG4AIABpAG4AZABpAGMAZQBzACAAKAB3AGgAZQBuACAAcwB1AHAAcABsAGkAZQBkACkAIABhAHIAZQBcAG4AIAAgACAAIAB3AGkAdABoAGkAbgAgAGIAbwB1AG4AZABzACwAIABhAG4AZAAgAHQAaABhAHQAIABhAG4AeQAgAHMAdQBwAHAAbABpAGUAZAAgAGYAdQBuAGMAdABpAG8AbgAgAGkAcwAgAGEAIAB2AGEAbABpAGQAIABMAEEATQBCAEQAQQAvAEUAVABBAFwAbgAgACAAIAAgAGYAdQBuAGMAdABpAG8AbgAuAFwAbgBcAG4AUABhAHIAYQBtAGUAdABlAHIAcwA6AFwAbgAgACAAIAAgAGEAcgByAGEAeQAgACAAIAAgACAAIAAgACAAIAAgACAAIAAgACAAIAAtACAAMgBEACAAaQBuAHAAdQB0ACAAYQByAHIAYQB5AC4AXABuACAAIAAgACAAWwBjAG8AbABfAGkAbgBkAGUAeABdACAAIAAgACAAIAAgACAAIAAgAC0AIABTAHQAYQByAHQAaQBuAGcAIABjAG8AbAB1AG0AbgAgAGkAbgBkAGUAeAAgACgARABpAGEAZwBJAG4AZABlAHgAuwMgAG8AbgBsAHkAKQAuAFwAbgAgACAAIAAgAFsAZgB1AG4AYwB0AGkAbwBuAF0AIAAgACAAIAAgACAAIAAgACAAIAAtACAARQBUAEEAIABvAHIAIABMAEEATQBCAEQAQQAgACgAQgB5AEQAaQBhAGcAuwMgAG8AbgBsAHkAKQAuAFwAbgAgACAAIAAgAFsAcgBvAHcAXwB3AGkAcwBlAF8AcwB0AGEAYwBrAD8AXQAgACAAIAAtACAATwByAGkAZQBuAHQAYQB0AGkAbwBuACAAZgBsAGEAZwAgACgAQgB5AEQAaQBhAGcAuwMgAC8AIABEAGkAYQBnAE0AYQBwALsDKQAuAFwAbgAgACAAIAAgAFsAbwBuAF8AdgBhAGwAaQBkAF0AIAAgACAAIAAgACAAIAAgACAAIAAtACAARQB4AHAAcgBlAHMAcwBpAG8AbgAgAHQAbwAgAGUAdgBhAGwAdQBhAHQAZQAgAHcAaABlAG4AIABpAG4AcAB1AHQAcwAgAGEAcgBlACAAdgBhAGwAaQBkAC4AXABuAFwAbgBOAG8AdABlAHMAOgBcAG4AIAAgACAAIAAiICAAUwBjAGEAbABhAHIAcwAgAGEAbgBkACAAbgBvAG4AESBhAHIAcgBhAHkAcwAgAGEAcgBlACAAcgBlAGoAZQBjAHQAZQBkAC4AXABuACAAIAAgACAAIiAgAGMAbwBsAF8AaQBuAGQAZQB4ACAAPQAgADAAIABpAHMAIABpAG4AdgBhAGwAaQBkACAAYgB5ACAAZABlAHMAaQBnAG4ALgBcAG4AIAAgACAAIAAiICAARgB1AG4AYwB0AGkAbwBuACAAdgBhAGwAaQBkAGEAdABpAG8AbgAgAHUAcwBlAHMAIABhACAAcwBhAGYAZQAgAFQAWQBQAEUAESBiAGEAcwBlAGQAIABpAG4AdgBvAGMAYQB0AGkAbwBuACAAdABlAHMAdAAuAFwAbgAgACAAIAAgACIgIABSAG8AdQB0AGkAbgBnACAAbABvAGcAaQBjACAAZABlAHQAZQByAG0AaQBuAGUAcwAgAHcAaABpAGMAaAAgAG8AcABlAHIAYQB0AG8AcgAgAGkAcwAgAGIAZQBpAG4AZwAgAHYAYQBsAGkAZABhAHQAZQBkAC4AXABuAC0ALQAtAC0ALQAtAC0ALQAtAC0ALQAtAC0ALQAtAC0ALQAtAC0ALQAtAC0ALQAtAC0ALQAtAC0ALQAtAC0ALQAtAC0ALQAtAC0ALQAtAC0ALQAtAC0ALQAtAC0ALQAtAC0ALQAtAC0ALQAtAC0ALQAtAC0ALQAtAC0ALQAtAC0ALQAtAC0ALQAtAC0ALQAtAC0ALQAtAC0ALQAtACoALwBcAG4AXABuAFYAYQBsAGkAZABhAHQAZQBEAGkAYQBnALsDIAA9AFwAbgBMAEEATQBCAEQAQQAoAFwAbgAgACAAIAAgAGEAcgByAGEAeQAsAFwAbgAgACAAIAAgAFsAYwBvAGwAXwBpAG4AZABlAHgAXQAsAFwAbgAgACAAIAAgAFsAZgB1AG4AYwB0AGkAbwBuAF0ALABcAG4AIAAgACAAIABbAHIAbwB3AF8AdwBpAHMAZQBfAHMAdABhAGMAawA/AF0ALABcAG4AIAAgACAAIABbAG8AbgBfAHYAYQBsAGkAZABdACwAXABuAEwARQBUACgAXABuACAAIAAgACAALwAvACAALQAtAC0AIABBAHIAcgBhAHkAIAB2AGEAbABpAGQAYQB0AGkAbwBuACAALQAtAC0AXABuACAAIAAgACAASQBzAEEAcgByAGEAeQA/ACwAIAAgACAAIAAgACAAIAAgACAAIAAgACAAIAAgACAAVABZAFAARQAoAGEAcgByAGEAeQApACAAPQAgADYANAAsAFwAbgAgACAAIAAgAE4AbwB0AF8AQQByAHIAYQB5ACwAIAAgACAAIAAgACAAIAAgACAAIAAgACAAIAAgAE4ATwBUACgASQBzAEEAcgByAGEAeQA/ACkALABcAG4AXABuACAAIAAgACAALwAvACAALQAtAC0AIABDAG8AbAB1AG0AbgAgAGkAbgBkAGUAeAAgAHYAYQBsAGkAZABhAHQAaQBvAG4AIAAoAEQAaQBhAGcASQBuAGQAZQB4ALsDIABvAG4AbAB5ACkAIAAtAC0ALQBcAG4AIAAgACAAIABOAG8AXwBDAG8AbABfAEkAbgBkAGUAeAAsACAAIAAgACAAIAAgACAAIAAgACAAIABJAFMATwBNAEkAVABUAEUARAAoAGMAbwBsAF8AaQBuAGQAZQB4ACkALABcAG4AIAAgACAAIABDAG8AbABJAG4AZABlAHgAXwBJAG4AYwBsAHUAZABlAGQALAAgACAAIAAgACAAIABOAE8AVAAoAE4AbwBfAEMAbwBsAF8ASQBuAGQAZQB4ACkALABcAG4AIAAgACAAIABOAG8AdABfAFYAYQBsAGkAZABfAEMAbwBsAEkAbgBkAGUAeAA/ACwAIAAgACAAIABOAE8AVAAoAEEATgBEACgAYwBvAGwAXwBpAG4AZABlAHgAIAA8AD4AIAAwACwAXABuACAAIAAgACAAIAAgACAAIAAgACAAIAAgACAAIAAgACAAIAAgACAAIAAgACAAIAAgACAAIAAgACAAIAAgACAAIAAgACAAIAAgAEEAQgBTACgAYwBvAGwAXwBpAG4AZABlAHgAKQAgADwAPQAgAEMATwBMAFUATQBOAFMAKABhAHIAcgBhAHkAKQApACkALABcAG4AXABuACAAIAAgACAALwAvACAALQAtAC0AIABGAHUAbgBjAHQAaQBvAG4AIAB2AGEAbABpAGQAYQB0AGkAbwBuACAAKABCAHkARABpAGEAZwC7AyAAbwBuAGwAeQApACAALQAtAC0AXABuACAAIAAgACAATgBvAF8ARgB1AG4AYwB0AGkAbwBuACwAIAAgACAAIAAgACAAIAAgACAAIAAgACAASQBTAE8ATQBJAFQAVABFAEQAKABmAHUAbgBjAHQAaQBvAG4AKQAsAFwAbgAgACAAIAAgAEYAdQBuAGMAdABpAG8AbgBfAEkAbgBjAGwAdQBkAGUAZAAsACAAIAAgACAAIAAgAE4ATwBUACgATgBvAF8ARgB1AG4AYwB0AGkAbwBuACkALABcAG4AXABuACAAIAAgACAALwAvACAAUwBhAGYAZQAgAGYAdQBuAGMAdABpAG8AbgAgAHYAYQBsAGkAZABhAHQAaQBvAG4AOgAgAGUAbgBzAHUAcgBlACAAZgB1AG4AYwB0AGkAbwBuACAAaQBzACAAYwBhAGwAbABhAGIAbABlAFwAbgAgACAAIAAgAEkAbgB2AGEAbABpAGQAXwBGAHUAbgBjAHQAaQBvAG4APwAsACAAIAAgACAAIAAgAEEATgBEACgARgB1AG4AYwB0AGkAbwBuAF8ASQBuAGMAbAB1AGQAZQBkACwAXABuACAAIAAgACAAIAAgACAAIAAgACAAIAAgACAAIAAgACAAIAAgACAAIAAgACAAIAAgACAAIAAgACAAIAAgACAAIABJAFMARQBSAFIATwBSACgAQgBZAFIATwBXACgAewAxACwAMQB9ACwAIABmAHUAbgBjAHQAaQBvAG4AKQApACkALABcAG4AXABuACAAIAAgACAALwAvACAALQAtAC0AIABPAHIAaQBlAG4AdABhAHQAaQBvAG4AIABmAGwAYQBnACAAKABEAGkAYQBnAE0AYQBwALsDIAAvACAAQgB5AEQAaQBhAGcAuwMpACAALQAtAC0AXABuACAAIAAgACAAUgBvAHcAVwBpAHMAZQBTAHQAYQBjAGsAPwAsACAAIAAgACAAIAAgACAAIAAgACAATgBPAFQAKABJAFMATwBNAEkAVABUAEUARAAoAHIAbwB3AF8AdwBpAHMAZQBfAHMAdABhAGMAawA/ACkAKQAsAFwAbgBcAG4AIAAgACAAIAAvAC8AIAAtAC0ALQAgAEQAZQB0AGUAcgBtAGkAbgBlACAAdwBoAGkAYwBoACAAbwBwAGUAcgBhAHQAbwByACAAaQBzACAAYgBlAGkAbgBnACAAdgBhAGwAaQBkAGEAdABlAGQAIAAtAC0ALQBcAG4AIAAgACAAIABJAHMARABpAGEAZwBJAG4AZABlAHgAPwAsACAAIAAgACAAIAAgACAAIAAgACAAIABDAG8AbABJAG4AZABlAHgAXwBJAG4AYwBsAHUAZABlAGQALABcAG4AIAAgACAAIABJAHMAQgB5AEQAaQBhAGcAPwAsACAAIAAgACAAIAAgACAAIAAgACAAIAAgACAAIABBAE4ARAAoAE4AbwBfAEMAbwBsAF8ASQBuAGQAZQB4ACwAIABGAHUAbgBjAHQAaQBvAG4AXwBJAG4AYwBsAHUAZABlAGQAKQAsAFwAbgAgACAAIAAgAEkAcwBEAGkAYQBnAE0AYQBwAD8ALAAgACAAIAAgACAAIAAgACAAIAAgACAAIAAgAEEATgBEACgATgBvAF8AQwBvAGwAXwBJAG4AZABlAHgALAAgAE4AbwBfAEYAdQBuAGMAdABpAG8AbgApACwAXABuAFwAbgAgACAAIAAgAC8ALwAgAC0ALQAtACAATABvAGcAaQBjACAAZwBhAHQAZQBzACAALQAtAC0AXABuACAAIAAgACAALwAvACAARABpAGEAZwBJAG4AZABlAHgAuwNcAG4AIAAgACAAIABnAGEAdABlAF8ARABpAGEAZwBJAG4AZABlAHgALAAgACAAIAAgACAAIAAgACAAIABJAEYAKABOAG8AdABfAEEAcgByAGEAeQAsACAAIAAgACAAIAAgACAAIAAgACAAIABcACIAIwBOAE8AVAAtAEEAUgBSAEEAWQAhAFwAIgAsAFwAbgAgACAAIAAgACAAIAAgACAAIAAgACAAIAAgACAAIAAgACAAIAAgACAAIAAgACAAIAAgACAAIAAgACAAIAAgACAASQBGACgATgBvAHQAXwBWAGEAbABpAGQAXwBDAG8AbABJAG4AZABlAHgAPwAsACAAXAAiACMAQwBPAEwAVQBNAE4ALQBJAE4ARABFAFgAIQBcACIALABcAG4AIAAgACAAIAAgACAAIAAgACAAIAAgACAAIAAgACAAIAAgACAAIAAgACAAIAAgACAAIAAgACAAIAAgACAAIAAgACAAIAAgACAAbwBuAF8AdgBhAGwAaQBkACkAKQAsAFwAbgBcAG4AIAAgACAAIAAvAC8AIABCAHkARABpAGEAZwC7A1wAbgAgACAAIAAgAGcAYQB0AGUAXwBCAHkARABpAGEAZwAsACAAIAAgACAAIAAgACAAIAAgACAAIAAgAEkARgAoAE4AbwB0AF8AQQByAHIAYQB5ACwAIAAgACAAIAAgACAAIAAgACAAIAAgAFwAIgAjAE4ATwBUAC0AQQBSAFIAQQBZACEAXAAiACwAXABuACAAIAAgACAAIAAgACAAIAAgACAAIAAgACAAIAAgACAAIAAgACAAIAAgACAAIAAgACAAIAAgACAAIAAgACAAIABJAEYAKABJAG4AdgBhAGwAaQBkAF8ARgB1AG4AYwB0AGkAbwBuAD8ALAAgAFwAIgAjAEYAVQBOAEMAVABJAE8ATgAhAFwAIgAsAFwAbgAgACAAIAAgACAAIAAgACAAIAAgACAAIAAgACAAIAAgACAAIAAgACAAIAAgACAAIAAgACAAIAAgACAAIAAgACAAIAAgACAAIABvAG4AXwB2AGEAbABpAGQAKQApACwAXABuAFwAbgAgACAAIAAgAC8ALwAgAEQAaQBhAGcATQBhAHAAuwNcAG4AIAAgACAAIABnAGEAdABlAF8ARABpAGEAZwBNAGEAcAAsACAAIAAgACAAIAAgACAAIAAgACAAIABJAEYAKABOAG8AdABfAEEAcgByAGEAeQAsACAAIAAgACAAIAAgACAAIAAgACAAIABcACIAIwBOAE8AVAAtAEEAUgBSAEEAWQAhAFwAIgAsAFwAbgAgACAAIAAgACAAIAAgACAAIAAgACAAIAAgACAAIAAgACAAIAAgACAAIAAgACAAIAAgACAAIAAgACAAIAAgACAAbwBuAF8AdgBhAGwAaQBkACkALABcAG4AXABuACAAIAAgACAALwAvACAALQAtAC0AIABSAG8AdQB0AGUAIAB0AG8AIABjAG8AcgByAGUAYwB0ACAAZwBhAHQAZQAgAC0ALQAtAFwAbgAgACAAIAAgAGQAZQBjAGkAZABlACwAIAAgACAAIAAgACAAIAAgACAAIAAgACAAIAAgACAAIAAgAEkARgAoAEkAcwBEAGkAYQBnAEkAbgBkAGUAeAA/ACwAIABnAGEAdABlAF8ARABpAGEAZwBJAG4AZABlAHgALABcAG4AXABuACAAIAAgACAAIAAgACAAIAAgACAAIAAgACAAIAAgACAAIAAgACAAIAAgACAAIAAgACAAIAAgACAAIAAgACAAIABJAEYAKABJAHMARABpAGEAZwBNAGEAcAA/ACwAIABnAGEAdABlAF8ARABpAGEAZwBNAGEAcAAsAFwAbgBcAG4AIAAgACAAIAAgACAAIAAgACAAIAAgACAAIAAgACAAIAAgACAAIAAgACAAIAAgACAAIAAgACAAIAAgACAAIAAgACAAIAAgACAASQBGACgASQBzAEIAeQBEAGkAYQBnAD8ALAAgAGcAYQB0AGUAXwBCAHkARABpAGEAZwAsAFwAbgBcAG4AIAAgACAAIAAgACAAIAAgACAAIAAgACAAIAAgACAAIAAgACAAIAAgACAAIAAgACAAIAAgACAAIAAgACAAIAAgACAAIAAgACAAIAAgACAAIABcACIAIwBVAE4AUgBPAFUAVABFAEQAIQBcACIAKQApACkALABcAG4AXABuACAAIAAgACAAZABlAGMAaQBkAGUAXABuACkAKQA7AFwAbgBcAG4AXABuAFwAbgAvACoAIABbAEcAUgAwADYAXQAgAC0ALQAtAC0ALQAtAC0ALQAtAC0ALQAtAC0ALQAtAC0ALQAtAC0ALQAtAC0ALQAtAC0ALQAtAC0ALQAtAC0ALQAtAC0ALQAtAC0ALQAtAC0ALQAtAC0ALQAtAC0ALQAtAC0ALQAtAC0ALQAtAC0ALQAtAC0ALQAtAC0ALQAtAC0ALQAtAC0ALQAtAC0ALQAtAC0AXABuAEYAdQBuAGMAdABpAG8AbgA6ACAAIAAgACAAIABQAGEAaQByAHcAaQBz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FAGMAaABvALsDLAAgAFIAZQBzAGkAegBlALsDXABuAFwAbgBEAGUAcwBjAHIAaQBwAHQAaQBvAG4AOgBcAG4AIAAgACAAIABDAHIAZQBhAHQAZQBzACAAdgBlAHIAdABpAGMAYQBsACAAcABhAGkAcgBzACAAZgByAG8AbQAgADEARAAgAGEAbgBkACAAcwBjAGEAbABhAHIAIABpAG4AcAB1AHQAcwAuACAASQBuAHAAdQB0AHMAIABhAHIAZQAgAGYAbABhAHQAdABlAG4AZQBkACAAdwBpAHQAaABcAG4AIAAgACAAIABUAE8AQwBPAEwAIAB0AG8AIABuAG8AcgBtAGEAbABpAHoAZQAgAG8AcgBpAGUAbgB0AGEAdABpAG8AbgAuACAAMgBEACAAYQByAHIAYQB5AHMAIABhAHIAZQAgAHMAdAByAGkAYwB0AGwAeQAgAHAAcgBvAGgAaQBiAGkAdABlAGQALgBcAG4AXABuAFAAYQByAGEAbQBlAHQAZQByAHMAOgBcAG4AIAAgACAAIAB2AGUAYwB0AG8AcgBfADEAIAAgACAAIAAtACAAMQBEACAAdgBlAGMAdABvAHIAIABvAHIAIABzAGMAYQBsAGEAcgAuAFwAbgAgACAAIAAgAHYAZQBjAHQAbwByAF8AMgAgACAAIAAgAC0AIAAxAEQAIAB2AGUAYwB0AG8AcgAgAG8AcgAgAHMAYwBhAGwAYQByAC4AXABuAC0ALQAtAC0ALQAtAC0ALQAtAC0ALQAtAC0ALQAtAC0ALQAtAC0ALQAtAC0ALQAtAC0ALQAtAC0ALQAtAC0ALQAtAC0ALQAtAC0ALQAtAC0ALQAtAC0ALQAtAC0ALQAtAC0ALQAtAC0ALQAtAC0ALQAtAC0ALQAtAC0ALQAtAC0ALQAtAC0ALQAtAC0ALQAtAC0ALQAtAC0ALQAtACoALwBcAG4AXABuAFAAYQBpAHIAdwBpAHMAZQC7Az0AXABuAEwAQQBNAEIARABBACgAXABuACAAIAAgACAAdgBlAGMAdABvAHIAXwAxACwAXABuACAAIAAgACAAdgBlAGMAdABvAHIAXwAyACwAXABuAFwAbgBMAEUAVAAoAFwAbgAgACAAIAAgAC8ALwAgAEYAbABhAHQAdABlAG4AIABpAG4AcAB1AHQAcwBcAG4AIAAgACAAIAB2ACwAIAAgACAAIAAgACAAIAAgACAAIABUAE8AQwBPAEwAKAB2AGUAYwB0AG8AcgBfADEAKQAsAFwAbgAgACAAIAAgAHYAgiAsACAAIAAgACAAIAAgACAAIAAgAFQATwBDAE8ATAAoAHYAZQBjAHQAbwByAF8AMgApACwAXABuAFwAbgAgACAAIAAgAC8ALwAgAEUAbABlAG0AZQBuAHQAIABjAG8AdQBuAHQAcwBcAG4AIAAgACAAIABrACwAIAAgACAAIAAgACAAIAAgACAAIABDAE8AVQBOAFQAQQAoAHYAKQAsAFwAbgAgACAAIAAgAGsAgiAsACAAIAAgACAAIAAgACAAIAAgAEMATwBVAE4AVABBACgAdgCCICkALABcAG4AXABuACAAIAAgACAALwAvACAASABhAGwAdABpAG4AZwAgAHMAYwBlAG4AYQByAGkAbwBzAFwAbgAgACAAIAAgAEkAcwAyAEQASQBuAHAAdQB0AD8ALAAgAE8AUgAoAEEATgBEACgAUgBPAFcAUwAoAHYAZQBjAHQAbwByAF8AMQApAD4AMQAsACAAQwBPAEwAVQBNAE4AUwAoAHYAZQBjAHQAbwByAF8AMQApAD4AMQApACwAXABuACAAIAAgACAAIAAgACAAIAAgACAAIAAgACAAIAAgACAAIAAgACAAQQBOAEQAKABSAE8AVwBTACgAdgBlAGMAdABvAHIAXwAyACkAPgAxACwAIABDAE8ATABVAE0ATgBTACgAdgBlAGMAdABvAHIAXwAyACkAPgAxACkAKQAsAFwAbgBcAG4AIAAgACAAIABJAHMAMgBCAGkAZwA/ACwAIAAgACAAIABrACAAKgAgAGsAgiAgAD4AIAAxADAAMAAwADAAMAAwACwAXABuAFwAbgBJAEYAKABJAHMAMgBEAEkAbgBwAHUAdAA/ACwAIAAgACMAVgBBAEwAVQBFACEALABcAG4AXABuACAAIAAgACAASQBGACgASQBzADIAQgBpAGcAPwAsACAAIAAgACAAIAAjAE4AVQBNACEALABcAG4AXABuAEwARQBUACgAXABuACAAIAAgACAALwAvACAAQwBhAHIAdABlAHMAaQBhAG4AIABlAHgAcABhAG4AcwBpAG8AbgBcAG4AIAAgACAAIAB4ACwAIAAgACAAIAAgACAARQBjAGgAbwC7AygAdgAsACAAawCCICkALABcAG4AIAAgACAAIAB5ACwAIAAgACAAIAAgACAAUgBlAHMAaQB6AGUAuwMoAHYAgiAsACAAawApACwAXABuACAAIAAgACAAcABhAGkAcgBzACwAIAAgAEgAUwBUAEEAQwBLACgAeAAsACAAeQApACwAXABuAFwAbgAgACAAIAAgAHAAYQBpAHIAcwBcAG4AIAAgACAAIABcAG4AKQApACk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tAGEAdAByAGkAeAAgAGIAeQAgAGEAZwBnAHIAZQBnAGEAdABpAG4AZwAgAG8AdgBlAHIAIABuAG8AbgARIG8AdgBlAHIAbABhAHAAcABpAG4AZwAgAHMAcABhAHQAaQBhAGwAIABiAGwAbwBjAGsAcwBcAG4AIAAgACAAIABvAGYAIABzAGkAegBlACAAZABlAHAAdABoACAA1wAgAHcAaQBkAHQAaAAuACAAUABhAHIAdABpAGEAbAAgAGIAbABvAGMAawBzACAAYQB0ACAAdABoAGUAIABlAGQAZwBlAHMAIABhAHIAZQAgAGkAbgBjAGwAdQBkAGUAZAAuACAAVABoAGUAXABuACAAIAAgACAAYQBnAGcAcgBlAGcAYQB0AGkAbwBuACAAaQBzACAAcABlAHIAZgBvAHIAbQBlAGQAIAB1AHMAaQBuAGcAIABhAG4AIABFAFQAQQARIGMAbwBtAHAAYQB0AGkAYgBsAGUAIABmAHUAbgBjAHQAaQBvAG4AIAAoAGUALgBnAC4ALAAgAFMAVQBNACwAXABuACAAIAAgACAAQQBWAEUAUgBBAEcARQAsACAATQBBAFgALAAgAE0ASQBOACwAIABNAEUARABJAEEATgAsACAAbwByACAAYQAgAGMAdQBzAHQAbwBtACAATABBAE0AQgBEAEEAKQAuAFwAbgBcAG4AUABhAHIAYQBtAGUAdABlAHIAcwA6AFwAbgAgACAAIAAgAG0AYQB0AHIAaQB4ACAAIAAgACAAIAAgAC0AIAAyAEQAIABpAG4AcAB1AHQAIABtAGEAdAByAGkAe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tAGEAdAByAGkAeAAgAGkAbgBwAHUAdABzAC4AXABuACAAIAAgACAAIiAgAFIAZQBqAGUAYwB0AHMAIABpAG4AdgBhAGwAaQBkACAAYgBsAG8AYwBrACAAcwBpAHoAZQBzACAAbwByACAAdABlAHgAdAAgAGQAaQBtAGUAbgBzAGkAbwBuAHMALgBcAG4AIAAgACAAIAAiICAAUABhAHIAdABpAGEAbAAgAGIAbABvAGMAawBzACAAYQByAGUAIABoAGEAbgBkAGwAZQBkACAAYQB1AHQAbwBtAGEAdABpAGMAYQBsAGwAeQAgAHYAaQBhACAASQBOAEQARQBYACAAKwAgAFQATwBDAE8ATAAuAFwAbgAtAC0ALQAtAC0ALQAtAC0ALQAtAC0ALQAtAC0ALQAtAC0ALQAtAC0ALQAtAC0ALQAtAC0ALQAtAC0ALQAtAC0ALQAtAC0ALQAtAC0ALQAtAC0ALQAtAC0ALQAtAC0ALQAtAC0ALQAtAC0ALQAtAC0ALQAtAC0ALQAtAC0ALQAtAC0ALQAtAC0ALQAtAC0ALQAtAC0ALQAtAC0ALQAqAC8AXABuAFwAbgBHAHIAYQBpAG4AuwMgAD0AXABuAEwAQQBNAEIARABBACgAXABuACAAIAAgACAAbQBhAHQAcgBpAHgALABcAG4AIAAgACAAIABkAGUAcAB0AGgALABcAG4AIAAgACAAIAB3AGkAZAB0AGgALABcAG4AIAAgACAAIABmAHUAbgBjAHQAaQBvAG4ALABcAG4AXABuAEkARgAoAE4ATwBUACgAVABZAFAARQAoAG0AYQB0AHIAaQB4ACkAIAA9ACAANgA0ACkALABcACIAIwBNAEEAVABSAEkAWAAhAFwAIgAsAFwAbgBcAG4AIAAgACAAIABJAEYAKABPAFIAKABkAGUAcAB0AGgAIAA+ACAAUgBPAFcAUwAoAG0AYQB0AHIAaQB4ACkALAAgAHcAaQBkAHQAaAAgACAAPgAgAEMATwBMAFUATQBOAFMAKABtAGEAdAByAGkAe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bQBhAHQAcgBpAHgAKQAsAFwAbgAgACAAIAAgAHcALAAgACAAIAAgACAAIAAgACAAIAAgACAAIAAgACAAQwBPAEwAVQBNAE4AUwAoAG0AYQB0AHIAaQB4ACkALABcAG4AXABuACAAIAAgACAALwAvACAATgB1AG0AYgBlAHIAIABvAGYAIABiAGwAbwBjAGsAcwAgACgAcgBvAHUAbgBkAGUAZAAgAHUAcAApAFwAbgAgACAAIAAgAHgALAAgACAAIAAgACAAIAAgACAAIAAgACAAIAAgACAAUgBPAFUATgBEAFUAUAAoAGgAIAAvACAAZABlAHAAdABoACwAIAAwACkALABcAG4AIAAgACAAIAB5ACwAIAAgACAAIAAgACAAIAAgACAAIAAgACAAIAAgAFIATwBVAE4ARABVAFAAKAB3ACAALwAgAHcAaQBkAHQAaAAsACAAMAApACwAXABuAFwAbgAgACAAIAAgAC8ALwAgAEIAbABvAGMAawAgAGEAbgBjAGgAbwByACAAZwByAGkAZABzACAAKABkAGUAZgBlAHIAcgBlAGQAKQBcAG4AIAAgACAAIABkAG8AdwBuACwAIAAgACAAIAAgACAAIAAgACAAIAAgAEwAQQBNAEIARABBACgAUwBFAFEAVQBFAE4AQwBFACgAeAAsACAALAAgADEALAAgAGQAZQBwAHQAaAApACAAKgAgAFMARQBRAFUARQBOAEMARQAoACwAIAB5ACwAIAAxACwAIAAwACkAKQAsAFwAbgAgACAAIAAgAGEAYwByAG8AcwBzACwAIAAgACAAIAAgACAAIAAgACAATABBAE0AQgBEAEEAKABTAEUAUQBVAEUATgBDAEUAKAAsACAAeQAsACAAMQAsACAAdwBpAGQAdABoACkAIAAqACAAUwBFAFEAVQBFAE4AQwBFACgAeAAsACAALAAgADEALAAgADAAKQApACwAXABuAFwAbgAgACAAIAAgAC8ALwAgAEIAbABvAGMAawAgAGEAZwBnAHIAZQBnAGEAdABvAHIAXABuACAAIAAgACAAQgBsAG8AYwBrAHMAuwMsACAAIAAgACAAIAAgACAAIABMAEEATQBCAEQAQQAoAHIALAAgAGMALABcAG4AIAAgACAAIAAgACAAIAAgACAAIAAgACAAIAAgACAAIAAgACAAIAAgACAAIAAgACAATABFAFQAKABcAG4AIAAgACAAIAAgACAAIAAgACAAIAAgACAAIAAgACAAIAAgACAAIAAgACAAIAAgACAAIAAgACAAIABpACwAIAAgACAAIAAgACAATABBAE0AQgBEAEEAKABTAEUAUQBVAEUATgBDAEUAKABkAGUAcAB0AGgALAAgACwAIAByACkAIAAqACAAUwBFAFEAVQBFAE4AQwBFACgALAAgAHcAaQBkAHQAaAAsACAAMQAsACAAMAApACkALABcAG4AIAAgACAAIAAgACAAIAAgACAAIAAgACAAIAAgACAAIAAgACAAIAAgACAAIAAgACAAIAAgACAAIABqACwAIAAgACAAIAAgACAATABBAE0AQgBEAEEAKABTAEUAUQBVAEUATgBDAEUAKAAsACAAdwBpAGQAdABoACwAIABjACkAIAAqACAAUwBFAFEAVQBFAE4AQwBFACgAZABlAHAAdABoACwAIAAsACAAMQAsACAAMAApACkALABcAG4AIAAgACAAIAAgACAAIAAgACAAIAAgACAAIAAgACAAIAAgACAAIAAgACAAIAAgACAAIAAgACAAIABiAGwAbwBjAGsALAAgACAAVABPAEMATwBMACgASQBOAEQARQBYACgAbQBhAHQAcgBpAHg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NAGEAdAByAGkAeAAgACAAIAAgACAAIAAgACAAIAAgAC0AIAAyAEQAIABpAG4AcAB1AHQAIABtAGEAdAByAGkAeAAuAFwAbgAgACAAIAAgAGYAdQBuAGMAdABpAG8AbgAgACAAIAAgACAAIAAgACAALQAgAEUAVABBACAAbwByACAATABBAE0AQgBEAEEAIABhAGcAZwByAGUAZwBhAHQAaQBvAG4AIABmAHUAbgBjAHQAaQBvAG4ALgBcAG4AIAAgACAAIABbAEkAcwB2AG8AbgBOAGUAdQBtAGEAbgBuAD8AXQAgAC0AIABUAFIAVQBFACAAkiEgAHUAcwBlACAAdgBvAG4AIABOAGUAdQBtAGEAbgBuACAAbgBlAGkAZwBoAGIAbwByAGgAbwBvAGQALgBcAG4AIAAgACAAIABbAG8AbQBpAHQAXwBjAGUAbgB0AGUAcgBdACAAIAAgAC0AIABUAFIAVQBFACAAkiEgAGUAeABjAGwAdQBkAGUAIABjAGUAbgB0AGUAcgAgAGMAZQBsAGwAIABmAHIAbwBtACAAYQBnAGcAcgBlAGcAYQB0AGkAbwBuAC4AXABuAC0ALQAtAC0ALQAtAC0ALQAtAC0ALQAtAC0ALQAtAC0ALQAtAC0ALQAtAC0ALQAtAC0ALQAtAC0ALQAtAC0ALQAtAC0ALQAtAC0ALQAtAC0ALQAtAC0ALQAtAC0ALQAtAC0ALQAtAC0ALQAtAC0ALQAtAC0ALQAtAC0ALQAtAC0ALQAtAC0ALQAtAC0ALQAtAC0ALQAtAC0ALQAtACoALwBcAG4AXABuAE0AbwBvAHIAZQBBAGcAZwC7AyAAPQBcAG4ATABBAE0AQgBEAEEAKABcAG4AIAAgACAAIABNAGEAdAByAGkAeAAsAFwAbgAgACAAIAAgAGYAdQBuAGMAdABpAG8AbgAsAFwAbgAgACAAIAAgAFsASQBzAHYAbwBuAE4AZQB1AG0AYQBuAG4APwBdACwAXABuACAAIAAgACAAWwBvAG0AaQB0AF8AYwBlAG4AdABlAHIAXQAsAFwAbgBcAG4ASQBGACgAVABZAFAARQAoAE0AYQB0AHIAaQB4ACkAIAA8AD4AIAA2ADQALABcACIAIwBNAEEAVABSAEkAWAAhAFwAIgAsAFwAbgBcAG4AIAAgACAAIABJAEYAKABUAFkAUABFACgAZgB1AG4AYwB0AGkAbwBuACkAIAA8AD4AIAAxADIAOAAgACwAXAAiACMARQBUAEEAIABGAFUATgBDAFQASQBPAE4AIQBcACIALABcAG4AXABuAEwARQBUACgAXABuACAAIAAgACAALwAvACAATwBwAHQAaQBvAG4AYQBsACAAcABhAHIAYQBtAGUAdABlAHIAcwBcAG4AIAAgACAAIABJAHMAdgBvAG4ATgBlAHUAbQBhAG4AbgA/ACwAIAAgACAAIAAgACAATgBPAFQAKABJAFMATwBNAEkAVABUAEUARAAoAEkAcwB2AG8AbgBOAGUAdQBtAGEAbgBuAD8AKQApACwAXABuACAAIAAgACAAbwBtAGkAdABfAGMAZQBuAHQAZQByACwAIAAgACAAIAAgACAAIAAgAE4ATwBUACgASQBTAE8ATQBJAFQAVABFAEQAKABvAG0AaQB0AF8AYwBlAG4AdABlAHIAKQApACwAXABuAFwAbgAgACAAIAAgAC8ALwAgAEQAaQBtAGUAbgBzAGkAbwBuAHMAXABuACAAIAAgACAAaABlAGkAZwBoAHQALAAgACAAIAAgACAAIAAgACAAIAAgACAAIAAgAFIATwBXAFMAKABNAGEAdAByAGkAeAApACwAXABuACAAIAAgACAAdwBpAGQAdABoACwAIAAgACAAIAAgACAAIAAgACAAIAAgACAAIAAgAEMATwBMAFUATQBOAFMAKABNAGEAdAByAGkAeAApACwAXABuAFwAbgAgACAAIAAgAC8ALwAgAFAAYQBkACAAbQBhAHQAcgBpAHgAIAB3AGkAdABoACAAXAAiAG8AbQBpAHQAXAAiACAAdABvACAAcwBhAGYAZQBsAHkAIABkAHIAbwBwACAAZQBkAGcAZQBzAFwAbgAgACAAIAAgAE0ALAAgACAAIAAgACAAIAAgACAAIAAgACAAIAAgACAAIAAgACAAIABWAFMAVABBAEMASwAoAFwAIgBvAG0AaQB0AFwAIgAsAFwAbgAgACAAIAAgACAAIAAgACAAIAAgACAAIAAgACAAIAAgACAAIAAgACAAIAAgACAAIAAgACAAIAAgACAAIAAgAEgAUwBUAEEAQwBLACgAXAAiAG8AbQBpAHQAXAAiACwAIABNAGEAdAByAGkAe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0AYQB0AHIAaQB4AFwAbgAgACAAIAAgAGQAZQBsAGkAdgBlAHIALAAgACAAIAAgACAAIAAgACAAIAAgACAAIAAgACAAIABJAEYARQBSAFIATwBSACgAVwBSAEEAUABSAE8AVwBTACgAYQBnAGcALAAgAHcAaQBkAHQAaAApACwAIAAwACkALABcAG4AXABuACAAIAAgACAAZABlAGwAaQB2AGUAcgBcAG4AKQApACkAKQA7AFwAbgBcAG4AXABuAFwAbgAvACoAIABbAEcAUgAxADIAXQAgAC0ALQAtAC0ALQAtAC0ALQAtAC0ALQAtAC0ALQAtAC0ALQAtAC0ALQAtAC0ALQAtAC0ALQAtAC0ALQAtAC0ALQAtAC0ALQAtAC0ALQAtAC0ALQAtAC0ALQAtAC0ALQAtAC0ALQAtAC0ALQAtAC0ALQAtAC0ALQAtAC0ALQAtAC0ALQAtAC0ALQAtAC0ALQAtAC0AXABuAEYAdQBuAGMAdABpAG8AbgA6ACAAIAAgACAAIABNAG8AbwByAGUAUwBlAGwAZQBjAHQ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wBlAGwAZQBjAHQAcwAgAGEAIABzAHAAZQBjAGkAZgBpAGMAIABuAGUAaQBnAGgAYgBvAHIAIAAoADEAEyA5ACkAIABmAHIAbwBtACAAdABoAGUAIABNAG8AbwByAGUAIABuAGUAaQBnAGgAYgBvAHIAaABvAG8AZAAgAGYAbwByACAAZQBhAGMAaABcAG4AIAAgACAAIABlAGwAZQBtAGUAbgB0ACAAaQBuACAAYQAgAG0AYQB0AHIAaQB4AC4AIABOAGUAaQBnAGgAYgBvAHIAIABpAG4AZABlAHgAIAA1ACAAcgBlAHQAdQByAG4AcwAgAHQAaABlACAAYwBlAG4AdABlAHIAIABjAGUAbABsAC4AXABuAFwAbgBNAG8AbwByAGUAIABOAGUAaQBnAGgAYgBvAHIAaABvAG8AZAA6AFwAbgAgACAAIAAgACAAIAAgACAAMQAgACAAIAAyACAAIAAgADMAXABuACAAIAAgACAAIAAgACAAIAA0ACAAIAAgAEMAIAAgACAANgBcAG4AIAAgACAAIAAgACAAIAAgADcAIAAgACAAOAAgACAAIAA5AFwAbgBcAG4AUABhAHIAYQBtAGUAdABlAHIAcwA6AFwAbgAgACAAIAAgAE0AYQB0AHIAaQB4ACAAIAAgACAAIAAgAC0AIAAyAEQAIABpAG4AcAB1AHQAIABtAGEAdAByAGkAeAAuAFwAbgAgACAAIAAgAG4AZQBpAGcAaABiAG8AcgAgACAAIAAgAC0AIABJAG4AdABlAGcAZQByACAAMQATIDkAIABpAG4AZABpAGMAYQB0AGkAbgBnACAAdwBoAGkAYwBoACAAbgBlAGkAZwBoAGIAbwByACAAdABvACAAcgBlAHQAdQByAG4ALgBcAG4ALQAtAC0ALQAtAC0ALQAtAC0ALQAtAC0ALQAtAC0ALQAtAC0ALQAtAC0ALQAtAC0ALQAtAC0ALQAtAC0ALQAtAC0ALQAtAC0ALQAtAC0ALQAtAC0ALQAtAC0ALQAtAC0ALQAtAC0ALQAtAC0ALQAtAC0ALQAtAC0ALQAtAC0ALQAtAC0ALQAtAC0ALQAtAC0ALQAtAC0ALQAtAC0AKgAvAFwAbgBcAG4ATQBvAG8AcgBlAFMAZQBsAGUAYwB0ALsDIAA9AFwAbgBMAEEATQBCAEQAQQAoAFwAbgAgACAAIAAgAG0AYQB0AHIAaQB4ACwAXABuACAAIAAgACAAbgBlAGkAZwBoAGIAbwByACwAXABuAFwAbgBJAEYAKABUAFkAUABFACgAbQBhAHQAcgBpAHgAKQAgADwAPgAgADYANAAsAFwAIgAjAE0AQQBUAFIASQBYACEAXAAiACwAXABuAFwAbgAgACAAIAAgAEkARgAoAE4ATwBUACgAQQBOAEQAKABuAGUAaQBnAGgAYgBvAHIAIAA+AD0AIAAxACwAIABuAGUAaQBnAGgAYgBvAHIAIAA8AD0AIAA5ACwAIABOAE8AVAAoAEkAUwBUAEUAWABUACgAbgBlAGkAZwBoAGIAbwByACkAKQApACkALABcACIAIwBOAEUASQBHAEgAQgBPAFIAIQBcACIALABcAG4AXABuAEwARQBUACgAXABuACAAIAAgACAALwAvACAARABpAG0AZQBuAHMAaQBvAG4AcwBcAG4AIAAgACAAIABoAGUAaQBnAGgAdAAsACAAIAAgACAAIAAgACAAIAAgACAAIAAgACAAUgBPAFcAUwAoAG0AYQB0AHIAaQB4ACkALABcAG4AIAAgACAAIAB3AGkAZAB0AGgALAAgACAAIAAgACAAIAAgACAAIAAgACAAIAAgACAAQwBPAEwAVQBNAE4AUwAoAG0AYQB0AHIAaQB4ACkALABcAG4AXABuACAAIAAgACAALwAvACAAUABhAGQAIABtAGEAdAByAGkAeAAgAHcAaQB0AGgAIAB6AGUAcgBvAHMAIAAoAG4AbwAgAGEAZwBnAHIAZQBnAGEAdABpAG8AbgAgAG4AZQBlAGQAZQBkACkAXABuACAAIAAgACAAaABwAGEAZAAsACAAIAAgACAAIAAgACAAIAAgACAAIAAgACAAIAAgAEUAWABQAEEATgBEACgAMAAsACAALAAgAHcAaQBkAHQAaAAgACsAIAAyACwAIAAwACkALABcAG4AIAAgACAAIAB2AHAAYQBkACwAIAAgACAAIAAgACAAIAAgACAAIAAgACAAIAAgACAARQBYAFAAQQBOAEQAKAAwACwAIABoAGUAaQBnAGgAdAAsACAALAAgADAAKQAsAFwAbgAgACAAIAAgAE0ALAAgACAAIAAgACAAIAAgACAAIAAgACAAIAAgACAAIAAgACAAIABWAFMAVABBAEMASwAoAGgAcABhAGQALAAgAEgAUwBUAEEAQwBLACgAdgBwAGEAZAAsACAAbQBhAHQAcgBpAHgALAAgAHYAcABhAGQAKQAsACAAaABwAGEAZAApACwAXABuAFwAbgAgACAAIAAgAC8ALwAgAE0AbwBvAHIAZQAgAG4AZQBpAGcAaABiAG8AcgBoAG8AbwBkACAAZQB4AHQAcgBhAGMAdABpAG8AbgBcAG4AIAAgACAAIABhACwAIAAgACAAIAAgACAAIAAgACAAIAAgACAAIAAgACAAIAAgACAARABSAE8AUAAoAE0ALAAgAC0AMgAsACAALQAyACkALAAgACAAIAAgACAAIAAgACAAIAAgACAAIAAgACAAIAAgACAAIAAgACAAIAAgACAAIAAgAC8ALwAgAE4AVwBcAG4AIAAgACAAIABiACwAIAAgACAAIAAgACAAIAAgACAAIAAgACAAIAAgACAAIAAgACAAVABBAEsARQAoAEQAUgBPAFAAKABNACwAIAAsACAAMQApACwAIABoAGUAaQBnAGgAdAAsACAAdwBpAGQAdABoACkALAAgACAAIAAgACAAIAAgAC8ALwAgAE4AXABuACAAIAAgACAAYwAsACAAIAAgACAAIAAgACAAIAAgACAAIAAgACAAIAAgACAAIAAgAFQAQQBLAEUAKABEAFIATwBQACgATQAsACAALAAgADIAKQAsACAAaABlAGkAZwBoAHQAKQAsACAAIAAgACAAIAAgACAAIAAgACAAIAAgACAAIAAvAC8AIABOAEUAXABuACAAIAAgACAAZAAsACAAIAAgACAAIAAgACAAIAAgACAAIAAgACAAIAAgACAAIAAgAFQAQQBLAEUAKABEAFIATwBQACgATQAsACAAMQAsACAALQAxACkALAAgAGgAZQBpAGcAaAB0ACwAIAB3AGkAZAB0AGgAKQAsACAAIAAgACAAIAAvAC8AIABXAFwAbgAgACAAIAAgAGMAZQBuAHQAZQByACwAIAAgACAAIAAgACAAIAAgACAAIAAgACAAIABUAEEASwBFACgARABSAE8AUAAoAE0ALAAgADEALAAgADEAKQAsACAAaABlAGkAZwBoAHQALAAgAHcAaQBkAHQAaAApACwAIAAgACAAIAAgACAALwAvACAAQwBcAG4AIAAgACAAIABmACwAIAAgACAAIAAgACAAIAAgACAAIAAgACAAIAAgACAAIAAgACAAVABBAEsARQAoAEQAUgBPAFAAKABNACwAIAAxACwAIAAxACkALAAgAGgAZQBpAGcAaAB0ACwAIAAtAHcAaQBkAHQAaAApACwAIAAgACAAIAAgAC8ALwAgAEUAXABuACAAIAAgACAAZwAsACAAIAAgACAAIAAgACAAIAAgACAAIAAgACAAIAAgACAAIAAgAFQAQQBLAEUAKABEAFIATwBQACgATQAsACAAMQAsACAALQAxACkALAAgAC0AaABlAGkAZwBoAHQALAAgAHcAaQBkAHQAaAApACwAIAAgACAAIAAvAC8AIABTAFcAXABuACAAIAAgACAAaAAsACAAIAAgACAAIAAgACAAIAAgACAAIAAgACAAIAAgACAAIAAgAFQAQQBLAEUAKABEAFIATwBQACgATQAsACAAMQAsACAALQAxACkALAAgAC0AaABlAGkAZwBoAHQALAAgAC0AdwBpAGQAdABoACkALAAgACAAIAAvAC8AIABTAFwAbgAgACAAIAAgAGkALAAgACAAIAAgACAAIAAgACAAIAAgACAAIAAgACAAIAAgACAAIABUAEEASwBFACgARABSAE8AUAAoAE0ALAAgADEALAAgADEAKQAsACAALQBoAGUAaQBnAGgAdAAsACAALQB3AGkAZAB0AGgAKQAsACAAIAAgACAALwAvACAAUwBFAFwAbgBcAG4AIAAgACAAIAAvAC8AIABTAHQAYQBjAGsAIABhAGwAbAAgADkAIABuAGUAaQBnAGgAYgBvAHIAcwAgAGgAbwByAGkAegBvAG4AdABhAGwAbAB5AFwAbgAgACAAIAAgAE0AbwBvAHIAZQAsACAAIAAgACAAIAAgACAAIAAgACAAIAAgACAAIABIAFMAVABBAEMASwAoAGEALAAgAGIALAAgAGMALAAgAGQALAAgAGMAZQBuAHQAZQByACwAIABmACwAIABnACwAIABoACwAIABpACkALABcAG4AXABuACAAIAAgACAALwAvACAAQwBvAG0AcAB1AHQAZQAgAHMAdABhAHIAdABpAG4AZwAgAGMAbwBsAHUAbQBuACAAZgBvAHIAIAB0AGgAZQAgAGMAaABvAHMAZQBuACAAbgBlAGkAZwBoAGIAbwByAFwAbgAgACAAIAAgAHMAdABhAHIAdAAsACAAIAAgACAAIAAgACAAIAAgACAAIAAgACAAIAAoAG4AZQBpAGcAaABiAG8AcgAgAC0AIAAxACkAIAAqACAAdwBpAGQAdABoACAAKwAgADEALABcAG4AXABuACAAIAAgACAALwAvACAAUwBlAGwAZQBjAHQAIAB0AGgAZQAgAG4AZQBpAGcAaABiAG8AcgAgAGIAbABvAGMAawBcAG4AIAAgACAAIABzAGUAbABlAGMAdABfAG4AZQBpAGcAaABiAG8AcgAsACAAIAAgACAAQwBIAE8ATwBTAEUAQwBPAEwAUwAoAE0AbwBvAHIAZQAsACAAUwBFAFEAVQBFAE4AQwBFACgALAAgAHcAaQBkAHQAaAAsACAAcwB0AGEAcgB0ACkAKQAsAFwAbgBcAG4AIAAgACAAIABzAGUAbABlAGMAdABfAG4AZQBpAGcAaABiAG8AcgBcAG4AKQApACkAKQA7AFwAbgBcAG4AXABuAFwAbgAvACoAIABbAEcAUgAxADMAXQAgAC0ALQAtAC0ALQAtAC0ALQAtAC0ALQAtAC0ALQAtAC0ALQAtAC0ALQAtAC0ALQAtAC0ALQAtAC0ALQAtAC0ALQAtAC0ALQAtAC0ALQAtAC0ALQAtAC0ALQAtAC0ALQAtAC0ALQAtAC0ALQAtAC0ALQAtAC0ALQAtAC0ALQAtAC0ALQAtAC0ALQAtAC0ALQAtAC0AXABuAEYAdQBuAGMAdABpAG8AbgA6ACAAIAAgACAAIABIAGkAcwB0AG8AZwByAGEAb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HAGUAbgBlAHIAYQB0AGUAcwAgAGEAIABoAGkAcwB0AG8AZwByAGEAbQAgAHUAcwBpAG4AZwAgAGEAdQB0AG8AbQBhAHQAaQBjACAAYgBpAG4AbgBpAG4AZwAgAHIAdQBsAGUAcwAgACgAUwB0AHUAcgBnAGUAcwAsACAAUgBpAGMAZQAsAFwAbgAgACAAIAAgAFMAYwBvAHQAdAAsACAARgByAGUAZQBkAG0AYQBuACkAIABkAGUAcABlAG4AZABpAG4AZwAgAG8AbgAgAHMAYQBtAHAAbABlACAAcwBpAHoAZQAgAGEAbgBkACAAcwBrAGUAdwBuAGUAcwBzAC4AIABTAHUAcABwAG8AcgB0AHMAIABhAG4AXABuACAAIAAgACAAbwBwAHQAaQBvAG4AYQBsACAAZgBpAHgAZQBkACAAYgBpAG4AIAB3AGkAZAB0AGgAIABhAG4AZAAgAGEAbgAgAG8AcAB0AGkAbwBuAGEAbAAgAFAAYQByAGUAdABvACAAKABjAHUAbQB1AGwAYQB0AGkAdgBlACAAJQApACAAYwBvAGwAdQBtAG4ALgBcAG4AXABuAFAAYQByAGEAbQBlAHQAZQByAHMAOgBcAG4AIAAgACAAIABhAHIAcgBhAHkAIAAgACAAIAAgACAAIAAgACAAIAAgACAALQAgAE4AdQBtAGUAcgBpAGMAIABhAHIAcgBhAHkAIAAoADEARAAgAG8AcgAgADIARAApAC4AXABuACAAIAAgACAAWwBiAGkAbgBfAHcAaQBkAHQAaABdACAAIAAgACAAIAAgAC0AIABPAHAAdABpAG8AbgBhAGwAIABmAGkAeABlAGQAIABiAGkAbgAgAHcAaQBkAHQAaAAgACgAMAAgADwAIAB3AGkAZAB0AGgAIABkIiAAMQAwADAAMAApAC4AXABuACAAIAAgACAAWwBpAG4AYwBsAHUAZABlAF8AUABhAHIAZQB0AG8AXQAgAC0AIABUAFIAVQBFACAAkiEgAGkAbgBjAGwAdQBkAGUAIABjAHUAbQB1AGwAYQB0AGkAdgBlACAAJQAgAGMAbwBsAHUAbQBuAC4AXABuAFwAbgBOAG8AdABlAHMAOgBcAG4AIAAgACAAIAAiICAAUgBlAHQAdQByAG4AcwAgACMAVgBBAEwAVQBFACEAIABpAGYAIABmAGUAdwBlAHIAIAB0AGgAYQBuACAAMgAgAHYAYQBsAHUAZQBzACAAYQByAGUAIABzAHUAcABwAGwAaQBlAGQALgBcAG4AIAAgACAAIAAiICAAQwBhAHAAcwAgAHQAbwB0AGEAbAAgAGIAaQBuAHMAIABhAHQAIAAxADAAMAAuAFwAbgAgACAAIAAgACIgIABJAGYAIABiAGkAbgBfAHcAaQBkAHQAaAAgAGkAcwAgAHMAdQBwAHAAbABpAGUAZAAsACAAYQB1AHQAbwBtAGEAdABpAGMAIAByAHUAbABlAHMAIABhAHIAZQAgAGIAeQBwAGEAcwBzAGUAZAAuAFwAbgAtAC0ALQAtAC0ALQAtAC0ALQAtAC0ALQAtAC0ALQAtAC0ALQAtAC0ALQAtAC0ALQAtAC0ALQAtAC0ALQAtAC0ALQAtAC0ALQAtAC0ALQAtAC0ALQAtAC0ALQAtAC0ALQAtAC0ALQAtAC0ALQAtAC0ALQAtAC0ALQAtAC0ALQAtAC0ALQAtAC0ALQAtAC0ALQAtAC0ALQAtAC0ALQAqAC8AXABuAFwAbgBIAGkAcwB0AG8AZwByAGEAbQC7AyAAPQBcAG4ATABBAE0AQgBEAEEAKABcAG4AIAAgACAAIABhAHIAcgBhAHkALABcAG4AIAAgACAAIABbAGIAaQBuAF8AdwBpAGQAdABoAF0ALABcAG4AIAAgACAAIABbAGkAbgBjAGwAdQBkAGUAXwBQAGEAcgBlAHQAbwBdACwAXABuAFwAbgBcAG4ASQBGACgAQwBPAFUATgBUACgAYQByAHIAYQB5ACkAIAA8AD0AIAAxACwAIwBWAEEATABVAEUAIQAsAFwAbgBcAG4AIAAgACAAIABJAEYAKABBAE4ARAAoAE4ATwBUACgASQBTAE8ATQBJAFQAVABFAEQAKABiAGkAbgBfAHcAaQBkAHQAaAApACkALABPAFIAKABiAGkAbgBfAHcAaQBkAHQAaAAgADwAIAAwACwAIABiAGkAbgBfAHcAaQBkAHQAaAAgAD4AIAAxADAAMAAwACkAKQAsAFwAIgAjAEIASQBOAC0AVwBJAEQAVABIACEAXAAiACwAXABuAFwAbgBMAEUAVAAoAFwAbgAgACAAIAAgAC8ALwAgAFMAYQBtAHAAbABlACAAYwBoAGEAcgBhAGMAdABlAHIAaQBzAHQAaQBjAHMAXABuACAAIAAgACAAbgAsACAAIAAgACAAIAAgACAAIAAgACAAIAAgACAAIABDAE8AVQBOAFQAKABhAHIAcgBhAHkAKQAsAFwAbgAgACAAIAAgAFMAbQBhAGwAbABEAGEAdABhAD8ALAAgACAAIAAgACAAbgAgADwAIAAyADAAMAAsAFwAbgAgACAAIAAgAEEAZABkAF8AUABhAHIAZQB0AG8APwAsACAAIAAgACAATgBPAFQAKABJAFMATwBNAEkAVABUAEUARAAoAGkAbgBjAGwAdQBkAGUAXwBQAGEAcgBlAHQAbwApACkALABcAG4AXABuACAAIAAgACAAbQBpAG4ALAAgACAAIAAgACAAIAAgACAAIAAgACAAIABNAEkATgAoAGEAcgByAGEAeQApACwAXABuACAAIAAgACAAbQBhAHgALAAgACAAIAAgACAAIAAgACAAIAAgACAAIABNAEEAWAAoAGEAcgByAGEAeQApACwAXABuACAAIAAgACAAcgBhAG4AZwBlACwAIAAgACAAIAAgACAAIAAgACAAIABtAGEAeAAgAC0AIABtAGkAbgAsAFwAbgAgACAAIAAgAGkAcQByACwAIAAgACAAIAAgACAAIAAgACAAIAAgACAAUQBVAEEAUgBUAEkATABFACgAYQByAHIAYQB5ACwAIAAzACkAIAAtACAAUQBVAEEAUgBUAEkATABFACgAYQByAHIAYQB5ACwAIAAxACkALABcAG4AXABuACAAIAAgACAAcwAsACAAIAAgACAAIAAgACAAIAAgACAAIAAgACAAIABTAEsARQBXACgAYQByAHIAYQB5ACkALABcAG4AIAAgACAAIABJAHMAUwBrAGUAdwBlAGQAPwAsACAAIAAgACAAIAAgAEkARgAoAFMAbQBhAGwAbABEAGEAdABhAD8ALAAgAEYAQQBMAFMARQAsACAAQQBCAFMAKABzACkAIAA+ACAAMAAuADIAKQAsAFwAbgBcAG4AIAAgACAAIAAvAC8AIABPAHAAdABpAG8AbgBhAGwAIABmAGkAeABlAGQAIABiAGkAbgAgAHcAaQBkAHQAaABcAG4AIAAgACAAIABJAHMARgBpAHgAZQBkAD8ALAAgACAAIAAgACAAIAAgAE4ATwBUACgASQBTAE8ATQBJAFQAVABFAEQAKABiAGkAbgBfAHcAaQBkAHQAaAApACkALABcAG4AXABuACAAIAAgACAALwAvACAAQQB1AHQAbwBtAGEAdABpAGMAIABiAGkAbgBuAGkAbgBnACAAcgB1AGwAZQBzAFwAbgAgACAAIAAgAFMAdAB1AHIAZwBlACwAIAAgACAAIAAgACAAIAAgACAAQwBFAEkATABJAE4ARwAoAEwATwBHACgAbgAsACAAMgApACAAKwAgADEALAAgADEAKQAsAFwAbgAgACAAIAAgAFMAUgBSACwAIAAgACAAIAAgACAAIAAgACAAIAAgACAAQwBFAEkATABJAE4ARwAoAFMAUQBSAFQAKABuACkALAAgADEAKQAsAFwAbgAgACAAIAAgAFIAaQBjAGUALAAgACAAIAAgACAAIAAgACAAIAAgACAAQwBFAEkATABJAE4ARwAoADIAIAAqACAAbgBeACgAMQAvADMAKQAsACAAMQApACwAXABuACAAIAAgACAAUwBjAG8AdAB0ACwAIAAgACAAIAAgACAAIAAgACAAIABDAEUASQBMAEkATgBHACgAMwAuADUAIAAqACAAUwBUAEQARQBWAC4AUAAoAGEAcgByAGEAeQApACAALwAgAG4AXgAoADEALwAzACkALAAgADEAKQAsAFwAbgAgACAAIAAgAEYAcgBlAGUAZABtAGEAbgAsACAAIAAgACAAIAAgACAAQwBFAEkATABJAE4ARwAoADIAIAAqACAAaQBxAHIAIAAvACAAbgBeACgAMQAvADMAKQAsACAAMQApACwAXABuAFwAbgAgACAAIAAgAGYAaQB4AGUAZAAsACAAIAAgACAAIAAgACAAIAAgACAAQwBFAEkATABJAE4ARwAoAHIAYQBuAGcAZQAgAC8AIABiAGkAbgBfAHcAaQBkAHQAaAAsACAAMQAgAC8AIABiAGkAbgBfAHcAaQBkAHQAaAApACwAXABuAFwAbgAgACAAIAAgAC8ALwAgAEIAaQBuACAAYwBvAHUAbgB0ACAAcwBlAGwAZQBjAHQAaQBvAG4AXABuACAAIAAgACAAawAsACAAIAAgACAAIAAgACAAIAAgACAAIAAgACAAIABJAEYAKABJAHMARgBpAHgAZQBkAD8ALABmAGkAeABlAGQALABcAG4AIAAgACAAIAAgACAAIAAgACAAIAAgACAAIAAgACAAIAAgACAAIAAgACAAIAAgACAASQBGACgAbgAgADwAPQAgADMAMAAsAE0AQQBYACgAUwB0AHUAcgBnAGUALAAgAFIAaQBjAGUAKQAsAFwAbgAgACAAIAAgACAAIAAgACAAIAAgACAAIAAgACAAIAAgACAAIAAgACAAIAAgACAAIAAgACAAIAAgAEkARgAoAEkAcwBTAGsAZQB3AGUAZAA/ACwATQBJAE4AKABGAHIAZQBlAGQAbQBhAG4ALAAgADEANQApACwAXABuACAAIAAgACAAIAAgACAAIAAgACAAIAAgACAAIAAgACAAIAAgACAAIAAgACAAIAAgACAAIAAgACAAIAAgACAAIABNAEkATgAoAFMAYwBvAHQAdAAsACAAMQA1ACkAKQApACkALABcAG4AXABuACAAIAAgACAALwAvACAAQQB2AG8AaQBkACAAcwBpAG4AZwBsAGUALQBiAGkAbgAgAG8AdQB0AHAAdQB0ADsAIABjAGEAcAAgAGEAdAAgADEAMAAwAFwAbgAgACAAIAAgAGsAXwAsACAAIAAgACAAIAAgACAAIAAgACAAIAAgACAATQBJAE4AKABJAEYAKABrACAAPQAgADEALAAgADUALAAgAGsAKQAsACAAMQAwADAAKQAsAFwAbgBcAG4AIAAgACAAIAAvAC8AIABCAGkAbgAgAGkAbgB0AGUAcgB2AGEAbABcAG4AIAAgACAAIABpAG4AdABlAHIAdgBhAGwALAAgACAAIAAgACAAIAAgAEkARgAoAHIAYQBuAGcAZQAgAD0AIAAwACwAIAAxACwAIABNAEEAWAAoAHIAYQBuAGcAZQAgAC8AIABrAF8ALAAgADAALgAxACkAKQAsAFwAbgAgACAAIAAgAGIAaQBuAF8AdQBwAHAAZQByACwAIAAgACAAIAAgACAAQwBFAEkATABJAE4ARwAoAG0AYQB4ACwAIABpAG4AdABlAHIAdgBhAGwAKQAsAFwAbgAgACAAIAAgAGIAaQBuAF8AbABvAHcAZQByACwAIAAgACAAIAAgACAARgBMAE8ATwBSACgAbQBpAG4ALAAgAGkAbgB0AGUAcgB2AGEAbAApACwAXABuAFwAbgAgACAAIAAgAGIAaQBuAF8AYQByAHIALAAgACAAIAAgACAAIAAgACAAUwBFAFEAVQBFAE4AQwBFACgAMQAgACsAIAAoAGIAaQBuAF8AdQBwAHAAZQByACAALQAgAGIAaQBuAF8AbABvAHcAZQByACkAIAAvACAAaQBuAHQAZQByAHYAYQBsACwALABiAGkAbgBfAGwAbwB3AGUAcgAsAGkAbgB0AGUAcgB2AGEAbAApACwAXABuAFwAbgAgACAAIAAgAC8ALwAgAEIAaQBuACAAbABhAGIAZQBsAHMAXABuACAAIAAgACAAYgBpAG4AXwBzAHQAYQByAHQALAAgACAAIAAgACAAIABEAFIATwBQACgAYgBpAG4AXwBhAHIAcgAsACAALQAxACkALABcAG4AIAAgACAAIABiAGkAbgBfAGUAbgBkACwAIAAgACAAIAAgACAAIAAgAEQAUgBPAFAAKABiAGkAbgBfAGEAcgByACwAIAAxACkALABcAG4AXABuACAAIAAgACAAYgBpAG4AXwBoAGUAYQBkAGUAcgAsACAAIAAgACAAIAB7AFwAIgBTAHQAYQByAHQAXAAiACwAIABcACIARQBuAGQAXAAiACwAIABcACIAVABvAHQAYQBsAFwAIgB9ACwAXABuACAAIAAgACAAYgBpAG4AXwBsAGEAYgBlAGwAcwAsACAAIAAgACAAIABIAFMAVABBAEMASwAoAFYAUwBUAEEAQwBLACgAXAAiADwAXAAiACwAIABiAGkAbgBfAHMAdABhAHIAdAApACwAXABuACAAIAAgACAAIAAgACAAIAAgACAAIAAgACAAIAAgACAAIAAgACAAIAAgACAAIAAgACAAIAAgAFYAUwBUAEEAQwBLACgAVABBAEsARQAoAGIAaQBuAF8AcwB0AGEAcgB0ACwAIAAxACkALAAgAGIAaQBuAF8AZQBuAGQAKQApACwAXABuAFwAbgAgACAAIAAgAC8ALwAgAEYAcgBlAHEAdQBlAG4AYwBpAGUAcwAgAGEAbgBkACAAUABhAHIAZQB0AG8AXABuACAAIAAgACAAZgByAGUAcQAsACAAIAAgACAAIAAgACAAIAAgACAAIABEAFIATwBQACgARgBSAEUAUQBVAEUATgBDAFkAKABhAHIAcgBhAHkALAAgAGIAaQBuAF8AYQByAHIAKQAsACAALQAxACkALABcAG4AIAAgACAAIABQAGEAcgBlAHQAbwAsACAAIAAgACAAIAAgACAAIAAgAEIAWQBSAE8AVwAoAGYAcgBlAHEALAAgAEwAQQBNAEIARABBACgAdgAsACAAUABFAFIAQwBFAE4AVABPAEYAKAB2ACwAIABmAHIAZQBxACkAKQApACwAXABuAFwAbgAgACAAIAAgAC8ALwAgAEYAaQBuAGEAbAAgAGEAcwBzAGUAbQBiAGwAeQBcAG4AIAAgACAAIABzAHQAYQBjAGsALAAgACAAIAAgACAAIAAgACAAIAAgAFYAUwBUAEEAQwBLACgAYgBpAG4AXwBoAGUAYQBkAGUAcgAsACAASABTAFQAQQBDAEsAKABiAGkAbgBfAGwAYQBiAGUAbABzACwAIABmAHIAZQBxACkAKQAsAFwAbgBcAG4AIAAgACAAIABkAGUAbABpAHYAZQByACwAIAAgACAAIAAgACAAIAAgAEkARgAoAEEAZABkAF8AUABhAHIAZQB0AG8APwAsAFMATwBSAFQAKABIAFMAVABBAEMASwAoAHMAdABhAGMAawAsAFYAUwBUAEEAQwBLACgAXAAiAEMAdQBtAHUAbABhAHQAaQB2AGUAIAAlAFwAIgAsACAAUABhAHIAZQB0AG8AKQApACwAMwAsAC0AMQApACwAXABuACAAIAAgACAAIAAgACAAIAAgACAAIAAgACAAIAAgACAAIAAgACAAIAAgACAAIAAgAHMAdABhAGMAawApACwAXABuAFwAbgAgACAAIAAgAGQAZQBsAGkAdgBlAHIAXABuACkAKQApACkAOwBcAG4AXABuAFwAbgBcAG4ALwAqACAAWwBHAFIAMQA0AF0AIAAtAC0ALQAtAC0ALQAtAC0ALQAtAC0ALQAtAC0ALQAtAC0ALQAtAC0ALQAtAC0ALQAtAC0ALQAtAC0ALQAtAC0ALQAtAC0ALQAtAC0ALQAtAC0ALQAtAC0ALQAtAC0ALQAtAC0ALQAtAC0ALQAtAC0ALQAtAC0ALQAtAC0ALQAtAC0ALQAtAC0ALQAtAC0ALQAtAFwAbgBGAHUAbgBjAHQAaQBvAG4AOgAgACAAIAAgACAATQBvAGQAZQC7A1wAbgBDAGEAdABlAGcAbwByAHkAOgAgACAAIAAgACAARwByAGkAZAAgAEEAbgBhAGwAeQB0AGkAYwBzACAAKABTAHQAYQB0AGkAcwB0AGkAYwBzACkAXABuAEEAdQB0AGgAbwByADoAIAAgACAAIAAgACAAIABQAGEAdAByAGkAYwBrACAASAAuAFwAbgBWAGUAcgBzAGkAbwBuADoAIAAgACAAIAAgACAAMQAuADEAXABuAFwAbgBEAGUAcwBjAHIAaQBwAHQAaQBvAG4AOgBcAG4AIAAgACAAIABSAGUAdAB1AHIAbgBzACAAYQAgAHYAZQByAHQAaQBjAGEAbAAgAGEAcgByAGEAeQAgAG8AZgAgAHQAaABlACAAbQBvAHMAdAAgAGYAcgBlAHEAdQBlAG4AdABsAHkAIABvAGMAYwB1AHIAcgBpAG4AZwAgAHYAYQBsAHUAZQBzACAAbwByAFwAbgAgACAAIAAgAHQAZQB4AHQAIABlAG4AdAByAGkAZQBzACAAaQBuACAAYQBuACAAYQByAHIAYQB5AC4AIABTAHUAcABwAG8AcgB0AHMAIABhAG4AIABvAHAAdABpAG8AbgBhAGwAIAB0AG8AdABhAGwAcwAgAGMAbwBsAHUAbQBuACAAcwBoAG8AdwBpAG4AZwBcAG4AIAAgACAAIAB0AGgAZQAgAGMAbwB1AG4AdAAgAG8AZgAgAGUAYQBjAGgAIABtAG8AZABlAC4AXABuAFwAbgBQAGEAcgBhAG0AZQB0AGUAcgBzADoAXABuACAAIAAgACAAYQByAHIAYQB5ACAAIAAgACAAIAAgACAAIAAgACAAIAAtACAAQQByAHIAYQB5ACAAKAAxAEQAIABvAHIAIAAyAEQAKQAuAFwAbgAgACAAIAAgAFsAaQBuAGMAbAB1AGQAZQBfAHQAbwB0AGEAbABzAF0ALQAgAFQAUgBVAEUAIACSISAAaQBuAGMAbAB1AGQAZQAgAGMAbwB1AG4AdABzACAAbwBmACAAZgByAGUAcQB1AGUAbgB0ACAAdgBhAGwAdQBlAHMALgBcAG4AXABuAE4AbwB0AGUAcwA6AFwAbgAgACAAIAAgACIgIABJAGYAIAB0AGgAZQAgAGEAcgByAGEAeQAgAGMAbwBuAHQAYQBpAG4AcwAgAG4AbwAgAHQAZQB4AHQALAAgAE0ATwBEAEUALgBNAFUATABUACAAaQBzACAAdQBzAGUAZAAgAGYAbwByACAAbgB1AG0AZQByAGkAYwAgAG0AbwBkAGUALgBcAG4AIAAgACAAIAAiICAASQBmACAAbgBvACAAcgBlAHAAZQBhAHQAcwAgAGUAeABpAHMAdAAsACAAcgBlAHQAdQByAG4AcwAgAFwAIgAjAE4ATwAtAFIARQBQAEUAQQBUAFMAIQBcACIALgBcAG4ALQAtAC0ALQAtAC0ALQAtAC0ALQAtAC0ALQAtAC0ALQAtAC0ALQAtAC0ALQAtAC0ALQAtAC0ALQAtAC0ALQAtAC0ALQAtAC0ALQAtAC0ALQAtAC0ALQAtAC0ALQAtAC0ALQAtAC0ALQAtAC0ALQAtAC0ALQAtAC0ALQAtAC0ALQAtAC0ALQAtAC0ALQAtAC0ALQAtAC0ALQAtAC0AKgAvAFwAbgBcAG4ATQBvAGQAZQC7AyAAPQBcAG4ATABBAE0AQgBEAEEAKABcAG4AIAAgACAAIABhAHIAcgBhAHkALABcAG4AIAAgACAAIABbAGkAbgBjAGwAdQBkAGUAXwB0AG8AdABhAGwAcwBdACwAXABuAFwAbgBJAEYAKABDAE8AVQBOAFQAKAAtAC0ASQBTAFQARQBYAFQAKABhAHIAcgBhAHkAKQApACAAPQAgADAALABNAE8ARABFAC4ATQBVAEwAVAAoAGEAcgByAGEAeQApACwAXABuAFwAbgBMAEUAVAAoAFwAbgAgACAAIAAgAC8ALwAgAE0AZQBzAHMAYQBnAGUAIABmAG8AcgAgAG4AbwAgAHIAZQBwAGUAYQB0AHMAXABuACAAIAAgACAAbQBzAGcALAAgACAAIAAgACAAIAAgACAAIAAgACAAIABcACIAIwBOAE8ALQBSAEUAUABFAEEAVABTACEAXAAiACwAXABuAFwAbgAgACAAIAAgAC8ALwAgAEYAbABhAHQAdABlAG4AIABpAG4AcAB1AHQAIABhAG4AZAAgAGMAbwBtAHAAdQB0AGUAIABtAG8AZABlACAAaQBuAGQAaQBjAGUAcwBcAG4AIAAgACAAIABWACwAIAAgACAAIAAgACAAIAAgACAAIAAgACAAIAAgAFQATwBDAE8ATAAoAGEAcgByAGEAeQApACwAXABuACAAIAAgACAAaQAsACAAIAAgACAAIAAgACAAIAAgACAAIAAgACAAIABNAE8ARABFAC4ATQBVAEwAVAAoAFgATQBBAFQAQwBIACgAVgAsACAAVgApACkALABcAG4AIAAgACAAIAByAGUAcwB1AGwAdAAsACAAIAAgACAAIAAgACAAIAAgAFMATwBSAFQAKABJAEYARQBSAFIATwBSACgASQBOAEQARQBYACgAVgAsACAAaQApACwAIABtAHMAZwApACkALABcAG4AXABuACAAIAAgACAALwAvACAAVABvAHQAYQBsAHMAIABmAG8AcgAgAHIAZQBwAGUAYQB0AGUAZAAgAHYAYQBsAHUAZQBzAFwAbgAgACAAIAAgAGsAZQBlAHAALAAgACAAIAAgACAAIAAgACAAIAAgACAASQBTAE4AVQBNAEIARQBSACgAWABNAEEAVABDAEgAKABWACwAIAByAGUAcwB1AGwAdAApACkALABcAG4AIAAgACAAIAB0AG8AdABhAGwAcwAsACAAIAAgACAAIAAgACAAIAAgAEcAUgBPAFUAUABCAFkAKABWACwAIABWACwAIABDAE8AVQBOAFQAQQAsACAAMAAsACAAMAAsACAALAAgAGsAZQBlAHAAKQAsAFwAbgBcAG4AIAAgACAAIAAvAC8AIABEAGUAbABpAHYAZQByACAAdABvAHQAYQBsAHMAIABpAGYAIAByAGUAcQB1AGUAcwB0AGUAZABcAG4AIAAgACAAIABkAGUAbABpAHYAZQByACwAIAAgACAAIAAgACAAIAAgAEkARgAoAEEATgBEACgAaQBuAGMAbAB1AGQAZQBfAHQAbwB0AGEAbABzACwAIAByAGUAcwB1AGwAdAAgADwAPgAgAG0AcwBnACkALAB0AG8AdABhAGwAcwAsAFwAbgAgACAAIAAgACAAIAAgACAAIAAgACAAIAAgACAAIAAgACAAIAAgACAAIAAgACAAIAByAGUAcwB1AGwAdAApACwAXABuAFwAbgAgACAAIAAgAGQAZQBsAGkAdgBlAHIAXABuACkAKQApADsAXABuAFwAbgBcAG4AXABuAC8AKgAgAFsARwBSADEANQBdACAALQAtAC0ALQAtAC0ALQAtAC0ALQAtAC0ALQAtAC0ALQAtAC0ALQAtAC0ALQAtAC0ALQAtAC0ALQAtAC0ALQAtAC0ALQAtAC0ALQAtAC0ALQAtAC0ALQAtAC0ALQAtAC0ALQAtAC0ALQAtAC0ALQAtAC0ALQAtAC0ALQAtAC0ALQAtAC0ALQAtAC0ALQAtAC0ALQBcAG4ARgB1AG4AYwB0AGkAbwBuADoAIAAgACAAIAAgAFoAbwBuAGUAUwB0AGEAdAC7A1wAbgBDAGEAdABlAGcAbwByAHkAOgAgACAAIAAgACAARwByAGkAZAAgAEEAbgBhAGwAeQB0AGkAYwBzACAAKABTAHQAYQB0AGkAcwB0AGkAYwBzACkAXABuAEEAdQB0AGgAbwByADoAIAAgACAAIAAgACAAIABQAGEAdAByAGkAYwBrACAASAAuAFwAbgBWAGUAcgBzAGkAbwBuADoAIAAgACAAIAAgACAAMQAuADEAXABuAEQAZQBwAGUAbgBkAGUAbgBjAGkAZQBzADoAIABIAGkAcwB0AG8AZwByAGEAbQC7A1wAbgBcAG4ARABlAHMAYwByAGkAcAB0AGkAbwBuADoAXABuACAAIAAgACAAQQBnAGcAcgBlAGcAYQB0AGUAcwAgAHYAYQBsAHUAZQBzACAAYgB5ACAAXAAiAHoAbwBuAGUAcwBcACIAIABkAGUAdABlAHIAbQBpAG4AZQBkACAAYgB5ACAASABpAHMAdABvAGcAcgBhAG0AuwMuACAAVABoAGUAIABiAGkAbgAgAHcAaQBkAHQAaAAgAGkAcwBcAG4AIAAgACAAIABjAG8AbQBwAHUAdABlAGQAIABhAHMAIAAxADAAXgBtACAAdwBoAGUAcgBlACAAbQAgAGkAcwAgAHQAaABlACAAbQBvAHMAdAAgAGYAcgBlAHEAdQBlAG4AdAAgAGkAbgB0AGUAZwBlAHIAIABMAE8ARwAgAG0AYQBnAG4AaQB0AHUAZABlACAAbwBmAFwAbgAgACAAIAAgAHQAaABlACAAdgBhAGwAdQBlAHMALgAgAFMAdQBwAHAAbwByAHQAcwAgAEUAVABBACAAZgB1AG4AYwB0AGkAbwBuAHMAIABhAG4AZAAgAGMAdQBzAHQAbwBtACAATABBAE0AQgBEAEEAcwAuAFwAbgBcAG4AUABhAHIAYQBtAGUAdABlAHIAcwA6AFwAbgAgACAAIAAgAGcAcgBpAGQAIAAgACAAIAAgACAAIAAgAC0AIABOAHUAbQBlAHIAaQBjACAAYQByAHIAYQB5ACAAKAAxAEQAIABvAHIAIAAyAEQAKQAuAFwAbgAgACAAIAAgAFsAZgB1AG4AYwB0AGkAbwBuAF0AIAAgAC0AIABFAFQAQQAgAG8AcgAgAEwAQQBNAEIARABBACAAYQBnAGcAcgBlAGcAYQB0AGkAbwBuACAAZgB1AG4AYwB0AGkAbwBuACAAKABkAGUAZgBhAHUAbAB0ACAAUwBVAE0AKQAuAFwAbgBcAG4ATgBvAHQAZQBzADoAXABuACAAIAAgACAAIiAgAFMAYwBhAGwAYQByAHMAIAByAGUAdAB1AHIAbgAgAGYAdQBuAGMAdABpAG8AbgAoAGcAcgBpAGQAKQAuAFwAbgAgACAAIAAgACIgIABOAG8AbgARIG4AdQBtAGUAcgBpAGMAIABnAHIAaQBkAHMAIAByAGUAdAB1AHIAbgAgACMAVgBBAEwAVQBFACEALgBcAG4AIAAgACAAIAAiICAAWgBvAG4AZQBzACAAYQByAGUAIABhAHMAcwBpAGcAbgBlAGQAIAB2AGkAYQAgAEgAaQBzAHQAbwBnAHIAYQBtALsDIAB1AHMAaQBuAGcAIABhAHUAdABvAG0AYQB0AGkAYwAgAGIAaQBuAG4AaQBuAGcALgBcAG4ALQAtAC0ALQAtAC0ALQAtAC0ALQAtAC0ALQAtAC0ALQAtAC0ALQAtAC0ALQAtAC0ALQAtAC0ALQAtAC0ALQAtAC0ALQAtAC0ALQAtAC0ALQAtAC0ALQAtAC0ALQAtAC0ALQAtAC0ALQAtAC0ALQAtAC0ALQAtAC0ALQAtAC0ALQAtAC0ALQAtAC0ALQAtAC0ALQAtAC0ALQAtAC0AKgAvAFwAbgBcAG4AWgBvAG4AZQBTAHQAYQB0ALsDIAA9AFwAbgBMAEEATQBCAEQAQQAoAFwAbgAgACAAIAAgAGcAcgBpAGQALABcAG4AIAAgACAAIABbAGYAdQBuAGMAdABpAG8AbgBdACwAXABuAFwAbgBMAEUAVAAoAFwAbgAgACAAIAAgAC8ALwAgAEQAZQBmAGEAdQBsAHQAIABhAGcAZwByAGUAZwBhAHQAaQBvAG4AIABmAHUAbgBjAHQAaQBvAG4AXABuACAAIAAgACAAZgB1AG4AYwB0AGkAbwBuACwAIAAgACAAIAAgACAAIAAgACAAIAAgAEkARgAoAEkAUwBPAE0ASQBUAFQARQBEACgAZgB1AG4AYwB0AGkAbwBuACkALAAgAFMAVQBNACwAIABmAHUAbgBjAHQAaQBvAG4AKQAsAFwAbgBcAG4AIAAgACAAIAAvAC8AIAAtAC0ALQAgAFYAYQBsAGkAZABhAHQAaQBvAG4AIAAtAC0ALQBcAG4AIAAgACAAIABJAHMATgBvAG4ATgB1AG0APwAsACAAIAAgACAAIAAgACAAIAAgACAAQQBOAEQAKABJAFMAVABFAFgAVAAoAGcAcgBpAGQAKQApACwAXABuACAAIAAgACAASQBuAHYAYQBsAGkAZABGAG4APwAsACAAIAAgACAAIAAgACAAIAAgAFQAWQBQAEUAKABmAHUAbgBjAHQAaQBvAG4AKQAgADwAPgAgADEAMgA4ACwAXABuACAAIAAgACAASQBzAFMAYwBhAGwAYQByAD8ALAAgACAAIAAgACAAIAAgACAAIAAgAEEATgBEACgAUgBPAFcAUwAoAGcAcgBpAGQAKQA9ADEALAAgAEMATwBMAFUATQBOAFMAKABnAHIAaQBkACkAPQAxACkALABcAG4AXABuACAAIAAgACAALwAvACAATABvAGcAaQBjACAAZwBhAHQAZQBcAG4AIAAgACAAIABJAEYAKABJAHMATgBvAG4ATgB1AG0APwAsACAAIAAgACAAIAAgACAAIAAgACAAIwBWAEEATABVAEUAIQAsAFwAbgBcAG4AIAAgACAAIAAgACAAIAAgAEkARgAoAEkAbgB2AGEAbABpAGQARgBuAD8ALAAgACAAIAAgACAAXAAiACMARgBVAE4AQwBUAEkATwBOACEAXAAiACwAXABuAFwAbgAgACAAIAAgACAAIAAgACAAIAAgACAAIABJAEYAKABJAHMAUwBjAGEAbABhAHIAPwAsACAAIABmAHUAbgBjAHQAaQBvAG4AKABnAHIAaQBkACkALABcAG4AXABuAEwARQBUACgAXABuACAAIAAgACAALwAvACAARABlAHQAZQByAG0AaQBuAGUAIABiAGkAbgAgAHcAaQBkAHQAaAAgAGYAcgBvAG0AIABtAGEAZwBuAGkAdAB1AGQAZQBcAG4AIAAgACAAIABtAGEAZwAsACAAIAAgACAAIAAgACAAIAAgACAAIAAgACAAIAAgACAASQBGAEUAUgBSAE8AUgAoAE0ATwBEAEUAKABJAE4AVAAoAEwATwBHACgAZwByAGkAZAApACkAKQAsACAAMQApACwAXABuACAAIAAgACAAYgBpAG4AXwB3AGkAZAB0AGgALAAgACAAIAAgACAAIAAgACAAIAAgADEAMAAgAF4AIABtAGEAZwAsAFwAbgBcAG4AIAAgACAAIAAvAC8AIABIAGkAcwB0AG8AZwByAGEAbQAgAGIAaQBuAHMAIAAoAGYAaQByAHMAdAAgAGMAbwBsAHUAbQBuACAAbwBuAGwAeQApAFwAbgAgACAAIAAgAGgAaQBzAHQALAAgACAAIAAgACAAIAAgACAAIAAgACAAIAAgACAAIABUAEEASwBFACgARABSAE8AUAAoAEgAaQBzAHQAbwBnAHIAYQBtALsDKABnAHIAaQBkACwAIABiAGkAbgBfAHcAaQBkAHQAaAApACwAIAAyACkALAAgACwAIAAxACkALABcAG4AXABuACAAIAAgACAALwAvACAAQQBzAHMAaQBnAG4AIAB6AG8AbgBlAHMAXABuACAAIAAgACAAegBvAG4AZQBzACwAIAAgACAAIAAgACAAIAAgACAAIAAgACAAIAAgAEkARgBOAEEAKABYAE0AQQBUAEMASAAoAGcAcgBpAGQALAAgAGgAaQBzAHQALAAgAC0AMQApACwAIAAwACkALABcAG4AXABuACAAIAAgACAALwAvACAARgBsAGEAdAB0AGUAbgAgAGEAcgByAGEAeQBzAFwAbgAgACAAIAAgAGcALAAgACAAIAAgACAAIAAgACAAIAAgACAAIAAgACAAIAAgACAAIABUAE8AQwBPAEwAKABnAHIAaQBkACkALABcAG4AIAAgACAAIAB6ACwAIAAgACAAIAAgACAAIAAgACAAIAAgACAAIAAgACAAIAAgACAAVABPAEMATwBMACgAegBvAG4AZQBzACkALABcAG4AXABuACAAIAAgACAALwAvACAAQQBnAGcAcgBlAGcAYQB0AGUAIABiAHkAIAB6AG8AbgBlAFwAbgAgACAAIAAgAGEAZwBnACwAIAAgACAAIAAgACAAIAAgACAAIAAgACAAIAAgACAAIABHAFIATwBVAFAAQgBZACgAegAsACAAZwAsACAAZgB1AG4AYwB0AGkAbwBuACwAIAAsACAAMAApACwAXABuACAAIAAgACAAegBvAG4AZQBfAEkARABzACwAIAAgACAAIAAgACAAIAAgACAAIAAgAFQAQQBLAEUAKABhAGcAZwAsACAALAAgADEAKQAsAFwAbgAgACAAIAAgAGcAcgBpAGQAXwB2AGEAbAB1AGUAcwAsACAAIAAgACAAIAAgACAAIABUAEEASwBFACgAYQBnAGcALAAgACwAIAAtADEAKQAsAFwAbgBcAG4AIAAgACAAIAAvAC8AIABCAHIAbwBhAGQAYwBhAHMAdAAgAGEAZwBnAHIAZQBnAGEAdABlAGQAIAB2AGEAbAB1AGUAcwAgAGIAYQBjAGsAIAB0AG8AIABnAHIAaQBkACAAcwBoAGEAcABlAFwAbgAgACAAIAAgAGYAaQBuAGEAbAAsACAAIAAgACAAIAAgACAAIAAgACAAIAAgACAAIABYAEwATwBPAEsAVQBQACgAegBvAG4AZQBzACwAIAB6AG8AbgBlAF8ASQBEAHMALAAgAGcAcgBpAGQAXwB2AGEAbAB1AGUAcwAsACAAMAApACwAXABuAFwAbgAgACAAIAAgAGYAaQBuAGEAbABcAG4AKQApACkAKQApACkAOwBcAG4AXABuAFwAbgBcAG4ALwAvACAAWwBUAFgAXQAgAC0ALQAtAC0ALQAtAC0ALQAtAC0ALQAtAC0ALQAtAC0ALQAtAC0ALQAtAC0ALQAtAC0ALQAtAC0ALQAtAC0ALQAtAC0ALQAtAC0ALQAtAC0ALQAtAC0ALQAtAC0ALQAtAC0ALQAtAC0ALQAtAC0ALQAtAC0ALQAtAC0ALQAtAC0ALQAtAC0ALQAtAC0ALQAtAC0ALQAtAC0ALQBcAG4ALwAvACAALQAtAC0AIwAjACAAMAA3ACAAFCAgAFQAZQB4AHQ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VABoAGkAcwAgAGMAYQB0AGUAZwBvAHIAeQAgAHAAcgBvAHYAaQBkAGUAcwAgAG8AcABlAHIAYQB0AG8AcgBzACAAdABoAGEAdAAgAG8AdgBlAHIAYwBvAG0AZQAgAGMAbwBtAG0AbwBuACAAbABpAG0AaQB0AGEAdABpAG8AbgBzACAAaQBuAFwAbgAgACAAIAAgAEUAeABjAGUAbAAnAHMAIABuAGEAdABpAHYAZQAgAHQAZQB4AHQAIABlAG4AZwBpAG4AZQAgACgAZQAuAGcALgAsACAAVABFAFgAVABTAFAATABJAFQAIABjAGEAbgBuAG8AdAAgAHMAcABpAGwAbAAgADIARAAgAHIAZQBzAHUAbAB0AHMAOwAgAEIAWQBSAE8AVwBcAG4AIAAgACAAIABjAGEAbgBuAG8AdAAgAGQAZQBwAGwAbwB5ACAAUwBPAFIAVAAgAHQAbwAgAGEAbABpAGcAbgAgAGMAbwBsAHUAbQBuAHMAKQAuACAAVABoAGUAcwBlACAAZgB1AG4AYwB0AGkAbwBuAHMAIABlAG4AYQBiAGwAZQAgAHMAdAByAHUAYwB0AHUAcgBhAGwAXABuACAAIAAgACAAYQBsAGkAZwBuAG0AZQBuAHQALAAgAGUAeAB0AHIAYQBjAHQAaQBvAG4ALAAgAGEAbgBkACAAdAByAGEAbgBzAGYAbwByAG0AYQB0AGkAbwBuACAAbwBmACAAdABlAHgAdAAgAGEAcgByAGEAeQBzACwAIABlAHgAdABlAG4AZABpAG4AZwAgAEUAeABjAGUAbAAnAHMAXABuACAAIAAgACAAYwBhAHAAYQBiAGkAbABpAHQAaQBlAHMAIABmAG8AcgAgAGIAbwB0AGgAIAAxAEQAIABhAG4AZAAgADIARAAgAGkAbgBwAHUAdABzAC4AXABuAFwAbgBGAHUAbgBjAHQAaQBvAG4AcwA6AFwAbgAgACAAIAAgACIgIABBAGwAaQBnAG4AuwNcAG4AIAAgACAAIAAgACAAIAAgAFMAbwByAHQAcwAgAGUAYQBjAGgAIAByAG8AdwAgAG8AcgAgAGMAbwBsAHUAbQBuACAAYQBsAHAAaABhAGIAZQB0AGkAYwBhAGwAbAB5AC4AXABuAFwAbgAgACAAIAAgACIgIABBAGwAaQBnAG4ARABpAHMAdABpAG4AYwB0ALsDXABuACAAIAAgACAAIAAgACAAIABDAGEAbABsAHMAIABBAGwAaQBnAG4AuwMgAHQAbwAgAHMAbwByAHQAIABhACAAMgBEACAAYQByAHIAYQB5ACwAIAB0AGgAZQBuACAAcgBlAHQAdQByAG4AcwAgAGQAaQBzAHQAaQBuAGMAdAAgAHYAYQBsAHUAZQBzAC4AXABuAFwAbgAgACAAIAAgACIgIABBAGwAaQBnAG4AVQBuAGkAcQB1AGUAuwNcAG4AIAAgACAAIAAgACAAIAAgAEMAYQBsAGwAcwAgAEEAbABpAGcAbgC7AyAAdABvACAAcwBvAHIAdAAgAGEAIAAyAEQAIABhAHIAcgBhAHkALAAgAHQAaABlAG4AIAByAGUAdAB1AHIAbgBzACAAdQBuAGkAcQB1AGUAIAB2AGEAbAB1AGUAcwAuAFwAbgBcAG4AIAAgACAAIAAiICAAQwBvAGEAbABlAHMAYwBlALsDXABuACAAIAAgACAAIAAgACAAIABSAGUAdAB1AHIAbgBzACAAdABoAGUAIABmAGkAcgBzAHQAIABuAG8AbgARIGUAbQBwAHQAeQAgAHYAYQBsAHUAZQAgAGEAYwByAG8AcwBzACAAbQB1AGwAdABpAHAAbABlACAAMgBEACAAYQByAHIAYQB5AHMAIAAoADIAIAB0AG8AIAA0ACAAaQBuAHAAdQB0AHMAKQAuAFwAbgBcAG4AIAAgACAAIAAiICAARQB4AHAAbABvAGQAZQC7A1wAbgAgACAAIAAgACAAIAAgACAAQwBvAG4AdgBlAHIAdABzACAAYQAgAHMAYwBhAGwAYQByACwAIAAxAEQAIABhAHIAcgBhAHkALAAgAG8AcgAgADIARAAgAGEAcgByAGEAeQAgAGkAbgB0AG8AIABhAG4AIABlAHgAcABsAG8AZABlAGQAIABjAGgAYQByAGEAYwB0AGUAcgAgAGEAcgByAGEAeQAuAFwAbgBcAG4AIAAgACAAIAAiICAATgB1AG0AYgBlAHIAcwBPAG4AbAB5ALsDXABuACAAIAAgACAAIAAgACAAIABFAHgAdAByAGEAYwB0AHMAIABuAHUAbQBlAHIAaQBjACAAdgBhAGwAdQBlAHMAIABmAHIAbwBtACAAYQAgAHMAYwBhAGwAYQByACwAIAAxAEQAIABhAHIAcgBhAHkALAAgAG8AcgAgADIARAAgAGEAcgByAGEAeQAuAFwAbgBcAG4AIAAgACAAIAAiICAAVABlAHgAdABPAG4AbAB5ALsDXABuACAAIAAgACAAIAAgACAAIABFAHgAdAByAGEAYwB0AHMAIAB0AGUAeAB0ACAAdgBhAGwAdQBlAHMAIABmAHIAbwBtACAAYQAgAHMAYwBhAGwAYQByACwAIAAxAEQAIABhAHIAcgBhAHkALAAgAG8AcgAgADIARAAgAGEAcgByAGEAeQAuAFwAbgBcAG4AIAAgACAAIAAiICAAUwBwAGwAaQB0ALsDXABuACAAIAAgACAAIAAgACAAIABTAHAAbABpAHQAcwAgADEARAAgAHQAZQB4AHQAIABhAHIAcgBhAHkAcwAgAHUAcwBpAG4AZwAgAGEAIABzAHAAZQBjAGkAZgBpAGUAZAAgAGQAZQBsAGkAbQBpAHQAZQByACwAIAB3AGkAdABoACAAZgB1AGwAbAAgADIARAAgAHMAcABpAGwAbAAgAHMAdQBwAHAAbwByAHQALgBcAG4AKgAvAFwAbgBcAG4AXABuAFwAbgAvACoAIABbAFQAWAAwADEAXQAgAC0ALQAtAC0ALQAtAC0ALQAtAC0ALQAtAC0ALQAtAC0ALQAtAC0ALQAtAC0ALQAtAC0ALQAtAC0ALQAtAC0ALQAtAC0ALQAtAC0ALQAtAC0ALQAtAC0ALQAtAC0ALQAtAC0ALQAtAC0ALQAtAC0ALQAtAC0ALQAtAC0ALQAtAC0ALQAtAC0ALQAtAC0ALQAtAC0AXABuAEYAdQBuAGMAdABpAG8AbgA6ACAAIAAgACAAIAAgACAAIABBAGwAaQBnAG4AuwNcAG4AQwBhAHQAZQBnAG8AcgB5ADoAIAAgACAAIAAgACAAIAAgAFQAZQB4AHQAXABuAEEAdQB0AGgAbwByADoAIAAgACAAIAAgACAAIAAgACAAIABQAGEAdAByAGkAYwBrACAASAAuAFwAbgBWAGUAcgBzAGkAbwBuADoAIAAgACAAIAAgACAAIAAgACAAMQAuADEAXABuAEQAZQBwAGUAbgBkAGUAbgBjAGkAZQBzADoAIAAgACAAIABTAHAAbABpAHQAuwNcAG4AXABuAEQAZQBzAGMAcgBpAHAAdABpAG8AbgA6AFwAbgAgACAAIAAgAFMAbwByAHQAcwAgAGUAYQBjAGgAIAByAG8AdwAgAGEAbABwAGgAYQBiAGUAdABpAGMAYQBsAGwAeQAgACgAZABlAGYAYQB1AGwAdAApACAAbwByACAAZQBhAGMAaAAgAGMAbwBsAHUAbQBuACAAdwBoAGUAbgBcAG4AIAAgACAAIABiAHkAXwBjAG8AbAAgAD0AIABUAFIAVQBFAC4AIABPAHIAaQBlAG4AdABhAHQAaQBvAG4AIABpAHMAIABuAG8AcgBtAGEAbABpAHoAZQBkACAAaQBuAHQAZQByAG4AYQBsAGwAeQAgAHMAbwAgAHQAaABlAFwAbgAgACAAIAAgAHMAYQBtAGUAIABwAGkAcABlAGwAaQBuAGUAIABoAGEAbgBkAGwAZQBzACAAYgBvAHQAaAAgAG0AbwBkAGUAcwAuACAAUwBvAHIAdABpAG4AZwAgAGkAcwAgAGwAZQB4AGkAYwBvAGcAcgBhAHAAaABpAGMAXABuACAAIAAgACAAYQBuAGQAIABjAGEAcwBlABEgcwBlAG4AcwBpAHQAaQB2AGUALgBcAG4AXABuAFAAYQByAGEAbQBlAHQAZQByAHMAOgBcAG4AIAAgACAAIABhAHIAcgBhAHkAIAAgACAAIAAgACAAIAAtACAAMgBEACAAYQByAHIAYQB5ACAAdABvACAAYgBlACAAYQBsAGkAZwBuAGUAZAAuAFwAbgAgACAAIAAgAFsAYgB5AF8AYwBvAGwAXQAgACAAIAAgAC0AIABPAHAAdABpAG8AbgBhAGwALgAgAFQAUgBVAEUAIACSISAAcwBvAHIAdAAgAGUAYQBjAGgAIABjAG8AbAB1AG0AbgAgAHQAbwBwABEgdABvABEgYgBvAHQAdABvAG0ALgBcAG4AIAAgACAAIAAgACAAIAAgACAAIAAgACAAIAAgACAAIAAgACAATwBtAGkAdAB0AGUAZAAgAJIhIABzAG8AcgB0ACAAZQBhAGMAaAAgAHIAbwB3ACAAbABlAGYAdAARIHQAbwARIHIAaQBnAGgAdAAuAFwAbgBcAG4ATgBvAHQAZQBzADoAXABuACAAIAAgACAAIiAgAFUAcwBlAHMAIABUAEUAWABUAEoATwBJAE4AIAArACAAUwBwAGwAaQB0ALsDIABmAG8AcgAgAGYAYQBzAHQAIAByAG8AdwARIHcAaQBzAGUAIABjAGEAbgBvAG4AaQBjAGEAbABpAHoAYQB0AGkAbwBuAC4AXABuAC0ALQAtAC0ALQAtAC0ALQAtAC0ALQAtAC0ALQAtAC0ALQAtAC0ALQAtAC0ALQAtAC0ALQAtAC0ALQAtAC0ALQAtAC0ALQAtAC0ALQAtAC0ALQAtAC0ALQAtAC0ALQAtAC0ALQAtAC0ALQAtAC0ALQAtAC0ALQAtAC0ALQAtAC0ALQAtAC0ALQAtAC0ALQAtAC0ALQAtAC0ALQAtACoALwBcAG4AXABuAEEAbABpAGcAbgC7AyAAPQBcAG4ATABBAE0AQgBEAEEAKABcAG4AIAAgACAAIABhAHIAcgBhAHkALABcAG4AIAAgACAAIABbAGIAeQBfAGMAbwBsAF0ALABcAG4AXABuAEwARQBUACgAXABuACAAIAAgACAALwAvACAARABlAHQAZQByAG0AaQBuAGUAIABzAG8AcgB0ACAAbwByAGkAZQBuAHQAYQB0AGkAbwBuAFwAbgAgACAAIAAgAEkAcwBSAG8AdwBTAG8AcgB0AD8ALAAgAEkAUwBPAE0ASQBUAFQARQBEACgAYgB5AF8AYwBvAGwAKQAsAFwAbgBcAG4AIAAgACAAIAAvAC8AIABOAG8AcgBtAGEAbABpAHoAZQAgAG8AcgBpAGUAbgB0AGEAdABpAG8AbgAgACgAYQBsAHcAYQB5AHMAIABzAG8AcgB0ACAAcgBvAHcAcwApAFwAbgAgACAAIAAgAGEAcgByAGEAeQAsACAAIAAgACAAIAAgAEkARgAoAEkAcwBSAG8AdwBTAG8AcgB0AD8ALAAgAGEAcgByAGEAeQAsACAAVABSAEEATgBTAFAATwBTAEUAKABhAHIAcgBhAHkAKQApACwAXABuAFwAbgAgACAAIAAgAC8ALwAgAFIAbwB3ABEgdwBpAHMAZQAgAHMAbwByAHQAIACSISAAcwBjAGEAbABhAHIAIABqAG8AaQBuACAAdwBpAHQAaAAgAGkAbgB2AGkAcwBpAGIAbABlACAAcwBlAHAAYQByAGEAdABvAHIAXABuACAAIAAgACAAaQBuAHYAaQBzACwAIAAgACAAIAAgACAAVQBOAEkAQwBIAEEAUgAoADgAMgA5ADEAKQAsAFwAbgAgACAAIAAgAFIAbwB3AFMAbwByAHQAuwMsACAAIAAgAEwAQQBNAEIARABBACgAdgAsACAAVABFAFgAVABKAE8ASQBOACgAaQBuAHYAaQBzACwAIAAsACAAUwBPAFIAVAAoAHYALAAgACwAIAAsACAAMQApACkAKQAsAFwAbgBcAG4AIAAgACAAIAAvAC8AIABDAG8AbgB2AGUAcgB0ACAAZQBhAGMAaAAgAHIAbwB3ACAAdABvACAAYQAgAGoAbwBpAG4AZQBkACAAcwB0AHIAaQBuAGcAXABuACAAIAAgACAAagBvAGkAbgBlAGQALAAgACAAIAAgACAAQgBZAFIATwBXACgAYQByAHIAYQB5ACwAIABSAG8AdwBTAG8AcgB0ALsDKQAsAFwAbgBcAG4AIAAgACAAIAAvAC8AIABTAHAAbABpAHQAIABiAGEAYwBrACAAaQBuAHQAbwAgAGMAbwBsAHUAbQBuAHMAXABuACAAIAAgACAAZQB4ACwAIAAgACAAIAAgACAAIAAgACAAUwBwAGwAaQB0ALsDKABqAG8AaQBuAGUAZAAsACAAaQBuAHYAaQBzACkALABcAG4AXABuACAAIAAgACAALwAvACAAUgBlAHMAdABvAHIAZQAgAG8AcgBpAGcAaQBuAGEAbAAgAG8AcgBpAGUAbgB0AGEAdABpAG8AbgBcAG4AIAAgACAAIABmAGkAbgBhAGwALAAgACAAIAAgACAAIABJAEYAKABJAHMAUgBvAHcAUwBvAHIAdAA/ACwAIABlAHgALAAgAFQAUgBBAE4AUwBQAE8AUwBFACgAZQB4ACkAKQAsAFwAbgBcAG4AIAAgACAAIABmAGkAbgBhAGwAXABuACkAKQA7AFwAbgBcAG4AXABuAFwAbgAvACoAIABbAFQAWAAwADIAXQAgAC0ALQAtAC0ALQAtAC0ALQAtAC0ALQAtAC0ALQAtAC0ALQAtAC0ALQAtAC0ALQAtAC0ALQAtAC0ALQAtAC0ALQAtAC0ALQAtAC0ALQAtAC0ALQAtAC0ALQAtAC0ALQAtAC0ALQAtAC0ALQAtAC0ALQAtAC0ALQAtAC0ALQAtAC0ALQAtAC0ALQAtAC0ALQAtAC0AXABuAEYAdQBuAGMAdABpAG8AbgA6ACAAIAAgACAAIAAgACAAIABBAGwAaQBnAG4ARABpAHMAdABpAG4AYwB0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ZABpAHMAdABpAG4AYwB0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RABJAFMAVABJAE4AQwBUACAAcgBlAG0AbwB2AGUAcwAgAGUAeABhAGMAdAAgAGQAdQBwAGwAaQBjAGEAdA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EQAaQBzAHQAaQBuAGMAdA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EQAaQBzAHQAaQBuAGMAdAAgAHIAZQBtAG8AdgBhAGwAXABuACAAIAAgACAAdQAsACAAIAAgACAAIAAgACAAIAAgACAAVQBOAEkAUQBVAEUAKABhAGwAaQBnAG4AZQBkACwAIABTAG8AcgB0AEIAeQBDAG8AbAA/ACwAIABUAFIAVQBFACkALABcAG4AXABuACAAIAAgACAAdQBcAG4AKQApADsAXABuAFwAbgBcAG4AXABuAC8AKgAgAFsAVABYADAAMwBdACAALQAtAC0ALQAtAC0ALQAtAC0ALQAtAC0ALQAtAC0ALQAtAC0ALQAtAC0ALQAtAC0ALQAtAC0ALQAtAC0ALQAtAC0ALQAtAC0ALQAtAC0ALQAtAC0ALQAtAC0ALQAtAC0ALQAtAC0ALQAtAC0ALQAtAC0ALQAtAC0ALQAtAC0ALQAtAC0ALQAtAC0ALQAtAC0ALQBcAG4ARgB1AG4AYwB0AGkAbwBuADoAIAAgACAAIAAgACAAIAAgAEEAbABpAGcAbgBVAG4AaQBxAHUAZQC7A1wAbgBDAGEAdABlAGcAbwByAHkAOgAgACAAIAAgACAAIAAgACAAVABlAHgAdABcAG4AQQB1AHQAaABvAHIAOgAgACAAIAAgACAAIAAgACAAIAAgAFAAYQB0AHIAaQBjAGsAIABIAC4AXABuAFYAZQByAHMAaQBvAG4AOgAgACAAIAAgACAAIAAgACAAIAAxAC4AMQBcAG4ARABlAHAAZQBuAGQAZQBuAGMAaQBlAHMAOgAgACAAIAAgAEEAbABpAGcAbgC7A1wAbgBcAG4ARABlAHMAYwByAGkAcAB0AGkAbwBuADoAXABuACAAIAAgACAAQwBhAGwAbABzACAAQQBsAGkAZwBuALsDIAB0AG8AIABhAGwAcABoAGEAYgBlAHQAaQBjAGEAbABsAHkAIABzAG8AcgB0ACAAZQBhAGMAaAAgAHIAbwB3ACAAbwByACAAYwBvAGwAdQBtAG4ALAAgAHQAaABlAG4AIAByAGUAdAB1AHIAbgBzAFwAbgAgACAAIAAgAHUAbgBpAHEAdQBlACAAdgBhAGwAdQBlAHMAIABhAGwAbwBuAGcAIAB0AGgAZQAgAHMAYQBtAGUAIABvAHIAaQBlAG4AdABhAHQAaQBvAG4ALgBcAG4AXABuAFAAYQByAGEAbQBlAHQAZQByAHMAOgBcAG4AIAAgACAAIABhAHIAcgBhAHkAIAAgACAAIAAgACAAIAAtACAAMgBEACAAYQByAHIAYQB5ACAAdABvACAAYgBlACAAYQBsAGkAZwBuAGUAZAAgAGEAbgBkACAAZABlAGQAdQBwAGwAaQBjAGEAdABlAGQALgBcAG4AIAAgACAAIABbAGIAeQBfAGMAbwBsAF0AIAAgACAAIAAtACAATwBwAHQAaQBvAG4AYQBsAC4AIABUAFIAVQBFACAAkiEgAG8AcABlAHIAYQB0AGUAIABjAG8AbAB1AG0AbgARIHcAaQBzAGUALgAgAE8AbQBpAHQAdABlAGQAIACSISAAcgBvAHcAESB3AGkAcwBlAC4AXABuAFwAbgBOAG8AdABlAHMAOgBcAG4AIAAgACAAIAAiICAAVQBOAEkAUQBVAEUAIAByAGUAbQBvAHYAZQBzACAAcgBlAHAAZQBhAHQAZQBkACAAcgBvAHcAcwAvAGMAbwBsAHUAbQBuAHMAIABiAHUAdAAgAHAAcgBlAHMAZQByAHYAZQBzACAAZgBpAHIAcwB0ACAAbwBjAGMAdQByAHIAZQBuAGMAZQBzAC4AXABuACAAIAAgACAAIiAgAE8AcgBpAGUAbgB0AGEAdABpAG8AbgAgAGkAcwAgAHAAcgBlAHMAZQByAHYAZQBkAC4AXABuAC0ALQAtAC0ALQAtAC0ALQAtAC0ALQAtAC0ALQAtAC0ALQAtAC0ALQAtAC0ALQAtAC0ALQAtAC0ALQAtAC0ALQAtAC0ALQAtAC0ALQAtAC0ALQAtAC0ALQAtAC0ALQAtAC0ALQAtAC0ALQAtAC0ALQAtAC0ALQAtAC0ALQAtAC0ALQAtAC0ALQAtAC0ALQAtAC0ALQAtAC0ALQAtACoALwBcAG4AXABuAEEAbABpAGcAbgBVAG4AaQBxAHUAZQC7AyAAPQBcAG4ATABBAE0AQgBEAEEAKABcAG4AIAAgACAAIABhAHIAcgBhAHkALABcAG4AIAAgACAAIABbAGIAeQBfAGMAbwBsAF0ALABcAG4AXABuAEwARQBUACgAXABuACAAIAAgACAALwAvACAATwByAGkAZQBuAHQAYQB0AGkAbwBuACAAZgBsAGEAZwBcAG4AIAAgACAAIABTAG8AcgB0AEIAeQBDAG8AbAA/ACwAIABOAE8AVAAoAEkAUwBPAE0ASQBUAFQARQBEACgAYgB5AF8AYwBvAGwAKQApACwAXABuAFwAbgAgACAAIAAgAC8ALwAgAEEAbABpAGcAbgBtAGUAbgB0AFwAbgAgACAAIAAgAGEAbABpAGcAbgBlAGQALAAgACAAIAAgAEEAbABpAGcAbgC7AygAYQByAHIAYQB5ACwAIABiAHkAXwBjAG8AbAApACwAXABuAFwAbgAgACAAIAAgAC8ALwAgAFUAbgBpAHEAdQBlACAAcgBlAG0AbwB2AGEAbABcAG4AIAAgACAAIAB1ACwAIAAgACAAIAAgACAAIAAgACAAIABVAE4ASQBRAFUARQAoAGEAbABpAGcAbgBlAGQALAAgAFMAbwByAHQAQgB5AEMAbwBsAD8AKQAsAFwAbgBcAG4AIAAgACAAIAB1AFwAbgApACkAOwBcAG4AXABuAFwAbgBcAG4ALwAqACAAWwBUAFgAMAA0AF0AIAAtAC0ALQAtAC0ALQAtAC0ALQAtAC0ALQAtAC0ALQAtAC0ALQAtAC0ALQAtAC0ALQAtAC0ALQAtAC0ALQAtAC0ALQAtAC0ALQAtAC0ALQAtAC0ALQAtAC0ALQAtAC0ALQAtAC0ALQAtAC0ALQAtAC0ALQAtAC0ALQAtAC0ALQAtAC0ALQAtAC0ALQAtAC0ALQAtAFwAbgBGAHUAbgBjAHQAaQBvAG4AOgAgACAAIAAgACAAIAAgACAAQwBvAGEAbABlAHMAYwBlALsDXABuAEMAYQB0AGUAZwBvAHIAeQA6ACAAIAAgACAAIAAgACAAIABUAGUAeAB0AFwAbgBBAHUAdABoAG8AcgA6ACAAIAAgACAAIAAgACAAIAAgACAAUABhAHQAcgBpAGMAawAgAEgALgBcAG4AVgBlAHIAcwBpAG8AbgA6ACAAIAAgACAAIAAgACAAIAAgADEALgAxAFwAbgBcAG4ARABlAHMAYwByAGkAcAB0AGkAbwBuADoAXABuACAAIAAgACAAUgBlAHQAdQByAG4AcwAgAHQAaABlACAAZgBpAHIAcwB0ACAAbgBvAG4AESBlAG0AcAB0AHkAIAB2AGEAbAB1AGUAIABhAGMAcgBvAHMAcwAgAG0AdQBsAHQAaQBwAGwAZQAgADIARAAgAGEAcgByAGEAeQBzACAAKAAyACAAdABvACAANAAgAGkAbgBwAHUAdABzACkALABcAG4AIAAgACAAIABlAHYAYQBsAHUAYQB0AGUAZAAgAGkAbgAgAHAAcgBpAG8AcgBpAHQAeQAgAG8AcgBkAGUAcgA6AFwAbgBcAG4AIAAgACAAIAAgACAAIAAgAGEAcgByAGEAeQBfADEAIACSISAAYQByAHIAYQB5AF8AMgAgAJIhIABhAHIAcgBhAHkAXwAzACAAkiEgAGEAcgByAGEAeQBfADQAIACSISAAZgBpAGwAbABfAHYAYQBsAHUAZQBcAG4AXABuACAAIAAgACAAQQAgAGMAZQBsAGwAIABpAHMAIABjAG8AbgBzAGkAZABlAHIAZQBkACAAXAAiAGUAbQBwAHQAeQBcACIAIABpAGYAIABpAHQAIABtAGEAdABjAGgAZQBzACAAYQBuAHkAIABvAGYAIAB0AGgAZQAgAGYAbwBsAGwAbwB3AGkAbgBnADoAXABuACAAIAAgACAAIAAgACAAIAAiICAATABFAE4AKABjAGUAbABsACkAIAA9ACAAMABcAG4AIAAgACAAIAAgACAAIAAgACIgIABjAGUAbABsACAAPQAgAEYAQQBMAFMARQBcAG4AIAAgACAAIAAgACAAIAAgACIgIABjAGUAbABsACAAPQAgAGkAZwBuAG8AcgBlACAAIAAgACgAdQBzAGUAcgARIHMAcABlAGMAaQBmAGkAZQBkACkAXABuAFwAbgAgACAAIAAgAEUAbQBwAHQAeQAgAGMAZQBsAGwAcwAgAGEAcgBlACAAcwBrAGkAcABwAGUAZAAgAHcAaABlAG4AIABkAGUAdABlAHIAbQBpAG4AaQBuAGcAIAB0AGgAZQAgAG8AdQB0AHAAdQB0ACAAdgBhAGwAdQBlAC4AIABUAGgAaQBzACAAZgB1AG4AYwB0AGkAbwBuACAAaQBzAFwAbgAgACAAIAAgAHUAcwBlAGYAdQBsACAAZgBvAHIAIAByAGUAYwBvAG0AcABvAHMAaQBuAGcAIABtAGEAcwBrAGUAZAAgAG8AcgAgAGwAYQB5AGUAcgBlAGQAIABhAHIAcgBhAHkAcwAgACgAZQAuAGcALgAsACAAcgBpAG4AZwBzACkAIABpAG4AdABvACAAYQAgAHMAaQBuAGcAbABlAFwAbgAgACAAIAAgAGMAbwBoAGUAcgBlAG4AdAAgAGcAcgBpAGQAIABhAGYAdABlAHIAIAB0AHIAYQBuAHMAZgBvAHIAbQBhAHQAaQBvAG4AcwAuAFwAbgBcAG4AUABhAHIAYQBtAGUAdABlAHIAcwA6AFwAbgAgACAAIAAgAGEAcgByAGEAeQBfADEAIAAgACAAIAAgACAAIAAtACAAUgBlAHEAdQBpAHIAZQBkACAAMgBEACAAYQByAHIAYQB5AC4AXABuACAAIAAgACAAYQByAHIAYQB5AF8AMgAgACAAIAAgACAAIAAgAC0AIABSAGUAcQB1AGkAcgBlAGQAIAAyAEQAIABhAHIAcgBhAHkALgBcAG4AXABuAE8AcAB0AGkAbwBuAGEAbAA6AFwAbgAgACAAIAAgAFsAYQByAHIAYQB5AF8AMwBdACAAIAAgACAAIAAtACAATwBwAHQAaQBvAG4AYQBsACAAMgBEACAAYQByAHIAYQB5AC4AXABuACAAIAAgACAAWwBhAHIAcgBhAHkAXwA0AF0AIAAgACAAIAAgAC0AIABPAHAAdABpAG8AbgBhAGwAIAAyAEQAIABhAHIAcgBhAHkALgBcAG4AIAAgACAAIABbAGkAZwBuAG8AcgBlAF0AIAAgACAAIAAgACAALQAgAFYAYQBsAHUAZQAgAHQAcgBlAGEAdABlAGQAIABhAHMAIABlAG0AcAB0AHkAIABkAHUAcgBpAG4AZwAgAG8AYwBjAHUAcABhAG4AYwB5ACAAZQB2AGEAbAB1AGEAdABpAG8AbgAuAFwAbgAgACAAIAAgAFsAZgBpAGwAbABfAHYAYQBsAHUAZQBdACAAIAAtACAAUwBjAGEAbABhAHIAIAB1AHMAZQBkACAAdwBoAGUAbgAgAGEAbABsACAAYQByAHIAYQB5AHMAIABzAHUAcABwAGwAeQAgAGEAbgAgAGUAbQBwAHQAeQAgAHYAYQBsAHUAZQAuAFwAbgAtAC0ALQAtAC0ALQAtAC0ALQAtAC0ALQAtAC0ALQAtAC0ALQAtAC0ALQAtAC0ALQAtAC0ALQAtAC0ALQAtAC0ALQAtAC0ALQAtAC0ALQAtAC0ALQAtAC0ALQAtAC0ALQAtAC0ALQAtAC0ALQAtAC0ALQAtAC0ALQAtAC0ALQAtAC0ALQAtAC0ALQAtAC0ALQAtAC0ALQAtAC0ALQAqAC8AXABuAFwAbgBDAG8AYQBsAGUAcwBjAGUAuwMgAD0AXABuAEwAQQBNAEIARABBACgAXABuACAAIAAgACAAYQByAHIAYQB5AF8AMQAsACAAYQByAHIAYQB5AF8AMgAsACAAWwBhAHIAcgBhAHkAXwAzAF0ALAAgAFsAYQByAHIAYQB5AF8ANABdACwAXABuACAAIAAgACAAWwBpAGcAbgBvAHIAZQBdACwAXABuACAAIAAgACAAWwBmAGkAbABsAF8AdgBhAGwAdQBlAF0ALABcAG4AXABuAEwARQBUACgAXABuACAAIAAgACAALwAvACAATwBwAHQAaQBvAG4AYQBsACAAYQByAHIAYQB5ACAAcAByAGUAcwBlAG4AYwBlAFwAbgAgACAAIAAgAEkAbgBjAGwAdQBkAGUAMwAsACAAIAAgACAAIAAgACAATgBPAFQAKABJAFMATwBNAEkAVABUAEUARAAoAGEAcgByAGEAeQBfADMAKQApACwAXABuACAAIAAgACAASQBuAGMAbAB1AGQAZQA0ACwAIAAgACAAIAAgACAAIABOAE8AVAAoAEkAUwBPAE0ASQBUAFQARQBEACgAYQByAHIAYQB5AF8ANAApACkALABcAG4AIAAgACAAIABhAHIAcgBhAHkAXwAzACwAIAAgACAAIAAgACAAIAAgAEkARgAoAEkAUwBPAE0ASQBUAFQARQBEACgAYQByAHIAYQB5AF8AMwApACwAIABGAEEATABTAEUALAAgAGEAcgByAGEAeQBfADMAKQAsAFwAbgAgACAAIAAgAGEAcgByAGEAeQBfADQALAAgACAAIAAgACAAIAAgACAASQBGACgASQBTAE8ATQBJAFQAVABFAEQAKABhAHIAcgBhAHkAXwA0ACkALAAgAEYAQQBMAFMARQAsACAAYQByAHIAYQB5AF8ANAApACwAXABuAFwAbgAgACAAIAAgAC8ALwAgAEUAbQBwAHQAeQARIHYAYQBsAHUAZQAgAHIAdQBsAGUAcwBcAG4AIAAgACAAIABpAGcAbgBvAHIAZQAsACAAIAAgACAAIAAgACAAIAAgAEkARgAoAEkAUwBPAE0ASQBUAFQARQBEACgAaQBnAG4AbwByAGUAKQAsACAAXAAiAFwAIgAsACAAaQBnAG4AbwByAGUAKQAsAFwAbgAgACAAIAAgAGYAaQBsAGwAXwB2AGEAbAB1AGUALAAgACAAIAAgACAASQBGACgASQBTAE8ATQBJAFQAVABFAEQAKABmAGkAbABsAF8AdgBhAGwAdQBlACkALAAgAFwAIgBcACIALAAgAGYAaQBsAGwAXwB2AGEAbAB1AGUAKQAsAFwAbgBcAG4AIAAgACAAIAAvAC8AIABEAGkAbQBlAG4AcwBpAG8AbgBzAFwAbgAgACAAIAAgAGgALAAgACAAIAAgACAAIAAgACAAIAAgACAAIAAgACAAUgBPAFcAUwAoAGEAcgByAGEAeQBfADEAKQAsACAAIAAgACAAIAAgAHcALAAgACAAIABDAE8ATABVAE0ATgBTACgAYQByAHIAYQB5AF8AMQApACwAXABuACAAIAAgACAAaACCICwAIAAgACAAIAAgACAAIAAgACAAIAAgACAAIABSAE8AVwBTACgAYQByAHIAYQB5AF8AMgApACwAIAAgACAAIAAgACAAdwCCICwAIAAgAEMATwBMAFUATQBOAFMAKABhAHIAcgBhAHkAXwAyACkALABcAG4AIAAgACAAIABoAIMgLAAgACAAIAAgACAAIAAgACAAIAAgACAAIAAgAFIATwBXAFMAKABhAHIAcgBhAHkAXwAzACkALAAgACAAIAAgACAAIAB3AIMgLAAgACAAQwBPAEwAVQBNAE4AUwAoAGEAcgByAGEAeQBfADMAKQAsAFwAbgAgACAAIAAgAGgAhCAsACAAIAAgACAAIAAgACAAIAAgACAAIAAgACAAUgBPAFcAUwAoAGEAcgByAGEAeQBfADQAKQAsACAAIAAgACAAIAAgAHcAhCAsACAAIABDAE8ATABVAE0ATgBTACgAYQByAHIAYQB5AF8ANAApACwAXABuAFwAbgAgACAAIAAgAC8ALwAgAEQAaQBtAGUAbgBzAGkAbwBuACAAbQBpAHMAbQBhAHQAYwBoAGUAcwBcAG4AIAAgACAAIABTAF8AMgAsACAAIAAgACAAIAAgACAAIAAgACAAIAAgAE8AUgAoAGgAIAA8AD4AIABoAIIgLAAgAHcAIAA8AD4AIAB3AIIgKQAsAFwAbgAgACAAIAAgAFMAXwAzACwAIAAgACAAIAAgACAAIAAgACAAIAAgACAASQBuAGMAbAB1AGQAZQAzACAAKgAgAE8AUgAoAGgAIAA8AD4AIABoAIMgLAAgAHcAIAA8AD4AIAB3AIMgKQAsAFwAbgAgACAAIAAgAFMAXwA0ACwAIAAgACAAIAAgACAAIAAgACAAIAAgACAASQBuAGMAbAB1AGQAZQA0ACAAKgAgAE8AUgAoAGgAIAA8AD4AIABoAIQgLAAgAHcAIAA8AD4AIAB3AIQgKQAsAFwAbgBcAG4AIAAgACAAIABTAGgAYQBwAGUATQBpAHMAbQBhAHQAYwBoAD8ALAAgAE8AUgAoAFMAXwAyACwAIABTAF8AMwAsACAAUwBfADQAKQAsAFwAbgBcAG4AIAAgACAAIABJAEYAKABTAGgAYQBwAGUATQBpAHMAbQBhAHQAYwBoAD8ALABcACIAIwBEAEkATQBFAE4AUwBJAE8ATgBTACEAXAAiACwAXABuAFwAbgBMAEUAVAAoAFwAbgAgACAAIAAgAC8ALwAgAE8AYwBjAHUAcABhAG4AYwB5ACAAdABlAHMAdABcAG4AIAAgACAAIABPAGMAYwB1AHAAaQBlAGQAuwMsACAAIABMAEEATQBCAEQAQQAoAGEAcgByACwAXABuACAAIAAgACAAIAAgACAAIAAgACAAIAAgACAAIAAgACAAIAAgACAAIABMAEEATQBCAEQAQQAoACgAYQByAHIAIAA8AD4AIABGAEEATABTAEUAKQAgACoAKABMAEUATgAoAGEAcgByACkAIAA8AD4AIAAwACkAIAAqACAAKABhAHIAcgAgADwAPgAgAGkAZwBuAG8AcgBlACkAKQApACwAXABuAFwAbgAgACAAIAAgAG0AXwAxACwAIAAgACAAIAAgACAAIAAgAE8AYwBjAHUAcABpAGUAZAC7AygAYQByAHIAYQB5AF8AMQApACwAXABuACAAIAAgACAAbQBfADIALAAgACAAIAAgACAAIAAgACAATwBjAGMAdQBwAGkAZQBkALsDKABhAHIAcgBhAHkAXwAyACkALABcAG4AIAAgACAAIABtAF8AMwAsACAAIAAgACAAIAAgACAAIABPAGMAYwB1AHAAaQBlAGQAuwMoAGEAcgByAGEAeQBfADMAKQAsAFwAbgAgACAAIAAgAG0AXwA0ACwAIAAgACAAIAAgACAAIAAgAE8AYwBjAHUAcABpAGUAZAC7AygAYQByAHIAYQB5AF8ANAApACwAXABuAFwAbgAgACAAIAAgAC8ALwAgAFAAcgBpAG8AcgBpAHQAeQAgAGMAaABhAGkAbgBcAG4AIAAgACAAIABmAGkAbgBhAGwALAAgACAAIAAgACAAIABJAEYAKABtAF8AMQAoACkALAAgAGEAcgByAGEAeQBfADEALABcAG4AIAAgACAAIAAgACAAIAAgACAAIAAgACAAIAAgACAAIAAgACAAIAAgAEkARgAoAG0AXwAyACgAKQAsACAAYQByAHIAYQB5AF8AMgAsAFwAbgAgACAAIAAgACAAIAAgACAAIAAgACAAIAAgACAAIAAgACAAIAAgACAAIAAgACAAIABJAEYAKABtAF8AMwAoACkALAAgAGEAcgByAGEAeQBfADMALABcAG4AIAAgACAAIAAgACAAIAAgACAAIAAgACAAIAAgACAAIAAgACAAIAAgACAAIAAgACAAIAAgACAAIABJAEYAKABtAF8ANAAoACkALAAgAGEAcgByAGEAeQBfADQALAAgAGYAaQBsAGwAXwB2AGEAbAB1AGUAKQApACkAKQAsAFwAbgBcAG4AIAAgACAAIABmAGkAbgBhAGwAXABuACkAKQApACkAOwBcAG4AXABuAFwAbgBcAG4ALwAqACAAWwBUAFgAMAA1AF0AIAAtAC0ALQAtAC0ALQAtAC0ALQAtAC0ALQAtAC0ALQAtAC0ALQAtAC0ALQAtAC0ALQAtAC0ALQAtAC0ALQAtAC0ALQAtAC0ALQAtAC0ALQAtAC0ALQAtAC0ALQAtAC0ALQAtAC0ALQAtAC0ALQAtAC0ALQAtAC0ALQAtAC0ALQAtAC0ALQAtAC0ALQAtAC0ALQAtAFwAbgBGAHUAbgBjAHQAaQBvAG4AOgAgACAAIAAgACAAIAAgACAARQB4AHAAbABvAGQAZQC7A1wAbgBDAGEAdABlAGcAbwByAHkAOgAgACAAIAAgACAAIAAgACAAVABlAHgAdABcAG4AQQB1AHQAaABvAHIAOgAgACAAIAAgACAAIAAgACAAIAAgAFAAYQB0AHIAaQBjAGsAIABIAC4AXABuAFYAZQByAHMAaQBvAG4AOgAgACAAIAAgACAAIAAgACAAIAAxAC4AMQBcAG4ARABlAHAAZQBuAGQAZQBuAGMAaQBlAHMAOgAgACAAIAAgAE0ARwByAGkAZAC7AywAIABSAGUAcwBpAHoAZQC7A1wAbgBcAG4ARABlAHMAYwByAGkAcAB0AGkAbwBuADoAXABuACAAIAAgACAAQwBvAG4AdgBlAHIAdABzACAAYQAgAHMAYwBhAGwAYQByACwAIAAxAEQAIABhAHIAcgBhAHkALAAgAG8AcgAgADIARAAgAGEAcgByAGEAeQAgAGkAbgB0AG8AIABhAG4AIABlAHgAcABsAG8AZABlAGQAIABjAGgAYQByAGEAYwB0AGUAcgAgAGEAcgByAGEAeQAuAFwAbgAgACAAIAAgAEUAeABwAGwAbwBzAGkAbwBuACAAYgBlAGgAYQB2AGkAbwByACAAZABlAHAAZQBuAGQAcwAgAG8AbgAgAHQAaABlACAAaQBuAHAAdQB0ACAAcwBoAGEAcABlADoAXABuAFwAbgAgACAAIAAgACAAIAAgACAAIiAgAFMAYwBhAGwAYQByAHMAIABlAHgAcABsAG8AZABlACAAYwBvAGwAdQBtAG4AESB3AGkAcwBlAC4AXABuACAAIAAgACAAIAAgACAAIAAiICAAVgBlAHIAdABpAGMAYQBsACAAMQBEACAAYQByAHIAYQB5AHMAIABlAHgAcABsAG8AZABlACAAYwBvAGwAdQBtAG4AESB3AGkAcwBlAC4AXABuACAAIAAgACAAIAAgACAAIAAiICAASABvAHIAaQB6AG8AbgB0AGEAbAAgADEARAAgAGEAcgByAGEAeQBzACAAZQB4AHAAbABvAGQAZQAgAHIAbwB3ABEgdwBpAHMAZQAuAFwAbgAgACAAIAAgACAAIAAgACAAIiAgADIARAAgAGEAcgByAGEAeQBzACAAZQB4AHAAbABvAGQAZQAgAHIAbwB3ABEgdwBpAHMAZQAgAGIAeQAgAGQAZQBmAGEAdQBsAHQALAAgAG8AcgAgAHcAaQBkAHQAaAARIHcAaQBzAGUAIAB3AGgAZQBuAFwAbgAgACAAIAAgACAAIAAgACAAIAAgAGUAeABwAGwAbwBkAGUAXwAyAEQAXwBiAHkAYwBvAGwAIAA9ACAAVABSAFUARQAuAFwAbgBcAG4AUABhAHIAYQBtAGUAdABlAHIAcwA6AFwAbgAgACAAIAAgAGEAcgByAGEAeQAgACAAIAAgACAAIAAgACAAIAAgACAAIAAgACAAIAAtACAASQBuAHAAdQB0ACAAYwBhAG4AIABiAGUAIABzAGMAYQBsAGEAcgAsACAAMQBEACwAIABvAHIAIAAyAEQALgBcAG4AIAAgACAAIABbAGUAeABwAGwAbwBkAGUAXwAyAEQAXwBiAHkAYwBvAGwAXQAgACAALQAgAE8AcAB0AGkAbwBuAGEAbAAuACAAVABSAFUARQAgAJIhIABlAHgAcABsAG8AZABlACAAMgBEACAAYQByAHIAYQB5AHMAIAB3AGkAZAB0AGgAESB3AGkAcwBlAC4AXABuACAAIAAgACAAIAAgACAAIAAgACAAIAAgACAAIAAgACAAIAAgACAAIAAgACAAIAAgACAAIABPAG0AaQB0AHQAZQBkACAAkiEgAGUAeABwAGwAbwBkAGUAIAByAG8AdwARIHcAaQBzAGUALgBcAG4AXABuAE4AbwB0AGUAcwA6AFwAbgAgACAAIAAgACIgIABMAEUATgAoAGEAcgByAGEAeQApACAAZABlAHQAZQByAG0AaQBuAGUAcwAgAHQAaABlACAAbQBhAHgAaQBtAHUAbQAgAGMAaABhAHIAYQBjAHQAZQByACAAYwBvAHUAbgB0ACAAcABlAHIAIABjAGUAbABsAC4AXABuAC0ALQAtAC0ALQAtAC0ALQAtAC0ALQAtAC0ALQAtAC0ALQAtAC0ALQAtAC0ALQAtAC0ALQAtAC0ALQAtAC0ALQAtAC0ALQAtAC0ALQAtAC0ALQAtAC0ALQAtAC0ALQAtAC0ALQAtAC0ALQAtAC0ALQAtAC0ALQAtAC0ALQAtAC0ALQAtAC0ALQAtAC0ALQAtAC0ALQAtAC0ALQAtACoALwBcAG4AXABuAEUAeABwAGwAbwBkAGUAuwMgAD0AXABuAEwAQQBNAEIARABBACgAXABuACAAIAAgACAAYQByAHIAYQB5ACwAXABuACAAIAAgACAAWwBlAHgAcABsAG8AZABlAF8AMgBEAF8AYgB5AGMAbwBsAF0ALABcAG4AXABuAEwARQBUACgAXABuACAAIAAgACAALwAvACAARABpAG0AZQBuAHMAaQBvAG4AcwBcAG4AIAAgACAAIABoACwAIAAgACAAIAAgACAAIAAgACAAIAAgACAAIAAgAFIATwBXAFMAKABhAHIAcgBhAHkAKQAsAFwAbgAgACAAIAAgAHcALAAgACAAIAAgACAAIAAgACAAIAAgACAAIAAgACAAQwBPAEwAVQBNAE4AUwAoAGEAcgByAGEAeQApACwAXABuAFwAbgAgACAAIAAgAC8ALwAgAEcAZQBvAG0AZQB0AHIAeQAgAGMAbABhAHMAcwBpAGYAaQBjAGEAdABpAG8AbgBcAG4AIAAgACAAIABJAHMAVgBlAHIAdABpAGMAYQBsAD8ALAAgACAAIAAgAGgAIAA+ACAAdwAsAFwAbgAgACAAIAAgAEkAcwBIAG8AcgBpAHoAbwBuAHQAYQBsAD8ALAAgACAAdwAgAD4AIABoACwAXABuACAAIAAgACAASQBzAFMAYwBhAGwAYQByAD8ALAAgACAAIAAgACAAIABBAE4ARAAoAGgAIAA9ACAAMQAsACAAdwAgAD0AIAAxACkALABcAG4AIAAgACAAIABJAHMAMQBEAD8ALAAgACAAIAAgACAAIAAgACAAIAAgAFgATwBSACgAaAAgAD4AIAAxACwAIAB3ACAAPgAgADEAKQAsAFwAbgAgACAAIAAgAEkAcwAyAEQAPwAsACAAIAAgACAAIAAgACAAIAAgACAAQQBOAEQAKABoACAAPgAgADEALAAgAHcAIAA+ACAAMQApACwAXABuACAAIAAgACAARABpAHIATwBtAGkAdAB0AGUAZAA/ACwAIAAgACAAIABJAFMATwBNAEkAVABUAEUARAAoAGUAeABwAGwAbwBkAGUAXwAyAEQAXwBiAHkAYwBvAGwAKQAsAFwAbgBcAG4AIAAgACAAIAAvAC8AIABTAGMAYQBsAGEAcgAgAGUAeABwAGwAbwBzAGkAbwBuAFwAbgAgACAAIAAgAEUAeABwAGwAbwBkAGUAUwBjAGEAbABhAHIALAAgACAAUgBFAEcARQBYAEUAWABUAFIAQQBDAFQAKABhAHIAcgBhAHkALAAgAFwAIgAuAFwAIgAsACAAMQApACwAXABuAFwAbgAgACAAIAAgAEkARgAoAEkAcwBTAGMAYQBsAGEAcgA/ACwARQB4AHAAbABvAGQAZQBTAGMAYQBsAGEAcgAsAFwAbgBcAG4ATABFAFQAKABcAG4AIAAgACAAIAAvAC8AIABNAGEAeABpAG0AdQBtACAAYwBoAGEAcgBhAGMAdABlAHIAcwAgAGEAYwByAG8AcwBzACAAYQBsAGwAIABjAGUAbABsAHMAXABuACAAIAAgACAAbQAsACAAIAAgACAAIAAgACAAIAAgACAATQBBAFgAKABMAEUATgAoAGEAcgByAGEAeQApACkALABcAG4AXABuACAAIAAgACAALwAvACAALQAtAC0AIAAxAEQAIABpAG4AZABlAHgAaQBuAGcAIAAtAC0ALQBcAG4AIAAgACAAIABpAGQAeAAsACAAIAAgACAAIAAgACAAIABMAEEATQBCAEQAQQAoAEkARgAoAEkAcwBWAGUAcgB0AGkAYwBhAGwAPwAsAFMARQBRAFUARQBOAEMARQAoACwAIABtACkALABcAG4AIAAgACAAIAAgACAAIAAgACAAIAAgACAAIAAgACAAIAAgACAAIAAgACAAIAAgACAAIAAgACAAIAAgACAAIAAgACAAIAAgACAAIAAgAFMARQBRAFUARQBOAEMARQAoAG0AKQApACkALABcAG4AXABuACAAIAAgACAALwAvACAALQAtAC0AIAAyAEQAIABpAG4AZABlAHgAaQBuAGcAIAAoAHYAZQByAHQAaQBjAGEAbAAgAGUAeABwAGwAbwBzAGkAbwBuACkAIAAtAC0ALQBcAG4AIAAgACAAIABpAF8ALAAgACAAIAAgACAAIAAgACAAIABMAEEATQBCAEQAQQAoACAAUgBlAHMAaQB6AGUAuwMoACAASQBOAFQAKABTAEUAUQBVAEUATgBDAEUAKABtACAAKgAgAGgALAAgACwAIAAsACAAMQAgAC8AIABtACkAKQAsACAALAAgAHcAIAApACAAKQAsAFwAbgAgACAAIAAgAGoAXwAsACAAIAAgACAAIAAgACAAIAAgAEwAQQBNAEIARABBACgAIABSAGUAcwBpAHoAZQC7AygAIABNAEcAcgBpAGQAuwMoAGEAcgByAGEAeQAsACAAMQApACwAIABtACAAKQAgACkALABcAG4AIAAgACAAIABzAHQAYQByAHQAXwBhAHQAXwAsACAAIABMAEEATQBCAEQAQQAoACAAUgBlAHMAaQB6AGUAuwMoACAAUwBFAFEAVQBFAE4AQwBFACgAbQApACwAIABoACwAIAB3ACAAKQAgACkALABcAG4AXABuACAAIAAgACAALwAvACAALQAtAC0AIAAyAEQAIABpAG4AZABlAHgAaQBuAGcAIAAoAGgAbwByAGkAegBvAG4AdABhAGwAIABlAHgAcABsAG8AcwBpAG8AbgApACAALQAtAC0AXABuACAAIAAgACAAaQAsACAAIAAgACAAIAAgACAAIAAgACAATABBAE0AQgBEAEEAKAAgAFIAZQBzAGkAegBlALsDKAAgAE0ARwByAGkAZAC7AygAYQByAHIAYQB5ACkALAAgACwAIABtACAAKQAgACkALABcAG4AIAAgACAAIABqACwAIAAgACAAIAAgACAAIAAgACAAIABMAEEATQBCAEQAQQAoACAAUgBlAHMAaQB6AGUAuwMoACAASQBOAFQAKABTAEUAUQBVAEUATgBDAEUAKAAsACAAbQAgACoAIAB3ACwAIAAsACAAMQAgAC8AIABtACkAKQAsACAAaAAgACkAIAApACwAXABuACAAIAAgACAAcwB0AGEAcgB0AF8AYQB0ACwAIAAgACAATABBAE0AQgBEAEEAKAAgAFIAZQBzAGkAegBlALsDKAAgAFMARQBRAFUARQBOAEMARQAoACwAIABtACkALAAgAGgALAAgAHcAIAApACAAKQAsAFwAbgBcAG4AIAAgACAAIAAvAC8AIAAxAEQAIABlAHgAcABsAG8AcwBpAG8AbgBcAG4AIAAgACAAIABlAHgAMQBEACwAIAAgACAAIAAgACAAIABMAEEATQBCAEQAQQAoACAATQBJAEQAKABhAHIAcgBhAHkALAAgAGkAZAB4ACgAKQAsACAAMQApACAAKQAsAFwAbgBcAG4AIAAgACAAIAAvAC8AIAAyAEQAIABlAHgAcABsAG8AcwBpAG8AbgAgAHYAYQByAGkAYQBuAHQAcwBcAG4AIAAgACAAIABlAHgAMgBEAF8AVgAsACAAIAAgACAAIABMAEEATQBCAEQAQQAoACAATQBJAEQAKABJAE4ARABFAFgAKABhAHIAcgBhAHkALAAgAGkAXwAoACkALAAgAGoAXwAoACkAKQAsACAAcwB0AGEAcgB0AF8AYQB0AF8AKAApACwAIAAxACkAIAApACwAXABuACAAIAAgACAAZQB4ADIARABfAEgALAAgACAAIAAgACAATABBAE0AQgBEAEEAKAAgAE0ASQBEACgASQBOAEQARQBYACgAYQByAHIAYQB5ACwAIABpACgAKQAsACAAIABqACgAKQApACwAIABzAHQAYQByAHQAXwBhAHQAKAApACwAIAAgADEAKQAgACkALABcAG4AXABuACAAIAAgACAALwAvACAAMgBEACAAcwBlAGwAZQBjAHQAaQBvAG4AXABuACAAIAAgACAAZQB4ADIARAAsACAAIAAgACAAIAAgACAATABBAE0AQgBEAEEAKABJAEYAKABEAGkAcgBPAG0AaQB0AHQAZQBkAD8ALABlAHgAMgBEAF8AVgAoACkALABlAHgAMgBEAF8ASAAoACkAKQApACwAXABuAFwAbgAgACAAIAAgAC8ALwAgAEYAaQBuAGEAbAAgAHMAZQBsAGUAYwB0AGkAbwBuAFwAbgAgACAAIAAgAGYAaQBuAGEAbAAsACAAIAAgACAAIAAgAEkARgAoAEkAcwAxAEQAPwAsACAAZQB4ADEARAAoACkALAAgAGUAeAAyAEQAKAApACkALABcAG4AXABuACAAIAAgACAAZgBpAG4AYQBsAFwAbgApACkAKQApADsAXABuAFwAbgBcAG4AXABuAC8AKgAgAFsAVABYADAANgBdACAALQAtAC0ALQAtAC0ALQAtAC0ALQAtAC0ALQAtAC0ALQAtAC0ALQAtAC0ALQAtAC0ALQAtAC0ALQAtAC0ALQAtAC0ALQAtAC0ALQAtAC0ALQAtAC0ALQAtAC0ALQAtAC0ALQAtAC0ALQAtAC0ALQAtAC0ALQAtAC0ALQAtAC0ALQAtAC0ALQAtAC0ALQAtAC0ALQBcAG4ARgB1AG4AYwB0AGkAbwBuADoAIAAgACAAIAAgACAAIAAgAE4AdQBtAGIAZQByAHM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dQBtAGUAcgBpAGMAIABjAGgAYQByAGEAYwB0AGUAcgBzACAAKAAwABMgOQApACAAZgByAG8AbQAgAGEAIABzAGMAYQBsAGEAcgAsACAAMQBEACAAYQByAHIAYQB5ACwAIABvAHIAIAAyAEQAIABhAHIAcgBhAHkALgBcAG4AXABuAFAAYQByAGEAbQBlAHQAZQByAHMAOgBcAG4AIAAgACAAIABhAHIAcgBhAHkAIAAgACAAIAAgACAAIAAtACAASQBuAHAAdQB0ACAAcwBjAGEAbABhAHIALAAgADEARAAgAGEAcgByAGEAeQAsACAAbwByACAAMgBEACAAYQByAHIAYQB5AC4AXABuAFwAbgBOAG8AdABlAHMAOgBcAG4AIAAgACAAIAAiICAAVQBzAGUAcwAgAEUAeABwAGwAbwBkAGUAuwMgAGYAbwByACAAYwBoAGEAcgBhAGMAdABlAHIAESBsAGUAdgBlAGwAIABlAHgAcABhAG4AcwBpAG8AbgAuAFwAbgAgACAAIAAgACIgIABDAE8ARABFACgAKQAgAGYAaQBsAHQAZQByAGkAbgBnACAAZQBuAHMAdQByAGUAcwAgAHMAdAByAGkAYwB0ACAAZABpAGcAaQB0ACAAZQB4AHQAcgBhAGMAdABpAG8AbgAuAFwAbgAtAC0ALQAtAC0ALQAtAC0ALQAtAC0ALQAtAC0ALQAtAC0ALQAtAC0ALQAtAC0ALQAtAC0ALQAtAC0ALQAtAC0ALQAtAC0ALQAtAC0ALQAtAC0ALQAtAC0ALQAtAC0ALQAtAC0ALQAtAC0ALQAtAC0ALQAtAC0ALQAtAC0ALQAtAC0ALQAtAC0ALQAtAC0ALQAtAC0ALQAtAC0ALQAqAC8AXABuAFwAbgBOAHUAbQBiAGUAcgBz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QAaQBnAGkAdAAgAG0AYQBzAGsAXABuACAAIAAgACAASwBlAGUAcAAsACAAIAAgACAAIAAgACAAIAAgACAASQBGAEUAUgBSAE8AUgAoACgAQwBPAEQARQAoAGUAeAApACAAPgA9ACAANAA4ACkAIAAqACAAKABDAE8ARABFACgAZQB4ACkAIAA8AD0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gACsAIAAwACwAXAAiAFwAIgApACwAXABuAFwAbgAgACAAIAAgAGYAaQBuAGEAbABcAG4AKQApADsAXABuAFwAbgBcAG4AXABuAC8AKgAgAFsAVABYADAANwBdACAALQAtAC0ALQAtAC0ALQAtAC0ALQAtAC0ALQAtAC0ALQAtAC0ALQAtAC0ALQAtAC0ALQAtAC0ALQAtAC0ALQAtAC0ALQAtAC0ALQAtAC0ALQAtAC0ALQAtAC0ALQAtAC0ALQAtAC0ALQAtAC0ALQAtAC0ALQAtAC0ALQAtAC0ALQAtAC0ALQAtAC0ALQAtAC0ALQBcAG4ARgB1AG4AYwB0AGkAbwBuADoAIAAgACAAIAAgACAAIAAgAFQAZQB4AHQATwBuAGwAeQC7A1wAbgBDAGEAdABlAGcAbwByAHkAOgAgACAAIAAgACAAIAAgACAAVABlAHgAdABcAG4AQQB1AHQAaABvAHIAOgAgACAAIAAgACAAIAAgACAAIAAgAFAAYQB0AHIAaQBjAGsAIABIAC4AXABuAFYAZQByAHMAaQBvAG4AOgAgACAAIAAgACAAIAAgACAAIAAxAC4AMQBcAG4ARABlAHAAZQBuAGQAZQBuAGMAaQBlAHMAOgAgACAAIAAgAEUAeABwAGwAbwBkAGUAuwNcAG4AXABuAEQAZQBzAGMAcgBpAHAAdABpAG8AbgA6AFwAbgAgACAAIAAgAEUAeAB0AHIAYQBjAHQAcwAgAG4AbwBuABEgbgB1AG0AZQByAGkAYwAgAGMAaABhAHIAYQBjAHQAZQByAHM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bwBtAHAAbABlAG0AZQBuAHQAcwAgAE4AdQBtAGIAZQByAHMATwBuAGwAeQC7AyAAYgB5ACAAcwBlAGwAZQBjAHQAaQBuAGcAIABhAGwAbAAgAG4AbwBuABEgZABpAGcAaQB0ACAAYwBoAGEAcgBhAGMAdABlAHIAcwAuAFwAbgAtAC0ALQAtAC0ALQAtAC0ALQAtAC0ALQAtAC0ALQAtAC0ALQAtAC0ALQAtAC0ALQAtAC0ALQAtAC0ALQAtAC0ALQAtAC0ALQAtAC0ALQAtAC0ALQAtAC0ALQAtAC0ALQAtAC0ALQAtAC0ALQAtAC0ALQAtAC0ALQAtAC0ALQAtAC0ALQAtAC0ALQAtAC0ALQAtAC0ALQAtAC0ALQAqAC8AXABuAFwAbgBUAGUAeAB0AE8AbgBsAHkAuwMgAD0AXABuAEwAQQBNAEIARABBACgAXABuACAAIAAgACAAYQByAHIAYQB5ACwAXABuAFwAbgBMAEUAVAAoAFwAbgAgACAAIAAgAC8ALwAgAEYAbABhAHQAdABlAG4AIABpAG4AcAB1AHQAIABpAGYAIABhAHIAcgBhAHkAXABuACAAIAAgACAAYQByAHIAYQB5ACwAIAAgACAAIAAgACAAIAAgACAASQBGACgAVABZAFAARQAoAGEAcgByAGEAeQApACAAPAA+ACAANgA0ACwAIABhAHIAcgBhAHkALABUAE8AQwBPAEwAKABhAHIAcgBhAHkAKQApACwAXABuAFwAbgAgACAAIAAgAC8ALwAgAEUAeABwAGwAbwBkAGUAIAB0AG8AIABjAGgAYQByAGEAYwB0AGUAcgBzAFwAbgAgACAAIAAgAGUAeAAsACAAIAAgACAAIAAgACAAIAAgACAAIAAgAEUAeABwAGwAbwBkAGUAuwMoAGEAcgByAGEAeQApACwAXABuAFwAbgAgACAAIAAgAC8ALwAgAE4AbwBuABEgZABpAGcAaQB0ACAAbQBhAHMAawBcAG4AIAAgACAAIABLAGUAZQBwACwAIAAgACAAIAAgACAAIAAgACAAIABJAEYARQBSAFIATwBSACgAKABDAE8ARABFACgAZQB4ACkAIAA8ACAANAA4ACkAIAArACAAKABDAE8ARABFACgAZQB4ACkAIAA+ACAANQA3ACkALAAgAEYAQQBMAFMARQApACwAXABuAFwAbgAgACAAIAAgAC8ALwAgAE0AYQBzAGsAZQBkACAAcgBlAHMAdQBsAHQAXABuACAAIAAgACAAUgBlAHMAdQBsAHQALAAgACAAIAAgACAAIAAgACAASQBGACgASwBlAGUAcAAsACAAZQB4ACwAIABcACIAXAAiACkALABcAG4AXABuACAAIAAgACAALwAvACAAMQBEACAAYwBvAG4AYwBhAHQAZQBuAGEAdABlAGQAIABvAHUAdABwAHUAdABcAG4AIAAgACAAIABmAGkAbgBhAGwALAAgACAAIAAgACAAIAAgACAAIABJAEYARQBSAFIATwBSACgAQgBZAFIATwBXACgAUgBlAHMAdQBsAHQALAAgAEMATwBOAEMAQQBUACkALABcACIAXAAiACkALABcAG4AXABuACAAIAAgACAAZgBpAG4AYQBsAFwAbgApACkAOwBcAG4AXABuAFwAbgBcAG4ALwAqACAAWwBUAFgAMAA4AF0AIAAtAC0ALQAtAC0ALQAtAC0ALQAtAC0ALQAtAC0ALQAtAC0ALQAtAC0ALQAtAC0ALQAtAC0ALQAtAC0ALQAtAC0ALQAtAC0ALQAtAC0ALQAtAC0ALQAtAC0ALQAtAC0ALQAtAC0ALQAtAC0ALQAtAC0ALQAtAC0ALQAtAC0ALQAtAC0ALQAtAC0ALQAtAC0ALQAtAFwAbgBGAHUAbgBjAHQAaQBvAG4AOgAgACAAIAAgACAAIAAgACAAUwBwAGwAaQB0ALsDXABuAEMAYQB0AGUAZwBvAHIAeQA6ACAAIAAgACAAIAAgACAAIABUAGUAeAB0AFwAbgBBAHUAdABoAG8AcgA6ACAAIAAgACAAIAAgACAAIAAgACAAUABhAHQAcgBpAGMAawAgAEgALgBcAG4AVgBlAHIAcwBpAG8AbgA6ACAAIAAgACAAIAAgACAAIAAgADEALgAxAFwAbgBEAGUAcABlAG4AZABlAG4AYwBpAGUAcwA6ACAAIAAgACAAUgBlAGcAZQB4AFMAYQBmAGUAuwNcAG4AXABuAEQAZQBzAGMAcgBpAHAAdABpAG8AbgA6AFwAbgAgACAAIAAgAFMAcABsAGkAdABzACAAMQBEACAAdABlAHgAdAAgAGEAcgByAGEAeQBzACAAaQBuAHQAbwAgAHQAbwBrAGUAbgBzACAAdQBzAGkAbgBnACAAYQAgAHMAcABlAGMAaQBmAGkAZQBkACAAZABlAGwAaQBtAGkAdABlAHIALgAgAFQAaABlACAAZgB1AG4AYwB0AGkAbwBuAFwAbgAgACAAIAAgAGkAcwAgAHMAaABhAHAAZQARIGEAdwBhAHIAZQAgAGEAbgBkACAAcgBlAHQAdQByAG4AcwAgAGEAIAAyAEQAIABzAHAAaQBsAGwAIABhAGwAaQBnAG4AZQBkACAAdABvACAAdABoAGUAIABvAHIAaQBlAG4AdABhAHQAaQBvAG4AIABvAGYAIAB0AGgAZQBcAG4AIAAgACAAIABpAG4AcAB1AHQAIABhAHIAcgBhAHkALgAgAFMAdQBwAHAAbwByAHQAcwAgAG0AdQBsAHQAaQARIGMAaABhAHIAYQBjAHQAZQByACAAZABlAGwAaQBtAGkAdABlAHIAcwAgAGEAbgBkACAAZgB1AGwAbAAgAHIAZQBnAGUAeAARIHMAYQBmAGUAXABuACAAIAAgACAAZQBzAGMAYQBwAGkAbgBnAC4AXABuAFwAbgBQAGEAcgBhAG0AZQB0AGUAcgBzADoAXABuACAAIAAgACAAYQByAHIAYQB5ACAAIAAgACAAIAAgACAALQAgAEEAIAAxAEQAIABhAHIAcgBhAHkAIAAoAHYAZQByAHQAaQBjAGEAbAAgAG8AcgAgAGgAbwByAGkAegBvAG4AdABhAGwAKQAuACAAMgBEACAAYQByAHIAYQB5AHMAIABhAHIAZQAgAG4AbwB0ACAAcwB1AHAAcABvAHIAdABlAGQALgBcAG4AIAAgACAAIABkAGUAbABpAG0AaQB0AGUAcgAgACAAIAAtACAARABlAGwAaQBtAGkAdABlAHIAIAB1AHMAZQBkACAAdABvACAAcwBwAGwAaQB0ACAAZQBhAGMAaAAgAHQAZQB4AHQAIABlAGwAZQBtAGUAbgB0AC4AIABTAHAAaQBsAGwAIABvAHIAaQBlAG4AdABhAHQAaQBvAG4AXABuACAAIAAgACAAIAAgACAAIAAgACAAIAAgACAAIAAgACAAIAAgAGkAcwAgAGkAbgBmAGUAcgByAGUAZAAgAGYAcgBvAG0AIAB0AGgAZQAgAHMAaABhAHAAZQAgAG8AZgAgAGEAcgByAGEAeQAuAFwAbgBcAG4ATwBwAHQAaQBvAG4AYQBsADoAXABuACAAIAAgACAAWwBpAGYAXwBuAG8AdABfAGYAbwB1AG4AZABdAFwAbgAgACAAIAAgACAAIAAgACAAVgBhAGwAdQBlACAAcgBlAHQAdQByAG4AZQBkACAAdwBoAGUAbgAgAGEAIAB0AGUAeAB0ACAAZQBsAGUAbQBlAG4AdAAgAGMAbwBuAHQAYQBpAG4AcwAgAG4AbwAgAGQAZQBsAGkAbQBpAHQAZQByAC4AXABuACAAIAAgACAAIAAgACAAIABEAGUAZgBhAHUAbAB0AHMAIAB0AG8AIABcACIAXAAiAC4AXABuAFwAbgAgACAAIAAgAFsAdAByAGUAYQB0AF8AYwBvAG4AcwBlAGMAdQB0AGkAdgBlAF8AZABlAGwAaQBtAGkAdABlAHIAcwBfAGEAcwBfAG8AbgBlAF0AXABuACAAIAAgACAAIAAgACAAIABUAFIAVQBFACAAkiEgAGMAbwBsAGwAYQBwAHMAZQAgAHIAdQBuAHMAIABvAGYAIABjAG8AbgBzAGUAYwB1AHQAaQB2AGUAIABkAGUAbABpAG0AaQB0AGUAcgBzACAAYgBlAGYAbwByAGUAIABzAHAAbABpAHQAdABpAG4AZwAuAFwAbgAgACAAIAAgACAAIAAgACAAVQBzAGUAZgB1AGwAIABmAG8AcgAgAEMAUwBWABEgcwB0AHkAbABlACAAbgBvAHIAbQBhAGwAaQB6AGEAdABpAG8AbgAuAFwAbgBcAG4ATgBvAHQAZQBzADoAXABuACAAIAAgACAAIiAgAEMAbwBsAGwAYQBwAHMAZQAgAG0AbwBkAGUAIABwAGUAcgBmAG8AcgBtAHMAIABhACAAUgBFAEcARQBYAFIARQBQAEwAQQBDAEUAIABwAGEAcwBzACAAdwBoAGUAbgAgAGMAbwBuAHMAZQBjAHUAdABpAHYAZQAgAGQAZQBsAGkAbQBpAHQAZQByAHMAIABlAHgAaQBzAHQALgBcAG4AIAAgACAAIAAgACAARgBvAHIAIAB2AGUAcgB5ACAAbABhAHIAZwBlACAAYQByAHIAYQB5AHMAIABvAHIAIABoAGkAZwBoACAAdABvAGsAZQBuACAAYwBvAHUAbgB0AHMALAAgAHQAaABpAHMAIABtAGEAeQAgAGkAbgBjAHIAZQBhAHMAZQAgAGMAYQBsAGMAdQBsAGEAdABpAG8AbgAgAHQAaQBtAGUALgBcAG4AIAAgACAAIAAiICAARABlAGwAaQBtAGkAdABlAHIAcwAgAGEAcgBlACAAZgB1AGwAbAB5ACAAcgBlAGcAZQB4ABEgZQBzAGMAYQBwAGUAZAAgAHYAaQBhACAAUgBlAGcAZQB4AFMAYQBmAGUAuwMsACAAYQBsAGwAbwB3AGkAbgBnACAAbABpAHQAZQByAGEAbAAgAHUAcwBlACAAbwBmAFwAbgAgACAAIAAgACAAIABtAGUAdABhAGMAaABhAHIAYQBjAHQAZQByAHMAIAAoACoALAAgAD8ALAAgACsALAAgAHwALAAgACgALAAgACkALAAgAFsALAAgAF0ALAAgAF4ALAAgACQALAAgAGUAdABjAC4AKQAuAFwAbgAtAC0ALQAtAC0ALQAtAC0ALQAtAC0ALQAtAC0ALQAtAC0ALQAtAC0ALQAtAC0ALQAtAC0ALQAtAC0ALQAtAC0ALQAtAC0ALQAtAC0ALQAtAC0ALQAtAC0ALQAtAC0ALQAtAC0ALQAtAC0ALQAtAC0ALQAtAC0ALQAtAC0ALQAtAC0ALQAtAC0ALQAtAC0ALQAtAC0ALQAtAC0ALQAqAC8AXABuAFwAbgBTAHAAbABpAHQAuwMgAD0AXABuAEwAQQBNAEIARABBACgAXABuACAAIAAgACAAYQByAHIAYQB5ACwAXABuACAAIAAgACAAZABlAGwAaQBtAGkAdABlAHIALABcAG4AIAAgACAAIABbAGkAZgBfAG4AbwB0AF8AZgBvAHUAbgBkAF0ALABcAG4AIAAgACAAIABbAHQAcgBlAGEAdABfAGMAbwBuAHMAZQBjAHUAdABpAHYAZQBfAGQAZQBsAGkAbQBpAHQAZQByAHMAXwBhAHMAXwBvAG4AZQBdACwAXABuAFwAbgBMAEUAVAAoAFwAbgAgACAAIAAgAC8ALwAgAEQAaQBtAGUAbgBzAGkAbwBuAHMAIABvAGYAIABpAG4AcAB1AHQAIABhAHIAcgBhAHkAXABuACAAIAAgACAAaAAsACAAIABSAE8AVwBTACgAYQByAHIAYQB5ACkALABcAG4AIAAgACAAIAB3ACwAIAAgAEMATwBMAFUATQBOAFMAKABhAHIAcgBhAHkAKQAsAFwAbgBcAG4AIAAgACAAIAAvAC8AIABEAGkAbQBlAG4AcwBpAG8AbgBzACAAbwBmACAAZABlAGwAaQBtAGkAdABlAHIAXABuACAAIAAgACAAaACCICwAIABSAE8AVwBTACgAZABlAGwAaQBtAGkAdABlAHIAKQAsAFwAbgAgACAAIAAgAHcAgiAsACAAQwBPAEwAVQBNAE4AUwAoAGQAZQBsAGkAbQBpAHQAZQByACkALABcAG4AXABuACAAIAAgACAALwAvACAATwByAGkAZQBuAHQAYQB0AGkAbwBuACAAYwBoAGUAYwBrAHMAXABuACAAIAAgACAASQBzAFYAZQByAHQAaQBjAGEAbAA/ACwAIAAgACAAIABoACAAPgAgAHcALABcAG4AIAAgACAAIABJAHMAMgBEAD8ALAAgACAAIAAgACAAIAAgACAAIAAgAEEATgBEACgAaAAgAD4AIAAxACwAIAB3ACAAPgAgADEAKQAsAFwAbgAgACAAIAAgAEkAcwBTAGMAYQBsAGEAcgA/ACwAIAAgACAAIAAgACAAQQBOAEQAKABoACAAPQAgADEALAAgAHcAIAA9ACAAMQApACwAXABuAFwAbgAgACAAIAAgAC8ALwAgAE8AcAB0AGkAbwBuAGEAbAAgAHAAYQByAGEAbQBlAHQAZQByAHMAXABuACAAIAAgACAAaQBmAF8AbgBvAHQAXwBmAG8AdQBuAGQALAAgACAAIABJAEYAKABJAFMATwBNAEkAVABUAEUARAAoAGkAZgBfAG4AbwB0AF8AZgBvAHUAbgBkACkALAAgAFwAIgBcACIALAAgAGkAZgBfAG4AbwB0AF8AZgBvAHUAbgBkACkALABcAG4AIAAgACAAIABDAG8AbABsAGEAcABzAGUARABlAGwAaQBtAD8ALAAgAE4ATwBUACgASQBTAE8ATQBJAFQAVABFAEQAKAB0AHIAZQBhAHQAXwBjAG8AbgBzAGUAYwB1AHQAaQB2AGUAXwBkAGUAbABpAG0AaQB0AGUAcgBzAF8AYQBzAF8AbwBuAGUAKQApACwAXABuACAAIAAgACAATQB1AGwAdABpAHAAbABlAEQAZQBsAGkAbQA/ACwAIABPAFIAKABoAIIgIAA+ACAAMQAsACAAdwCCICAAPgAgADEAKQAsAFwAbgBcAG4AIAAgACAAIAAvAC8AIABWAGEAbABpAGQAYQB0AGkAbwBuAFwAbgAgACAAIAAgAEkARgAoAEkAcwAyAEQAPwAsACAAIAAgACAAIAAgACAAIAAgACAAIAAgACAAIABcACIAIwAyAEQALQBJAE4AUABVAFQAIQBcACIALABcAG4AXABuACAAIAAgACAAIAAgACAAIABJAEYAKABNAHUAbAB0AGkAcABsAGUARABlAGwAaQBtAD8ALAAgAFwAIgAjAEQARQBMAEkATQBJAFQARQBSAC0AQQBSAFIAQQBZACEAXAAiACwAXABuAFwAbgBMAEUAVAAoAFwAbgAgACAAIAAgAC8ALwAgAFcAcgBhAHAAIABlAGEAYwBoACAAZQBsAGUAbQBlAG4AdAAgAHcAaQB0AGgAIABkAGUAbABpAG0AaQB0AGUAcgAgAG8AbgAgAGIAbwB0AGgAIABzAGkAZABlAHMAXABuACAAIAAgACAAagBvAGkAbgBlAGQALAAgACAAIAAgACAAIAAgACAAIABkAGUAbABpAG0AaQB0AGUAcgAgACYAIABhAHIAcgBhAHkAIAAmACAAZABlAGwAaQBtAGkAdABlAHIALABcAG4AXABuACAAIAAgACAALwAvACAAUgBlAGcAZQB4ABEgcwBhAGYAZQAgAGQAZQBsAGkAbQBpAHQAZQByAFwAbgAgACAAIAAgAGQAZQBsAGkAbQBfAGIALAAgACAAIAAgACAAIAAgACAAUgBlAGcAZQB4AFMAYQBmAGUAuwMoAGQAZQBsAGkAbQBpAHQAZQByACkALABcAG4AXABuACAAIAAgACAALwAvACAARABlAHQAZQBjAHQAIABjAG8AbgBzAGUAYwB1AHQAaQB2AGUAIABkAGUAbABpAG0AaQB0AGUAcgBzAFwAbgAgACAAIAAgAEkAcwBDAG8AbgBzAGUAYwBEAGUAbABpAG0APwAsACAATwBSACgAUgBFAEcARQBYAFQARQBTAFQAKABqAG8AaQBuAGUAZAAsACAAXAAiACgAXAAiACAAJgAgAGQAZQBsAGkAbQBfAGIAIAAmACAAXAAiACkAewAyACwAfQBcACIAKQApACwAXABuAFwAbgAgACAAIAAgAC8ALwAgAEMAbwBsAGwAYQBwAHMAZQAgAGMAbwBuAHMAZQBjAHUAdABpAHYAZQAgAGQAZQBsAGkAbQBpAHQAZQByAHMAIABpAGYAIAByAGUAcQB1AGUAcwB0AGUAZABcAG4AIAAgACAAIAB0AGUAeAB0AHMALAAgACAAIAAgACAAIAAgACAAIAAgAEkARgAoAEEATgBEACgAQwBvAGwAbABhAHAAcwBlAEQAZQBsAGkAbQA/ACwAIABJAHMAQwBvAG4AcwBlAGMARABlAGwAaQBtAD8AKQAsAFwAbgAgACAAIAAgACAAIAAgACAAIAAgACAAIAAgACAAIAAgACAAIAAgACAAIAAgACAAIABSAEUARwBFAFgAUgBFAFAATABBAEMARQAoAGoAbwBpAG4AZQBkACwAIABcACIAKABcACIAIAAmACAAZABlAGwAaQBtAF8AYgAgACYAIABcACIAKQArAFwAIgAsACAAZABlAGwAaQBtAF8AYgApACwAXABuACAAIAAgACAAIAAgACAAIAAgACAAIAAgACAAIAAgACAAIAAgACAAIAAgACAAIAAgAGoAbwBpAG4AZQBkACkALABcAG4AXABuACAAIAAgACAALwAvACAAVABvAGsAZQBuACAAYwBvAHUAbgB0AFwAbgAgACAAIAAgAEwALAAgACAAIAAgACAAIAAgACAAIAAgACAAIAAgACAATABFAE4AKABkAGUAbABpAG0AaQB0AGUAcgApACwAXABuACAAIAAgACAAdABvAGsAZQBuACwAIAAgACAAIAAgACAAIAAgACAAIABNAEEAWAAoAEwARQBOACgAdABlAHgAdABzACkAIAAtACAATABFAE4AKABTAFUAQgBTAFQASQBUAFUAVABFACgAdABlAHgAdABzACwAIABkAGUAbABpAG0AaQB0AGUAcgAsACAAXAAiAFwAIgApACkAKQAgAC8AIABMACAALQAgADEALABcAG4AXABuACAAIAAgACAALwAvACAASQBuAGQAZQB4AGkAbgBnACAAZgBvAHIAIABUAEUAWABUAEEARgBUAEUAUgAvAFQARQBYAFQAQgBFAEYATwBSAEUAXABuACAAIAAgACAAaQBkAHgALAAgACAAIAAgACAAIAAgACAAIAAgACAAIABMAEEATQBCAEQAQQAoAEkARgAoACgASQBzAFYAZQByAHQAaQBjAGEAbAA/ACkAIAArACAAKABJAHMAUwBjAGEAbABhAHIAPwApACwAUwBFAFEAVQBFAE4AQwBFACgALAAgAHQAbwBrAGUAbgApACwAXABuACAAIAAgACAAIAAgACAAIAAgACAAIAAgACAAIAAgACAAIAAgACAAIAAgACAAIAAgACAAIAAgACAAIAAgACAAIAAgACAAIAAgACAAIAAgACAAIAAgACAAIAAgACAAIAAgACAAIAAgACAAIAAgACAAIAAgACAAUwBFAFEAVQBFAE4AQwBFACgAdABvAGsAZQBuACkAKQApACwAXABuAFwAbgAgACAAIAAgAC8ALwAgAFAAYQByAHMAZQAgAHQAbwBrAGUAbgBzAFwAbgAgACAAIAAgAGYAaQBuAGEAbAAsACAAIAAgACAAIAAgACAAIAAgACAASQBGAEUAUgBSAE8AUgAoAFwAbgAgACAAIAAgACAAIAAgACAAIAAgACAAIAAgACAAIAAgACAAIAAgACAAIAAgACAAIAAgACAAIAAgAFQARQBYAFQAQgBFAEYATwBSAEUAKABUAEUAWABUAEEARgBUAEUAUgAoAHQAZQB4AHQAcwAsACAAZABlAGwAaQBtAGkAdABlAHIALAAgAGkAZAB4ACgAKQAsACAALAAgACwAIABpAGYAXwBuAG8AdABfAGYAbwB1AG4AZAApACwAXABuACAAIAAgACAAIAAgACAAIAAgACAAIAAgACAAIAAgACAAIAAgACAAIAAgACAAIAAgACAAIAAgACAAZABlAGwAaQBtAGkAdABlAHIALAAsACAALAAgACwAIABpAGYAXwBuAG8AdABfAGYAbwB1AG4AZAApACwAXABuACAAIAAgACAAIAAgACAAIAAgACAAIAAgACAAIAAgACAAIAAgACAAIAAgACAAIAAgACAAIAAgACAAaQBmAF8AbgBvAHQAXwBmAG8AdQBuAGQAKQAsAFwAbgBcAG4AIAAgACAAIABmAGkAbgBhAGwAXABuACkAKQApACkAKQA7AFwAbgBcAG4AXABuAFwAbgAvACoAIABbAFQAWAAtAEMATwBSAEUAXQAgAC0ALQAtAC0ALQAtAC0ALQAtAC0ALQAtAC0ALQAtAC0ALQAtAC0ALQAtAC0ALQAtAC0ALQAtAC0ALQAtAC0ALQAtAC0ALQAtAC0ALQAtAC0ALQAtAC0ALQAtAC0ALQAtAC0ALQAtAC0ALQAtAC0ALQAtAC0ALQAtAC0ALQAtAC0ALQAtAC0ALQAtAC0AXABuAEYAdQBuAGMAdABpAG8AbgA6ACAAIAAgACAAIAAgACAAIABSAGUAZwBlAHgAUwBhAGYAZQC7A1wAbgBDAGEAdABlAGcAbwByAHkAOgAgACAAIAAgACAAIAAgACAAVABlAHgAdAAgACgAQwBvAHIAZQApAFwAbgBBAHUAdABoAG8AcgA6ACAAIAAgACAAIAAgACAAIAAgACAAUABhAHQAcgBpAGMAawAgAEgALgBcAG4AVgBlAHIAcwBpAG8AbgA6ACAAIAAgACAAIAAgACAAIAAgADEALgAxAFwAbgBcAG4ARABlAHMAYwByAGkAcAB0AGkAbwBuADoAXABuACAAIAAgACAARQBzAGMAYQBwAGUAcwAgAHIAZQBnAGUAeAAgAG0AZQB0AGEAYwBoAGEAcgBhAGMAdABlAHIAcwAgAGkAbgAgAGEAIABzAHUAcABwAGwAaQBlAGQAIABkAGUAbABpAG0AaQB0AGUAcgAgAHMAbwAgAGkAdAAgAGMAYQBuACAAYgBlACAAdQBzAGUAZABcAG4AIAAgACAAIABzAGEAZgBlAGwAeQAgAGkAbgAgAFIARQBHAEUAWABUAEUAUwBUACwAIABSAEUARwBFAFgAUgBFAFAATABBAEMARQAsACAAYQBuAGQAIABSAEUARwBFAFgARQBYAFQAUgBBAEMAVAAgAHAAYQB0AHQAZQByAG4AcwAuACAATQB1AGwAdABpABEgXABuACAAIAAgACAAYwBoAGEAcgBhAGMAdABlAHIAIABkAGUAbABpAG0AaQB0AGUAcgBzACAAYQByAGUAIABwAHIAbwBjAGUAcwBzAGUAZAAgAGMAaABhAHIAYQBjAHQAZQByABEgYgB5ABEgYwBoAGEAcgBhAGMAdABlAHIALAAgAGEAbgBkACAAbwBuAGwAeQBcAG4AIAAgACAAIABjAGgAYQByAGEAYwB0AGUAcgBzACAAdABoAGEAdAAgAHIAZQBxAHUAaQByAGUAIABlAHMAYwBhAHAAaQBuAGcAIABhAHIAZQAgAHAAcgBlAGYAaQB4AGUAZAAgAHcAaQB0AGgAIABcACIAXABcAFwAIgAuAFwAbgBcAG4ARQB4AGEAbQBwAGwAZQA6AFwAbgAgACAAIAAgAD0AUgBlAGcAZQB4AFMAYQBmAGUAuwMoAFwAIgB8AFwAIgApAFwAbgAgACAAIAAgAHIAZQB0AHUAcgBuAHMAOgAgAFwAIgBcAFwAfABcACIAXABuAC0ALQAtAC0ALQAtAC0ALQAtAC0ALQAtAC0ALQAtAC0ALQAtAC0ALQAtAC0ALQAtAC0ALQAtAC0ALQAtAC0ALQAtAC0ALQAtAC0ALQAtAC0ALQAtAC0ALQAtAC0ALQAtAC0ALQAtAC0ALQAtAC0ALQAtAC0ALQAtAC0ALQAtAC0ALQAtAC0ALQAtAC0ALQAtAC0ALQAtAC0ALQAtACoALwBcAG4AXABuAFIAZQBnAGUAeABTAGEAZgBlALsDIAA9AFwAbgBMAEEATQBCAEQAQQAoAFwAbgAgACAAIAAgAGQAZQBsAGkAbQBpAHQAZQByAHMALABcAG4ATABFAFQAKABcAG4AIAAgACAAIAAvAC8AIABDAGgAYQByAGEAYwB0AGUAcgBzACAAcgBlAHEAdQBpAHIAaQBuAGcAIABlAHMAYwBhAHAAaQBuAGcAIABpAG4AIABFAHgAYwBlAGwAJwBzACAAUABDAFIARQAyACAAZQBuAGcAaQBuAGUAXABuACAAIAAgACAAbQBlAHQAYQAsACAAIAAgACAAIAAgACAAewBcACIAXABcAFwAIgAsACAAXAAiACsAXAAiACwAIABcACIAKgBcACIALAAgAFwAIgA/AFwAIgAsACAAXAAiAF4AXAAiACwAXABuACAAIAAgACAAIAAgACAAIAAgACAAIAAgACAAIAAgACAAIABcACIAJABcACIALAAgAFwAIgAoAFwAIgAsACAAXAAiACkAXAAiACwAIABcACIAWwBcACIALAAgAFwAIgB8AFwAIgB9ACwAXABuAFwAbgAgACAAIAAgAC8ALwAgAEUAbgB1AG0AZQByAGEAdABlACAAZQBhAGMAaAAgAGMAaABhAHIAYQBjAHQAZQByACAAbwBmACAAdABoAGUAIABkAGUAbABpAG0AaQB0AGUAcgBcAG4AIAAgACAAIABjAGgAYQByAHMALAAgACAAIAAgACAAIABSAEUARwBFAFgARQBYAFQAUgBBAEMAVAAoAGQAZQBsAGkAbQBpAHQAZQByAHMALABcACIALgBcACIALAAxACkALABcAG4AXABuACAAIAAgACAALwAvACAASQBkAGUAbgB0AGkAZgB5ACAAbQBlAHQAYQBjAGgAYQByAGEAYwB0AGUAcgBzAFwAbgAgACAAIAAgAEkAcwBNAGUAdABhAD8ALAAgACAAIAAgAEkAUwBOAFUATQBCAEUAUgAoAFgATQBBAFQAQwBIACgAYwBoAGEAcgBzACwAIABtAGUAdABhACkAKQAsAFwAbgBcAG4AIAAgACAAIAAvAC8AIABFAHMAYwBhAHAAZQAgAG8AbgBsAHkAIAB0AGgAbwBzAGUAIAB0AGgAYQB0ACAAcgBlAHEAdQBpAHIAZQAgAGkAdABcAG4AIAAgACAAIABwAGEAdAB0AGUAcgBuACwAIAAgACAAIABDAE8ATgBDAEEAVAAoAEkARgAoAEkAcwBNAGUAdABhAD8ALAAgAFwAIgBcAFwAXAAiACAAJgAgAGMAaABhAHIAcwAsACAAYwBoAGEAcgBzACkAKQAsAFwAbgBcAG4AIAAgACAAIABwAGEAdAB0AGUAcgBuAFwAbgApACkAOwBcAG4AXABuAFwAbgBcAG4ALwAvACAAWwBFAE4AXQAgAC0ALQAtAC0ALQAtAC0ALQAtAC0ALQAtAC0ALQAtAC0ALQAtAC0ALQAtAC0ALQAtAC0ALQAtAC0ALQAtAC0ALQAtAC0ALQAtAC0ALQAtAC0ALQAtAC0ALQAtAC0ALQAtAC0ALQAtAC0ALQAtAC0ALQAtAC0ALQAtAC0ALQAtAC0ALQAtAC0ALQAtAC0ALQAtAC0ALQAtAC0ALQBcAG4ALwAvACAALQAtAC0AIwAjACAAMAA4ACAAFCAgAEUAbgBnAGkAbgBlAGUAcgBpAG4AZ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UAbgBnAGkAbgBlAGUAcgBpAG4AZwAgAGMAYQB0AGUAZwBvAHIAeQAgAHAAcgBvAHYAaQBkAGUAcwAgAGIAaQBuAGEAcgB5ACwAIABHAHIAYQB5ABEgYwBvAGQAZQAsACAAYQBuAGQAIABiAGkAdAARIGwAZQB2AGUAbAAgAHUAdABpAGwAaQB0AGkAZQBzAFwAbgAgACAAIAAgAGQAZQBzAGkAZwBuAGUAZAAgAHQAbwAgAG8AcABlAHIAYQB0AGUAIAB3AGUAbABsACAAYgBlAHkAbwBuAGQAIABFAHgAYwBlAGwAJwBzACAAbgBhAHQAaQB2AGUAIABEAEUAQwAyAEIASQBOACAAbABpAG0AaQB0ACAAbwBmACAANQAxADEALgAgAEEAbABsAFwAbgAgACAAIAAgAGYAdQBuAGMAdABpAG8AbgBzACAAcwB1AHAAcABvAHIAdAAgAGMAbwBuAGMAaQBzAGUAIABiAGkAbgBhAHIAeQAgAHMAdAByAGkAbgBnAHMAIABhAG4AZAAgAHMAaABhAHAAZQARIHAAcgBlAHMAZQByAHYAaQBuAGcAIABhAHIAcgBhAHkAIABiAGUAaABhAHYAaQBvAHIALABcAG4AIAAgACAAIAB3AGkAdABoACAAbwBwAHQAaQBvAG4AYQBsACAAMgBEACAAZQB4AHAAbABvAGQAZQBkACAAYgBpAHQAESBtAGEAdAByAGkAYwBlAHMAIAB3AGgAZQByAGUAIABhAHAAcABsAGkAYwBhAGIAbABlAC4AXABuAFwAbgBGAHUAbgBjAHQAaQBvAG4AcwA6AFwAbgAgACAAIAAgACIgIABCAGkAbgAyAEQAZQBjALsDXABuACAAIAAgACAAIAAgACAAIABDAG8AbgB2AGUAcgB0AHMAIABjAG8AbgBjAGkAcwBlACAAYgBpAG4AYQByAHkAIABpAG4AdABvACAAZABlAGMAaQBtAGEAbAAgAHYAYQBsAHUAZQBzAC4AXABuAFwAbgAgACAAIAAgACIgIABCAGkAbgAyAEcAcgBhAHkAuwNcAG4AIAAgACAAIAAgACAAIAAgAEMAbwBuAHYAZQByAHQAcwAgAGMAbwBuAGMAaQBzAGUAIABiAGkAbgBhAHIAeQAgAGkAbgB0AG8AIABHAHIAYQB5ABEgYwBvAGQAZQAgAHYAYQBsAHUAZQBzACwAIAB3AGkAdABoACAAbwBwAHQAaQBvAG4AYQBsACAAZQB4AHAAbABvAGQAZQBkACAAZgBvAHIAbQAuAFwAbgBcAG4AIAAgACAAIAAiICAAQgBpAHQAQwBvAHUAbgB0ALsDXABuACAAIAAgACAAIAAgACAAIABDAG8AbgB2AGUAcgB0AHMAIABpAG4AdABlAGcAZQByAHMAIAB0AG8AIABiAGkAbgBhAHIAeQAgAGEAbgBkACAAcgBlAHQAdQByAG4AcwAgAGIAaQB0ACAAYwBvAHUAbgB0AHMALAAgAHAAcgBlAHMAZQByAHYAaQBuAGcAIABpAG4AcAB1AHQAIABzAGgAYQBwAGUALgBcAG4AXABuACAAIAAgACAAIiAgAEQAZQBjADIAQgBpAG4AuwNcAG4AIAAgACAAIAAgACAAIAAgAEMAbwBuAHYAZQByAHQAcwAgAGkAbgB0AGUAZwBlAHIAcwAgAGkAbgB0AG8AIABiAGkAbgBhAHIAeQAgAHYAYQBsAHUAZQBzACwAIAByAGUAdAB1AHIAbgBlAGQAIABhAHMAIABjAG8AbgBjAGkAcwBlACAAcwB0AHIAaQBuAGcAcwAgAG8AcgBcAG4AIAAgACAAIAAgACAAIAAgAGUAeABwAGwAbwBkAGUAZAAgADIARAAgAGIAaQB0ABEgYQByAHIAYQB5AHMALgBcAG4AXABuACAAIAAgACAAIiAgAEQAZQBjADIARwByAGEAeQC7A1wAbgAgACAAIAAgACAAIAAgACAAQwBvAG4AdgBlAHIAdABzACAAaQBuAHQAZQBnAGUAcgBzACAAaQBuAHQAbwAgAEcAcgBhAHkAESBjAG8AZABlACAAdgBhAGwAdQBlAHMAIAAoAHcAcgBhAHAAcABlAHIAOgAgAEQAZQBjADIAQgBpAG4AuwMgAJIhIABCAGkAbgAyAEcAcgBhAHkAuwMpAC4AXABuAFwAbgBOAG8AdABlAHMAOgBcAG4AIAAgACAAIAAiICAATgBlAGcAYQB0AGkAdgBlACAAbgB1AG0AYgBlAHIAcwAgAGEAcgBlACAAbgBvAHQAIABzAHUAcABwAG8AcgB0AGUAZAAgAGYAbwByACAARABlAGMAMgBCAGkAbgC7AyAAbwByACAARABlAGMAMgBHAHIAYQB5ALsDLgBcAG4AKgAvAFwAbgBcAG4AXABuAFwAbgAvACoAIABbAEUATgAwADEAXQAgAC0ALQAtAC0ALQAtAC0ALQAtAC0ALQAtAC0ALQAtAC0ALQAtAC0ALQAtAC0ALQAtAC0ALQAtAC0ALQAtAC0ALQAtAC0ALQAtAC0ALQAtAC0ALQAtAC0ALQAtAC0ALQAtAC0ALQAtAC0ALQAtAC0ALQAtAC0ALQAtAC0ALQAtAC0ALQAtAC0ALQAtAC0ALQAtAC0AXABuAEYAdQBuAGMAdABpAG8AbgA6ACAAIAAgACAAIAAgACAAIABCAGkAbgAyAEQAZQBj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jAG8AbgBjAGkAcwBlACAAYgBpAG4AYQByAHkAIABpAG4AdABvACAAZABlAGMAaQBtAGEAbAAgAHYAYQBsAHUAZQBzAC4AIABTAHUAcABwAG8AcgB0AHMAIABzAGMAYQBsAGEAcgAsACAAMQBEACwAIABhAG4AZAAgADIARABcAG4AIAAgACAAIABpAG4AcAB1AHQAcwAgAHcAaQB0AGgAIABmAHUAbABsACAAcwBoAGEAcABlACAAcAByAGUAcwBlAHIAdgBhAHQAaQBvAG4ALgAgAEIAaQB0ABEgdwBpAGQAdABoACAAaQBzACAAaQBuAGYAZQByAHIAZQBkACAAYQB1AHQAbwBtAGEAdABpAGMAYQBsAGwAeQBcAG4AIAAgACAAIABhAG4AZAAgAGEAbABsACAAdgBhAGwAdQBlAHMAIABhAHIAZQAgAG4AbwByAG0AYQBsAGkAegBlAGQAIABiAGUAZgBvAHIAZQAgAGUAeABwAGwAbwBzAGkAbwBuAC4AXABuAFwAbgBQAGEAcgBhAG0AZQB0AGUAcgBzADoAXABuACAAIAAgACAAYgBpAG4AYQByAHkAXABuACAAIAAgACAAIAAgACAAIABTAGMAYQBsAGEAcgAsACAAMQBEACAAYQByAHIAYQB5ACwAIABvAHIAIAAyAEQAIABhAHIAcgBhAHkAIABjAG8AbgB0AGEAaQBuAGkAbgBnACAAYwBvAG4AYwBpAHMAZQAgAGIAaQBuAGEAcgB5ACAAcwB0AHIAaQBuAGcAcwAuAFwAbgBcAG4AIAAgACAAIAAgACAAIAAgACIgIABDAG8AbgBjAGkAcwBlACAAZgBvAHIAbQA6AFwAbgAgACAAIAAgACAAIAAgACAAIAAgACAAIAAgACAAXAAiADEAMAAxADEAXAAiACwAIABcACIAMAAwADAAMQAxADAAMQAwAFwAIgAsACAAZQB0AGMALgAgACAAKABhAG4AeQAgAHMAaABhAHAAZQApAFwAbgBcAG4ATgBvAHQAZQBzADoAXABuACAAIAAgACAAIiAgAE8AdQB0AHAAdQB0ACAAcwBoAGEAcABlACAAbQBhAHQAYwBoAGUAcwAgAGkAbgBwAHUAdAAgAHMAaABhAHAAZQAgACgAcwBjAGEAbABhAHIALAAgAHYAZQByAHQAaQBjAGEAbAAsACAAaABvAHIAaQB6AG8AbgB0AGEAbAAsACAAbwByACAAMgBEACkALgBcAG4AIAAgACAAIAAiICAAUwB1AHAAcABvAHIAdABzACAAYgBpAG4AYQByAHkAIAB2AGEAbAB1AGUAcwAgAGYAYQByACAAYgBlAHkAbwBuAGQAIABFAHgAYwBlAGwAGSBzACAAbgBhAHQAaQB2AGUAIAAxADYAESBkAGkAZwBpAHQAIABuAHUAbQBlAHIAaQBjACAAbABpAG0AaQB0AC4AXABuAC0ALQAtAC0ALQAtAC0ALQAtAC0ALQAtAC0ALQAtAC0ALQAtAC0ALQAtAC0ALQAtAC0ALQAtAC0ALQAtAC0ALQAtAC0ALQAtAC0ALQAtAC0ALQAtAC0ALQAtAC0ALQAtAC0ALQAtAC0ALQAtAC0ALQAtAC0ALQAtAC0ALQAtAC0ALQAtAC0ALQAtAC0ALQAtAC0ALQAtAC0ALQAtACoALwBcAG4AXABuAEIAaQBuADIARABlAGMAuwMgAD0AXABuAEwAQQBNAEIARABBACgAXABuACAAIAAgACAAYgBpAG4AYQByAHkALABcAG4ATABFAFQAKA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XABuACAAIAAgACAALwAvACAATgBvAHIAbQBhAGwAaQB6AGUAIABiAGkAdAARIHcAaQBkAHQAaAAgAGEAbgBkACAAZQB4AHAAbABvAGQAZQBcAG4AIAAgACAAIABiAGkAdABzACwAIAAgACAAIAAgACAAIAAgACAAIAAgAE0AQQBYACgATABFAE4AKABiAGkAbgBhAHIAeQApACkALABcAG4AIAAgACAAIABhAHIAcgAsACAAIAAgACAAIAAgACAAIAAgACAAIAAgAFQARQBYAFQAKABiAGkAbgBhAHIAeQAsACAAUgBFAFAAVAAoAFwAIgAwAFwAIgAsACAAYgBpAHQAcwApACkALABcAG4AIAAgACAAIABiAGkAbgBhAHIAeQAsACAAIAAgACAAIAAgACAAIAAgAEkARgAoAEkAcwBTAGMAYQBsAGEAcgA/ACwARQB4AHAAbABvAGQAZQC7AygAYgBpAG4AYQByAHkAKQAsAFwAbgAgACAAIAAgACAAIAAgACAAIAAgACAAIAAgACAAIAAgACAAIAAgACAAIAAgACAAIAAgACAAIAAgACAAIAAgACAAIABFAHgAcABsAG8AZABlALsDKABUAE8AQwBPAEwAKABhAHIAcgApACkAKQAsAFwAbgBcAG4AIAAgACAAIAAvAC8AIABNAGEAdABoAFwAbgAgACAAIAAgAHAAbwB3AGUAcgBzACwAIABTAEUAUQBVAEUATgBDAEUAKAAsACAAYgBpAHQAcwAsACAAYgBpAHQAcwAgAC0AIAAxACwAIAAtADEAKQAsAFwAbgAgACAAIAAgAHAALAAgACAAIAAgACAAIABQAE8AVwBFAFIAKAAyACwAIABwAG8AdwBlAHIAcwApACwAXABuAFwAbgAgACAAIAAgAC8ALwAgAEEAZwBnAHIAZQBnAGEAdABpAG8AbgAgACYAIABkAGUAbABpAHYAZQByAHkAXABuACAAIAAgACAAcgBlAHMAdQBsAHQALAAgAEIAWQBSAE8AVwAoAGIAaQBuAGEAcgB5ACAAKgAgAHAALAAgAFMAVQBNACkALABcAG4AIAAgACAAIABmAGkAbgBhAGwALAAgACAASQBGACgATwBSACgASQBzAFMAYwBhAGwAYQByAD8ALAAgAEkAcwBWAGUAcgB0AGkAYwBhAGwAPwApACwAIAByAGUAcwB1AGwAdAAsAFwAbgAgACAAIAAgACAAIAAgACAAIAAgACAAIAAgACAAIAAgAEkARgAoAEkAcwBIAG8AcgBpAHoAbwBuAHQAYQBsAD8ALAAgAFQAUgBBAE4AUwBQAE8AUwBFACgAcgBlAHMAdQBsAHQAKQAsAFwAbgAgACAAIAAgACAAIAAgACAAIAAgACAAIAAgACAAIAAgACAAIAAgACAAVwBSAEEAUABSAE8AVwBTACgAcgBlAHMAdQBsAHQALAAgAHcAKQApACkALABcAG4AXABuACAAIAAgACAAZgBpAG4AYQBsAFwAbgApACkAOwBcAG4AXABuAFwAbgBcAG4ALwAqACAAWwBFAE4AMAAyAF0AIAAtAC0ALQAtAC0ALQAtAC0ALQAtAC0ALQAtAC0ALQAtAC0ALQAtAC0ALQAtAC0ALQAtAC0ALQAtAC0ALQAtAC0ALQAtAC0ALQAtAC0ALQAtAC0ALQAtAC0ALQAtAC0ALQAtAC0ALQAtAC0ALQAtAC0ALQAtAC0ALQAtAC0ALQAtAC0ALQAtAC0ALQAtAC0ALQAtAFwAbgBGAHUAbgBjAHQAaQBvAG4AOgAgACAAIAAgACAAIAAgACAAQgBpAG4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FAHgAcABsAG8AZABlALsDXABuAFwAbgBEAGUAcwBjAHIAaQBwAHQAaQBvAG4AOgBcAG4AIAAgACAAIABDAG8AbgB2AGUAcgB0AHMAIABiAGkAbgBhAHIAeQAgAGkAbgB0AG8AIABHAHIAYQB5ABEgYwBvAGQAZQAgAHYAYQBsAHUAZQBzAC4AIABTAHUAcABwAG8AcgB0AHMAIABzAGMAYQBsAGEAcgAsAFwAbgAgACAAIAAgADEARAAsACAAYQBuAGQAIAAyAEQAIABpAG4AcAB1AHQAcwAuACAATwB1AHQAcAB1AHQAIABjAGEAbgAgAGIAZQAgAHIAZQB0AHUAcgBuAGUAZAAgAGUAaQB0AGgAZQByACAAYQBzACAAYQAgADIARAAgAGEAcgByAGEAeQAgAG8AcgAgAGEAcwBcAG4AIAAgACAAIABjAG8AbgBjAGkAcwBlACAAcgBvAHcAESB3AGkAcwBlACAAcwB0AHIAaQBuAGcAcwAuAFwAbgBcAG4AUABhAHIAYQBtAGUAdABlAHIAcwA6AFwAbgAgACAAIAAgAGIAaQBuAGEAcgB5AFwAbgAgACAAIAAgACAAIAAgACAAUwBjAGEAbABhAHIALAAgADEARAAgAGEAcgByAGEAeQAsACAAbwByACAAMgBEACAAYQByAHIAYQB5ACAAYwBvAG4AdABhAGkAbgBpAG4AZwAgAGIAaQBuAGEAcgB5ACAAZABhAHQAYQ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MgBEACAAZQB4AHAAbABvAGQAZQBkACAARwByAGEAeQARIGMAbwBkAGUAIABiAGkAdAAgAGEAcgByAGEAeQBzAC4AXABuAFwAbgBOAG8AdABlAHMAOgBcAG4AIAAgACAAIAAiICAAMgBEACAAYQByAHIAYQB5AHMAIABhAHIAZQAgAGQAZQBsAGkAdgBlAHIAZQBkACAAaQBuACAAYwBvAG4AYwBpAHMAZQAgAGYAbwByAG0AYQB0AC4AXABuACAAIAAgACAAIiAgAEcAcgBhAHkAIABjAG8AZABlACAAaQBzACAAYwBvAG0AcAB1AHQAZQBkACAAYQBzADoAIAAgAGcAgCAgAD0AIABiAIAgLAAgACAAZwBiHSAAPQAgAGIAYh0gAFgATwBSACAAYgBiHYsggSAuAFwAbgAtAC0ALQAtAC0ALQAtAC0ALQAtAC0ALQAtAC0ALQAtAC0ALQAtAC0ALQAtAC0ALQAtAC0ALQAtAC0ALQAtAC0ALQAtAC0ALQAtAC0ALQAtAC0ALQAtAC0ALQAtAC0ALQAtAC0ALQAtAC0ALQAtAC0ALQAtAC0ALQAtAC0ALQAtAC0ALQAtAC0ALQAtAC0ALQAtAC0ALQAtAC0ALQAqAC8AXABuAFwAbgBCAGkAbgAyAEcAcgBhAHkAuwMgAD0AXABuAEwAQQBNAEIARABBACgAXABuACAAIAAgACAAYgBpAG4AYQByAHkALABcAG4AIAAgACAAIABbAGMAbwBuAGMAaQBzAGUAXQAsAFwAbgBcAG4ATABFAFQAKABcAG4AIAAgACAAIAAvAC8AIABPAHUAdABwAHUAdAAgAG0AbwBkAGUAXABuACAAIAAgACAASQBzADIARABHAHIAYQB5AD8ALAAgACAAIAAgACAAIABJAFMATwBNAEkAVABUAEUARAAoAGMAbwBuAGMAaQBzAGUAKQAsAFwAbgBcAG4AIAAgACAAIAAvAC8AIABTAGgAYQBwAGUAIABvAGYAIABpAG4AcAB1AHQAXABuACAAIAAgACAAaAAsACAAIAAgACAAIAAgACAAIAAgACAAIAAgACAAIABSAE8AVwBTACgAYgBpAG4AYQByAHkAKQAsAFwAbgAgACAAIAAgAHcALAAgACAAIAAgACAAIAAgACAAIAAgACAAIAAgACAAQwBPAEwAVQBNAE4AUwAoAGIAaQBuAGEAcgB5ACkALABcAG4AIAAgACAAIABJAHMAUwBjAGEAbABhAHIAPwAsACAAIAAgACAAIAAgAEEATgBEACgAaAAgAD0AIAAxACwAIAB3ACAAPQAgADEAKQAsAFwAbgAgACAAIAAgAEkAcwBWAGUAcgB0AGkAYwBhAGwAPwAsACAAIAAgACAAQQBOAEQAKABoACAAPgAgADEALAAgAHcAIAA9ACAAMQApACwAXABuACAAIAAgACAASQBzAEgAbwByAGkAegBvAG4AdABhAGwAPwAsACAAIABBAE4ARAAoAHcAIAA+ACAAMQAsACAAaAAgAD0AIAAxACkALABcAG4AIAAgACAAIABJAHMAMQBEAD8ALAAgACAAIAAgACAAIAAgACAAIAAgAFgATwBSACgAaAAgAD0AIAAxACwAIAB3ACAAPQAgADEAKQAsAFwAbgBcAG4AIAAgACAAIAAvAC8AIABOAG8AcgBtAGEAbABpAHoAZQAgAGIAaQB0AC0A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bwBzAHQAIABzAGkAZwBuAGkAZgBpAGMAYQBuAHQAIABiAGkAdABcAG4AIAAgACAAIABtAHMAYgAsACAAIAAgACAAIAAgACAAIAAgACAAIAAgAFQAQQBLAEUAKABiAGkAbgBhAHIAeQAsACAALAAgADEAKQAsAFwAbgBcAG4AIAAgACAAIAAvAC8AIABYAE8AUgAgAG4AZQBpAGcAaABiAG8AcgBzAFwAbgAgACAAIAAgAHgALAAgACAAIAAgACAAIAAgACAAIAAgACAAIAAgACAAQgBJAFQAWABPAFIAKABEAFIATwBQACgAYgBpAG4AYQByAHkALAAgACwAIAAxACkALAAgAEQAUgBPAFAAKABiAGkAbgBhAHIAeQAsACAALAAgAC0AMQApACkALABcAG4AXABuACAAIAAgACAALwAvACAARwByAGEAeQAgAGMAbwBkAGUAIABtAGEAdAByAGkAe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tAGEAdAByAGkAeABcAG4AIAAgACAAIABiAGkAdABzACwAIAAgACAAIAAgACAAIAAgACAARABlAGMAMgBCAGkAbgC7AygAbgAsACAAMQApACwAXABuAFwAbgAgACAAIAAgAC8ALwAgAEMAbwB1AG4AdAAgAGIAaQB0AHMAXABuACAAIAAgACAAYwBvAHUAbgB0AHMALAAgACAAIAAgACAAIAAgAEkARgAoAEkAcwBTAGMAYQBsAGEAcgA/ACwAIABTAFUATQAoAGIAaQB0AHMAKQAsAGYAbgC7AygAYgBpAHQAcwAsAFMAVQBNACkAKQAsAFwAbgBcAG4AIAAgACAAIABmAGkAbgBhAGwALAAgACAAIAAgACAAIAAgACAASQBGACgASQBzADEARAA/ACwAYwBvAHUAbgB0AHMALABXAFIAQQBQAFIATwBXAFMAKABjAG8AdQBuAHQAcwAsAHcAKQApACwAXABuAFwAbgAgACAAIAAgAGYAaQBuAGEAbABcAG4AKQApADsAXABuAFwAbgBcAG4AXABuAC8AKgAgAFsARQBOADAANABdACAALQAtAC0ALQAtAC0ALQAtAC0ALQAtAC0ALQAtAC0ALQAtAC0ALQAtAC0ALQAtAC0ALQAtAC0ALQAtAC0ALQAtAC0ALQAtAC0ALQAtAC0ALQAtAC0ALQAtAC0ALQAtAC0ALQAtAC0ALQAtAC0ALQAtAC0ALQAtAC0ALQAtAC0ALQAtAC0ALQAtAC0ALQAtAC0ALQBcAG4ARgB1AG4AYwB0AGkAbwBuADoAIAAgACAAIAAgACAAIAAgAEQAZQBjADIAQgBpAG4AuwNcAG4AQwBhAHQAZQBnAG8AcgB5ADoAIAAgACAAIAAgACAAIAAgAEUAbgBnAGkAbgBlAGUAcgBpAG4AZwBcAG4AQQB1AHQAaABvAHIAOgAgACAAIAAgACAAIAAgACAAIAAgAFAAYQB0AHIAaQBjAGsAIABIAC4AXABuAFYAZQByAHMAaQBvAG4AOgAgACAAIAAgACAAIAAgACAAIAAxAC4AMQBcAG4AXABuAEQAZQBzAGMAcgBpAHAAdABpAG8AbgA6AFwAbgAgACAAIAAgAEMAbwBuAHYAZQByAHQAcwAgAG4AbwBuABEgbgBlAGcAYQB0AGkAdgBlACAAaQBuAHQAZQBnAGUAcgBzACAAaQBuAHQAbwAgAGIAaQBuAGEAcgB5AC4AIABTAHUAcABwAG8AcgB0AHMAIABzAGMAYQBsAGEAcgAsACAAMQBEACwAIABhAG4AZAAgADIARABcAG4AIAAgACAAIABpAG4AcAB1AHQAcwAgAHcAaQB0AGgAIABmAHUAbABsACAAcwBoAGEAcABlACAAcAByAGUAcwBlAHIAdgBhAHQAaQBvAG4ALgAgAFIAZQB0AHUAcgBuAHMAIABlAGkAdABoAGUAcgAgAGMAbwBuAGMAaQBzAGUAIABiAGkAbgBhAHIAeQAgAHMAdAByAGkAbgBnAHMAXABuACAAIAAgACAAbwByACAAZQB4AHAAbABvAGQAZQBkACAAMgBEACAAYgBpAHQAESBhAHIAcgBhAHkAcwAuAFwAbgBcAG4AUABhAHIAYQBtAGUAdABlAHIAcwA6AFwAbgAgACAAIAAgAG4AdQBtAGIAZQByAHMAXABuACAAIAAgACAAIAAgACAAIABTAGMAYQBsAGEAcgAsACAAMQBEACAAYQByAHIAYQB5ACwAIABvAHIAIAAyAEQAIABhAHIAcgBhAHkAIABvAGYAIABuAG8AbgARIG4AZQBnAGEAdABpAHYAZQAgAGkAbgB0AGUAZwBlAHIAcwAuAFwAbgBcAG4AIAAgACAAIABbAEEAcgByAGEAeQBfAEYAbwByAG0AXwAyAEQAXQBcAG4AIAAgACAAIAAgACAAIAAgAE8AcAB0AGkAbwBuAGEAbAAuACAAVABSAFUARQAgAJIhIAByAGUAdAB1AHIAbgAgAGUAeABwAGwAbwBkAGUAZAAgADIARAAgAGIAaQB0ABEgYQByAHIAYQB5AHMALgBcAG4AIAAgACAAIAAgACAAIAAgAE8AbQBpAHQAdABlAGQAIACSISAAcgBlAHQAdQByAG4AIABjAG8AbgBjAGkAcwBlACAAYgBpAG4AYQByAHkAIABzAHQAcgBpAG4AZwBzAC4AXABuAFwAbgBOAG8AdABlAHMAOgBcAG4AIAAgACAAIAAiICAAUwB1AHAAcABvAHIAdABzACAAYQByAGIAaQB0AHIAYQByAGkAbAB5ACAAbABhAHIAZwBlACAAaQBuAHQAZQBnAGUAcgBzACAAKABiAGUAeQBvAG4AZAAgAEUAeABjAGUAbAAZIHMAIABuAGEAdABpAHYAZQAgAEIASQBOADIARABFAEMAIABsAGkAbQBpAHQAcwApAC4AXABuACAAIAAgACAAIiAgAEMAbwBuAGMAaQBzAGUAIABvAHUAdABwAHUAdAAgAGEAdgBvAGkAZABzACAAcwBjAGkAZQBuAHQAaQBmAGkAYwAgAG4AbwB0AGEAdABpAG8AbgAgAGEAbgBkACAAMQA2ABEgZABpAGcAaQB0ACAAcAByAGUAYwBpAHMAaQBvAG4AIABpAHMAcwB1AGUAcwAuAFwAbgAgACAAIAAgACIgIAAyAEQAIABpAG4AcAB1AHQAcwAgAHAAcgBlAHMAZQByAHYAZQAgAHQAaABlAGkAcgAgAG8AcgBpAGcAaQBuAGEAbAAgAHMAaABhAHAAZQAgAHcAaABlAG4AIABjAG8AbgBjAGkAcwBlACAAbwB1AHQAcAB1AHQAIABpAHMAIABzAGUAbABlAGMAdABlAGQALgBcAG4ALQAtAC0ALQAtAC0ALQAtAC0ALQAtAC0ALQAtAC0ALQAtAC0ALQAtAC0ALQAtAC0ALQAtAC0ALQAtAC0ALQAtAC0ALQAtAC0ALQAtAC0ALQAtAC0ALQAtAC0ALQAtAC0ALQAtAC0ALQAtAC0ALQAtAC0ALQAtAC0ALQAtAC0ALQAtAC0ALQAtAC0ALQAtAC0ALQAtAC0ALQAtAC0AKgAvAFwAbgBcAG4ARABlAGMAMgBCAGkAbgC7Az0AXABuAEwAQQBNAEIARABBACgAXABuACAAIAAgACAAbgB1AG0AYgBlAHIAcwAsAFwAbgAgACAAIAAgAFsAQQByAHIAYQB5AF8ARgBvAHIAbQBfADIARABdACwAXABuAFwAbgAvAC8AQwBoAGUAYwBrACAAbgB1AG0AYgBlAHIAcwBcAG4ASQBGACgATwBSACgASQBTAFQARQBYAFQAKABuAHUAbQBiAGUAcgBzACkALAAgAEkAUwBFAFIAUgBPAFIAKAAtAC0AbgB1AG0AYgBlAHIAcwApACwAbgB1AG0AYgBlAHIAcwAgADwAIAAwACkALAAgACMAVgBBAEwAVQBFACEALABcAG4AXABuAEwARQBUACgAXABuACAAIAAgACAALwAvACAASQBuAHAAdQB0ACAAcwBoAGEAcABlAFwAbgAgACAAIAAgAGgALAAgACAAIAAgACAAIAAgACAAIAAgACAAIAAgAFIATwBXAFMAKABuAHUAbQBiAGUAcgBzACkALABcAG4AIAAgACAAIAB3ACwAIAAgACAAIAAgACAAIAAgACAAIAAgACAAIABDAE8ATABVAE0ATgBTACgAbgB1AG0AYgBlAHIAcwApACwAXABuAFwAbgAgACAAIAAgAEkAcwBTAGMAYQBsAGEAcgA/ACwAIAAgACAAIAAgAEEATgBEACgAaAAgAD0AIAAxACwAIAB3ACAAPQAgADEAKQAsAFwAbgAgACAAIAAgAEkAcwBWAGUAcgB0AGkAYwBhAGwAPwAsACAAIAAgAGgAIAA+ACAAdwAsAFwAbgAgACAAIAAgAEkAcwAyAEQAPwAsACAAIAAgACAAIAAgACAAIAAgAEEATgBEACgAaAAgAD4AIAAxACwAdwAgAD4AIAAxACkALABcAG4AXABuACAAIAAgACAALwAvACAARgBsAGEAdAB0AGUAbgAgAGkAbgBwAHUAdABcAG4AIAAgACAAIABuAHUAbQBiAGUAcgBzACwAIAAgACAAIAAgACAAIABUAE8AQwBPAEwAKABuAHUAbQBiAGUAcgBzACkALABcAG4AXABuACAAIAAgACAALwAvACAARgBvAHIAbQBcAG4AIAAgACAAIABJAHMAVgBlAGMAdABvAHIAPwAsACAAIAAgACAAIABJAFMATwBNAEkAVABUAEUARAAoAEEAcgByAGEAeQBfAEYAbwByAG0AXwAyAEQAKQAsAFwAbgBcAG4AIAAgACAAIAAvAC8AIABNAGEAeAAgAGIAaQB0AHMAIABuAGUAZQBkAGUAZAAgAHQAbwAgAGUAeABwAHIAZQBzAHMAIAByAGUAcwB1AGwAdABzACAAYQBzACAAYQByAHIAYQB5AFwAbgAgACAAIAAgAGIAaQB0AHMALAAgACAAIAAgACAAIAAgACAAIAAgAE0AQQBYACgASQBGAEUAUgBSAE8AUgAoAEkATgBUACgATABPAEcAKABuAHUAbQBiAGUAcgBzACwAMgApACkAIAArACAAMQAsADEAKQApACwAXABuAFwAbgAgACAAIAAgAC8ALwAgAEYAbwByAG0AcwAgAC0AIAAyAEQAIABhAHIAcgBhAHkALAAgAGIAaQBuACAAdgBlAGMAdABvAHIAIAAtACAAZQBhAGcAZQByACAAZQB2AGEAbAB1AGEAdABpAG8AbgAgAGQAZQBmAGUAcgByAGUAZABcAG4AIAAgACAAIABiAGkAbgBfAGEAcgByACwAIAAgACAAIAAgACAAIABMAEEATQBCAEQAQQAoAE0ATwBEACgAQgBJAFQAUgBTAEgASQBGAFQAKABuAHUAbQBiAGUAcgBzACwAUwBFAFEAVQBFAE4AQwBFACgALABiAGkAdABzACwAYgBpAHQAcwAgAC0AIAAxACwALQAxACkAKQAsADIAKQApACwAXABuACAAIAAgACAAYgBpAG4AXwB2AGUAYwB0AG8AcgAsACAAIAAgACAATABBAE0AQgBEAEEAKABCAFkAUgBPAFcAKABiAGkAbgBfAGEAcgByACgAKQAsAEMATwBOAEMAQQBUACkAKQAsAFwAbgAgACAAIAAgAGIAaQBuAF8AcgBlAHMAdQBsAHQALAAgACAAIAAgAEwAQQBNAEIARABBACgASQBGACgASQBzAFYAZQBjAHQAbwByAD8ALABiAGkAbgBfAHYAZQBjAHQAbwByACgAKQAsAGIAaQBuAF8AYQByAHIAKAApACkAKQAsAFwAbgBcAG4AIAAgACAAIAAvAC8AIABSAGUALQBzAGgAYQBwAGkAbgBnACAAJgAgAGQAZQBsAGkAdgBlAHIAeQBcAG4AIAAgACAAIABkAGUAbABpAHYAZQByACwAIAAgACAAIAAgACAAIABJAEYAKABJAHMAMgBEAD8ALABXAFIAQQBQAFIATwBXAFMAKABiAGkAbgBfAHYAZQBjAHQAbwByACgAKQAsAHcAKQAsAFwAbgAgACAAIAAgACAAIAAgACAAIAAgACAAIAAgACAAIAAgACAAIAAgACAAIAAgACAAIABJAEYAKABPAFIAKABJAHMAUwBjAGEAbABhAHIAPwAsAEkAcwBWAGUAcgB0AGkAYwBhAGwAPwApACwAYgBpAG4AXwByAGUAcwB1AGwAdAAoACkALABcAG4AIAAgACAAIAAgACAAIAAgACAAIAAgACAAIAAgACAAIAAgACAAIAAgACAAIAAgACAAIAAgACAAIABUAFIAQQBOAFMAUABPAFMARQAoAGIAaQBuAF8AcgBlAHMAdQBsAHQAKAApACkAKQApACwAXABuACAAIAAgACAAZABlAGwAaQB2AGUAcgBcAG4AKQApACkAOwBcAG4AXABuAFwAbgBcAG4ALwAqACAAWwBFAE4AMAA1AF0AIAAtAC0ALQAtAC0ALQAtAC0ALQAtAC0ALQAtAC0ALQAtAC0ALQAtAC0ALQAtAC0ALQAtAC0ALQAtAC0ALQAtAC0ALQAtAC0ALQAtAC0ALQAtAC0ALQAtAC0ALQAtAC0ALQAtAC0ALQAtAC0ALQAtAC0ALQAtAC0ALQAtAC0ALQAtAC0ALQAtAC0ALQAtAC0ALQAtAFwAbgBGAHUAbgBjAHQAaQBvAG4AOgAgACAAIAAgACAAIAAgACAARABlAGMAMgBHAHIAYQB5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LAAgAEIAaQBuADIARwByAGEAeQC7A1wAbgBcAG4ARABlAHMAYwByAGkAcAB0AGkAbwBuADoAXABuACAAIAAgACAAQwBvAG4AdgBlAHIAdABzACAAbgBvAG4AESBuAGUAZwBhAHQAaQB2AGUAIABpAG4AdABlAGcAZQByAHMAIABpAG4AdABvACAARwByAGEAeQARIGMAbwBkAGUAIAB2AGEAbAB1AGUAcwAuACAAUwB1AHAAcABvAHIAdABzACAAcwBjAGEAbABhAHIALAAgADEARAAsAFwAbgAgACAAIAAgAGEAbgBkACAAMgBEACAAaQBuAHAAdQB0AHMAIAB3AGkAdABoACAAZgB1AGwAbAAgAHMAaABhAHAAZQAgAHAAcgBlAHMAZQByAHYAYQB0AGkAbwBuAC4AIABPAHUAdABwAHUAdAAgAGMAYQBuACAAYgBlACAAcgBlAHQAdQByAG4AZQBkACAAZQBpAHQAaABlAHIAXABuACAAIAAgACAAYQBzACAAYwBvAG4AYwBpAHMAZQAgAEcAcgBhAHkAESBjAG8AZABlACAAcwB0AHIAaQBuAGcAcwAgAG8AcgAgAGEAcwAgAGUAeABwAGwAbwBkAGUAZAAgADIARAAgAGIAaQB0ABEgYQByAHIAYQB5AHMALgBcAG4AXABuAFAAYQByAGEAbQBlAHQAZQByAHMAOgBcAG4AIAAgACAAIABuAHUAbQBiAGUAcgBcAG4AIAAgACAAIAAgACAAIAAgAFMAYwBhAGwAYQByACwAIAAxAEQAIABhAHIAcgBhAHkALAAgAG8AcgAgADIARAAgAGEAcgByAGEAeQAgAG8AZgAgAG4AbwBuABEgbgBlAGcAYQB0AGkAdgBlACAAaQBuAHQAZQBnAGUAcgBz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BlAHgAcABsAG8AZABlAGQAIAAyAEQAIABHAHIAYQB5ABEgYwBvAGQAZQAgAGIAaQB0ACAAYQByAHIAYQB5AHMALgBcAG4AXABuAE4AbwB0AGUAcwA6AFwAbgAgACAAIAAgACIgIABVAHMAZQBzACAARABlAGMAMgBCAGkAbgC7AyAAdABvACAAbwBiAHQAYQBpAG4AIABiAGkAbgBhAHIAeQAsACAAdABoAGUAbgAgAEIAaQBuADIARwByAGEAeQC7AyAAdABvACAAYwBvAG4AdgBlAHIAdAAgAHQAbwAgAEcAcgBhAHkAIABjAG8AZABl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EAGUAYwAyAEcAcgBhAHkAuwMgAD0AXABuAEwAQQBNAEIARABBACgAXABuACAAIAAgACAAbgB1AG0AYgBlAHIALABcAG4AIAAgACAAIABbAGMAbwBuAGMAaQBzAGUAXQAsAFwAbgAgACAAIAAgAEIAaQBuADIARwByAGEAeQC7AygARABlAGMAMgBCAGkAbgC7AygAbgB1AG0AYgBlAHIAKQAsACAAYwBvAG4AYwBpAHMAZQApAFwAbgApADsAXABuAFwAbgBcAG4AXABuAC8ALwAgAFsAQwBCAF0AIAAtAC0ALQAtAC0ALQAtAC0ALQAtAC0ALQAtAC0ALQAtAC0ALQAtAC0ALQAtAC0ALQAtAC0ALQAtAC0ALQAtAC0ALQAtAC0ALQAtAC0ALQAtAC0ALQAtAC0ALQAtAC0ALQAtAC0ALQAtAC0ALQAtAC0ALQAtAC0ALQAtAC0ALQAtAC0ALQAtAC0ALQAtAC0ALQAtAC0ALQAtAC0AXABuAC8ALwAgAC0ALQAtACMAIwAgADAAOQAgABQgIABDAG8AbQBiAGkAbgBhAHQAbwByAGkAYwBz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QwBvAG0AYgBpAG4AYQB0AG8AcgBpAGMAcwAgAGMAYQB0AGUAZwBvAHIAeQAgAHAAcgBvAHYAaQBkAGUAcwAgAGgAaQBnAGgAESBwAGUAcgBmAG8AcgBtAGEAbgBjAGUAIABnAGUAbgBlAHIAYQB0AG8AcgBzACAAZgBvAHIAXABuACAAIAAgACAAcABlAHIAbQB1AHQAYQB0AGkAbwBuAHMALAAgAGMAbwBtAGIAaQBuAGEAdABpAG8AbgBzACwAIABzAHUAYgBzAGUAdABzACwAIABhAG4AZAAgAHIAZQBsAGEAdABlAGQAIABzAHQAcgB1AGMAdAB1AHIAZQBzAC4AXABuAFwAbgBGAHUAbgBjAHQAaQBvAG4AcwA6AFwAbgAgACAAIAAgACIgIABQAGUAcgBtAFIAuwNcAG4AIAAgACAAIAAgACAAIAAgAEcAZQBuAGUAcgBhAHQAZQBzACAAcABlAHIAbQB1AHQAYQB0AGkAbwBuAHMAIAB3AGkAdABoACAAcgBlAHAAbABhAGMAZQBtAGUAbgB0ACAAKABrABEgdAB1AHAAbABlAHMAIABkAHIAYQB3AG4AIABmAHIAbwBtACAAbgAgAGkAdABlAG0AcwApAC4AXABuAFwAbgAgACAAIAAgACIgIABQAGUAcgBtALsDXABuACAAIAAgACAAIAAgACAAIABHAGUAbgBlAHIAYQB0AGUAcwAgAHAAZQByAG0AdQB0AGEAdABpAG8AbgBzACAAdwBpAHQAaABvAHUAdAAgAHIAZQBwAGwAYQBjAGUAbQBlAG4AdAAuAFwAbgBcAG4AIAAgACAAIAAiICAAQwBvAG0AYgBpAG4AYQB0AGkAbwBuAHMAUgC7A1wAbgAgACAAIAAgACAAIAAgACAARwBlAG4AZQByAGEAdABlAHMAIABjAG8AbQBiAGkAbgBhAHQAaQBvAG4AcwAgAHcAaQB0AGgAIAByAGUAcABsAGEAYwBlAG0AZQBuAHQALgBcAG4AXABuACAAIAAgACAAIiAgAEMAbwBtAGIAaQBuAGEAdABpAG8AbgBzALsDXABuACAAIAAgACAAIAAgACAAIABHAGUAbgBlAHIAYQB0AGUAcwAgAGMAbwBtAGIAaQBuAGEAdABpAG8AbgBzACAAdwBpAHQAaABvAHUAdAAgAHIAZQBwAGwAYQBjAGUAbQBlAG4AdAAuAFwAbgBcAG4AIAAgACAAIAAiICAARABlAHIAYQBuAGcAZQBtAGUAbgB0AHMAuwNcAG4AIAAgACAAIAAgACAAIAAgAEcAZQBuAGUAcgBhAHQAZQBzACAAcABlAHIAbQB1AHQAYQB0AGkAbwBuAHMAIAB3AGgAZQByAGUAIABuAG8AIABlAGwAZQBtAGUAbgB0ACAAcgBlAG0AYQBpAG4AcwAgAGkAbgAgAGkAdABzACAAbwByAGkAZwBpAG4AYQBsACAAcABvAHMAaQB0AGkAbwBuAC4AXABuAFwAbgAgACAAIAAgACIgIABLAG4AYQBwAFMAYQBjAGsAuwNcAG4AIAAgACAAIAAgACAAIAAgAFMAbwBsAHYAZQBzACAAdABoAGUAIABzAHUAYgBzAGUAdAARIHMAdQBtACAALwAgAGsAbgBhAHAAcwBhAGMAawAgAGYAZQBhAHMAaQBiAGkAbABpAHQAeQAgAHAAcgBvAGIAbABlAG0AIAB1AHMAaQBuAGcAIAB2AGUAYwB0AG8AcgBpAHoAZQBkAFwAbgAgACAAIAAgACAAIAAgACAAZQBuAHUAbQBlAHIAYQB0AGkAbwBuACAAYQBuAGQAIABmAGkAbAB0AGUAcgBpAG4AZwAuAFwAbgBcAG4AIAAgACAAIAAiICAAUwB1AGIAcwBlAHQARwBlAG4AuwNcAG4AIAAgACAAIAAgACAAIAAgAEcAZQBuAGUAcgBhAHQAZQBzACAAYQBsAGwAIABzAHUAYgBzAGUAdABzACAAbwBmACAAYQAgAHMAZQB0ACAAKAB0AGgAZQAgAHAAbwB3AGUAcgAgAHMAZQB0ACkALAAgAHIAZQB0AHUAcgBuAGUAZAAgAGkAbgAgAGIAaQBuAGEAcgB5ABEgbQBhAHMAawBcAG4AIAAgACAAIAAgACAAIAAgAG8AcgBkAGUAcgAuAFwAbgBcAG4AIAAgACAAIAAiICAAUwB1AGIAcwBlAHQAUwB1AG0AuwNcAG4AIAAgACAAIAAgACAAIAAgAFIAZQB0AHUAcgBuAHMAIABhAGwAbAAgAHMAdQBiAHMAZQB0AHMAIAB3AGgAbwBzAGUAIABlAGwAZQBtAGUAbgB0AHMAIABzAHUAbQAgAHQAbwAgAGEAIAB0AGEAcgBnAGUAdAAgAHYAYQBsAHUAZQAuAFwAbgBcAG4ATgBvAHQAZQBzADoAXABuACAAIAAgACAAIiAgAEEAbABsACAAZwBlAG4AZQByAGEAdABvAHIAcwAgAGEAcgBlACAAcwBoAGEAcABlABEgcAByAGUAcwBlAHIAdgBpAG4AZwAgAGEAbgBkACAAcgBlAHQAdQByAG4AIAAyAEQAIABhAHIAcgBhAHkAcwAgAHcAaABlAHIAZQAgAGUAYQBjAGgAIAByAG8AdwBcAG4AIAAgACAAIAAgACAAcgBlAHAAcgBlAHMAZQBuAHQAcwAgAG8AbgBlACAAYwBvAG0AYgBpAG4AYQB0AG8AcgBpAGEAbAAgAG8AYgBqAGUAYwB0AC4AXABuACAAIAAgACAAIiAgAEEAbABsACAAZgB1AG4AYwB0AGkAbwBuAHMAIABvAHAAZQByAGEAdABlACAAbwBuACAAYQByAHIAYQB5AHMAIABvAGYAIABpAHQAZQBtAHMALAAgAG4AbwB0ACAAagB1AHMAdAAgAGkAbgB0AGUAZwBlAHIAcwAuAFwAbgAgACAAIAAgACIgIABUAGgAZQAgAHUAbgBkAGUAcgBsAHkAaQBuAGcAIABhAHIAYwBoAGkAdABlAGMAdAB1AHIAZQAgAHUAcwBlAHMAIABhACAAZgB1AG4AbgBlAGwAIABtAG8AZABlAGwAOgAgAGwAYQByAGcAZQAgAGUAbgB1AG0AZQByAGEAdABpAG8AbgBzACAAYQByAGUAXABuACAAIAAgACAAIAAgAGcAZQBuAGUAcgBhAHQAZQBkACAAbwBuAGMAZQAgAGEAbgBkACAAZgBpAGwAdABlAHIAZQBkACAAYgB5ACAAbwByAGQAZQByACwAIAB1AG4AaQBxAHUAZQBuAGUAcwBzACwAIABvAHIAIABwAG8AcwBpAHQAaQBvAG4AYQBsACAAcAByAGUAZABpAGMAYQB0AGUAcwAuAFwAbgBcAG4ARQBuAHUAbQBlAHIAYQB0AGUAuwNcAG4AIAAgACAAIAAgACAAIAAgACAAIAAgACAAIAAgACAAIAAgACAAIAAgACAAIAAgACAAIAAgACAAIAAgACAAIAAgACgARwBlAG4AZQByAGEAdABpAG4AZwAgAGYAdQBuAGMAdABpAG8AbgApAFwAbgAgACAAIAAgACAAIAAgACAAIAAgACAAIAAgACAAIAAgACAAIAAgACAAIAAgACAAIAAgACAAIAAgACAAIAAgACAAIAAgACAAIAAgACAAIAAgAHwAXABuACAAIAAgACAAIAAgACAAIAAgACAAIAAgACAAIAAgACAAIAAgACAAIAAgACAAIAAgACAAIAAgACAAIAAgACAAIAAgACAAIAAgACAAIABQAGUAcgBtAFIAuwNcAG4AIAAgACAAIAAgACAAIAAgACAAIAAgACAAIAAgACAAIAAgACAAIAAgACgAZgB1AGwAbAAgAHAAZQByAG0AdQB0AGEAdABpAG8AbgBzACAAdwBpAHQAaAAgAHIAZQBwAGwAYQBjAGUAbQBlAG4AdAApAFwAbgAgACAAIAAgACAAIAAgACAAIAAgACAAIAAgACAAIAAgACAAIAAgACAAIAAgACAAIAAgACAAIAAgACAAIAAgACAAIAAgACAAIAAgACAAIAAgAHwAXABuACAAIAAgACAAIAAgACAAIAAgACAAIAAgACAAIAAgACAALQAtAC0ALQAtAC0ALQAtAC0ALQAtAC0ALQAtAC0ALQAtAC0ALQAtAC0ALQAtAC0ALQAtAC0ALQAtAC0ALQAtAC0ALQAtAC0ALQAtAC0ALQAtAC0ALQAtAC0ALQAtAC0ALQBcAG4AIAAgACAAIAAgACAAIAAgACAAIAAgACAAIAAgACAAIAB8ACAAIAAgACAAIAAgACAAIAAgACAAIAAgACAAIAAgACAAIAAgACAAIAAgACAAIAB8ACAAIAAgACAAIAAgACAAIAAgACAAIAAgACAAIAAgACAAIAAgACAAIAAgACAAIAB8AFwAbgAgACAAIAAgACAAIAAgACAAQwBvAG0AYgBpAG4AYQB0AGkAbwBuAHMAUgC7AyAAIAAgACAAIAAgACAAIAAgACAAIAAgACAAIAAgACAAUABlAHIAbQC7AyAAIAAgACAAIAAgACAAIAAgACAAIAAgACAAIABEAGUAcgBhAG4AZwBlAG0AZQBuAHQAcwC7A1wAbgAgACAAIAAgACAAIAAgACAAKABmAGkAbAB0AGUAcgAgAHIAZQBwAGUAYQB0AHMAKQAgACAAIAAgACAAIAAgACAAKABmAGkAbAB0AGUAcgAgAGIAeQAgAG8AcgBkAGUAcgApACAAIAAgACAAIAAoAGYAaQBsAHQAZQByACAAYgB5ACAAcABvAHMAaQB0AGkAbwBuACkAXABuACAAIAAgACAAIAAgACAAIAAgACAAIAAgACAAIAAgACAAfABcAG4AIAAgACAAIAAgACAAIAAgACAAIABDAG8AbQBiAGkAbgBhAHQAaQBvAG4AcwC7A1wAbgAgACAAIAAgACAAKABmAGkAbAB0AGUAcgAgAHIAZQBwAGUAYQB0AHMAIAArACAAbwByAGQAZQByACkAXABuAFwAbgBcAG4AKgAvAFwAbgBcAG4AXABuAFwAbgAvACoAIABbAEMAQgARIEMATwBSAEUAXQAgAC0ALQAtAC0ALQAtAC0ALQAtAC0ALQAtAC0ALQAtAC0ALQAtAC0ALQAtAC0ALQAtAC0ALQAtAC0ALQAtAC0ALQAtAC0ALQAtAC0ALQAtAC0ALQAtAC0ALQAtAC0ALQAtAC0ALQAtAC0ALQAtAC0ALQAtAC0ALQAtAC0ALQAtAC0ALQAtAC0ALQAtAC0ALQBcAG4ARgB1AG4AYwB0AGkAbwBuADoAIAAgACAAIAAgACAAIAAgAEUAbgB1AG0AZQByAGEAdABlALsDXABuAEMAYQB0AGUAZwBvAHIAeQA6ACAAIAAgACAAIAAgACAAIABDAG8AbQBiAGkAbgBhAHQAbwByAGkAYwBzAFwAbgBBAHUAdABoAG8AcgA6ACAAIAAgACAAIAAgACAAIAAgACAAUABhAHQAcgBpAGMAawAgAEgALgBcAG4AVgBlAHIAcwBpAG8AbgA6ACAAIAAgACAAIAAgACAAIAAgADEALgAxAFwAbgBcAG4ARABlAHMAYwByAGkAcAB0AGkAbwBuADoAXABuACAAIAAgACAAQwBvAHIAZQAgAGcAZQBuAGUAcgBhAHQAaQBuAGcAIABmAHUAbgBjAHQAaQBvAG4AIABmAG8AcgAgAGEAbABsACAAYwBvAG0AYgBpAG4AYQB0AG8AcgBpAGEAbAAgAG8AcABlAHIAYQB0AG8AcgBzACAAaQBuACAAdABoAGUAIABDAG8AbQBiAGkAbgBhAHQAbwByAGkAYwBzAFwAbgAgACAAIAAgAGMAYQB0AGUAZwBvAHIAeQAuACAAUAByAG8AZAB1AGMAZQBzACAAaQBuAGQAZQB4ACAAbQBhAHQAcgBpAGMAZQBzACAAZgBvAHIAIABwAGUAcgBtAHUAdABhAHQAaQBvAG4AcwAsACAAYwBvAG0AYgBpAG4AYQB0AGkAbwBuAHMALAAgAG0AdQBsAHQAaQBzAGUAdABzACwAXABuACAAIAAgACAAYQBuAGQAIABkAGUAcgBhAG4AZwBlAG0AZQBuAHQAcwAgAHUAcwBpAG4AZwAgAGEAIAB2AGUAYwB0AG8AcgBpAHoAZQBkACAAZgB1AG4AbgBlAGwAIABhAHIAYwBoAGkAdABlAGMAdAB1AHIAZQAuACAASABpAGcAaABlAHIAESBsAGUAdgBlAGwAXABuACAAIAAgACAAZgB1AG4AYwB0AGkAbwBuAHMAIAAoAFAAZQByAG0AUgC7AywAIABQAGUAcgBtALsDLAAgAEMAbwBtAGIAaQBuAGEAdABpAG8AbgBzAFIAuwMsACAAQwBvAG0AYgBpAG4AYQB0AGkAbwBuAHMAuwMsACAARABlAHIAYQBuAGcAZQBtAGUAbgB0AHMAuwMpAFwAbgAgACAAIAAgAGEAcgBlACAAdABoAGkAbgAgAHcAcgBhAHAAcABlAHIAcwAgAGEAcgBvAHUAbgBkACAAdABoAGkAcwAgAGcAZQBuAGUAcgBhAHQAbwBy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sAXABuACAAIAAgACAAIAAgACAAIABMAGUAbgBnAHQAaAAgAG8AZgAgAGUAYQBjAGgAIAB0AHUAcABsAGUAIAAoAGsAIABlIiAAMAApAC4AIABNAHUAcwB0ACAAYgBlACAAYQAgAHMAYwBhAGwAYQByAC4AXABuAFwAbgAgACAAIAAgAHQAeQBwAGUAXABuACAAIAAgACAAIAAgACAAIABTAGUAbABlAGMAdABvAHIAIABmAG8AcgAgAHQAaABlACAAYwBvAG0AYgBpAG4AYQB0AG8AcgBpAGEAbAAgAG0AbwBkAGUAOgBcAG4AIAAgACAAIAAgACAAIAAgACAAIAAgACAAMQAgAJIhIABQAGUAcgBtAHUAdABhAHQAaQBvAG4AcwAgAHcAaQB0AGgAIAByAGUAcABsAGEAYwBlAG0AZQBuAHQAXABuACAAIAAgACAAIAAgACAAIAAgACAAIAAgADIAIACSISAAUABlAHIAbQB1AHQAYQB0AGkAbwBuAHMAIAB3AGkAdABoAG8AdQB0ACAAcgBlAHAAbABhAGMAZQBtAGUAbgB0AFwAbgAgACAAIAAgACAAIAAgACAAIAAgACAAIAAzACAAkiEgAEMAbwBtAGIAaQBuAGEAdABpAG8AbgBzACAAdwBpAHQAaAAgAHIAZQBwAGwAYQBjAGUAbQBlAG4AdABcAG4AIAAgACAAIAAgACAAIAAgACAAIAAgACAANAAgAJIhIABDAG8AbQBiAGkAbgBhAHQAaQBvAG4AcwAgAHcAaQB0AGgAbwB1AHQAIAByAGUAcABsAGEAYwBlAG0AZQBuAHQAXABuACAAIAAgACAAIAAgACAAIAAgACAAIAAgADUAIACSISAARABlAHIAYQBuAGcAZQBtAGUAbgB0AHMAXABuAFwAbgBOAG8AdABlAHMAOgBcAG4AIAAgACAAIAAiICAAQQBsAGwAIAByAGUAcwB1AGwAdABzACAAYQByAGUAIAByAGUAdAB1AHIAbgBlAGQAIABhAHMAIAAyAEQAIABhAHIAcgBhAHkAcwAgAHcAaABlAHIAZQAgAGUAYQBjAGgAIAByAG8AdwAgAGkAcwAgAG8AbgBlACAAdAB1AHAAbABlAC4AXABuACAAIAAgACAAIiAgAEkAZgAgAGkAdABlAG0AcwAgAGEAcgBlACAAbgB1AG0AZQByAGkAYwAgAGEAbgBkACAAZQBxAHUAYQBsACAAdABvACAAUwBFAFEAVQBFAE4AQwBFACgAbgApACwAIAByAGEAdwAgAGkAbgBkAGkAYwBlAHMAIABhAHIAZQAgAHIAZQB0AHUAcgBuAGUAZAAuAFwAbgAgACAAIAAgACAAIABPAHQAaABlAHIAdwBpAHMAZQAsACAAaQB0AGUAbQBzACAAYQByAGUAIABzAHUAYgBzAHQAaQB0AHUAdABlAGQAIABpAG4AdABvACAAdABoAGUAIABpAG4AZABlAHgAIABtAGEAdAByAGkAeAAuAFwAbgAgACAAIAAgACIgIABNAGEAeABpAG0AdQBtACAAZQBuAHUAbQBlAHIAYQB0AGkAbwBuACAAcwBpAHoAZQAgAGkAcwAgAGMAYQBwAHAAZQBkACAAYQB0ACAAMQAsADAANAA4ACwANQA3ADYAIAByAG8AdwBzAC4AXABuAC0ALQAtAC0ALQAtAC0ALQAtAC0ALQAtAC0ALQAtAC0ALQAtAC0ALQAtAC0ALQAtAC0ALQAtAC0ALQAtAC0ALQAtAC0ALQAtAC0ALQAtAC0ALQAtAC0ALQAtAC0ALQAtAC0ALQAtAC0ALQAtAC0ALQAtAC0ALQAtAC0ALQAtAC0ALQAtAC0ALQAtAC0ALQAtAC0ALQAtAC0ALQAtACoALwBcAG4AXABuAEUAbgB1AG0AZQByAGEAdABlALsDIAA9AFwAbgBMAEEATQBCAEQAQQAoAFwAbgAgACAAIAAgAGkAdABlAG0AcwAsAFwAbgAgACAAIAAgAGsALABcAG4AIAAgACAAIAB0AHkAcABlACwAXABuAFwAbgBJAEYAKABPAFIAKABJAFMAVABFAFgAVAAoAGsAKQAsACAAawAgADwAIAAwACwAIABrACAAPgAgAEMATwBVAE4AVABBACgAaQB0AGUAbQBzACkAKQAsACMAVgBBAEwAVQBFACEALABcAG4AXABuACAAIAAgACAASQBGACgAQwBPAFUATgBUAEEAKABrACkAIAA8AD4AIAAxACwAIwBWAEEATABVAEUAIQAsAFwAbgBcAG4AIAAgACAAIAAgACAAIAAgAEkARgAoAEMATwBVAE4AVABBACgAaQB0AGUAbQBzACkAIABeACAAawAgAD4AIAAxADAANAA4ADUANwA2ACwAIwBOAFUATQAhACwAXABuAFwAbgBMAEUAVAAoAFwAbgAgACAAIAAgAC8ALwAgAEYAbABhAHQAdABlAG4AIABpAHQAZQBtAHMAXABuACAAIAAgACAAbABpAHMAdAAsACAAIAAgACAAVABPAEMATwBMACgAaQB0AGUAbQBzACkALABcAG4AIAAgACAAIABuACwAIAAgACAAIAAgACAAIABDAE8AVQBOAFQAQQAoAGwAaQBzAHQAKQAsAFwAbgBcAG4AIAAgACAAIAAvAC8AIABUAG8AdABhAGwAIAByAG8AdwBzAFwAbgAgACAAIAAgAGkALAAgACAAIAAgACAAIAAgAG4AIABeACAAawAsAFwAbgBcAG4AIAAgACAAIAAvAC8AIABCAGEAcwBlACAAZwBlAG4AZQByAGEAdABvAHIAOgAgAHAAZQByAG0AdQB0AGEAdABpAG8AbgBzACAAdwBpAHQAaAAgAHIAZQBwAGwAYQBjAGUAbQBlAG4AdABcAG4AIAAgACAAIABQAF8AcgAsACAAIAAgACAAIABMAEEATQBCAEQAQQAoADEAIAArACAATQBPAEQAKABRAFUATwBUAEkARQBOAFQAKABTAEUAUQBVAEUATgBDAEUAKABpACkALABuACAAXgAgAFMARQBRAFUARQBOAEMARQAoACwAIABrACwAIABrACAALQAgADEALAAgAC0AMQApACkALABuACkAKQAsAFwAbgBcAG4AIAAgACAAIAAvAC8AIABQAGUAcgBtAHUAdABhAHQAaQBvAG4AcwAgACgAbgBvACAAcgBlAHAAbABhAGMAZQBtAGUAbgB0ACkAXABuACAAIAAgACAAUAAsACAAIAAgACAAIAAgACAATABBAE0AQgBEAEEAKABGAEkATABUAEUAUgAoAFAAXwByACgAKQAsAEkAUwBOAEEAKABCAFkAUgBPAFcAKABQAF8AcgAoACkALAAgAE0ATwBEAEUAKQApACkAKQAsAFwAbgBcAG4AIAAgACAAIAAvAC8AIABDAG8AbQBiAGkAbgBhAHQAaQBvAG4AcwAgAHcAaQB0AGgAIAByAGUAcABsAGEAYwBlAG0AZQBuAHQAXABuACAAIAAgACAAQwBfAHIALAAgACAAIAAgACAATABBAE0AQgBEAEEAKABGAEkATABUAEUAUgAoAFAAXwByACgAKQAsAEIAWQBSAE8AVwAoAFAAXwByACgAKQAsAEwAQQBNAEIARABBACgAcgBvAHcALAAgAEEATgBEACgAcgBvAHcAIAA9ACAAUwBPAFIAVAAoAHIAbwB3ACwALAAsADEAKQApACkAKQApACkALABcAG4AXABuACAAIAAgACAALwAvACAAQwBvAG0AYgBpAG4AYQB0AGkAbwBuAHMAIAAoAG4AbwAgAHIAZQBwAGwAYQBjAGUAbQBlAG4AdAApAFwAbgAgACAAIAAgAEMALAAgACAAIAAgACAAIAAgAEwAQQBNAEIARABBACgARgBJAEwAVABFAFIAKABDAF8AcgAoACkALABJAFMATgBBACgAQgBZAFIATwBXACgAQwBfAHIAKAApACwAIABNAE8ARABFACkAKQApACkALABcAG4AXABuACAAIAAgACAALwAvACAARABlAHIAYQBuAGcAZQBtAGUAbgB0AHMAXABuACAAIAAgACAARAAsACAAIAAgACAAIAAgACAATABBAE0AQgBEAEEAKABGAEkATABUAEUAUgAoAFAAXwByACgAKQAsAEIAWQBSAE8AVwAoAFAAXwByACgAKQAsAEwAQQBNAEIARABBACgAcgBvAHcALAAgAE4ATwBUACgATwBSACgAUwBFAFEAVQBFAE4AQwBFACgALAAgAGsAKQAgAD0AIAByAG8AdwApACkAKQApACkAKQAsAFwAbgBcAG4AIAAgACAAIAAvAC8AIABTAGUAbABlAGMAdAAgAGcAZQBuAGUAcgBhAHQAbwByAFwAbgAgACAAIAAgAGkAZAB4ACwAIAAgACAAIAAgAEwAQQBNAEIARABBACgAQwBIAE8ATwBTAEUAKAB0AHkAcABlACwAIABQAF8AcgAoACkALAAgAFAAKAApACwAIABDAF8AcgAoACkALAAgAEMAKAApACwAIABEACgAKQApACkALABcAG4AXABuACAAIAAgACAALwAvACAAUwB1AGIAcwB0AGkAdAB1AHQAZQAgAGkAdABlAG0AcwAgAHUAbgBsAGUAcwBzACAAdABoAGUAeQAgAGEAcgBlACAAZQB4AGEAYwB0AGwAeQAgADEALgAuAG4AXABuACAAIAAgACAATgBvAHQASQBuAHQAPwAsACAATgBPAFQAKABBAE4ARAAoAFMARQBRAFUARQBOAEMARQAoAG4AKQAgAD0AIABsAGkAcwB0ACkAKQAsAFwAbgAgACAAIAAgAGQAZQBsAGkAdgBlAHIALAAgAEkARgAoAE4AbwB0AEkAbgB0AD8ALAAgAEkATgBEAEUAWAAoAGwAaQBzAHQALAAgAGkAZAB4ACgAKQApACwAIABpAGQAeAAoACkAKQAsAFwAbgBcAG4AIAAgACAAIABkAGUAbABpAHYAZQByAFwAbgApACkAKQApACkAOwBcAG4AXABuAFwAbgBcAG4ALwAqACAAWwBDAEIAMAAxAF0AIAAtAC0ALQAtAC0ALQAtAC0ALQAtAC0ALQAtAC0ALQAtAC0ALQAtAC0ALQAtAC0ALQAtAC0ALQAtAC0ALQAtAC0ALQAtAC0ALQAtAC0ALQAtAC0ALQAtAC0ALQAtAC0ALQAtAC0ALQAtAC0ALQAtAC0ALQAtAC0ALQAtAC0ALQAtAC0ALQAtAC0ALQAtAC0ALQAtAFwAbgBGAHUAbgBjAHQAaQBvAG4AOgAgACAAIAAgACAAIAAgACAAUABlAHIAbQ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CAAcgBlAHAAbABhAGMAZQBtAGUAbgB0ACAAKABrABEgdAB1AHAAbABlAHMAIABkAHIAYQB3AG4AIABmAHIAbwBtACAAbgAgAGkAdABlAG0AcwApAC4AXABuACAAIAAgACAARQBhAGMAaAAgAHIAbwB3ACAAbwBmACAAdABoAGUAIAByAGUAcwB1AGwAdAAgAHIAZQBwAHIAZQBzAGUAbgB0AHMAIABvAG4AZQAgAHAAZQByAG0AdQB0AGEAdABpAG8AbgAgAG8AZgAgAGwAZQBuAGcAdABoACAAa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xACkALgBcAG4ALQAtAC0ALQAtAC0ALQAtAC0ALQAtAC0ALQAtAC0ALQAtAC0ALQAtAC0ALQAtAC0ALQAtAC0ALQAtAC0ALQAtAC0ALQAtAC0ALQAtAC0ALQAtAC0ALQAtAC0ALQAtAC0ALQAtAC0ALQAtAC0ALQAtAC0ALQAtAC0ALQAtAC0ALQAtAC0ALQAtAC0ALQAtAC0ALQAtAC0ALQAtAC0AKgAvAFwAbgBcAG4AUABlAHIAbQBSALsDIAA9AFwAbgBMAEEATQBCAEQAQQAoAFwAbgAgACAAIAAgAGkAdABlAG0AcwAsAFwAbgAgACAAIAAgAGkAdABlAG0AcwBfAGMAaABvAHMAZQBuACwAXABuACAAIAAgACAARQBuAHUAbQBlAHIAYQB0AGUAuwMoAGkAdABlAG0AcwAsACAAaQB0AGUAbQBzAF8AYwBoAG8AcwBlAG4ALAAgADEAKQBcAG4AKQA7AFwAbgBcAG4AXABuAFwAbgAvACoAIABbAEMAQgAwADIAXQAgAC0ALQAtAC0ALQAtAC0ALQAtAC0ALQAtAC0ALQAtAC0ALQAtAC0ALQAtAC0ALQAtAC0ALQAtAC0ALQAtAC0ALQAtAC0ALQAtAC0ALQAtAC0ALQAtAC0ALQAtAC0ALQAtAC0ALQAtAC0ALQAtAC0ALQAtAC0ALQAtAC0ALQAtAC0ALQAtAC0ALQAtAC0ALQAtAC0AXABuAEYAdQBuAGMAdABpAG8AbgA6ACAAIAAgACAAIAAgACAAIABQAGUAcgBt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cABlAHIAbQB1AHQAYQB0AGkAbwBuAHMAIAB3AGkAdABoAG8AdQB0ACAAcgBlAHAAbABhAGMAZQBtAGUAbgB0AC4AIABFAGEAYwBoACAAcgBvAHcAIABvAGYAIAB0AGgAZQAgAHIAZQBzAHUAbAB0ACAAcgBlAHAAcgBlAHMAZQBuAHQAcwBcAG4AIAAgACAAIABvAG4AZQAgAGsAESB0AHUAcABsAGUAIABkAHIAYQB3AG4AIABmAHIAbwBtACAAdABoAGUAIABpAG4AcAB1AHQAIABpAHQAZQBtAHMALAAgAHcAaQB0AGgAIABuAG8AIAByAGUAcABlAGEAdABlAGQAIABwAG8AcwBpAHQAaQBvAG4AcwAuACAAUwB1AHAAcABvAHIAdABzAFwAbgAgACAAIAAgAHMAYwBhAGwAYQByACwAIAAxAEQALAAgAGEAbgBkACAAMgBEACAAaQB0AGUAbQAgAGEAcgByAGEAe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yACkALgBcAG4ALQAtAC0ALQAtAC0ALQAtAC0ALQAtAC0ALQAtAC0ALQAtAC0ALQAtAC0ALQAtAC0ALQAtAC0ALQAtAC0ALQAtAC0ALQAtAC0ALQAtAC0ALQAtAC0ALQAtAC0ALQAtAC0ALQAtAC0ALQAtAC0ALQAtAC0ALQAtAC0ALQAtAC0ALQAtAC0ALQAtAC0ALQAtAC0ALQAtAC0ALQAtAC0AKgAvAFwAbgBcAG4AUABlAHIAbQC7AyAAPQBcAG4ATABBAE0AQgBEAEEAKABcAG4AIAAgACAAIABpAHQAZQBtAHMALABcAG4AIAAgACAAIABpAHQAZQBtAHMAXwBjAGgAbwBzAGUAbgAsAFwAbgAgACAAIAAgAEUAbgB1AG0AZQByAGEAdABlALsDKABpAHQAZQBtAHMALAAgAGkAdABlAG0AcwBfAGMAaABvAHMAZQBuACwAIAAyACkAXABuACkAOwBcAG4AXABuAFwAbgBcAG4ALwAqACAAWwBDAEIAMAAzAF0AIAAtAC0ALQAtAC0ALQAtAC0ALQAtAC0ALQAtAC0ALQAtAC0ALQAtAC0ALQAtAC0ALQAtAC0ALQAtAC0ALQAtAC0ALQAtAC0ALQAtAC0ALQAtAC0ALQAtAC0ALQAtAC0ALQAtAC0ALQAtAC0ALQAtAC0ALQAtAC0ALQAtAC0ALQAtAC0ALQAtAC0ALQAtAC0ALQAtAFwAbgBGAHUAbgBjAHQAaQBvAG4AOgAgACAAIAAgACAAIAAgACAAQwBvAG0AYgBpAG4AYQB0AGkAbwBuAHMAUg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AgAHIAZQBwAGwAYQBjAGUAbQBlAG4AdAAgACgAbQB1AGwAdABpAHMAZQB0AHMAKQAuACAARQBhAGMAaAAgAHIAbwB3ACAAbwBmACAAdABoAGUAIAByAGUAcwB1AGwAdABcAG4AIAAgACAAIAByAGUAcAByAGUAcwBlAG4AdABzACAAbwBuAGUAIABrABEgZQBsAGUAbQBlAG4AdAAgAG0AdQBsAHQAaQBzAGUAdAAgAGQAcgBhAHcAbgAgAGYAcgBvAG0AIAB0AGgAZQAgAGkAbgBwAHUAdAAgAGkAdABlAG0AcwAsACAAdwBoAGUAcgBlACAAbwByAGQAZQByAFwAbgAgACAAIAAgAGQAbwBlAHMAIABuAG8AdAAgAG0AYQB0AHQAZQByACAAYQBuAGQAIAByAGUAcABlAGEAdABlAGQAIABzAGUAbABlAGMAdABpAG8AbgBzACAAYQByAGU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MAKQAuAFwAbgAtAC0ALQAtAC0ALQAtAC0ALQAtAC0ALQAtAC0ALQAtAC0ALQAtAC0ALQAtAC0ALQAtAC0ALQAtAC0ALQAtAC0ALQAtAC0ALQAtAC0ALQAtAC0ALQAtAC0ALQAtAC0ALQAtAC0ALQAtAC0ALQAtAC0ALQAtAC0ALQAtAC0ALQAtAC0ALQAtAC0ALQAtAC0ALQAtAC0ALQAtAC0ALQAqAC8AXABuAFwAbgBDAG8AbQBiAGkAbgBhAHQAaQBvAG4AcwBSALsDIAA9AFwAbgBMAEEATQBCAEQAQQAoAFwAbgAgACAAIAAgAGkAdABlAG0AcwAsAFwAbgAgACAAIAAgAGkAdABlAG0AcwBfAGMAaABvAHMAZQBuACwAXABuACAAIAAgACAARQBuAHUAbQBlAHIAYQB0AGUAuwMoAGkAdABlAG0AcwAsACAAaQB0AGUAbQBzAF8AYwBoAG8AcwBlAG4ALAAgADMAKQBcAG4AKQA7AFwAbgBcAG4AXABuAFwAbgAvACoAIABbAEMAQgAwADQ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C7A1wAbgBDAGEAdABlAGcAbwByAHkAOgAgACAAIAAgACAAIAAgACAAQwBvAG0AYgBpAG4AYQB0AG8AcgBpAGMAcwBcAG4AQQB1AHQAaABvAHIAOgAgACAAIAAgACAAIAAgACAAIAAgAFAAYQB0AHIAaQBjAGsAIABIAC4AXABuAFYAZQByAHMAaQBvAG4AOgAgACAAIAAgACAAIAAgACAAIAAxAC4AMQBcAG4ARABlAHAAZQBuAGQAZQBuAGMAaQBlAHMAOgAgACAAIAAgAEUAbgB1AG0AZQByAGEAdABlALsDXABuAFwAbgBEAGUAcwBjAHIAaQBwAHQAaQBvAG4AOgBcAG4AIAAgACAAIABHAGUAbgBlAHIAYQB0AGUAcwAgAGMAbwBtAGIAaQBuAGEAdABpAG8AbgBzACAAdwBpAHQAaABvAHUAdAAgAHIAZQBwAGwAYQBjAGUAbQBlAG4AdAAuACAARQBhAGMAaAAgAHIAbwB3ACAAbwBmACAAdABoAGUAIAByAGUAcwB1AGwAdAAgAHIAZQBwAHIAZQBzAGUAbgB0AHMAXABuACAAIAAgACAAbwBuAGUAIABrABEgZQBsAGUAbQBlAG4AdAAgAHMAdQBiAHMAZQB0ACAAZAByAGEAdwBuACAAZgByAG8AbQAgAHQAaABlACAAaQBuAHAAdQB0ACAAaQB0AGUAbQBzACwAIAB3AGgAZQByAGUAIABvAHIAZABlAHIAIABkAG8AZQBzACAAbgBvAHQAIABtAGEAdAB0AGUAcgBcAG4AIAAgACAAIABhAG4AZAAgAHIAZQBwAGUAYQB0AGUAZAAgAHMAZQBsAGUAYwB0AGkAbwBuAHMAIABhAHIAZQAgAG4AbwB0ACAAYQBsAGwAbwB3AGUAZA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FMAaQB6AGUAIABvAGYAIABlAGEAYwBoACAAYwBvAG0AYgBpAG4AYQB0AGkAbwBuACAAKABrACAAZSIgADAAKQAuACAATQB1AHMAdAAgAGIAZQAgAGEAIABzAGMAYQBsAGEAcgAuAFwAbgBcAG4ATgBvAHQAZQBzADoAXABuACAAIAAgACAAIiAgAEUAcQB1AGkAdgBhAGwAZQBuAHQAIAB0AG8AIABFAG4AdQBtAGUAcgBhAHQAZQC7AygAaQB0AGUAbQBzACwAIABrACwAIAA0ACkALgBcAG4ALQAtAC0ALQAtAC0ALQAtAC0ALQAtAC0ALQAtAC0ALQAtAC0ALQAtAC0ALQAtAC0ALQAtAC0ALQAtAC0ALQAtAC0ALQAtAC0ALQAtAC0ALQAtAC0ALQAtAC0ALQAtAC0ALQAtAC0ALQAtAC0ALQAtAC0ALQAtAC0ALQAtAC0ALQAtAC0ALQAtAC0ALQAtAC0ALQAtAC0ALQAtAC0AKgAvAFwAbgBcAG4AQwBvAG0AYgBpAG4AYQB0AGkAbwBuAHMAuwMgAD0AXABuAEwAQQBNAEIARABBACgAXABuACAAIAAgACAAaQB0AGUAbQBzACwAXABuACAAIAAgACAAaQB0AGUAbQBzAF8AYwBoAG8AcwBlAG4ALABcAG4AIAAgACAAIABFAG4AdQBtAGUAcgBhAHQAZQC7AygAaQB0AGUAbQBzACwAIABpAHQAZQBtAHMAXwBjAGgAbwBzAGUAbgAsACAANAApAFwAbgApADsAXABuAFwAbgBcAG4AXABuAC8AKgAgAFsAQwBCADAANQBdACAALQAtAC0ALQAtAC0ALQAtAC0ALQAtAC0ALQAtAC0ALQAtAC0ALQAtAC0ALQAtAC0ALQAtAC0ALQAtAC0ALQAtAC0ALQAtAC0ALQAtAC0ALQAtAC0ALQAtAC0ALQAtAC0ALQAtAC0ALQAtAC0ALQAtAC0ALQAtAC0ALQAtAC0ALQAtAC0ALQAtAC0ALQAtAC0ALQBcAG4ARgB1AG4AYwB0AGkAbwBuADoAIAAgACAAIAAgACAAIAAgAEQAZQByAGEAbgBnAGUAbQBlAG4AdA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ZABlAHIAYQBuAGcAZQBtAGUAbgB0AHMAIABvAGYAIABsAGUAbgBnAHQAaAAgAGsALgAgAEEAIABkAGUAcgBhAG4AZwBlAG0AZQBuAHQAIABpAHMAIABhACAAcABlAHIAbQB1AHQAYQB0AGkAbwBuACAAaQBuACAAdwBoAGkAYwBoAFwAbgAgACAAIAAgAG4AbwAgAGUAbABlAG0AZQBuAHQAIABhAHAAcABlAGEAcgBzACAAaQBuACAAaQB0AHMAIABvAHIAaQBnAGkAbgBhAGwAIABwAG8AcwBpAHQAaQBvAG4ALgAgAEUAYQBjAGgAIAByAG8AdwAgAG8AZgAgAHQAaABlACAAcgBlAHMAdQBsAHQAXABuACAAIAAgACAAcgBlAHAAcgBlAHMAZQBuAHQAcwAgAG8AbgBlACAAZABlAHIAYQBuAGcAZQBkACAAawARIHQAdQBwAGwAZQAgAGQAcgBhAHcAbgAgAGYAcgBvAG0AIAB0AGgAZQAgAGkAbgBwAHUAdAAgAGkAdABlAG0Acw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pAHQAZQBtAHMAXwBjAGgAbwBzAGUAbgBcAG4AIAAgACAAIAAgACAAIAAgAEwAZQBuAGcAdABoACAAbwBmACAAZQBhAGMAaAAgAHQAdQBwAGwAZQAgACgAawAgAGUiIAAwACkALgAgAE0AdQBzAHQAIABiAGUAIABhACAAcwBjAGEAbABhAHIALgBcAG4AXABuAE4AbwB0AGUAcwA6AFwAbgAgACAAIAAgACIgIABFAHEAdQBpAHYAYQBsAGUAbgB0ACAAdABvACAARQBuAHUAbQBlAHIAYQB0AGUAuwMoAGkAdABlAG0AcwAsACAAawAsACAANQApAC4AXABuAC0ALQAtAC0ALQAtAC0ALQAtAC0ALQAtAC0ALQAtAC0ALQAtAC0ALQAtAC0ALQAtAC0ALQAtAC0ALQAtAC0ALQAtAC0ALQAtAC0ALQAtAC0ALQAtAC0ALQAtAC0ALQAtAC0ALQAtAC0ALQAtAC0ALQAtAC0ALQAtAC0ALQAtAC0ALQAtAC0ALQAtAC0ALQAtAC0ALQAtAC0ALQAtACoALwBcAG4AXABuAEQAZQByAGEAbgBnAGUAbQBlAG4AdABzALsDIAA9AFwAbgBMAEEATQBCAEQAQQAoAFwAbgAgACAAIAAgAGkAdABlAG0AcwAsAFwAbgAgACAAIAAgAGkAdABlAG0AcwBfAGMAaABvAHMAZQBuACwAXABuACAAIAAgACAARQBuAHUAbQBlAHIAYQB0AGUAuwMoAGkAdABlAG0AcwAsACAAaQB0AGUAbQBzAF8AYwBoAG8AcwBlAG4ALAAgADUAKQBcAG4AKQA7AFwAbgBcAG4AXABuAFwAbgAvACoAIABbAEMAQgAwADYAXQAgAC0ALQAtAC0ALQAtAC0ALQAtAC0ALQAtAC0ALQAtAC0ALQAtAC0ALQAtAC0ALQAtAC0ALQAtAC0ALQAtAC0ALQAtAC0ALQAtAC0ALQAtAC0ALQAtAC0ALQAtAC0ALQAtAC0ALQAtAC0ALQAtAC0ALQAtAC0ALQAtAC0ALQAtAC0ALQAtAC0ALQAtAC0ALQAtAC0AXABuAEYAdQBuAGMAdABpAG8AbgA6ACAAIAAgACAAIAAgACAAIABLAG4AYQBwAFMAYQBjAGs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TAG8AbAB2AGUAcwAgAHQAaABlACAAMAARIDEAIABrAG4AYQBwAHMAYQBjAGsAIABwAHIAbwBiAGwAZQBtACAAYgB5ACAAZQBuAHUAbQBlAHIAYQB0AGkAbgBnACAAYQBsAGwAIABzAHUAYgBzAGUAdABzACAAbwBmACAAaQB0AGUAbQBzACAAYQBuAGQAXABuACAAIAAgACAAcwBlAGwAZQBjAHQAaQBuAGcAIAB0AGgAZQAgAGYAZQBhAHMAaQBiAGwAZQAgAHAAYQBjAGsAKABzACkAIAB3AGkAdABoACAAbQBhAHgAaQBtAHUAbQAgAHQAbwB0AGEAbAAgAHYAYQBsAHUAZQAuACAAVQBzAGUAcwAgAGEAIABiAHIAdQB0AGUAESBmAG8AcgBjAGUALABcAG4AIAAgACAAIAB2AGUAYwB0AG8AcgBpAHoAZQBkACAAYgBpAHQAESBtAGEAcwBrACAAZwBlAG4AZQByAGEAdABvAHIAIABhAG4AZAAgAHMAdQBwAHAAbwByAHQAcwAgAGIAbwB0AGgAIABuAHUAbQBlAHIAaQBjACAAYQBuAGQAIAB0AGUAeAB0ACAAaQB0AGUAbQAgAGwAYQBiAGUAbABzAC4AXABuAFwAbgBQAGEAcgBhAG0AZQB0AGUAcgBzADoAXABuACAAIAAgACAAaQB0AGUAbQBzAFwAbgAgACAAIAAgACAAIAAgACAAQQByAHIAYQB5ACAAbwBmACAAaQB0AGUAbQAgAGwAYQBiAGUAbABzACAAKABuAHUAbQBiAGUAcgBzACAAbwByACAAdABlAHgAdAApAC4AXABuAFwAbgAgACAAIAAgAHYAYQBsAHUAZQBfAG8AZgBfAGkAdABlAG0AcwBcAG4AIAAgACAAIAAgACAAIAAgAEEAcgByAGEAeQAgAG8AZgAgAG4AdQBtAGUAcgBpAGMAIAB2AGEAbAB1AGUAcwAgAGMAbwByAHIAZQBzAHAAbwBuAGQAaQBuAGcAIAB0AG8AIABlAGEAYwBoACAAaQB0AGUAbQAuAFwAbgBcAG4AIAAgACAAIAB3AGUAaQBnAGgAdABzAFwAbgAgACAAIAAgACAAIAAgACAAQQByAHIAYQB5ACAAbwBmACAAbgB1AG0AZQByAGkAYwAgAHcAZQBpAGcAaAB0AHMAIABjAG8AcgByAGUAcwBwAG8AbgBkAGkAbgBnACAAdABvACAAZQBhAGMAaAAgAGkAdABlAG0ALgBcAG4AXABuACAAIAAgACAAYwBhAHAAYQBjAGkAdAB5AFwAbgAgACAAIAAgACAAIAAgACAAUwBjAGEAbABhAHIAIABuAHUAbQBlAHIAaQBjACAAdwBlAGkAZwBoAHQAIABsAGkAbQBpAHQALgBcAG4AXABuAE4AbwB0AGUAcwA6AFwAbgAgACAAIAAgACIgIABpAHQAZQBtAHMALAAgAHYAYQBsAHUAZQBfAG8AZgBfAGkAdABlAG0AcwAsACAAYQBuAGQAIAB3AGUAaQBnAGgAdABzACAAYQByAGUAIABmAGwAYQB0AHQAZQBuAGUAZAAgAHcAaQB0AGgAIABUAE8AUgBPAFcALgBcAG4AIAAgACAAIAAiICAAYwBhAHAAYQBjAGkAdAB5ACAAaQBzACAAbgBvAHIAbQBhAGwAaQB6AGUAZAAgAHQAbwAgAGEAIABzAGMAYQBsAGEAcgAgAHcAaQB0AGgAIABJAE4ARABFAFgAKABjAGEAcABhAGMAaQB0AHkALAAxACwAMQApAC4AXABuACAAIAAgACAAIiAgAE0AYQB4AGkAbQB1AG0AIABpAHQAZQBtACAAYwBvAHUAbgB0ACAAaQBzACAAYwBhAHAAcABlAGQAIABhAHQAIAAyADAAIAB0AG8AIABhAHYAbwBpAGQAIABjAG8AbQBiAGkAbgBhAHQAbwByAGkAYQBsACAAZQB4AHAAbABvAHMAaQBvAG4ALgBcAG4ALQAtAC0ALQAtAC0ALQAtAC0ALQAtAC0ALQAtAC0ALQAtAC0ALQAtAC0ALQAtAC0ALQAtAC0ALQAtAC0ALQAtAC0ALQAtAC0ALQAtAC0ALQAtAC0ALQAtAC0ALQAtAC0ALQAtAC0ALQAtAC0ALQAtAC0ALQAtAC0ALQAtAC0ALQAtAC0ALQAtAC0ALQAtAC0ALQAtAC0ALQAtAC0AKgAvAFwAbgBcAG4ASwBuAGEAcABTAGEAYwBrALsDIAA9AFwAbgBMAEEATQBCAEQAQQAoAFwAbgAgACAAIAAgAGkAdABlAG0AcwAsAFwAbgAgACAAIAAgAHYAYQBsAHUAZQBfAG8AZgBfAGkAdABlAG0AcwAsAFwAbgAgACAAIAAgAHcAZQBpAGcAaAB0AHMALABcAG4AIAAgACAAIABjAGEAcABhAGMAaQB0AHkALABcAG4AXABuAEwARQBUACgAXABuACAAIAAgACAALwAvACAASABhAGwAdABpAG4AZwAgAHMAYwBlAG4AYQByAGkAbwBzAFwAbgAgACAAIAAgAFQAbwBvAE0AYQBuAHkASQB0AGUAbQBzAD8ALAAgACAAIABSAE8AVwBTACgAaQB0AGUAbQBzACkAIAAqACAAQwBPAEwAVQBNAE4AUwAoAGkAdABlAG0AcwApACAAPgAgADIAMAAsAFwAbgAgACAAIAAgAFQAZQB4AHQASQB0AGUAbQBWAGEAbAA/ACwAIAAgACAAIABPAFIAKABJAFMAVABFAFgAVAAoAHYAYQBsAHUAZQBfAG8AZgBfAGkAdABlAG0AcwApACkALABcAG4AIAAgACAAIABUAGUAeAB0AFcAZQBpAGcAaAB0AHMAPwAsACAAIAAgACAATwBSACgASQBTAFQARQBYAFQAKAB3AGUAaQBnAGgAdABzACkAKQAsAFwAbgAgACAAIAAgAFQAZQB4AHQAQwBhAHAAYQBjAGkAdAB5AD8ALAAgACAAIABPAFIAKABJAFMAVABFAFgAVAAoAGMAYQBwAGEAYwBpAHQAeQApACkALABcAG4AIAAgACAAIABTAGgAYQBwAGUATQBpAHMATQBhAHQAYwBoAD8ALAAgACAATwBSACgAQwBPAFUATgBUAEEAKABpAHQAZQBtAHMAKQAgADwAPgAgAEMATwBVAE4AVABBACgAdgBhAGwAdQBlAF8AbwBmAF8AaQB0AGUAbQBzACkALABcAG4AIAAgACAAIAAgACAAIAAgACAAIAAgACAAIAAgACAAIAAgACAAIAAgACAAIAAgACAAQwBPAFUATgBUAEEAKABpAHQAZQBtAHMAKQAgADwAPgAgAEMATwBVAE4AVABBACgAdwBlAGkAZwBoAHQAcwApACkALABcAG4AXABuACAAIAAgACAAcwBjAGUAbgBhAHIAaQBvAHMALAAgACAAIAAgACAAIAAgAFYAUwBUAEEAQwBLACgAVABlAHgAdABJAHQAZQBtAFYAYQBsAD8ALABUAGUAeAB0AFcAZQBpAGcAaAB0AHMAPwAsAFQAZQB4AHQAQwBhAHAAYQBjAGkAdAB5AD8ALABTAGgAYQBwAGUATQBpAHMATQBhAHQAYwBoAD8AKQAsAFwAbgBcAG4AIAAgACAAIABlAHgAaQB0ACwAIAAgACAAIAAgACAAIAAgACAAIAAgACAATwBSACgAcwBjAGUAbgBhAHIAaQBvAHMAKQAsAFwAbgAgACAAIAAgAGUAcgByAG8AcgBzACwAIAAgACAAIAAgACAAIAAgACAAIAB7AFwAIgAjAFYAQQBMAFUARQAtAEkAVABFAE0AIQBcACIAOwBcACIAIwBWAEEATABVAEUALQBXAEUASQBHAEgAVABTACEAXAAiADsAXAAiACMAVgBBAEwAVQBFAC0AQwBBAFAAQQBDAEkAVABZACEAXAAiADsAXAAiACMASQBOAFAAVQBUAC0ATQBJAFMATQBBAFQAQwBIACEAXAAiAH0ALABcAG4AXABuACAAIAAgACAAYQBsAGUAcgB0ACwAIAAgACAAIAAgACAAIAAgACAAIAAgAEEAUgBSAEEAWQBUAE8AVABFAFgAVAAoAEYASQBMAFQARQBSACgAZQByAHIAbwByAHMALAAgAHMAYwBlAG4AYQByAGkAbwBzACkAKQAsAFwAbgBcAG4ASQBGACgAVABvAG8ATQBhAG4AeQBJAHQAZQBtAHMAPwAsAFwAIgAjAFQATwBPAC0ATQBBAE4AWQAtAEkAVABFAE0AUwAhAFwAIgAsAFwAbgBcAG4AIAAgACAAIABJAEYAKABlAHgAaQB0ACwAYQBsAGUAcgB0ACwAXABuAFwAbgBMAEUAVAAoAFwAbgAgACAAIAAgAC8ALwAgAEYAbABhAHQAdABlAG4AIABpAG4AcAB1AHQAcwBcAG4AIAAgACAAIABpAHQAZQBtAHMALAAgACAAIAAgACAAIAAgACAAIAAgAFQATwBSAE8AVwAoAGkAdABlAG0AcwApACwAXABuACAAIAAgACAAdgBhAGwAdQBlAF8AbwBmAF8AaQB0AGUAbQBzACwAIABUAE8AUgBPAFcAKAB2AGEAbAB1AGUAXwBvAGYAXwBpAHQAZQBtAHMAKQAsAFwAbgAgACAAIAAgAHcAZQBpAGcAaAB0AHMALAAgACAAIAAgACAAIAAgACAAVABPAFIATwBXACgAdwBlAGkAZwBoAHQAcwApACwAXABuACAAIAAgACAAYwBhAHAAYQBjAGkAdAB5ACwAIAAgACAAIAAgACAAIABJAE4ARABFAFgAKABjAGEAcABhAGMAaQB0AHkALAAgADEALAAgADEAKQAsAFwAbgBcAG4AIAAgACAAIAAvAC8AIABMAGEAYgBlAGwAcwBcAG4AIAAgACAAIABsAGEAYgBlAGwAcwAsACAAIAAgACAAIAAgACAAIAAgAHsAXAAiAEkAdABlAG0AcwBcACIAOwAgAFwAIgBWAGEAbAB1AGUAXAAiADsAIABcACIAVwBlAGkAZwBoAHQAXAAiADsAIABcACIAUABhAGMAawBcACIAfQAsAFwAbgBcAG4AIAAgACAAIAAvAC8AIABFAG4AdQBtAGUAcgBhAHQAaQBvAG4AXABuACAAIAAgACAAbgAsACAAIAAgACAAIAAgACAAIAAgACAAIAAgACAAIABDAE8AVQBOAFQAQQAoAGkAdABlAG0AcwApACwAXABuACAAIAAgACAAQwAsACAAIAAgACAAIAAgACAAIAAgACAAIAAgACAAIABTAEUAUQBVAEUATgBDAEUAKAAyACAAXgAgAG4AIAAtACAAMQApACwAXABuACAAIAAgACAAYgBpAG4ALAAgACAAIAAgACAAIAAgACAAIAAgACAAIABEAGUAYwAyAEIAaQBuALsDKABDACwAIAAxACkALABcAG4AXABuACAAIAAgACAALwAvACAAVwBlAGkAZwBoAHQAIABmAGUAYQBzAGkAYgBpAGwAaQB0AHkAXABuACAAIAAgACAAdwBfAGEAcgByACwAIAAgACAAIAAgACAAIAAgACAAIABiAGkAbgAgACoAIAB3AGUAaQBnAGgAdABzACwAXABuACAAIAAgACAAZgBlAGEAcwBpAGIAbABlAD8ALAAgACAAIAAgACAAIABCAFkAUgBPAFcAKAB3AF8AYQByAHIALAAgAFMAVQBNACkAIAA8AD0AIABjAGEAcABhAGMAaQB0AHkALABcAG4AXABuACAAIAAgACAALwAvACAAVgBhAGwAdQBlACAAYwBvAG0AcAB1AHQAYQB0AGkAbwBuAFwAbgAgACAAIAAgAHYAYQBsAF8AYQByAHIALAAgACAAIAAgACAAIAAgACAARgBJAEwAVABFAFIAKABiAGkAbgAgACoAIAB2AGEAbAB1AGUAXwBvAGYAXwBpAHQAZQBtAHMALAAgAGYAZQBhAHMAaQBiAGwAZQA/ACwAIAAwACkALABcAG4AIAAgACAAIAB0AG8AdABhAGwAcwAsACAAIAAgACAAIAAgACAAIAAgAEIAWQBSAE8AVwAoAHYAYQBsAF8AYQByAHIALAAgAFMAVQBNACkALABcAG4AXABuACAAIAAgACAALwAvACAAUwBlAGwAZQBjAHQAIABvAHAAdABpAG0AYQBsACAAcABhAGMAawAoAHMAKQBcAG4AIAAgACAAIABwAGEAYwBrACwAIAAgACAAIAAgACAAIAAgACAAIAAgAFMASQBHAE4AKABGAEkATABUAEUAUgAoAHYAYQBsAF8AYQByAHIALAAgAE0AQQBYACgAdABvAHQAYQBsAHMAKQAgAD0AIAB0AG8AdABhAGwAcwAsACAAMAApACkALABcAG4AXABuACAAIAAgACAALwAvACAARgBpAG4AYQBsACAAdABhAGIAbABlAFwAbgAgACAAIAAgAGYAaQBuAGEAbAAsACAAIAAgACAAIAAgACAAIAAgACAASQBGAE4AQQAoAEgAUwBUAEEAQwBLACgAbABhAGIAZQBsAHMALAAgAFYAUwBUAEEAQwBLACgAaQB0AGUAbQBzACwAIAB2AGEAbAB1AGUAXwBvAGYAXwBpAHQAZQBtAHMALAAgAHcAZQBpAGcAaAB0AHMALAAgAHAAYQBjAGsAKQApACwAXAAiAFwAIgApACwAXABuAFwAbgAgACAAIAAgAGYAaQBuAGEAbABcAG4AKQApACkAKQApADsAXABuAFwAbgBcAG4AXABuAC8AKgAgAFsAQwBCADAANwBdACAALQAtAC0ALQAtAC0ALQAtAC0ALQAtAC0ALQAtAC0ALQAtAC0ALQAtAC0ALQAtAC0ALQAtAC0ALQAtAC0ALQAtAC0ALQAtAC0ALQAtAC0ALQAtAC0ALQAtAC0ALQAtAC0ALQAtAC0ALQAtAC0ALQAtAC0ALQAtAC0ALQAtAC0ALQAtAC0ALQAtAC0ALQAtAC0ALQBcAG4ARgB1AG4AYwB0AGkAbwBuADoAIAAgACAAIAAgACAAIAAgAFMAdQBiAHMAZQB0AEcAZQBu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RwBlAG4AZQByAGEAdABlAHMAIABhAGwAbAAgAG4AbwBuABEgZQBtAHAAdAB5ACAAcwB1AGIAcwBlAHQAcwAgAG8AZgAgAGEAIABzAHUAcABwAGwAaQBlAGQAIABsAGkAcwB0ACAAdQBzAGkAbgBnACAAYgByAHUAdABlABEgZgBvAHIAYwBlAFwAbgAgACAAIAAgAGIAaQB0AG0AYQBzAGsAaQBuAGcALgAgAEUAYQBjAGgAIAByAG8AdwAgAG8AZgAgAHQAaABlACAAcgBlAHMAdQBsAHQAIAByAGUAcAByAGUAcwBlAG4AdABzACAAbwBuAGUAIABzAHUAYgBzAGUAdAAsACAAZQB4AHAAcgBlAHMAcwBlAGQAIABhAHMAIABhAFwAbgAgACAAIAAgAGMAbwBtAG0AYQARIHMAZQBwAGEAcgBhAHQAZQBkACAAcwB0AHIAaQBuAGcALgAgAFMAdQBwAHAAbwByAHQAcwAgAG4AdQBtAGIAZQByAHMAIABvAHIAIAB0AGUAeAB0ACAAaQB0AGUAbQBzAC4AXABuAFwAbgBQAGEAcgBhAG0AZQB0AGUAcgBzADoAXABuACAAIAAgACAAcwBlAHQAXABuACAAIAAgACAAIAAgACAAIABBAHIAcgBhAHkAIABvAGYAIABpAHQAZQBtAHMAIAAoAG4AdQBtAGIAZQByAHMAIABvAHIAIAB0AGUAeAB0ACkALgAgAEYAbABhAHQAdABlAG4AZQBkACAAdwBpAHQAaAAgAFQATwBSAE8AVwAuAFwAbgBcAG4ATgBvAHQAZQBzADoAXABuACAAIAAgACAAIiAgAE0AYQB4AGkAbQB1AG0AIABpAHQAZQBtACAAYwBvAHUAbgB0ACAAaQBzACAAYwBhAHAAcABlAGQAIABhAHQAIAAyADAALgBcAG4ALQAtAC0ALQAtAC0ALQAtAC0ALQAtAC0ALQAtAC0ALQAtAC0ALQAtAC0ALQAtAC0ALQAtAC0ALQAtAC0ALQAtAC0ALQAtAC0ALQAtAC0ALQAtAC0ALQAtAC0ALQAtAC0ALQAtAC0ALQAtAC0ALQAtAC0ALQAtAC0ALQAtAC0ALQAtAC0ALQAtAC0ALQAtAC0ALQAtAC0ALQAtAC0AKgAvAFwAbgBcAG4AUwB1AGIAcwBlAHQARwBlAG4AuwMgAD0AXABuAEwAQQBNAEIARABBACgAXABuACAAIAAgACAAcwBlAHQALABcAG4AXABuAEkARgAoAFIATwBXAFMAKABzAGUAdAApACAAKgAgAEMATwBMAFUATQBOAFMAKABzAGUAdAApACAAPgAgADIAMAAsAFwAIgAjAFQATwBPAC0ATQBBAE4AWQAtAEkAVABFAE0AUwAhAFwAIgAsAFwAbgBcAG4ATABFAFQAKABcAG4AIAAgACAAIAAvAC8AIABGAGwAYQB0AHQAZQBuACAAaQBuAHAAdQB0AFwAbgAgACAAIAAgAHMAZQB0ACwAIAAgACAAIABUAE8AUgBPAFcAKABzAGUAdAApACwAXABuAFwAbgAgACAAIAAgAC8ALwAgAFQAbwB0AGEAbAAgAGkAdABlAG0AcwBcAG4AIAAgACAAIABuACwAIAAgACAAIAAgACAAQwBPAFUATgBUAEEAKABzAGUAdAApACwAXABuAFwAbgAgACAAIAAgAC8ALwAgAEIAaQB0ACAAbQBhAHMAawBzACAAKABlAHgAYwBsAHUAZABlACAAMAApAFwAbgAgACAAIAAgAEMALAAgACAAIAAgACAAIABTAEUAUQBVAEUATgBDAEUAKAAyACAAXgAgAG4AIAAtACAAMQApACwAXABuACAAIAAgACAAYgBpAG4ALAAgACAAIAAgAEQAZQBjADIAQgBpAG4AuwMoAEMALAAgADEAKQAsAFwAbgBcAG4AIAAgACAAIAAvAC8AIABBAHAAcABsAHkAIABtAGEAcwBrAFwAbgAgACAAIAAgAG0AYQBzAGsAZQBkACwAIABJAEYAKABiAGkAbgAsACAAcwBlAHQALAAgAFwAIgBcACIAKQAsAFwAbgBcAG4AIAAgACAAIAAvAC8AIABDAG8AbgB2AGUAcgB0ACAAZQBhAGMAaAAgAG0AYQBzAGsAZQBkACAAcgBvAHcAIABpAG4AdABvACAAYQAgAGMAbwBtAHAAYQBjAHQAIABzAHUAYgBzAGUAdAAgAHMAdAByAGkAbgBnAFwAbgAgACAAIAAgAGYAaQBuAGEAbAAsACAAIABCAFkAUgBPAFcAKABtAGEAcwBrAGUAZAAsACAATABBAE0AQgBEAEEAKAB2ACwAIABUAEUAWABUAEoATwBJAE4AKABcACIALAAgAFwAIgAsACAAMQAsACAAdgApACkAKQAsAFwAbgBcAG4AIAAgACAAIABmAGkAbgBhAGwAXABuACkAKQApADsAXABuAFwAbgBcAG4AXABuAC8AKgAgAFsAQwBCADAAOABdACAALQAtAC0ALQAtAC0ALQAtAC0ALQAtAC0ALQAtAC0ALQAtAC0ALQAtAC0ALQAtAC0ALQAtAC0ALQAtAC0ALQAtAC0ALQAtAC0ALQAtAC0ALQAtAC0ALQAtAC0ALQAtAC0ALQAtAC0ALQAtAC0ALQAtAC0ALQAtAC0ALQAtAC0ALQAtAC0ALQAtAC0ALQAtAC0ALQBcAG4ARgB1AG4AYwB0AGkAbwBuADoAIAAgACAAIAAgACAAIAAgAFMAdQBiAHMAZQB0AFMAdQBtALsDXABuAEMAYQB0AGUAZwBvAHIAeQA6ACAAIAAgACAAIAAgACAAIABDAG8AbQBiAGkAbgBhAHQAbwByAGkAYwBzAFwAbgBBAHUAdABoAG8AcgA6ACAAIAAgACAAIAAgACAAIAAgACAAUABhAHQAcgBpAGMAawAgAEgALgBcAG4AVgBlAHIAcwBpAG8AbgA6ACAAIAAgACAAIAAgACAAIAAgADEALgAxAFwAbgBEAGUAcABlAG4AZABlAG4AYwBpAGUAcwA6ACAAIAAgACAARABlAGMAMgBCAGkAbgC7A1wAbgBcAG4ARABlAHMAYwByAGkAcAB0AGkAbwBuADoAXABuACAAIAAgACAAUgBlAHQAdQByAG4AcwAgAGEAbABsACAAcwB1AGIAcwBlAHQAcwAgAG8AZgAgAGEAIABuAHUAbQBlAHIAaQBjACAAcwBlAHQAIAB3AGgAbwBzAGUAIABlAGwAZQBtAGUAbgB0AHMAIABzAHUAbQAgAGUAeABhAGMAdABsAHkAIAB0AG8AIABhACAAdABhAHIAZwBlAHQALgBcAG4AIAAgACAAIABVAHMAZQBzACAAYgByAHUAdABlABEgZgBvAHIAYwBlACAAYgBpAHQAbQBhAHMAawBpAG4AZwAgACgAbgAgAGQiIAAyADAAKQAuACAARQBhAGMAaAAgAHMAdQBiAHMAZQB0ACAAaQBzACAAcgBlAHQAdQByAG4AZQBkACAAYQBzACAAYQAgAGMAbwBtAHAAYQBjAHQAXABuACAAIAAgACAAYwBvAG0AbQBhABEgcwBlAHAAYQByAGEAdABlAGQAIABzAHQAcgBpAG4AZwAuAFwAbgBcAG4AUABhAHIAYQBtAGUAdABlAHIAcwA6AFwAbgAgACAAIAAgAHMAZQB0AFwAbgAgACAAIAAgACAAIAAgACAAQQByAHIAYQB5ACAAbwBmACAAbgB1AG0AZQByAGkAYwAgAGkAdABlAG0AcwAuACAARgBsAGEAdAB0AGUAbgBlAGQAIAB3AGkAdABoACAAVABPAFIATwBXAC4AIABUAGUAeAB0ACAAaQBzACAAbgBvAHQAIABhAGwAbABvAHcAZQBkAC4AXABuAFwAbgAgACAAIAAgAHQAYQByAGcAZQB0AFwAbgAgACAAIAAgACAAIAAgACAAUwBjAGEAbABhAHIAIABuAHUAbQBlAHIAaQBjACAAdABhAHIAZwBlAHQAIABzAHUAbQAuAFwAbgBcAG4ATgBvAHQAZQBzADoAXABuACAAIAAgACAAIiAgAEUAbQBwAHQAeQAgAHMAdQBiAHMAZQB0ACAAaQBzACAAZQB4AGMAbAB1AGQAZQBkACAAYgB5ACAAYwBvAG4AcwB0AHIAdQBjAHQAaQBvAG4AIAAoAGIAaQB0AG0AYQBzAGsAIAAwACAAbwBtAGkAdAB0AGUAZAApAC4AXABuACAAIAAgACAAIiAgAFIAZQB0AHUAcgBuAHMAIABcACIAIwBOAE8ALQBTAE8ATABVAFQASQBPAE4AIQBcACIAIABpAGYAIABuAG8AIABzAHUAYgBzAGUAdABzACAAbQBhAHQAYwBoACAAdABoAGUAIAB0AGEAcgBnAGUAdAAuAFwAbgAtAC0ALQAtAC0ALQAtAC0ALQAtAC0ALQAtAC0ALQAtAC0ALQAtAC0ALQAtAC0ALQAtAC0ALQAtAC0ALQAtAC0ALQAtAC0ALQAtAC0ALQAtAC0ALQAtAC0ALQAtAC0ALQAtAC0ALQAtAC0ALQAtAC0ALQAtAC0ALQAtAC0ALQAtAC0ALQAtAC0ALQAtAC0ALQAtAC0ALQAtAC0ALQAqAC8AXABuAFwAbgBTAHUAYgBzAGUAdABTAHUAbQC7AyAAPQBcAG4ATABBAE0AQgBEAEEAKABcAG4AIAAgACAAIABzAGUAdAAsAFwAbgAgACAAIAAgAHQAYQByAGcAZQB0ACwAXABuAFwAbgBMAEUAVAAoAFwAbgAgACAAIAAgAC8ALwAgAE4AbwByAG0AYQBsAGkAegBlACAAcwBjAGEAbABhAHIAXABuACAAIAAgACAAdABhAHIAZwBlAHQALAAgAEkATgBEAEUAWAAoAHQAYQByAGcAZQB0ACwAIAAxACwAIAAxACkALABcAG4AXABuACAAIAAgACAALwAvACAASABhAGwAdABpAG4AZwAgAHMAYwBlAG4AYQByAGkAbwBzAFwAbgAgACAAIAAgAFQAbwBvAE0AYQBuAHkASQB0AGUAbQBzAD8ALAAgAFIATwBXAFMAKABzAGUAdAApACAAKgAgAEMATwBMAFUATQBOAFMAKABzAGUAdAApACAAPgAgADIAMAAsAFwAbgAgACAAIAAgAFQAZQB4AHQAUwBlAHQAPwAsACAAIAAgACAAIAAgAE8AUgAoAEkAUwBFAFIAUgBPAFIAKAAtAC0AcwBlAHQAKQApACwAXABuACAAIAAgACAAVABlAHgAdABUAGEAcgBnAGUAdAA/ACwAIAAgACAASQBTAEUAUgBSAE8AUgAoAC0ALQB0AGEAcgBnAGUAdAApACwAXABuAFwAbgBJAEYAKABUAG8AbwBNAGEAbgB5AEkAdABlAG0AcwA/ACwAIABcACIAIwBUAE8ATwAtAE0AQQBOAFkALQBJAFQARQBNAFMAIQBcACIALABcAG4AXABuACAAIAAgACAASQBGACgAVABlAHgAdABTAGUAdAA/ACwAIABcACIAIwBUAEUAWABUAC0AUwBFAFQAIQBcACIALABcAG4AXABuACAAIAAgACAAIAAgACAAIABJAEYAKABUAGUAeAB0AFQAYQByAGcAZQB0AD8ALAAgAFwAIgAjAFQARQBYAFQALQBUAEEAUgBHAEUAVAAhAFwAIgAsAFwAbgBcAG4ATABFAFQAKABcAG4AIAAgACAAIAAvAC8AIABGAGwAYQB0AHQAZQBuACAAaQBuAHAAdQB0AFwAbgAgACAAIAAgAHMAZQB0ACwAIAAgACAAIAAgACAAVABPAFIATwBXACgALQAtAHMAZQB0ACkALABcAG4AXABuACAAIAAgACAALwAvACAAVABvAHQAYQBsACAAaQB0AGUAbQBzAFwAbgAgACAAIAAgAG4ALAAgACAAIAAgACAAIAAgACAAQwBPAFUATgBUAEEAKABzAGUAdAApACwAXABuAFwAbgAgACAAIAAgAC8ALwAgAEIAaQB0ACAAbQBhAHMAawBzACAAKABlAHgAYwBsAHUAZABlACAAMAApAFwAbgAgACAAIAAgAEMALAAgACAAIAAgACAAIAAgACAAUwBFAFEAVQBFAE4AQwBFACgAMgAgAF4AIABuACAALQAgADEAKQAsAFwAbgAgACAAIAAgAGIAaQBuACwAIAAgACAAIAAgACAARABlAGMAMgBCAGkAbgC7AygAQwAsACAAMQApACwAXABuAFwAbgAgACAAIAAgAC8ALwAgAEEAcABwAGwAeQAgAG0AYQBzAGsAXABuACAAIAAgACAAdgBhAGwAXwBhAHIAcgAsACAAIABJAEYAKABiAGkAbgAsACAAcwBlAHQALAAgADAAKQAsAFwAbgBcAG4AIAAgACAAIAAvAC8AIABMAG8AYwBhAHQAZQAgAHQAYQByAGcAZQB0ACAAcwB1AG0AXABuACAAIAAgACAAYgBvAG8AbAAsACAAIAAgACAAIABCAFkAUgBPAFcAKAB2AGEAbABfAGEAcgByACwAIABTAFUATQApACAAPQAgAHQAYQByAGcAZQB0ACwAXABuACAAIAAgACAAZgBvAHUAbgBkACwAIAAgACAAIABGAEkATABUAEUAUgAoAHYAYQBsAF8AYQByAHIALAAgAGIAbwBvAGwALAAgADAAKQAsAFwAbgBcAG4AIAAgACAAIAAvAC8AIABDAG8AbgB2AGUAcgB0ACAAZQBhAGMAaAAgAHMAdQBiAHMAZQB0ACAAdABvACAAYQAgAGMAbwBtAHAAYQBjAHQAIABzAHQAcgBpAG4AZwBcAG4AIAAgACAAIABDAG8AbgBjAGkAcwBlALsDLAAgAEwAQQBNAEIARABBACgAdgAsACAAVABFAFgAVABKAE8ASQBOACgAXAAiACwAIABcACIALAAgADEALAAgAFQARQBYAFQAKAB2ACwAIABcACIAMAA7AC0AMAA7ADsAXAAiACkAKQApACwAXABuACAAIAAgACAAcgBlAHMAdQBsAHQALAAgACAAIABCAFkAUgBPAFcAKABmAG8AdQBuAGQALAAgAEMAbwBuAGMAaQBzAGUAuwMpACwAXABuAFwAbgAgACAAIAAgAC8ALwAgAEgAYQBuAGQAbABlACAAbgBvACAAbQBhAHQAYwBoAGUAcwBcAG4AIAAgACAAIABmAGkAbgBhAGwALAAgACAAIAAgAEkARgAoAFMAVQBNACgATABFAE4AKAByAGUAcwB1AGwAdAApACkAIAA9ACAAMAAsACAAXAAiACMATgBPAC0AUwBPAEwAVQBUAEkATwBOACEAXAAiACwAIAByAGUAcwB1AGwAdAApACwAXABuAFwAbgAgACAAIAAgAGYAaQBuAGEAbABcAG4AKQApACkAKQApACkAOwBcAG4AXABuAFwAbgBcAG4ALwAvACAAWwBHAEQAXQAgAC0ALQAtAC0ALQAtAC0ALQAtAC0ALQAtAC0ALQAtAC0ALQAtAC0ALQAtAC0ALQAtAC0ALQAtAC0ALQAtAC0ALQAtAC0ALQAtAC0ALQAtAC0ALQAtAC0ALQAtAC0ALQAtAC0ALQAtAC0ALQAtAC0ALQAtAC0ALQAtAC0ALQAtAC0ALQAtAC0ALQAtAC0ALQAtAC0ALQAtAC0ALQBcAG4ALwAvACAALQAtAC0AIwAjACAAMQAwACAAFCAgAEcAcgBpAGQAIABEAGkAYQBnAG4AbwBzAHQAaQBjAHM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QAaQBhAGcAbgBvAHMAdABpAGMAcwAgAGMAbwBuAHQAYQBpAG4AcwAgAGYAdQBuAGMAdABpAG8AbgBzACAAdwBoAG8AcwBlACAAcAB1AHIAcABvAHMAZQAgAGkAcwAgAHQAbwAgAGUAeABwAG8AcwBlACwAIABhAG4AbgBvAHQAYQB0AGUALABcAG4AIAAgACAAIABvAHIAIABlAHgAcABsAGEAaQBuACAAdABoAGUAIABpAG4AdABlAHIAbgBhAGwAIABzAHQAcgB1AGMAdAB1AHIAZQAgAG8AZgAgAGEAIABnAHIAaQBkAC4AIABEAGkAYQBnAG4AbwBzAHQAaQBjAHMAIABmAHUAbgBjAHQAaQBvAG4AcwAgAGEAcgBlAFwAbgAgACAAIAAgAHUAcwBlAGQAIABmAG8AcgAgAGQAZQBiAHUAZwBnAGkAbgBnACwAIABpAG4AdAByAG8AcwBwAGUAYwB0AGkAbwBuACwAIAB2AGkAcwB1AGEAbABpAHoAYQB0AGkAbwBuACwAIABhAG4AZAAgAHMAdAByAHUAYwB0AHUAcgBhAGwAIABhAG4AYQBsAHkAcwBpAHMALgBcAG4AXABuAEYAdQBuAGMAdABpAG8AbgBzADoAXABuACAAIAAgACAAIiAgAFIAZQB2AGUAYQBsALsDXABuACAAIAAgACAAIAAgACAAIABpAG4AcwBwAGUAYwB0AHMAIABhACAAbQBhAHQAcgBpAHg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0AYQB0AHIAaQB4ACAAbwBmACAAZABhAHQAYQAgAGEAbgBkACAAcgBlAHQAdQByAG4AcwAgAGUAaQB0AGgAZQByADoAXABuACAAIAAgACAAIAAgACAAIAAiICAAQQAgAHQAbwBwAC0AbABlAHYAZQBsACAAcwB1AG0AbQBhAHIAeQAgAG8AZgAgAHMAZQBtAGEAbgB0AGkAYwAgAG0AZQB0AHIAaQBjAHMAIAAoAE4AdQBtAGIAZQByAHMALAAgAFQAZQB4AHQAcwAsACAARQByAHIAbwByAHMALAAgAGUAdABjAC4AKQBcAG4AIAAgACAAIAAgACAAIAAgACIgIABBACAAdgBlAHIAYgBvAHMAZQAsACAAYwBlAGwAbAAtAGIAeQAtAGMAZQBsAGwAIABuAGEAcgByAGEAdABpAG8AbgAgAG8AZgAgAHQAYQBnAHMAIABwAGUAcgAgAGMAZQBsAGwAXABuACAAIAAgACAAUwB1AHAAcABvAHIAdABzACAAbwBwAHQAaQBvAG4AYQBsACAAZABlAGwAaQBtAGkAdABlAHIAIABjAG8AbgB0AHIAbwBsACAAYQBuAGQAIABiAGwAYQBuAGsALQBhAHcAYQByAGUAIABvAHAAdABpAG0AaQB6AGEAdABpAG8AbgAuAFwAbgBcAG4AUABhAHIAYQBtAGUAdABlAHIAcwA6AFwAbgAgACAAIAAgAGQAYQB0AGEAXABuACAAIAAgACAAIAAgACAAIABEAGEAdABhACAAdABvACAAYgBlACAAaQBuAHMAcABlAGMAdABlAGQAIAAoAGEAbgB5ACAAcwBjAGEAbABhAHIALAAgAHYAZQBjAHQAbwByACwAIABvAHIAIAAyAEQAIABhAHIAcgBhAHkAKQAuAFwAbgBcAG4AIAAgACAAIABJAHMAVgBlAHIAYgBvAHMAZQA/ACAAIABbAG8AcAB0AGkAbwBuAGEAbABdAFwAbgAgACAAIAAgACAAIAAgACAASQBmACAAVABSAFUARQAsACAAcgBlAHQAdQByAG4AcwAgAGEAIABtAGEAdAByAGkAeAAgAG8AZgAgAG4AYQByAHIAYQB0AGEAYgBsAGUAIAB0AGEAZwBzACAAcABlAHIAIABjAGUAbABsAC4AXABuACAAIAAgACAAIAAgACAAIABJAGYAIABvAG0AaQB0AHQAZQBkACwAIAByAGUAdAB1AHIAbgBzACAAYQAgADkA1wAyACAAcwB1AG0AbQBhAHIAeQAgAHQAYQBiAGwAZQAuAFwAbgBcAG4AIAAgACAAIABkAGUAbABpAG0AaQB0AGUAcgAgACAAIABbAG8AcAB0AGkAbwBuAGEAbABdAFwAbgAgACAAIAAgACAAIAAgACAARABlAGwAaQBtAGkAdABlAHIAIAB1AHMAZQBkACAAaQBuACAAdgBlAHIAYgBvAHMAZQAgAG0AbwBkAGUALgAgAEQAZQBmAGEAdQBsAHQAcwAgAHQAbwAgAFwAIgAsACAAXAAiAC4AXABuAFwAbgAtAC0ALQAtAC0ALQAtAC0ALQAtAC0ALQAtAC0ALQAtAC0ALQAtAC0ALQAtAC0ALQAtAC0ALQAtAC0ALQAtAC0ALQAtAC0ALQAtAC0ALQAtAC0ALQAtAC0ALQAtAC0ALQAtAC0ALQAtAC0ALQAtAC0ALQAtAC0ALQAtAC0ALQAtAC0ALQAtAC0ALQAtAC0ALQAtAC0ALQAtAC0ALQAqAC8AXABuAFwAbgBSAGUAdgBlAGEAbAC7AyAAPQBcAG4ATABBAE0AQgBEAEEAKABcAG4AIAAgACAAIABkAGEAdABhACwAIAAgACAAIAAgACAAIAAgAFwAbgAgACAAIAAgAFsASQBzAFYAZQByAGIAbwBzAGUAPwBdACwAXABuACAAIAAgACAAWwBkAGUAbABpAG0AaQB0AGUAcgBdACwAXABuAFwAbgBMAEUAVAAoAFwAbgAgACAAIAAgAC8ALwAgAEQAaQBtAGUAbgBzAGkAbwBuAFwAbgAgACAAIAAgAHcAaQBkAHQAaAAsACAAIAAgACAAIAAgACAAIAAgACAAIAAgACAAIAAgACAAIAAgAEMATwBMAFUATQBOAFMAKABkAGEAdABhACkALABcAG4AXABuACAAIAAgACAALwAvACAAQwBlAGwAbAAgAG0AZQB0AHIAaQBjACAAbABhAGIAZQBsAHMAXABuACAAIAAgACAAbQBlAHQAcgBpAGMAcwAsACAAIAAgACAAIAAgACAAIAAgACAAIAAgACAAIAAgACAAewBcACIATgB1AG0AYgBlAHIAXAAiADsAXABuACAAIAAgACAAIAAgACAAIAAgACAAIAAgACAAIAAgACAAIAAgACAAIAAgACAAIAAgACAAIAAgACAAXAAiAFQAZQB4AHQAXAAiADsAXABuACAAIAAgACAAIAAgACAAIAAgACAAIAAgACAAIAAgACAAIAAgACAAIAAgACAAIAAgACAAIAAgACAAXAAiAE4AdQBtAGIAZQByAC0AcwB0AG8AcgBlAGQALQBhAHMALQB0AGUAeAB0AFwAIgA7AFwAbgAgACAAIAAgACAAIAAgACAAIAAgACAAIAAgACAAIAAgACAAIAAgACAAIAAgACAAIAAgACAAIAAgAFwAIgBFAHIAcgBvAHIAXAAiADsAXABuACAAIAAgACAAIAAgACAAIAAgACAAIAAgACAAIAAgACAAIAAgACAAIAAgACAAIAAgACAAIAAgACAAXAAiAEMAbwBuAHQAYQBpAG4AcwAgAHMAcABhAGMAZQBzAFwAIgA7AFwAbgAgACAAIAAgACAAIAAgACAAIAAgACAAIAAgACAAIAAgACAAIAAgACAAIAAgACAAIAAgACAAIAAgAFwAIgBDAG8AbgB0AGEAaQBuAHMAIABzAHAAZQBjAGkAYQBsACAAYwBoAGEAcgBhAGMAdABlAHIAcwBcACIAOwBcAG4AIAAgACAAIAAgACAAIAAgACAAIAAgACAAIAAgACAAIAAgACAAIAAgACAAIAAgACAAIAAgACAAIABcACIARgBvAHIAbQB1AGwAYQBcACIAOwBcAG4AIAAgACAAIAAgACAAIAAgACAAIAAgACAAIAAgACAAIAAgACAAIAAgACAAIAAgACAAIAAgACAAIABcACIAQgBsAGEAbgBrAFwAIgA7AFwAbgAgACAAIAAgACAAIAAgACAAIAAgACAAIAAgACAAIAAgACAAIAAgACAAIAAgACAAIAAgACAAIAAgAFwAIgBMAG8AZwBpAGMAYQBsAFwAIgB9ACwAXABuAFwAbgAgACAAIAAgAC8ALwAtAC0AIABMAG8AYwBhAGwAIABmAHUAbgBjAHQAaQBvAG4AcwAgAC0ALQBcAG4AXABuACAAIAAgACAALwAvACAARgBsAGEAdAB0AGUAbgAgAG0AYQB0AHIAaQBjAGUAcwAgAGEAbgBkACAAZQBuAHMAdQByAGUAIABiAGkAbgBhAHIAeQAgAGEAcgByAGEAeQAuAFwAbgAgACAAIAAgAEIAaQBuALsDLAAgACAAIAAgACAAIAAgACAAIAAgACAAIAAgACAAIAAgACAAIAAgAEwAQQBNAEIARABBACgAdgAsACAAVABPAEMATwBMACgASQBGAEUAUgBSAE8AUgAoAHYALAAgADAAKQApACkALABcAG4AXABuACAAIAAgACAALwAvACAAUgBlAG0AbwB2AGUAIABlAHIAcgBvAHIAcwAgAGYAcgBvAG0AIABzAGMAYQBsAGEAcgBzAC4AXABuACAAIAAgACAAUgBlAG0AbwB2AGUATgBBALsDLAAgACAAIAAgACAAIAAgACAAIAAgACAAIAAgACAATABBAE0AQgBEAEEAKAB2ACwAIABJAEYATgBBACgAdgAsACAAMAApACkALABcAG4AXABuACAAIAAgACAALwAvACAATwBwAHQAaQBvAG4AYQBsACAAZABlAGwAaQBtAGkAdABlAHIAIABmAG8AcgAgAHYAZQByAGIAbwBzAGUAIAByAGUAcABvAHIAdAAuAFwAbgAgACAAIAAgAGQAZQBsAGkAbQBpAHQAZQByACwAIAAgACAAIAAgACAAIAAgACAAIAAgACAAIAAgAEkARgAoAEkAUwBPAE0ASQBUAFQARQBEACgAZABlAGwAaQBtAGkAdABlAHIAKQAsACAAXAAiACwAIABcACIALAAgAGQAZQBsAGkAbQBpAHQAZQByACkALABcAG4AXABuACAAIAAgACAALwAvACAAVgBlAHIAYgBvAHMAZQAgAHIAZQBwAG8AcgB0ACAALQAgAHIAZQB0AHUAcgBuAHMAIABuAGEAcgByAGEAdABhAGIAbABlACAAdABhAGcAcwAgAGIAeQAgAGMAZQBsAGwALgAgAFQAZQByAG0AaQBuAGEAdABlAHMAIABlAGEAcgBsAHkAIABpAGYAIABiAGwAYQBuAGsALgBcAG4AIAAgACAAIABHAGUAdABEAGUAdABhAGkAbABzALsDLAAgACAAIAAgACAAIAAgACAAIAAgACAAIABMAEEATQBCAEQAQQAoAGEALAAgAGIALAAgAGMALAAgAGQALAAgAGUALAAgAGYALAAgAGcALAAgAGgALAAgAGkALABcAG4AIAAgACAAIAAgACAAIAAgACAAIAAgACAAIAAgACAAIAAgACAAIAAgACAAIAAgACAAIAAgACAAIABMAEUAVAAoAFwAbgAgACAAIAAgACAAIAAgACAAIAAgACAAIAAgACAAIAAgACAAIAAgACAAIAAgACAAIAAgACAAIAAgACAAIAAgACAAbQAsACAAIAAgACAAIAAgAFYAUwBUAEEAQwBLACgAYQAsACAAYgAsACAAYwAsACAAZAAsACAAUgBlAG0AbwB2AGUATgBBALsDKABlACkALAAgAFIAZQBtAG8AdgBlAE4AQQC7AygAZgApACwAIABnACwAIABoACwAIABpACkALABcAG4AIAAgACAAIAAgACAAIAAgACAAIAAgACAAIAAgACAAIAAgACAAIAAgACAAIAAgACAAIAAgACAAIAAgACAAIAAgAGQAZQB0AGEAaQBsACwAIABJAEYAKABoACwAIABcACIAQgBsAGEAbgBrAFwAIgAsACAAVABPAEMATwBMACgASQBGAFMAKABtACwAIABtAGUAdAByAGkAYwBzACkALAAgADIAKQApACwAXABuACAAIAAgACAAIAAgACAAIAAgACAAIAAgACAAIAAgACAAIAAgACAAIAAgACAAIAAgACAAIAAgACAAIAAgACAAIABqAG8AaQBuAGUAZAAsACAAVABFAFgAVABKAE8ASQBOACgAZABlAGwAaQBtAGkAdABlAHIALAAgADEALAAgAGQAZQB0AGEAaQBsACkALABcAG4AIAAgACAAIAAgACAAIAAgACAAIAAgACAAIAAgACAAIAAgACAAIAAgACAAIAAgACAAIAAgACAAIAAgACAAIAAgAGoAbwBpAG4AZQBkACkAKQAsAFwAbgBcAG4AIAAgACAAIAAvAC8AIABDAGUAbABsAHMAIAB3AGkAdABoADoAXABuACAAIAAgACAATgB1AG0AYgBlAHIAcwAsACAAIAAgACAAIAAgACAAIAAgACAAIAAgACAAIAAgAC0ALQBUAE8AQwBPAEwAKABJAFMATgBVAE0AQgBFAFIAKABkAGEAdABhACkAKQAsAFwAbgAgACAAIAAgAFQAZQB4AHQAcwAsACAAIAAgACAAIAAgACAAIAAgACAAIAAgACAAIAAgACAAIAAtAC0AVABPAEMATwBMACgASQBTAFQARQBYAFQAKABkAGEAdABhACkAKQAsAFwAbgAgACAAIAAgAE4AdQBtAGIAZQByAHMAXwBzAHQAbwByAGUAZABfAGEAcwBfAHQAZQB4AHQALAAgAFQATwBDAE8ATAAoAEkAUwBOAFUATQBCAEUAUgAoAEkARgBFAFIAUgBPAFIAKABkAGEAdABhACAAKwAgADAALAAgAFwAIgBcACIAKQApACAAKgAgAEkAUwBUAEUAWABUACgAZABhAHQAYQApACkALABcAG4AIAAgACAAIABDAGUAbABsAHMAXwB3AGkAdABoAF8AZQByAHIAbwByAHMALAAgACAAIAAgACAALQAtAFQATwBDAE8ATAAoAEkAUwBFAFIAUgBPAFIAKABkAGEAdABhACkAKQAsAFwAbgAgACAAIAAgAFMAcABhAGMAZQBzACwAIAAgACAAIAAgACAAIAAgACAAIAAgACAAIAAgACAAIAAtAC0AQgBpAG4AuwMoAEwARQBOACgAVABSAEkATQAoAGQAYQB0AGEAKQApACAAPAA+ACAATABFAE4AKABkAGEAdABhACkAKQAsAFwAbgBcAG4AIAAgACAAIAAvAC8AIABQAGEAdAB0AGUAcgBuACAAbQBhAHQAYwBoAGUAcwAgAGYAbwByACAAcwBwAGUAYwBpAGEAbAAgAGMAaABhAHIAYQBjAHQAZQByAHMAXABuACAAIAAgACAAcABhAHQAdABlAHIAbgAsACAAIAAgACAAIAAgACAAIAAgACAAIAAgACAAIAAgAFwAIgBbAF4AQQAtAFoAYQAtAHoAMAAtADkAIAAuAF0AfABbAFwAXAB4AHsAMAAwAEEAMAB9AFwAXAB4AHsAMgAwADAAQgB9AC0AXABcAHgAewAyADAAMABEAH0AXQB8AFsAXABcAHQAXABcAG4AXABcAHIAXQB8AFsAXABcAHgAewAxAEYANgAwADAAfQAtAFwAXAB4AHsAMQBGADYANABGAH0AXQBcACIALABcAG4AIAAgACAAIABTAHAAZQBjAGkAYQBsAF8AYwBoAGEAcgBhAGMAdABlAHIAcwAsACAAIAAgACAALQAtAEIAaQBuALsDKABSAEUARwBFAFgAVABFAFMAVAAoAGQAYQB0AGEALAAgAHAAYQB0AHQAZQByAG4AKQApACwAXABuAFwAbgAgACAAIAAgAEYAbwByAG0AdQBsAGEAcwAsACAAIAAgACAAIAAgACAAIAAgACAAIAAgACAAIAAtAC0AVABPAEMATwBMACgASQBTAEYATwBSAE0AVQBMAEEAKABkAGEAdABhACkAKQAsAFwAbgAgACAAIAAgAEIAbABhAG4AawBzACwAIAAgACAAIAAgACAAIAAgACAAIAAgACAAIAAgACAAIAAtAC0AVABPAEMATwBMACgASQBTAEIATABBAE4ASwAoAGQAYQB0AGEAKQApACwAXABuACAAIAAgACAATABvAGcAaQBjAGEAbAAsACAAIAAgACAAIAAgACAAIAAgACAAIAAgACAAIAAgAC0ALQBUAE8AQwBPAEwAKABJAFMATABPAEcASQBDAEEATAAoAGQAYQB0AGEAKQApACwAXABuAFwAbgAgACAAIAAgAC8ALwAgAE0AZQB0AHIAaQBjAHMAIABmAGwAYQB0AHQAZQBuAGUAZAAgAHIAbwB3AC0AdwBpAHMAZQAgAGEAbgBkACAAcwB0AGEAYwBrAGUAZAAgAGgAbwByAGkAegBvAG4AdABhAGwAbAB5AC4AXABuACAAIAAgACAAbQBlAHQAcgBpAGMAXwBzAHQAYQBjAGsALAAgACAAIAAgACAAIAAgACAAIAAgAEgAUwBUAEEAQwBLACgAXABuACAAIAAgACAAIAAgACAAIAAgACAAIAAgACAAIAAgACAAIAAgACAAIAAgACAAIAAgACAAIAAgACAAIAAgACAAIABOAHUAbQBiAGUAcgBzACwAXABuACAAIAAgACAAIAAgACAAIAAgACAAIAAgACAAIAAgACAAIAAgACAAIAAgACAAIAAgACAAIAAgACAAIAAgACAAIABUAGUAeAB0AHMALABcAG4AIAAgACAAIAAgACAAIAAgACAAIAAgACAAIAAgACAAIAAgACAAIAAgACAAIAAgACAAIAAgACAAIAAgACAAIAAgAE4AdQBtAGIAZQByAHMAXwBzAHQAbwByAGUAZABfAGEAcwBfAHQAZQB4AHQALABcAG4AIAAgACAAIAAgACAAIAAgACAAIAAgACAAIAAgACAAIAAgACAAIAAgACAAIAAgACAAIAAgACAAIAAgACAAIAAgAEMAZQBsAGwAcwBfAHcAaQB0AGgAXwBlAHIAcgBvAHIAcwAsAFwAbgAgACAAIAAgACAAIAAgACAAIAAgACAAIAAgACAAIAAgACAAIAAgACAAIAAgACAAIAAgACAAIAAgACAAIAAgACAAUwBwAGEAYwBlAHMALABcAG4AIAAgACAAIAAgACAAIAAgACAAIAAgACAAIAAgACAAIAAgACAAIAAgACAAIAAgACAAIAAgACAAIAAgACAAIAAgAFMAcABlAGMAaQBhAGwAXwBjAGgAYQByAGEAYwB0AGUAcgBzACwAXABuACAAIAAgACAAIAAgACAAIAAgACAAIAAgACAAIAAgACAAIAAgACAAIAAgACAAIAAgACAAIAAgACAAIAAgACAAIABGAG8AcgBtAHUAbABhAHMALABcAG4AIAAgACAAIAAgACAAIAAgACAAIAAgACAAIAAgACAAIAAgACAAIAAgACAAIAAgACAAIAAgACAAIAAgACAAIAAgAEIAbABhAG4AawBzACwAXABuACAAIAAgACAAIAAgACAAIAAgACAAIAAgACAAIAAgACAAIAAgACAAIAAgACAAIAAgACAAIAAgACAAIAAgACAAIABMAG8AZwBpAGMAYQBsACkALABcAG4AXABuACAAIAAgACAALwAvACAATQBlAHQAcgBpAGMAcwAgAHMAdQBtAG0AYQByAGkAegBlAGQAIABhAG4AZAAgAGMAbwBuAHYAZQByAHQAZQBkACAAdABvACAAdgBlAHIAdABpAGMAYQBsACAAYQByAHIAYQB5AC4AXABuACAAIAAgACAAdABvAHQAYQBsAHMALAAgACAAIAAgACAAIAAgACAAIAAgACAAIAAgACAAIAAgACAAVABPAEMATwBMACgAQgBZAEMATwBMACgAbQBlAHQAcgBpAGMAXwBzAHQAYQBjAGsALAAgAFMAVQBNACkAKQAsAFwAbgBcAG4AIAAgACAAIAAvAC8ALQAtACAAUgBlAHAAbwByAHQAaQBuAGcAIAAtAC0AXABuAFwAbgAgACAAIAAgAC8ALwAgAFQAbwBwAC0AbABlAHYAZQBsACAAOQDXADIAIABzAHUAbQBtAGEAcgB5ACAAbwBmACAAZABhAHQAYQAuAFwAbgAgACAAIAAgAFMAdQBtAG0AYQByAHkALAAgACAAIAAgACAAIAAgACAAIAAgACAAIAAgACAAIAAgAEwAQQBNAEIARABBACgAUwBPAFIAVAAoAEgAUwBUAEEAQwBLACgAbQBlAHQAcgBpAGMAcwAsACAAdABvAHQAYQBsAHMAKQAsACAAMgAsACAALQAxACkAKQAsAFwAbgBcAG4AIAAgACAAIAAvAC8AIABDAGUAbABsAC0AYgB5AC0AYwBlAGwAbAAgAHIAZQBwAG8AcgB0ACAAbwBmACAAZABhAHQAYQAuAFwAbgAgACAAIAAgAFYAZQByAGIAbwBzAGUALAAgACAAIAAgACAAIAAgACAAIAAgACAAIAAgACAAIAAgAFcAUgBBAFAAUgBPAFcAUwAoAFwAbgAgACAAIAAgACAAIAAgACAAIAAgACAAIAAgACAAIAAgACAAIAAgACAAIAAgACAAIAAgACAAIAAgACAAIAAgACAATQBBAFAAKABcAG4AIAAgACAAIAAgACAAIAAgACAAIAAgACAAIAAgACAAIAAgACAAIAAgACAAIAAgACAAIAAgACAAIAAgACAAIAAgACAAIAAgACAATgB1AG0AYgBlAHIAcwAsAFwAbgAgACAAIAAgACAAIAAgACAAIAAgACAAIAAgACAAIAAgACAAIAAgACAAIAAgACAAIAAgACAAIAAgACAAIAAgACAAIAAgACAAIABUAGUAeAB0AHMALABcAG4AIAAgACAAIAAgACAAIAAgACAAIAAgACAAIAAgACAAIAAgACAAIAAgACAAIAAgACAAIAAgACAAIAAgACAAIAAgACAAIAAgACAATgB1AG0AYgBlAHIAcwBfAHMAdABvAHIAZQBkAF8AYQBzAF8AdABlAHgAdAAsAFwAbgAgACAAIAAgACAAIAAgACAAIAAgACAAIAAgACAAIAAgACAAIAAgACAAIAAgACAAIAAgACAAIAAgACAAIAAgACAAIAAgACAAIABDAGUAbABsAHMAXwB3AGkAdABoAF8AZQByAHIAbwByAHMALABcAG4AIAAgACAAIAAgACAAIAAgACAAIAAgACAAIAAgACAAIAAgACAAIAAgACAAIAAgACAAIAAgACAAIAAgACAAIAAgACAAIAAgACAAUwBwAGEAYwBlAHMALABcAG4AIAAgACAAIAAgACAAIAAgACAAIAAgACAAIAAgACAAIAAgACAAIAAgACAAIAAgACAAIAAgACAAIAAgACAAIAAgACAAIAAgACAAUwBwAGUAYwBpAGEAbABfAGMAaABhAHIAYQBjAHQAZQByAHMALABcAG4AIAAgACAAIAAgACAAIAAgACAAIAAgACAAIAAgACAAIAAgACAAIAAgACAAIAAgACAAIAAgACAAIAAgACAAIAAgACAAIAAgACAARgBvAHIAbQB1AGwAYQBzACwAXABuACAAIAAgACAAIAAgACAAIAAgACAAIAAgACAAIAAgACAAIAAgACAAIAAgACAAIAAgACAAIAAgACAAIAAgACAAIAAgACAAIAAgAEIAbABhAG4AawBzACwAXABuACAAIAAgACAAIAAgACAAIAAgACAAIAAgACAAIAAgACAAIAAgACAAIAAgACAAIAAgACAAIAAgACAAIAAgACAAIAAgACAAIAAgAEwAbwBnAGkAYwBhAGwALABcAG4AIAAgACAAIAAgACAAIAAgACAAIAAgACAAIAAgACAAIAAgACAAIAAgACAAIAAgACAAIAAgACAAIAAgACAAIAAgACAAIAAgACAARwBlAHQARABlAHQAYQBpAGwAcwC7AykALABcAG4AIAAgACAAIAAgACAAIAAgACAAIAAgACAAIAAgACAAIAAgACAAIAAgACAAIAAgACAAIAAgACAAIAAgACAAIAAgAHcAaQBkAHQAaAApACwAXABuAFwAbgAgACAAIAAgAFIAZQBwAG8AcgB0ACwAIAAgACAAIAAgACAAIAAgACAAIAAgACAAIAAgACAAIAAgAEkARgAoAEkAUwBPAE0ASQBUAFQARQBEACgASQBzAFYAZQByAGIAbwBzAGUAPwApACwAIABTAHUAbQBtAGEAcgB5ACgAKQAsACAAVgBlAHIAYgBvAHMAZQApACwAXABuACAAIAAgACAAUgBlAHAAbwByAHQAXABuACkAKQA7AFwAbgBcAG4AXABuAFwAbgAvAC8AIAAtAC0ARQBuAGQAIABvAGYAIABCAGkAZwBTAHAAaQBsAGwAIABNAG8AZAB1AGwAZQAtAC0AIgB9AF0ALAAiAHAAcgBvAGoAZQBjAHQATgBhAG0AZQBzACIAOgBbACIARABHAHIAaQBkALsDIgAsACIAQwBHAHIAaQBkALsDIgAsACIATQBHAHIAaQBkALsDIgAsACIAVABHAHIAaQBkALsDIgAsACIAUABvAGwAYQByAEcAcgBpAGQAuwMiACwAIgBDAGkAcgBjAGwAZQC7AyIALAAiAEQAaQBhAG0AbwBuAGQAuwMiACwAIgBQAGwAdQBzALsDIgAsACIAUAB5AHIAYQBtAGkAZAC7AyIALAAiAFIAaQBuAGcAuwMiACwAIgBTAHEAdQBhAHIAZQC7AyIALAAiAFQAcgBpAGEAbgBnAGwAZQC7AyIALAAiAFIAZQBTAGgAYQBwAGUAMgBEALsDIgAsACIAUgBlAHMAaQB6AGUAuwMiACwAIgBTAGMAYQBuADIARAC7AyIALAAiAFQAcgBhAHYAZQByAHMAZQC7AyIALAAiAFQAYQBrAGUAQgBsAG8AYwBrALsDIgAsACIARABTAHQAYQBjAGsAuwMiACwAIgBXAHIAYQBwAFIAbwB3AHMAMgBEALsDIgAsACIAVwByAGEAcABDAG8AbABzADIARAC7AyIALAAiAFMAdABhAGkAcgBjAGEAcwBlALsDIgAsACIAVgBhAGwAaQBkAGEAdABlAFMAdABhAGkAcgBjAGEAcwBlALsDIgAsACIAVQBuAFAAaQB2AG8AdAC7AyIALAAiAFoAaQBwALsDIgAsACIAUwBsAGkAYwBlAEIAeQBEAGUAZwC7AyIALAAiAFAAYQBkALsDIgAsACIASQBuAHMAdQBsAGEAdABlAFIAbwB3AHMAuwMiACwAIgBJAG4AcwB1AGwAYQB0AGUAQwBvAGwAcwC7AyIALAAiAE0AYQBnAG4AaQBmAHkAuwMiACwAIgBaAG8AbwBtALsDIgAsACIARABlAGwAZQB0AGUAUgBvAHcAcwC7AyIALAAiAEQAZQBsAGUAdABlAEMAbwBsAHMAuwMiACwAIgBEAGUAbABlAHQAZQBXAGgAZQByAGUAuwMiACwAIgBQAGkAbgBjAGgAuwMiACwAIgBSAGUAbQBvAHYAZQC7AyIALAAiAFMAcQB1AGUAZQB6AGUAuwMiACwAIgBLAHIAbwBuAGUAYwBrAGUAcgBQAHIAbwBkALsDIgAsACIARQB4AGMAbAB1AGQAZQC7AyIALAAiAFMAbgBhAHAAuwMiACwAIgBTAGgAaQBmAHQAuwMiACwAIgBTAGgAaQBmAHQAUgBvAHcAcwC7AyIALAAiAFMAaABpAGYAdABDAG8AbABzALsDIgAsACIARQBtAGIAZQBkALsDIgAsACIASwBlAGUAcABSAG8AdwBzALsDIgAsACIASwBlAGUAcABDAG8AbABzALsDIgAsACIAQgBsAG8AYwBrAE0AYQBwALsDIgAsACIAVgBhAGwAaQBkAGEAdABlAEIAbABvAGMAawBNAGEAcAC7AyIALAAiAEMAbwBuAHYAbwBsAHYAZQC7AyIALAAiAEYAbwBsAGQAuwMiACwAIgBKAG8AaQBuADIARAC7AyIALAAiAEUAYwBoAG8AuwMiACwAIgBSAGUAcABlAGEAdABSAG8AdwBzALsDIgAsACIAUgBlAHAAZQBhAHQAQwBvAGwAcwC7AyIALAAiAFQAZQBzAHMAZQBsAGwAYQB0AGUAuwMiACwAIgBTAHQAcgBlAGEAawC7AyIALAAiAEMAbwB1AG4AdABkAG8AdwBuALsDIgAsACIAQgB5AEQAaQBhAGcAuwMiACwAIgBEAGkAYQBnAE0AYQBwALsDIgAsACIARABpAGEAZwBJAG4AZABlAHgAuwMiACwAIgBWAGEAbABpAGQAYQB0AGUARABpAGEAZwC7AyIALAAiAFAAYQBpAHI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F376F00-21E9-4A96-8B03-F6687EA470B9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A906DA44-5E65-482A-BF8A-FFC3FE1F0E34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70</vt:i4>
      </vt:variant>
    </vt:vector>
  </HeadingPairs>
  <TitlesOfParts>
    <vt:vector size="90" baseType="lpstr">
      <vt:lpstr>Introduction</vt:lpstr>
      <vt:lpstr>DeleteRows</vt:lpstr>
      <vt:lpstr>DeleteCols</vt:lpstr>
      <vt:lpstr>DeleteWhere</vt:lpstr>
      <vt:lpstr>Pinch</vt:lpstr>
      <vt:lpstr>Remove</vt:lpstr>
      <vt:lpstr>Squeeze</vt:lpstr>
      <vt:lpstr>KroneckerProd</vt:lpstr>
      <vt:lpstr>Exclude</vt:lpstr>
      <vt:lpstr>Snap</vt:lpstr>
      <vt:lpstr>Shift</vt:lpstr>
      <vt:lpstr>ShiftRows</vt:lpstr>
      <vt:lpstr>ShiftCols</vt:lpstr>
      <vt:lpstr>Embed</vt:lpstr>
      <vt:lpstr>KeepRows</vt:lpstr>
      <vt:lpstr>KeepCols</vt:lpstr>
      <vt:lpstr>BlockMap</vt:lpstr>
      <vt:lpstr>Convolve</vt:lpstr>
      <vt:lpstr>Fold</vt:lpstr>
      <vt:lpstr>Join2D</vt:lpstr>
      <vt:lpstr>Account</vt:lpstr>
      <vt:lpstr>Alpha</vt:lpstr>
      <vt:lpstr>Apps</vt:lpstr>
      <vt:lpstr>AppsB</vt:lpstr>
      <vt:lpstr>Athlete</vt:lpstr>
      <vt:lpstr>Blur</vt:lpstr>
      <vt:lpstr>Board</vt:lpstr>
      <vt:lpstr>Bravo</vt:lpstr>
      <vt:lpstr>Charlie</vt:lpstr>
      <vt:lpstr>Colors</vt:lpstr>
      <vt:lpstr>ColorTotals</vt:lpstr>
      <vt:lpstr>ConvolutionMatrix</vt:lpstr>
      <vt:lpstr>Date</vt:lpstr>
      <vt:lpstr>Delta</vt:lpstr>
      <vt:lpstr>Department</vt:lpstr>
      <vt:lpstr>EBoard</vt:lpstr>
      <vt:lpstr>Email</vt:lpstr>
      <vt:lpstr>Emboss</vt:lpstr>
      <vt:lpstr>EmployeeSched</vt:lpstr>
      <vt:lpstr>ExGrid</vt:lpstr>
      <vt:lpstr>ExGridB</vt:lpstr>
      <vt:lpstr>Fax</vt:lpstr>
      <vt:lpstr>Flavor</vt:lpstr>
      <vt:lpstr>Grid</vt:lpstr>
      <vt:lpstr>Group</vt:lpstr>
      <vt:lpstr>HalfYear</vt:lpstr>
      <vt:lpstr>HalfYearB</vt:lpstr>
      <vt:lpstr>HelloWorld</vt:lpstr>
      <vt:lpstr>HoursScheduled</vt:lpstr>
      <vt:lpstr>ImageMatrix</vt:lpstr>
      <vt:lpstr>Kernel</vt:lpstr>
      <vt:lpstr>LGrid</vt:lpstr>
      <vt:lpstr>MajesticMeadows</vt:lpstr>
      <vt:lpstr>MatrixA</vt:lpstr>
      <vt:lpstr>MatrixB</vt:lpstr>
      <vt:lpstr>Medal</vt:lpstr>
      <vt:lpstr>MiniGrid</vt:lpstr>
      <vt:lpstr>Month</vt:lpstr>
      <vt:lpstr>Name</vt:lpstr>
      <vt:lpstr>Offices</vt:lpstr>
      <vt:lpstr>OfficesB</vt:lpstr>
      <vt:lpstr>Outline</vt:lpstr>
      <vt:lpstr>PBoard</vt:lpstr>
      <vt:lpstr>Phone</vt:lpstr>
      <vt:lpstr>Records</vt:lpstr>
      <vt:lpstr>Region</vt:lpstr>
      <vt:lpstr>Report</vt:lpstr>
      <vt:lpstr>ReportMonth</vt:lpstr>
      <vt:lpstr>Respondent</vt:lpstr>
      <vt:lpstr>Roster</vt:lpstr>
      <vt:lpstr>SalesData</vt:lpstr>
      <vt:lpstr>Schedule</vt:lpstr>
      <vt:lpstr>Sharpen</vt:lpstr>
      <vt:lpstr>SimpleGrid</vt:lpstr>
      <vt:lpstr>Size</vt:lpstr>
      <vt:lpstr>SnGrid</vt:lpstr>
      <vt:lpstr>SnGridB</vt:lpstr>
      <vt:lpstr>Staff</vt:lpstr>
      <vt:lpstr>Students</vt:lpstr>
      <vt:lpstr>StudentsB</vt:lpstr>
      <vt:lpstr>Supervisor</vt:lpstr>
      <vt:lpstr>SupervisorSchedule</vt:lpstr>
      <vt:lpstr>Supplies</vt:lpstr>
      <vt:lpstr>Survey</vt:lpstr>
      <vt:lpstr>TBoard</vt:lpstr>
      <vt:lpstr>Title</vt:lpstr>
      <vt:lpstr>Victor</vt:lpstr>
      <vt:lpstr>Waldo</vt:lpstr>
      <vt:lpstr>WeeklyData</vt:lpstr>
      <vt:lpstr>Winners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Grid Algebra</dc:title>
  <dc:creator>BigSpill Project</dc:creator>
  <dc:description>Demonstration workbook for BigSpill - Grid Algebra</dc:description>
  <dcterms:created xsi:type="dcterms:W3CDTF">2026-07-07T13:35:21Z</dcterms:created>
  <dcterms:modified xsi:type="dcterms:W3CDTF">2026-07-07T13:37:44Z</dcterms:modified>
</cp:coreProperties>
</file>