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"/>
    </mc:Choice>
  </mc:AlternateContent>
  <xr:revisionPtr revIDLastSave="0" documentId="13_ncr:1_{C3A1E577-0C8F-483D-BFAB-08B77E8A33B6}" xr6:coauthVersionLast="47" xr6:coauthVersionMax="47" xr10:uidLastSave="{00000000-0000-0000-0000-000000000000}"/>
  <bookViews>
    <workbookView xWindow="28680" yWindow="-120" windowWidth="29040" windowHeight="15720" tabRatio="610" xr2:uid="{F66D582A-7D0C-4E5D-944D-C6A8F5A29A1E}"/>
  </bookViews>
  <sheets>
    <sheet name="Introduction" sheetId="1" r:id="rId1"/>
    <sheet name="Streak" sheetId="3" r:id="rId2"/>
    <sheet name="Countdown" sheetId="4" r:id="rId3"/>
    <sheet name="ByDiag" sheetId="5" r:id="rId4"/>
    <sheet name="DiagIndex" sheetId="7" r:id="rId5"/>
    <sheet name="Pairwise" sheetId="8" r:id="rId6"/>
    <sheet name="GroupbyBin" sheetId="9" r:id="rId7"/>
    <sheet name="GroupbyDate" sheetId="10" r:id="rId8"/>
    <sheet name="PivotbyCat" sheetId="11" r:id="rId9"/>
    <sheet name="Grain" sheetId="12" r:id="rId10"/>
    <sheet name="MooreAgg" sheetId="13" r:id="rId11"/>
    <sheet name="MooreSelect" sheetId="14" r:id="rId12"/>
    <sheet name="Histogram" sheetId="15" r:id="rId13"/>
    <sheet name="Mode" sheetId="17" r:id="rId14"/>
    <sheet name="ZoneStat" sheetId="18" r:id="rId15"/>
  </sheets>
  <definedNames>
    <definedName name="Age">GroupbyBin!$C$14:$C$38</definedName>
    <definedName name="Age_">GroupbyBin!$C$13:$C$38</definedName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Amount">GroupbyDate!$D$15:$D$21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_xlfn.LAMBDA(_xlpm.matrix,_xlpm.depth,_xlpm.width,_xlop.re_shape_by_column?,_xlop.transpose_anchors?, ValidateBlockMapλ(_xlpm.matrix, _xlpm.depth, _xlpm.width, _xlpm.re_shape_by_column?, _xlfn.LET(_xlpm.x, ROUNDUP(ROWS(_xlpm.matrix) / _xlpm.depth, 0), _xlpm.y, ROUNDUP(COLUMNS(_xlpm.matrix)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INDEX(_xlpm.matrix, _xlpm.row_indices, _xlpm.col_indices), _xlpm.result, IF(_xlpm.re_shape_by_column?, TRANSPOSE(_xlpm.reshaped), _xlpm.reshaped), _xlpm.result)))</definedName>
    <definedName name="Board">MooreAgg!$C$30:$G$37</definedName>
    <definedName name="Bonus">GroupbyDate!$E$36:$E$43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ate">GroupbyDate!$C$15:$C$21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partment">GroupbyDate!$D$36:$D$43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levationGrid">Grain!$C$18:$J$33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teredDate">GroupbyDate!$C$36:$C$43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_xlfn.LAMBDA(_xlpm.matrix,_xlpm.depth,_xlpm.width,_xlpm.function, IF(NOT(TYPE(_xlpm.matrix) = 64), "#MATRIX!", IF(OR(_xlpm.depth &gt; ROWS(_xlpm.matrix), _xlpm.width &gt; COLUMNS(_xlpm.matrix), ISTEXT(_xlpm.depth), ISTEXT(_xlpm.width)), "#DIMENSIONS!", IF(TYPE(_xlpm.function) &lt;&gt; 128, "#ETA FUNCTION!", _xlfn.LET(_xlpm.h, ROWS(_xlpm.matrix), _xlpm.w, COLUMNS(_xlpm.matrix),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_xlfn.TOCOL(INDEX(_xlpm.matrix, _xlpm.i(), _xlpm.j()), 2), _xlpm.result, _xlpm.function(_xlpm.block), _xlpm.result)), _xlpm.deliver, _xlfn.MAP(_xlpm.down(), _xlpm.across(), _xlpm.Blocksλ), _xlpm.deliver)))))</definedName>
    <definedName name="Grid">ByDiag!$D$9:$I$14</definedName>
    <definedName name="GridB">DiagIndex!$C$7:$J$14</definedName>
    <definedName name="GroupA">Pairwise!$C$9:$C$11</definedName>
    <definedName name="GroupB">Pairwise!$E$9:$E$10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eight">GroupbyBin!$D$14:$D$38</definedName>
    <definedName name="Height_">GroupbyBin!$D$13:$D$38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Hours">PivotbyCat!$E$20:$E$27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Item">Pairwise!$C$20:$C$23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atrixDemo">Grain!$C$8:$J$15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ixedData">Mode!$C$8:$F$15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_xlfn.LAMBDA(_xlpm.Matrix,_xlpm.function,_xlop.IsvonNeumann?,_xlop.omit_center, IF(TYPE(_xlpm.Matrix) &lt;&gt; 64, "#MATRIX!", IF(TYPE(_xlpm.function) &lt;&gt; 128, "#ETA FUNCTION!", _xlfn.LET(_xlpm.IsvonNeumann?, NOT(_xlfn.ISOMITTED(_xlpm.IsvonNeumann?)), _xlpm.omit_center, NOT(_xlfn.ISOMITTED(_xlpm.omit_center)), _xlpm.height, ROWS(_xlpm.Matrix), _xlpm.width, COLUMNS(_xlpm.Matrix), _xlpm.M, _xlfn.VSTACK("omit", _xlfn.HSTACK("omit", _xlpm.Matrix,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_xlfn.LAMBDA(_xlpm.matrix,_xlpm.neighbor, IF(TYPE(_xlpm.matrix) &lt;&gt; 64, "#MATRIX!", IF(NOT(AND(_xlpm.neighbor &gt;= 1, _xlpm.neighbor &lt;= 9, NOT(ISTEXT(_xlpm.neighbor)))), "#NEIGHBOR!", _xlfn.LET(_xlpm.height, ROWS(_xlpm.matrix), _xlpm.width, COLUMNS(_xlpm.matrix), _xlpm.hpad, _xlfn.EXPAND(0, , _xlpm.width + 2, 0), _xlpm.vpad, _xlfn.EXPAND(0, _xlpm.height, , 0), _xlpm.M, _xlfn.VSTACK(_xlpm.hpad, _xlfn.HSTACK(_xlpm.vpad, _xlpm.matrix,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eighborhood">MooreSelect!$D$7:$I$12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utcome">Countdown!$C$11:$C$21</definedName>
    <definedName name="OutcomeH">Countdown!$H$11:$R$11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rocessed">PivotbyCat!$C$20:$C$27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Rating">Mode!$D$18:$E$25</definedName>
    <definedName name="Reading">GroupbyDate!$D$24:$D$32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sult">Streak!$F$11:$F$19</definedName>
    <definedName name="ResultH">Streak!$C$23:$K$23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chedule">Streak!$C$31:$J$33</definedName>
    <definedName name="ShiftColsλ">_xlfn.LAMBDA(_xlpm.matrix,_xlop.shift_by, _xlfn.LET(_xlpm.h, ROWS(_xlpm.matrix), _xlpm.w, COLUMNS(_xlpm.matrix), _xlpm.Is1D?, OR(_xlpm.h = 1, _xlpm.w = 1), IF(_xlpm.Is1D?, Shiftλ(_xlpm.matrix, _xlpm.shift_by), _xlfn.LET(_xlpm.i, Resizeλ(Shiftλ(_xlfn.SEQUENCE(_xlpm.h), _xlpm.shift_by), , _xlpm.w), _xlpm.j, MGridλ(_xlpm.matrix, 1), _xlpm.result, INDEX(_xlpm.matrix, _xlpm.i, _xlpm.j), _xlpm.result))))</definedName>
    <definedName name="ShiftRowsλ">_xlfn.LAMBDA(_xlpm.matrix,_xlop.shift_by, _xlfn.LET(_xlpm.h, ROWS(_xlpm.matrix), _xlpm.w, COLUMNS(_xlpm.matrix), _xlpm.Is1D?, OR(_xlpm.h = 1, _xlpm.w = 1), IF(_xlpm.Is1D?, Shiftλ(_xlpm.matrix, _xlpm.shift_by), _xlfn.LET(_xlpm.i, MGridλ(_xlpm.matrix), _xlpm.j, Resizeλ(Shiftλ(_xlfn.SEQUENCE(, _xlpm.w), _xlpm.shift_by), _xlpm.h), _xlpm.result, INDEX(_xlpm.matrix,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ites">PivotbyCat!$F$20:$F$27</definedName>
    <definedName name="Sizes">Pairwise!$C$17:$E$17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nowfall">Histogram!$B$27:$D$36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am">Pairwise!$J$9:$J$13</definedName>
    <definedName name="Tessellateλ">_xlfn.LAMBDA(_xlpm.pattern,_xlpm.new_height,_xlpm.new_width, _xlfn.LET(_xlpm.h, ROWS(_xlpm.pattern), _xlpm.w, COLUMNS(_xlpm.pattern), _xlpm.IsScalar?, AND(_xlpm.h = 1, _xlpm.w = 1), _xlpm.Is1D?, _xlfn.XOR(_xlpm.h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IF(_xlpm.Is1D?, "#1D-ARRAY!",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ime">GroupbyDate!$C$24:$C$32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_xlfn.LAMBDA(_xlpm.matrix,_xlpm.depth,_xlpm.width,_xlpm.re_shape_by_column?,_xlpm.on_valid, IF(NOT(TYPE(_xlpm.matrix) = 64), "#MATRIX!", IF((_xlpm.re_shape_by_column?) * (ROWS(_xlpm.matrix) * COLUMNS(_xlpm.matrix) / (_xlpm.width * _xlpm.depth) ^ 2 &gt; 16384), "#SPILL-RISK!", IF((MOD(ROWS(_xlpm.matrix), _xlpm.depth) &lt;&gt; 0) + (MOD(COLUMNS(_xlpm.matrix), _xlpm.width) &lt;&gt; 0), "#BLOCK MISMATCH!", IF(OR(AND(_xlpm.width = 1, _xlpm.depth = 1), _xlpm.depth &gt; ROWS(_xlpm.matrix), _xlpm.width &gt; COLUMNS(_xlpm.matrix),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illowTrees">Histogram!$C$9:$C$24</definedName>
    <definedName name="Worker">PivotbyCat!$D$20:$D$27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Grid">ZoneStat!$C$9:$F$12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19" i="11" l="1" a="1"/>
  <c r="H19" i="11" s="1"/>
  <c r="F16" i="10" a="1"/>
  <c r="F16" i="10" s="1"/>
  <c r="H23" i="18" a="1"/>
  <c r="H23" i="18" s="1"/>
  <c r="M16" i="18" a="1"/>
  <c r="M16" i="18" s="1"/>
  <c r="H16" i="18" a="1"/>
  <c r="H16" i="18" s="1"/>
  <c r="M9" i="18" a="1"/>
  <c r="M9" i="18" s="1"/>
  <c r="H9" i="18" a="1"/>
  <c r="H9" i="18" s="1"/>
  <c r="J19" i="17" a="1"/>
  <c r="J19" i="17" s="1"/>
  <c r="H19" i="17" a="1"/>
  <c r="H19" i="17" s="1"/>
  <c r="J9" i="17" a="1"/>
  <c r="J9" i="17" s="1"/>
  <c r="H9" i="17" a="1"/>
  <c r="H9" i="17" s="1"/>
  <c r="K28" i="15" a="1"/>
  <c r="K28" i="15" s="1"/>
  <c r="F28" i="15" a="1"/>
  <c r="F28" i="15" s="1"/>
  <c r="N10" i="15" a="1"/>
  <c r="N10" i="15" s="1"/>
  <c r="J10" i="15" a="1"/>
  <c r="J10" i="15" s="1"/>
  <c r="F10" i="15" a="1"/>
  <c r="F10" i="15" s="1"/>
  <c r="Q32" i="14" l="1" a="1"/>
  <c r="Q32" i="14" s="1"/>
  <c r="J32" i="14" a="1"/>
  <c r="J32" i="14" s="1"/>
  <c r="C32" i="14" a="1"/>
  <c r="C32" i="14" s="1"/>
  <c r="Q24" i="14" a="1"/>
  <c r="Q24" i="14" s="1"/>
  <c r="C24" i="14" a="1"/>
  <c r="C24" i="14" s="1"/>
  <c r="Q16" i="14" a="1"/>
  <c r="Q16" i="14" s="1"/>
  <c r="J16" i="14" a="1"/>
  <c r="J16" i="14" s="1"/>
  <c r="C16" i="14" a="1"/>
  <c r="C16" i="14" s="1"/>
  <c r="J30" i="13" a="1"/>
  <c r="J30" i="13" s="1"/>
  <c r="J14" i="13" a="1"/>
  <c r="J14" i="13" s="1"/>
  <c r="C14" i="13" a="1"/>
  <c r="C14" i="13" s="1"/>
  <c r="N29" i="12" a="1"/>
  <c r="N29" i="12" s="1"/>
  <c r="P19" i="12" a="1"/>
  <c r="P19" i="12" s="1"/>
  <c r="L19" i="12" a="1"/>
  <c r="L19" i="12" s="1"/>
  <c r="P22" i="13" l="1" a="1"/>
  <c r="P22" i="13" s="1"/>
  <c r="P14" i="13" a="1"/>
  <c r="P14" i="13" s="1"/>
  <c r="J22" i="13" a="1"/>
  <c r="J22" i="13" s="1"/>
  <c r="V14" i="13" a="1"/>
  <c r="V14" i="13" s="1"/>
  <c r="P9" i="12" a="1"/>
  <c r="P9" i="12" s="1"/>
  <c r="L9" i="12" a="1"/>
  <c r="L9" i="12" s="1"/>
  <c r="Q19" i="11" a="1"/>
  <c r="Q19" i="11" s="1"/>
  <c r="G37" i="10" a="1"/>
  <c r="G37" i="10" s="1"/>
  <c r="L16" i="10" a="1"/>
  <c r="L16" i="10" s="1"/>
  <c r="J26" i="10" a="1"/>
  <c r="J26" i="10" s="1"/>
  <c r="F26" i="10" a="1"/>
  <c r="F26" i="10" s="1"/>
  <c r="I16" i="10" a="1"/>
  <c r="I16" i="10" s="1"/>
  <c r="J38" i="9" a="1"/>
  <c r="J38" i="9" s="1"/>
  <c r="J29" i="9" a="1"/>
  <c r="J29" i="9" s="1"/>
  <c r="F29" i="9" a="1"/>
  <c r="F29" i="9" s="1"/>
  <c r="J15" i="9" a="1"/>
  <c r="J15" i="9" s="1"/>
  <c r="F15" i="9" a="1"/>
  <c r="F15" i="9" s="1"/>
  <c r="J19" i="8" l="1" a="1"/>
  <c r="J19" i="8" s="1"/>
  <c r="G19" i="8" a="1"/>
  <c r="G19" i="8" s="1"/>
  <c r="L10" i="8" a="1"/>
  <c r="L10" i="8" s="1"/>
  <c r="G10" i="8" a="1"/>
  <c r="G10" i="8" s="1"/>
  <c r="L19" i="8" l="1" a="1"/>
  <c r="L19" i="8" s="1"/>
  <c r="H26" i="7" a="1"/>
  <c r="H26" i="7" s="1"/>
  <c r="C26" i="7" a="1"/>
  <c r="C26" i="7" s="1"/>
  <c r="H18" i="7" a="1"/>
  <c r="H18" i="7" s="1"/>
  <c r="C18" i="7" a="1"/>
  <c r="C18" i="7" s="1"/>
  <c r="J36" i="5" a="1"/>
  <c r="J36" i="5" s="1"/>
  <c r="J27" i="5" a="1"/>
  <c r="J27" i="5" s="1"/>
  <c r="J18" i="5" a="1"/>
  <c r="J18" i="5" s="1"/>
  <c r="C31" i="5" a="1"/>
  <c r="C31" i="5" s="1"/>
  <c r="C27" i="5" a="1"/>
  <c r="C27" i="5" s="1"/>
  <c r="C22" i="5" a="1"/>
  <c r="C22" i="5" s="1"/>
  <c r="C18" i="5" a="1"/>
  <c r="C18" i="5" s="1"/>
  <c r="H15" i="4" a="1"/>
  <c r="H15" i="4" s="1"/>
  <c r="E11" i="4" a="1"/>
  <c r="E11" i="4" s="1"/>
  <c r="M32" i="3" a="1"/>
  <c r="M32" i="3" s="1"/>
  <c r="M28" i="3" a="1"/>
  <c r="M28" i="3" s="1"/>
  <c r="M24" i="3" a="1"/>
  <c r="M24" i="3" s="1"/>
  <c r="O11" i="3" a="1"/>
  <c r="O11" i="3" s="1"/>
  <c r="M11" i="3" a="1"/>
  <c r="M11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<sst xmlns="http://schemas.openxmlformats.org/spreadsheetml/2006/main" count="447" uniqueCount="352">
  <si>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</si>
  <si>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</si>
  <si>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</si>
  <si>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</si>
  <si>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</si>
  <si>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Grid Analytics</t>
  </si>
  <si>
    <t>Sequencing</t>
  </si>
  <si>
    <t>Streakλ</t>
  </si>
  <si>
    <t>Countdownλ</t>
  </si>
  <si>
    <t>Categorical Analysis</t>
  </si>
  <si>
    <t>ByDiagλ</t>
  </si>
  <si>
    <t>DiagMapλ</t>
  </si>
  <si>
    <t>DiagIndexλ</t>
  </si>
  <si>
    <t>Pairwiseλ</t>
  </si>
  <si>
    <t>GroupbyBinλ</t>
  </si>
  <si>
    <t>GroupbyDateλ</t>
  </si>
  <si>
    <t>PivotbyCatλ</t>
  </si>
  <si>
    <t>Neighborhoods</t>
  </si>
  <si>
    <t>Grainλ</t>
  </si>
  <si>
    <t>MooreAggλ</t>
  </si>
  <si>
    <t>MooreSelectλ</t>
  </si>
  <si>
    <t>Statistics</t>
  </si>
  <si>
    <t>Histogramλ</t>
  </si>
  <si>
    <t>Modeλ</t>
  </si>
  <si>
    <t>ZoneStatλ</t>
  </si>
  <si>
    <t>Grid Analytics is a collection of functions for elegant sequencing, categorical analysis, neighborhood‑based aggregation, and statistics.</t>
  </si>
  <si>
    <t>Computes streak counts of consecutive identical values in a 1D or 2D array.</t>
  </si>
  <si>
    <t>Generates countdown indices for contiguous runs in a 1D array.</t>
  </si>
  <si>
    <t>Applies an ETA function or Lambda to each diagonal of a 2D array.</t>
  </si>
  <si>
    <t>Extracts all diagonals from a 2D array and returns them as a 2D matrix.</t>
  </si>
  <si>
    <t>Extracts a single diagonal or anti‑diagonal vector from a 2D array.</t>
  </si>
  <si>
    <t>Creates vertical pairs from 1D and scalar inputs.</t>
  </si>
  <si>
    <t>Aggregates one or more value arrays into fixed‑width bins derived from a numeric field.</t>
  </si>
  <si>
    <t>Aggregates values by row fields containing dates, using a specified date/time interval (minute, hour, day, week, fortnight, month, quarter, year).</t>
  </si>
  <si>
    <t>Pivots data by row fields (detail + date), categories, and values.</t>
  </si>
  <si>
    <t>Downsamples a matrix by aggregating over non‑overlapping spatial blocks of size depth × width.</t>
  </si>
  <si>
    <t>Performs aggregation over Moore or von Neumann neighborhoods using an ETA‑compatible function (SUM, AVERAGE, MAX, MIN, MEDIAN, or a custom LAMBDA).</t>
  </si>
  <si>
    <t>Selects a specific neighbor (1-9) from the Moore neighborhood for each element in a matrix.</t>
  </si>
  <si>
    <t>Generates a histogram using automatic binning rules (Sturges, Rice, Scott, Freedman) depending on sample size and skewness.</t>
  </si>
  <si>
    <t>Returns a vertical array of the most frequently occurring values or text entries in an array.</t>
  </si>
  <si>
    <t>Aggregates values by "zones" determined by Histogramλ.</t>
  </si>
  <si>
    <t>Streakλ - Computes streak counts of consecutive identical values in a 1D or 2D array</t>
  </si>
  <si>
    <t>• input: array - 1D or 2D array</t>
  </si>
  <si>
    <t>Optional</t>
  </si>
  <si>
    <t>• Horizontal? - For 1D arrays, computes streaks column-wise instead of row-wise. Ignore for 2D arrays.</t>
  </si>
  <si>
    <t>• Include_Symbol - If TRUE, append the symbol to the streak count (e.g., W·1, W·2, L·1)</t>
  </si>
  <si>
    <t>W</t>
  </si>
  <si>
    <t>L</t>
  </si>
  <si>
    <t>Result</t>
  </si>
  <si>
    <t>=Streakλ(Result)</t>
  </si>
  <si>
    <t>Calculate Streak</t>
  </si>
  <si>
    <t>=Streakλ(Result,,TRUE)</t>
  </si>
  <si>
    <t>Calculate Streak (Include_Symbol = TRUE)</t>
  </si>
  <si>
    <t>ResultH</t>
  </si>
  <si>
    <t>=Streakλ(ResultH,TRUE)</t>
  </si>
  <si>
    <t>Calculate Streak (Horizontal? = TRUE)</t>
  </si>
  <si>
    <t>Calculate Streak (Horizontal? = TRUE, Include_Symbol? = TRUE)</t>
  </si>
  <si>
    <t>=Streakλ(ResultH,TRUE,TRUE)</t>
  </si>
  <si>
    <t>JP</t>
  </si>
  <si>
    <t>DH</t>
  </si>
  <si>
    <t>AB</t>
  </si>
  <si>
    <t>Schedule</t>
  </si>
  <si>
    <t>=Streakλ(Schedule,,TRUE)</t>
  </si>
  <si>
    <t>Calculate Streak on a 2D array (Recommended: Include_Symbol? = TRUE)</t>
  </si>
  <si>
    <t>For 2D arrays, Streakλ always computes streaks row‑wise.</t>
  </si>
  <si>
    <t>Countdownλ - Generates countdown indices for contiguous runs in a 1D array</t>
  </si>
  <si>
    <t>• input: vector - 1D array</t>
  </si>
  <si>
    <t>• Horizontal? - If omitted, output is vertical. If TRUE, output is returned horizontally.</t>
  </si>
  <si>
    <t>Outcome</t>
  </si>
  <si>
    <t>Win</t>
  </si>
  <si>
    <t>Draw</t>
  </si>
  <si>
    <t>Loss</t>
  </si>
  <si>
    <t>Countdownλ is the natural reverse of Streakλ.</t>
  </si>
  <si>
    <t>=Countdownλ(Outcome)</t>
  </si>
  <si>
    <t>Calculate Countdown</t>
  </si>
  <si>
    <t>OutcomeH</t>
  </si>
  <si>
    <t>=Countdownλ(OutcomeH,TRUE)</t>
  </si>
  <si>
    <t>Calculate Countdown (Horizontal? = TRUE)</t>
  </si>
  <si>
    <t>ByDiagλ - Applies an ETA function or Lambda to each diagonal of a 2D array</t>
  </si>
  <si>
    <t>• input: array - 2D input array (scalars not accepted)</t>
  </si>
  <si>
    <t>• function - ETA function or LAMBDA applied to each diagonal</t>
  </si>
  <si>
    <t>• row_wise_stack? - If TRUE, results are stacked vertically. Otherwise, diagonals are returned as columns.</t>
  </si>
  <si>
    <t>Grid</t>
  </si>
  <si>
    <t>=ByDiagλ(Grid,SUM)</t>
  </si>
  <si>
    <t>COUNT of diagonals</t>
  </si>
  <si>
    <t>SUM of diagonals</t>
  </si>
  <si>
    <t>=ByDiagλ(Grid,COUNT)</t>
  </si>
  <si>
    <t>=ByDiagλ(Grid,AVERAGE)</t>
  </si>
  <si>
    <t>AVERAGE of diagonals</t>
  </si>
  <si>
    <t>=ByDiagλ(Grid,LAMBDA(v,MAX(v)-MIN(v)))</t>
  </si>
  <si>
    <t>LAMBDA(v,MAX(v)-MIN(v))</t>
  </si>
  <si>
    <t>=ByDiagλ(Grid,SUM,TRUE)</t>
  </si>
  <si>
    <t>Sum of diagonals (row_wise_stack? = TRUE)</t>
  </si>
  <si>
    <t>=DiagMapλ(Grid)</t>
  </si>
  <si>
    <t>DiagMapλ is a convenience wrapper for returning diagonals</t>
  </si>
  <si>
    <t>DiagMapλ(Grid,TRUE)</t>
  </si>
  <si>
    <t>Return diagonals (row_wise_stack? = TRUE)</t>
  </si>
  <si>
    <t>DiagIndexλ - Extracts a single diagonal or anti‑diagonal vector from a 2D array</t>
  </si>
  <si>
    <t>• input: array - 2D array (scalars not accepted)</t>
  </si>
  <si>
    <t>• col_index - Starting column index. Negative values indicate anti-diagonal extraction.</t>
  </si>
  <si>
    <t>GridB</t>
  </si>
  <si>
    <t>=DiagIndexλ(GridB,4)</t>
  </si>
  <si>
    <t>Extract diagonal from column 4</t>
  </si>
  <si>
    <t>=DiagIndexλ(GridB,-4)</t>
  </si>
  <si>
    <t>Extract anti-diagonal from column 4</t>
  </si>
  <si>
    <t>=DiagIndexλ(GridB,1)</t>
  </si>
  <si>
    <t>Extract diagonal from column 1</t>
  </si>
  <si>
    <t>=DiagIndexλ(GridB,-1)</t>
  </si>
  <si>
    <t>Extract anti-diagonal from column 1</t>
  </si>
  <si>
    <t>Pairwiseλ - Creates vertical pairs from 1D and scalar inputs</t>
  </si>
  <si>
    <t>• vector_1 - 1D vector or scalar</t>
  </si>
  <si>
    <t>• vector_2 - 1D vector or scalar</t>
  </si>
  <si>
    <t>GroupA</t>
  </si>
  <si>
    <t>GroupB</t>
  </si>
  <si>
    <t>Crimson Falcons</t>
  </si>
  <si>
    <t>Silver Wolves</t>
  </si>
  <si>
    <t>Golden Tigers</t>
  </si>
  <si>
    <t>Shadow Panthers</t>
  </si>
  <si>
    <t>Iron Rhinos</t>
  </si>
  <si>
    <t>=Pairwiseλ(GroupA,GroupB)</t>
  </si>
  <si>
    <t>Pairwise matchups for GroupA and GroupB</t>
  </si>
  <si>
    <t>Team</t>
  </si>
  <si>
    <t>Deb</t>
  </si>
  <si>
    <t>Bob</t>
  </si>
  <si>
    <t>Jack</t>
  </si>
  <si>
    <t>Suzy</t>
  </si>
  <si>
    <t>=Pairwiseλ("Gail",Team)</t>
  </si>
  <si>
    <t>Pairwise 1-on-1 meetings - Gail with Team</t>
  </si>
  <si>
    <t>Gus</t>
  </si>
  <si>
    <t>Rusty</t>
  </si>
  <si>
    <t>Shirt</t>
  </si>
  <si>
    <t>Slacks</t>
  </si>
  <si>
    <t>Shorts</t>
  </si>
  <si>
    <t>Jacket</t>
  </si>
  <si>
    <t>Sizes</t>
  </si>
  <si>
    <t>Small</t>
  </si>
  <si>
    <t>Medium</t>
  </si>
  <si>
    <t>Large</t>
  </si>
  <si>
    <t>Item</t>
  </si>
  <si>
    <t>=Pairwiseλ(Item,Sizes)</t>
  </si>
  <si>
    <t>Pairwise Items and Sizes</t>
  </si>
  <si>
    <t>All possible Permutations with replacements</t>
  </si>
  <si>
    <t>GroupbyBinλ - Aggregates one or more value arrays into fixed‑width bins derived from a numeric field</t>
  </si>
  <si>
    <t>• values - Arrays to be aggregated (1D or 2D)</t>
  </si>
  <si>
    <t>• bin_width - Positive integer specifying bin width (≥ 1)</t>
  </si>
  <si>
    <t>• function - ETA-compatible function or single parameter LAMBDA</t>
  </si>
  <si>
    <t>• array - Numeric 1D array used to define bin boundaries</t>
  </si>
  <si>
    <t>Input</t>
  </si>
  <si>
    <t>• field_header - TRUE if input arrays include headers to be carried forward</t>
  </si>
  <si>
    <t>• chart_prep - TRUE to return concise chart-ready layout</t>
  </si>
  <si>
    <t>Age</t>
  </si>
  <si>
    <t>Height (inches)</t>
  </si>
  <si>
    <t>=GroupbyBinλ(Age,Height,10,AVERAGE)</t>
  </si>
  <si>
    <t>Group by Age, Average of Height (Bin_width = 10)</t>
  </si>
  <si>
    <t>=GroupbyBinλ(Age,Height,10,AVERAGE,,TRUE)</t>
  </si>
  <si>
    <t>=GroupbyBinλ(Age_,Height_,10,AVERAGE,TRUE)</t>
  </si>
  <si>
    <t>Include Headers</t>
  </si>
  <si>
    <t>Group by Age, Max of Height (Bin_width = 20)</t>
  </si>
  <si>
    <t>chart_prep = TRUE</t>
  </si>
  <si>
    <t>=GroupbyBinλ(Age,Height,20,MAX)</t>
  </si>
  <si>
    <t>=GroupbyBinλ(Age,Height,20,MIN)</t>
  </si>
  <si>
    <t>Group by Age, MIN of Height (Bin_width = 20)</t>
  </si>
  <si>
    <t>• row fields - Array (1D or 2D) with dates in the leftmost column</t>
  </si>
  <si>
    <t>• values - Array (1D or 2D) containing values for aggregation</t>
  </si>
  <si>
    <t>• interval - Date/time aggregation (number or text)</t>
  </si>
  <si>
    <t>Inputs</t>
  </si>
  <si>
    <t>• format - Custom date/time format string</t>
  </si>
  <si>
    <t>• field_headers - TRUE if input arrays include headers</t>
  </si>
  <si>
    <t>• filter_array - Boolean array to filter rows before aggregation</t>
  </si>
  <si>
    <t>Date</t>
  </si>
  <si>
    <t>Amount</t>
  </si>
  <si>
    <t>=GroupbyDateλ(Date,Amount,"month",SUM)</t>
  </si>
  <si>
    <t>Group Date by Month, SUM of Amount</t>
  </si>
  <si>
    <t>Numeric</t>
  </si>
  <si>
    <t>Text</t>
  </si>
  <si>
    <t>Totals</t>
  </si>
  <si>
    <t>minute</t>
  </si>
  <si>
    <t>hour</t>
  </si>
  <si>
    <t>day</t>
  </si>
  <si>
    <t>weekly</t>
  </si>
  <si>
    <t>biweekly</t>
  </si>
  <si>
    <t>monthly</t>
  </si>
  <si>
    <t>quarter</t>
  </si>
  <si>
    <t>yearly</t>
  </si>
  <si>
    <t>"mo"</t>
  </si>
  <si>
    <t>"min"</t>
  </si>
  <si>
    <t>"h"</t>
  </si>
  <si>
    <t>"d"</t>
  </si>
  <si>
    <t>"w"</t>
  </si>
  <si>
    <t>"q"</t>
  </si>
  <si>
    <t>"y"</t>
  </si>
  <si>
    <t>"fort"</t>
  </si>
  <si>
    <t>GroupbyDateλ - Aggregates values by row fields containing dates, using a specified date/time interval</t>
  </si>
  <si>
    <t>Interval Codes</t>
  </si>
  <si>
    <t>=GroupbyDateλ(Date,Amount,6,SUM)</t>
  </si>
  <si>
    <t>6 = monthly totals</t>
  </si>
  <si>
    <t>Time</t>
  </si>
  <si>
    <t>Reading</t>
  </si>
  <si>
    <t>=GroupbyDateλ(Time,Reading,1,AVERAGE,,TRUE)</t>
  </si>
  <si>
    <t>Group Time by Minute, AVERAGE of Reading (field_headers = TRUE)</t>
  </si>
  <si>
    <t>=GroupbyDateλ(Time,Reading,1,MIN,,TRUE)</t>
  </si>
  <si>
    <t>MIN</t>
  </si>
  <si>
    <t>=GroupbyDateλ(Date,Amount,6,SUM,"m/y")</t>
  </si>
  <si>
    <t>Format = "m/y"</t>
  </si>
  <si>
    <t>Department</t>
  </si>
  <si>
    <t>Entered Date</t>
  </si>
  <si>
    <t>Bonus</t>
  </si>
  <si>
    <t>Sales</t>
  </si>
  <si>
    <t>Legal</t>
  </si>
  <si>
    <t>Unknown</t>
  </si>
  <si>
    <t>=GroupbyDateλ(EnteredDate,Bonus,"y",MAX,,,Department&lt;&gt;"Unknown")</t>
  </si>
  <si>
    <t>Group Entered Date by Year, MAX of Bonus (filter_array excludes "Unknown")</t>
  </si>
  <si>
    <t>PivotbyCatλ - Pivots data by row fields (detail + date), categories, and values</t>
  </si>
  <si>
    <t>Categories are assumed to be pre‑concatenated using a delimiter.</t>
  </si>
  <si>
    <t>• row_detail - 1D array of non-date fields</t>
  </si>
  <si>
    <t>• row_dates - 1D array of dates</t>
  </si>
  <si>
    <t>• categories - 1D array of delimited category strings</t>
  </si>
  <si>
    <t>• values - 1D array of numeric values</t>
  </si>
  <si>
    <t>• delimiter - Delimiter used in the categories array</t>
  </si>
  <si>
    <t>• date_format - Format code for dates (default = "yyy")</t>
  </si>
  <si>
    <t>• function - ETA or LAMBDA aggregation function (default = SUM)</t>
  </si>
  <si>
    <t>Peg</t>
  </si>
  <si>
    <t>Sue</t>
  </si>
  <si>
    <t>Walt</t>
  </si>
  <si>
    <t>Willy</t>
  </si>
  <si>
    <t>Lucy</t>
  </si>
  <si>
    <t>Henry</t>
  </si>
  <si>
    <t>Liz</t>
  </si>
  <si>
    <t>Worker</t>
  </si>
  <si>
    <t>Hours</t>
  </si>
  <si>
    <t>Processed</t>
  </si>
  <si>
    <t>Sites</t>
  </si>
  <si>
    <t>C</t>
  </si>
  <si>
    <t>Values are divided evenly across repeated category rows.</t>
  </si>
  <si>
    <t>=PivotbyCatλ(Worker,Processed,Sites,Hours,", ","mmm y",COUNT)</t>
  </si>
  <si>
    <t>A, B, B</t>
  </si>
  <si>
    <t>B, C, C</t>
  </si>
  <si>
    <t>B, C, D, D</t>
  </si>
  <si>
    <t>D, B, A, B</t>
  </si>
  <si>
    <t>A, B, C, A</t>
  </si>
  <si>
    <t>A, B, C, B</t>
  </si>
  <si>
    <t>A, B, B, A</t>
  </si>
  <si>
    <t>COUNT (Sites are tallied)</t>
  </si>
  <si>
    <t>A, B, A, C, D</t>
  </si>
  <si>
    <t>Categories must be pre‑concatenated using the specified delimiter.</t>
  </si>
  <si>
    <t>Grainλ - Downsamples a matrix by aggregating over non‑overlapping spatial blocks of size depth × width</t>
  </si>
  <si>
    <t>• input: matrix - 2D array</t>
  </si>
  <si>
    <t>• depth: number of rows in each block</t>
  </si>
  <si>
    <t>• width: number of columns in each block</t>
  </si>
  <si>
    <t>MatrixDemo</t>
  </si>
  <si>
    <t>=Grainλ(MatrixDemo,2,4,SUM)</t>
  </si>
  <si>
    <t>=Grainλ(MatrixDemo,2,4,MAX)</t>
  </si>
  <si>
    <t>2 x 4 blocks (SUM)</t>
  </si>
  <si>
    <t>2 x 4 blocks (MAX)</t>
  </si>
  <si>
    <t>ElevationGrid</t>
  </si>
  <si>
    <t>=Grainλ(ElevationGrid,5,3,AVERAGE)</t>
  </si>
  <si>
    <t>5 x 3 blocks (AVERAGE)</t>
  </si>
  <si>
    <t>=Grainλ(ElevationGrid,5,3,COUNT)</t>
  </si>
  <si>
    <t>5 x 3 blocks (COUNT)</t>
  </si>
  <si>
    <t>Partial blocks on bottom and right edges</t>
  </si>
  <si>
    <t>=Grainλ(ElevationGrid,5,3,LAMBDA(v,AVERAGE(v)&gt;AVERAGE(ElevationGrid)))</t>
  </si>
  <si>
    <t>5 x 3 blocks (Compare block AVERAGE vs. ElevationGrid AVERAGE)</t>
  </si>
  <si>
    <t>• function: ETA or LAMBDA aggregation function</t>
  </si>
  <si>
    <t>• IsvonNeumann? - If TRUE, use von Neumann neighborhood</t>
  </si>
  <si>
    <t>• omit_center - If TRUE, exclude center cell from aggregation</t>
  </si>
  <si>
    <t>Moore</t>
  </si>
  <si>
    <t>von Neumann</t>
  </si>
  <si>
    <t>Input Grid</t>
  </si>
  <si>
    <t>MooreAggλ - Performs aggregation over Moore or von Neumann neighborhoods using an ETA‑compatible function</t>
  </si>
  <si>
    <t xml:space="preserve"> (SUM, AVERAGE, MAX, MIN, MEDIAN, or a custom LAMBDA)</t>
  </si>
  <si>
    <t>=MooreAggλ(C14#,COUNT)</t>
  </si>
  <si>
    <t>C14#</t>
  </si>
  <si>
    <t>=MooreAggλ(C14#,SUM)</t>
  </si>
  <si>
    <t>=MooreAggλ(C14#,SUM,TRUE)</t>
  </si>
  <si>
    <t>SUM</t>
  </si>
  <si>
    <t>COUNT</t>
  </si>
  <si>
    <t>SUM (IsvonNeumann? = TRUE)</t>
  </si>
  <si>
    <t>=MooreAggλ(C14#,COUNT,TRUE)</t>
  </si>
  <si>
    <t>COUNT (IsvonNeumann? = TRUE)</t>
  </si>
  <si>
    <t>SUM (omit_center = TRUE)</t>
  </si>
  <si>
    <t>=MooreAggλ(C14#,SUM,,TRUE)</t>
  </si>
  <si>
    <t>Board</t>
  </si>
  <si>
    <t>=MooreAggλ(Board,SUM,,TRUE)</t>
  </si>
  <si>
    <t>Each cell in input grid is the</t>
  </si>
  <si>
    <t>center of the neighborhood</t>
  </si>
  <si>
    <t>during aggregation.</t>
  </si>
  <si>
    <t>MooreSelectλ - Selects a specific neighbor (1-9) from the Moore neighborhood for each element in a matrix</t>
  </si>
  <si>
    <t>• neighbor - Integer 1-9 indicating which neighbor to return</t>
  </si>
  <si>
    <t>Neighborhood</t>
  </si>
  <si>
    <t>=MooreSelectλ(Neighborhood,1)</t>
  </si>
  <si>
    <t>=MooreSelectλ(Neighborhood,2)</t>
  </si>
  <si>
    <t>=MooreSelectλ(Neighborhood,3)</t>
  </si>
  <si>
    <t>=MooreSelectλ(Neighborhood,4)</t>
  </si>
  <si>
    <t>=MooreSelectλ(Neighborhood,6)</t>
  </si>
  <si>
    <t>=MooreSelectλ(Neighborhood,7)</t>
  </si>
  <si>
    <t>=MooreSelectλ(Neighborhood,8)</t>
  </si>
  <si>
    <t>=MooreSelectλ(Neighborhood,9)</t>
  </si>
  <si>
    <t>Northeast</t>
  </si>
  <si>
    <t>North</t>
  </si>
  <si>
    <t>Northwest</t>
  </si>
  <si>
    <t>West</t>
  </si>
  <si>
    <t>East</t>
  </si>
  <si>
    <t>Southwest</t>
  </si>
  <si>
    <t>South</t>
  </si>
  <si>
    <t>Southeast</t>
  </si>
  <si>
    <t>Neighbor 5 returns the input array</t>
  </si>
  <si>
    <t>Moore Neighborhood</t>
  </si>
  <si>
    <t>Histogramλ - Generates a histogram using automatic binning rules (Sturges, Rice, Scott, Freedman) depending on sample size and skewness</t>
  </si>
  <si>
    <t>• input: array - Numeric array (1D or 2D)</t>
  </si>
  <si>
    <t>• bin_width - fixed bin width (0 &lt; width ≤ 1000)</t>
  </si>
  <si>
    <t>• include_Pareto - If TRUE, include cumulative % column</t>
  </si>
  <si>
    <t>WillowTrees (Height in Feet)</t>
  </si>
  <si>
    <t>=Histogramλ(WillowTrees)</t>
  </si>
  <si>
    <t>Auto-bin</t>
  </si>
  <si>
    <t>=Histogramλ(WillowTrees,10)</t>
  </si>
  <si>
    <t>bin_width = 10</t>
  </si>
  <si>
    <t>=Histogramλ(WillowTrees,,TRUE)</t>
  </si>
  <si>
    <t>Auto-bin (include_Pareto = TRUE)</t>
  </si>
  <si>
    <t>=Histogramλ(Snowfall)</t>
  </si>
  <si>
    <t>Snowfall (Inches)</t>
  </si>
  <si>
    <t>=Histogramλ(Snowfall,,TRUE)</t>
  </si>
  <si>
    <t>Modeλ - Returns a vertical array of the most frequently occurring values or text entries in an array</t>
  </si>
  <si>
    <t>• include_totals - If TRUE, includes counts of frequent values</t>
  </si>
  <si>
    <t>MixedData</t>
  </si>
  <si>
    <t>Waldo</t>
  </si>
  <si>
    <t>=Modeλ(MixedData)</t>
  </si>
  <si>
    <t>Mode of MixedData</t>
  </si>
  <si>
    <t>=Modeλ(MixedData,TRUE)</t>
  </si>
  <si>
    <t>With include_totals = TRUE</t>
  </si>
  <si>
    <t>Good</t>
  </si>
  <si>
    <t>Average</t>
  </si>
  <si>
    <t>Rating</t>
  </si>
  <si>
    <t>Excellent</t>
  </si>
  <si>
    <t>Poor</t>
  </si>
  <si>
    <t>=Modeλ(Rating)</t>
  </si>
  <si>
    <t>Mode of Rating</t>
  </si>
  <si>
    <t>=Modeλ(Rating,TRUE)</t>
  </si>
  <si>
    <t>ZoneStatλ - Aggregates values by "zones" determined by Histogramλ</t>
  </si>
  <si>
    <t>• input: grid - Numeric array (1D or 2D)</t>
  </si>
  <si>
    <t>• function - ETA or LAMBDA aggregation function (Default = SUM)</t>
  </si>
  <si>
    <t>ZoneGrid</t>
  </si>
  <si>
    <t>=ZoneStatλ(ZoneGrid)</t>
  </si>
  <si>
    <t>=ZoneStatλ(ZoneGrid,COUNT)</t>
  </si>
  <si>
    <t>=ZoneStatλ(ZoneGrid,MAX)</t>
  </si>
  <si>
    <t>=ZoneStatλ(ZoneGrid,MIN)</t>
  </si>
  <si>
    <t>MAX</t>
  </si>
  <si>
    <t>=ZoneStatλ(ZoneGrid,LAMBDA(v,MAX(v)-MIN(v)))</t>
  </si>
  <si>
    <t>RANGE - LAMBDA(v,MAX(v)-MIN(v))</t>
  </si>
  <si>
    <t>J19#</t>
  </si>
  <si>
    <t>=Pairwiseλ(J19#,J19#)</t>
  </si>
  <si>
    <t>Zone aggregation indicated by colors.</t>
  </si>
  <si>
    <t>=PivotbyCatλ(Worker,Processed,Sites,Hours,", ","mmm y",SUM)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</si>
</sst>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F400]h:mm:ss\ AM/PM"/>
    <numFmt numFmtId="165" formatCode=".000"/>
    <numFmt numFmtId="166" formatCode="0.0"/>
  </numFmts>
  <fonts count="15" x14ac:knownFonts="1">
    <font>
      <sz val="11"/>
      <color theme="1"/>
      <name val="Segoe UI Variable Display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sz val="11"/>
      <color theme="1"/>
      <name val="Segoe UI Variable Display"/>
      <family val="2"/>
    </font>
    <font>
      <b/>
      <sz val="11"/>
      <color indexed="8"/>
      <name val="Segoe UI Variable Display"/>
    </font>
    <font>
      <i/>
      <sz val="11"/>
      <color theme="1"/>
      <name val="Segoe UI Variable Display"/>
    </font>
    <font>
      <sz val="10"/>
      <color theme="1"/>
      <name val="Segoe UI Variable Display"/>
      <family val="2"/>
    </font>
    <font>
      <i/>
      <sz val="10"/>
      <color theme="1"/>
      <name val="Segoe UI Variable Display"/>
    </font>
    <font>
      <sz val="11"/>
      <color theme="1"/>
      <name val="Bahnschrift"/>
      <family val="2"/>
    </font>
    <font>
      <b/>
      <sz val="10"/>
      <color theme="1"/>
      <name val="Segoe UI Variable Display"/>
    </font>
    <font>
      <sz val="10"/>
      <color theme="1"/>
      <name val="Segoe UI Variable Display"/>
    </font>
    <font>
      <b/>
      <sz val="10"/>
      <color theme="1"/>
      <name val="Bahnschrift"/>
      <family val="2"/>
    </font>
    <font>
      <b/>
      <i/>
      <sz val="10"/>
      <color theme="1"/>
      <name val="Segoe UI Variable Display"/>
    </font>
    <font>
      <i/>
      <sz val="10"/>
      <color indexed="8"/>
      <name val="Segoe UI Variable Display"/>
    </font>
    <font>
      <sz val="10"/>
      <color theme="1"/>
      <name val="Bahnschrift"/>
      <family val="2"/>
    </font>
  </fonts>
  <fills count="33">
    <fill>
      <patternFill patternType="none"/>
    </fill>
    <fill>
      <patternFill patternType="gray125"/>
    </fill>
    <fill>
      <patternFill patternType="solid">
        <fgColor rgb="FFC7D4E5"/>
        <bgColor indexed="64"/>
      </patternFill>
    </fill>
    <fill>
      <patternFill patternType="solid">
        <fgColor rgb="FFB8DAD2"/>
        <bgColor indexed="64"/>
      </patternFill>
    </fill>
    <fill>
      <patternFill patternType="solid">
        <fgColor rgb="FFF4D9A6"/>
        <bgColor indexed="64"/>
      </patternFill>
    </fill>
    <fill>
      <patternFill patternType="solid">
        <fgColor rgb="FFD7CDE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9BFB9"/>
        <bgColor indexed="64"/>
      </patternFill>
    </fill>
    <fill>
      <patternFill patternType="solid">
        <fgColor rgb="FFEFC3EB"/>
        <bgColor indexed="64"/>
      </patternFill>
    </fill>
    <fill>
      <patternFill patternType="solid">
        <fgColor rgb="FFF1A983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7BDF87"/>
        <bgColor indexed="64"/>
      </patternFill>
    </fill>
    <fill>
      <patternFill patternType="solid">
        <fgColor rgb="FFFEB8B4"/>
        <bgColor indexed="64"/>
      </patternFill>
    </fill>
    <fill>
      <patternFill patternType="solid">
        <fgColor rgb="FFA9C8E8"/>
        <bgColor indexed="64"/>
      </patternFill>
    </fill>
    <fill>
      <patternFill patternType="solid">
        <fgColor rgb="FF8CC5C1"/>
        <bgColor indexed="64"/>
      </patternFill>
    </fill>
    <fill>
      <patternFill patternType="solid">
        <fgColor rgb="FFA7DED3"/>
        <bgColor indexed="64"/>
      </patternFill>
    </fill>
    <fill>
      <patternFill patternType="solid">
        <fgColor rgb="FFB7D9B1"/>
        <bgColor indexed="64"/>
      </patternFill>
    </fill>
    <fill>
      <patternFill patternType="solid">
        <fgColor rgb="FFD2D8A3"/>
        <bgColor indexed="64"/>
      </patternFill>
    </fill>
    <fill>
      <patternFill patternType="solid">
        <fgColor rgb="FFE8D7A1"/>
        <bgColor indexed="64"/>
      </patternFill>
    </fill>
    <fill>
      <patternFill patternType="solid">
        <fgColor rgb="FFE6C9A8"/>
        <bgColor indexed="64"/>
      </patternFill>
    </fill>
    <fill>
      <patternFill patternType="solid">
        <fgColor rgb="FFE8B7A9"/>
        <bgColor indexed="64"/>
      </patternFill>
    </fill>
    <fill>
      <patternFill patternType="solid">
        <fgColor rgb="FFD9A8B8"/>
        <bgColor indexed="64"/>
      </patternFill>
    </fill>
    <fill>
      <patternFill patternType="solid">
        <fgColor rgb="FFC7B7D9"/>
        <bgColor indexed="64"/>
      </patternFill>
    </fill>
    <fill>
      <patternFill patternType="solid">
        <fgColor rgb="FFB8C2E6"/>
        <bgColor indexed="64"/>
      </patternFill>
    </fill>
    <fill>
      <patternFill patternType="solid">
        <fgColor rgb="FFC4CCD4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8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/>
      <bottom style="thick">
        <color rgb="FFC0C0C0"/>
      </bottom>
      <diagonal/>
    </border>
    <border>
      <left/>
      <right/>
      <top/>
      <bottom style="thick">
        <color rgb="FFC0C0C0"/>
      </bottom>
      <diagonal/>
    </border>
    <border>
      <left/>
      <right style="thin">
        <color rgb="FFC0C0C0"/>
      </right>
      <top/>
      <bottom style="thick">
        <color rgb="FFC0C0C0"/>
      </bottom>
      <diagonal/>
    </border>
    <border>
      <left style="thick">
        <color rgb="FFC0C0C0"/>
      </left>
      <right style="thick">
        <color rgb="FFC0C0C0"/>
      </right>
      <top style="thick">
        <color rgb="FFC0C0C0"/>
      </top>
      <bottom style="thick">
        <color rgb="FFC0C0C0"/>
      </bottom>
      <diagonal/>
    </border>
    <border>
      <left style="thin">
        <color theme="3" tint="0.499984740745262"/>
      </left>
      <right style="thin">
        <color theme="3" tint="0.499984740745262"/>
      </right>
      <top style="thin">
        <color theme="3" tint="0.499984740745262"/>
      </top>
      <bottom style="thin">
        <color theme="3" tint="0.499984740745262"/>
      </bottom>
      <diagonal/>
    </border>
    <border>
      <left style="thin">
        <color theme="5" tint="0.39991454817346722"/>
      </left>
      <right style="thin">
        <color theme="5" tint="0.39991454817346722"/>
      </right>
      <top style="thin">
        <color theme="5" tint="0.39991454817346722"/>
      </top>
      <bottom style="thin">
        <color theme="5" tint="0.39991454817346722"/>
      </bottom>
      <diagonal/>
    </border>
    <border>
      <left style="thin">
        <color theme="6" tint="0.59996337778862885"/>
      </left>
      <right style="thin">
        <color theme="6" tint="0.59996337778862885"/>
      </right>
      <top style="thin">
        <color theme="6" tint="0.59996337778862885"/>
      </top>
      <bottom style="thin">
        <color theme="6" tint="0.59996337778862885"/>
      </bottom>
      <diagonal/>
    </border>
    <border>
      <left style="thick">
        <color rgb="FFC0C0C0"/>
      </left>
      <right style="thin">
        <color rgb="FFC0C0C0"/>
      </right>
      <top style="thick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ck">
        <color rgb="FFC0C0C0"/>
      </top>
      <bottom style="thin">
        <color rgb="FFC0C0C0"/>
      </bottom>
      <diagonal/>
    </border>
    <border>
      <left style="thin">
        <color rgb="FFC0C0C0"/>
      </left>
      <right style="thick">
        <color rgb="FFC0C0C0"/>
      </right>
      <top style="thick">
        <color rgb="FFC0C0C0"/>
      </top>
      <bottom style="thin">
        <color rgb="FFC0C0C0"/>
      </bottom>
      <diagonal/>
    </border>
    <border>
      <left style="thick">
        <color rgb="FFC0C0C0"/>
      </left>
      <right style="thin">
        <color rgb="FFC0C0C0"/>
      </right>
      <top style="thin">
        <color rgb="FFC0C0C0"/>
      </top>
      <bottom style="thick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ck">
        <color rgb="FFC0C0C0"/>
      </bottom>
      <diagonal/>
    </border>
    <border>
      <left style="thin">
        <color rgb="FFC0C0C0"/>
      </left>
      <right style="thick">
        <color rgb="FFC0C0C0"/>
      </right>
      <top style="thin">
        <color rgb="FFC0C0C0"/>
      </top>
      <bottom style="thick">
        <color rgb="FFC0C0C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9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0" fontId="1" fillId="0" borderId="0" xfId="0" applyFont="1" applyAlignment="1">
      <alignment horizontal="center"/>
    </xf>
    <xf numFmtId="0" fontId="8" fillId="0" borderId="0" xfId="0" applyFont="1"/>
    <xf numFmtId="0" fontId="8" fillId="0" borderId="1" xfId="0" applyFont="1" applyBorder="1" applyAlignment="1">
      <alignment horizontal="center"/>
    </xf>
    <xf numFmtId="0" fontId="2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5" fillId="0" borderId="6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3" xfId="0" applyBorder="1"/>
    <xf numFmtId="0" fontId="9" fillId="0" borderId="0" xfId="0" applyFont="1"/>
    <xf numFmtId="0" fontId="7" fillId="0" borderId="0" xfId="0" applyFont="1"/>
    <xf numFmtId="0" fontId="6" fillId="0" borderId="0" xfId="0" quotePrefix="1" applyFont="1"/>
    <xf numFmtId="0" fontId="8" fillId="0" borderId="0" xfId="0" applyFont="1" applyAlignment="1">
      <alignment horizontal="center"/>
    </xf>
    <xf numFmtId="0" fontId="5" fillId="0" borderId="0" xfId="0" applyFont="1"/>
    <xf numFmtId="0" fontId="0" fillId="0" borderId="12" xfId="0" applyBorder="1"/>
    <xf numFmtId="0" fontId="0" fillId="0" borderId="0" xfId="0" quotePrefix="1"/>
    <xf numFmtId="0" fontId="6" fillId="0" borderId="0" xfId="0" applyFont="1"/>
    <xf numFmtId="0" fontId="7" fillId="0" borderId="4" xfId="0" applyFont="1" applyBorder="1"/>
    <xf numFmtId="0" fontId="9" fillId="0" borderId="4" xfId="0" applyFont="1" applyBorder="1"/>
    <xf numFmtId="0" fontId="4" fillId="0" borderId="3" xfId="0" applyFont="1" applyBorder="1"/>
    <xf numFmtId="0" fontId="7" fillId="0" borderId="8" xfId="0" applyFont="1" applyBorder="1"/>
    <xf numFmtId="0" fontId="8" fillId="0" borderId="1" xfId="0" applyFont="1" applyBorder="1"/>
    <xf numFmtId="0" fontId="8" fillId="6" borderId="1" xfId="0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0" fontId="8" fillId="9" borderId="1" xfId="0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8" fillId="10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8" fillId="0" borderId="3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6" fillId="0" borderId="9" xfId="0" quotePrefix="1" applyFont="1" applyBorder="1"/>
    <xf numFmtId="0" fontId="8" fillId="0" borderId="18" xfId="0" applyFont="1" applyBorder="1" applyAlignment="1">
      <alignment horizontal="center"/>
    </xf>
    <xf numFmtId="0" fontId="8" fillId="0" borderId="19" xfId="0" applyFont="1" applyBorder="1" applyAlignment="1">
      <alignment horizontal="center"/>
    </xf>
    <xf numFmtId="0" fontId="8" fillId="0" borderId="20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18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0" borderId="4" xfId="0" applyFont="1" applyBorder="1"/>
    <xf numFmtId="0" fontId="11" fillId="0" borderId="0" xfId="0" applyFont="1"/>
    <xf numFmtId="0" fontId="8" fillId="0" borderId="9" xfId="0" applyFont="1" applyBorder="1"/>
    <xf numFmtId="0" fontId="7" fillId="0" borderId="6" xfId="0" applyFont="1" applyBorder="1" applyAlignment="1">
      <alignment horizontal="right"/>
    </xf>
    <xf numFmtId="0" fontId="8" fillId="0" borderId="11" xfId="0" applyFont="1" applyBorder="1"/>
    <xf numFmtId="0" fontId="8" fillId="0" borderId="13" xfId="0" applyFont="1" applyBorder="1"/>
    <xf numFmtId="0" fontId="7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12" fillId="0" borderId="0" xfId="0" applyFont="1"/>
    <xf numFmtId="14" fontId="8" fillId="0" borderId="1" xfId="0" applyNumberFormat="1" applyFont="1" applyBorder="1"/>
    <xf numFmtId="164" fontId="8" fillId="0" borderId="1" xfId="0" applyNumberFormat="1" applyFont="1" applyBorder="1"/>
    <xf numFmtId="165" fontId="8" fillId="0" borderId="1" xfId="0" applyNumberFormat="1" applyFont="1" applyBorder="1"/>
    <xf numFmtId="19" fontId="8" fillId="0" borderId="1" xfId="0" applyNumberFormat="1" applyFont="1" applyBorder="1"/>
    <xf numFmtId="0" fontId="0" fillId="0" borderId="4" xfId="0" applyBorder="1" applyAlignment="1">
      <alignment horizontal="center"/>
    </xf>
    <xf numFmtId="14" fontId="8" fillId="0" borderId="9" xfId="0" applyNumberFormat="1" applyFont="1" applyBorder="1"/>
    <xf numFmtId="14" fontId="8" fillId="0" borderId="4" xfId="0" applyNumberFormat="1" applyFont="1" applyBorder="1"/>
    <xf numFmtId="0" fontId="8" fillId="0" borderId="6" xfId="0" applyFont="1" applyBorder="1"/>
    <xf numFmtId="0" fontId="9" fillId="0" borderId="0" xfId="0" quotePrefix="1" applyFont="1"/>
    <xf numFmtId="0" fontId="8" fillId="14" borderId="1" xfId="0" applyFont="1" applyFill="1" applyBorder="1" applyAlignment="1">
      <alignment horizontal="center"/>
    </xf>
    <xf numFmtId="0" fontId="8" fillId="15" borderId="1" xfId="0" applyFont="1" applyFill="1" applyBorder="1" applyAlignment="1">
      <alignment horizontal="center"/>
    </xf>
    <xf numFmtId="0" fontId="8" fillId="4" borderId="22" xfId="0" applyFont="1" applyFill="1" applyBorder="1" applyAlignment="1">
      <alignment horizontal="center" vertical="center"/>
    </xf>
    <xf numFmtId="0" fontId="8" fillId="4" borderId="23" xfId="0" applyFont="1" applyFill="1" applyBorder="1" applyAlignment="1">
      <alignment horizontal="center" vertical="center"/>
    </xf>
    <xf numFmtId="0" fontId="8" fillId="4" borderId="24" xfId="0" applyFont="1" applyFill="1" applyBorder="1" applyAlignment="1">
      <alignment horizontal="center" vertical="center"/>
    </xf>
    <xf numFmtId="0" fontId="8" fillId="17" borderId="22" xfId="0" applyFont="1" applyFill="1" applyBorder="1" applyAlignment="1">
      <alignment horizontal="center" vertical="center"/>
    </xf>
    <xf numFmtId="0" fontId="8" fillId="17" borderId="23" xfId="0" applyFont="1" applyFill="1" applyBorder="1" applyAlignment="1">
      <alignment horizontal="center" vertical="center"/>
    </xf>
    <xf numFmtId="0" fontId="8" fillId="17" borderId="24" xfId="0" applyFont="1" applyFill="1" applyBorder="1" applyAlignment="1">
      <alignment horizontal="center" vertical="center"/>
    </xf>
    <xf numFmtId="0" fontId="8" fillId="4" borderId="25" xfId="0" applyFont="1" applyFill="1" applyBorder="1" applyAlignment="1">
      <alignment horizontal="center" vertical="center"/>
    </xf>
    <xf numFmtId="0" fontId="8" fillId="4" borderId="26" xfId="0" applyFont="1" applyFill="1" applyBorder="1" applyAlignment="1">
      <alignment horizontal="center" vertical="center"/>
    </xf>
    <xf numFmtId="0" fontId="8" fillId="4" borderId="27" xfId="0" applyFont="1" applyFill="1" applyBorder="1" applyAlignment="1">
      <alignment horizontal="center" vertical="center"/>
    </xf>
    <xf numFmtId="0" fontId="8" fillId="17" borderId="25" xfId="0" applyFont="1" applyFill="1" applyBorder="1" applyAlignment="1">
      <alignment horizontal="center" vertical="center"/>
    </xf>
    <xf numFmtId="0" fontId="8" fillId="17" borderId="26" xfId="0" applyFont="1" applyFill="1" applyBorder="1" applyAlignment="1">
      <alignment horizontal="center" vertical="center"/>
    </xf>
    <xf numFmtId="0" fontId="8" fillId="17" borderId="27" xfId="0" applyFont="1" applyFill="1" applyBorder="1" applyAlignment="1">
      <alignment horizontal="center" vertical="center"/>
    </xf>
    <xf numFmtId="0" fontId="8" fillId="14" borderId="22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0" fontId="8" fillId="14" borderId="27" xfId="0" applyFont="1" applyFill="1" applyBorder="1" applyAlignment="1">
      <alignment horizontal="center" vertical="center"/>
    </xf>
    <xf numFmtId="0" fontId="8" fillId="5" borderId="25" xfId="0" applyFont="1" applyFill="1" applyBorder="1" applyAlignment="1">
      <alignment horizontal="center" vertical="center"/>
    </xf>
    <xf numFmtId="0" fontId="8" fillId="5" borderId="26" xfId="0" applyFont="1" applyFill="1" applyBorder="1" applyAlignment="1">
      <alignment horizontal="center" vertical="center"/>
    </xf>
    <xf numFmtId="0" fontId="8" fillId="5" borderId="27" xfId="0" applyFont="1" applyFill="1" applyBorder="1" applyAlignment="1">
      <alignment horizontal="center" vertical="center"/>
    </xf>
    <xf numFmtId="0" fontId="8" fillId="6" borderId="22" xfId="0" applyFont="1" applyFill="1" applyBorder="1" applyAlignment="1">
      <alignment horizontal="center" vertical="center"/>
    </xf>
    <xf numFmtId="0" fontId="8" fillId="6" borderId="23" xfId="0" applyFont="1" applyFill="1" applyBorder="1" applyAlignment="1">
      <alignment horizontal="center" vertical="center"/>
    </xf>
    <xf numFmtId="0" fontId="8" fillId="6" borderId="24" xfId="0" applyFont="1" applyFill="1" applyBorder="1" applyAlignment="1">
      <alignment horizontal="center" vertical="center"/>
    </xf>
    <xf numFmtId="0" fontId="8" fillId="16" borderId="22" xfId="0" applyFont="1" applyFill="1" applyBorder="1" applyAlignment="1">
      <alignment horizontal="center" vertical="center"/>
    </xf>
    <xf numFmtId="0" fontId="8" fillId="16" borderId="23" xfId="0" applyFont="1" applyFill="1" applyBorder="1" applyAlignment="1">
      <alignment horizontal="center" vertical="center"/>
    </xf>
    <xf numFmtId="0" fontId="8" fillId="16" borderId="24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  <xf numFmtId="0" fontId="8" fillId="6" borderId="27" xfId="0" applyFont="1" applyFill="1" applyBorder="1" applyAlignment="1">
      <alignment horizontal="center" vertical="center"/>
    </xf>
    <xf numFmtId="0" fontId="8" fillId="16" borderId="25" xfId="0" applyFont="1" applyFill="1" applyBorder="1" applyAlignment="1">
      <alignment horizontal="center" vertical="center"/>
    </xf>
    <xf numFmtId="0" fontId="8" fillId="16" borderId="26" xfId="0" applyFont="1" applyFill="1" applyBorder="1" applyAlignment="1">
      <alignment horizontal="center" vertical="center"/>
    </xf>
    <xf numFmtId="0" fontId="8" fillId="16" borderId="27" xfId="0" applyFont="1" applyFill="1" applyBorder="1" applyAlignment="1">
      <alignment horizontal="center" vertical="center"/>
    </xf>
    <xf numFmtId="0" fontId="8" fillId="15" borderId="22" xfId="0" applyFont="1" applyFill="1" applyBorder="1" applyAlignment="1">
      <alignment horizontal="center" vertical="center"/>
    </xf>
    <xf numFmtId="0" fontId="8" fillId="15" borderId="23" xfId="0" applyFont="1" applyFill="1" applyBorder="1" applyAlignment="1">
      <alignment horizontal="center" vertical="center"/>
    </xf>
    <xf numFmtId="0" fontId="8" fillId="15" borderId="24" xfId="0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15" borderId="25" xfId="0" applyFont="1" applyFill="1" applyBorder="1" applyAlignment="1">
      <alignment horizontal="center" vertical="center"/>
    </xf>
    <xf numFmtId="0" fontId="8" fillId="15" borderId="26" xfId="0" applyFont="1" applyFill="1" applyBorder="1" applyAlignment="1">
      <alignment horizontal="center" vertical="center"/>
    </xf>
    <xf numFmtId="0" fontId="8" fillId="15" borderId="27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center"/>
    </xf>
    <xf numFmtId="0" fontId="8" fillId="19" borderId="1" xfId="0" applyFont="1" applyFill="1" applyBorder="1" applyAlignment="1">
      <alignment horizontal="center"/>
    </xf>
    <xf numFmtId="0" fontId="8" fillId="20" borderId="1" xfId="0" applyFont="1" applyFill="1" applyBorder="1" applyAlignment="1">
      <alignment horizontal="center"/>
    </xf>
    <xf numFmtId="0" fontId="8" fillId="21" borderId="1" xfId="0" applyFont="1" applyFill="1" applyBorder="1" applyAlignment="1">
      <alignment horizontal="center"/>
    </xf>
    <xf numFmtId="0" fontId="8" fillId="22" borderId="1" xfId="0" applyFont="1" applyFill="1" applyBorder="1" applyAlignment="1">
      <alignment horizontal="center"/>
    </xf>
    <xf numFmtId="0" fontId="8" fillId="23" borderId="1" xfId="0" applyFont="1" applyFill="1" applyBorder="1" applyAlignment="1">
      <alignment horizontal="center"/>
    </xf>
    <xf numFmtId="0" fontId="8" fillId="24" borderId="1" xfId="0" applyFont="1" applyFill="1" applyBorder="1" applyAlignment="1">
      <alignment horizontal="center"/>
    </xf>
    <xf numFmtId="0" fontId="8" fillId="25" borderId="1" xfId="0" applyFont="1" applyFill="1" applyBorder="1" applyAlignment="1">
      <alignment horizontal="center"/>
    </xf>
    <xf numFmtId="0" fontId="8" fillId="26" borderId="1" xfId="0" applyFont="1" applyFill="1" applyBorder="1" applyAlignment="1">
      <alignment horizontal="center"/>
    </xf>
    <xf numFmtId="0" fontId="8" fillId="27" borderId="1" xfId="0" applyFont="1" applyFill="1" applyBorder="1" applyAlignment="1">
      <alignment horizontal="center"/>
    </xf>
    <xf numFmtId="0" fontId="8" fillId="28" borderId="1" xfId="0" applyFont="1" applyFill="1" applyBorder="1" applyAlignment="1">
      <alignment horizontal="center"/>
    </xf>
    <xf numFmtId="0" fontId="8" fillId="2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9" fontId="8" fillId="0" borderId="1" xfId="1" applyFont="1" applyBorder="1" applyAlignment="1">
      <alignment horizontal="center"/>
    </xf>
    <xf numFmtId="1" fontId="8" fillId="0" borderId="1" xfId="0" applyNumberFormat="1" applyFont="1" applyBorder="1"/>
    <xf numFmtId="2" fontId="8" fillId="0" borderId="0" xfId="0" applyNumberFormat="1" applyFont="1" applyAlignment="1">
      <alignment horizontal="center"/>
    </xf>
    <xf numFmtId="2" fontId="8" fillId="0" borderId="2" xfId="0" applyNumberFormat="1" applyFont="1" applyBorder="1" applyAlignment="1">
      <alignment horizontal="center"/>
    </xf>
    <xf numFmtId="9" fontId="8" fillId="0" borderId="1" xfId="1" applyFont="1" applyBorder="1"/>
    <xf numFmtId="2" fontId="8" fillId="0" borderId="12" xfId="0" applyNumberFormat="1" applyFont="1" applyBorder="1" applyAlignment="1">
      <alignment horizontal="center"/>
    </xf>
    <xf numFmtId="0" fontId="8" fillId="0" borderId="12" xfId="0" applyFont="1" applyBorder="1"/>
    <xf numFmtId="0" fontId="5" fillId="0" borderId="4" xfId="0" applyFont="1" applyBorder="1"/>
    <xf numFmtId="0" fontId="8" fillId="8" borderId="1" xfId="0" applyFont="1" applyFill="1" applyBorder="1" applyAlignment="1">
      <alignment horizontal="center" vertical="center"/>
    </xf>
    <xf numFmtId="0" fontId="8" fillId="30" borderId="1" xfId="0" applyFont="1" applyFill="1" applyBorder="1" applyAlignment="1">
      <alignment horizontal="center" vertical="center"/>
    </xf>
    <xf numFmtId="0" fontId="10" fillId="0" borderId="0" xfId="0" quotePrefix="1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7" fillId="0" borderId="9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32" borderId="1" xfId="0" applyFont="1" applyFill="1" applyBorder="1" applyAlignment="1">
      <alignment horizontal="center"/>
    </xf>
    <xf numFmtId="0" fontId="8" fillId="31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3" borderId="1" xfId="0" applyFont="1" applyFill="1" applyBorder="1"/>
    <xf numFmtId="0" fontId="8" fillId="3" borderId="14" xfId="0" applyFont="1" applyFill="1" applyBorder="1" applyAlignment="1">
      <alignment horizontal="center"/>
    </xf>
    <xf numFmtId="0" fontId="9" fillId="3" borderId="1" xfId="0" applyFont="1" applyFill="1" applyBorder="1"/>
    <xf numFmtId="0" fontId="9" fillId="3" borderId="1" xfId="0" applyFont="1" applyFill="1" applyBorder="1" applyAlignment="1">
      <alignment horizontal="center"/>
    </xf>
    <xf numFmtId="0" fontId="10" fillId="0" borderId="1" xfId="0" applyFont="1" applyBorder="1"/>
    <xf numFmtId="0" fontId="10" fillId="0" borderId="1" xfId="0" applyFont="1" applyBorder="1" applyAlignment="1">
      <alignment horizontal="center"/>
    </xf>
    <xf numFmtId="0" fontId="13" fillId="0" borderId="0" xfId="0" applyFont="1"/>
    <xf numFmtId="0" fontId="10" fillId="0" borderId="0" xfId="0" applyFont="1"/>
    <xf numFmtId="0" fontId="10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1" fontId="8" fillId="5" borderId="1" xfId="0" applyNumberFormat="1" applyFont="1" applyFill="1" applyBorder="1" applyAlignment="1">
      <alignment horizontal="center"/>
    </xf>
    <xf numFmtId="166" fontId="8" fillId="5" borderId="1" xfId="0" applyNumberFormat="1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7" fillId="0" borderId="0" xfId="0" applyFont="1" applyAlignment="1">
      <alignment horizontal="left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5F23C96F-10B0-479F-9972-449CE9CC6F28}"/>
  </tableStyles>
  <colors>
    <mruColors>
      <color rgb="FFD7CDEB"/>
      <color rgb="FFF4D9A6"/>
      <color rgb="FFB8DAD2"/>
      <color rgb="FFC7D4E5"/>
      <color rgb="FFC0C0C0"/>
      <color rgb="FFFFFF9F"/>
      <color rgb="FFE8D7A1"/>
      <color rgb="FFC4CCD4"/>
      <color rgb="FFB8C2E6"/>
      <color rgb="FFC7B7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19050</xdr:colOff>
      <xdr:row>0</xdr:row>
      <xdr:rowOff>168275</xdr:rowOff>
    </xdr:from>
    <xdr:to>
      <xdr:col>3</xdr:col>
      <xdr:colOff>1364190</xdr:colOff>
      <xdr:row>5</xdr:row>
      <xdr:rowOff>34925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7948262-A8AE-47CA-B998-5ABE6EAAE2BA}"/>
            </a:ext>
          </a:extLst>
        </xdr:cNvPr>
        <xdr:cNvSpPr>
          <a:spLocks noChangeAspect="1"/>
        </xdr:cNvSpPr>
      </xdr:nvSpPr>
      <xdr:spPr>
        <a:xfrm>
          <a:off x="2143125" y="168275"/>
          <a:ext cx="2608790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4CA6698-4DF8-46FB-87EF-51EA75EACD0E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8FA26BC6-5067-4B70-B09C-C0F38F71BFD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C7667-ECDB-4AB5-8270-D3108DB81FAD}">
  <sheetPr>
    <tabColor theme="0"/>
  </sheetPr>
  <dimension ref="A2:F41"/>
  <sheetViews>
    <sheetView showGridLines="0" showRowColHeaders="0" tabSelected="1" workbookViewId="0"/>
  </sheetViews>
  <sheetFormatPr defaultColWidth="0" defaultRowHeight="16.5" x14ac:dyDescent="0.45"/>
  <cols>
    <col min="1" max="1" width="8.6640625" customWidth="1"/>
    <col min="2" max="2" width="19.25" bestFit="1" customWidth="1"/>
    <col min="3" max="3" width="16.6640625" customWidth="1"/>
    <col min="4" max="4" width="77.9140625" customWidth="1"/>
    <col min="5" max="5" width="8.6640625" customWidth="1"/>
    <col min="6" max="6" width="17.58203125" bestFit="1" customWidth="1"/>
    <col min="7" max="16384" width="8.6640625" hidden="1"/>
  </cols>
  <sheetData>
    <row r="2" spans="2:4" x14ac:dyDescent="0.45">
      <c r="B2" s="1"/>
      <c r="C2" s="1"/>
      <c r="D2" s="2"/>
    </row>
    <row r="3" spans="2:4" x14ac:dyDescent="0.45">
      <c r="B3" s="1"/>
      <c r="C3" s="1"/>
      <c r="D3" s="2"/>
    </row>
    <row r="4" spans="2:4" x14ac:dyDescent="0.45">
      <c r="B4" s="1"/>
      <c r="C4" s="1"/>
      <c r="D4" s="2"/>
    </row>
    <row r="5" spans="2:4" x14ac:dyDescent="0.45">
      <c r="B5" s="1"/>
      <c r="C5" s="1"/>
      <c r="D5" s="2"/>
    </row>
    <row r="6" spans="2:4" x14ac:dyDescent="0.45">
      <c r="B6" s="1"/>
      <c r="C6" s="1"/>
      <c r="D6" s="2"/>
    </row>
    <row r="7" spans="2:4" x14ac:dyDescent="0.45">
      <c r="B7" s="1"/>
      <c r="C7" s="1"/>
      <c r="D7" s="2"/>
    </row>
    <row r="8" spans="2:4" x14ac:dyDescent="0.45">
      <c r="B8" s="1"/>
      <c r="C8" s="3" t="s">
        <v>5</v>
      </c>
      <c r="D8" s="2"/>
    </row>
    <row r="9" spans="2:4" x14ac:dyDescent="0.45">
      <c r="B9" s="1"/>
      <c r="C9" s="1" t="s">
        <v>25</v>
      </c>
      <c r="D9" s="2"/>
    </row>
    <row r="10" spans="2:4" x14ac:dyDescent="0.45">
      <c r="B10" s="1"/>
      <c r="C10" s="1"/>
      <c r="D10" s="2"/>
    </row>
    <row r="11" spans="2:4" x14ac:dyDescent="0.45">
      <c r="B11" s="1"/>
      <c r="C11" s="3" t="s">
        <v>0</v>
      </c>
      <c r="D11" s="2"/>
    </row>
    <row r="12" spans="2:4" x14ac:dyDescent="0.45">
      <c r="B12" s="1"/>
      <c r="C12" s="1" t="s">
        <v>1</v>
      </c>
      <c r="D12" s="2"/>
    </row>
    <row r="13" spans="2:4" x14ac:dyDescent="0.45">
      <c r="B13" s="1"/>
      <c r="C13" s="1" t="s">
        <v>2</v>
      </c>
      <c r="D13" s="2"/>
    </row>
    <row r="14" spans="2:4" x14ac:dyDescent="0.45">
      <c r="B14" s="1"/>
      <c r="C14" s="1"/>
      <c r="D14" s="2"/>
    </row>
    <row r="15" spans="2:4" x14ac:dyDescent="0.45">
      <c r="B15" s="1"/>
      <c r="C15" s="1"/>
      <c r="D15" s="2"/>
    </row>
    <row r="16" spans="2:4" x14ac:dyDescent="0.45">
      <c r="B16" s="1"/>
      <c r="C16" s="5" t="s">
        <v>3</v>
      </c>
      <c r="D16" s="6" t="s">
        <v>4</v>
      </c>
    </row>
    <row r="17" spans="2:4" ht="24" customHeight="1" x14ac:dyDescent="0.45">
      <c r="B17" s="3" t="s">
        <v>6</v>
      </c>
      <c r="C17" s="174" t="s">
        <v>7</v>
      </c>
      <c r="D17" s="165" t="s">
        <v>26</v>
      </c>
    </row>
    <row r="18" spans="2:4" ht="25" customHeight="1" x14ac:dyDescent="0.45">
      <c r="B18" s="4"/>
      <c r="C18" s="174" t="s">
        <v>8</v>
      </c>
      <c r="D18" s="165" t="s">
        <v>27</v>
      </c>
    </row>
    <row r="19" spans="2:4" x14ac:dyDescent="0.45">
      <c r="B19" s="4"/>
      <c r="C19" s="7"/>
      <c r="D19" s="2"/>
    </row>
    <row r="20" spans="2:4" ht="30" customHeight="1" x14ac:dyDescent="0.45">
      <c r="B20" s="3" t="s">
        <v>9</v>
      </c>
      <c r="C20" s="173" t="s">
        <v>10</v>
      </c>
      <c r="D20" s="163" t="s">
        <v>28</v>
      </c>
    </row>
    <row r="21" spans="2:4" ht="30" customHeight="1" x14ac:dyDescent="0.45">
      <c r="B21" s="4"/>
      <c r="C21" s="173" t="s">
        <v>11</v>
      </c>
      <c r="D21" s="163" t="s">
        <v>29</v>
      </c>
    </row>
    <row r="22" spans="2:4" ht="30" customHeight="1" x14ac:dyDescent="0.45">
      <c r="B22" s="4"/>
      <c r="C22" s="173" t="s">
        <v>12</v>
      </c>
      <c r="D22" s="163" t="s">
        <v>30</v>
      </c>
    </row>
    <row r="23" spans="2:4" ht="30" customHeight="1" x14ac:dyDescent="0.45">
      <c r="B23" s="4"/>
      <c r="C23" s="173" t="s">
        <v>13</v>
      </c>
      <c r="D23" s="163" t="s">
        <v>31</v>
      </c>
    </row>
    <row r="24" spans="2:4" ht="30" customHeight="1" x14ac:dyDescent="0.45">
      <c r="B24" s="4"/>
      <c r="C24" s="173" t="s">
        <v>14</v>
      </c>
      <c r="D24" s="163" t="s">
        <v>32</v>
      </c>
    </row>
    <row r="25" spans="2:4" ht="30" customHeight="1" x14ac:dyDescent="0.45">
      <c r="B25" s="4"/>
      <c r="C25" s="173" t="s">
        <v>15</v>
      </c>
      <c r="D25" s="163" t="s">
        <v>33</v>
      </c>
    </row>
    <row r="26" spans="2:4" ht="30" customHeight="1" x14ac:dyDescent="0.45">
      <c r="B26" s="4"/>
      <c r="C26" s="173" t="s">
        <v>16</v>
      </c>
      <c r="D26" s="163" t="s">
        <v>34</v>
      </c>
    </row>
    <row r="27" spans="2:4" ht="30" customHeight="1" x14ac:dyDescent="0.45">
      <c r="B27" s="4"/>
      <c r="C27" s="173" t="s">
        <v>18</v>
      </c>
      <c r="D27" s="163" t="s">
        <v>35</v>
      </c>
    </row>
    <row r="28" spans="2:4" x14ac:dyDescent="0.45">
      <c r="B28" s="4"/>
      <c r="C28" s="147"/>
      <c r="D28" s="2"/>
    </row>
    <row r="29" spans="2:4" ht="37" customHeight="1" x14ac:dyDescent="0.45">
      <c r="B29" s="3" t="s">
        <v>17</v>
      </c>
      <c r="C29" s="172" t="s">
        <v>19</v>
      </c>
      <c r="D29" s="164" t="s">
        <v>36</v>
      </c>
    </row>
    <row r="30" spans="2:4" ht="32.5" customHeight="1" x14ac:dyDescent="0.45">
      <c r="B30" s="4"/>
      <c r="C30" s="172" t="s">
        <v>20</v>
      </c>
      <c r="D30" s="164" t="s">
        <v>37</v>
      </c>
    </row>
    <row r="31" spans="2:4" x14ac:dyDescent="0.45">
      <c r="B31" s="4"/>
      <c r="C31" s="162"/>
      <c r="D31" s="2"/>
    </row>
    <row r="32" spans="2:4" ht="33" x14ac:dyDescent="0.45">
      <c r="B32" s="3" t="s">
        <v>21</v>
      </c>
      <c r="C32" s="171" t="s">
        <v>22</v>
      </c>
      <c r="D32" s="170" t="s">
        <v>38</v>
      </c>
    </row>
    <row r="33" spans="2:4" ht="26.5" customHeight="1" x14ac:dyDescent="0.45">
      <c r="B33" s="4"/>
      <c r="C33" s="171" t="s">
        <v>23</v>
      </c>
      <c r="D33" s="170" t="s">
        <v>39</v>
      </c>
    </row>
    <row r="34" spans="2:4" ht="34.5" customHeight="1" x14ac:dyDescent="0.45">
      <c r="B34" s="4"/>
      <c r="C34" s="171" t="s">
        <v>24</v>
      </c>
      <c r="D34" s="170" t="s">
        <v>40</v>
      </c>
    </row>
    <row r="35" spans="2:4" x14ac:dyDescent="0.45">
      <c r="B35" s="4"/>
      <c r="C35" s="7"/>
      <c r="D35" s="2"/>
    </row>
    <row r="36" spans="2:4" x14ac:dyDescent="0.45">
      <c r="B36" s="4"/>
      <c r="C36" s="7"/>
      <c r="D36" s="2"/>
    </row>
    <row r="37" spans="2:4" x14ac:dyDescent="0.45">
      <c r="B37" s="4"/>
      <c r="C37" s="7"/>
      <c r="D37" s="2"/>
    </row>
    <row r="38" spans="2:4" x14ac:dyDescent="0.45">
      <c r="B38" s="4"/>
      <c r="C38" s="7"/>
      <c r="D38" s="2"/>
    </row>
    <row r="39" spans="2:4" x14ac:dyDescent="0.45">
      <c r="B39" s="1"/>
      <c r="C39" s="7"/>
      <c r="D39" s="2"/>
    </row>
    <row r="40" spans="2:4" x14ac:dyDescent="0.45">
      <c r="B40" s="1"/>
      <c r="C40" s="7"/>
      <c r="D40" s="2"/>
    </row>
    <row r="41" spans="2:4" x14ac:dyDescent="0.45">
      <c r="B41" s="1"/>
      <c r="C41" s="7"/>
      <c r="D41" s="2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36A0-CF46-45A9-805C-FCAF166A2C3C}">
  <sheetPr>
    <tabColor rgb="FFC7D4E5"/>
  </sheetPr>
  <dimension ref="B2:W36"/>
  <sheetViews>
    <sheetView workbookViewId="0"/>
  </sheetViews>
  <sheetFormatPr defaultRowHeight="16.5" x14ac:dyDescent="0.45"/>
  <cols>
    <col min="1" max="1" width="5" customWidth="1"/>
    <col min="2" max="2" width="6.5" customWidth="1"/>
    <col min="3" max="11" width="3.58203125" customWidth="1"/>
    <col min="12" max="12" width="5.25" customWidth="1"/>
    <col min="23" max="23" width="3.6640625" customWidth="1"/>
  </cols>
  <sheetData>
    <row r="2" spans="2:23" x14ac:dyDescent="0.45">
      <c r="B2" s="10" t="s">
        <v>41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2"/>
    </row>
    <row r="3" spans="2:23" x14ac:dyDescent="0.45">
      <c r="B3" s="13" t="s">
        <v>42</v>
      </c>
      <c r="W3" s="14"/>
    </row>
    <row r="4" spans="2:23" x14ac:dyDescent="0.45">
      <c r="B4" s="15" t="s">
        <v>43</v>
      </c>
      <c r="W4" s="14"/>
    </row>
    <row r="5" spans="2:23" x14ac:dyDescent="0.45">
      <c r="B5" s="13" t="s">
        <v>44</v>
      </c>
      <c r="W5" s="14"/>
    </row>
    <row r="6" spans="2:23" x14ac:dyDescent="0.45">
      <c r="B6" s="13" t="s">
        <v>45</v>
      </c>
      <c r="W6" s="14"/>
    </row>
    <row r="7" spans="2:23" x14ac:dyDescent="0.45">
      <c r="B7" s="16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W7" s="14"/>
    </row>
    <row r="8" spans="2:23" ht="8" customHeight="1" x14ac:dyDescent="0.45">
      <c r="B8" s="19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2"/>
    </row>
    <row r="9" spans="2:23" x14ac:dyDescent="0.45">
      <c r="B9" s="13"/>
      <c r="M9" s="20" t="s">
        <v>50</v>
      </c>
      <c r="O9" s="20" t="s">
        <v>52</v>
      </c>
      <c r="W9" s="14"/>
    </row>
    <row r="10" spans="2:23" x14ac:dyDescent="0.45">
      <c r="B10" s="13"/>
      <c r="F10" s="21" t="s">
        <v>48</v>
      </c>
      <c r="M10" s="22" t="s">
        <v>49</v>
      </c>
      <c r="O10" s="22" t="s">
        <v>51</v>
      </c>
      <c r="W10" s="14"/>
    </row>
    <row r="11" spans="2:23" x14ac:dyDescent="0.45">
      <c r="B11" s="13"/>
      <c r="F11" s="175" t="s">
        <v>46</v>
      </c>
      <c r="M11" s="9" cm="1">
        <f t="array" ref="M11:M19">Streakλ(Result)</f>
        <v>1</v>
      </c>
      <c r="O11" s="9" t="str" cm="1">
        <f t="array" ref="O11:O19">Streakλ(Result,,TRUE)</f>
        <v>W·1</v>
      </c>
      <c r="W11" s="14"/>
    </row>
    <row r="12" spans="2:23" x14ac:dyDescent="0.45">
      <c r="B12" s="13"/>
      <c r="F12" s="175" t="s">
        <v>46</v>
      </c>
      <c r="M12" s="9">
        <v>2</v>
      </c>
      <c r="O12" s="9" t="str">
        <v>W·2</v>
      </c>
      <c r="W12" s="14"/>
    </row>
    <row r="13" spans="2:23" x14ac:dyDescent="0.45">
      <c r="B13" s="13"/>
      <c r="F13" s="175" t="s">
        <v>47</v>
      </c>
      <c r="M13" s="9">
        <v>1</v>
      </c>
      <c r="O13" s="9" t="str">
        <v>L·1</v>
      </c>
      <c r="W13" s="14"/>
    </row>
    <row r="14" spans="2:23" x14ac:dyDescent="0.45">
      <c r="B14" s="13"/>
      <c r="F14" s="175" t="s">
        <v>46</v>
      </c>
      <c r="M14" s="9">
        <v>1</v>
      </c>
      <c r="O14" s="9" t="str">
        <v>W·1</v>
      </c>
      <c r="W14" s="14"/>
    </row>
    <row r="15" spans="2:23" x14ac:dyDescent="0.45">
      <c r="B15" s="13"/>
      <c r="F15" s="175" t="s">
        <v>46</v>
      </c>
      <c r="M15" s="9">
        <v>2</v>
      </c>
      <c r="O15" s="9" t="str">
        <v>W·2</v>
      </c>
      <c r="W15" s="14"/>
    </row>
    <row r="16" spans="2:23" x14ac:dyDescent="0.45">
      <c r="B16" s="13"/>
      <c r="F16" s="175" t="s">
        <v>46</v>
      </c>
      <c r="M16" s="9">
        <v>3</v>
      </c>
      <c r="O16" s="9" t="str">
        <v>W·3</v>
      </c>
      <c r="W16" s="14"/>
    </row>
    <row r="17" spans="2:23" x14ac:dyDescent="0.45">
      <c r="B17" s="13"/>
      <c r="F17" s="175" t="s">
        <v>46</v>
      </c>
      <c r="M17" s="9">
        <v>4</v>
      </c>
      <c r="O17" s="9" t="str">
        <v>W·4</v>
      </c>
      <c r="W17" s="14"/>
    </row>
    <row r="18" spans="2:23" x14ac:dyDescent="0.45">
      <c r="B18" s="13"/>
      <c r="F18" s="175" t="s">
        <v>47</v>
      </c>
      <c r="M18" s="9">
        <v>1</v>
      </c>
      <c r="O18" s="9" t="str">
        <v>L·1</v>
      </c>
      <c r="W18" s="14"/>
    </row>
    <row r="19" spans="2:23" x14ac:dyDescent="0.45">
      <c r="B19" s="13"/>
      <c r="F19" s="175" t="s">
        <v>46</v>
      </c>
      <c r="M19" s="9">
        <v>1</v>
      </c>
      <c r="O19" s="9" t="str">
        <v>W·1</v>
      </c>
      <c r="W19" s="14"/>
    </row>
    <row r="20" spans="2:23" x14ac:dyDescent="0.45">
      <c r="B20" s="16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W20" s="14"/>
    </row>
    <row r="21" spans="2:23" ht="9" customHeight="1" x14ac:dyDescent="0.45">
      <c r="B21" s="13"/>
      <c r="V21" s="11"/>
      <c r="W21" s="12"/>
    </row>
    <row r="22" spans="2:23" x14ac:dyDescent="0.45">
      <c r="B22" s="13"/>
      <c r="C22" s="21" t="s">
        <v>53</v>
      </c>
      <c r="M22" s="20" t="s">
        <v>55</v>
      </c>
      <c r="W22" s="14"/>
    </row>
    <row r="23" spans="2:23" x14ac:dyDescent="0.45">
      <c r="B23" s="13"/>
      <c r="C23" s="176" t="s">
        <v>46</v>
      </c>
      <c r="D23" s="177" t="s">
        <v>46</v>
      </c>
      <c r="E23" s="177" t="s">
        <v>47</v>
      </c>
      <c r="F23" s="177" t="s">
        <v>46</v>
      </c>
      <c r="G23" s="177" t="s">
        <v>46</v>
      </c>
      <c r="H23" s="177" t="s">
        <v>46</v>
      </c>
      <c r="I23" s="177" t="s">
        <v>46</v>
      </c>
      <c r="J23" s="177" t="s">
        <v>47</v>
      </c>
      <c r="K23" s="178" t="s">
        <v>46</v>
      </c>
      <c r="M23" s="22" t="s">
        <v>54</v>
      </c>
      <c r="W23" s="14"/>
    </row>
    <row r="24" spans="2:23" x14ac:dyDescent="0.45">
      <c r="B24" s="13"/>
      <c r="M24" s="9" cm="1">
        <f t="array" ref="M24:U24">Streakλ(ResultH,TRUE)</f>
        <v>1</v>
      </c>
      <c r="N24" s="9">
        <v>2</v>
      </c>
      <c r="O24" s="9">
        <v>1</v>
      </c>
      <c r="P24" s="9">
        <v>1</v>
      </c>
      <c r="Q24" s="9">
        <v>2</v>
      </c>
      <c r="R24" s="9">
        <v>3</v>
      </c>
      <c r="S24" s="9">
        <v>4</v>
      </c>
      <c r="T24" s="9">
        <v>1</v>
      </c>
      <c r="U24" s="9">
        <v>1</v>
      </c>
      <c r="W24" s="14"/>
    </row>
    <row r="25" spans="2:23" x14ac:dyDescent="0.45">
      <c r="B25" s="13"/>
      <c r="W25" s="14"/>
    </row>
    <row r="26" spans="2:23" x14ac:dyDescent="0.45">
      <c r="B26" s="13"/>
      <c r="M26" s="20" t="s">
        <v>56</v>
      </c>
      <c r="W26" s="14"/>
    </row>
    <row r="27" spans="2:23" x14ac:dyDescent="0.45">
      <c r="B27" s="13"/>
      <c r="M27" s="22" t="s">
        <v>57</v>
      </c>
      <c r="W27" s="14"/>
    </row>
    <row r="28" spans="2:23" x14ac:dyDescent="0.45">
      <c r="B28" s="13"/>
      <c r="M28" s="9" t="str" cm="1">
        <f t="array" ref="M28:U28">Streakλ(ResultH,TRUE,TRUE)</f>
        <v>W·1</v>
      </c>
      <c r="N28" s="9" t="str">
        <v>W·2</v>
      </c>
      <c r="O28" s="9" t="str">
        <v>L·1</v>
      </c>
      <c r="P28" s="9" t="str">
        <v>W·1</v>
      </c>
      <c r="Q28" s="9" t="str">
        <v>W·2</v>
      </c>
      <c r="R28" s="9" t="str">
        <v>W·3</v>
      </c>
      <c r="S28" s="9" t="str">
        <v>W·4</v>
      </c>
      <c r="T28" s="9" t="str">
        <v>L·1</v>
      </c>
      <c r="U28" s="9" t="str">
        <v>W·1</v>
      </c>
      <c r="W28" s="14"/>
    </row>
    <row r="29" spans="2:23" x14ac:dyDescent="0.45">
      <c r="B29" s="13"/>
      <c r="W29" s="14"/>
    </row>
    <row r="30" spans="2:23" x14ac:dyDescent="0.45">
      <c r="B30" s="19"/>
      <c r="C30" s="28" t="s">
        <v>61</v>
      </c>
      <c r="D30" s="11"/>
      <c r="E30" s="11"/>
      <c r="F30" s="11"/>
      <c r="G30" s="11"/>
      <c r="H30" s="11"/>
      <c r="I30" s="11"/>
      <c r="J30" s="11"/>
      <c r="K30" s="11"/>
      <c r="L30" s="11"/>
      <c r="M30" s="29" t="s">
        <v>63</v>
      </c>
      <c r="N30" s="11"/>
      <c r="O30" s="11"/>
      <c r="P30" s="11"/>
      <c r="Q30" s="11"/>
      <c r="R30" s="11"/>
      <c r="S30" s="11"/>
      <c r="T30" s="11"/>
      <c r="U30" s="11"/>
      <c r="V30" s="11"/>
      <c r="W30" s="12"/>
    </row>
    <row r="31" spans="2:23" x14ac:dyDescent="0.45">
      <c r="B31" s="13"/>
      <c r="C31" s="175" t="s">
        <v>58</v>
      </c>
      <c r="D31" s="175" t="s">
        <v>58</v>
      </c>
      <c r="E31" s="175" t="s">
        <v>59</v>
      </c>
      <c r="F31" s="175" t="s">
        <v>59</v>
      </c>
      <c r="G31" s="175" t="s">
        <v>59</v>
      </c>
      <c r="H31" s="175" t="s">
        <v>58</v>
      </c>
      <c r="I31" s="175" t="s">
        <v>60</v>
      </c>
      <c r="J31" s="175" t="s">
        <v>60</v>
      </c>
      <c r="M31" s="22" t="s">
        <v>62</v>
      </c>
      <c r="W31" s="14"/>
    </row>
    <row r="32" spans="2:23" x14ac:dyDescent="0.45">
      <c r="B32" s="13"/>
      <c r="C32" s="175" t="s">
        <v>58</v>
      </c>
      <c r="D32" s="175" t="s">
        <v>58</v>
      </c>
      <c r="E32" s="175" t="s">
        <v>58</v>
      </c>
      <c r="F32" s="175" t="s">
        <v>58</v>
      </c>
      <c r="G32" s="175" t="s">
        <v>58</v>
      </c>
      <c r="H32" s="175" t="s">
        <v>58</v>
      </c>
      <c r="I32" s="175" t="s">
        <v>58</v>
      </c>
      <c r="J32" s="175" t="s">
        <v>58</v>
      </c>
      <c r="M32" s="9" t="str" cm="1">
        <f t="array" ref="M32:T34">Streakλ(Schedule,,TRUE)</f>
        <v>JP·1</v>
      </c>
      <c r="N32" s="9" t="str">
        <v>JP·2</v>
      </c>
      <c r="O32" s="9" t="str">
        <v>DH·1</v>
      </c>
      <c r="P32" s="9" t="str">
        <v>DH·2</v>
      </c>
      <c r="Q32" s="9" t="str">
        <v>DH·3</v>
      </c>
      <c r="R32" s="9" t="str">
        <v>JP·1</v>
      </c>
      <c r="S32" s="9" t="str">
        <v>AB·1</v>
      </c>
      <c r="T32" s="9" t="str">
        <v>AB·2</v>
      </c>
      <c r="W32" s="14"/>
    </row>
    <row r="33" spans="2:23" x14ac:dyDescent="0.45">
      <c r="B33" s="13"/>
      <c r="C33" s="175" t="s">
        <v>60</v>
      </c>
      <c r="D33" s="175" t="s">
        <v>60</v>
      </c>
      <c r="E33" s="175" t="s">
        <v>60</v>
      </c>
      <c r="F33" s="175" t="s">
        <v>60</v>
      </c>
      <c r="G33" s="175" t="s">
        <v>60</v>
      </c>
      <c r="H33" s="175" t="s">
        <v>59</v>
      </c>
      <c r="I33" s="175" t="s">
        <v>59</v>
      </c>
      <c r="J33" s="175" t="s">
        <v>59</v>
      </c>
      <c r="M33" s="9" t="str">
        <v>JP·1</v>
      </c>
      <c r="N33" s="9" t="str">
        <v>JP·2</v>
      </c>
      <c r="O33" s="9" t="str">
        <v>JP·3</v>
      </c>
      <c r="P33" s="9" t="str">
        <v>JP·4</v>
      </c>
      <c r="Q33" s="9" t="str">
        <v>JP·5</v>
      </c>
      <c r="R33" s="9" t="str">
        <v>JP·6</v>
      </c>
      <c r="S33" s="9" t="str">
        <v>JP·7</v>
      </c>
      <c r="T33" s="9" t="str">
        <v>JP·8</v>
      </c>
      <c r="W33" s="14"/>
    </row>
    <row r="34" spans="2:23" x14ac:dyDescent="0.45">
      <c r="B34" s="13"/>
      <c r="M34" s="9" t="str">
        <v>AB·1</v>
      </c>
      <c r="N34" s="9" t="str">
        <v>AB·2</v>
      </c>
      <c r="O34" s="9" t="str">
        <v>AB·3</v>
      </c>
      <c r="P34" s="9" t="str">
        <v>AB·4</v>
      </c>
      <c r="Q34" s="9" t="str">
        <v>AB·5</v>
      </c>
      <c r="R34" s="9" t="str">
        <v>DH·1</v>
      </c>
      <c r="S34" s="9" t="str">
        <v>DH·2</v>
      </c>
      <c r="T34" s="9" t="str">
        <v>DH·3</v>
      </c>
      <c r="W34" s="14"/>
    </row>
    <row r="35" spans="2:23" x14ac:dyDescent="0.45">
      <c r="B35" s="13"/>
      <c r="W35" s="14"/>
    </row>
    <row r="36" spans="2:23" x14ac:dyDescent="0.45">
      <c r="B36" s="16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66" t="s">
        <v>64</v>
      </c>
      <c r="N36" s="17"/>
      <c r="O36" s="17"/>
      <c r="P36" s="17"/>
      <c r="Q36" s="17"/>
      <c r="R36" s="17"/>
      <c r="S36" s="17"/>
      <c r="T36" s="17"/>
      <c r="U36" s="17"/>
      <c r="V36" s="17"/>
      <c r="W36" s="1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F1FE8-405D-4629-B81A-34DD46407940}">
  <sheetPr>
    <tabColor rgb="FFC7D4E5"/>
  </sheetPr>
  <dimension ref="B2:S22"/>
  <sheetViews>
    <sheetView workbookViewId="0"/>
  </sheetViews>
  <sheetFormatPr defaultRowHeight="16.5" x14ac:dyDescent="0.45"/>
  <cols>
    <col min="1" max="1" width="5" customWidth="1"/>
    <col min="6" max="6" width="11.33203125" customWidth="1"/>
    <col min="7" max="7" width="6.25" customWidth="1"/>
    <col min="8" max="18" width="5.58203125" customWidth="1"/>
    <col min="19" max="19" width="5" customWidth="1"/>
  </cols>
  <sheetData>
    <row r="2" spans="2:19" x14ac:dyDescent="0.45">
      <c r="B2" s="30" t="s">
        <v>65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2"/>
    </row>
    <row r="3" spans="2:19" x14ac:dyDescent="0.45">
      <c r="B3" s="13" t="s">
        <v>66</v>
      </c>
      <c r="S3" s="14"/>
    </row>
    <row r="4" spans="2:19" x14ac:dyDescent="0.45">
      <c r="B4" s="15" t="s">
        <v>43</v>
      </c>
      <c r="S4" s="14"/>
    </row>
    <row r="5" spans="2:19" x14ac:dyDescent="0.45">
      <c r="B5" s="13" t="s">
        <v>67</v>
      </c>
      <c r="S5" s="14"/>
    </row>
    <row r="6" spans="2:19" x14ac:dyDescent="0.45">
      <c r="B6" s="13"/>
      <c r="S6" s="14"/>
    </row>
    <row r="7" spans="2:19" x14ac:dyDescent="0.45">
      <c r="B7" s="31" t="s">
        <v>72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8"/>
    </row>
    <row r="8" spans="2:19" x14ac:dyDescent="0.45">
      <c r="B8" s="19"/>
      <c r="C8" s="11"/>
      <c r="D8" s="11"/>
      <c r="E8" s="11"/>
      <c r="F8" s="12"/>
      <c r="G8" s="19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2"/>
    </row>
    <row r="9" spans="2:19" x14ac:dyDescent="0.45">
      <c r="B9" s="13"/>
      <c r="E9" s="20" t="s">
        <v>74</v>
      </c>
      <c r="F9" s="14"/>
      <c r="G9" s="13"/>
      <c r="S9" s="14"/>
    </row>
    <row r="10" spans="2:19" x14ac:dyDescent="0.45">
      <c r="B10" s="13"/>
      <c r="C10" s="21" t="s">
        <v>68</v>
      </c>
      <c r="E10" s="22" t="s">
        <v>73</v>
      </c>
      <c r="F10" s="14"/>
      <c r="G10" s="13"/>
      <c r="H10" s="21" t="s">
        <v>75</v>
      </c>
      <c r="S10" s="14"/>
    </row>
    <row r="11" spans="2:19" x14ac:dyDescent="0.45">
      <c r="B11" s="13"/>
      <c r="C11" s="175" t="s">
        <v>69</v>
      </c>
      <c r="E11" s="9" cm="1">
        <f t="array" ref="E11:E21">Countdownλ(Outcome)</f>
        <v>3</v>
      </c>
      <c r="F11" s="14"/>
      <c r="G11" s="13"/>
      <c r="H11" s="175" t="s">
        <v>69</v>
      </c>
      <c r="I11" s="175" t="s">
        <v>69</v>
      </c>
      <c r="J11" s="175" t="s">
        <v>69</v>
      </c>
      <c r="K11" s="175" t="s">
        <v>71</v>
      </c>
      <c r="L11" s="175" t="s">
        <v>70</v>
      </c>
      <c r="M11" s="175" t="s">
        <v>70</v>
      </c>
      <c r="N11" s="175" t="s">
        <v>71</v>
      </c>
      <c r="O11" s="175" t="s">
        <v>71</v>
      </c>
      <c r="P11" s="175" t="s">
        <v>69</v>
      </c>
      <c r="Q11" s="175" t="s">
        <v>69</v>
      </c>
      <c r="R11" s="175" t="s">
        <v>69</v>
      </c>
      <c r="S11" s="14"/>
    </row>
    <row r="12" spans="2:19" x14ac:dyDescent="0.45">
      <c r="B12" s="13"/>
      <c r="C12" s="175" t="s">
        <v>69</v>
      </c>
      <c r="E12" s="9">
        <v>2</v>
      </c>
      <c r="F12" s="14"/>
      <c r="G12" s="13"/>
      <c r="S12" s="14"/>
    </row>
    <row r="13" spans="2:19" x14ac:dyDescent="0.45">
      <c r="B13" s="13"/>
      <c r="C13" s="175" t="s">
        <v>69</v>
      </c>
      <c r="E13" s="9">
        <v>1</v>
      </c>
      <c r="F13" s="14"/>
      <c r="G13" s="13"/>
      <c r="H13" s="20" t="s">
        <v>77</v>
      </c>
      <c r="S13" s="14"/>
    </row>
    <row r="14" spans="2:19" x14ac:dyDescent="0.45">
      <c r="B14" s="13"/>
      <c r="C14" s="175" t="s">
        <v>71</v>
      </c>
      <c r="E14" s="9">
        <v>1</v>
      </c>
      <c r="F14" s="14"/>
      <c r="G14" s="13"/>
      <c r="H14" s="22" t="s">
        <v>76</v>
      </c>
      <c r="S14" s="14"/>
    </row>
    <row r="15" spans="2:19" x14ac:dyDescent="0.45">
      <c r="B15" s="13"/>
      <c r="C15" s="175" t="s">
        <v>70</v>
      </c>
      <c r="E15" s="9">
        <v>2</v>
      </c>
      <c r="F15" s="14"/>
      <c r="G15" s="13"/>
      <c r="H15" s="9" cm="1">
        <f t="array" ref="H15:R15">Countdownλ(OutcomeH,TRUE)</f>
        <v>3</v>
      </c>
      <c r="I15" s="9">
        <v>2</v>
      </c>
      <c r="J15" s="9">
        <v>1</v>
      </c>
      <c r="K15" s="9">
        <v>1</v>
      </c>
      <c r="L15" s="9">
        <v>2</v>
      </c>
      <c r="M15" s="9">
        <v>1</v>
      </c>
      <c r="N15" s="9">
        <v>2</v>
      </c>
      <c r="O15" s="9">
        <v>1</v>
      </c>
      <c r="P15" s="9">
        <v>3</v>
      </c>
      <c r="Q15" s="9">
        <v>2</v>
      </c>
      <c r="R15" s="9">
        <v>1</v>
      </c>
      <c r="S15" s="14"/>
    </row>
    <row r="16" spans="2:19" x14ac:dyDescent="0.45">
      <c r="B16" s="13"/>
      <c r="C16" s="175" t="s">
        <v>70</v>
      </c>
      <c r="E16" s="9">
        <v>1</v>
      </c>
      <c r="F16" s="14"/>
      <c r="G16" s="13"/>
      <c r="S16" s="14"/>
    </row>
    <row r="17" spans="2:19" x14ac:dyDescent="0.45">
      <c r="B17" s="13"/>
      <c r="C17" s="175" t="s">
        <v>71</v>
      </c>
      <c r="E17" s="9">
        <v>2</v>
      </c>
      <c r="F17" s="14"/>
      <c r="G17" s="13"/>
      <c r="S17" s="14"/>
    </row>
    <row r="18" spans="2:19" x14ac:dyDescent="0.45">
      <c r="B18" s="13"/>
      <c r="C18" s="175" t="s">
        <v>71</v>
      </c>
      <c r="E18" s="9">
        <v>1</v>
      </c>
      <c r="F18" s="14"/>
      <c r="G18" s="13"/>
      <c r="S18" s="14"/>
    </row>
    <row r="19" spans="2:19" x14ac:dyDescent="0.45">
      <c r="B19" s="13"/>
      <c r="C19" s="175" t="s">
        <v>69</v>
      </c>
      <c r="E19" s="9">
        <v>3</v>
      </c>
      <c r="F19" s="14"/>
      <c r="G19" s="13"/>
      <c r="S19" s="14"/>
    </row>
    <row r="20" spans="2:19" x14ac:dyDescent="0.45">
      <c r="B20" s="13"/>
      <c r="C20" s="175" t="s">
        <v>69</v>
      </c>
      <c r="E20" s="9">
        <v>2</v>
      </c>
      <c r="F20" s="14"/>
      <c r="G20" s="13"/>
      <c r="S20" s="14"/>
    </row>
    <row r="21" spans="2:19" x14ac:dyDescent="0.45">
      <c r="B21" s="13"/>
      <c r="C21" s="175" t="s">
        <v>69</v>
      </c>
      <c r="E21" s="9">
        <v>1</v>
      </c>
      <c r="F21" s="14"/>
      <c r="G21" s="13"/>
      <c r="S21" s="14"/>
    </row>
    <row r="22" spans="2:19" x14ac:dyDescent="0.45">
      <c r="B22" s="16"/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30975-708F-48E9-880A-5063ED2FE894}">
  <sheetPr>
    <tabColor rgb="FFB8DAD2"/>
  </sheetPr>
  <dimension ref="B2:P43"/>
  <sheetViews>
    <sheetView workbookViewId="0"/>
  </sheetViews>
  <sheetFormatPr defaultRowHeight="16.5" x14ac:dyDescent="0.45"/>
  <cols>
    <col min="1" max="1" width="5" customWidth="1"/>
    <col min="2" max="16" width="6.58203125" customWidth="1"/>
  </cols>
  <sheetData>
    <row r="2" spans="2:16" x14ac:dyDescent="0.45">
      <c r="B2" s="30" t="s">
        <v>78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2"/>
    </row>
    <row r="3" spans="2:16" x14ac:dyDescent="0.45">
      <c r="B3" s="13" t="s">
        <v>79</v>
      </c>
      <c r="P3" s="14"/>
    </row>
    <row r="4" spans="2:16" x14ac:dyDescent="0.45">
      <c r="B4" s="15" t="s">
        <v>43</v>
      </c>
      <c r="P4" s="14"/>
    </row>
    <row r="5" spans="2:16" x14ac:dyDescent="0.45">
      <c r="B5" s="13" t="s">
        <v>80</v>
      </c>
      <c r="P5" s="14"/>
    </row>
    <row r="6" spans="2:16" x14ac:dyDescent="0.45">
      <c r="B6" s="16" t="s">
        <v>81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8"/>
    </row>
    <row r="7" spans="2:16" x14ac:dyDescent="0.45">
      <c r="B7" s="13"/>
      <c r="P7" s="14"/>
    </row>
    <row r="8" spans="2:16" x14ac:dyDescent="0.45">
      <c r="B8" s="13"/>
      <c r="D8" s="21" t="s">
        <v>82</v>
      </c>
      <c r="P8" s="14"/>
    </row>
    <row r="9" spans="2:16" x14ac:dyDescent="0.45">
      <c r="B9" s="13"/>
      <c r="D9" s="33">
        <v>1</v>
      </c>
      <c r="E9" s="34">
        <v>2</v>
      </c>
      <c r="F9" s="35">
        <v>3</v>
      </c>
      <c r="G9" s="36">
        <v>4</v>
      </c>
      <c r="H9" s="37">
        <v>5</v>
      </c>
      <c r="I9" s="38">
        <v>6</v>
      </c>
      <c r="P9" s="14"/>
    </row>
    <row r="10" spans="2:16" x14ac:dyDescent="0.45">
      <c r="B10" s="13"/>
      <c r="D10" s="9">
        <v>7</v>
      </c>
      <c r="E10" s="33">
        <v>8</v>
      </c>
      <c r="F10" s="34">
        <v>9</v>
      </c>
      <c r="G10" s="35">
        <v>10</v>
      </c>
      <c r="H10" s="36">
        <v>11</v>
      </c>
      <c r="I10" s="37">
        <v>12</v>
      </c>
      <c r="P10" s="14"/>
    </row>
    <row r="11" spans="2:16" x14ac:dyDescent="0.45">
      <c r="B11" s="13"/>
      <c r="D11" s="9">
        <v>13</v>
      </c>
      <c r="E11" s="9">
        <v>14</v>
      </c>
      <c r="F11" s="33">
        <v>15</v>
      </c>
      <c r="G11" s="34">
        <v>16</v>
      </c>
      <c r="H11" s="35">
        <v>17</v>
      </c>
      <c r="I11" s="36">
        <v>18</v>
      </c>
      <c r="P11" s="14"/>
    </row>
    <row r="12" spans="2:16" x14ac:dyDescent="0.45">
      <c r="B12" s="13"/>
      <c r="D12" s="9">
        <v>19</v>
      </c>
      <c r="E12" s="9">
        <v>20</v>
      </c>
      <c r="F12" s="9">
        <v>21</v>
      </c>
      <c r="G12" s="33">
        <v>22</v>
      </c>
      <c r="H12" s="34">
        <v>23</v>
      </c>
      <c r="I12" s="35">
        <v>24</v>
      </c>
      <c r="P12" s="14"/>
    </row>
    <row r="13" spans="2:16" x14ac:dyDescent="0.45">
      <c r="B13" s="13"/>
      <c r="D13" s="9">
        <v>25</v>
      </c>
      <c r="E13" s="9">
        <v>26</v>
      </c>
      <c r="F13" s="9">
        <v>27</v>
      </c>
      <c r="G13" s="9">
        <v>28</v>
      </c>
      <c r="H13" s="33">
        <v>29</v>
      </c>
      <c r="I13" s="34">
        <v>30</v>
      </c>
      <c r="P13" s="14"/>
    </row>
    <row r="14" spans="2:16" x14ac:dyDescent="0.45">
      <c r="B14" s="13"/>
      <c r="D14" s="9">
        <v>31</v>
      </c>
      <c r="E14" s="9">
        <v>32</v>
      </c>
      <c r="F14" s="9">
        <v>33</v>
      </c>
      <c r="G14" s="9">
        <v>34</v>
      </c>
      <c r="H14" s="9">
        <v>35</v>
      </c>
      <c r="I14" s="33">
        <v>36</v>
      </c>
      <c r="P14" s="14"/>
    </row>
    <row r="15" spans="2:16" ht="17" thickBot="1" x14ac:dyDescent="0.5">
      <c r="B15" s="39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1"/>
    </row>
    <row r="16" spans="2:16" ht="17" thickTop="1" x14ac:dyDescent="0.45">
      <c r="B16" s="13"/>
      <c r="C16" s="20" t="s">
        <v>85</v>
      </c>
      <c r="J16" s="20" t="s">
        <v>92</v>
      </c>
      <c r="P16" s="14"/>
    </row>
    <row r="17" spans="2:16" x14ac:dyDescent="0.45">
      <c r="B17" s="13"/>
      <c r="C17" s="22" t="s">
        <v>83</v>
      </c>
      <c r="J17" s="22" t="s">
        <v>91</v>
      </c>
      <c r="P17" s="14"/>
    </row>
    <row r="18" spans="2:16" x14ac:dyDescent="0.45">
      <c r="B18" s="13"/>
      <c r="C18" s="9" cm="1">
        <f t="array" ref="C18:H18">ByDiagλ(Grid,_xleta.SUM)</f>
        <v>111</v>
      </c>
      <c r="D18" s="9">
        <v>80</v>
      </c>
      <c r="E18" s="9">
        <v>54</v>
      </c>
      <c r="F18" s="9">
        <v>33</v>
      </c>
      <c r="G18" s="9">
        <v>17</v>
      </c>
      <c r="H18" s="9">
        <v>6</v>
      </c>
      <c r="J18" s="9" cm="1">
        <f t="array" ref="J18:J23">ByDiagλ(Grid,_xleta.SUM,TRUE)</f>
        <v>111</v>
      </c>
      <c r="P18" s="14"/>
    </row>
    <row r="19" spans="2:16" x14ac:dyDescent="0.45">
      <c r="B19" s="13"/>
      <c r="J19" s="9">
        <v>80</v>
      </c>
      <c r="P19" s="14"/>
    </row>
    <row r="20" spans="2:16" x14ac:dyDescent="0.45">
      <c r="B20" s="13"/>
      <c r="C20" s="20" t="s">
        <v>84</v>
      </c>
      <c r="J20" s="9">
        <v>54</v>
      </c>
      <c r="P20" s="14"/>
    </row>
    <row r="21" spans="2:16" x14ac:dyDescent="0.45">
      <c r="B21" s="13"/>
      <c r="C21" s="22" t="s">
        <v>86</v>
      </c>
      <c r="J21" s="9">
        <v>33</v>
      </c>
      <c r="P21" s="14"/>
    </row>
    <row r="22" spans="2:16" x14ac:dyDescent="0.45">
      <c r="B22" s="13"/>
      <c r="C22" s="9" cm="1">
        <f t="array" ref="C22:H22">ByDiagλ(Grid,_xleta.COUNT)</f>
        <v>6</v>
      </c>
      <c r="D22" s="9">
        <v>5</v>
      </c>
      <c r="E22" s="9">
        <v>4</v>
      </c>
      <c r="F22" s="9">
        <v>3</v>
      </c>
      <c r="G22" s="9">
        <v>2</v>
      </c>
      <c r="H22" s="9">
        <v>1</v>
      </c>
      <c r="J22" s="9">
        <v>17</v>
      </c>
      <c r="P22" s="14"/>
    </row>
    <row r="23" spans="2:16" x14ac:dyDescent="0.45">
      <c r="B23" s="13"/>
      <c r="J23" s="9">
        <v>6</v>
      </c>
      <c r="P23" s="14"/>
    </row>
    <row r="24" spans="2:16" x14ac:dyDescent="0.45">
      <c r="B24" s="13"/>
      <c r="P24" s="14"/>
    </row>
    <row r="25" spans="2:16" x14ac:dyDescent="0.45">
      <c r="B25" s="13"/>
      <c r="C25" s="20" t="s">
        <v>88</v>
      </c>
      <c r="J25" s="20" t="s">
        <v>94</v>
      </c>
      <c r="P25" s="14"/>
    </row>
    <row r="26" spans="2:16" x14ac:dyDescent="0.45">
      <c r="B26" s="13"/>
      <c r="C26" s="22" t="s">
        <v>87</v>
      </c>
      <c r="J26" s="22" t="s">
        <v>93</v>
      </c>
      <c r="P26" s="14"/>
    </row>
    <row r="27" spans="2:16" x14ac:dyDescent="0.45">
      <c r="B27" s="13"/>
      <c r="C27" s="9" cm="1">
        <f t="array" ref="C27:H27">ByDiagλ(Grid,_xleta.AVERAGE)</f>
        <v>18.5</v>
      </c>
      <c r="D27" s="9">
        <v>16</v>
      </c>
      <c r="E27" s="9">
        <v>13.5</v>
      </c>
      <c r="F27" s="9">
        <v>11</v>
      </c>
      <c r="G27" s="9">
        <v>8.5</v>
      </c>
      <c r="H27" s="9">
        <v>6</v>
      </c>
      <c r="J27" s="9" cm="1">
        <f t="array" ref="J27:O32">DiagMapλ(Grid)</f>
        <v>1</v>
      </c>
      <c r="K27" s="9">
        <v>2</v>
      </c>
      <c r="L27" s="9">
        <v>3</v>
      </c>
      <c r="M27" s="9">
        <v>4</v>
      </c>
      <c r="N27" s="9">
        <v>5</v>
      </c>
      <c r="O27" s="9">
        <v>6</v>
      </c>
      <c r="P27" s="14"/>
    </row>
    <row r="28" spans="2:16" x14ac:dyDescent="0.45">
      <c r="B28" s="13"/>
      <c r="J28" s="9">
        <v>8</v>
      </c>
      <c r="K28" s="9">
        <v>9</v>
      </c>
      <c r="L28" s="9">
        <v>10</v>
      </c>
      <c r="M28" s="9">
        <v>11</v>
      </c>
      <c r="N28" s="9">
        <v>12</v>
      </c>
      <c r="O28" s="23" t="str">
        <v/>
      </c>
      <c r="P28" s="14"/>
    </row>
    <row r="29" spans="2:16" x14ac:dyDescent="0.45">
      <c r="B29" s="13"/>
      <c r="C29" s="20" t="s">
        <v>90</v>
      </c>
      <c r="J29" s="9">
        <v>15</v>
      </c>
      <c r="K29" s="9">
        <v>16</v>
      </c>
      <c r="L29" s="9">
        <v>17</v>
      </c>
      <c r="M29" s="9">
        <v>18</v>
      </c>
      <c r="N29" s="42" t="str">
        <v/>
      </c>
      <c r="O29" s="23" t="str">
        <v/>
      </c>
      <c r="P29" s="14"/>
    </row>
    <row r="30" spans="2:16" x14ac:dyDescent="0.45">
      <c r="B30" s="13"/>
      <c r="C30" s="22" t="s">
        <v>89</v>
      </c>
      <c r="J30" s="9">
        <v>22</v>
      </c>
      <c r="K30" s="9">
        <v>23</v>
      </c>
      <c r="L30" s="9">
        <v>24</v>
      </c>
      <c r="M30" s="42" t="str">
        <v/>
      </c>
      <c r="N30" s="23" t="str">
        <v/>
      </c>
      <c r="O30" s="23" t="str">
        <v/>
      </c>
      <c r="P30" s="14"/>
    </row>
    <row r="31" spans="2:16" x14ac:dyDescent="0.45">
      <c r="B31" s="13"/>
      <c r="C31" s="9" cm="1">
        <f t="array" ref="C31:H31">ByDiagλ(Grid,_xlfn.LAMBDA(_xlpm.v,MAX(_xlpm.v)-MIN(_xlpm.v)))</f>
        <v>35</v>
      </c>
      <c r="D31" s="9">
        <v>28</v>
      </c>
      <c r="E31" s="9">
        <v>21</v>
      </c>
      <c r="F31" s="9">
        <v>14</v>
      </c>
      <c r="G31" s="9">
        <v>7</v>
      </c>
      <c r="H31" s="9">
        <v>0</v>
      </c>
      <c r="J31" s="9">
        <v>29</v>
      </c>
      <c r="K31" s="9">
        <v>30</v>
      </c>
      <c r="L31" s="42" t="str">
        <v/>
      </c>
      <c r="M31" s="23" t="str">
        <v/>
      </c>
      <c r="N31" s="23" t="str">
        <v/>
      </c>
      <c r="O31" s="23" t="str">
        <v/>
      </c>
      <c r="P31" s="14"/>
    </row>
    <row r="32" spans="2:16" x14ac:dyDescent="0.45">
      <c r="B32" s="13"/>
      <c r="J32" s="9">
        <v>36</v>
      </c>
      <c r="K32" s="42" t="str">
        <v/>
      </c>
      <c r="L32" s="23" t="str">
        <v/>
      </c>
      <c r="M32" s="23" t="str">
        <v/>
      </c>
      <c r="N32" s="23" t="str">
        <v/>
      </c>
      <c r="O32" s="23" t="str">
        <v/>
      </c>
      <c r="P32" s="14"/>
    </row>
    <row r="33" spans="2:16" x14ac:dyDescent="0.45">
      <c r="B33" s="13"/>
      <c r="P33" s="14"/>
    </row>
    <row r="34" spans="2:16" x14ac:dyDescent="0.45">
      <c r="B34" s="13"/>
      <c r="J34" s="20" t="s">
        <v>96</v>
      </c>
      <c r="P34" s="14"/>
    </row>
    <row r="35" spans="2:16" x14ac:dyDescent="0.45">
      <c r="B35" s="13"/>
      <c r="J35" s="45" t="s">
        <v>95</v>
      </c>
      <c r="K35" s="17"/>
      <c r="L35" s="17"/>
      <c r="M35" s="17"/>
      <c r="N35" s="17"/>
      <c r="O35" s="17"/>
      <c r="P35" s="14"/>
    </row>
    <row r="36" spans="2:16" x14ac:dyDescent="0.45">
      <c r="B36" s="13"/>
      <c r="J36" s="9" cm="1">
        <f t="array" ref="J36:O41">DiagMapλ(Grid,TRUE)</f>
        <v>1</v>
      </c>
      <c r="K36" s="9">
        <v>8</v>
      </c>
      <c r="L36" s="9">
        <v>15</v>
      </c>
      <c r="M36" s="9">
        <v>22</v>
      </c>
      <c r="N36" s="9">
        <v>29</v>
      </c>
      <c r="O36" s="9">
        <v>36</v>
      </c>
      <c r="P36" s="14"/>
    </row>
    <row r="37" spans="2:16" x14ac:dyDescent="0.45">
      <c r="B37" s="13"/>
      <c r="J37" s="9">
        <v>2</v>
      </c>
      <c r="K37" s="9">
        <v>9</v>
      </c>
      <c r="L37" s="9">
        <v>16</v>
      </c>
      <c r="M37" s="9">
        <v>23</v>
      </c>
      <c r="N37" s="9">
        <v>30</v>
      </c>
      <c r="O37" t="str">
        <v/>
      </c>
      <c r="P37" s="14"/>
    </row>
    <row r="38" spans="2:16" x14ac:dyDescent="0.45">
      <c r="B38" s="13"/>
      <c r="J38" s="9">
        <v>3</v>
      </c>
      <c r="K38" s="9">
        <v>10</v>
      </c>
      <c r="L38" s="9">
        <v>17</v>
      </c>
      <c r="M38" s="9">
        <v>24</v>
      </c>
      <c r="N38" t="str">
        <v/>
      </c>
      <c r="O38" t="str">
        <v/>
      </c>
      <c r="P38" s="14"/>
    </row>
    <row r="39" spans="2:16" x14ac:dyDescent="0.45">
      <c r="B39" s="13"/>
      <c r="J39" s="9">
        <v>4</v>
      </c>
      <c r="K39" s="9">
        <v>11</v>
      </c>
      <c r="L39" s="9">
        <v>18</v>
      </c>
      <c r="M39" t="str">
        <v/>
      </c>
      <c r="N39" t="str">
        <v/>
      </c>
      <c r="O39" t="str">
        <v/>
      </c>
      <c r="P39" s="14"/>
    </row>
    <row r="40" spans="2:16" x14ac:dyDescent="0.45">
      <c r="B40" s="13"/>
      <c r="J40" s="9">
        <v>5</v>
      </c>
      <c r="K40" s="9">
        <v>12</v>
      </c>
      <c r="L40" t="str">
        <v/>
      </c>
      <c r="M40" t="str">
        <v/>
      </c>
      <c r="N40" t="str">
        <v/>
      </c>
      <c r="O40" t="str">
        <v/>
      </c>
      <c r="P40" s="14"/>
    </row>
    <row r="41" spans="2:16" x14ac:dyDescent="0.45">
      <c r="B41" s="13"/>
      <c r="J41" s="9">
        <v>6</v>
      </c>
      <c r="K41" t="str">
        <v/>
      </c>
      <c r="L41" t="str">
        <v/>
      </c>
      <c r="M41" t="str">
        <v/>
      </c>
      <c r="N41" t="str">
        <v/>
      </c>
      <c r="O41" t="str">
        <v/>
      </c>
      <c r="P41" s="14"/>
    </row>
    <row r="42" spans="2:16" x14ac:dyDescent="0.45">
      <c r="B42" s="13"/>
      <c r="P42" s="14"/>
    </row>
    <row r="43" spans="2:16" x14ac:dyDescent="0.45">
      <c r="B43" s="16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FA356-E2AB-497C-8BFE-1303C0177002}">
  <sheetPr>
    <tabColor rgb="FFB8DAD2"/>
  </sheetPr>
  <dimension ref="B2:L34"/>
  <sheetViews>
    <sheetView zoomScaleNormal="100" workbookViewId="0"/>
  </sheetViews>
  <sheetFormatPr defaultRowHeight="16.5" x14ac:dyDescent="0.45"/>
  <cols>
    <col min="1" max="1" width="5" customWidth="1"/>
    <col min="3" max="10" width="6.58203125" customWidth="1"/>
  </cols>
  <sheetData>
    <row r="2" spans="2:12" x14ac:dyDescent="0.45">
      <c r="B2" s="30" t="s">
        <v>97</v>
      </c>
      <c r="C2" s="11"/>
      <c r="D2" s="11"/>
      <c r="E2" s="11"/>
      <c r="F2" s="11"/>
      <c r="G2" s="11"/>
      <c r="H2" s="11"/>
      <c r="I2" s="11"/>
      <c r="J2" s="11"/>
      <c r="K2" s="11"/>
      <c r="L2" s="12"/>
    </row>
    <row r="3" spans="2:12" x14ac:dyDescent="0.45">
      <c r="B3" s="13" t="s">
        <v>98</v>
      </c>
      <c r="L3" s="14"/>
    </row>
    <row r="4" spans="2:12" x14ac:dyDescent="0.45">
      <c r="B4" s="16" t="s">
        <v>99</v>
      </c>
      <c r="C4" s="17"/>
      <c r="D4" s="17"/>
      <c r="E4" s="17"/>
      <c r="F4" s="17"/>
      <c r="G4" s="17"/>
      <c r="H4" s="17"/>
      <c r="I4" s="17"/>
      <c r="J4" s="17"/>
      <c r="K4" s="17"/>
      <c r="L4" s="18"/>
    </row>
    <row r="5" spans="2:12" ht="5" customHeight="1" x14ac:dyDescent="0.45">
      <c r="B5" s="13"/>
      <c r="L5" s="14"/>
    </row>
    <row r="6" spans="2:12" ht="17" thickBot="1" x14ac:dyDescent="0.5">
      <c r="B6" s="13"/>
      <c r="C6" s="21" t="s">
        <v>100</v>
      </c>
      <c r="L6" s="14"/>
    </row>
    <row r="7" spans="2:12" ht="20" customHeight="1" thickTop="1" thickBot="1" x14ac:dyDescent="0.5">
      <c r="B7" s="13"/>
      <c r="C7" s="50">
        <v>1</v>
      </c>
      <c r="D7" s="51">
        <v>2</v>
      </c>
      <c r="E7" s="52">
        <v>3</v>
      </c>
      <c r="F7" s="50">
        <v>4</v>
      </c>
      <c r="G7" s="51">
        <v>5</v>
      </c>
      <c r="H7" s="53">
        <v>6</v>
      </c>
      <c r="I7" s="53">
        <v>7</v>
      </c>
      <c r="J7" s="53">
        <v>8</v>
      </c>
      <c r="L7" s="14"/>
    </row>
    <row r="8" spans="2:12" ht="20" customHeight="1" thickTop="1" x14ac:dyDescent="0.45">
      <c r="B8" s="13"/>
      <c r="C8" s="54">
        <v>9</v>
      </c>
      <c r="D8" s="55">
        <v>10</v>
      </c>
      <c r="E8" s="56">
        <v>11</v>
      </c>
      <c r="F8" s="54">
        <v>12</v>
      </c>
      <c r="G8" s="57">
        <v>13</v>
      </c>
      <c r="H8" s="53">
        <v>14</v>
      </c>
      <c r="I8" s="53">
        <v>15</v>
      </c>
      <c r="J8" s="53">
        <v>16</v>
      </c>
      <c r="L8" s="14"/>
    </row>
    <row r="9" spans="2:12" ht="20" customHeight="1" x14ac:dyDescent="0.45">
      <c r="B9" s="13"/>
      <c r="C9" s="53">
        <v>17</v>
      </c>
      <c r="D9" s="56">
        <v>18</v>
      </c>
      <c r="E9" s="55">
        <v>19</v>
      </c>
      <c r="F9" s="53">
        <v>20</v>
      </c>
      <c r="G9" s="53">
        <v>21</v>
      </c>
      <c r="H9" s="57">
        <v>22</v>
      </c>
      <c r="I9" s="53">
        <v>23</v>
      </c>
      <c r="J9" s="53">
        <v>24</v>
      </c>
      <c r="L9" s="14"/>
    </row>
    <row r="10" spans="2:12" ht="20" customHeight="1" x14ac:dyDescent="0.45">
      <c r="B10" s="13"/>
      <c r="C10" s="56">
        <v>25</v>
      </c>
      <c r="D10" s="53">
        <v>26</v>
      </c>
      <c r="E10" s="53">
        <v>27</v>
      </c>
      <c r="F10" s="55">
        <v>28</v>
      </c>
      <c r="G10" s="53">
        <v>29</v>
      </c>
      <c r="H10" s="53">
        <v>30</v>
      </c>
      <c r="I10" s="57">
        <v>31</v>
      </c>
      <c r="J10" s="53">
        <v>32</v>
      </c>
      <c r="L10" s="14"/>
    </row>
    <row r="11" spans="2:12" ht="20" customHeight="1" x14ac:dyDescent="0.45">
      <c r="B11" s="13"/>
      <c r="C11" s="53">
        <v>33</v>
      </c>
      <c r="D11" s="53">
        <v>34</v>
      </c>
      <c r="E11" s="53">
        <v>35</v>
      </c>
      <c r="F11" s="53">
        <v>36</v>
      </c>
      <c r="G11" s="55">
        <v>37</v>
      </c>
      <c r="H11" s="53">
        <v>38</v>
      </c>
      <c r="I11" s="53">
        <v>39</v>
      </c>
      <c r="J11" s="57">
        <v>40</v>
      </c>
      <c r="L11" s="14"/>
    </row>
    <row r="12" spans="2:12" ht="20" customHeight="1" x14ac:dyDescent="0.45">
      <c r="B12" s="13"/>
      <c r="C12" s="53">
        <v>41</v>
      </c>
      <c r="D12" s="53">
        <v>42</v>
      </c>
      <c r="E12" s="53">
        <v>43</v>
      </c>
      <c r="F12" s="53">
        <v>44</v>
      </c>
      <c r="G12" s="53">
        <v>45</v>
      </c>
      <c r="H12" s="55">
        <v>46</v>
      </c>
      <c r="I12" s="53">
        <v>47</v>
      </c>
      <c r="J12" s="53">
        <v>48</v>
      </c>
      <c r="L12" s="14"/>
    </row>
    <row r="13" spans="2:12" ht="20" customHeight="1" x14ac:dyDescent="0.45">
      <c r="B13" s="13"/>
      <c r="C13" s="53">
        <v>49</v>
      </c>
      <c r="D13" s="53">
        <v>50</v>
      </c>
      <c r="E13" s="53">
        <v>51</v>
      </c>
      <c r="F13" s="53">
        <v>52</v>
      </c>
      <c r="G13" s="53">
        <v>53</v>
      </c>
      <c r="H13" s="53">
        <v>54</v>
      </c>
      <c r="I13" s="55">
        <v>55</v>
      </c>
      <c r="J13" s="53">
        <v>56</v>
      </c>
      <c r="L13" s="14"/>
    </row>
    <row r="14" spans="2:12" ht="20" customHeight="1" x14ac:dyDescent="0.45">
      <c r="B14" s="13"/>
      <c r="C14" s="53">
        <v>57</v>
      </c>
      <c r="D14" s="53">
        <v>58</v>
      </c>
      <c r="E14" s="53">
        <v>59</v>
      </c>
      <c r="F14" s="53">
        <v>60</v>
      </c>
      <c r="G14" s="53">
        <v>61</v>
      </c>
      <c r="H14" s="53">
        <v>62</v>
      </c>
      <c r="I14" s="53">
        <v>63</v>
      </c>
      <c r="J14" s="55">
        <v>64</v>
      </c>
      <c r="L14" s="14"/>
    </row>
    <row r="15" spans="2:12" ht="15.5" customHeight="1" x14ac:dyDescent="0.45">
      <c r="B15" s="13"/>
      <c r="L15" s="14"/>
    </row>
    <row r="16" spans="2:12" x14ac:dyDescent="0.45">
      <c r="B16" s="13"/>
      <c r="C16" s="20" t="s">
        <v>102</v>
      </c>
      <c r="H16" s="20" t="s">
        <v>104</v>
      </c>
      <c r="L16" s="14"/>
    </row>
    <row r="17" spans="2:12" x14ac:dyDescent="0.45">
      <c r="B17" s="13"/>
      <c r="C17" s="22" t="s">
        <v>101</v>
      </c>
      <c r="H17" s="22" t="s">
        <v>103</v>
      </c>
      <c r="L17" s="14"/>
    </row>
    <row r="18" spans="2:12" x14ac:dyDescent="0.45">
      <c r="B18" s="13"/>
      <c r="C18" s="47" cm="1">
        <f t="array" ref="C18:C22">DiagIndexλ(GridB,4)</f>
        <v>4</v>
      </c>
      <c r="H18" s="49" cm="1">
        <f t="array" ref="H18:H21">DiagIndexλ(GridB,-4)</f>
        <v>4</v>
      </c>
      <c r="L18" s="14"/>
    </row>
    <row r="19" spans="2:12" x14ac:dyDescent="0.45">
      <c r="B19" s="13"/>
      <c r="C19" s="47">
        <v>13</v>
      </c>
      <c r="H19" s="49">
        <v>11</v>
      </c>
      <c r="L19" s="14"/>
    </row>
    <row r="20" spans="2:12" x14ac:dyDescent="0.45">
      <c r="B20" s="13"/>
      <c r="C20" s="47">
        <v>22</v>
      </c>
      <c r="H20" s="49">
        <v>18</v>
      </c>
      <c r="L20" s="14"/>
    </row>
    <row r="21" spans="2:12" x14ac:dyDescent="0.45">
      <c r="B21" s="13"/>
      <c r="C21" s="47">
        <v>31</v>
      </c>
      <c r="H21" s="49">
        <v>25</v>
      </c>
      <c r="L21" s="14"/>
    </row>
    <row r="22" spans="2:12" x14ac:dyDescent="0.45">
      <c r="B22" s="13"/>
      <c r="C22" s="47">
        <v>40</v>
      </c>
      <c r="L22" s="14"/>
    </row>
    <row r="23" spans="2:12" x14ac:dyDescent="0.45">
      <c r="B23" s="13"/>
      <c r="L23" s="14"/>
    </row>
    <row r="24" spans="2:12" x14ac:dyDescent="0.45">
      <c r="B24" s="13"/>
      <c r="C24" s="20" t="s">
        <v>106</v>
      </c>
      <c r="H24" s="20" t="s">
        <v>108</v>
      </c>
      <c r="L24" s="14"/>
    </row>
    <row r="25" spans="2:12" ht="17" thickBot="1" x14ac:dyDescent="0.5">
      <c r="B25" s="13"/>
      <c r="C25" s="22" t="s">
        <v>105</v>
      </c>
      <c r="H25" s="22" t="s">
        <v>107</v>
      </c>
      <c r="L25" s="14"/>
    </row>
    <row r="26" spans="2:12" ht="17.5" thickTop="1" thickBot="1" x14ac:dyDescent="0.5">
      <c r="B26" s="13"/>
      <c r="C26" s="48" cm="1">
        <f t="array" ref="C26:C33">DiagIndexλ(GridB,1)</f>
        <v>1</v>
      </c>
      <c r="H26" s="46" cm="1">
        <f t="array" ref="H26">DiagIndexλ(GridB,-1)</f>
        <v>1</v>
      </c>
      <c r="L26" s="14"/>
    </row>
    <row r="27" spans="2:12" ht="17" thickTop="1" x14ac:dyDescent="0.45">
      <c r="B27" s="13"/>
      <c r="C27" s="48">
        <v>10</v>
      </c>
      <c r="L27" s="14"/>
    </row>
    <row r="28" spans="2:12" x14ac:dyDescent="0.45">
      <c r="B28" s="13"/>
      <c r="C28" s="48">
        <v>19</v>
      </c>
      <c r="L28" s="14"/>
    </row>
    <row r="29" spans="2:12" x14ac:dyDescent="0.45">
      <c r="B29" s="13"/>
      <c r="C29" s="48">
        <v>28</v>
      </c>
      <c r="L29" s="14"/>
    </row>
    <row r="30" spans="2:12" x14ac:dyDescent="0.45">
      <c r="B30" s="13"/>
      <c r="C30" s="48">
        <v>37</v>
      </c>
      <c r="L30" s="14"/>
    </row>
    <row r="31" spans="2:12" x14ac:dyDescent="0.45">
      <c r="B31" s="13"/>
      <c r="C31" s="48">
        <v>46</v>
      </c>
      <c r="L31" s="14"/>
    </row>
    <row r="32" spans="2:12" x14ac:dyDescent="0.45">
      <c r="B32" s="13"/>
      <c r="C32" s="48">
        <v>55</v>
      </c>
      <c r="L32" s="14"/>
    </row>
    <row r="33" spans="2:12" x14ac:dyDescent="0.45">
      <c r="B33" s="13"/>
      <c r="C33" s="48">
        <v>64</v>
      </c>
      <c r="L33" s="14"/>
    </row>
    <row r="34" spans="2:12" x14ac:dyDescent="0.45">
      <c r="B34" s="16"/>
      <c r="C34" s="17"/>
      <c r="D34" s="17"/>
      <c r="E34" s="17"/>
      <c r="F34" s="17"/>
      <c r="G34" s="17"/>
      <c r="H34" s="17"/>
      <c r="I34" s="17"/>
      <c r="J34" s="17"/>
      <c r="K34" s="17"/>
      <c r="L34" s="1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A7277-EBDE-4040-A5F9-75B5D2960995}">
  <sheetPr>
    <tabColor rgb="FFB8DAD2"/>
  </sheetPr>
  <dimension ref="B2:O36"/>
  <sheetViews>
    <sheetView workbookViewId="0"/>
  </sheetViews>
  <sheetFormatPr defaultRowHeight="16.5" x14ac:dyDescent="0.45"/>
  <cols>
    <col min="1" max="1" width="5" customWidth="1"/>
    <col min="3" max="3" width="14.58203125" bestFit="1" customWidth="1"/>
    <col min="4" max="4" width="9.1640625" customWidth="1"/>
    <col min="5" max="5" width="15.83203125" bestFit="1" customWidth="1"/>
    <col min="6" max="6" width="4.5" customWidth="1"/>
    <col min="7" max="7" width="14.58203125" bestFit="1" customWidth="1"/>
    <col min="8" max="8" width="19" customWidth="1"/>
    <col min="9" max="9" width="6.4140625" customWidth="1"/>
    <col min="10" max="10" width="6.6640625" customWidth="1"/>
    <col min="11" max="11" width="4.75" customWidth="1"/>
    <col min="15" max="15" width="9.83203125" customWidth="1"/>
  </cols>
  <sheetData>
    <row r="2" spans="2:15" x14ac:dyDescent="0.45">
      <c r="B2" s="30" t="s">
        <v>109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2"/>
    </row>
    <row r="3" spans="2:15" x14ac:dyDescent="0.45">
      <c r="B3" s="15" t="s">
        <v>165</v>
      </c>
      <c r="O3" s="14"/>
    </row>
    <row r="4" spans="2:15" x14ac:dyDescent="0.45">
      <c r="B4" s="13" t="s">
        <v>110</v>
      </c>
      <c r="O4" s="14"/>
    </row>
    <row r="5" spans="2:15" x14ac:dyDescent="0.45">
      <c r="B5" s="13" t="s">
        <v>111</v>
      </c>
      <c r="O5" s="14"/>
    </row>
    <row r="6" spans="2:15" ht="10.5" customHeight="1" x14ac:dyDescent="0.45">
      <c r="B6" s="16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8"/>
    </row>
    <row r="7" spans="2:15" x14ac:dyDescent="0.45">
      <c r="B7" s="19"/>
      <c r="C7" s="11"/>
      <c r="D7" s="11"/>
      <c r="E7" s="11"/>
      <c r="F7" s="11"/>
      <c r="G7" s="11"/>
      <c r="H7" s="12"/>
      <c r="I7" s="11"/>
      <c r="J7" s="11"/>
      <c r="K7" s="11"/>
      <c r="L7" s="11"/>
      <c r="M7" s="11"/>
      <c r="N7" s="11"/>
      <c r="O7" s="12"/>
    </row>
    <row r="8" spans="2:15" x14ac:dyDescent="0.45">
      <c r="B8" s="13"/>
      <c r="C8" s="21" t="s">
        <v>112</v>
      </c>
      <c r="E8" s="21" t="s">
        <v>113</v>
      </c>
      <c r="G8" s="20" t="s">
        <v>120</v>
      </c>
      <c r="H8" s="14"/>
      <c r="J8" s="21" t="s">
        <v>121</v>
      </c>
      <c r="L8" s="20" t="s">
        <v>127</v>
      </c>
      <c r="O8" s="14"/>
    </row>
    <row r="9" spans="2:15" x14ac:dyDescent="0.45">
      <c r="B9" s="13"/>
      <c r="C9" s="179" t="s">
        <v>114</v>
      </c>
      <c r="E9" s="179" t="s">
        <v>117</v>
      </c>
      <c r="G9" s="22" t="s">
        <v>119</v>
      </c>
      <c r="H9" s="14"/>
      <c r="J9" s="179" t="s">
        <v>122</v>
      </c>
      <c r="L9" s="22" t="s">
        <v>126</v>
      </c>
      <c r="O9" s="14"/>
    </row>
    <row r="10" spans="2:15" x14ac:dyDescent="0.45">
      <c r="B10" s="13"/>
      <c r="C10" s="179" t="s">
        <v>115</v>
      </c>
      <c r="E10" s="179" t="s">
        <v>118</v>
      </c>
      <c r="G10" s="62" t="str" cm="1">
        <f t="array" ref="G10:H15">Pairwiseλ(GroupA,GroupB)</f>
        <v>Crimson Falcons</v>
      </c>
      <c r="H10" s="63" t="str">
        <v>Shadow Panthers</v>
      </c>
      <c r="J10" s="179" t="s">
        <v>124</v>
      </c>
      <c r="L10" s="62" t="str" cm="1">
        <f t="array" ref="L10:M14">Pairwiseλ("Gail",Team)</f>
        <v>Gail</v>
      </c>
      <c r="M10" s="63" t="str">
        <v>Deb</v>
      </c>
      <c r="O10" s="14"/>
    </row>
    <row r="11" spans="2:15" x14ac:dyDescent="0.45">
      <c r="B11" s="13"/>
      <c r="C11" s="179" t="s">
        <v>116</v>
      </c>
      <c r="E11" s="8"/>
      <c r="G11" s="62" t="str">
        <v>Crimson Falcons</v>
      </c>
      <c r="H11" s="63" t="str">
        <v>Iron Rhinos</v>
      </c>
      <c r="J11" s="179" t="s">
        <v>125</v>
      </c>
      <c r="L11" s="62" t="str">
        <v>Gail</v>
      </c>
      <c r="M11" s="63" t="str">
        <v>Jack</v>
      </c>
      <c r="O11" s="14"/>
    </row>
    <row r="12" spans="2:15" x14ac:dyDescent="0.45">
      <c r="B12" s="13"/>
      <c r="G12" s="62" t="str">
        <v>Silver Wolves</v>
      </c>
      <c r="H12" s="63" t="str">
        <v>Shadow Panthers</v>
      </c>
      <c r="J12" s="179" t="s">
        <v>128</v>
      </c>
      <c r="L12" s="62" t="str">
        <v>Gail</v>
      </c>
      <c r="M12" s="63" t="str">
        <v>Suzy</v>
      </c>
      <c r="O12" s="14"/>
    </row>
    <row r="13" spans="2:15" x14ac:dyDescent="0.45">
      <c r="B13" s="13"/>
      <c r="G13" s="62" t="str">
        <v>Silver Wolves</v>
      </c>
      <c r="H13" s="63" t="str">
        <v>Iron Rhinos</v>
      </c>
      <c r="J13" s="179" t="s">
        <v>129</v>
      </c>
      <c r="L13" s="62" t="str">
        <v>Gail</v>
      </c>
      <c r="M13" s="63" t="str">
        <v>Gus</v>
      </c>
      <c r="O13" s="14"/>
    </row>
    <row r="14" spans="2:15" x14ac:dyDescent="0.45">
      <c r="B14" s="13"/>
      <c r="G14" s="62" t="str">
        <v>Golden Tigers</v>
      </c>
      <c r="H14" s="63" t="str">
        <v>Shadow Panthers</v>
      </c>
      <c r="L14" s="62" t="str">
        <v>Gail</v>
      </c>
      <c r="M14" s="63" t="str">
        <v>Rusty</v>
      </c>
      <c r="O14" s="14"/>
    </row>
    <row r="15" spans="2:15" x14ac:dyDescent="0.45">
      <c r="B15" s="16"/>
      <c r="C15" s="17"/>
      <c r="D15" s="17"/>
      <c r="E15" s="17"/>
      <c r="F15" s="17"/>
      <c r="G15" s="62" t="str">
        <v>Golden Tigers</v>
      </c>
      <c r="H15" s="63" t="str">
        <v>Iron Rhinos</v>
      </c>
      <c r="I15" s="17"/>
      <c r="J15" s="17"/>
      <c r="K15" s="17"/>
      <c r="L15" s="17"/>
      <c r="M15" s="17"/>
      <c r="N15" s="17"/>
      <c r="O15" s="18"/>
    </row>
    <row r="16" spans="2:15" x14ac:dyDescent="0.45">
      <c r="B16" s="13"/>
      <c r="C16" s="17"/>
      <c r="D16" s="17"/>
      <c r="E16" s="25"/>
      <c r="G16" s="8"/>
      <c r="H16" s="8"/>
      <c r="O16" s="14"/>
    </row>
    <row r="17" spans="2:15" x14ac:dyDescent="0.45">
      <c r="B17" s="61" t="s">
        <v>134</v>
      </c>
      <c r="C17" s="180" t="s">
        <v>135</v>
      </c>
      <c r="D17" s="180" t="s">
        <v>136</v>
      </c>
      <c r="E17" s="180" t="s">
        <v>137</v>
      </c>
      <c r="G17" s="59" t="s">
        <v>140</v>
      </c>
      <c r="H17" s="8"/>
      <c r="L17" s="20" t="s">
        <v>141</v>
      </c>
      <c r="O17" s="14"/>
    </row>
    <row r="18" spans="2:15" x14ac:dyDescent="0.45">
      <c r="B18" s="13"/>
      <c r="E18" s="27"/>
      <c r="G18" s="22" t="s">
        <v>139</v>
      </c>
      <c r="J18" s="21" t="s">
        <v>348</v>
      </c>
      <c r="L18" s="22" t="s">
        <v>349</v>
      </c>
      <c r="O18" s="14"/>
    </row>
    <row r="19" spans="2:15" x14ac:dyDescent="0.45">
      <c r="B19" s="13"/>
      <c r="C19" s="64" t="s">
        <v>138</v>
      </c>
      <c r="G19" s="32" t="str" cm="1">
        <f t="array" ref="G19:H30">Pairwiseλ(Item,Sizes)</f>
        <v>Shirt</v>
      </c>
      <c r="H19" s="32" t="str">
        <v>Small</v>
      </c>
      <c r="J19" s="65" cm="1">
        <f t="array" ref="J19:J22">_xlfn.SEQUENCE(4)</f>
        <v>1</v>
      </c>
      <c r="L19" s="9" cm="1">
        <f t="array" ref="L19:M34">Pairwiseλ(_xlfn.ANCHORARRAY(J19),_xlfn.ANCHORARRAY(J19))</f>
        <v>1</v>
      </c>
      <c r="M19" s="9">
        <v>1</v>
      </c>
      <c r="O19" s="14"/>
    </row>
    <row r="20" spans="2:15" x14ac:dyDescent="0.45">
      <c r="B20" s="13"/>
      <c r="C20" s="65" t="s">
        <v>130</v>
      </c>
      <c r="G20" s="32" t="str">
        <v>Shirt</v>
      </c>
      <c r="H20" s="32" t="str">
        <v>Medium</v>
      </c>
      <c r="J20" s="65">
        <v>2</v>
      </c>
      <c r="L20" s="9">
        <v>1</v>
      </c>
      <c r="M20" s="9">
        <v>2</v>
      </c>
      <c r="O20" s="14"/>
    </row>
    <row r="21" spans="2:15" x14ac:dyDescent="0.45">
      <c r="B21" s="13"/>
      <c r="C21" s="65" t="s">
        <v>131</v>
      </c>
      <c r="G21" s="32" t="str">
        <v>Shirt</v>
      </c>
      <c r="H21" s="32" t="str">
        <v>Large</v>
      </c>
      <c r="J21" s="65">
        <v>3</v>
      </c>
      <c r="L21" s="9">
        <v>1</v>
      </c>
      <c r="M21" s="9">
        <v>3</v>
      </c>
      <c r="O21" s="14"/>
    </row>
    <row r="22" spans="2:15" x14ac:dyDescent="0.45">
      <c r="B22" s="13"/>
      <c r="C22" s="65" t="s">
        <v>132</v>
      </c>
      <c r="G22" s="32" t="str">
        <v>Slacks</v>
      </c>
      <c r="H22" s="32" t="str">
        <v>Small</v>
      </c>
      <c r="J22" s="65">
        <v>4</v>
      </c>
      <c r="L22" s="9">
        <v>1</v>
      </c>
      <c r="M22" s="9">
        <v>4</v>
      </c>
      <c r="O22" s="14"/>
    </row>
    <row r="23" spans="2:15" x14ac:dyDescent="0.45">
      <c r="B23" s="13"/>
      <c r="C23" s="65" t="s">
        <v>133</v>
      </c>
      <c r="G23" s="32" t="str">
        <v>Slacks</v>
      </c>
      <c r="H23" s="32" t="str">
        <v>Medium</v>
      </c>
      <c r="J23" s="167"/>
      <c r="L23" s="9">
        <v>2</v>
      </c>
      <c r="M23" s="9">
        <v>1</v>
      </c>
      <c r="O23" s="14"/>
    </row>
    <row r="24" spans="2:15" x14ac:dyDescent="0.45">
      <c r="B24" s="13"/>
      <c r="G24" s="32" t="str">
        <v>Slacks</v>
      </c>
      <c r="H24" s="32" t="str">
        <v>Large</v>
      </c>
      <c r="J24" s="23"/>
      <c r="L24" s="9">
        <v>2</v>
      </c>
      <c r="M24" s="9">
        <v>2</v>
      </c>
      <c r="O24" s="14"/>
    </row>
    <row r="25" spans="2:15" x14ac:dyDescent="0.45">
      <c r="B25" s="13"/>
      <c r="G25" s="32" t="str">
        <v>Shorts</v>
      </c>
      <c r="H25" s="32" t="str">
        <v>Small</v>
      </c>
      <c r="L25" s="9">
        <v>2</v>
      </c>
      <c r="M25" s="9">
        <v>3</v>
      </c>
      <c r="O25" s="14"/>
    </row>
    <row r="26" spans="2:15" x14ac:dyDescent="0.45">
      <c r="B26" s="13"/>
      <c r="G26" s="32" t="str">
        <v>Shorts</v>
      </c>
      <c r="H26" s="32" t="str">
        <v>Medium</v>
      </c>
      <c r="L26" s="9">
        <v>2</v>
      </c>
      <c r="M26" s="9">
        <v>4</v>
      </c>
      <c r="O26" s="14"/>
    </row>
    <row r="27" spans="2:15" x14ac:dyDescent="0.45">
      <c r="B27" s="13"/>
      <c r="G27" s="32" t="str">
        <v>Shorts</v>
      </c>
      <c r="H27" s="32" t="str">
        <v>Large</v>
      </c>
      <c r="L27" s="9">
        <v>3</v>
      </c>
      <c r="M27" s="9">
        <v>1</v>
      </c>
      <c r="O27" s="14"/>
    </row>
    <row r="28" spans="2:15" x14ac:dyDescent="0.45">
      <c r="B28" s="13"/>
      <c r="G28" s="32" t="str">
        <v>Jacket</v>
      </c>
      <c r="H28" s="32" t="str">
        <v>Small</v>
      </c>
      <c r="L28" s="9">
        <v>3</v>
      </c>
      <c r="M28" s="9">
        <v>2</v>
      </c>
      <c r="O28" s="14"/>
    </row>
    <row r="29" spans="2:15" x14ac:dyDescent="0.45">
      <c r="B29" s="13"/>
      <c r="G29" s="32" t="str">
        <v>Jacket</v>
      </c>
      <c r="H29" s="32" t="str">
        <v>Medium</v>
      </c>
      <c r="L29" s="9">
        <v>3</v>
      </c>
      <c r="M29" s="9">
        <v>3</v>
      </c>
      <c r="O29" s="14"/>
    </row>
    <row r="30" spans="2:15" x14ac:dyDescent="0.45">
      <c r="B30" s="13"/>
      <c r="G30" s="32" t="str">
        <v>Jacket</v>
      </c>
      <c r="H30" s="32" t="str">
        <v>Large</v>
      </c>
      <c r="L30" s="9">
        <v>3</v>
      </c>
      <c r="M30" s="9">
        <v>4</v>
      </c>
      <c r="O30" s="14"/>
    </row>
    <row r="31" spans="2:15" x14ac:dyDescent="0.45">
      <c r="B31" s="13"/>
      <c r="L31" s="9">
        <v>4</v>
      </c>
      <c r="M31" s="9">
        <v>1</v>
      </c>
      <c r="O31" s="14"/>
    </row>
    <row r="32" spans="2:15" x14ac:dyDescent="0.45">
      <c r="B32" s="13"/>
      <c r="L32" s="9">
        <v>4</v>
      </c>
      <c r="M32" s="9">
        <v>2</v>
      </c>
      <c r="O32" s="14"/>
    </row>
    <row r="33" spans="2:15" x14ac:dyDescent="0.45">
      <c r="B33" s="13"/>
      <c r="L33" s="9">
        <v>4</v>
      </c>
      <c r="M33" s="9">
        <v>3</v>
      </c>
      <c r="O33" s="14"/>
    </row>
    <row r="34" spans="2:15" x14ac:dyDescent="0.45">
      <c r="B34" s="13"/>
      <c r="L34" s="9">
        <v>4</v>
      </c>
      <c r="M34" s="9">
        <v>4</v>
      </c>
      <c r="O34" s="14"/>
    </row>
    <row r="35" spans="2:15" x14ac:dyDescent="0.45">
      <c r="B35" s="13"/>
      <c r="O35" s="14"/>
    </row>
    <row r="36" spans="2:15" x14ac:dyDescent="0.45">
      <c r="B36" s="16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2909-D8D6-4C95-9D85-FEBA28CFEE33}">
  <sheetPr>
    <tabColor rgb="FFB8DAD2"/>
  </sheetPr>
  <dimension ref="B2:M45"/>
  <sheetViews>
    <sheetView workbookViewId="0"/>
  </sheetViews>
  <sheetFormatPr defaultRowHeight="16.5" x14ac:dyDescent="0.45"/>
  <cols>
    <col min="1" max="1" width="5" customWidth="1"/>
    <col min="4" max="4" width="15.9140625" customWidth="1"/>
    <col min="6" max="6" width="17.33203125" customWidth="1"/>
    <col min="7" max="7" width="7.5" bestFit="1" customWidth="1"/>
    <col min="8" max="8" width="13.25" bestFit="1" customWidth="1"/>
    <col min="9" max="9" width="10.83203125" customWidth="1"/>
    <col min="10" max="10" width="13.83203125" customWidth="1"/>
    <col min="11" max="11" width="11.83203125" bestFit="1" customWidth="1"/>
  </cols>
  <sheetData>
    <row r="2" spans="2:13" x14ac:dyDescent="0.45">
      <c r="B2" s="30" t="s">
        <v>142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2"/>
    </row>
    <row r="3" spans="2:13" x14ac:dyDescent="0.45">
      <c r="B3" s="15" t="s">
        <v>147</v>
      </c>
      <c r="M3" s="14"/>
    </row>
    <row r="4" spans="2:13" x14ac:dyDescent="0.45">
      <c r="B4" s="13" t="s">
        <v>146</v>
      </c>
      <c r="M4" s="14"/>
    </row>
    <row r="5" spans="2:13" x14ac:dyDescent="0.45">
      <c r="B5" s="13" t="s">
        <v>143</v>
      </c>
      <c r="M5" s="14"/>
    </row>
    <row r="6" spans="2:13" x14ac:dyDescent="0.45">
      <c r="B6" s="13" t="s">
        <v>144</v>
      </c>
      <c r="M6" s="14"/>
    </row>
    <row r="7" spans="2:13" x14ac:dyDescent="0.45">
      <c r="B7" s="13" t="s">
        <v>145</v>
      </c>
      <c r="M7" s="14"/>
    </row>
    <row r="8" spans="2:13" x14ac:dyDescent="0.45">
      <c r="B8" s="15" t="s">
        <v>43</v>
      </c>
      <c r="M8" s="14"/>
    </row>
    <row r="9" spans="2:13" x14ac:dyDescent="0.45">
      <c r="B9" s="13" t="s">
        <v>148</v>
      </c>
      <c r="M9" s="14"/>
    </row>
    <row r="10" spans="2:13" x14ac:dyDescent="0.45">
      <c r="B10" s="13" t="s">
        <v>149</v>
      </c>
      <c r="M10" s="14"/>
    </row>
    <row r="11" spans="2:13" ht="9" customHeight="1" x14ac:dyDescent="0.45">
      <c r="B11" s="16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8"/>
    </row>
    <row r="12" spans="2:13" x14ac:dyDescent="0.45">
      <c r="B12" s="13"/>
      <c r="C12" s="68"/>
      <c r="D12" s="68"/>
      <c r="E12" s="21"/>
      <c r="M12" s="14"/>
    </row>
    <row r="13" spans="2:13" x14ac:dyDescent="0.45">
      <c r="B13" s="13"/>
      <c r="C13" s="65" t="s">
        <v>150</v>
      </c>
      <c r="D13" s="65" t="s">
        <v>151</v>
      </c>
      <c r="E13" s="21"/>
      <c r="F13" s="20" t="s">
        <v>153</v>
      </c>
      <c r="J13" s="20" t="s">
        <v>158</v>
      </c>
      <c r="M13" s="14"/>
    </row>
    <row r="14" spans="2:13" x14ac:dyDescent="0.45">
      <c r="B14" s="13"/>
      <c r="C14" s="9">
        <v>50</v>
      </c>
      <c r="D14" s="9">
        <v>55</v>
      </c>
      <c r="F14" s="22" t="s">
        <v>152</v>
      </c>
      <c r="J14" s="22" t="s">
        <v>154</v>
      </c>
      <c r="M14" s="14"/>
    </row>
    <row r="15" spans="2:13" x14ac:dyDescent="0.45">
      <c r="B15" s="13"/>
      <c r="C15" s="9">
        <v>98</v>
      </c>
      <c r="D15" s="9">
        <v>42</v>
      </c>
      <c r="F15" s="9" t="str" cm="1">
        <f t="array" ref="F15:H25">GroupbyBinλ(Age,Height,10,_xleta.AVERAGE)</f>
        <v>Bin Start  Value</v>
      </c>
      <c r="G15" s="9" t="str">
        <v>Bin End</v>
      </c>
      <c r="H15" s="9" t="str">
        <v>Total</v>
      </c>
      <c r="J15" s="9" t="str" cm="1">
        <f t="array" ref="J15:K25">GroupbyBinλ(Age,Height,10,_xleta.AVERAGE,,TRUE)</f>
        <v>Bin</v>
      </c>
      <c r="K15" s="9" t="str">
        <v>Aggregate</v>
      </c>
      <c r="M15" s="14"/>
    </row>
    <row r="16" spans="2:13" x14ac:dyDescent="0.45">
      <c r="B16" s="13"/>
      <c r="C16" s="9">
        <v>54</v>
      </c>
      <c r="D16" s="9">
        <v>40</v>
      </c>
      <c r="F16" s="9">
        <v>0</v>
      </c>
      <c r="G16" s="9">
        <v>10</v>
      </c>
      <c r="H16" s="66">
        <v>57</v>
      </c>
      <c r="J16" s="9" t="str">
        <v>0 - &lt;10</v>
      </c>
      <c r="K16" s="66">
        <v>57</v>
      </c>
      <c r="M16" s="14"/>
    </row>
    <row r="17" spans="2:13" x14ac:dyDescent="0.45">
      <c r="B17" s="13"/>
      <c r="C17" s="9">
        <v>6</v>
      </c>
      <c r="D17" s="9">
        <v>57</v>
      </c>
      <c r="F17" s="9">
        <v>10</v>
      </c>
      <c r="G17" s="9">
        <v>20</v>
      </c>
      <c r="H17" s="66">
        <v>62.5</v>
      </c>
      <c r="J17" s="9" t="str">
        <v>10 - &lt;20</v>
      </c>
      <c r="K17" s="66">
        <v>62.5</v>
      </c>
      <c r="M17" s="14"/>
    </row>
    <row r="18" spans="2:13" x14ac:dyDescent="0.45">
      <c r="B18" s="13"/>
      <c r="C18" s="9">
        <v>34</v>
      </c>
      <c r="D18" s="9">
        <v>66</v>
      </c>
      <c r="F18" s="9">
        <v>20</v>
      </c>
      <c r="G18" s="9">
        <v>30</v>
      </c>
      <c r="H18" s="66">
        <v>49</v>
      </c>
      <c r="J18" s="9" t="str">
        <v>20 - &lt;30</v>
      </c>
      <c r="K18" s="66">
        <v>49</v>
      </c>
      <c r="M18" s="14"/>
    </row>
    <row r="19" spans="2:13" x14ac:dyDescent="0.45">
      <c r="B19" s="13"/>
      <c r="C19" s="9">
        <v>66</v>
      </c>
      <c r="D19" s="9">
        <v>71</v>
      </c>
      <c r="F19" s="9">
        <v>30</v>
      </c>
      <c r="G19" s="9">
        <v>40</v>
      </c>
      <c r="H19" s="66">
        <v>57.25</v>
      </c>
      <c r="J19" s="9" t="str">
        <v>30 - &lt;40</v>
      </c>
      <c r="K19" s="66">
        <v>57.25</v>
      </c>
      <c r="M19" s="14"/>
    </row>
    <row r="20" spans="2:13" x14ac:dyDescent="0.45">
      <c r="B20" s="13"/>
      <c r="C20" s="9">
        <v>63</v>
      </c>
      <c r="D20" s="9">
        <v>42</v>
      </c>
      <c r="F20" s="9">
        <v>40</v>
      </c>
      <c r="G20" s="9">
        <v>50</v>
      </c>
      <c r="H20" s="66">
        <v>75</v>
      </c>
      <c r="J20" s="9" t="str">
        <v>40 - &lt;50</v>
      </c>
      <c r="K20" s="66">
        <v>75</v>
      </c>
      <c r="M20" s="14"/>
    </row>
    <row r="21" spans="2:13" x14ac:dyDescent="0.45">
      <c r="B21" s="13"/>
      <c r="C21" s="9">
        <v>52</v>
      </c>
      <c r="D21" s="9">
        <v>58</v>
      </c>
      <c r="F21" s="9">
        <v>50</v>
      </c>
      <c r="G21" s="9">
        <v>60</v>
      </c>
      <c r="H21" s="66">
        <v>51</v>
      </c>
      <c r="J21" s="9" t="str">
        <v>50 - &lt;60</v>
      </c>
      <c r="K21" s="66">
        <v>51</v>
      </c>
      <c r="M21" s="14"/>
    </row>
    <row r="22" spans="2:13" x14ac:dyDescent="0.45">
      <c r="B22" s="13"/>
      <c r="C22" s="9">
        <v>39</v>
      </c>
      <c r="D22" s="9">
        <v>63</v>
      </c>
      <c r="F22" s="9">
        <v>60</v>
      </c>
      <c r="G22" s="9">
        <v>70</v>
      </c>
      <c r="H22" s="66">
        <v>56.2</v>
      </c>
      <c r="J22" s="9" t="str">
        <v>60 - &lt;70</v>
      </c>
      <c r="K22" s="66">
        <v>56.2</v>
      </c>
      <c r="M22" s="14"/>
    </row>
    <row r="23" spans="2:13" x14ac:dyDescent="0.45">
      <c r="B23" s="13"/>
      <c r="C23" s="9">
        <v>62</v>
      </c>
      <c r="D23" s="9">
        <v>56</v>
      </c>
      <c r="F23" s="9">
        <v>70</v>
      </c>
      <c r="G23" s="9">
        <v>80</v>
      </c>
      <c r="H23" s="66">
        <v>77</v>
      </c>
      <c r="J23" s="9" t="str">
        <v>70 - &lt;80</v>
      </c>
      <c r="K23" s="66">
        <v>77</v>
      </c>
      <c r="M23" s="14"/>
    </row>
    <row r="24" spans="2:13" x14ac:dyDescent="0.45">
      <c r="B24" s="13"/>
      <c r="C24" s="9">
        <v>46</v>
      </c>
      <c r="D24" s="9">
        <v>75</v>
      </c>
      <c r="F24" s="9">
        <v>80</v>
      </c>
      <c r="G24" s="9">
        <v>90</v>
      </c>
      <c r="H24" s="66">
        <v>71</v>
      </c>
      <c r="J24" s="9" t="str">
        <v>80 - &lt;90</v>
      </c>
      <c r="K24" s="66">
        <v>71</v>
      </c>
      <c r="M24" s="14"/>
    </row>
    <row r="25" spans="2:13" x14ac:dyDescent="0.45">
      <c r="B25" s="13"/>
      <c r="C25" s="9">
        <v>75</v>
      </c>
      <c r="D25" s="9">
        <v>76</v>
      </c>
      <c r="F25" s="9">
        <v>90</v>
      </c>
      <c r="G25" s="9">
        <v>100</v>
      </c>
      <c r="H25" s="66">
        <v>51.666666666666664</v>
      </c>
      <c r="J25" s="9" t="str">
        <v>90 - &lt;100</v>
      </c>
      <c r="K25" s="66">
        <v>51.666666666666664</v>
      </c>
      <c r="M25" s="14"/>
    </row>
    <row r="26" spans="2:13" x14ac:dyDescent="0.45">
      <c r="B26" s="13"/>
      <c r="C26" s="9">
        <v>28</v>
      </c>
      <c r="D26" s="9">
        <v>49</v>
      </c>
      <c r="M26" s="14"/>
    </row>
    <row r="27" spans="2:13" x14ac:dyDescent="0.45">
      <c r="B27" s="13"/>
      <c r="C27" s="9">
        <v>65</v>
      </c>
      <c r="D27" s="9">
        <v>71</v>
      </c>
      <c r="F27" s="20" t="s">
        <v>156</v>
      </c>
      <c r="J27" s="20" t="s">
        <v>157</v>
      </c>
      <c r="M27" s="14"/>
    </row>
    <row r="28" spans="2:13" x14ac:dyDescent="0.45">
      <c r="B28" s="13"/>
      <c r="C28" s="9">
        <v>18</v>
      </c>
      <c r="D28" s="9">
        <v>66</v>
      </c>
      <c r="F28" s="22" t="s">
        <v>155</v>
      </c>
      <c r="J28" s="22" t="s">
        <v>159</v>
      </c>
      <c r="M28" s="14"/>
    </row>
    <row r="29" spans="2:13" x14ac:dyDescent="0.45">
      <c r="B29" s="13"/>
      <c r="C29" s="9">
        <v>37</v>
      </c>
      <c r="D29" s="9">
        <v>64</v>
      </c>
      <c r="F29" s="9" t="str" cm="1">
        <f t="array" ref="F29:H39">GroupbyBinλ(Age_,Height_,10,_xleta.AVERAGE,TRUE)</f>
        <v>Bin Start Age Value</v>
      </c>
      <c r="G29" s="9" t="str">
        <v>Bin End</v>
      </c>
      <c r="H29" s="9" t="str">
        <v>Height (inches)</v>
      </c>
      <c r="J29" s="9" t="str" cm="1">
        <f t="array" ref="J29:L34">GroupbyBinλ(Age,Height,20,_xleta.MAX)</f>
        <v>Bin Start  Value</v>
      </c>
      <c r="K29" s="9" t="str">
        <v>Bin End</v>
      </c>
      <c r="L29" s="9" t="str">
        <v>Total</v>
      </c>
      <c r="M29" s="14"/>
    </row>
    <row r="30" spans="2:13" x14ac:dyDescent="0.45">
      <c r="B30" s="13"/>
      <c r="C30" s="9">
        <v>18</v>
      </c>
      <c r="D30" s="9">
        <v>69</v>
      </c>
      <c r="F30" s="9">
        <v>0</v>
      </c>
      <c r="G30" s="9">
        <v>10</v>
      </c>
      <c r="H30" s="66">
        <v>57</v>
      </c>
      <c r="J30" s="9">
        <v>0</v>
      </c>
      <c r="K30" s="9">
        <v>20</v>
      </c>
      <c r="L30" s="9">
        <v>76</v>
      </c>
      <c r="M30" s="14"/>
    </row>
    <row r="31" spans="2:13" x14ac:dyDescent="0.45">
      <c r="B31" s="13"/>
      <c r="C31" s="9">
        <v>97</v>
      </c>
      <c r="D31" s="9">
        <v>52</v>
      </c>
      <c r="F31" s="9">
        <v>10</v>
      </c>
      <c r="G31" s="9">
        <v>20</v>
      </c>
      <c r="H31" s="66">
        <v>62.5</v>
      </c>
      <c r="J31" s="9">
        <v>20</v>
      </c>
      <c r="K31" s="9">
        <v>40</v>
      </c>
      <c r="L31" s="9">
        <v>66</v>
      </c>
      <c r="M31" s="14"/>
    </row>
    <row r="32" spans="2:13" x14ac:dyDescent="0.45">
      <c r="B32" s="13"/>
      <c r="C32" s="9">
        <v>13</v>
      </c>
      <c r="D32" s="9">
        <v>39</v>
      </c>
      <c r="F32" s="9">
        <v>20</v>
      </c>
      <c r="G32" s="9">
        <v>30</v>
      </c>
      <c r="H32" s="66">
        <v>49</v>
      </c>
      <c r="J32" s="9">
        <v>40</v>
      </c>
      <c r="K32" s="9">
        <v>60</v>
      </c>
      <c r="L32" s="9">
        <v>75</v>
      </c>
      <c r="M32" s="14"/>
    </row>
    <row r="33" spans="2:13" x14ac:dyDescent="0.45">
      <c r="B33" s="13"/>
      <c r="C33" s="9">
        <v>80</v>
      </c>
      <c r="D33" s="9">
        <v>71</v>
      </c>
      <c r="F33" s="9">
        <v>30</v>
      </c>
      <c r="G33" s="9">
        <v>40</v>
      </c>
      <c r="H33" s="66">
        <v>57.25</v>
      </c>
      <c r="J33" s="9">
        <v>60</v>
      </c>
      <c r="K33" s="9">
        <v>80</v>
      </c>
      <c r="L33" s="9">
        <v>78</v>
      </c>
      <c r="M33" s="14"/>
    </row>
    <row r="34" spans="2:13" x14ac:dyDescent="0.45">
      <c r="B34" s="13"/>
      <c r="C34" s="9">
        <v>33</v>
      </c>
      <c r="D34" s="9">
        <v>36</v>
      </c>
      <c r="F34" s="9">
        <v>40</v>
      </c>
      <c r="G34" s="9">
        <v>50</v>
      </c>
      <c r="H34" s="66">
        <v>75</v>
      </c>
      <c r="J34" s="9">
        <v>80</v>
      </c>
      <c r="K34" s="9">
        <v>100</v>
      </c>
      <c r="L34" s="9">
        <v>71</v>
      </c>
      <c r="M34" s="14"/>
    </row>
    <row r="35" spans="2:13" x14ac:dyDescent="0.45">
      <c r="B35" s="13"/>
      <c r="C35" s="9">
        <v>69</v>
      </c>
      <c r="D35" s="9">
        <v>41</v>
      </c>
      <c r="F35" s="9">
        <v>50</v>
      </c>
      <c r="G35" s="9">
        <v>60</v>
      </c>
      <c r="H35" s="66">
        <v>49</v>
      </c>
      <c r="M35" s="14"/>
    </row>
    <row r="36" spans="2:13" x14ac:dyDescent="0.45">
      <c r="B36" s="13"/>
      <c r="C36" s="9">
        <v>91</v>
      </c>
      <c r="D36" s="9">
        <v>61</v>
      </c>
      <c r="F36" s="9">
        <v>60</v>
      </c>
      <c r="G36" s="9">
        <v>70</v>
      </c>
      <c r="H36" s="66">
        <v>56.2</v>
      </c>
      <c r="J36" s="20" t="s">
        <v>161</v>
      </c>
      <c r="M36" s="14"/>
    </row>
    <row r="37" spans="2:13" x14ac:dyDescent="0.45">
      <c r="B37" s="13"/>
      <c r="C37" s="9">
        <v>78</v>
      </c>
      <c r="D37" s="9">
        <v>78</v>
      </c>
      <c r="F37" s="9">
        <v>70</v>
      </c>
      <c r="G37" s="9">
        <v>80</v>
      </c>
      <c r="H37" s="66">
        <v>77</v>
      </c>
      <c r="J37" s="22" t="s">
        <v>160</v>
      </c>
      <c r="M37" s="14"/>
    </row>
    <row r="38" spans="2:13" x14ac:dyDescent="0.45">
      <c r="B38" s="13"/>
      <c r="C38" s="9">
        <v>19</v>
      </c>
      <c r="D38" s="9">
        <v>76</v>
      </c>
      <c r="F38" s="9">
        <v>80</v>
      </c>
      <c r="G38" s="9">
        <v>90</v>
      </c>
      <c r="H38" s="66">
        <v>71</v>
      </c>
      <c r="J38" s="9" t="str" cm="1">
        <f t="array" ref="J38:L43">GroupbyBinλ(Age,Height,20,_xleta.MIN)</f>
        <v>Bin Start  Value</v>
      </c>
      <c r="K38" s="9" t="str">
        <v>Bin End</v>
      </c>
      <c r="L38" s="9" t="str">
        <v>Total</v>
      </c>
      <c r="M38" s="14"/>
    </row>
    <row r="39" spans="2:13" x14ac:dyDescent="0.45">
      <c r="B39" s="13"/>
      <c r="F39" s="9">
        <v>90</v>
      </c>
      <c r="G39" s="9">
        <v>100</v>
      </c>
      <c r="H39" s="66">
        <v>51.666666666666664</v>
      </c>
      <c r="J39" s="9">
        <v>0</v>
      </c>
      <c r="K39" s="9">
        <v>20</v>
      </c>
      <c r="L39" s="9">
        <v>39</v>
      </c>
      <c r="M39" s="14"/>
    </row>
    <row r="40" spans="2:13" x14ac:dyDescent="0.45">
      <c r="B40" s="13"/>
      <c r="J40" s="9">
        <v>20</v>
      </c>
      <c r="K40" s="9">
        <v>40</v>
      </c>
      <c r="L40" s="9">
        <v>36</v>
      </c>
      <c r="M40" s="14"/>
    </row>
    <row r="41" spans="2:13" x14ac:dyDescent="0.45">
      <c r="B41" s="13"/>
      <c r="J41" s="9">
        <v>40</v>
      </c>
      <c r="K41" s="9">
        <v>60</v>
      </c>
      <c r="L41" s="9">
        <v>40</v>
      </c>
      <c r="M41" s="14"/>
    </row>
    <row r="42" spans="2:13" x14ac:dyDescent="0.45">
      <c r="B42" s="13"/>
      <c r="J42" s="9">
        <v>60</v>
      </c>
      <c r="K42" s="9">
        <v>80</v>
      </c>
      <c r="L42" s="9">
        <v>41</v>
      </c>
      <c r="M42" s="14"/>
    </row>
    <row r="43" spans="2:13" x14ac:dyDescent="0.45">
      <c r="B43" s="13"/>
      <c r="J43" s="9">
        <v>80</v>
      </c>
      <c r="K43" s="9">
        <v>100</v>
      </c>
      <c r="L43" s="9">
        <v>42</v>
      </c>
      <c r="M43" s="14"/>
    </row>
    <row r="44" spans="2:13" x14ac:dyDescent="0.45">
      <c r="B44" s="13"/>
      <c r="M44" s="14"/>
    </row>
    <row r="45" spans="2:13" x14ac:dyDescent="0.45">
      <c r="B45" s="16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8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7E1B-EE02-4D58-B7F3-2A2022BE91ED}">
  <sheetPr>
    <tabColor rgb="FFB8DAD2"/>
  </sheetPr>
  <dimension ref="B2:O45"/>
  <sheetViews>
    <sheetView workbookViewId="0"/>
  </sheetViews>
  <sheetFormatPr defaultRowHeight="16.5" x14ac:dyDescent="0.45"/>
  <cols>
    <col min="1" max="1" width="5" customWidth="1"/>
    <col min="3" max="3" width="12" bestFit="1" customWidth="1"/>
    <col min="4" max="4" width="10.58203125" customWidth="1"/>
    <col min="6" max="6" width="14.25" customWidth="1"/>
    <col min="7" max="7" width="12.08203125" customWidth="1"/>
    <col min="8" max="8" width="11.83203125" customWidth="1"/>
    <col min="9" max="9" width="18.33203125" customWidth="1"/>
    <col min="10" max="10" width="14.83203125" bestFit="1" customWidth="1"/>
    <col min="11" max="11" width="7.83203125" bestFit="1" customWidth="1"/>
    <col min="12" max="12" width="14" bestFit="1" customWidth="1"/>
  </cols>
  <sheetData>
    <row r="2" spans="2:15" x14ac:dyDescent="0.45">
      <c r="B2" s="30" t="s">
        <v>192</v>
      </c>
      <c r="C2" s="11"/>
      <c r="D2" s="11"/>
      <c r="E2" s="11"/>
      <c r="F2" s="11"/>
      <c r="G2" s="11"/>
      <c r="H2" s="11"/>
      <c r="I2" s="11"/>
      <c r="J2" s="11"/>
      <c r="K2" s="11"/>
      <c r="L2" s="29" t="s">
        <v>193</v>
      </c>
      <c r="M2" s="11"/>
      <c r="N2" s="11"/>
      <c r="O2" s="12"/>
    </row>
    <row r="3" spans="2:15" x14ac:dyDescent="0.45">
      <c r="B3" s="15" t="s">
        <v>165</v>
      </c>
      <c r="L3" s="181" t="s">
        <v>175</v>
      </c>
      <c r="M3" s="182" t="s">
        <v>173</v>
      </c>
      <c r="N3" s="182" t="s">
        <v>174</v>
      </c>
      <c r="O3" s="14"/>
    </row>
    <row r="4" spans="2:15" x14ac:dyDescent="0.45">
      <c r="B4" s="13" t="s">
        <v>162</v>
      </c>
      <c r="L4" s="183" t="s">
        <v>176</v>
      </c>
      <c r="M4" s="184">
        <v>1</v>
      </c>
      <c r="N4" s="184" t="s">
        <v>185</v>
      </c>
      <c r="O4" s="14"/>
    </row>
    <row r="5" spans="2:15" x14ac:dyDescent="0.45">
      <c r="B5" s="13" t="s">
        <v>163</v>
      </c>
      <c r="L5" s="183" t="s">
        <v>177</v>
      </c>
      <c r="M5" s="184">
        <v>2</v>
      </c>
      <c r="N5" s="184" t="s">
        <v>186</v>
      </c>
      <c r="O5" s="14"/>
    </row>
    <row r="6" spans="2:15" x14ac:dyDescent="0.45">
      <c r="B6" s="13" t="s">
        <v>164</v>
      </c>
      <c r="L6" s="183" t="s">
        <v>178</v>
      </c>
      <c r="M6" s="184">
        <v>3</v>
      </c>
      <c r="N6" s="184" t="s">
        <v>187</v>
      </c>
      <c r="O6" s="14"/>
    </row>
    <row r="7" spans="2:15" x14ac:dyDescent="0.45">
      <c r="B7" s="13" t="s">
        <v>145</v>
      </c>
      <c r="L7" s="183" t="s">
        <v>179</v>
      </c>
      <c r="M7" s="184">
        <v>4</v>
      </c>
      <c r="N7" s="184" t="s">
        <v>188</v>
      </c>
      <c r="O7" s="14"/>
    </row>
    <row r="8" spans="2:15" x14ac:dyDescent="0.45">
      <c r="B8" s="15" t="s">
        <v>43</v>
      </c>
      <c r="L8" s="183" t="s">
        <v>180</v>
      </c>
      <c r="M8" s="184">
        <v>5</v>
      </c>
      <c r="N8" s="184" t="s">
        <v>191</v>
      </c>
      <c r="O8" s="14"/>
    </row>
    <row r="9" spans="2:15" x14ac:dyDescent="0.45">
      <c r="B9" s="13" t="s">
        <v>166</v>
      </c>
      <c r="L9" s="183" t="s">
        <v>181</v>
      </c>
      <c r="M9" s="184">
        <v>6</v>
      </c>
      <c r="N9" s="184" t="s">
        <v>184</v>
      </c>
      <c r="O9" s="14"/>
    </row>
    <row r="10" spans="2:15" x14ac:dyDescent="0.45">
      <c r="B10" s="13" t="s">
        <v>167</v>
      </c>
      <c r="L10" s="183" t="s">
        <v>182</v>
      </c>
      <c r="M10" s="184">
        <v>7</v>
      </c>
      <c r="N10" s="184" t="s">
        <v>189</v>
      </c>
      <c r="O10" s="14"/>
    </row>
    <row r="11" spans="2:15" x14ac:dyDescent="0.45">
      <c r="B11" s="13" t="s">
        <v>168</v>
      </c>
      <c r="L11" s="183" t="s">
        <v>183</v>
      </c>
      <c r="M11" s="184">
        <v>8</v>
      </c>
      <c r="N11" s="184" t="s">
        <v>190</v>
      </c>
      <c r="O11" s="14"/>
    </row>
    <row r="12" spans="2:15" x14ac:dyDescent="0.45">
      <c r="B12" s="16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8"/>
    </row>
    <row r="13" spans="2:15" x14ac:dyDescent="0.45">
      <c r="B13" s="19"/>
      <c r="C13" s="11"/>
      <c r="D13" s="11"/>
      <c r="E13" s="11"/>
      <c r="F13" s="11"/>
      <c r="G13" s="11"/>
      <c r="H13" s="11"/>
      <c r="I13" s="11"/>
      <c r="J13" s="73"/>
      <c r="K13" s="73"/>
      <c r="L13" s="11"/>
      <c r="M13" s="11"/>
      <c r="N13" s="11"/>
      <c r="O13" s="12"/>
    </row>
    <row r="14" spans="2:15" x14ac:dyDescent="0.45">
      <c r="B14" s="13"/>
      <c r="C14" s="79" t="s">
        <v>169</v>
      </c>
      <c r="D14" s="79" t="s">
        <v>170</v>
      </c>
      <c r="F14" s="20" t="s">
        <v>172</v>
      </c>
      <c r="I14" s="20" t="s">
        <v>195</v>
      </c>
      <c r="L14" s="20" t="s">
        <v>203</v>
      </c>
      <c r="O14" s="14"/>
    </row>
    <row r="15" spans="2:15" x14ac:dyDescent="0.45">
      <c r="B15" s="13"/>
      <c r="C15" s="69">
        <v>46174</v>
      </c>
      <c r="D15" s="32">
        <v>10</v>
      </c>
      <c r="F15" s="22" t="s">
        <v>171</v>
      </c>
      <c r="I15" s="22" t="s">
        <v>194</v>
      </c>
      <c r="L15" s="22" t="s">
        <v>202</v>
      </c>
      <c r="O15" s="14"/>
    </row>
    <row r="16" spans="2:15" x14ac:dyDescent="0.45">
      <c r="B16" s="13"/>
      <c r="C16" s="69">
        <v>46188</v>
      </c>
      <c r="D16" s="32">
        <v>8</v>
      </c>
      <c r="F16" s="32" t="str" cm="1">
        <f t="array" ref="F16:G20">GroupbyDateλ(Date,Amount,"month",_xleta.SUM)</f>
        <v>Monthly Totals</v>
      </c>
      <c r="G16" s="32" t="str">
        <v/>
      </c>
      <c r="I16" s="32" t="str" cm="1">
        <f t="array" ref="I16:J20">GroupbyDateλ(Date,Amount,6,_xleta.SUM)</f>
        <v>Monthly Totals</v>
      </c>
      <c r="J16" s="9" t="str">
        <v/>
      </c>
      <c r="L16" s="32" t="str" cm="1">
        <f t="array" ref="L16:M20">GroupbyDateλ(Date,Amount,6,_xleta.SUM,"m/y")</f>
        <v>Monthly Totals</v>
      </c>
      <c r="M16" s="9" t="str">
        <v/>
      </c>
      <c r="O16" s="14"/>
    </row>
    <row r="17" spans="2:15" x14ac:dyDescent="0.45">
      <c r="B17" s="13"/>
      <c r="C17" s="69">
        <v>46202</v>
      </c>
      <c r="D17" s="32">
        <v>4</v>
      </c>
      <c r="F17" s="32" t="str">
        <v>June 2026</v>
      </c>
      <c r="G17" s="32">
        <v>22</v>
      </c>
      <c r="I17" s="32" t="str">
        <v>June 2026</v>
      </c>
      <c r="J17" s="9">
        <v>22</v>
      </c>
      <c r="L17" s="32" t="str">
        <v>6/26</v>
      </c>
      <c r="M17" s="9">
        <v>22</v>
      </c>
      <c r="O17" s="14"/>
    </row>
    <row r="18" spans="2:15" x14ac:dyDescent="0.45">
      <c r="B18" s="13"/>
      <c r="C18" s="69">
        <v>46216</v>
      </c>
      <c r="D18" s="32">
        <v>11</v>
      </c>
      <c r="F18" s="32" t="str">
        <v>July 2026</v>
      </c>
      <c r="G18" s="32">
        <v>18</v>
      </c>
      <c r="I18" s="32" t="str">
        <v>July 2026</v>
      </c>
      <c r="J18" s="9">
        <v>18</v>
      </c>
      <c r="L18" s="32" t="str">
        <v>7/26</v>
      </c>
      <c r="M18" s="9">
        <v>18</v>
      </c>
      <c r="O18" s="14"/>
    </row>
    <row r="19" spans="2:15" x14ac:dyDescent="0.45">
      <c r="B19" s="13"/>
      <c r="C19" s="69">
        <v>46230</v>
      </c>
      <c r="D19" s="32">
        <v>7</v>
      </c>
      <c r="F19" s="32" t="str">
        <v>August 2026</v>
      </c>
      <c r="G19" s="32">
        <v>8</v>
      </c>
      <c r="I19" s="32" t="str">
        <v>August 2026</v>
      </c>
      <c r="J19" s="9">
        <v>8</v>
      </c>
      <c r="L19" s="32" t="str">
        <v>8/26</v>
      </c>
      <c r="M19" s="9">
        <v>8</v>
      </c>
      <c r="O19" s="14"/>
    </row>
    <row r="20" spans="2:15" x14ac:dyDescent="0.45">
      <c r="B20" s="13"/>
      <c r="C20" s="69">
        <v>46244</v>
      </c>
      <c r="D20" s="32">
        <v>5</v>
      </c>
      <c r="F20" s="32" t="str">
        <v>Total</v>
      </c>
      <c r="G20" s="32">
        <v>48</v>
      </c>
      <c r="I20" s="32" t="str">
        <v>Total</v>
      </c>
      <c r="J20" s="9">
        <v>48</v>
      </c>
      <c r="L20" s="32" t="str">
        <v>Total</v>
      </c>
      <c r="M20" s="9">
        <v>48</v>
      </c>
      <c r="O20" s="14"/>
    </row>
    <row r="21" spans="2:15" x14ac:dyDescent="0.45">
      <c r="B21" s="13"/>
      <c r="C21" s="69">
        <v>46258</v>
      </c>
      <c r="D21" s="32">
        <v>3</v>
      </c>
      <c r="O21" s="14"/>
    </row>
    <row r="22" spans="2:15" ht="9" customHeight="1" x14ac:dyDescent="0.45">
      <c r="B22" s="16"/>
      <c r="C22" s="74"/>
      <c r="D22" s="60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8"/>
    </row>
    <row r="23" spans="2:15" ht="9" customHeight="1" x14ac:dyDescent="0.45">
      <c r="B23" s="19"/>
      <c r="C23" s="75"/>
      <c r="D23" s="58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2"/>
    </row>
    <row r="24" spans="2:15" x14ac:dyDescent="0.45">
      <c r="B24" s="13"/>
      <c r="C24" s="168" t="s">
        <v>196</v>
      </c>
      <c r="D24" s="168" t="s">
        <v>197</v>
      </c>
      <c r="F24" s="20" t="s">
        <v>199</v>
      </c>
      <c r="J24" s="20" t="s">
        <v>201</v>
      </c>
      <c r="O24" s="14"/>
    </row>
    <row r="25" spans="2:15" x14ac:dyDescent="0.45">
      <c r="B25" s="13"/>
      <c r="C25" s="70">
        <v>0.63969907407407411</v>
      </c>
      <c r="D25" s="71">
        <v>0.62825396613865703</v>
      </c>
      <c r="F25" s="22" t="s">
        <v>198</v>
      </c>
      <c r="J25" s="22" t="s">
        <v>200</v>
      </c>
      <c r="O25" s="14"/>
    </row>
    <row r="26" spans="2:15" x14ac:dyDescent="0.45">
      <c r="B26" s="13"/>
      <c r="C26" s="70">
        <v>0.63975694444444442</v>
      </c>
      <c r="D26" s="71">
        <v>0.36646942139833971</v>
      </c>
      <c r="F26" s="32" t="str" cm="1">
        <f t="array" ref="F26:G31">GroupbyDateλ(Time,Reading,1,_xleta.AVERAGE,,TRUE)</f>
        <v>Totals by minute</v>
      </c>
      <c r="G26" s="32" t="str">
        <v>Reading</v>
      </c>
      <c r="J26" s="32" t="str" cm="1">
        <f t="array" ref="J26:K31">GroupbyDateλ(Time,Reading,1,_xleta.MIN,,TRUE)</f>
        <v>Totals by minute</v>
      </c>
      <c r="K26" s="32" t="str">
        <v>Reading</v>
      </c>
      <c r="O26" s="14"/>
    </row>
    <row r="27" spans="2:15" x14ac:dyDescent="0.45">
      <c r="B27" s="13"/>
      <c r="C27" s="70">
        <v>0.64050925925925928</v>
      </c>
      <c r="D27" s="71">
        <v>0.53612089947349362</v>
      </c>
      <c r="F27" s="32" t="str">
        <v>3:21 PM</v>
      </c>
      <c r="G27" s="71">
        <v>0.36646942139833971</v>
      </c>
      <c r="J27" s="32" t="str">
        <v>3:21 PM</v>
      </c>
      <c r="K27" s="71">
        <v>0.36646942139833971</v>
      </c>
      <c r="O27" s="14"/>
    </row>
    <row r="28" spans="2:15" x14ac:dyDescent="0.45">
      <c r="B28" s="13"/>
      <c r="C28" s="70">
        <v>0.64083333333333337</v>
      </c>
      <c r="D28" s="71">
        <v>0.7143385416044683</v>
      </c>
      <c r="F28" s="32" t="str">
        <v>3:22 PM</v>
      </c>
      <c r="G28" s="71">
        <v>0.53612089947349362</v>
      </c>
      <c r="J28" s="32" t="str">
        <v>3:22 PM</v>
      </c>
      <c r="K28" s="71">
        <v>0.53612089947349362</v>
      </c>
      <c r="O28" s="14"/>
    </row>
    <row r="29" spans="2:15" x14ac:dyDescent="0.45">
      <c r="B29" s="13"/>
      <c r="C29" s="70">
        <v>0.64096064814814813</v>
      </c>
      <c r="D29" s="71">
        <v>0.31988404390972502</v>
      </c>
      <c r="F29" s="32" t="str">
        <v>3:23 PM</v>
      </c>
      <c r="G29" s="71">
        <v>0.51711129275709666</v>
      </c>
      <c r="J29" s="32" t="str">
        <v>3:23 PM</v>
      </c>
      <c r="K29" s="71">
        <v>0.31988404390972502</v>
      </c>
      <c r="O29" s="14"/>
    </row>
    <row r="30" spans="2:15" x14ac:dyDescent="0.45">
      <c r="B30" s="13"/>
      <c r="C30" s="70">
        <v>0.64143518518518516</v>
      </c>
      <c r="D30" s="71">
        <v>0.1734951787079213</v>
      </c>
      <c r="F30" s="32" t="str">
        <v>3:24 PM</v>
      </c>
      <c r="G30" s="71">
        <v>0.42410462410353683</v>
      </c>
      <c r="J30" s="32" t="str">
        <v>3:24 PM</v>
      </c>
      <c r="K30" s="71">
        <v>0.1734951787079213</v>
      </c>
      <c r="O30" s="14"/>
    </row>
    <row r="31" spans="2:15" x14ac:dyDescent="0.45">
      <c r="B31" s="13"/>
      <c r="C31" s="70">
        <v>0.64145833333333335</v>
      </c>
      <c r="D31" s="71">
        <v>0.488580927</v>
      </c>
      <c r="F31" s="32" t="str">
        <v>Total</v>
      </c>
      <c r="G31" s="71">
        <v>0.45844668267094812</v>
      </c>
      <c r="J31" s="32" t="str">
        <v>Total</v>
      </c>
      <c r="K31" s="71">
        <v>0.1734951787079213</v>
      </c>
      <c r="O31" s="14"/>
    </row>
    <row r="32" spans="2:15" x14ac:dyDescent="0.45">
      <c r="B32" s="13"/>
      <c r="C32" s="72">
        <v>0.64167824074074076</v>
      </c>
      <c r="D32" s="71">
        <v>0.61023776660268914</v>
      </c>
      <c r="O32" s="14"/>
    </row>
    <row r="33" spans="2:15" ht="12" customHeight="1" x14ac:dyDescent="0.45">
      <c r="B33" s="16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8"/>
    </row>
    <row r="34" spans="2:15" ht="7.5" customHeight="1" x14ac:dyDescent="0.45">
      <c r="B34" s="19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2"/>
    </row>
    <row r="35" spans="2:15" x14ac:dyDescent="0.45">
      <c r="B35" s="13"/>
      <c r="C35" s="33" t="s">
        <v>205</v>
      </c>
      <c r="D35" s="33" t="s">
        <v>204</v>
      </c>
      <c r="E35" s="33" t="s">
        <v>206</v>
      </c>
      <c r="F35" s="44"/>
      <c r="G35" s="77" t="s">
        <v>211</v>
      </c>
      <c r="O35" s="14"/>
    </row>
    <row r="36" spans="2:15" x14ac:dyDescent="0.45">
      <c r="B36" s="13"/>
      <c r="C36" s="69">
        <v>40179</v>
      </c>
      <c r="D36" s="32" t="s">
        <v>207</v>
      </c>
      <c r="E36" s="32">
        <v>2500</v>
      </c>
      <c r="F36" s="76"/>
      <c r="G36" s="22" t="s">
        <v>210</v>
      </c>
      <c r="O36" s="14"/>
    </row>
    <row r="37" spans="2:15" x14ac:dyDescent="0.45">
      <c r="B37" s="13"/>
      <c r="C37" s="69">
        <v>40182</v>
      </c>
      <c r="D37" s="32" t="s">
        <v>208</v>
      </c>
      <c r="E37" s="32">
        <v>2000</v>
      </c>
      <c r="F37" s="76"/>
      <c r="G37" s="32" t="str" cm="1">
        <f t="array" ref="G37:H41">GroupbyDateλ(EnteredDate,Bonus,"y",_xleta.MAX,,,Department&lt;&gt;"Unknown")</f>
        <v>Yearly Totals</v>
      </c>
      <c r="H37" s="32" t="str">
        <v/>
      </c>
      <c r="O37" s="14"/>
    </row>
    <row r="38" spans="2:15" x14ac:dyDescent="0.45">
      <c r="B38" s="13"/>
      <c r="C38" s="69">
        <v>40269</v>
      </c>
      <c r="D38" s="32" t="s">
        <v>209</v>
      </c>
      <c r="E38" s="32">
        <v>10000</v>
      </c>
      <c r="F38" s="76"/>
      <c r="G38" s="32" t="str">
        <v>2010</v>
      </c>
      <c r="H38" s="32">
        <v>2500</v>
      </c>
      <c r="O38" s="14"/>
    </row>
    <row r="39" spans="2:15" x14ac:dyDescent="0.45">
      <c r="B39" s="13"/>
      <c r="C39" s="69">
        <v>40668</v>
      </c>
      <c r="D39" s="32" t="s">
        <v>207</v>
      </c>
      <c r="E39" s="32">
        <v>2750</v>
      </c>
      <c r="F39" s="76"/>
      <c r="G39" s="32" t="str">
        <v>2011</v>
      </c>
      <c r="H39" s="32">
        <v>3000</v>
      </c>
      <c r="O39" s="14"/>
    </row>
    <row r="40" spans="2:15" x14ac:dyDescent="0.45">
      <c r="B40" s="13"/>
      <c r="C40" s="69">
        <v>40577</v>
      </c>
      <c r="D40" s="32" t="s">
        <v>208</v>
      </c>
      <c r="E40" s="32">
        <v>3000</v>
      </c>
      <c r="F40" s="76"/>
      <c r="G40" s="32" t="str">
        <v>2012</v>
      </c>
      <c r="H40" s="32">
        <v>5500</v>
      </c>
      <c r="O40" s="14"/>
    </row>
    <row r="41" spans="2:15" x14ac:dyDescent="0.45">
      <c r="B41" s="13"/>
      <c r="C41" s="69">
        <v>41092</v>
      </c>
      <c r="D41" s="32" t="s">
        <v>209</v>
      </c>
      <c r="E41" s="32">
        <v>9000</v>
      </c>
      <c r="F41" s="76"/>
      <c r="G41" s="32" t="str">
        <v>Total</v>
      </c>
      <c r="H41" s="32">
        <v>5500</v>
      </c>
      <c r="O41" s="14"/>
    </row>
    <row r="42" spans="2:15" x14ac:dyDescent="0.45">
      <c r="B42" s="13"/>
      <c r="C42" s="69">
        <v>40923</v>
      </c>
      <c r="D42" s="32" t="s">
        <v>207</v>
      </c>
      <c r="E42" s="32">
        <v>3250</v>
      </c>
      <c r="F42" s="76"/>
      <c r="O42" s="14"/>
    </row>
    <row r="43" spans="2:15" x14ac:dyDescent="0.45">
      <c r="B43" s="13"/>
      <c r="C43" s="69">
        <v>40942</v>
      </c>
      <c r="D43" s="32" t="s">
        <v>208</v>
      </c>
      <c r="E43" s="32">
        <v>5500</v>
      </c>
      <c r="F43" s="76"/>
      <c r="O43" s="14"/>
    </row>
    <row r="44" spans="2:15" x14ac:dyDescent="0.45">
      <c r="B44" s="13"/>
      <c r="O44" s="14"/>
    </row>
    <row r="45" spans="2:15" x14ac:dyDescent="0.45">
      <c r="B45" s="16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8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FCB96-D4C3-44E4-8EB1-DD2965C1EB0B}">
  <sheetPr>
    <tabColor rgb="FFB8DAD2"/>
  </sheetPr>
  <dimension ref="B2:W31"/>
  <sheetViews>
    <sheetView workbookViewId="0"/>
  </sheetViews>
  <sheetFormatPr defaultRowHeight="16.5" x14ac:dyDescent="0.45"/>
  <cols>
    <col min="1" max="1" width="5" customWidth="1"/>
    <col min="2" max="2" width="5.75" customWidth="1"/>
    <col min="3" max="3" width="9.58203125" bestFit="1" customWidth="1"/>
    <col min="6" max="6" width="10.75" bestFit="1" customWidth="1"/>
    <col min="8" max="8" width="5.83203125" bestFit="1" customWidth="1"/>
    <col min="9" max="9" width="6.58203125" bestFit="1" customWidth="1"/>
    <col min="10" max="13" width="5.58203125" customWidth="1"/>
    <col min="14" max="15" width="3.83203125" bestFit="1" customWidth="1"/>
    <col min="16" max="16" width="5.5" customWidth="1"/>
    <col min="17" max="17" width="5.58203125" customWidth="1"/>
    <col min="18" max="18" width="7.33203125" customWidth="1"/>
    <col min="19" max="22" width="5.58203125" customWidth="1"/>
    <col min="23" max="23" width="15.6640625" customWidth="1"/>
  </cols>
  <sheetData>
    <row r="2" spans="2:23" x14ac:dyDescent="0.45">
      <c r="B2" s="30" t="s">
        <v>212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2"/>
    </row>
    <row r="3" spans="2:23" x14ac:dyDescent="0.45">
      <c r="B3" s="15" t="s">
        <v>213</v>
      </c>
      <c r="W3" s="14"/>
    </row>
    <row r="4" spans="2:23" x14ac:dyDescent="0.45">
      <c r="B4" s="15" t="s">
        <v>165</v>
      </c>
      <c r="W4" s="14"/>
    </row>
    <row r="5" spans="2:23" x14ac:dyDescent="0.45">
      <c r="B5" s="13" t="s">
        <v>214</v>
      </c>
      <c r="W5" s="14"/>
    </row>
    <row r="6" spans="2:23" x14ac:dyDescent="0.45">
      <c r="B6" s="13" t="s">
        <v>215</v>
      </c>
      <c r="W6" s="14"/>
    </row>
    <row r="7" spans="2:23" x14ac:dyDescent="0.45">
      <c r="B7" s="13" t="s">
        <v>216</v>
      </c>
      <c r="W7" s="14"/>
    </row>
    <row r="8" spans="2:23" x14ac:dyDescent="0.45">
      <c r="B8" s="13" t="s">
        <v>217</v>
      </c>
      <c r="W8" s="14"/>
    </row>
    <row r="9" spans="2:23" x14ac:dyDescent="0.45">
      <c r="B9" s="13" t="s">
        <v>218</v>
      </c>
      <c r="W9" s="14"/>
    </row>
    <row r="10" spans="2:23" x14ac:dyDescent="0.45">
      <c r="B10" s="15" t="s">
        <v>43</v>
      </c>
      <c r="W10" s="14"/>
    </row>
    <row r="11" spans="2:23" x14ac:dyDescent="0.45">
      <c r="B11" s="13" t="s">
        <v>219</v>
      </c>
      <c r="W11" s="14"/>
    </row>
    <row r="12" spans="2:23" x14ac:dyDescent="0.45">
      <c r="B12" s="13" t="s">
        <v>220</v>
      </c>
      <c r="W12" s="14"/>
    </row>
    <row r="13" spans="2:23" x14ac:dyDescent="0.45"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8"/>
    </row>
    <row r="14" spans="2:23" x14ac:dyDescent="0.45">
      <c r="B14" s="13"/>
      <c r="H14" s="20"/>
      <c r="W14" s="14"/>
    </row>
    <row r="15" spans="2:23" x14ac:dyDescent="0.45">
      <c r="B15" s="13"/>
      <c r="H15" s="20"/>
      <c r="W15" s="14"/>
    </row>
    <row r="16" spans="2:23" x14ac:dyDescent="0.45">
      <c r="B16" s="13"/>
      <c r="H16" s="20"/>
      <c r="W16" s="14"/>
    </row>
    <row r="17" spans="2:23" x14ac:dyDescent="0.45">
      <c r="B17" s="13"/>
      <c r="H17" s="20" t="s">
        <v>274</v>
      </c>
      <c r="Q17" s="20" t="s">
        <v>242</v>
      </c>
      <c r="W17" s="14"/>
    </row>
    <row r="18" spans="2:23" x14ac:dyDescent="0.45">
      <c r="B18" s="13"/>
      <c r="H18" s="22" t="s">
        <v>351</v>
      </c>
      <c r="Q18" s="22" t="s">
        <v>234</v>
      </c>
      <c r="W18" s="14"/>
    </row>
    <row r="19" spans="2:23" x14ac:dyDescent="0.45">
      <c r="B19" s="13"/>
      <c r="C19" s="79" t="s">
        <v>230</v>
      </c>
      <c r="D19" s="79" t="s">
        <v>228</v>
      </c>
      <c r="E19" s="79" t="s">
        <v>229</v>
      </c>
      <c r="F19" s="79" t="s">
        <v>231</v>
      </c>
      <c r="H19" s="9" t="str" cm="1">
        <f t="array" ref="H19:M27">PivotbyCatλ(Worker,Processed,Sites,Hours,", ","mmm y",_xleta.SUM)</f>
        <v/>
      </c>
      <c r="I19" s="9" t="str">
        <v/>
      </c>
      <c r="J19" s="9" t="str">
        <v>A</v>
      </c>
      <c r="K19" s="9" t="str">
        <v>B</v>
      </c>
      <c r="L19" s="9" t="str">
        <v>C</v>
      </c>
      <c r="M19" s="9" t="str">
        <v>D</v>
      </c>
      <c r="Q19" s="9" t="str" cm="1">
        <f t="array" ref="Q19:V27">PivotbyCatλ(Worker,Processed,Sites,Hours,", ","mmm y",_xleta.COUNT)</f>
        <v/>
      </c>
      <c r="R19" s="9" t="str">
        <v/>
      </c>
      <c r="S19" s="9" t="str">
        <v>A</v>
      </c>
      <c r="T19" s="9" t="str">
        <v>B</v>
      </c>
      <c r="U19" s="9" t="str">
        <v>C</v>
      </c>
      <c r="V19" s="9" t="str">
        <v>D</v>
      </c>
      <c r="W19" s="14"/>
    </row>
    <row r="20" spans="2:23" x14ac:dyDescent="0.45">
      <c r="B20" s="13"/>
      <c r="C20" s="69">
        <v>46198</v>
      </c>
      <c r="D20" s="32" t="s">
        <v>123</v>
      </c>
      <c r="E20" s="32">
        <v>24</v>
      </c>
      <c r="F20" s="32" t="s">
        <v>235</v>
      </c>
      <c r="H20" s="9" t="str">
        <v>Bob</v>
      </c>
      <c r="I20" s="9" t="str">
        <v>Jun 26</v>
      </c>
      <c r="J20" s="9">
        <v>8</v>
      </c>
      <c r="K20" s="9">
        <v>16</v>
      </c>
      <c r="L20" s="9" t="str">
        <v/>
      </c>
      <c r="M20" s="9" t="str">
        <v/>
      </c>
      <c r="Q20" s="9" t="str">
        <v>Bob</v>
      </c>
      <c r="R20" s="9" t="str">
        <v>Jun 26</v>
      </c>
      <c r="S20" s="9">
        <v>1</v>
      </c>
      <c r="T20" s="9">
        <v>2</v>
      </c>
      <c r="U20" s="9" t="str">
        <v/>
      </c>
      <c r="V20" s="9" t="str">
        <v/>
      </c>
      <c r="W20" s="14"/>
    </row>
    <row r="21" spans="2:23" x14ac:dyDescent="0.45">
      <c r="B21" s="13"/>
      <c r="C21" s="69">
        <v>46198</v>
      </c>
      <c r="D21" s="32" t="s">
        <v>221</v>
      </c>
      <c r="E21" s="32">
        <v>24</v>
      </c>
      <c r="F21" s="32" t="s">
        <v>236</v>
      </c>
      <c r="H21" s="9" t="str">
        <v>Henry</v>
      </c>
      <c r="I21" s="9" t="str">
        <v>Jun 26</v>
      </c>
      <c r="J21" s="9">
        <v>8</v>
      </c>
      <c r="K21" s="9">
        <v>8</v>
      </c>
      <c r="L21" s="9" t="str">
        <v/>
      </c>
      <c r="M21" s="9" t="str">
        <v/>
      </c>
      <c r="Q21" s="9" t="str">
        <v>Henry</v>
      </c>
      <c r="R21" s="9" t="str">
        <v>Jun 26</v>
      </c>
      <c r="S21" s="9">
        <v>2</v>
      </c>
      <c r="T21" s="9">
        <v>2</v>
      </c>
      <c r="U21" s="9" t="str">
        <v/>
      </c>
      <c r="V21" s="9" t="str">
        <v/>
      </c>
      <c r="W21" s="14"/>
    </row>
    <row r="22" spans="2:23" x14ac:dyDescent="0.45">
      <c r="B22" s="13"/>
      <c r="C22" s="69">
        <v>46198</v>
      </c>
      <c r="D22" s="32" t="s">
        <v>222</v>
      </c>
      <c r="E22" s="32">
        <v>36</v>
      </c>
      <c r="F22" s="32" t="s">
        <v>237</v>
      </c>
      <c r="H22" s="9" t="str">
        <v>Liz</v>
      </c>
      <c r="I22" s="9" t="str">
        <v>Jun 26</v>
      </c>
      <c r="J22" s="9">
        <v>20</v>
      </c>
      <c r="K22" s="9">
        <v>10</v>
      </c>
      <c r="L22" s="9">
        <v>10</v>
      </c>
      <c r="M22" s="9">
        <v>10</v>
      </c>
      <c r="Q22" s="9" t="str">
        <v>Liz</v>
      </c>
      <c r="R22" s="9" t="str">
        <v>Jun 26</v>
      </c>
      <c r="S22" s="9">
        <v>2</v>
      </c>
      <c r="T22" s="9">
        <v>1</v>
      </c>
      <c r="U22" s="9">
        <v>1</v>
      </c>
      <c r="V22" s="9">
        <v>1</v>
      </c>
      <c r="W22" s="14"/>
    </row>
    <row r="23" spans="2:23" x14ac:dyDescent="0.45">
      <c r="B23" s="13"/>
      <c r="C23" s="69">
        <v>46198</v>
      </c>
      <c r="D23" s="32" t="s">
        <v>223</v>
      </c>
      <c r="E23" s="32">
        <v>24</v>
      </c>
      <c r="F23" s="32" t="s">
        <v>238</v>
      </c>
      <c r="H23" s="9" t="str">
        <v>Lucy</v>
      </c>
      <c r="I23" s="9" t="str">
        <v>Jun 26</v>
      </c>
      <c r="J23" s="9">
        <v>9</v>
      </c>
      <c r="K23" s="9">
        <v>18</v>
      </c>
      <c r="L23" s="9">
        <v>9</v>
      </c>
      <c r="M23" s="9" t="str">
        <v/>
      </c>
      <c r="Q23" s="9" t="str">
        <v>Lucy</v>
      </c>
      <c r="R23" s="9" t="str">
        <v>Jun 26</v>
      </c>
      <c r="S23" s="9">
        <v>1</v>
      </c>
      <c r="T23" s="9">
        <v>2</v>
      </c>
      <c r="U23" s="9">
        <v>1</v>
      </c>
      <c r="V23" s="9" t="str">
        <v/>
      </c>
      <c r="W23" s="14"/>
    </row>
    <row r="24" spans="2:23" x14ac:dyDescent="0.45">
      <c r="B24" s="13"/>
      <c r="C24" s="69">
        <v>46198</v>
      </c>
      <c r="D24" s="32" t="s">
        <v>224</v>
      </c>
      <c r="E24" s="32">
        <v>24</v>
      </c>
      <c r="F24" s="32" t="s">
        <v>239</v>
      </c>
      <c r="H24" s="9" t="str">
        <v>Peg</v>
      </c>
      <c r="I24" s="9" t="str">
        <v>Jun 26</v>
      </c>
      <c r="J24" s="9" t="str">
        <v/>
      </c>
      <c r="K24" s="9">
        <v>8</v>
      </c>
      <c r="L24" s="9">
        <v>16</v>
      </c>
      <c r="M24" s="9" t="str">
        <v/>
      </c>
      <c r="Q24" s="9" t="str">
        <v>Peg</v>
      </c>
      <c r="R24" s="9" t="str">
        <v>Jun 26</v>
      </c>
      <c r="S24" s="9" t="str">
        <v/>
      </c>
      <c r="T24" s="9">
        <v>1</v>
      </c>
      <c r="U24" s="9">
        <v>2</v>
      </c>
      <c r="V24" s="9" t="str">
        <v/>
      </c>
      <c r="W24" s="14"/>
    </row>
    <row r="25" spans="2:23" x14ac:dyDescent="0.45">
      <c r="B25" s="13"/>
      <c r="C25" s="69">
        <v>46198</v>
      </c>
      <c r="D25" s="32" t="s">
        <v>225</v>
      </c>
      <c r="E25" s="32">
        <v>36</v>
      </c>
      <c r="F25" s="32" t="s">
        <v>240</v>
      </c>
      <c r="H25" s="9" t="str">
        <v>Sue</v>
      </c>
      <c r="I25" s="9" t="str">
        <v>Jun 26</v>
      </c>
      <c r="J25" s="9" t="str">
        <v/>
      </c>
      <c r="K25" s="9">
        <v>9</v>
      </c>
      <c r="L25" s="9">
        <v>9</v>
      </c>
      <c r="M25" s="9">
        <v>18</v>
      </c>
      <c r="Q25" s="9" t="str">
        <v>Sue</v>
      </c>
      <c r="R25" s="9" t="str">
        <v>Jun 26</v>
      </c>
      <c r="S25" s="9" t="str">
        <v/>
      </c>
      <c r="T25" s="9">
        <v>1</v>
      </c>
      <c r="U25" s="9">
        <v>1</v>
      </c>
      <c r="V25" s="9">
        <v>2</v>
      </c>
      <c r="W25" s="14"/>
    </row>
    <row r="26" spans="2:23" x14ac:dyDescent="0.45">
      <c r="B26" s="13"/>
      <c r="C26" s="69">
        <v>46198</v>
      </c>
      <c r="D26" s="32" t="s">
        <v>226</v>
      </c>
      <c r="E26" s="32">
        <v>16</v>
      </c>
      <c r="F26" s="32" t="s">
        <v>241</v>
      </c>
      <c r="H26" s="9" t="str">
        <v>Walt</v>
      </c>
      <c r="I26" s="9" t="str">
        <v>Jun 26</v>
      </c>
      <c r="J26" s="9">
        <v>6</v>
      </c>
      <c r="K26" s="9">
        <v>12</v>
      </c>
      <c r="L26" s="9" t="str">
        <v/>
      </c>
      <c r="M26" s="9">
        <v>6</v>
      </c>
      <c r="Q26" s="9" t="str">
        <v>Walt</v>
      </c>
      <c r="R26" s="9" t="str">
        <v>Jun 26</v>
      </c>
      <c r="S26" s="9">
        <v>1</v>
      </c>
      <c r="T26" s="9">
        <v>2</v>
      </c>
      <c r="U26" s="9" t="str">
        <v/>
      </c>
      <c r="V26" s="9">
        <v>1</v>
      </c>
      <c r="W26" s="14"/>
    </row>
    <row r="27" spans="2:23" x14ac:dyDescent="0.45">
      <c r="B27" s="13"/>
      <c r="C27" s="69">
        <v>46198</v>
      </c>
      <c r="D27" s="32" t="s">
        <v>227</v>
      </c>
      <c r="E27" s="32">
        <v>50</v>
      </c>
      <c r="F27" s="32" t="s">
        <v>243</v>
      </c>
      <c r="H27" s="9" t="str">
        <v>Willy</v>
      </c>
      <c r="I27" s="9" t="str">
        <v>Jun 26</v>
      </c>
      <c r="J27" s="9">
        <v>12</v>
      </c>
      <c r="K27" s="9">
        <v>6</v>
      </c>
      <c r="L27" s="9">
        <v>6</v>
      </c>
      <c r="M27" s="9" t="str">
        <v/>
      </c>
      <c r="Q27" s="9" t="str">
        <v>Willy</v>
      </c>
      <c r="R27" s="9" t="str">
        <v>Jun 26</v>
      </c>
      <c r="S27" s="9">
        <v>2</v>
      </c>
      <c r="T27" s="9">
        <v>1</v>
      </c>
      <c r="U27" s="9">
        <v>1</v>
      </c>
      <c r="V27" s="9" t="str">
        <v/>
      </c>
      <c r="W27" s="14"/>
    </row>
    <row r="28" spans="2:23" x14ac:dyDescent="0.45">
      <c r="B28" s="13"/>
      <c r="W28" s="14"/>
    </row>
    <row r="29" spans="2:23" x14ac:dyDescent="0.45">
      <c r="B29" s="13"/>
      <c r="W29" s="14"/>
    </row>
    <row r="30" spans="2:23" x14ac:dyDescent="0.45">
      <c r="B30" s="13"/>
      <c r="C30" s="21" t="s">
        <v>244</v>
      </c>
      <c r="L30" s="21" t="s">
        <v>233</v>
      </c>
      <c r="W30" s="14"/>
    </row>
    <row r="31" spans="2:23" x14ac:dyDescent="0.45">
      <c r="B31" s="16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8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018A0-CB08-4CDC-9FE6-F16FB82D3EF8}">
  <sheetPr>
    <tabColor rgb="FFB8DAD2"/>
  </sheetPr>
  <dimension ref="B2:T35"/>
  <sheetViews>
    <sheetView workbookViewId="0"/>
  </sheetViews>
  <sheetFormatPr defaultRowHeight="16.5" x14ac:dyDescent="0.45"/>
  <cols>
    <col min="1" max="1" width="5" customWidth="1"/>
    <col min="2" max="2" width="8.6640625" customWidth="1"/>
    <col min="3" max="9" width="5.58203125" customWidth="1"/>
    <col min="10" max="10" width="5.58203125" bestFit="1" customWidth="1"/>
    <col min="11" max="13" width="6.58203125" customWidth="1"/>
    <col min="14" max="14" width="7.83203125" bestFit="1" customWidth="1"/>
    <col min="15" max="16" width="6.58203125" customWidth="1"/>
    <col min="18" max="18" width="8.6640625" customWidth="1"/>
  </cols>
  <sheetData>
    <row r="2" spans="2:20" x14ac:dyDescent="0.45">
      <c r="B2" s="30" t="s">
        <v>245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2"/>
    </row>
    <row r="3" spans="2:20" x14ac:dyDescent="0.45">
      <c r="B3" s="13" t="s">
        <v>246</v>
      </c>
      <c r="T3" s="14"/>
    </row>
    <row r="4" spans="2:20" x14ac:dyDescent="0.45">
      <c r="B4" s="13" t="s">
        <v>247</v>
      </c>
      <c r="T4" s="14"/>
    </row>
    <row r="5" spans="2:20" x14ac:dyDescent="0.45">
      <c r="B5" s="13" t="s">
        <v>248</v>
      </c>
      <c r="T5" s="14"/>
    </row>
    <row r="6" spans="2:20" x14ac:dyDescent="0.45">
      <c r="B6" s="16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8"/>
    </row>
    <row r="7" spans="2:20" ht="17" thickBot="1" x14ac:dyDescent="0.5">
      <c r="B7" s="19"/>
      <c r="C7" s="28" t="s">
        <v>249</v>
      </c>
      <c r="D7" s="11"/>
      <c r="E7" s="11"/>
      <c r="F7" s="11"/>
      <c r="G7" s="11"/>
      <c r="H7" s="11"/>
      <c r="I7" s="11"/>
      <c r="J7" s="11"/>
      <c r="K7" s="11"/>
      <c r="L7" s="29" t="s">
        <v>252</v>
      </c>
      <c r="M7" s="11"/>
      <c r="N7" s="11"/>
      <c r="O7" s="11"/>
      <c r="P7" s="29" t="s">
        <v>253</v>
      </c>
      <c r="Q7" s="11"/>
      <c r="R7" s="11"/>
      <c r="S7" s="11"/>
      <c r="T7" s="12"/>
    </row>
    <row r="8" spans="2:20" ht="25" customHeight="1" thickTop="1" x14ac:dyDescent="0.45">
      <c r="B8" s="13"/>
      <c r="C8" s="80">
        <v>60</v>
      </c>
      <c r="D8" s="81">
        <v>40</v>
      </c>
      <c r="E8" s="81">
        <v>42</v>
      </c>
      <c r="F8" s="82">
        <v>58</v>
      </c>
      <c r="G8" s="83">
        <v>15</v>
      </c>
      <c r="H8" s="84">
        <v>78</v>
      </c>
      <c r="I8" s="84">
        <v>35</v>
      </c>
      <c r="J8" s="85">
        <v>25</v>
      </c>
      <c r="L8" s="22" t="s">
        <v>250</v>
      </c>
      <c r="P8" s="22" t="s">
        <v>251</v>
      </c>
      <c r="T8" s="14"/>
    </row>
    <row r="9" spans="2:20" ht="25" customHeight="1" thickBot="1" x14ac:dyDescent="0.5">
      <c r="B9" s="13"/>
      <c r="C9" s="86">
        <v>7</v>
      </c>
      <c r="D9" s="87">
        <v>35</v>
      </c>
      <c r="E9" s="87">
        <v>67</v>
      </c>
      <c r="F9" s="88">
        <v>42</v>
      </c>
      <c r="G9" s="89">
        <v>86</v>
      </c>
      <c r="H9" s="90">
        <v>68</v>
      </c>
      <c r="I9" s="90">
        <v>54</v>
      </c>
      <c r="J9" s="91">
        <v>29</v>
      </c>
      <c r="L9" s="128" cm="1">
        <f t="array" ref="L9:M12">Grainλ(MatrixDemo,2,4,_xleta.SUM)</f>
        <v>351</v>
      </c>
      <c r="M9" s="129">
        <v>390</v>
      </c>
      <c r="P9" s="128" cm="1">
        <f t="array" ref="P9:Q12">Grainλ(MatrixDemo,2,4,_xleta.MAX)</f>
        <v>67</v>
      </c>
      <c r="Q9" s="129">
        <v>86</v>
      </c>
      <c r="T9" s="14"/>
    </row>
    <row r="10" spans="2:20" ht="25" customHeight="1" thickTop="1" x14ac:dyDescent="0.45">
      <c r="B10" s="13"/>
      <c r="C10" s="92">
        <v>58</v>
      </c>
      <c r="D10" s="93">
        <v>71</v>
      </c>
      <c r="E10" s="93">
        <v>44</v>
      </c>
      <c r="F10" s="94">
        <v>15</v>
      </c>
      <c r="G10" s="95">
        <v>48</v>
      </c>
      <c r="H10" s="96">
        <v>7</v>
      </c>
      <c r="I10" s="96">
        <v>5</v>
      </c>
      <c r="J10" s="97">
        <v>79</v>
      </c>
      <c r="L10" s="130">
        <v>456</v>
      </c>
      <c r="M10" s="131">
        <v>257</v>
      </c>
      <c r="P10" s="130">
        <v>86</v>
      </c>
      <c r="Q10" s="131">
        <v>79</v>
      </c>
      <c r="T10" s="14"/>
    </row>
    <row r="11" spans="2:20" ht="25" customHeight="1" thickBot="1" x14ac:dyDescent="0.5">
      <c r="B11" s="13"/>
      <c r="C11" s="98">
        <v>52</v>
      </c>
      <c r="D11" s="99">
        <v>60</v>
      </c>
      <c r="E11" s="99">
        <v>70</v>
      </c>
      <c r="F11" s="100">
        <v>86</v>
      </c>
      <c r="G11" s="101">
        <v>79</v>
      </c>
      <c r="H11" s="102">
        <v>10</v>
      </c>
      <c r="I11" s="102">
        <v>18</v>
      </c>
      <c r="J11" s="103">
        <v>11</v>
      </c>
      <c r="L11" s="132">
        <v>397</v>
      </c>
      <c r="M11" s="133">
        <v>369</v>
      </c>
      <c r="P11" s="132">
        <v>93</v>
      </c>
      <c r="Q11" s="133">
        <v>89</v>
      </c>
      <c r="T11" s="14"/>
    </row>
    <row r="12" spans="2:20" ht="25" customHeight="1" thickTop="1" x14ac:dyDescent="0.45">
      <c r="B12" s="13"/>
      <c r="C12" s="104">
        <v>77</v>
      </c>
      <c r="D12" s="105">
        <v>12</v>
      </c>
      <c r="E12" s="105">
        <v>75</v>
      </c>
      <c r="F12" s="106">
        <v>90</v>
      </c>
      <c r="G12" s="107">
        <v>32</v>
      </c>
      <c r="H12" s="108">
        <v>89</v>
      </c>
      <c r="I12" s="108">
        <v>48</v>
      </c>
      <c r="J12" s="109">
        <v>77</v>
      </c>
      <c r="L12" s="134">
        <v>257</v>
      </c>
      <c r="M12" s="53">
        <v>347</v>
      </c>
      <c r="P12" s="134">
        <v>97</v>
      </c>
      <c r="Q12" s="53">
        <v>74</v>
      </c>
      <c r="T12" s="14"/>
    </row>
    <row r="13" spans="2:20" ht="25" customHeight="1" thickBot="1" x14ac:dyDescent="0.5">
      <c r="B13" s="13"/>
      <c r="C13" s="110">
        <v>35</v>
      </c>
      <c r="D13" s="111">
        <v>12</v>
      </c>
      <c r="E13" s="111">
        <v>3</v>
      </c>
      <c r="F13" s="112">
        <v>93</v>
      </c>
      <c r="G13" s="113">
        <v>69</v>
      </c>
      <c r="H13" s="114">
        <v>14</v>
      </c>
      <c r="I13" s="114">
        <v>24</v>
      </c>
      <c r="J13" s="115">
        <v>16</v>
      </c>
      <c r="T13" s="14"/>
    </row>
    <row r="14" spans="2:20" ht="25" customHeight="1" thickTop="1" x14ac:dyDescent="0.45">
      <c r="B14" s="13"/>
      <c r="C14" s="116">
        <v>20</v>
      </c>
      <c r="D14" s="117">
        <v>10</v>
      </c>
      <c r="E14" s="117">
        <v>10</v>
      </c>
      <c r="F14" s="118">
        <v>21</v>
      </c>
      <c r="G14" s="119">
        <v>50</v>
      </c>
      <c r="H14" s="120">
        <v>30</v>
      </c>
      <c r="I14" s="120">
        <v>74</v>
      </c>
      <c r="J14" s="121">
        <v>21</v>
      </c>
      <c r="T14" s="14"/>
    </row>
    <row r="15" spans="2:20" ht="25" customHeight="1" thickBot="1" x14ac:dyDescent="0.5">
      <c r="B15" s="13"/>
      <c r="C15" s="122">
        <v>17</v>
      </c>
      <c r="D15" s="123">
        <v>56</v>
      </c>
      <c r="E15" s="123">
        <v>26</v>
      </c>
      <c r="F15" s="124">
        <v>97</v>
      </c>
      <c r="G15" s="125">
        <v>70</v>
      </c>
      <c r="H15" s="126">
        <v>21</v>
      </c>
      <c r="I15" s="126">
        <v>48</v>
      </c>
      <c r="J15" s="127">
        <v>33</v>
      </c>
      <c r="T15" s="14"/>
    </row>
    <row r="16" spans="2:20" ht="17" thickTop="1" x14ac:dyDescent="0.45">
      <c r="B16" s="16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8"/>
    </row>
    <row r="17" spans="2:20" x14ac:dyDescent="0.45">
      <c r="B17" s="13"/>
      <c r="C17" s="21" t="s">
        <v>254</v>
      </c>
      <c r="L17" s="20" t="s">
        <v>256</v>
      </c>
      <c r="P17" s="20" t="s">
        <v>258</v>
      </c>
      <c r="T17" s="14"/>
    </row>
    <row r="18" spans="2:20" x14ac:dyDescent="0.45">
      <c r="B18" s="13"/>
      <c r="C18" s="135">
        <v>1598</v>
      </c>
      <c r="D18" s="135">
        <v>1614</v>
      </c>
      <c r="E18" s="135">
        <v>1633</v>
      </c>
      <c r="F18" s="136">
        <v>1649</v>
      </c>
      <c r="G18" s="136">
        <v>1662</v>
      </c>
      <c r="H18" s="136">
        <v>1661</v>
      </c>
      <c r="I18" s="137">
        <v>1652</v>
      </c>
      <c r="J18" s="137">
        <v>1643</v>
      </c>
      <c r="L18" s="22" t="s">
        <v>255</v>
      </c>
      <c r="P18" s="22" t="s">
        <v>257</v>
      </c>
      <c r="T18" s="14"/>
    </row>
    <row r="19" spans="2:20" x14ac:dyDescent="0.45">
      <c r="B19" s="13"/>
      <c r="C19" s="135">
        <v>1586</v>
      </c>
      <c r="D19" s="135">
        <v>1606</v>
      </c>
      <c r="E19" s="135">
        <v>1627</v>
      </c>
      <c r="F19" s="136">
        <v>1638</v>
      </c>
      <c r="G19" s="136">
        <v>1649</v>
      </c>
      <c r="H19" s="136">
        <v>1650</v>
      </c>
      <c r="I19" s="137">
        <v>1642</v>
      </c>
      <c r="J19" s="137">
        <v>1634</v>
      </c>
      <c r="L19" s="135" cm="1">
        <f t="array" ref="L19:N22">Grainλ(ElevationGrid,5,3,_xleta.AVERAGE)</f>
        <v>1594.8666666666666</v>
      </c>
      <c r="M19" s="136">
        <v>1632.3333333333333</v>
      </c>
      <c r="N19" s="137">
        <v>1627.8</v>
      </c>
      <c r="P19" s="135" cm="1">
        <f t="array" ref="P19:R22">Grainλ(ElevationGrid,5,3,_xleta.COUNT)</f>
        <v>15</v>
      </c>
      <c r="Q19" s="136">
        <v>15</v>
      </c>
      <c r="R19" s="137">
        <v>10</v>
      </c>
      <c r="T19" s="14"/>
    </row>
    <row r="20" spans="2:20" x14ac:dyDescent="0.45">
      <c r="B20" s="13"/>
      <c r="C20" s="135">
        <v>1580</v>
      </c>
      <c r="D20" s="135">
        <v>1601</v>
      </c>
      <c r="E20" s="135">
        <v>1612</v>
      </c>
      <c r="F20" s="136">
        <v>1623</v>
      </c>
      <c r="G20" s="136">
        <v>1636</v>
      </c>
      <c r="H20" s="136">
        <v>1638</v>
      </c>
      <c r="I20" s="137">
        <v>1631</v>
      </c>
      <c r="J20" s="137">
        <v>1623</v>
      </c>
      <c r="L20" s="138">
        <v>1538.4666666666667</v>
      </c>
      <c r="M20" s="139">
        <v>1557.5333333333333</v>
      </c>
      <c r="N20" s="140">
        <v>1574.7</v>
      </c>
      <c r="P20" s="138">
        <v>15</v>
      </c>
      <c r="Q20" s="139">
        <v>15</v>
      </c>
      <c r="R20" s="140">
        <v>10</v>
      </c>
      <c r="T20" s="14"/>
    </row>
    <row r="21" spans="2:20" x14ac:dyDescent="0.45">
      <c r="B21" s="13"/>
      <c r="C21" s="135">
        <v>1578</v>
      </c>
      <c r="D21" s="135">
        <v>1583</v>
      </c>
      <c r="E21" s="135">
        <v>1596</v>
      </c>
      <c r="F21" s="136">
        <v>1611</v>
      </c>
      <c r="G21" s="136">
        <v>1624</v>
      </c>
      <c r="H21" s="136">
        <v>1625</v>
      </c>
      <c r="I21" s="137">
        <v>1621</v>
      </c>
      <c r="J21" s="137">
        <v>1613</v>
      </c>
      <c r="L21" s="141">
        <v>1478.7333333333333</v>
      </c>
      <c r="M21" s="142">
        <v>1492.5333333333333</v>
      </c>
      <c r="N21" s="143">
        <v>1496.7</v>
      </c>
      <c r="P21" s="141">
        <v>15</v>
      </c>
      <c r="Q21" s="142">
        <v>15</v>
      </c>
      <c r="R21" s="143">
        <v>10</v>
      </c>
      <c r="T21" s="14"/>
    </row>
    <row r="22" spans="2:20" x14ac:dyDescent="0.45">
      <c r="B22" s="13"/>
      <c r="C22" s="135">
        <v>1558</v>
      </c>
      <c r="D22" s="135">
        <v>1569</v>
      </c>
      <c r="E22" s="135">
        <v>1582</v>
      </c>
      <c r="F22" s="136">
        <v>1601</v>
      </c>
      <c r="G22" s="136">
        <v>1606</v>
      </c>
      <c r="H22" s="136">
        <v>1612</v>
      </c>
      <c r="I22" s="137">
        <v>1612</v>
      </c>
      <c r="J22" s="137">
        <v>1607</v>
      </c>
      <c r="L22" s="144">
        <v>1446</v>
      </c>
      <c r="M22" s="145">
        <v>1458.6666666666667</v>
      </c>
      <c r="N22" s="146">
        <v>1457.5</v>
      </c>
      <c r="P22" s="144">
        <v>3</v>
      </c>
      <c r="Q22" s="145">
        <v>3</v>
      </c>
      <c r="R22" s="146">
        <v>2</v>
      </c>
      <c r="T22" s="14"/>
    </row>
    <row r="23" spans="2:20" x14ac:dyDescent="0.45">
      <c r="B23" s="13"/>
      <c r="C23" s="138">
        <v>1545</v>
      </c>
      <c r="D23" s="138">
        <v>1556</v>
      </c>
      <c r="E23" s="138">
        <v>1574</v>
      </c>
      <c r="F23" s="139">
        <v>1588</v>
      </c>
      <c r="G23" s="139">
        <v>1588</v>
      </c>
      <c r="H23" s="139">
        <v>1595</v>
      </c>
      <c r="I23" s="140">
        <v>1603</v>
      </c>
      <c r="J23" s="140">
        <v>1601</v>
      </c>
      <c r="T23" s="14"/>
    </row>
    <row r="24" spans="2:20" x14ac:dyDescent="0.45">
      <c r="B24" s="13"/>
      <c r="C24" s="138">
        <v>1533</v>
      </c>
      <c r="D24" s="138">
        <v>1548</v>
      </c>
      <c r="E24" s="138">
        <v>1568</v>
      </c>
      <c r="F24" s="139">
        <v>1567</v>
      </c>
      <c r="G24" s="139">
        <v>1571</v>
      </c>
      <c r="H24" s="139">
        <v>1579</v>
      </c>
      <c r="I24" s="140">
        <v>1590</v>
      </c>
      <c r="J24" s="140">
        <v>1591</v>
      </c>
      <c r="N24" s="21" t="s">
        <v>259</v>
      </c>
      <c r="T24" s="14"/>
    </row>
    <row r="25" spans="2:20" x14ac:dyDescent="0.45">
      <c r="B25" s="13"/>
      <c r="C25" s="138">
        <v>1521</v>
      </c>
      <c r="D25" s="138">
        <v>1543</v>
      </c>
      <c r="E25" s="138">
        <v>1552</v>
      </c>
      <c r="F25" s="139">
        <v>1550</v>
      </c>
      <c r="G25" s="139">
        <v>1555</v>
      </c>
      <c r="H25" s="139">
        <v>1566</v>
      </c>
      <c r="I25" s="140">
        <v>1577</v>
      </c>
      <c r="J25" s="140">
        <v>1575</v>
      </c>
      <c r="T25" s="14"/>
    </row>
    <row r="26" spans="2:20" x14ac:dyDescent="0.45">
      <c r="B26" s="13"/>
      <c r="C26" s="138">
        <v>1521</v>
      </c>
      <c r="D26" s="138">
        <v>1535</v>
      </c>
      <c r="E26" s="138">
        <v>1529</v>
      </c>
      <c r="F26" s="139">
        <v>1533</v>
      </c>
      <c r="G26" s="139">
        <v>1539</v>
      </c>
      <c r="H26" s="139">
        <v>1553</v>
      </c>
      <c r="I26" s="140">
        <v>1563</v>
      </c>
      <c r="J26" s="140">
        <v>1559</v>
      </c>
      <c r="T26" s="14"/>
    </row>
    <row r="27" spans="2:20" x14ac:dyDescent="0.45">
      <c r="B27" s="13"/>
      <c r="C27" s="138">
        <v>1523</v>
      </c>
      <c r="D27" s="138">
        <v>1517</v>
      </c>
      <c r="E27" s="138">
        <v>1512</v>
      </c>
      <c r="F27" s="139">
        <v>1516</v>
      </c>
      <c r="G27" s="139">
        <v>1524</v>
      </c>
      <c r="H27" s="139">
        <v>1539</v>
      </c>
      <c r="I27" s="140">
        <v>1547</v>
      </c>
      <c r="J27" s="140">
        <v>1541</v>
      </c>
      <c r="L27" s="20" t="s">
        <v>261</v>
      </c>
      <c r="T27" s="14"/>
    </row>
    <row r="28" spans="2:20" x14ac:dyDescent="0.45">
      <c r="B28" s="13"/>
      <c r="C28" s="141">
        <v>1514</v>
      </c>
      <c r="D28" s="141">
        <v>1502</v>
      </c>
      <c r="E28" s="141">
        <v>1496</v>
      </c>
      <c r="F28" s="142">
        <v>1501</v>
      </c>
      <c r="G28" s="142">
        <v>1512</v>
      </c>
      <c r="H28" s="142">
        <v>1528</v>
      </c>
      <c r="I28" s="143">
        <v>1527</v>
      </c>
      <c r="J28" s="143">
        <v>1526</v>
      </c>
      <c r="L28" s="22" t="s">
        <v>260</v>
      </c>
      <c r="T28" s="14"/>
    </row>
    <row r="29" spans="2:20" x14ac:dyDescent="0.45">
      <c r="B29" s="13"/>
      <c r="C29" s="141">
        <v>1499</v>
      </c>
      <c r="D29" s="141">
        <v>1487</v>
      </c>
      <c r="E29" s="141">
        <v>1482</v>
      </c>
      <c r="F29" s="142">
        <v>1489</v>
      </c>
      <c r="G29" s="142">
        <v>1504</v>
      </c>
      <c r="H29" s="142">
        <v>1521</v>
      </c>
      <c r="I29" s="143">
        <v>1513</v>
      </c>
      <c r="J29" s="143">
        <v>1509</v>
      </c>
      <c r="N29" s="135" t="b" cm="1">
        <f t="array" ref="N29:P32">Grainλ(ElevationGrid,5,3,_xlfn.LAMBDA(_xlpm.v,AVERAGE(_xlpm.v)&gt;AVERAGE(ElevationGrid)))</f>
        <v>1</v>
      </c>
      <c r="O29" s="136" t="b">
        <v>1</v>
      </c>
      <c r="P29" s="137" t="b">
        <v>1</v>
      </c>
      <c r="T29" s="14"/>
    </row>
    <row r="30" spans="2:20" x14ac:dyDescent="0.45">
      <c r="B30" s="13"/>
      <c r="C30" s="141">
        <v>1486</v>
      </c>
      <c r="D30" s="141">
        <v>1474</v>
      </c>
      <c r="E30" s="141">
        <v>1469</v>
      </c>
      <c r="F30" s="142">
        <v>1477</v>
      </c>
      <c r="G30" s="142">
        <v>1495</v>
      </c>
      <c r="H30" s="142">
        <v>1510</v>
      </c>
      <c r="I30" s="143">
        <v>1499</v>
      </c>
      <c r="J30" s="143">
        <v>1493</v>
      </c>
      <c r="N30" s="138" t="b">
        <v>0</v>
      </c>
      <c r="O30" s="139" t="b">
        <v>1</v>
      </c>
      <c r="P30" s="140" t="b">
        <v>1</v>
      </c>
      <c r="T30" s="14"/>
    </row>
    <row r="31" spans="2:20" x14ac:dyDescent="0.45">
      <c r="B31" s="13"/>
      <c r="C31" s="141">
        <v>1478</v>
      </c>
      <c r="D31" s="141">
        <v>1465</v>
      </c>
      <c r="E31" s="141">
        <v>1458</v>
      </c>
      <c r="F31" s="142">
        <v>1465</v>
      </c>
      <c r="G31" s="142">
        <v>1480</v>
      </c>
      <c r="H31" s="142">
        <v>1498</v>
      </c>
      <c r="I31" s="143">
        <v>1485</v>
      </c>
      <c r="J31" s="143">
        <v>1478</v>
      </c>
      <c r="N31" s="141" t="b">
        <v>0</v>
      </c>
      <c r="O31" s="142" t="b">
        <v>0</v>
      </c>
      <c r="P31" s="143" t="b">
        <v>0</v>
      </c>
      <c r="T31" s="14"/>
    </row>
    <row r="32" spans="2:20" x14ac:dyDescent="0.45">
      <c r="B32" s="13"/>
      <c r="C32" s="141">
        <v>1470</v>
      </c>
      <c r="D32" s="141">
        <v>1454</v>
      </c>
      <c r="E32" s="141">
        <v>1447</v>
      </c>
      <c r="F32" s="142">
        <v>1456</v>
      </c>
      <c r="G32" s="142">
        <v>1468</v>
      </c>
      <c r="H32" s="142">
        <v>1484</v>
      </c>
      <c r="I32" s="143">
        <v>1473</v>
      </c>
      <c r="J32" s="143">
        <v>1464</v>
      </c>
      <c r="N32" s="144" t="b">
        <v>0</v>
      </c>
      <c r="O32" s="145" t="b">
        <v>0</v>
      </c>
      <c r="P32" s="146" t="b">
        <v>0</v>
      </c>
      <c r="T32" s="14"/>
    </row>
    <row r="33" spans="2:20" x14ac:dyDescent="0.45">
      <c r="B33" s="13"/>
      <c r="C33" s="144">
        <v>1458</v>
      </c>
      <c r="D33" s="144">
        <v>1445</v>
      </c>
      <c r="E33" s="144">
        <v>1435</v>
      </c>
      <c r="F33" s="145">
        <v>1447</v>
      </c>
      <c r="G33" s="145">
        <v>1460</v>
      </c>
      <c r="H33" s="145">
        <v>1469</v>
      </c>
      <c r="I33" s="146">
        <v>1463</v>
      </c>
      <c r="J33" s="146">
        <v>1452</v>
      </c>
      <c r="T33" s="14"/>
    </row>
    <row r="34" spans="2:20" x14ac:dyDescent="0.45">
      <c r="B34" s="13"/>
      <c r="T34" s="14"/>
    </row>
    <row r="35" spans="2:20" x14ac:dyDescent="0.45"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8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50531-3546-438A-9188-568D6C2D95BC}">
  <sheetPr>
    <tabColor rgb="FFF4D9A6"/>
  </sheetPr>
  <dimension ref="B2:AA38"/>
  <sheetViews>
    <sheetView workbookViewId="0"/>
  </sheetViews>
  <sheetFormatPr defaultRowHeight="16.5" x14ac:dyDescent="0.45"/>
  <cols>
    <col min="1" max="1" width="5" customWidth="1"/>
    <col min="2" max="4" width="4.58203125" customWidth="1"/>
    <col min="5" max="5" width="4.6640625" customWidth="1"/>
    <col min="6" max="20" width="4.58203125" customWidth="1"/>
    <col min="21" max="21" width="4.4140625" customWidth="1"/>
    <col min="22" max="26" width="4.58203125" customWidth="1"/>
  </cols>
  <sheetData>
    <row r="2" spans="2:27" x14ac:dyDescent="0.45">
      <c r="B2" s="30" t="s">
        <v>268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</row>
    <row r="3" spans="2:27" x14ac:dyDescent="0.45">
      <c r="B3" s="13"/>
      <c r="D3" s="185" t="s">
        <v>269</v>
      </c>
      <c r="AA3" s="14"/>
    </row>
    <row r="4" spans="2:27" x14ac:dyDescent="0.45">
      <c r="B4" s="13" t="s">
        <v>246</v>
      </c>
      <c r="AA4" s="14"/>
    </row>
    <row r="5" spans="2:27" x14ac:dyDescent="0.45">
      <c r="B5" s="13" t="s">
        <v>262</v>
      </c>
      <c r="N5" s="186"/>
      <c r="O5" s="186"/>
      <c r="P5" s="21" t="s">
        <v>17</v>
      </c>
      <c r="Q5" s="186"/>
      <c r="R5" s="186"/>
      <c r="S5" s="186"/>
      <c r="T5" s="186"/>
      <c r="AA5" s="14"/>
    </row>
    <row r="6" spans="2:27" x14ac:dyDescent="0.45">
      <c r="B6" s="15" t="s">
        <v>43</v>
      </c>
      <c r="N6" s="187"/>
      <c r="O6" s="187" t="s">
        <v>265</v>
      </c>
      <c r="P6" s="187"/>
      <c r="Q6" s="187"/>
      <c r="R6" s="186" t="s">
        <v>266</v>
      </c>
      <c r="S6" s="186"/>
      <c r="T6" s="186"/>
      <c r="AA6" s="14"/>
    </row>
    <row r="7" spans="2:27" x14ac:dyDescent="0.45">
      <c r="B7" s="13" t="s">
        <v>263</v>
      </c>
      <c r="N7" s="184">
        <v>1</v>
      </c>
      <c r="O7" s="184">
        <v>2</v>
      </c>
      <c r="P7" s="184">
        <v>3</v>
      </c>
      <c r="Q7" s="187"/>
      <c r="R7" s="186"/>
      <c r="S7" s="184">
        <v>1</v>
      </c>
      <c r="T7" s="186"/>
      <c r="AA7" s="14"/>
    </row>
    <row r="8" spans="2:27" x14ac:dyDescent="0.45">
      <c r="B8" s="13" t="s">
        <v>264</v>
      </c>
      <c r="N8" s="184">
        <v>4</v>
      </c>
      <c r="O8" s="184" t="s">
        <v>232</v>
      </c>
      <c r="P8" s="184">
        <v>6</v>
      </c>
      <c r="Q8" s="187"/>
      <c r="R8" s="184">
        <v>2</v>
      </c>
      <c r="S8" s="184" t="s">
        <v>232</v>
      </c>
      <c r="T8" s="184">
        <v>3</v>
      </c>
      <c r="AA8" s="14"/>
    </row>
    <row r="9" spans="2:27" x14ac:dyDescent="0.45">
      <c r="B9" s="13"/>
      <c r="N9" s="184">
        <v>7</v>
      </c>
      <c r="O9" s="184">
        <v>8</v>
      </c>
      <c r="P9" s="184">
        <v>9</v>
      </c>
      <c r="Q9" s="187"/>
      <c r="R9" s="186"/>
      <c r="S9" s="184">
        <v>4</v>
      </c>
      <c r="T9" s="186"/>
      <c r="AA9" s="14"/>
    </row>
    <row r="10" spans="2:27" x14ac:dyDescent="0.45">
      <c r="B10" s="16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8"/>
    </row>
    <row r="11" spans="2:27" x14ac:dyDescent="0.45">
      <c r="B11" s="19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2"/>
    </row>
    <row r="12" spans="2:27" x14ac:dyDescent="0.45">
      <c r="B12" s="13"/>
      <c r="C12" s="20" t="s">
        <v>267</v>
      </c>
      <c r="J12" s="20" t="s">
        <v>274</v>
      </c>
      <c r="P12" s="20" t="s">
        <v>275</v>
      </c>
      <c r="V12" s="20" t="s">
        <v>279</v>
      </c>
      <c r="AA12" s="14"/>
    </row>
    <row r="13" spans="2:27" x14ac:dyDescent="0.45">
      <c r="B13" s="13"/>
      <c r="C13" s="21" t="s">
        <v>271</v>
      </c>
      <c r="J13" s="22" t="s">
        <v>272</v>
      </c>
      <c r="P13" s="22" t="s">
        <v>270</v>
      </c>
      <c r="V13" s="22" t="s">
        <v>280</v>
      </c>
      <c r="AA13" s="14"/>
    </row>
    <row r="14" spans="2:27" x14ac:dyDescent="0.45">
      <c r="B14" s="13"/>
      <c r="C14" s="169" cm="1">
        <f t="array" ref="C14:G18">_xlfn.SEQUENCE(5,5)</f>
        <v>1</v>
      </c>
      <c r="D14" s="169">
        <v>2</v>
      </c>
      <c r="E14" s="169">
        <v>3</v>
      </c>
      <c r="F14" s="169">
        <v>4</v>
      </c>
      <c r="G14" s="169">
        <v>5</v>
      </c>
      <c r="J14" s="9" cm="1">
        <f t="array" ref="J14:N18">MooreAggλ(_xlfn.ANCHORARRAY(C14),_xleta.SUM)</f>
        <v>16</v>
      </c>
      <c r="K14" s="9">
        <v>27</v>
      </c>
      <c r="L14" s="9">
        <v>33</v>
      </c>
      <c r="M14" s="9">
        <v>39</v>
      </c>
      <c r="N14" s="9">
        <v>28</v>
      </c>
      <c r="P14" s="9" cm="1">
        <f t="array" ref="P14:T18">MooreAggλ(_xlfn.ANCHORARRAY(C14),_xleta.COUNT)</f>
        <v>4</v>
      </c>
      <c r="Q14" s="9">
        <v>6</v>
      </c>
      <c r="R14" s="9">
        <v>6</v>
      </c>
      <c r="S14" s="9">
        <v>6</v>
      </c>
      <c r="T14" s="9">
        <v>4</v>
      </c>
      <c r="V14" s="9" cm="1">
        <f t="array" ref="V14:Z18">MooreAggλ(_xlfn.ANCHORARRAY(C14),_xleta.SUM,,TRUE)</f>
        <v>15</v>
      </c>
      <c r="W14" s="9">
        <v>25</v>
      </c>
      <c r="X14" s="9">
        <v>30</v>
      </c>
      <c r="Y14" s="9">
        <v>35</v>
      </c>
      <c r="Z14" s="9">
        <v>23</v>
      </c>
      <c r="AA14" s="14"/>
    </row>
    <row r="15" spans="2:27" x14ac:dyDescent="0.45">
      <c r="B15" s="13"/>
      <c r="C15" s="169">
        <v>6</v>
      </c>
      <c r="D15" s="169">
        <v>7</v>
      </c>
      <c r="E15" s="169">
        <v>8</v>
      </c>
      <c r="F15" s="169">
        <v>9</v>
      </c>
      <c r="G15" s="169">
        <v>10</v>
      </c>
      <c r="J15" s="9">
        <v>39</v>
      </c>
      <c r="K15" s="9">
        <v>63</v>
      </c>
      <c r="L15" s="9">
        <v>72</v>
      </c>
      <c r="M15" s="9">
        <v>81</v>
      </c>
      <c r="N15" s="9">
        <v>57</v>
      </c>
      <c r="P15" s="9">
        <v>6</v>
      </c>
      <c r="Q15" s="9">
        <v>9</v>
      </c>
      <c r="R15" s="9">
        <v>9</v>
      </c>
      <c r="S15" s="9">
        <v>9</v>
      </c>
      <c r="T15" s="9">
        <v>6</v>
      </c>
      <c r="V15" s="9">
        <v>33</v>
      </c>
      <c r="W15" s="9">
        <v>56</v>
      </c>
      <c r="X15" s="9">
        <v>64</v>
      </c>
      <c r="Y15" s="9">
        <v>72</v>
      </c>
      <c r="Z15" s="9">
        <v>47</v>
      </c>
      <c r="AA15" s="14"/>
    </row>
    <row r="16" spans="2:27" x14ac:dyDescent="0.45">
      <c r="B16" s="13"/>
      <c r="C16" s="169">
        <v>11</v>
      </c>
      <c r="D16" s="169">
        <v>12</v>
      </c>
      <c r="E16" s="169">
        <v>13</v>
      </c>
      <c r="F16" s="169">
        <v>14</v>
      </c>
      <c r="G16" s="169">
        <v>15</v>
      </c>
      <c r="J16" s="9">
        <v>69</v>
      </c>
      <c r="K16" s="9">
        <v>108</v>
      </c>
      <c r="L16" s="9">
        <v>117</v>
      </c>
      <c r="M16" s="9">
        <v>126</v>
      </c>
      <c r="N16" s="9">
        <v>87</v>
      </c>
      <c r="P16" s="9">
        <v>6</v>
      </c>
      <c r="Q16" s="9">
        <v>9</v>
      </c>
      <c r="R16" s="9">
        <v>9</v>
      </c>
      <c r="S16" s="9">
        <v>9</v>
      </c>
      <c r="T16" s="9">
        <v>6</v>
      </c>
      <c r="V16" s="9">
        <v>58</v>
      </c>
      <c r="W16" s="9">
        <v>96</v>
      </c>
      <c r="X16" s="9">
        <v>104</v>
      </c>
      <c r="Y16" s="9">
        <v>112</v>
      </c>
      <c r="Z16" s="9">
        <v>72</v>
      </c>
      <c r="AA16" s="14"/>
    </row>
    <row r="17" spans="2:27" x14ac:dyDescent="0.45">
      <c r="B17" s="13"/>
      <c r="C17" s="169">
        <v>16</v>
      </c>
      <c r="D17" s="169">
        <v>17</v>
      </c>
      <c r="E17" s="169">
        <v>18</v>
      </c>
      <c r="F17" s="169">
        <v>19</v>
      </c>
      <c r="G17" s="169">
        <v>20</v>
      </c>
      <c r="J17" s="9">
        <v>99</v>
      </c>
      <c r="K17" s="9">
        <v>153</v>
      </c>
      <c r="L17" s="9">
        <v>162</v>
      </c>
      <c r="M17" s="9">
        <v>171</v>
      </c>
      <c r="N17" s="9">
        <v>117</v>
      </c>
      <c r="P17" s="9">
        <v>6</v>
      </c>
      <c r="Q17" s="9">
        <v>9</v>
      </c>
      <c r="R17" s="9">
        <v>9</v>
      </c>
      <c r="S17" s="9">
        <v>9</v>
      </c>
      <c r="T17" s="9">
        <v>6</v>
      </c>
      <c r="V17" s="9">
        <v>83</v>
      </c>
      <c r="W17" s="9">
        <v>136</v>
      </c>
      <c r="X17" s="9">
        <v>144</v>
      </c>
      <c r="Y17" s="9">
        <v>152</v>
      </c>
      <c r="Z17" s="9">
        <v>97</v>
      </c>
      <c r="AA17" s="14"/>
    </row>
    <row r="18" spans="2:27" x14ac:dyDescent="0.45">
      <c r="B18" s="13"/>
      <c r="C18" s="169">
        <v>21</v>
      </c>
      <c r="D18" s="169">
        <v>22</v>
      </c>
      <c r="E18" s="169">
        <v>23</v>
      </c>
      <c r="F18" s="169">
        <v>24</v>
      </c>
      <c r="G18" s="169">
        <v>25</v>
      </c>
      <c r="J18" s="9">
        <v>76</v>
      </c>
      <c r="K18" s="9">
        <v>117</v>
      </c>
      <c r="L18" s="9">
        <v>123</v>
      </c>
      <c r="M18" s="9">
        <v>129</v>
      </c>
      <c r="N18" s="9">
        <v>88</v>
      </c>
      <c r="P18" s="9">
        <v>4</v>
      </c>
      <c r="Q18" s="9">
        <v>6</v>
      </c>
      <c r="R18" s="9">
        <v>6</v>
      </c>
      <c r="S18" s="9">
        <v>6</v>
      </c>
      <c r="T18" s="9">
        <v>4</v>
      </c>
      <c r="V18" s="9">
        <v>55</v>
      </c>
      <c r="W18" s="9">
        <v>95</v>
      </c>
      <c r="X18" s="9">
        <v>100</v>
      </c>
      <c r="Y18" s="9">
        <v>105</v>
      </c>
      <c r="Z18" s="9">
        <v>63</v>
      </c>
      <c r="AA18" s="14"/>
    </row>
    <row r="19" spans="2:27" x14ac:dyDescent="0.45">
      <c r="B19" s="13"/>
      <c r="AA19" s="14"/>
    </row>
    <row r="20" spans="2:27" x14ac:dyDescent="0.45">
      <c r="B20" s="13"/>
      <c r="C20" s="21" t="s">
        <v>283</v>
      </c>
      <c r="J20" s="20" t="s">
        <v>276</v>
      </c>
      <c r="P20" s="20" t="s">
        <v>278</v>
      </c>
      <c r="AA20" s="14"/>
    </row>
    <row r="21" spans="2:27" x14ac:dyDescent="0.45">
      <c r="B21" s="13"/>
      <c r="C21" s="21" t="s">
        <v>284</v>
      </c>
      <c r="J21" s="22" t="s">
        <v>273</v>
      </c>
      <c r="P21" s="22" t="s">
        <v>277</v>
      </c>
      <c r="AA21" s="14"/>
    </row>
    <row r="22" spans="2:27" x14ac:dyDescent="0.45">
      <c r="B22" s="13"/>
      <c r="C22" s="21" t="s">
        <v>285</v>
      </c>
      <c r="J22" s="9" cm="1">
        <f t="array" ref="J22:N26">MooreAggλ(_xlfn.ANCHORARRAY(C14),_xleta.SUM,TRUE)</f>
        <v>9</v>
      </c>
      <c r="K22" s="9">
        <v>13</v>
      </c>
      <c r="L22" s="9">
        <v>17</v>
      </c>
      <c r="M22" s="9">
        <v>21</v>
      </c>
      <c r="N22" s="9">
        <v>19</v>
      </c>
      <c r="P22" s="9" cm="1">
        <f t="array" ref="P22:T26">MooreAggλ(_xlfn.ANCHORARRAY(C14),_xleta.COUNT,TRUE)</f>
        <v>3</v>
      </c>
      <c r="Q22" s="9">
        <v>4</v>
      </c>
      <c r="R22" s="9">
        <v>4</v>
      </c>
      <c r="S22" s="9">
        <v>4</v>
      </c>
      <c r="T22" s="9">
        <v>3</v>
      </c>
      <c r="AA22" s="14"/>
    </row>
    <row r="23" spans="2:27" x14ac:dyDescent="0.45">
      <c r="B23" s="13"/>
      <c r="J23" s="9">
        <v>25</v>
      </c>
      <c r="K23" s="9">
        <v>35</v>
      </c>
      <c r="L23" s="9">
        <v>40</v>
      </c>
      <c r="M23" s="9">
        <v>45</v>
      </c>
      <c r="N23" s="9">
        <v>39</v>
      </c>
      <c r="P23" s="9">
        <v>4</v>
      </c>
      <c r="Q23" s="9">
        <v>5</v>
      </c>
      <c r="R23" s="9">
        <v>5</v>
      </c>
      <c r="S23" s="9">
        <v>5</v>
      </c>
      <c r="T23" s="9">
        <v>4</v>
      </c>
      <c r="AA23" s="14"/>
    </row>
    <row r="24" spans="2:27" x14ac:dyDescent="0.45">
      <c r="B24" s="13"/>
      <c r="J24" s="9">
        <v>45</v>
      </c>
      <c r="K24" s="9">
        <v>60</v>
      </c>
      <c r="L24" s="9">
        <v>65</v>
      </c>
      <c r="M24" s="9">
        <v>70</v>
      </c>
      <c r="N24" s="9">
        <v>59</v>
      </c>
      <c r="P24" s="9">
        <v>4</v>
      </c>
      <c r="Q24" s="9">
        <v>5</v>
      </c>
      <c r="R24" s="9">
        <v>5</v>
      </c>
      <c r="S24" s="9">
        <v>5</v>
      </c>
      <c r="T24" s="9">
        <v>4</v>
      </c>
      <c r="AA24" s="14"/>
    </row>
    <row r="25" spans="2:27" x14ac:dyDescent="0.45">
      <c r="B25" s="13"/>
      <c r="J25" s="9">
        <v>65</v>
      </c>
      <c r="K25" s="9">
        <v>85</v>
      </c>
      <c r="L25" s="9">
        <v>90</v>
      </c>
      <c r="M25" s="9">
        <v>95</v>
      </c>
      <c r="N25" s="9">
        <v>79</v>
      </c>
      <c r="P25" s="9">
        <v>4</v>
      </c>
      <c r="Q25" s="9">
        <v>5</v>
      </c>
      <c r="R25" s="9">
        <v>5</v>
      </c>
      <c r="S25" s="9">
        <v>5</v>
      </c>
      <c r="T25" s="9">
        <v>4</v>
      </c>
      <c r="AA25" s="14"/>
    </row>
    <row r="26" spans="2:27" x14ac:dyDescent="0.45">
      <c r="B26" s="13"/>
      <c r="J26" s="9">
        <v>59</v>
      </c>
      <c r="K26" s="9">
        <v>83</v>
      </c>
      <c r="L26" s="9">
        <v>87</v>
      </c>
      <c r="M26" s="9">
        <v>91</v>
      </c>
      <c r="N26" s="9">
        <v>69</v>
      </c>
      <c r="P26" s="9">
        <v>3</v>
      </c>
      <c r="Q26" s="9">
        <v>4</v>
      </c>
      <c r="R26" s="9">
        <v>4</v>
      </c>
      <c r="S26" s="9">
        <v>4</v>
      </c>
      <c r="T26" s="9">
        <v>3</v>
      </c>
      <c r="AA26" s="14"/>
    </row>
    <row r="27" spans="2:27" x14ac:dyDescent="0.45">
      <c r="B27" s="16"/>
      <c r="C27" s="17"/>
      <c r="D27" s="17"/>
      <c r="E27" s="17"/>
      <c r="F27" s="17"/>
      <c r="G27" s="17"/>
      <c r="H27" s="17"/>
      <c r="I27" s="17"/>
      <c r="J27" s="43"/>
      <c r="K27" s="43"/>
      <c r="L27" s="43"/>
      <c r="M27" s="43"/>
      <c r="N27" s="43"/>
      <c r="O27" s="17"/>
      <c r="P27" s="43"/>
      <c r="Q27" s="43"/>
      <c r="R27" s="43"/>
      <c r="S27" s="43"/>
      <c r="T27" s="43"/>
      <c r="U27" s="17"/>
      <c r="V27" s="17"/>
      <c r="W27" s="17"/>
      <c r="X27" s="17"/>
      <c r="Y27" s="17"/>
      <c r="Z27" s="17"/>
      <c r="AA27" s="18"/>
    </row>
    <row r="28" spans="2:27" x14ac:dyDescent="0.45">
      <c r="B28" s="13"/>
      <c r="J28" s="20" t="s">
        <v>279</v>
      </c>
      <c r="AA28" s="14"/>
    </row>
    <row r="29" spans="2:27" x14ac:dyDescent="0.45">
      <c r="B29" s="13"/>
      <c r="C29" s="24" t="s">
        <v>281</v>
      </c>
      <c r="J29" s="22" t="s">
        <v>282</v>
      </c>
      <c r="AA29" s="14"/>
    </row>
    <row r="30" spans="2:27" x14ac:dyDescent="0.45">
      <c r="B30" s="13"/>
      <c r="C30" s="78">
        <v>0</v>
      </c>
      <c r="D30" s="78">
        <v>0</v>
      </c>
      <c r="E30" s="78">
        <v>1</v>
      </c>
      <c r="F30" s="78">
        <v>1</v>
      </c>
      <c r="G30" s="78">
        <v>0</v>
      </c>
      <c r="J30" s="9" cm="1">
        <f t="array" ref="J30:N37">MooreAggλ(Board,_xleta.SUM,,TRUE)</f>
        <v>1</v>
      </c>
      <c r="K30" s="9">
        <v>2</v>
      </c>
      <c r="L30" s="9">
        <v>2</v>
      </c>
      <c r="M30" s="9">
        <v>1</v>
      </c>
      <c r="N30" s="9">
        <v>1</v>
      </c>
      <c r="AA30" s="14"/>
    </row>
    <row r="31" spans="2:27" x14ac:dyDescent="0.45">
      <c r="B31" s="13"/>
      <c r="C31" s="78">
        <v>0</v>
      </c>
      <c r="D31" s="78">
        <v>1</v>
      </c>
      <c r="E31" s="78">
        <v>0</v>
      </c>
      <c r="F31" s="78">
        <v>0</v>
      </c>
      <c r="G31" s="78">
        <v>0</v>
      </c>
      <c r="J31" s="9">
        <v>2</v>
      </c>
      <c r="K31" s="9">
        <v>2</v>
      </c>
      <c r="L31" s="9">
        <v>4</v>
      </c>
      <c r="M31" s="9">
        <v>2</v>
      </c>
      <c r="N31" s="9">
        <v>1</v>
      </c>
      <c r="AA31" s="14"/>
    </row>
    <row r="32" spans="2:27" x14ac:dyDescent="0.45">
      <c r="B32" s="13"/>
      <c r="C32" s="78">
        <v>0</v>
      </c>
      <c r="D32" s="78">
        <v>1</v>
      </c>
      <c r="E32" s="78">
        <v>0</v>
      </c>
      <c r="F32" s="78">
        <v>0</v>
      </c>
      <c r="G32" s="78">
        <v>0</v>
      </c>
      <c r="J32" s="9">
        <v>3</v>
      </c>
      <c r="K32" s="9">
        <v>3</v>
      </c>
      <c r="L32" s="9">
        <v>4</v>
      </c>
      <c r="M32" s="9">
        <v>1</v>
      </c>
      <c r="N32" s="9">
        <v>0</v>
      </c>
      <c r="AA32" s="14"/>
    </row>
    <row r="33" spans="2:27" x14ac:dyDescent="0.45">
      <c r="B33" s="13"/>
      <c r="C33" s="78">
        <v>0</v>
      </c>
      <c r="D33" s="78">
        <v>1</v>
      </c>
      <c r="E33" s="78">
        <v>1</v>
      </c>
      <c r="F33" s="78">
        <v>0</v>
      </c>
      <c r="G33" s="78">
        <v>0</v>
      </c>
      <c r="J33" s="9">
        <v>3</v>
      </c>
      <c r="K33" s="9">
        <v>3</v>
      </c>
      <c r="L33" s="9">
        <v>3</v>
      </c>
      <c r="M33" s="9">
        <v>1</v>
      </c>
      <c r="N33" s="9">
        <v>0</v>
      </c>
      <c r="AA33" s="14"/>
    </row>
    <row r="34" spans="2:27" x14ac:dyDescent="0.45">
      <c r="B34" s="13"/>
      <c r="C34" s="78">
        <v>0</v>
      </c>
      <c r="D34" s="78">
        <v>1</v>
      </c>
      <c r="E34" s="78">
        <v>0</v>
      </c>
      <c r="F34" s="78">
        <v>0</v>
      </c>
      <c r="G34" s="78">
        <v>0</v>
      </c>
      <c r="J34" s="9">
        <v>4</v>
      </c>
      <c r="K34" s="9">
        <v>4</v>
      </c>
      <c r="L34" s="9">
        <v>4</v>
      </c>
      <c r="M34" s="9">
        <v>2</v>
      </c>
      <c r="N34" s="9">
        <v>1</v>
      </c>
      <c r="AA34" s="14"/>
    </row>
    <row r="35" spans="2:27" x14ac:dyDescent="0.45">
      <c r="B35" s="13"/>
      <c r="C35" s="78">
        <v>1</v>
      </c>
      <c r="D35" s="78">
        <v>1</v>
      </c>
      <c r="E35" s="78">
        <v>0</v>
      </c>
      <c r="F35" s="78">
        <v>0</v>
      </c>
      <c r="G35" s="78">
        <v>1</v>
      </c>
      <c r="J35" s="9">
        <v>3</v>
      </c>
      <c r="K35" s="9">
        <v>4</v>
      </c>
      <c r="L35" s="9">
        <v>5</v>
      </c>
      <c r="M35" s="9">
        <v>4</v>
      </c>
      <c r="N35" s="9">
        <v>2</v>
      </c>
      <c r="AA35" s="14"/>
    </row>
    <row r="36" spans="2:27" x14ac:dyDescent="0.45">
      <c r="B36" s="13"/>
      <c r="C36" s="78">
        <v>0</v>
      </c>
      <c r="D36" s="78">
        <v>1</v>
      </c>
      <c r="E36" s="78">
        <v>1</v>
      </c>
      <c r="F36" s="78">
        <v>1</v>
      </c>
      <c r="G36" s="78">
        <v>1</v>
      </c>
      <c r="J36" s="9">
        <v>4</v>
      </c>
      <c r="K36" s="9">
        <v>5</v>
      </c>
      <c r="L36" s="9">
        <v>5</v>
      </c>
      <c r="M36" s="9">
        <v>5</v>
      </c>
      <c r="N36" s="9">
        <v>3</v>
      </c>
      <c r="AA36" s="14"/>
    </row>
    <row r="37" spans="2:27" x14ac:dyDescent="0.45">
      <c r="B37" s="13"/>
      <c r="C37" s="78">
        <v>1</v>
      </c>
      <c r="D37" s="78">
        <v>0</v>
      </c>
      <c r="E37" s="78">
        <v>1</v>
      </c>
      <c r="F37" s="78">
        <v>1</v>
      </c>
      <c r="G37" s="78">
        <v>0</v>
      </c>
      <c r="J37" s="9">
        <v>1</v>
      </c>
      <c r="K37" s="9">
        <v>4</v>
      </c>
      <c r="L37" s="9">
        <v>4</v>
      </c>
      <c r="M37" s="9">
        <v>4</v>
      </c>
      <c r="N37" s="9">
        <v>3</v>
      </c>
      <c r="AA37" s="14"/>
    </row>
    <row r="38" spans="2:27" x14ac:dyDescent="0.45">
      <c r="B38" s="16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8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4B4DA-8A87-4346-AA33-208B84F342C7}">
  <sheetPr>
    <tabColor rgb="FFF4D9A6"/>
  </sheetPr>
  <dimension ref="B2:W39"/>
  <sheetViews>
    <sheetView workbookViewId="0"/>
  </sheetViews>
  <sheetFormatPr defaultRowHeight="16.5" x14ac:dyDescent="0.45"/>
  <cols>
    <col min="1" max="1" width="5" customWidth="1"/>
    <col min="3" max="23" width="4.58203125" customWidth="1"/>
  </cols>
  <sheetData>
    <row r="2" spans="2:23" x14ac:dyDescent="0.45">
      <c r="B2" s="30" t="s">
        <v>286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2"/>
    </row>
    <row r="3" spans="2:23" x14ac:dyDescent="0.45">
      <c r="B3" s="13" t="s">
        <v>246</v>
      </c>
      <c r="W3" s="14"/>
    </row>
    <row r="4" spans="2:23" x14ac:dyDescent="0.45">
      <c r="B4" s="13" t="s">
        <v>287</v>
      </c>
      <c r="W4" s="14"/>
    </row>
    <row r="5" spans="2:23" x14ac:dyDescent="0.45">
      <c r="B5" s="13"/>
      <c r="W5" s="14"/>
    </row>
    <row r="6" spans="2:23" x14ac:dyDescent="0.45">
      <c r="B6" s="13"/>
      <c r="D6" s="21" t="s">
        <v>288</v>
      </c>
      <c r="N6" s="27"/>
      <c r="O6" s="192" t="s">
        <v>306</v>
      </c>
      <c r="Q6" s="148"/>
      <c r="W6" s="14"/>
    </row>
    <row r="7" spans="2:23" x14ac:dyDescent="0.45">
      <c r="B7" s="13"/>
      <c r="D7" s="38">
        <v>1</v>
      </c>
      <c r="E7" s="38">
        <v>2</v>
      </c>
      <c r="F7" s="38">
        <v>3</v>
      </c>
      <c r="G7" s="38">
        <v>4</v>
      </c>
      <c r="H7" s="38">
        <v>5</v>
      </c>
      <c r="I7" s="38">
        <v>6</v>
      </c>
      <c r="J7" s="8"/>
      <c r="K7" s="8"/>
      <c r="L7" s="8"/>
      <c r="M7" s="8"/>
      <c r="N7" s="8"/>
      <c r="O7" s="188">
        <v>1</v>
      </c>
      <c r="P7" s="188">
        <v>2</v>
      </c>
      <c r="Q7" s="188">
        <v>3</v>
      </c>
      <c r="W7" s="14"/>
    </row>
    <row r="8" spans="2:23" x14ac:dyDescent="0.45">
      <c r="B8" s="13"/>
      <c r="D8" s="38">
        <v>7</v>
      </c>
      <c r="E8" s="38">
        <v>8</v>
      </c>
      <c r="F8" s="38">
        <v>9</v>
      </c>
      <c r="G8" s="38">
        <v>10</v>
      </c>
      <c r="H8" s="38">
        <v>11</v>
      </c>
      <c r="I8" s="38">
        <v>12</v>
      </c>
      <c r="J8" s="8"/>
      <c r="K8" s="8"/>
      <c r="L8" s="8"/>
      <c r="M8" s="8"/>
      <c r="N8" s="8"/>
      <c r="O8" s="188">
        <v>4</v>
      </c>
      <c r="P8" s="188" t="s">
        <v>232</v>
      </c>
      <c r="Q8" s="188">
        <v>6</v>
      </c>
      <c r="W8" s="14"/>
    </row>
    <row r="9" spans="2:23" x14ac:dyDescent="0.45">
      <c r="B9" s="13"/>
      <c r="D9" s="38">
        <v>13</v>
      </c>
      <c r="E9" s="38">
        <v>14</v>
      </c>
      <c r="F9" s="38">
        <v>15</v>
      </c>
      <c r="G9" s="38">
        <v>16</v>
      </c>
      <c r="H9" s="38">
        <v>17</v>
      </c>
      <c r="I9" s="38">
        <v>18</v>
      </c>
      <c r="J9" s="8"/>
      <c r="K9" s="8"/>
      <c r="L9" s="8"/>
      <c r="M9" s="8"/>
      <c r="N9" s="8"/>
      <c r="O9" s="188">
        <v>7</v>
      </c>
      <c r="P9" s="188">
        <v>8</v>
      </c>
      <c r="Q9" s="188">
        <v>9</v>
      </c>
      <c r="W9" s="14"/>
    </row>
    <row r="10" spans="2:23" x14ac:dyDescent="0.45">
      <c r="B10" s="13"/>
      <c r="D10" s="38">
        <v>19</v>
      </c>
      <c r="E10" s="38">
        <v>20</v>
      </c>
      <c r="F10" s="38">
        <v>21</v>
      </c>
      <c r="G10" s="38">
        <v>22</v>
      </c>
      <c r="H10" s="38">
        <v>23</v>
      </c>
      <c r="I10" s="38">
        <v>24</v>
      </c>
      <c r="W10" s="14"/>
    </row>
    <row r="11" spans="2:23" x14ac:dyDescent="0.45">
      <c r="B11" s="13"/>
      <c r="D11" s="38">
        <v>25</v>
      </c>
      <c r="E11" s="38">
        <v>26</v>
      </c>
      <c r="F11" s="38">
        <v>27</v>
      </c>
      <c r="G11" s="38">
        <v>28</v>
      </c>
      <c r="H11" s="38">
        <v>29</v>
      </c>
      <c r="I11" s="38">
        <v>30</v>
      </c>
      <c r="W11" s="14"/>
    </row>
    <row r="12" spans="2:23" x14ac:dyDescent="0.45">
      <c r="B12" s="13"/>
      <c r="D12" s="38">
        <v>31</v>
      </c>
      <c r="E12" s="38">
        <v>32</v>
      </c>
      <c r="F12" s="38">
        <v>33</v>
      </c>
      <c r="G12" s="38">
        <v>34</v>
      </c>
      <c r="H12" s="38">
        <v>35</v>
      </c>
      <c r="I12" s="38">
        <v>36</v>
      </c>
      <c r="W12" s="14"/>
    </row>
    <row r="13" spans="2:23" ht="10.5" customHeight="1" x14ac:dyDescent="0.45"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8"/>
    </row>
    <row r="14" spans="2:23" x14ac:dyDescent="0.45">
      <c r="B14" s="13"/>
      <c r="C14" s="20" t="s">
        <v>299</v>
      </c>
      <c r="J14" s="20" t="s">
        <v>298</v>
      </c>
      <c r="Q14" s="20" t="s">
        <v>297</v>
      </c>
      <c r="W14" s="14"/>
    </row>
    <row r="15" spans="2:23" x14ac:dyDescent="0.45">
      <c r="B15" s="13"/>
      <c r="C15" s="22" t="s">
        <v>289</v>
      </c>
      <c r="J15" s="22" t="s">
        <v>290</v>
      </c>
      <c r="Q15" s="22" t="s">
        <v>291</v>
      </c>
      <c r="W15" s="14"/>
    </row>
    <row r="16" spans="2:23" x14ac:dyDescent="0.45">
      <c r="B16" s="13"/>
      <c r="C16" s="9" cm="1">
        <f t="array" ref="C16:H21">MooreSelectλ(Neighborhood,1)</f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J16" s="9" cm="1">
        <f t="array" ref="J16:O21">MooreSelectλ(Neighborhood,2)</f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Q16" s="9" cm="1">
        <f t="array" ref="Q16:V21">MooreSelectλ(Neighborhood,3)</f>
        <v>0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14"/>
    </row>
    <row r="17" spans="2:23" x14ac:dyDescent="0.45">
      <c r="B17" s="13"/>
      <c r="C17" s="9">
        <v>0</v>
      </c>
      <c r="D17" s="9">
        <v>1</v>
      </c>
      <c r="E17" s="9">
        <v>2</v>
      </c>
      <c r="F17" s="9">
        <v>3</v>
      </c>
      <c r="G17" s="9">
        <v>4</v>
      </c>
      <c r="H17" s="9">
        <v>5</v>
      </c>
      <c r="J17" s="9">
        <v>1</v>
      </c>
      <c r="K17" s="9">
        <v>2</v>
      </c>
      <c r="L17" s="9">
        <v>3</v>
      </c>
      <c r="M17" s="9">
        <v>4</v>
      </c>
      <c r="N17" s="9">
        <v>5</v>
      </c>
      <c r="O17" s="9">
        <v>6</v>
      </c>
      <c r="Q17" s="9">
        <v>2</v>
      </c>
      <c r="R17" s="9">
        <v>3</v>
      </c>
      <c r="S17" s="9">
        <v>4</v>
      </c>
      <c r="T17" s="9">
        <v>5</v>
      </c>
      <c r="U17" s="9">
        <v>6</v>
      </c>
      <c r="V17" s="9">
        <v>0</v>
      </c>
      <c r="W17" s="14"/>
    </row>
    <row r="18" spans="2:23" x14ac:dyDescent="0.45">
      <c r="B18" s="13"/>
      <c r="C18" s="9">
        <v>0</v>
      </c>
      <c r="D18" s="9">
        <v>7</v>
      </c>
      <c r="E18" s="9">
        <v>8</v>
      </c>
      <c r="F18" s="9">
        <v>9</v>
      </c>
      <c r="G18" s="9">
        <v>10</v>
      </c>
      <c r="H18" s="9">
        <v>11</v>
      </c>
      <c r="J18" s="9">
        <v>7</v>
      </c>
      <c r="K18" s="9">
        <v>8</v>
      </c>
      <c r="L18" s="9">
        <v>9</v>
      </c>
      <c r="M18" s="9">
        <v>10</v>
      </c>
      <c r="N18" s="9">
        <v>11</v>
      </c>
      <c r="O18" s="9">
        <v>12</v>
      </c>
      <c r="Q18" s="9">
        <v>8</v>
      </c>
      <c r="R18" s="9">
        <v>9</v>
      </c>
      <c r="S18" s="9">
        <v>10</v>
      </c>
      <c r="T18" s="9">
        <v>11</v>
      </c>
      <c r="U18" s="9">
        <v>12</v>
      </c>
      <c r="V18" s="9">
        <v>0</v>
      </c>
      <c r="W18" s="14"/>
    </row>
    <row r="19" spans="2:23" x14ac:dyDescent="0.45">
      <c r="B19" s="13"/>
      <c r="C19" s="9">
        <v>0</v>
      </c>
      <c r="D19" s="9">
        <v>13</v>
      </c>
      <c r="E19" s="9">
        <v>14</v>
      </c>
      <c r="F19" s="9">
        <v>15</v>
      </c>
      <c r="G19" s="9">
        <v>16</v>
      </c>
      <c r="H19" s="9">
        <v>17</v>
      </c>
      <c r="J19" s="9">
        <v>13</v>
      </c>
      <c r="K19" s="9">
        <v>14</v>
      </c>
      <c r="L19" s="9">
        <v>15</v>
      </c>
      <c r="M19" s="9">
        <v>16</v>
      </c>
      <c r="N19" s="9">
        <v>17</v>
      </c>
      <c r="O19" s="9">
        <v>18</v>
      </c>
      <c r="Q19" s="9">
        <v>14</v>
      </c>
      <c r="R19" s="9">
        <v>15</v>
      </c>
      <c r="S19" s="9">
        <v>16</v>
      </c>
      <c r="T19" s="9">
        <v>17</v>
      </c>
      <c r="U19" s="9">
        <v>18</v>
      </c>
      <c r="V19" s="9">
        <v>0</v>
      </c>
      <c r="W19" s="14"/>
    </row>
    <row r="20" spans="2:23" x14ac:dyDescent="0.45">
      <c r="B20" s="13"/>
      <c r="C20" s="9">
        <v>0</v>
      </c>
      <c r="D20" s="9">
        <v>19</v>
      </c>
      <c r="E20" s="9">
        <v>20</v>
      </c>
      <c r="F20" s="9">
        <v>21</v>
      </c>
      <c r="G20" s="9">
        <v>22</v>
      </c>
      <c r="H20" s="9">
        <v>23</v>
      </c>
      <c r="J20" s="9">
        <v>19</v>
      </c>
      <c r="K20" s="9">
        <v>20</v>
      </c>
      <c r="L20" s="9">
        <v>21</v>
      </c>
      <c r="M20" s="9">
        <v>22</v>
      </c>
      <c r="N20" s="9">
        <v>23</v>
      </c>
      <c r="O20" s="9">
        <v>24</v>
      </c>
      <c r="Q20" s="9">
        <v>20</v>
      </c>
      <c r="R20" s="9">
        <v>21</v>
      </c>
      <c r="S20" s="9">
        <v>22</v>
      </c>
      <c r="T20" s="9">
        <v>23</v>
      </c>
      <c r="U20" s="9">
        <v>24</v>
      </c>
      <c r="V20" s="9">
        <v>0</v>
      </c>
      <c r="W20" s="14"/>
    </row>
    <row r="21" spans="2:23" x14ac:dyDescent="0.45">
      <c r="B21" s="13"/>
      <c r="C21" s="9">
        <v>0</v>
      </c>
      <c r="D21" s="9">
        <v>25</v>
      </c>
      <c r="E21" s="9">
        <v>26</v>
      </c>
      <c r="F21" s="9">
        <v>27</v>
      </c>
      <c r="G21" s="9">
        <v>28</v>
      </c>
      <c r="H21" s="9">
        <v>29</v>
      </c>
      <c r="J21" s="9">
        <v>25</v>
      </c>
      <c r="K21" s="9">
        <v>26</v>
      </c>
      <c r="L21" s="9">
        <v>27</v>
      </c>
      <c r="M21" s="9">
        <v>28</v>
      </c>
      <c r="N21" s="9">
        <v>29</v>
      </c>
      <c r="O21" s="9">
        <v>30</v>
      </c>
      <c r="Q21" s="9">
        <v>26</v>
      </c>
      <c r="R21" s="9">
        <v>27</v>
      </c>
      <c r="S21" s="9">
        <v>28</v>
      </c>
      <c r="T21" s="9">
        <v>29</v>
      </c>
      <c r="U21" s="9">
        <v>30</v>
      </c>
      <c r="V21" s="9">
        <v>0</v>
      </c>
      <c r="W21" s="14"/>
    </row>
    <row r="22" spans="2:23" x14ac:dyDescent="0.45">
      <c r="B22" s="13"/>
      <c r="C22" s="20" t="s">
        <v>300</v>
      </c>
      <c r="Q22" s="20" t="s">
        <v>301</v>
      </c>
      <c r="W22" s="14"/>
    </row>
    <row r="23" spans="2:23" x14ac:dyDescent="0.45">
      <c r="B23" s="13"/>
      <c r="C23" s="22" t="s">
        <v>292</v>
      </c>
      <c r="Q23" s="26" t="s">
        <v>293</v>
      </c>
      <c r="W23" s="14"/>
    </row>
    <row r="24" spans="2:23" x14ac:dyDescent="0.45">
      <c r="B24" s="13"/>
      <c r="C24" s="9" cm="1">
        <f t="array" ref="C24:H29">MooreSelectλ(Neighborhood,4)</f>
        <v>0</v>
      </c>
      <c r="D24" s="9">
        <v>1</v>
      </c>
      <c r="E24" s="9">
        <v>2</v>
      </c>
      <c r="F24" s="9">
        <v>3</v>
      </c>
      <c r="G24" s="9">
        <v>4</v>
      </c>
      <c r="H24" s="9">
        <v>5</v>
      </c>
      <c r="Q24" s="9" cm="1">
        <f t="array" ref="Q24:V29">MooreSelectλ(Neighborhood,6)</f>
        <v>2</v>
      </c>
      <c r="R24" s="9">
        <v>3</v>
      </c>
      <c r="S24" s="9">
        <v>4</v>
      </c>
      <c r="T24" s="9">
        <v>5</v>
      </c>
      <c r="U24" s="9">
        <v>6</v>
      </c>
      <c r="V24" s="9">
        <v>0</v>
      </c>
      <c r="W24" s="14"/>
    </row>
    <row r="25" spans="2:23" x14ac:dyDescent="0.45">
      <c r="B25" s="13"/>
      <c r="C25" s="9">
        <v>0</v>
      </c>
      <c r="D25" s="9">
        <v>7</v>
      </c>
      <c r="E25" s="9">
        <v>8</v>
      </c>
      <c r="F25" s="9">
        <v>9</v>
      </c>
      <c r="G25" s="9">
        <v>10</v>
      </c>
      <c r="H25" s="9">
        <v>11</v>
      </c>
      <c r="Q25" s="9">
        <v>8</v>
      </c>
      <c r="R25" s="9">
        <v>9</v>
      </c>
      <c r="S25" s="9">
        <v>10</v>
      </c>
      <c r="T25" s="9">
        <v>11</v>
      </c>
      <c r="U25" s="9">
        <v>12</v>
      </c>
      <c r="V25" s="9">
        <v>0</v>
      </c>
      <c r="W25" s="14"/>
    </row>
    <row r="26" spans="2:23" x14ac:dyDescent="0.45">
      <c r="B26" s="13"/>
      <c r="C26" s="9">
        <v>0</v>
      </c>
      <c r="D26" s="9">
        <v>13</v>
      </c>
      <c r="E26" s="9">
        <v>14</v>
      </c>
      <c r="F26" s="9">
        <v>15</v>
      </c>
      <c r="G26" s="9">
        <v>16</v>
      </c>
      <c r="H26" s="9">
        <v>17</v>
      </c>
      <c r="J26" s="21" t="s">
        <v>305</v>
      </c>
      <c r="Q26" s="9">
        <v>14</v>
      </c>
      <c r="R26" s="9">
        <v>15</v>
      </c>
      <c r="S26" s="9">
        <v>16</v>
      </c>
      <c r="T26" s="9">
        <v>17</v>
      </c>
      <c r="U26" s="9">
        <v>18</v>
      </c>
      <c r="V26" s="9">
        <v>0</v>
      </c>
      <c r="W26" s="14"/>
    </row>
    <row r="27" spans="2:23" x14ac:dyDescent="0.45">
      <c r="B27" s="13"/>
      <c r="C27" s="9">
        <v>0</v>
      </c>
      <c r="D27" s="9">
        <v>19</v>
      </c>
      <c r="E27" s="9">
        <v>20</v>
      </c>
      <c r="F27" s="9">
        <v>21</v>
      </c>
      <c r="G27" s="9">
        <v>22</v>
      </c>
      <c r="H27" s="9">
        <v>23</v>
      </c>
      <c r="Q27" s="9">
        <v>20</v>
      </c>
      <c r="R27" s="9">
        <v>21</v>
      </c>
      <c r="S27" s="9">
        <v>22</v>
      </c>
      <c r="T27" s="9">
        <v>23</v>
      </c>
      <c r="U27" s="9">
        <v>24</v>
      </c>
      <c r="V27" s="9">
        <v>0</v>
      </c>
      <c r="W27" s="14"/>
    </row>
    <row r="28" spans="2:23" x14ac:dyDescent="0.45">
      <c r="B28" s="13"/>
      <c r="C28" s="9">
        <v>0</v>
      </c>
      <c r="D28" s="9">
        <v>25</v>
      </c>
      <c r="E28" s="9">
        <v>26</v>
      </c>
      <c r="F28" s="9">
        <v>27</v>
      </c>
      <c r="G28" s="9">
        <v>28</v>
      </c>
      <c r="H28" s="9">
        <v>29</v>
      </c>
      <c r="Q28" s="9">
        <v>26</v>
      </c>
      <c r="R28" s="9">
        <v>27</v>
      </c>
      <c r="S28" s="9">
        <v>28</v>
      </c>
      <c r="T28" s="9">
        <v>29</v>
      </c>
      <c r="U28" s="9">
        <v>30</v>
      </c>
      <c r="V28" s="9">
        <v>0</v>
      </c>
      <c r="W28" s="14"/>
    </row>
    <row r="29" spans="2:23" x14ac:dyDescent="0.45">
      <c r="B29" s="13"/>
      <c r="C29" s="9">
        <v>0</v>
      </c>
      <c r="D29" s="9">
        <v>31</v>
      </c>
      <c r="E29" s="9">
        <v>32</v>
      </c>
      <c r="F29" s="9">
        <v>33</v>
      </c>
      <c r="G29" s="9">
        <v>34</v>
      </c>
      <c r="H29" s="9">
        <v>35</v>
      </c>
      <c r="Q29" s="9">
        <v>32</v>
      </c>
      <c r="R29" s="9">
        <v>33</v>
      </c>
      <c r="S29" s="9">
        <v>34</v>
      </c>
      <c r="T29" s="9">
        <v>35</v>
      </c>
      <c r="U29" s="9">
        <v>36</v>
      </c>
      <c r="V29" s="9">
        <v>0</v>
      </c>
      <c r="W29" s="14"/>
    </row>
    <row r="30" spans="2:23" x14ac:dyDescent="0.45">
      <c r="B30" s="13"/>
      <c r="C30" s="20" t="s">
        <v>302</v>
      </c>
      <c r="J30" s="20" t="s">
        <v>303</v>
      </c>
      <c r="Q30" s="20" t="s">
        <v>304</v>
      </c>
      <c r="W30" s="14"/>
    </row>
    <row r="31" spans="2:23" x14ac:dyDescent="0.45">
      <c r="B31" s="13"/>
      <c r="C31" s="22" t="s">
        <v>294</v>
      </c>
      <c r="J31" s="22" t="s">
        <v>295</v>
      </c>
      <c r="Q31" s="22" t="s">
        <v>296</v>
      </c>
      <c r="W31" s="14"/>
    </row>
    <row r="32" spans="2:23" x14ac:dyDescent="0.45">
      <c r="B32" s="13"/>
      <c r="C32" s="9" cm="1">
        <f t="array" ref="C32:H37">MooreSelectλ(Neighborhood,7)</f>
        <v>0</v>
      </c>
      <c r="D32" s="9">
        <v>7</v>
      </c>
      <c r="E32" s="9">
        <v>8</v>
      </c>
      <c r="F32" s="9">
        <v>9</v>
      </c>
      <c r="G32" s="9">
        <v>10</v>
      </c>
      <c r="H32" s="9">
        <v>11</v>
      </c>
      <c r="J32" s="9" cm="1">
        <f t="array" ref="J32:O37">MooreSelectλ(Neighborhood,8)</f>
        <v>7</v>
      </c>
      <c r="K32" s="9">
        <v>8</v>
      </c>
      <c r="L32" s="9">
        <v>9</v>
      </c>
      <c r="M32" s="9">
        <v>10</v>
      </c>
      <c r="N32" s="9">
        <v>11</v>
      </c>
      <c r="O32" s="9">
        <v>12</v>
      </c>
      <c r="Q32" s="9" cm="1">
        <f t="array" ref="Q32:V37">MooreSelectλ(Neighborhood,9)</f>
        <v>8</v>
      </c>
      <c r="R32" s="9">
        <v>9</v>
      </c>
      <c r="S32" s="9">
        <v>10</v>
      </c>
      <c r="T32" s="9">
        <v>11</v>
      </c>
      <c r="U32" s="9">
        <v>12</v>
      </c>
      <c r="V32" s="9">
        <v>0</v>
      </c>
      <c r="W32" s="14"/>
    </row>
    <row r="33" spans="2:23" x14ac:dyDescent="0.45">
      <c r="B33" s="13"/>
      <c r="C33" s="9">
        <v>0</v>
      </c>
      <c r="D33" s="9">
        <v>13</v>
      </c>
      <c r="E33" s="9">
        <v>14</v>
      </c>
      <c r="F33" s="9">
        <v>15</v>
      </c>
      <c r="G33" s="9">
        <v>16</v>
      </c>
      <c r="H33" s="9">
        <v>17</v>
      </c>
      <c r="J33" s="9">
        <v>13</v>
      </c>
      <c r="K33" s="9">
        <v>14</v>
      </c>
      <c r="L33" s="9">
        <v>15</v>
      </c>
      <c r="M33" s="9">
        <v>16</v>
      </c>
      <c r="N33" s="9">
        <v>17</v>
      </c>
      <c r="O33" s="9">
        <v>18</v>
      </c>
      <c r="Q33" s="9">
        <v>14</v>
      </c>
      <c r="R33" s="9">
        <v>15</v>
      </c>
      <c r="S33" s="9">
        <v>16</v>
      </c>
      <c r="T33" s="9">
        <v>17</v>
      </c>
      <c r="U33" s="9">
        <v>18</v>
      </c>
      <c r="V33" s="9">
        <v>0</v>
      </c>
      <c r="W33" s="14"/>
    </row>
    <row r="34" spans="2:23" x14ac:dyDescent="0.45">
      <c r="B34" s="13"/>
      <c r="C34" s="9">
        <v>0</v>
      </c>
      <c r="D34" s="9">
        <v>19</v>
      </c>
      <c r="E34" s="9">
        <v>20</v>
      </c>
      <c r="F34" s="9">
        <v>21</v>
      </c>
      <c r="G34" s="9">
        <v>22</v>
      </c>
      <c r="H34" s="9">
        <v>23</v>
      </c>
      <c r="J34" s="9">
        <v>19</v>
      </c>
      <c r="K34" s="9">
        <v>20</v>
      </c>
      <c r="L34" s="9">
        <v>21</v>
      </c>
      <c r="M34" s="9">
        <v>22</v>
      </c>
      <c r="N34" s="9">
        <v>23</v>
      </c>
      <c r="O34" s="9">
        <v>24</v>
      </c>
      <c r="Q34" s="9">
        <v>20</v>
      </c>
      <c r="R34" s="9">
        <v>21</v>
      </c>
      <c r="S34" s="9">
        <v>22</v>
      </c>
      <c r="T34" s="9">
        <v>23</v>
      </c>
      <c r="U34" s="9">
        <v>24</v>
      </c>
      <c r="V34" s="9">
        <v>0</v>
      </c>
      <c r="W34" s="14"/>
    </row>
    <row r="35" spans="2:23" x14ac:dyDescent="0.45">
      <c r="B35" s="13"/>
      <c r="C35" s="9">
        <v>0</v>
      </c>
      <c r="D35" s="9">
        <v>25</v>
      </c>
      <c r="E35" s="9">
        <v>26</v>
      </c>
      <c r="F35" s="9">
        <v>27</v>
      </c>
      <c r="G35" s="9">
        <v>28</v>
      </c>
      <c r="H35" s="9">
        <v>29</v>
      </c>
      <c r="J35" s="9">
        <v>25</v>
      </c>
      <c r="K35" s="9">
        <v>26</v>
      </c>
      <c r="L35" s="9">
        <v>27</v>
      </c>
      <c r="M35" s="9">
        <v>28</v>
      </c>
      <c r="N35" s="9">
        <v>29</v>
      </c>
      <c r="O35" s="9">
        <v>30</v>
      </c>
      <c r="Q35" s="9">
        <v>26</v>
      </c>
      <c r="R35" s="9">
        <v>27</v>
      </c>
      <c r="S35" s="9">
        <v>28</v>
      </c>
      <c r="T35" s="9">
        <v>29</v>
      </c>
      <c r="U35" s="9">
        <v>30</v>
      </c>
      <c r="V35" s="9">
        <v>0</v>
      </c>
      <c r="W35" s="14"/>
    </row>
    <row r="36" spans="2:23" x14ac:dyDescent="0.45">
      <c r="B36" s="13"/>
      <c r="C36" s="9">
        <v>0</v>
      </c>
      <c r="D36" s="9">
        <v>31</v>
      </c>
      <c r="E36" s="9">
        <v>32</v>
      </c>
      <c r="F36" s="9">
        <v>33</v>
      </c>
      <c r="G36" s="9">
        <v>34</v>
      </c>
      <c r="H36" s="9">
        <v>35</v>
      </c>
      <c r="J36" s="9">
        <v>31</v>
      </c>
      <c r="K36" s="9">
        <v>32</v>
      </c>
      <c r="L36" s="9">
        <v>33</v>
      </c>
      <c r="M36" s="9">
        <v>34</v>
      </c>
      <c r="N36" s="9">
        <v>35</v>
      </c>
      <c r="O36" s="9">
        <v>36</v>
      </c>
      <c r="Q36" s="9">
        <v>32</v>
      </c>
      <c r="R36" s="9">
        <v>33</v>
      </c>
      <c r="S36" s="9">
        <v>34</v>
      </c>
      <c r="T36" s="9">
        <v>35</v>
      </c>
      <c r="U36" s="9">
        <v>36</v>
      </c>
      <c r="V36" s="9">
        <v>0</v>
      </c>
      <c r="W36" s="14"/>
    </row>
    <row r="37" spans="2:23" x14ac:dyDescent="0.45">
      <c r="B37" s="13"/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14"/>
    </row>
    <row r="38" spans="2:23" x14ac:dyDescent="0.45">
      <c r="B38" s="13"/>
      <c r="W38" s="14"/>
    </row>
    <row r="39" spans="2:23" x14ac:dyDescent="0.45">
      <c r="B39" s="16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8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B9A03-3CBB-42BC-BBA2-E1A06326B7A3}">
  <sheetPr>
    <tabColor rgb="FFD7CDEB"/>
  </sheetPr>
  <dimension ref="B2:R38"/>
  <sheetViews>
    <sheetView workbookViewId="0"/>
  </sheetViews>
  <sheetFormatPr defaultRowHeight="16.5" x14ac:dyDescent="0.45"/>
  <cols>
    <col min="1" max="1" width="5" customWidth="1"/>
    <col min="2" max="2" width="6" customWidth="1"/>
    <col min="3" max="3" width="6.9140625" customWidth="1"/>
    <col min="5" max="5" width="13.08203125" customWidth="1"/>
    <col min="6" max="8" width="4.58203125" customWidth="1"/>
    <col min="9" max="9" width="7.4140625" customWidth="1"/>
    <col min="10" max="10" width="4.58203125" customWidth="1"/>
    <col min="11" max="11" width="5.33203125" customWidth="1"/>
    <col min="12" max="12" width="4.58203125" customWidth="1"/>
    <col min="14" max="14" width="12.08203125" customWidth="1"/>
    <col min="15" max="16" width="8.58203125" customWidth="1"/>
    <col min="17" max="17" width="12.25" bestFit="1" customWidth="1"/>
  </cols>
  <sheetData>
    <row r="2" spans="2:18" x14ac:dyDescent="0.45">
      <c r="B2" s="30" t="s">
        <v>307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2"/>
    </row>
    <row r="3" spans="2:18" x14ac:dyDescent="0.45">
      <c r="B3" s="13" t="s">
        <v>308</v>
      </c>
      <c r="R3" s="14"/>
    </row>
    <row r="4" spans="2:18" x14ac:dyDescent="0.45">
      <c r="B4" s="15" t="s">
        <v>43</v>
      </c>
      <c r="R4" s="14"/>
    </row>
    <row r="5" spans="2:18" x14ac:dyDescent="0.45">
      <c r="B5" s="13" t="s">
        <v>309</v>
      </c>
      <c r="R5" s="14"/>
    </row>
    <row r="6" spans="2:18" x14ac:dyDescent="0.45">
      <c r="B6" s="13" t="s">
        <v>310</v>
      </c>
      <c r="R6" s="14"/>
    </row>
    <row r="7" spans="2:18" x14ac:dyDescent="0.45">
      <c r="B7" s="16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8"/>
    </row>
    <row r="8" spans="2:18" x14ac:dyDescent="0.45">
      <c r="B8" s="13"/>
      <c r="C8" s="27" t="s">
        <v>311</v>
      </c>
      <c r="F8" s="20" t="s">
        <v>313</v>
      </c>
      <c r="J8" s="20" t="s">
        <v>315</v>
      </c>
      <c r="N8" s="20" t="s">
        <v>317</v>
      </c>
      <c r="R8" s="14"/>
    </row>
    <row r="9" spans="2:18" x14ac:dyDescent="0.45">
      <c r="B9" s="13"/>
      <c r="C9" s="189">
        <v>26</v>
      </c>
      <c r="F9" s="22" t="s">
        <v>312</v>
      </c>
      <c r="J9" s="22" t="s">
        <v>314</v>
      </c>
      <c r="N9" s="22" t="s">
        <v>316</v>
      </c>
      <c r="R9" s="14"/>
    </row>
    <row r="10" spans="2:18" x14ac:dyDescent="0.45">
      <c r="B10" s="13"/>
      <c r="C10" s="189">
        <v>30</v>
      </c>
      <c r="F10" s="9" t="str" cm="1">
        <f t="array" ref="F10:H18">Histogramλ(WillowTrees)</f>
        <v>Start</v>
      </c>
      <c r="G10" s="9" t="str">
        <v>End</v>
      </c>
      <c r="H10" s="9" t="str">
        <v>Total</v>
      </c>
      <c r="J10" s="66" t="str" cm="1">
        <f t="array" ref="J10:L15">Histogramλ(WillowTrees,10)</f>
        <v>Start</v>
      </c>
      <c r="K10" s="66" t="str">
        <v>End</v>
      </c>
      <c r="L10" s="66" t="str">
        <v>Total</v>
      </c>
      <c r="N10" s="66" t="str" cm="1">
        <f t="array" ref="N10:Q18">Histogramλ(WillowTrees,,TRUE)</f>
        <v>Start</v>
      </c>
      <c r="O10" s="66" t="str">
        <v>End</v>
      </c>
      <c r="P10" s="66" t="str">
        <v>Total</v>
      </c>
      <c r="Q10" s="66" t="str">
        <v>Cumulative %</v>
      </c>
      <c r="R10" s="14"/>
    </row>
    <row r="11" spans="2:18" x14ac:dyDescent="0.45">
      <c r="B11" s="13"/>
      <c r="C11" s="189">
        <v>47</v>
      </c>
      <c r="F11" s="66" t="str">
        <v>&lt;</v>
      </c>
      <c r="G11" s="66">
        <v>15.5</v>
      </c>
      <c r="H11" s="9">
        <v>0</v>
      </c>
      <c r="J11" s="66" t="str">
        <v>&lt;</v>
      </c>
      <c r="K11" s="66">
        <v>10</v>
      </c>
      <c r="L11" s="66">
        <v>0</v>
      </c>
      <c r="N11" s="66">
        <v>25.833333333333336</v>
      </c>
      <c r="O11" s="66">
        <v>31.000000000000004</v>
      </c>
      <c r="P11" s="66">
        <v>4</v>
      </c>
      <c r="Q11" s="149">
        <v>0.25</v>
      </c>
      <c r="R11" s="14"/>
    </row>
    <row r="12" spans="2:18" x14ac:dyDescent="0.45">
      <c r="B12" s="13"/>
      <c r="C12" s="189">
        <v>40</v>
      </c>
      <c r="F12" s="66">
        <v>15.5</v>
      </c>
      <c r="G12" s="66">
        <v>20.666666666666668</v>
      </c>
      <c r="H12" s="9">
        <v>1</v>
      </c>
      <c r="J12" s="66">
        <v>10</v>
      </c>
      <c r="K12" s="66">
        <v>20</v>
      </c>
      <c r="L12" s="66">
        <v>1</v>
      </c>
      <c r="N12" s="66">
        <v>31.000000000000004</v>
      </c>
      <c r="O12" s="66">
        <v>36.166666666666671</v>
      </c>
      <c r="P12" s="66">
        <v>3</v>
      </c>
      <c r="Q12" s="149">
        <v>0.1875</v>
      </c>
      <c r="R12" s="14"/>
    </row>
    <row r="13" spans="2:18" x14ac:dyDescent="0.45">
      <c r="B13" s="13"/>
      <c r="C13" s="189">
        <v>40</v>
      </c>
      <c r="F13" s="66">
        <v>20.666666666666668</v>
      </c>
      <c r="G13" s="66">
        <v>25.833333333333336</v>
      </c>
      <c r="H13" s="9">
        <v>1</v>
      </c>
      <c r="J13" s="66">
        <v>20</v>
      </c>
      <c r="K13" s="66">
        <v>30</v>
      </c>
      <c r="L13" s="66">
        <v>5</v>
      </c>
      <c r="N13" s="66">
        <v>36.166666666666671</v>
      </c>
      <c r="O13" s="66">
        <v>41.333333333333336</v>
      </c>
      <c r="P13" s="66">
        <v>3</v>
      </c>
      <c r="Q13" s="149">
        <v>0.1875</v>
      </c>
      <c r="R13" s="14"/>
    </row>
    <row r="14" spans="2:18" x14ac:dyDescent="0.45">
      <c r="B14" s="13"/>
      <c r="C14" s="189">
        <v>37</v>
      </c>
      <c r="F14" s="66">
        <v>25.833333333333336</v>
      </c>
      <c r="G14" s="66">
        <v>31.000000000000004</v>
      </c>
      <c r="H14" s="9">
        <v>4</v>
      </c>
      <c r="J14" s="66">
        <v>30</v>
      </c>
      <c r="K14" s="66">
        <v>40</v>
      </c>
      <c r="L14" s="66">
        <v>6</v>
      </c>
      <c r="N14" s="66">
        <v>41.333333333333336</v>
      </c>
      <c r="O14" s="66">
        <v>46.5</v>
      </c>
      <c r="P14" s="66">
        <v>2</v>
      </c>
      <c r="Q14" s="149">
        <v>0.125</v>
      </c>
      <c r="R14" s="14"/>
    </row>
    <row r="15" spans="2:18" x14ac:dyDescent="0.45">
      <c r="B15" s="13"/>
      <c r="C15" s="189">
        <v>30</v>
      </c>
      <c r="F15" s="66">
        <v>31.000000000000004</v>
      </c>
      <c r="G15" s="66">
        <v>36.166666666666671</v>
      </c>
      <c r="H15" s="9">
        <v>3</v>
      </c>
      <c r="J15" s="66">
        <v>40</v>
      </c>
      <c r="K15" s="66">
        <v>50</v>
      </c>
      <c r="L15" s="66">
        <v>4</v>
      </c>
      <c r="N15" s="66">
        <v>46.5</v>
      </c>
      <c r="O15" s="66">
        <v>51.666666666666664</v>
      </c>
      <c r="P15" s="66">
        <v>2</v>
      </c>
      <c r="Q15" s="149">
        <v>0.125</v>
      </c>
      <c r="R15" s="14"/>
    </row>
    <row r="16" spans="2:18" x14ac:dyDescent="0.45">
      <c r="B16" s="13"/>
      <c r="C16" s="189">
        <v>42</v>
      </c>
      <c r="F16" s="66">
        <v>36.166666666666671</v>
      </c>
      <c r="G16" s="66">
        <v>41.333333333333336</v>
      </c>
      <c r="H16" s="9">
        <v>3</v>
      </c>
      <c r="N16" s="66">
        <v>15.5</v>
      </c>
      <c r="O16" s="66">
        <v>20.666666666666668</v>
      </c>
      <c r="P16" s="66">
        <v>1</v>
      </c>
      <c r="Q16" s="149">
        <v>6.25E-2</v>
      </c>
      <c r="R16" s="14"/>
    </row>
    <row r="17" spans="2:18" x14ac:dyDescent="0.45">
      <c r="B17" s="13"/>
      <c r="C17" s="189">
        <v>22</v>
      </c>
      <c r="F17" s="66">
        <v>41.333333333333336</v>
      </c>
      <c r="G17" s="66">
        <v>46.5</v>
      </c>
      <c r="H17" s="9">
        <v>2</v>
      </c>
      <c r="N17" s="66">
        <v>20.666666666666668</v>
      </c>
      <c r="O17" s="66">
        <v>25.833333333333336</v>
      </c>
      <c r="P17" s="66">
        <v>1</v>
      </c>
      <c r="Q17" s="149">
        <v>6.25E-2</v>
      </c>
      <c r="R17" s="14"/>
    </row>
    <row r="18" spans="2:18" x14ac:dyDescent="0.45">
      <c r="B18" s="13"/>
      <c r="C18" s="189">
        <v>30</v>
      </c>
      <c r="F18" s="66">
        <v>46.5</v>
      </c>
      <c r="G18" s="66">
        <v>51.666666666666664</v>
      </c>
      <c r="H18" s="9">
        <v>2</v>
      </c>
      <c r="N18" s="66" t="str">
        <v>&lt;</v>
      </c>
      <c r="O18" s="66">
        <v>15.5</v>
      </c>
      <c r="P18" s="66">
        <v>0</v>
      </c>
      <c r="Q18" s="149">
        <v>0</v>
      </c>
      <c r="R18" s="14"/>
    </row>
    <row r="19" spans="2:18" x14ac:dyDescent="0.45">
      <c r="B19" s="13"/>
      <c r="C19" s="189">
        <v>16</v>
      </c>
      <c r="R19" s="14"/>
    </row>
    <row r="20" spans="2:18" x14ac:dyDescent="0.45">
      <c r="B20" s="13"/>
      <c r="C20" s="189">
        <v>36</v>
      </c>
      <c r="R20" s="14"/>
    </row>
    <row r="21" spans="2:18" x14ac:dyDescent="0.45">
      <c r="B21" s="13"/>
      <c r="C21" s="189">
        <v>47</v>
      </c>
      <c r="R21" s="14"/>
    </row>
    <row r="22" spans="2:18" x14ac:dyDescent="0.45">
      <c r="B22" s="13"/>
      <c r="C22" s="189">
        <v>46</v>
      </c>
      <c r="R22" s="14"/>
    </row>
    <row r="23" spans="2:18" x14ac:dyDescent="0.45">
      <c r="B23" s="13"/>
      <c r="C23" s="189">
        <v>33</v>
      </c>
      <c r="R23" s="14"/>
    </row>
    <row r="24" spans="2:18" x14ac:dyDescent="0.45">
      <c r="B24" s="13"/>
      <c r="C24" s="189">
        <v>34</v>
      </c>
      <c r="R24" s="14"/>
    </row>
    <row r="25" spans="2:18" x14ac:dyDescent="0.45"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8"/>
    </row>
    <row r="26" spans="2:18" x14ac:dyDescent="0.45">
      <c r="B26" s="13"/>
      <c r="C26" s="21" t="s">
        <v>319</v>
      </c>
      <c r="F26" s="20" t="s">
        <v>313</v>
      </c>
      <c r="K26" s="20" t="s">
        <v>317</v>
      </c>
      <c r="R26" s="14"/>
    </row>
    <row r="27" spans="2:18" x14ac:dyDescent="0.45">
      <c r="B27" s="190">
        <v>0.8</v>
      </c>
      <c r="C27" s="190">
        <v>1.7</v>
      </c>
      <c r="D27" s="190">
        <v>2.2000000000000002</v>
      </c>
      <c r="F27" s="22" t="s">
        <v>318</v>
      </c>
      <c r="K27" s="22" t="s">
        <v>320</v>
      </c>
      <c r="R27" s="14"/>
    </row>
    <row r="28" spans="2:18" x14ac:dyDescent="0.45">
      <c r="B28" s="190">
        <v>1.8</v>
      </c>
      <c r="C28" s="190">
        <v>0.9</v>
      </c>
      <c r="D28" s="190">
        <v>0.8</v>
      </c>
      <c r="F28" s="150" t="str" cm="1">
        <f t="array" ref="F28:H36">Histogramλ(Snowfall)</f>
        <v>Start</v>
      </c>
      <c r="G28" s="150" t="str">
        <v>End</v>
      </c>
      <c r="H28" s="32" t="str">
        <v>Total</v>
      </c>
      <c r="I28" s="8"/>
      <c r="J28" s="8"/>
      <c r="K28" s="32" t="str" cm="1">
        <f t="array" ref="K28:N36">Histogramλ(Snowfall,,TRUE)</f>
        <v>Start</v>
      </c>
      <c r="L28" s="32" t="str">
        <v>End</v>
      </c>
      <c r="M28" s="9" t="str">
        <v>Total</v>
      </c>
      <c r="N28" s="32" t="str">
        <v>Cumulative %</v>
      </c>
      <c r="R28" s="14"/>
    </row>
    <row r="29" spans="2:18" x14ac:dyDescent="0.45">
      <c r="B29" s="190">
        <v>3</v>
      </c>
      <c r="C29" s="190">
        <v>0.2</v>
      </c>
      <c r="D29" s="190">
        <v>0.9</v>
      </c>
      <c r="F29" s="67" t="str">
        <v>&lt;</v>
      </c>
      <c r="G29" s="67">
        <v>0</v>
      </c>
      <c r="H29" s="32">
        <v>1</v>
      </c>
      <c r="I29" s="8"/>
      <c r="J29" s="8"/>
      <c r="K29" s="32">
        <v>1.6714285714285715</v>
      </c>
      <c r="L29" s="32">
        <v>2.2285714285714286</v>
      </c>
      <c r="M29" s="9">
        <v>8</v>
      </c>
      <c r="N29" s="153">
        <v>0.27586206896551724</v>
      </c>
      <c r="R29" s="14"/>
    </row>
    <row r="30" spans="2:18" x14ac:dyDescent="0.45">
      <c r="B30" s="190">
        <v>2.1</v>
      </c>
      <c r="C30" s="190">
        <v>0.7</v>
      </c>
      <c r="D30" s="190">
        <v>1.3</v>
      </c>
      <c r="F30" s="67">
        <v>0</v>
      </c>
      <c r="G30" s="67">
        <v>0.55714285714285716</v>
      </c>
      <c r="H30" s="32">
        <v>4</v>
      </c>
      <c r="I30" s="8"/>
      <c r="J30" s="8"/>
      <c r="K30" s="32">
        <v>0.55714285714285716</v>
      </c>
      <c r="L30" s="32">
        <v>1.1142857142857143</v>
      </c>
      <c r="M30" s="9">
        <v>7</v>
      </c>
      <c r="N30" s="153">
        <v>0.2413793103448276</v>
      </c>
      <c r="R30" s="14"/>
    </row>
    <row r="31" spans="2:18" x14ac:dyDescent="0.45">
      <c r="B31" s="190">
        <v>3</v>
      </c>
      <c r="C31" s="190">
        <v>1.5</v>
      </c>
      <c r="D31" s="190">
        <v>2.5</v>
      </c>
      <c r="F31" s="67">
        <v>0.55714285714285716</v>
      </c>
      <c r="G31" s="67">
        <v>1.1142857142857143</v>
      </c>
      <c r="H31" s="32">
        <v>7</v>
      </c>
      <c r="I31" s="8"/>
      <c r="J31" s="8"/>
      <c r="K31" s="32">
        <v>0</v>
      </c>
      <c r="L31" s="32">
        <v>0.55714285714285716</v>
      </c>
      <c r="M31" s="9">
        <v>4</v>
      </c>
      <c r="N31" s="153">
        <v>0.13793103448275862</v>
      </c>
      <c r="R31" s="14"/>
    </row>
    <row r="32" spans="2:18" x14ac:dyDescent="0.45">
      <c r="B32" s="190">
        <v>1.7</v>
      </c>
      <c r="C32" s="190">
        <v>0.8</v>
      </c>
      <c r="D32" s="190">
        <v>0.1</v>
      </c>
      <c r="F32" s="67">
        <v>1.1142857142857143</v>
      </c>
      <c r="G32" s="67">
        <v>1.6714285714285715</v>
      </c>
      <c r="H32" s="32">
        <v>2</v>
      </c>
      <c r="I32" s="8"/>
      <c r="J32" s="8"/>
      <c r="K32" s="32">
        <v>2.2285714285714286</v>
      </c>
      <c r="L32" s="32">
        <v>2.7857142857142856</v>
      </c>
      <c r="M32" s="9">
        <v>4</v>
      </c>
      <c r="N32" s="153">
        <v>0.13793103448275862</v>
      </c>
      <c r="R32" s="14"/>
    </row>
    <row r="33" spans="2:18" x14ac:dyDescent="0.45">
      <c r="B33" s="190">
        <v>3.9</v>
      </c>
      <c r="C33" s="190">
        <v>2.6</v>
      </c>
      <c r="D33" s="190">
        <v>1.8</v>
      </c>
      <c r="F33" s="67">
        <v>1.6714285714285715</v>
      </c>
      <c r="G33" s="67">
        <v>2.2285714285714286</v>
      </c>
      <c r="H33" s="32">
        <v>8</v>
      </c>
      <c r="I33" s="8"/>
      <c r="J33" s="8"/>
      <c r="K33" s="32">
        <v>2.7857142857142856</v>
      </c>
      <c r="L33" s="32">
        <v>3.3428571428571425</v>
      </c>
      <c r="M33" s="9">
        <v>3</v>
      </c>
      <c r="N33" s="153">
        <v>0.10344827586206896</v>
      </c>
      <c r="R33" s="14"/>
    </row>
    <row r="34" spans="2:18" x14ac:dyDescent="0.45">
      <c r="B34" s="190">
        <v>2.4</v>
      </c>
      <c r="C34" s="190">
        <v>3</v>
      </c>
      <c r="D34" s="190">
        <v>0.9</v>
      </c>
      <c r="F34" s="67">
        <v>2.2285714285714286</v>
      </c>
      <c r="G34" s="67">
        <v>2.7857142857142856</v>
      </c>
      <c r="H34" s="32">
        <v>4</v>
      </c>
      <c r="I34" s="8"/>
      <c r="J34" s="8"/>
      <c r="K34" s="32">
        <v>1.1142857142857143</v>
      </c>
      <c r="L34" s="32">
        <v>1.6714285714285715</v>
      </c>
      <c r="M34" s="9">
        <v>2</v>
      </c>
      <c r="N34" s="153">
        <v>6.8965517241379309E-2</v>
      </c>
      <c r="R34" s="14"/>
    </row>
    <row r="35" spans="2:18" x14ac:dyDescent="0.45">
      <c r="B35" s="190">
        <v>0.5</v>
      </c>
      <c r="C35" s="190">
        <v>0.3</v>
      </c>
      <c r="D35" s="190">
        <v>0</v>
      </c>
      <c r="F35" s="67">
        <v>2.7857142857142856</v>
      </c>
      <c r="G35" s="67">
        <v>3.3428571428571425</v>
      </c>
      <c r="H35" s="32">
        <v>3</v>
      </c>
      <c r="I35" s="8"/>
      <c r="J35" s="8"/>
      <c r="K35" s="9" t="str">
        <v>&lt;</v>
      </c>
      <c r="L35" s="32">
        <v>0</v>
      </c>
      <c r="M35" s="9">
        <v>1</v>
      </c>
      <c r="N35" s="153">
        <v>3.4482758620689655E-2</v>
      </c>
      <c r="R35" s="14"/>
    </row>
    <row r="36" spans="2:18" x14ac:dyDescent="0.45">
      <c r="B36" s="190">
        <v>1.7</v>
      </c>
      <c r="C36" s="190">
        <v>2.4</v>
      </c>
      <c r="D36" s="190">
        <v>2.1</v>
      </c>
      <c r="F36" s="152">
        <v>3.3428571428571425</v>
      </c>
      <c r="G36" s="152">
        <v>3.8999999999999995</v>
      </c>
      <c r="H36" s="32">
        <v>0</v>
      </c>
      <c r="I36" s="8"/>
      <c r="J36" s="8"/>
      <c r="K36" s="32">
        <v>3.3428571428571425</v>
      </c>
      <c r="L36" s="32">
        <v>3.8999999999999995</v>
      </c>
      <c r="M36" s="9">
        <v>0</v>
      </c>
      <c r="N36" s="153">
        <v>0</v>
      </c>
      <c r="R36" s="14"/>
    </row>
    <row r="37" spans="2:18" x14ac:dyDescent="0.45">
      <c r="B37" s="16"/>
      <c r="C37" s="154"/>
      <c r="D37" s="17"/>
      <c r="E37" s="17"/>
      <c r="F37" s="154"/>
      <c r="G37" s="154"/>
      <c r="H37" s="155"/>
      <c r="I37" s="17"/>
      <c r="J37" s="17"/>
      <c r="K37" s="17"/>
      <c r="L37" s="17"/>
      <c r="M37" s="17"/>
      <c r="N37" s="17"/>
      <c r="O37" s="17"/>
      <c r="P37" s="17"/>
      <c r="Q37" s="17"/>
      <c r="R37" s="18"/>
    </row>
    <row r="38" spans="2:18" x14ac:dyDescent="0.45">
      <c r="C38" s="151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EF0B-5B80-4A77-A3AE-D22EEF6B5FE6}">
  <sheetPr>
    <tabColor rgb="FFD7CDEB"/>
  </sheetPr>
  <dimension ref="B2:L27"/>
  <sheetViews>
    <sheetView workbookViewId="0"/>
  </sheetViews>
  <sheetFormatPr defaultRowHeight="16.5" x14ac:dyDescent="0.45"/>
  <cols>
    <col min="1" max="1" width="5" customWidth="1"/>
    <col min="9" max="9" width="11.08203125" customWidth="1"/>
  </cols>
  <sheetData>
    <row r="2" spans="2:12" x14ac:dyDescent="0.45">
      <c r="B2" s="30" t="s">
        <v>321</v>
      </c>
      <c r="C2" s="11"/>
      <c r="D2" s="11"/>
      <c r="E2" s="11"/>
      <c r="F2" s="11"/>
      <c r="G2" s="11"/>
      <c r="H2" s="11"/>
      <c r="I2" s="11"/>
      <c r="J2" s="11"/>
      <c r="K2" s="11"/>
      <c r="L2" s="12"/>
    </row>
    <row r="3" spans="2:12" x14ac:dyDescent="0.45">
      <c r="B3" s="13" t="s">
        <v>42</v>
      </c>
      <c r="L3" s="14"/>
    </row>
    <row r="4" spans="2:12" x14ac:dyDescent="0.45">
      <c r="B4" s="15" t="s">
        <v>43</v>
      </c>
      <c r="L4" s="14"/>
    </row>
    <row r="5" spans="2:12" x14ac:dyDescent="0.45">
      <c r="B5" s="13" t="s">
        <v>322</v>
      </c>
      <c r="L5" s="14"/>
    </row>
    <row r="6" spans="2:12" x14ac:dyDescent="0.45">
      <c r="B6" s="16"/>
      <c r="C6" s="17"/>
      <c r="D6" s="17"/>
      <c r="E6" s="17"/>
      <c r="F6" s="17"/>
      <c r="G6" s="17"/>
      <c r="H6" s="17"/>
      <c r="I6" s="17"/>
      <c r="J6" s="17"/>
      <c r="K6" s="17"/>
      <c r="L6" s="18"/>
    </row>
    <row r="7" spans="2:12" x14ac:dyDescent="0.45">
      <c r="B7" s="13"/>
      <c r="C7" s="21" t="s">
        <v>323</v>
      </c>
      <c r="H7" s="20" t="s">
        <v>326</v>
      </c>
      <c r="J7" s="20" t="s">
        <v>328</v>
      </c>
      <c r="L7" s="14"/>
    </row>
    <row r="8" spans="2:12" x14ac:dyDescent="0.45">
      <c r="B8" s="13"/>
      <c r="C8" s="191">
        <v>100</v>
      </c>
      <c r="D8" s="191">
        <v>86</v>
      </c>
      <c r="E8" s="191">
        <v>53</v>
      </c>
      <c r="F8" s="191">
        <v>82</v>
      </c>
      <c r="H8" s="22" t="s">
        <v>325</v>
      </c>
      <c r="J8" s="22" t="s">
        <v>327</v>
      </c>
      <c r="L8" s="14"/>
    </row>
    <row r="9" spans="2:12" x14ac:dyDescent="0.45">
      <c r="B9" s="13"/>
      <c r="C9" s="191">
        <v>84</v>
      </c>
      <c r="D9" s="191">
        <v>79</v>
      </c>
      <c r="E9" s="191" t="s">
        <v>324</v>
      </c>
      <c r="F9" s="191">
        <v>51</v>
      </c>
      <c r="G9" s="8"/>
      <c r="H9" s="9" cm="1">
        <f t="array" ref="H9:H10">Modeλ(MixedData)</f>
        <v>90</v>
      </c>
      <c r="I9" s="8"/>
      <c r="J9" s="9" cm="1">
        <f t="array" ref="J9:K10">Modeλ(MixedData,TRUE)</f>
        <v>90</v>
      </c>
      <c r="K9" s="9">
        <v>3</v>
      </c>
      <c r="L9" s="14"/>
    </row>
    <row r="10" spans="2:12" x14ac:dyDescent="0.45">
      <c r="B10" s="13"/>
      <c r="C10" s="191">
        <v>45</v>
      </c>
      <c r="D10" s="191">
        <v>70</v>
      </c>
      <c r="E10" s="191">
        <v>39</v>
      </c>
      <c r="F10" s="191">
        <v>75</v>
      </c>
      <c r="G10" s="8"/>
      <c r="H10" s="9" t="str">
        <v>Waldo</v>
      </c>
      <c r="I10" s="8"/>
      <c r="J10" s="9" t="str">
        <v>Waldo</v>
      </c>
      <c r="K10" s="9">
        <v>3</v>
      </c>
      <c r="L10" s="14"/>
    </row>
    <row r="11" spans="2:12" x14ac:dyDescent="0.45">
      <c r="B11" s="13"/>
      <c r="C11" s="191">
        <v>63</v>
      </c>
      <c r="D11" s="191" t="s">
        <v>324</v>
      </c>
      <c r="E11" s="191">
        <v>35</v>
      </c>
      <c r="F11" s="191">
        <v>39</v>
      </c>
      <c r="L11" s="14"/>
    </row>
    <row r="12" spans="2:12" x14ac:dyDescent="0.45">
      <c r="B12" s="13"/>
      <c r="C12" s="191">
        <v>41</v>
      </c>
      <c r="D12" s="191">
        <v>45</v>
      </c>
      <c r="E12" s="191" t="s">
        <v>324</v>
      </c>
      <c r="F12" s="191">
        <v>44</v>
      </c>
      <c r="L12" s="14"/>
    </row>
    <row r="13" spans="2:12" x14ac:dyDescent="0.45">
      <c r="B13" s="13"/>
      <c r="C13" s="191">
        <v>56</v>
      </c>
      <c r="D13" s="191">
        <v>91</v>
      </c>
      <c r="E13" s="191">
        <v>46</v>
      </c>
      <c r="F13" s="191">
        <v>84</v>
      </c>
      <c r="L13" s="14"/>
    </row>
    <row r="14" spans="2:12" x14ac:dyDescent="0.45">
      <c r="B14" s="13"/>
      <c r="C14" s="191">
        <v>90</v>
      </c>
      <c r="D14" s="191">
        <v>90</v>
      </c>
      <c r="E14" s="191">
        <v>90</v>
      </c>
      <c r="F14" s="191">
        <v>34</v>
      </c>
      <c r="L14" s="14"/>
    </row>
    <row r="15" spans="2:12" x14ac:dyDescent="0.45">
      <c r="B15" s="13"/>
      <c r="C15" s="191">
        <v>48</v>
      </c>
      <c r="D15" s="191">
        <v>36</v>
      </c>
      <c r="E15" s="191">
        <v>64</v>
      </c>
      <c r="F15" s="191">
        <v>74</v>
      </c>
      <c r="L15" s="14"/>
    </row>
    <row r="16" spans="2:12" x14ac:dyDescent="0.45">
      <c r="B16" s="13"/>
      <c r="L16" s="14"/>
    </row>
    <row r="17" spans="2:12" x14ac:dyDescent="0.45">
      <c r="B17" s="19"/>
      <c r="C17" s="11"/>
      <c r="D17" s="156" t="s">
        <v>331</v>
      </c>
      <c r="E17" s="11"/>
      <c r="F17" s="11"/>
      <c r="G17" s="11"/>
      <c r="H17" s="29" t="s">
        <v>335</v>
      </c>
      <c r="I17" s="11"/>
      <c r="J17" s="29" t="s">
        <v>328</v>
      </c>
      <c r="K17" s="11"/>
      <c r="L17" s="12"/>
    </row>
    <row r="18" spans="2:12" x14ac:dyDescent="0.45">
      <c r="B18" s="13"/>
      <c r="D18" s="191" t="s">
        <v>329</v>
      </c>
      <c r="E18" s="191" t="s">
        <v>329</v>
      </c>
      <c r="H18" s="22" t="s">
        <v>334</v>
      </c>
      <c r="J18" s="22" t="s">
        <v>336</v>
      </c>
      <c r="L18" s="14"/>
    </row>
    <row r="19" spans="2:12" x14ac:dyDescent="0.45">
      <c r="B19" s="13"/>
      <c r="D19" s="191">
        <v>10</v>
      </c>
      <c r="E19" s="191" t="s">
        <v>332</v>
      </c>
      <c r="H19" s="9" t="str" cm="1">
        <f t="array" ref="H19">Modeλ(Rating)</f>
        <v>Good</v>
      </c>
      <c r="J19" s="9" t="str" cm="1">
        <f t="array" ref="J19:K19">Modeλ(Rating,TRUE)</f>
        <v>Good</v>
      </c>
      <c r="K19" s="9">
        <v>7</v>
      </c>
      <c r="L19" s="14"/>
    </row>
    <row r="20" spans="2:12" x14ac:dyDescent="0.45">
      <c r="B20" s="13"/>
      <c r="D20" s="191">
        <v>8</v>
      </c>
      <c r="E20" s="191">
        <v>9</v>
      </c>
      <c r="L20" s="14"/>
    </row>
    <row r="21" spans="2:12" x14ac:dyDescent="0.45">
      <c r="B21" s="13"/>
      <c r="D21" s="191" t="s">
        <v>329</v>
      </c>
      <c r="E21" s="191" t="s">
        <v>329</v>
      </c>
      <c r="L21" s="14"/>
    </row>
    <row r="22" spans="2:12" x14ac:dyDescent="0.45">
      <c r="B22" s="13"/>
      <c r="D22" s="191" t="s">
        <v>330</v>
      </c>
      <c r="E22" s="191" t="s">
        <v>329</v>
      </c>
      <c r="L22" s="14"/>
    </row>
    <row r="23" spans="2:12" x14ac:dyDescent="0.45">
      <c r="B23" s="13"/>
      <c r="D23" s="191">
        <v>3</v>
      </c>
      <c r="E23" s="191">
        <v>9</v>
      </c>
      <c r="L23" s="14"/>
    </row>
    <row r="24" spans="2:12" x14ac:dyDescent="0.45">
      <c r="B24" s="13"/>
      <c r="D24" s="191" t="s">
        <v>333</v>
      </c>
      <c r="E24" s="191">
        <v>7</v>
      </c>
      <c r="L24" s="14"/>
    </row>
    <row r="25" spans="2:12" x14ac:dyDescent="0.45">
      <c r="B25" s="13"/>
      <c r="D25" s="191" t="s">
        <v>329</v>
      </c>
      <c r="E25" s="191" t="s">
        <v>329</v>
      </c>
      <c r="L25" s="14"/>
    </row>
    <row r="26" spans="2:12" x14ac:dyDescent="0.45">
      <c r="B26" s="13"/>
      <c r="L26" s="14"/>
    </row>
    <row r="27" spans="2:12" x14ac:dyDescent="0.45">
      <c r="B27" s="16"/>
      <c r="C27" s="17"/>
      <c r="D27" s="17"/>
      <c r="E27" s="17"/>
      <c r="F27" s="17"/>
      <c r="G27" s="17"/>
      <c r="H27" s="17"/>
      <c r="I27" s="17"/>
      <c r="J27" s="17"/>
      <c r="K27" s="17"/>
      <c r="L27" s="18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8735B-EDBB-405B-A332-ED96A720ECAB}">
  <sheetPr>
    <tabColor rgb="FFD7CDEB"/>
  </sheetPr>
  <dimension ref="B2:Q27"/>
  <sheetViews>
    <sheetView workbookViewId="0"/>
  </sheetViews>
  <sheetFormatPr defaultRowHeight="16.5" x14ac:dyDescent="0.45"/>
  <cols>
    <col min="1" max="1" width="5" customWidth="1"/>
    <col min="3" max="16" width="7.58203125" customWidth="1"/>
    <col min="17" max="17" width="4" customWidth="1"/>
  </cols>
  <sheetData>
    <row r="2" spans="2:17" x14ac:dyDescent="0.45">
      <c r="B2" s="30" t="s">
        <v>337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2"/>
    </row>
    <row r="3" spans="2:17" x14ac:dyDescent="0.45">
      <c r="B3" s="13" t="s">
        <v>338</v>
      </c>
      <c r="Q3" s="14"/>
    </row>
    <row r="4" spans="2:17" x14ac:dyDescent="0.45">
      <c r="B4" s="15" t="s">
        <v>43</v>
      </c>
      <c r="Q4" s="14"/>
    </row>
    <row r="5" spans="2:17" x14ac:dyDescent="0.45">
      <c r="B5" s="13" t="s">
        <v>339</v>
      </c>
      <c r="Q5" s="14"/>
    </row>
    <row r="6" spans="2:17" x14ac:dyDescent="0.45">
      <c r="B6" s="16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8"/>
    </row>
    <row r="7" spans="2:17" x14ac:dyDescent="0.45">
      <c r="B7" s="13"/>
      <c r="H7" s="20" t="s">
        <v>274</v>
      </c>
      <c r="M7" s="20" t="s">
        <v>275</v>
      </c>
      <c r="Q7" s="14"/>
    </row>
    <row r="8" spans="2:17" x14ac:dyDescent="0.45">
      <c r="B8" s="13"/>
      <c r="C8" s="21" t="s">
        <v>340</v>
      </c>
      <c r="H8" s="22" t="s">
        <v>341</v>
      </c>
      <c r="M8" s="159" t="s">
        <v>342</v>
      </c>
      <c r="Q8" s="14"/>
    </row>
    <row r="9" spans="2:17" s="147" customFormat="1" ht="30" customHeight="1" x14ac:dyDescent="0.45">
      <c r="B9" s="160"/>
      <c r="C9" s="157">
        <v>8</v>
      </c>
      <c r="D9" s="158">
        <v>1</v>
      </c>
      <c r="E9" s="130">
        <v>2</v>
      </c>
      <c r="F9" s="130">
        <v>3</v>
      </c>
      <c r="H9" s="157" cm="1">
        <f t="array" ref="H9:K12">ZoneStatλ(ZoneGrid)</f>
        <v>55</v>
      </c>
      <c r="I9" s="158">
        <v>2</v>
      </c>
      <c r="J9" s="130">
        <v>11</v>
      </c>
      <c r="K9" s="130">
        <v>11</v>
      </c>
      <c r="M9" s="157" cm="1">
        <f t="array" ref="M9:P12">ZoneStatλ(ZoneGrid,_xleta.COUNT)</f>
        <v>6</v>
      </c>
      <c r="N9" s="158">
        <v>3</v>
      </c>
      <c r="O9" s="130">
        <v>4</v>
      </c>
      <c r="P9" s="130">
        <v>4</v>
      </c>
      <c r="Q9" s="161"/>
    </row>
    <row r="10" spans="2:17" s="147" customFormat="1" ht="30" customHeight="1" x14ac:dyDescent="0.45">
      <c r="B10" s="160"/>
      <c r="C10" s="130">
        <v>3</v>
      </c>
      <c r="D10" s="132">
        <v>4</v>
      </c>
      <c r="E10" s="157">
        <v>8</v>
      </c>
      <c r="F10" s="157">
        <v>10</v>
      </c>
      <c r="H10" s="130">
        <v>11</v>
      </c>
      <c r="I10" s="132">
        <v>9</v>
      </c>
      <c r="J10" s="157">
        <v>55</v>
      </c>
      <c r="K10" s="157">
        <v>55</v>
      </c>
      <c r="M10" s="130">
        <v>4</v>
      </c>
      <c r="N10" s="132">
        <v>2</v>
      </c>
      <c r="O10" s="157">
        <v>6</v>
      </c>
      <c r="P10" s="157">
        <v>6</v>
      </c>
      <c r="Q10" s="161"/>
    </row>
    <row r="11" spans="2:17" s="147" customFormat="1" ht="30" customHeight="1" x14ac:dyDescent="0.45">
      <c r="B11" s="160"/>
      <c r="C11" s="157">
        <v>10</v>
      </c>
      <c r="D11" s="158">
        <v>1</v>
      </c>
      <c r="E11" s="132">
        <v>5</v>
      </c>
      <c r="F11" s="130">
        <v>3</v>
      </c>
      <c r="H11" s="157">
        <v>55</v>
      </c>
      <c r="I11" s="158">
        <v>2</v>
      </c>
      <c r="J11" s="132">
        <v>9</v>
      </c>
      <c r="K11" s="130">
        <v>11</v>
      </c>
      <c r="M11" s="157">
        <v>6</v>
      </c>
      <c r="N11" s="158">
        <v>3</v>
      </c>
      <c r="O11" s="132">
        <v>2</v>
      </c>
      <c r="P11" s="130">
        <v>4</v>
      </c>
      <c r="Q11" s="161"/>
    </row>
    <row r="12" spans="2:17" s="147" customFormat="1" ht="30" customHeight="1" x14ac:dyDescent="0.45">
      <c r="B12" s="160"/>
      <c r="C12" s="157">
        <v>9</v>
      </c>
      <c r="D12" s="53">
        <v>7</v>
      </c>
      <c r="E12" s="157">
        <v>10</v>
      </c>
      <c r="F12" s="158">
        <v>0</v>
      </c>
      <c r="H12" s="157">
        <v>55</v>
      </c>
      <c r="I12" s="53">
        <v>7</v>
      </c>
      <c r="J12" s="157">
        <v>55</v>
      </c>
      <c r="K12" s="158">
        <v>2</v>
      </c>
      <c r="M12" s="157">
        <v>6</v>
      </c>
      <c r="N12" s="53">
        <v>1</v>
      </c>
      <c r="O12" s="157">
        <v>6</v>
      </c>
      <c r="P12" s="158">
        <v>3</v>
      </c>
      <c r="Q12" s="161"/>
    </row>
    <row r="13" spans="2:17" x14ac:dyDescent="0.45">
      <c r="B13" s="13"/>
      <c r="Q13" s="14"/>
    </row>
    <row r="14" spans="2:17" x14ac:dyDescent="0.45">
      <c r="B14" s="13"/>
      <c r="C14" s="21" t="s">
        <v>350</v>
      </c>
      <c r="H14" s="20" t="s">
        <v>345</v>
      </c>
      <c r="M14" s="20" t="s">
        <v>201</v>
      </c>
      <c r="Q14" s="14"/>
    </row>
    <row r="15" spans="2:17" x14ac:dyDescent="0.45">
      <c r="B15" s="13"/>
      <c r="H15" s="22" t="s">
        <v>343</v>
      </c>
      <c r="M15" s="22" t="s">
        <v>344</v>
      </c>
      <c r="Q15" s="14"/>
    </row>
    <row r="16" spans="2:17" ht="30" customHeight="1" x14ac:dyDescent="0.45">
      <c r="B16" s="13"/>
      <c r="H16" s="157" cm="1">
        <f t="array" ref="H16:K19">ZoneStatλ(ZoneGrid,_xleta.MAX)</f>
        <v>10</v>
      </c>
      <c r="I16" s="158">
        <v>1</v>
      </c>
      <c r="J16" s="130">
        <v>3</v>
      </c>
      <c r="K16" s="130">
        <v>3</v>
      </c>
      <c r="M16" s="157" cm="1">
        <f t="array" ref="M16:P19">ZoneStatλ(ZoneGrid,_xleta.MIN)</f>
        <v>8</v>
      </c>
      <c r="N16" s="158">
        <v>0</v>
      </c>
      <c r="O16" s="130">
        <v>2</v>
      </c>
      <c r="P16" s="130">
        <v>2</v>
      </c>
      <c r="Q16" s="14"/>
    </row>
    <row r="17" spans="2:17" ht="30" customHeight="1" x14ac:dyDescent="0.45">
      <c r="B17" s="13"/>
      <c r="H17" s="130">
        <v>3</v>
      </c>
      <c r="I17" s="132">
        <v>5</v>
      </c>
      <c r="J17" s="157">
        <v>10</v>
      </c>
      <c r="K17" s="157">
        <v>10</v>
      </c>
      <c r="M17" s="130">
        <v>2</v>
      </c>
      <c r="N17" s="132">
        <v>4</v>
      </c>
      <c r="O17" s="157">
        <v>8</v>
      </c>
      <c r="P17" s="157">
        <v>8</v>
      </c>
      <c r="Q17" s="14"/>
    </row>
    <row r="18" spans="2:17" ht="30" customHeight="1" x14ac:dyDescent="0.45">
      <c r="B18" s="13"/>
      <c r="H18" s="157">
        <v>10</v>
      </c>
      <c r="I18" s="158">
        <v>1</v>
      </c>
      <c r="J18" s="132">
        <v>5</v>
      </c>
      <c r="K18" s="130">
        <v>3</v>
      </c>
      <c r="M18" s="157">
        <v>8</v>
      </c>
      <c r="N18" s="158">
        <v>0</v>
      </c>
      <c r="O18" s="132">
        <v>4</v>
      </c>
      <c r="P18" s="130">
        <v>2</v>
      </c>
      <c r="Q18" s="14"/>
    </row>
    <row r="19" spans="2:17" ht="30" customHeight="1" x14ac:dyDescent="0.45">
      <c r="B19" s="13"/>
      <c r="H19" s="157">
        <v>10</v>
      </c>
      <c r="I19" s="53">
        <v>7</v>
      </c>
      <c r="J19" s="157">
        <v>10</v>
      </c>
      <c r="K19" s="158">
        <v>1</v>
      </c>
      <c r="M19" s="157">
        <v>8</v>
      </c>
      <c r="N19" s="53">
        <v>7</v>
      </c>
      <c r="O19" s="157">
        <v>8</v>
      </c>
      <c r="P19" s="158">
        <v>0</v>
      </c>
      <c r="Q19" s="14"/>
    </row>
    <row r="20" spans="2:17" x14ac:dyDescent="0.45">
      <c r="B20" s="13"/>
      <c r="Q20" s="14"/>
    </row>
    <row r="21" spans="2:17" x14ac:dyDescent="0.45">
      <c r="B21" s="13"/>
      <c r="H21" s="20" t="s">
        <v>347</v>
      </c>
      <c r="Q21" s="14"/>
    </row>
    <row r="22" spans="2:17" x14ac:dyDescent="0.45">
      <c r="B22" s="13"/>
      <c r="H22" s="22" t="s">
        <v>346</v>
      </c>
      <c r="Q22" s="14"/>
    </row>
    <row r="23" spans="2:17" ht="30" customHeight="1" x14ac:dyDescent="0.45">
      <c r="B23" s="13"/>
      <c r="H23" s="157" cm="1">
        <f t="array" ref="H23:K26">ZoneStatλ(ZoneGrid,_xlfn.LAMBDA(_xlpm.v,MAX(_xlpm.v)-MIN(_xlpm.v)))</f>
        <v>2</v>
      </c>
      <c r="I23" s="158">
        <v>1</v>
      </c>
      <c r="J23" s="130">
        <v>1</v>
      </c>
      <c r="K23" s="130">
        <v>1</v>
      </c>
      <c r="Q23" s="14"/>
    </row>
    <row r="24" spans="2:17" ht="30" customHeight="1" x14ac:dyDescent="0.45">
      <c r="B24" s="13"/>
      <c r="H24" s="130">
        <v>1</v>
      </c>
      <c r="I24" s="132">
        <v>1</v>
      </c>
      <c r="J24" s="157">
        <v>2</v>
      </c>
      <c r="K24" s="157">
        <v>2</v>
      </c>
      <c r="Q24" s="14"/>
    </row>
    <row r="25" spans="2:17" ht="30" customHeight="1" x14ac:dyDescent="0.45">
      <c r="B25" s="13"/>
      <c r="H25" s="157">
        <v>2</v>
      </c>
      <c r="I25" s="158">
        <v>1</v>
      </c>
      <c r="J25" s="132">
        <v>1</v>
      </c>
      <c r="K25" s="130">
        <v>1</v>
      </c>
      <c r="Q25" s="14"/>
    </row>
    <row r="26" spans="2:17" ht="30" customHeight="1" x14ac:dyDescent="0.45">
      <c r="B26" s="13"/>
      <c r="H26" s="157">
        <v>2</v>
      </c>
      <c r="I26" s="53">
        <v>0</v>
      </c>
      <c r="J26" s="157">
        <v>2</v>
      </c>
      <c r="K26" s="158">
        <v>1</v>
      </c>
      <c r="Q26" s="14"/>
    </row>
    <row r="27" spans="2:17" x14ac:dyDescent="0.45">
      <c r="B27" s="16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8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IAAgACAAIAAgACAAIAAgACAAIABcAG4ATQBvAGQAdQBsAGUAOgAgACAAQgBpAGcAUwBwAGkAbABsAFwAbgBMAGkAYwBlAG4AcwBlADoAIABNAEkAVAAgACgAcwBlAGUAIABMAEkAQwBFAE4AUwBFACAAZgBpAGwAZQApAFwAbgBBAHUAdABoAG8AcgA6ACAAIABQAGEAdAByAGkAYwBrACAASAAuAFwAbgBEAGEAdABlADoAIAAgACAAIAA3AC8ANgAvADIAMAAyADYAXABuAFwAbgBEAGUAcwBjAHIAaQBwAHQAaQBvAG4AOgBcAG4AQwBvAHIAZQAgAG0AbwBkAHUAbABlACAAYQBnAGcAcgBlAGcAYQB0AG8AcgAgAGYAbwByACAAYQBsAGwAIABCAGkAZwBTAHAAaQBsAGwAIABmAHUAbgBjAHQAaQBvAG4AcwA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bQBhAHQAcgBpAHgAIABpAG4AdABvACAAYQAgAGYAbABhAHQAdABlAG4AZQBkACAAcgBvAHcAESB3AGkAcwBlACAAdABhAGIAbABlACAAYgB5ACAAcAByAG8AdgBpAGQAaQBuAGcAIAByAG8AdwAgAGwAYQBiAGUAbABzACwAXABuACAAIAAgACAAYwBvAGwAdQBtAG4AIABsAGEAYgBlAGwAcwAsACAAYQBuAGQAIABhACAAdgBhAGwAdQBlACAAbQBhAHQAcgBpAHg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TQBhAHQAcgBpAHg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bQBhAHQAcgBpAHgAIABvAGYAIABzAGgAaQBmAHQAZQBkACAAdAB1AHAAbABlAHMALgBcAG4AXABuAE4AbwB0AGUAcwA6AFwAbgAgACAAIAAgACIgIABPAHUAdABwAHUAdAAgAG8AcgBpAGUAbgB0AGEAdABpAG8AbgAgAG0AYQB0AGMAaABlAHMAIABpAG4AcAB1AHQAOgBcAG4AIAAgACAAIAAgACAAIAAgACAAIAAtACAAUwBjAGEAbABhAHIAcwAgAJIhIAB2AGUAcgB0AGkAYwBhAGwAXABuACAAIAAgACAAIAAgACAAIAAgACAALQAgAFYAZQByAHQAaQBjAGEAbAAgAGEAcgByAGEAeQBzACAAkiEgAHYAZQByAHQAaQBjAGEAbABcAG4AIAAgACAAIAAgACAAIAAgACAAIAAtACAASABvAHIAaQB6AG8AbgB0AGEAbAAgAGEAcgByAGEAeQBzACAAkiEgAGgAbwByAGkAegBvAG4AdABhAGwAXABuACAAIAAgACAAIiAgAE0AdQBsAHQAaQARIHMAaABpAGYAdAAgAGkAbgBwAHUAdABzACAAcgBlAHQAdQByAG4AIABhACAAcwB0AGEAYwBrAGUAZAAgAG0AYQB0AHIAaQB4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bQBhAHQAcgBpAHgALABcAG4AIAAgACAAIABbAHMAaABpAGYAdABfAGIAeQBdACwAXABuAEwARQBUACgAXABuACAAIAAgACAALwAvACAARABpAG0AZQBuAHMAaQBvAG4AcwBcAG4AIAAgACAAIABoACwAIAAgACAAIAAgACAAIAAgAFIATwBXAFMAKABtAGEAdAByAGkAeAApACwAXABuACAAIAAgACAAdwAsACAAIAAgACAAIAAgACAAIABDAE8ATABVAE0ATgBTACgAbQBhAHQAcgBpAHg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0AYQB0AHIAaQB4ACwAIABzAGgAaQBmAHQAXwBiAHkAKQAsAFwAbgBcAG4ATABFAFQAKABcAG4AIAAgACAAIAAvAC8AIABSAG8AdwAgAGkAbgBkAGkAYwBlAHMAIAByAGUAbQBhAGkAbgAgAGYAaQB4AGUAZABcAG4AIAAgACAAIABpACwAIAAgACAAIAAgACAAIAAgAE0ARwByAGkAZAC7AygAbQBhAHQAcgBpAHgAKQAsAFwAbgBcAG4AIAAgACAAIAAvAC8AIABDAG8AbAB1AG0AbgAgAGkAbgBkAGkAYwBlAHMAIABhAHIAZQAgAGMAaQByAGMAdQBsAGEAcgBsAHkAIABzAGgAaQBmAHQAZQBkAFwAbgAgACAAIAAgAGoALAAgACAAIAAgACAAIAAgACAAUgBlAHMAaQB6AGUAuwMoAFMAaABpAGYAdAC7AygAUwBFAFEAVQBFAE4AQwBFACgALAAgAHcAKQAsACAAcwBoAGkAZgB0AF8AYgB5ACkALABoACkALABcAG4AXABuACAAIAAgACAAcgBlAHMAdQBsAHQALAAgACAAIABJAE4ARABFAFgAKABtAGEAdAByAGkAe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bQBhAHQAcgBpAHgALABcAG4AIAAgACAAIABbAHMAaABpAGYAdABfAGIAeQBdACwAXABuAEwARQBUACgAXABuACAAIAAgACAALwAvACAARABpAG0AZQBuAHMAaQBvAG4AcwBcAG4AIAAgACAAIABoACwAIAAgACAAIAAgACAAIAAgACAAIAAgAFIATwBXAFMAKABtAGEAdAByAGkAeAApACwAXABuACAAIAAgACAAdwAsACAAIAAgACAAIAAgACAAIAAgACAAIABDAE8ATABVAE0ATgBTACgAbQBhAHQAcgBpAHg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0AYQB0AHIAaQB4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tAGEAdAByAGkAeAAsACAAMQApACwAXABuAFwAbgAgACAAIAAgAHIAZQBzAHUAbAB0ACwAIAAgACAAIAAgACAASQBOAEQARQBYACgAbQBhAHQAcgBpAHg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bQBhAHQAcgBpAHg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bQBhAHQAcgBpAHgAIAAgACAAIAAgACAAIAAgACAAIAAgACAAIAAgACAALQAgAEkAbgBwAHUAdAAgAG0AYQB0AHIAaQB4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tAGEAdAByAGkAe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tAGEAdAByAGkAeAAsACAAZABlAHAAdABoACwAIAB3AGkAZAB0AGgALAAgAHIAZQBfAHMAaABhAHAAZQBfAGIAeQBfAGMAbwBsAHUAbQBuAD8ALABcAG4AXABuAEwARQBUACgAXABuACAAIAAgACAALwAvACAAQgBsAG8AYwBrACAAZwByAGkAZAAgAGQAaQBtAGUAbgBzAGkAbwBuAHMAXABuACAAIAAgACAAeAAsACAAIAAgACAAIAAgACAAIAAgACAAIAAgACAAUgBPAFUATgBEAFUAUAAoAFIATwBXAFMAKABtAGEAdAByAGkAeAApACAALwAgAGQAZQBwAHQAaAAsACAAMAApACwAIAAgACAAIAAgAC8ALwAgAGIAbABvAGMAawAgAHIAbwB3AHMAXABuACAAIAAgACAAeQAsACAAIAAgACAAIAAgACAAIAAgACAAIAAgACAAUgBPAFUATgBEAFUAUAAoAEMATwBMAFUATQBOAFMAKABtAGEAdAByAGkAe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tAGEAdAByAGkAeAAsACAAcgBvAHcAXwBpAG4AZABpAGMAZQBzACwAIABjAG8AbABfAGkAbgBkAGkAYwBlAHMAKQAsAFwAbgBcAG4AIAAgACAAIAAvAC8AIABPAHAAdABpAG8AbgBhAGwAIABjAG8AbAB1AG0AbgARIHcAaQBzAGUAIAByAGUAcwBoAGEAcABlAFwAbgAgACAAIAAgAHIAZQBzAHUAbAB0ACwAIAAgACAAIAAgACAAIAAgAEkARgAoAHIAZQBfAHMAaABhAHAAZQBfAGIAeQBfAGMAbwBsAHUAbQBuAD8ALAAgAFQAUgBBAE4AUwBQAE8AUwBFACgAcgBlAHMAaABhAHAAZQBkACkALAAgAHIAZQBzAGgAYQBwAGUAZAApACwAXABuAFwAbgAgACAAIAAgAHIAZQBzAHUAbAB0AFwAbgApACkAKQA7AFwAbgBcAG4AXABuAFwAbgAvACoAIABbAEcAQQARIEMATwBSAEUAXQAgAC0ALQAtAC0ALQAtAC0ALQAtAC0ALQAtAC0ALQAtAC0ALQAtAC0ALQAtAC0ALQAtAC0ALQAtAC0ALQAtAC0ALQAtAC0ALQAtAC0ALQAtAC0ALQAtAC0ALQAtAC0ALQAtAC0ALQAtAC0ALQAtAC0ALQAtAC0ALQAtAC0ALQAtAC0ALQAtAC0ALQAtAC0AXABuAEYAdQBuAGMAdABpAG8AbgA6ACAAIAAgACAAIABWAGEAbABpAGQAYQB0AGUAQgBsAG8AYwBrAE0AYQBwALsDXABuAEMAYQB0AGUAZwBvAHIAeQA6ACAAIAAgACAAIABHAHIAaQBkACAAQQBsAGcAZQBiAHIAYQ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bABvAGMAawBNAGEAcAC7Ay4AIABFAG4AcwB1AHIAZQBzACAAdABoAGUAIABtAGEAdAByAGkAe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bQBhAHQAcgBpAHgAIABjAGwAZQBhAG4AbAB5AC4AXABuAFwAbgBQAGEAcgBhAG0AZQB0AGUAcgBzADoAXABuACAAIAAgACAAbQBhAHQAcgBpAHgAIAAgACAAIAAgACAAIAAgACAAIAAgACAAIAAgACAALQAgAEkAbgBwAHUAdAAgAG0AYQB0AHIAaQB4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0AYQB0AHIAaQB4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bQBhAHQAcgBpAHgALABcAG4AIAAgACAAIABkAGUAcAB0AGgALABcAG4AIAAgACAAIAB3AGkAZAB0AGgALABcAG4AIAAgACAAIAByAGUAXwBzAGgAYQBwAGUAXwBiAHkAXwBjAG8AbAB1AG0AbgA/ACwAXABuACAAIAAgACAAbwBuAF8AdgBhAGwAaQBkACwAXABuAFwAbgAgACAAIAAgAC8ALwAgAE0AdQBzAHQAIABiAGUAIABhAG4AIABhAHIAcgBhAHkAXABuACAAIAAgACAASQBGACgATgBPAFQAKABUAFkAUABFACgAbQBhAHQAcgBpAHgAKQAgAD0AIAA2ADQAKQAsAFwAIgAjAE0AQQBUAFIASQBYACEAXAAiACwAXABuAFwAbgAgACAAIAAgAC8ALwAgAFMAcABpAGwAbAARIHIAaQBzAGsAIAB3AGgAZQBuACAAcgBlAHMAaABhAHAAaQBuAGcAIABiAHkAIABjAG8AbAB1AG0AbgBcAG4AIAAgACAAIABJAEYAKAAoAHIAZQBfAHMAaABhAHAAZQBfAGIAeQBfAGMAbwBsAHUAbQBuAD8AKQAgACoAIABcAG4AIAAgACAAIAAgACAAIAAoAFIATwBXAFMAKABtAGEAdAByAGkAeAApACAAKgAgAEMATwBMAFUATQBOAFMAKABtAGEAdAByAGkAeAApACAALwAgACgAdwBpAGQAdABoACAAKgAgAGQAZQBwAHQAaAApAF4AMgAgAD4AIAAxADYAMwA4ADQAKQAsAFwAIgAjAFMAUABJAEwATAAtAFIASQBTAEsAIQBcACIALABcAG4AXABuACAAIAAgACAALwAvACAATQB1AHMAdAAgAHQAaQBsAGUAIABjAGwAZQBhAG4AbAB5AFwAbgAgACAAIAAgAEkARgAoACgATQBPAEQAKABSAE8AVwBTACgAbQBhAHQAcgBpAHgAKQAsACAAZABlAHAAdABoACkAIAA8AD4AIAAwACkAIAArACgATQBPAEQAKABDAE8ATABVAE0ATgBTACgAbQBhAHQAcgBpAHgAKQAsACAAdwBpAGQAdABoACkAIAA8AD4AIAAwACkALABcACIAIwBCAEwATwBDAEsAIABNAEkAUwBNAEEAVABDAEgAIQBcACIALABcAG4AXABuACAAIAAgACAALwAvACAAQgBsAG8AYwBrACAAcwBpAHoAZQAgAG0AdQBzAHQAIABiAGUAIAB2AGEAbABpAGQAXABuACAAIAAgACAASQBGACgATwBSACgAQQBOAEQAKAB3AGkAZAB0AGgAIAA9ACAAMQAsACAAZABlAHAAdABoACAAPQAgADEAKQAsAGQAZQBwAHQAaAAgAD4AIABSAE8AVwBTACgAbQBhAHQAcgBpAHgAKQAsAFwAbgAgACAAIAAgACAAIAAgACAAIAAgACAAIAAgACAAdwBpAGQAdABoACAAPgAgAEMATwBMAFUATQBOAFMAKABtAGEAdAByAGkAe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cwBjAGEAbABhAHIAcwAgAGEAbgBkACAAMQBEACAAYQByAHIAYQB5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YQBuAGQAIAAxAEQAIABpAG4AcAB1AHQAcwAgAHQAbwAgAGUAbgBmAG8AcgBjAGUAIABzAHQAcgBpAGMAdAAgADIARAAgAGcAZQBvAG0AZQB0AHIAeQAuAFwAbgAtAC0ALQAtAC0ALQAtAC0ALQAtAC0ALQAtAC0ALQAtAC0ALQAtAC0ALQAtAC0ALQAtAC0ALQAtAC0ALQAtAC0ALQAtAC0ALQAtAC0ALQAtAC0ALQAtAC0ALQAtAC0ALQAtAC0ALQAtAC0ALQAtAC0ALQAtAC0ALQAtAC0ALQAtAC0ALQAtAC0ALQAtAC0ALQAtAC0ALQAtAC0ALQAqAC8AXABuAFwAbgBUAGUAcwBzAGUAbABsAGEAdABlALsDIAA9AFwAbgBMAEEATQBCAEQAQQAoAFwAbgAgACAAIAAgAHAAYQB0AHQAZQByAG4ALABcAG4AIAAgACAAIABuAGUAdwBfAGgAZQBpAGcAaAB0ACwAXABuACAAIAAgACAAbgBlAHcAXwB3AGkAZAB0AGgALABcAG4ATABFAFQAKABcAG4AIAAgACAAIAAvAC8AIABQAGEAdAB0AGUAcgBuACAAZABpAG0AZQBuAHMAaQBvAG4AcwBcAG4AIAAgACAAIABoACwAIAAgACAAIAAgACAAIAAgACAAIAAgACAAIAAgAFIATwBXAFMAKABwAGEAdAB0AGUAcgBuACkALABcAG4AIAAgACAAIAB3ACwAIAAgACAAIAAgACAAIAAgACAAIAAgACAAIAAgAEMATwBMAFUATQBOAFMAKABwAGEAdAB0AGUAcgBuACkALABcAG4AXABuACAAIAAgACAALwAvACAASQBuAHYAYQBsAGkAZAAgAHMAaABhAHAAZQBzAFwAbgAgACAAIAAgAEkAcwBTAGMAYQBsAGEAcgA/ACwAIAAgACAAIAAgACAAQQBOAEQAKABoACAAPQAgADEALAAgAHcAIAA9ACAAMQApACwAXABuACAAIAAgACAASQBzADEARAA/ACwAIAAgACAAIAAgACAAIAAgACAAIABYAE8AUg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SQBGACgASQBzADEARAA/ACwAIABcACIAIwAxAEQALQBBAFIAUgBBAFkAIQBcACIALABcAG4AXABuACAAIAAgACAAIAAgACAAIAAgACAAIAAgAEkARgAoAE4AbwBDAGgAYQBuAGcAZQA/ACwAIABwAGEAdAB0AGUAcgBuACwAXABuAFwAbgAgACAAIAAgACAAIAAgACAAIAAgACAAIAAgACAAIAAgAEkARgAoAEkAbgB2AGEAbABpAGQASABXAD8ALAAgAFwAIgAjAE4ARQBXAC0ASABFAEkARwBIAFQALwBXAEkARABUAEgAIQBcACIALABcAG4AXABuAEwARQBUACgAXABuACAAIAAgACAALwAvACAATwB1AHQAcAB1AHQAIABnAGUAbwBtAGUAdAByAHkAIABwAGwAYQBjAGUAaABvAGwAZABlAHIAXABuACAAIAAgACAAZQB4AHAAXwBzAGgAYQBwAGUALAAgACAAIAAgAEUAWABQAEEATgBEACgAMAAsACAAbgBlAHcAXwBoAGUAaQBnAGgAdAAsACAAbgBlAHcAXwB3AGkAZAB0AGgAKQAsAFwAbgBcAG4AIAAgACAAIAAvAC8AIABNAG8AZAB1AGwAYQByACAAcgBvAHcALwBjAG8AbAB1AG0AbgAgAGkAbgBkAGkAYwBlAHMAXABuACAAIAAgACAAaQAsACAAIAAgACAAIAAgACAAIAAgACAAIAAgAFQARwByAGkAZAC7AygAZQB4AHAAXwBzAGgAYQBwAGUALAAgAGgAKQAsAFwAbgAgACAAIAAgAGoALAAgACAAIAAgACAAIAAgACAAIAAgACAAIABUAEcAcgBpAGQAuwMoAGUAeABwAF8AcwBoAGEAcABlACwAIAB3ACwAIAAxACkALABcAG4AXABuACAAIAAgACAALwAvACAAVABlAHMAcwBlAGwAbABhAHQAZQBkACAAbwB1AHQAcAB1AHQAXABuACAAIAAgACAAdABlAHMAcwAsACAAIAAgACAAIAAgACAAIAAgAEkATgBEAEUAWAAoAHAAYQB0AHQAZQByAG4ALAAgAGkALAAgAGoAKQAsAFwAbgBcAG4AIAAgACAAIAB0AGUAcwBzAFwAbgApACkAKQApACkAKQApADsAXABuAFwAbgBcAG4AXABuAC8AKgAgAFsARwBSAF0AIAAtAC0ALQAtAC0ALQAtAC0ALQAtAC0ALQAtAC0ALQAtAC0ALQAtAC0ALQAtAC0ALQAtAC0ALQAtAC0ALQAtAC0ALQAtAC0ALQAtAC0ALQAtAC0ALQAtAC0ALQAtAC0ALQAtAC0ALQAtAC0ALQAtAC0ALQAtAC0ALQAtAC0ALQAtAC0ALQAtAC0ALQAtAC0ALQAtAC0ALQBcAG4AIwAjACAAMAA2ACAAFCAgAEcAcgBpAGQAIABBAG4AYQBsAHkAdABpAGMAcw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RwByAGkAZAAgAEEAbgBhAGwAeQB0AGkAYwBzACAAaQBzACAAYQAgAGMAbwBsAGwAZQBjAHQAaQBvAG4AIABvAGYAIABmAHUAbgBjAHQAaQBvAG4AcwAgAGYAbwByACAAZQBsAGUAZwBhAG4AdAAgAHMAZQBxAHUAZQBuAGMAaQBuAGcALABcAG4AIAAgACAAIABjAGEAdABlAGcAbwByAGkAYwBhAGwAIABhAG4AYQBsAHkAcwBpAHMALAAgAG4AZQBpAGcAaABiAG8AcgBoAG8AbwBkABEgYgBhAHMAZQBkACAAYQBnAGcAcgBlAGcAYQB0AGkAbwBuACwAIABhAG4AZAAgAHMAdABhAHQAaQBzAHQAaQBjAHMALgBcAG4AIAAgACAAIABUAGgAaQBzACAAbQBvAGQAdQBsAGUAIABlAHgAdABlAG4AZABzACAAdABoAGUAIABjAGEAcABhAGIAaQBsAGkAdABpAGUAcwAgAG8AZgAgAG4AYQB0AGkAdgBlACAARQB4AGMAZQBsACAAZgB1AG4AYwB0AGkAbwBuAHMAXABuACAAIAAgACAAKABlAC4AZwAuACwAIABNAG8AZABlALsDIABjAGEAbgAgAHIAZQB0AHUAcgBuACAAdABoAGUAIABtAG8AcwB0ACAAZgByAGUAcQB1AGUAbgB0ACAAbgB1AG0AZQByAGkAYwBhAGwAIABvAHIAIAB0AGUAeAB0ACAAdgBhAGwAdQBlAHMAKQAuAFwAbgBcAG4AIAAgACAAIABTAHUAYgARIGMAYQB0AGUAZwBvAHIAaQBlAHMAOgBcAG4AXABuACAAIAAgACAAIAAgACAAIAAiICAAUwBlAHEAdQBlAG4AYwBpAG4AZwBcAG4AIAAgACAAIAAgACAAIAAgACAAIAAgACAAIAAgAFMAdAByAGUAYQBrALsDLAAgAEMAbwB1AG4AdABkAG8AdwBuALsDXABuAFwAbgAgACAAIAAgACAAIAAgACAAIiAgAEMAYQB0AGUAZwBvAHIAaQBjAGEAbAAgAEEAbgBhAGwAeQBzAGkAcwBcAG4AIAAgACAAIAAgACAAIAAgACAAIAAgACAAIAAgAEIAeQBEAGkAYQBnALsDLAAgAEQAaQBhAGcATQBhAHAAuwMsACAARABpAGEAZwBJAG4AZABlAHgAuwMsACAAUABhAGkAcgB3AGkAcwBlALsDLAAgAEcAcgBvAHUAcABiAHkAQgBpAG4AuwMsACAARwByAG8AdQBwAGIAeQBEAGEAdABlALsDLAAgAFAAaQB2AG8AdABiAHkAQwBhAHQ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0AYQB0AHIAaQB4AC4AIABPAHAAdABpAG8AbgBhAGwAIAByAG8AdwARIHcAaQBzAGUAIABzAHQAYQBjAGsAaQBuAGcAIABpAHMAXABuACAAIAAgACAAcwB1AHAAcABvAHIAdABlAGQALgBcAG4AXABuAFAAYQByAGEAbQBlAHQAZQByAHMAOgBcAG4AIAAgACAAIABhAHIAcgBhAHkAIAAgACAAIAAgACAAIAAgACAAIAAgACAAIAAgACAALQAgADIARAAgAGkAbgBwAHUAdAAgAGEAcgByAGEAeQAuAFwAbgAgACAAIAAgAFsAcgBvAHcAXwB3AGkAcwBlAF8AcwB0AGEAYwBrAD8AXQAgACAAIAAtACAASQBmACAAVABSAFUARQAsACAAZABpAGEAZwBvAG4AYQBsAHMAIABhAHIAZQAgAHMAdABhAGMAawBlAGQAIAB2AGUAcgB0AGkAYwBhAGwAbAB5AC4AXABuAFwAbgBOAG8AdABlAHMAOgBcAG4AIAAgACAAIAAiICAARQBxAHUAaQB2AGEAbABlAG4AdAAgAHQAbwAgAGMAYQBsAGwAaQBuAGcAIABCAHkARABpAGEAZwC7AygAYQByAHIAYQB5ACwAIAAsACAAcgBvAHcAXwB3AGkAcwBlAF8AcwB0AGEAYwBrAD8AKQAuAFwAbgAtAC0ALQAtAC0ALQAtAC0ALQAtAC0ALQAtAC0ALQAtAC0ALQAtAC0ALQAtAC0ALQAtAC0ALQAtAC0ALQAtAC0ALQAtAC0ALQAtAC0ALQAtAC0ALQAtAC0ALQAtAC0ALQAtAC0ALQAtAC0ALQAtAC0ALQAtAC0ALQAtAC0ALQAtAC0ALQAtAC0ALQAtAC0ALQAtAC0ALQAtAC0ALQAqAC8AXABuAFwAbgBEAGkAYQBnAE0AYQBwALsDIAA9AFwAbgBMAEEATQBCAEQAQQAoAFwAbgAgACAAIAAgAGEAcgByAGEAeQAsAFwAbgAgACAAIAAgAFsAcgBvAHcAXwB3AGkAcwBlAF8AcwB0AGEAYwBrAD8AXQAsAFwAbgAgACAAIAAgAEIAeQBEAGkAYQBnALsDKABhAHIAcgBhAHkALAAgACwAIAByAG8AdwBfAHcAaQBzAGUAXwBzAHQAYQBjAGsAPwApACkAOwBcAG4AXABuAFwAbgBcAG4ALwAqACAAWwBHAFIAMAA1AF0AIAAtAC0ALQAtAC0ALQAtAC0ALQAtAC0ALQAtAC0ALQAtAC0ALQAtAC0ALQAtAC0ALQAtAC0ALQAtAC0ALQAtAC0ALQAtAC0ALQAtAC0ALQAtAC0ALQAtAC0ALQAtAC0ALQAtAC0ALQAtAC0ALQAtAC0ALQAtAC0ALQAtAC0ALQAtAC0ALQAtAC0ALQAtAC0ALQAtAFwAbgBGAHUAbgBjAHQAaQBvAG4AOgAgACAAIAAgACAARABpAGEAZwBJAG4AZABlAHg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RQB4AHQAcgBhAGMAdABzACAAYQAgAHMAaQBuAGcAbABlACAAZABpAGEAZwBvAG4AYQBsACAAbwByACAAYQBuAHQAaQARIGQAaQBhAGcAbwBuAGEAbAAgAHYAZQBjAHQAbwByACAAZgByAG8AbQAgAGEAIAAyAEQAIABhAHIAcgBhAHkALgBcAG4AIAAgACAAIABQAG8AcwBpAHQAaQB2AGUAIABjAG8AbABfAGkAbgBkAGUAeAAgAHMAZQBsAGUAYwB0AHMAIABhACAAcwB0AGEAbgBkAGEAcgBkACAAKABTAEUAESBkAGkAcgBlAGMAdABpAG8AbgApACAAZABpAGEAZwBvAG4AYQBsAC4AXABuACAAIAAgACAATgBlAGcAYQB0AGkAdgBlACAAYwBvAGwAXwBpAG4AZABlAHgAIABzAGUAbABlAGMAdABzACAAYQBuACAAYQBuAHQAaQARIGQAaQBhAGcAbwBuAGEAbAAgACgAUwBXABEgZABpAHIAZQBjAHQAaQBvAG4AKQAuAFwAbgBcAG4AUABhAHIAYQBtAGUAdABlAHIAcwA6AFwAbgAgACAAIAAgAGEAcgByAGEAeQAgACAAIAAgACAAIAAgAC0AIAAyAEQAIABpAG4AcAB1AHQAIABhAHIAcgBhAHkAIAAoAHMAYwBhAGwAYQByAHMAIABuAG8AdAAgAGEAYwBjAGUAcAB0AGUAZAApAC4AXABuACAAIAAgACAAYwBvAGwAXwBpAG4AZABlAHgAIAAgACAALQAgAFMAdABhAHIAdABpAG4AZwAgAGMAbwBsAHUAbQBuACAAaQBuAGQAZQB4AC4AIABOAGUAZwBhAHQAaQB2AGUAIAB2AGEAbAB1AGUAcwAgAGkAbgBkAGkAYwBhAHQAZQBcAG4AIAAgACAAIAAgACAAIAAgACAAIAAgACAAIAAgACAAIAAgACAAIABhAG4AdABpABEgZABpAGEAZwBvAG4AYQBsACAAZQB4AHQAcgBhAGMAdABpAG8AbgAuAFwAbgBcAG4ATgBvAHQAZQBzADoAXABuACAAIAAgACAAIiAgAE8AdQB0AHAAdQB0ACAAaQBzACAAYQBsAHcAYQB5AHMAIABhACAAMQBEACAAdgBlAGMAdABvAHIAIABvAGYAIABsAGUAbgBnAHQAaAAgAGsAIAA9ACAAZABpAGEAZwBvAG4AYQBsACAAbABlAG4AZwB0AGgALgBcAG4ALQAtAC0ALQAtAC0ALQAtAC0ALQAtAC0ALQAtAC0ALQAtAC0ALQAtAC0ALQAtAC0ALQAtAC0ALQAtAC0ALQAtAC0ALQAtAC0ALQAtAC0ALQAtAC0ALQAtAC0ALQAtAC0ALQAtAC0ALQAtAC0ALQAtAC0ALQAtAC0ALQAtAC0ALQAtAC0ALQAtAC0ALQAtAC0ALQAtAC0ALQAtAC0AKgAvAFwAbgBcAG4ARABpAGEAZwBJAG4AZABlAHgAuwMgAD0AXABuAEwAQQBNAEIARABBACgAXABuACAAIAAgACAAYQByAHIAYQB5ACwAXABuACAAIAAgACAAYwBvAGwAXwBpAG4AZABlAHgALABcAG4AXABuAFYAYQBsAGkAZABhAHQAZQBEAGkAYQBnALsDKABhAHIAcgBhAHkALAAgAGMAbwBsAF8AaQBuAGQAZQB4ACwAIAAsACAALABcAG4AXABuAEwARQBUACgAXABuACAAIAAgACAALwAvACAARABpAG0AZQBuAHMAaQBvAG4AcwBcAG4AIAAgACAAIABoACwAIAAgACAAIAAgACAAIABSAE8AVwBTACgAYQByAHIAYQB5ACkALABcAG4AIAAgACAAIAB3ACwAIAAgACAAIAAgACAAIABDAE8ATABVAE0ATgBTACgAYQByAHIAYQB5ACkALABcAG4AXABuACAAIAAgACAALwAvACAARABpAHIAZQBjAHQAaQBvAG4AOgAgACsAMQAgAD0AIABTAEUALAAgABMgMQAgAD0AIABTAFcAXABuACAAIAAgACAAcwAsACAAIAAgACAAIAAgACAAUwBJAEcATgAoAGMAbwBsAF8AaQBuAGQAZQB4ACkALABcAG4AXABuACAAIAAgACAALwAvACAARABpAGEAZwBvAG4AYQBsACAAbABlAG4AZwB0AGgAXABuACAAIAAgACAAawAsACAAIAAgACAAIAAgACAASQBGACgAcwAgAD4AIAAwACwATQBJAE4AKABoACwAIAB3ACAAKwAgADEAIAAtACAAYwBvAGwAXwBpAG4AZABlAHgAKQAsAFwAbgAgACAAIAAgACAAIAAgACAAIAAgACAAIAAgACAAIAAgACAAIAAgACAAIAAgAE0ASQBOACgAaAAsACAAQQBCAFMAKABjAG8AbABfAGkAbgBkAGUAeAApACkAKQAsAFwAbgBcAG4AIAAgACAAIAAvAC8AIABTAHQAYQByAHQAaQBuAGcAIABjAG8AbAB1AG0AbgBcAG4AIAAgACAAIABzAHQAYQByAHQALAAgACAAIABJAEYAKABzACAAPAAgADAALAAgAEEAQgBTACgAYwBvAGwAXwBpAG4AZABlAHgAKQAsACAAYwBvAGwAXwBpAG4AZABlAHgAKQAsAFwAbgBcAG4AIAAgACAAIAAvAC8AIABEAGUAZgBlAHIAcgBlAGQAIABpAG4AZABlAHgAIABnAGUAbgBlAHIAYQB0AG8AcgBzAFwAbgAgACAAIAAgAHgALAAgACAAIAAgACAAIAAgAEwAQQBNAEIARABBACgAUwBFAFEAVQBFAE4AQwBFACgAawApACkALABcAG4AIAAgACAAIAB5ACwAIAAgACAAIAAgACAAIABMAEEATQBCAEQAQQAoAFMARQBRAFUARQBOAEMARQAoAGsALAAgACwAIABzAHQAYQByAHQALAAgAHMAKQApACwAXABuAFwAbgAgACAAIAAgAC8ALwAgAEUAeAB0AHIAYQBjAHQAIABkAGkAYQBnAG8AbgBhAGwAXABuACAAIAAgACAAZABlAGwAaQB2AGUAcgAsACAASQBOAEQARQBYACgAYQByAHIAYQB5ACwAIAB4ACgAKQAsACAAeQAoACkAKQAsAFwAbgBcAG4AIAAgACAAIABkAGUAbABpAHYAZQBy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ABpAGEAZw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5AEQAaQBhAGcAuwMsACAARABpAGEAZwBNAGEAcAC7AywAIABhAG4AZAAgAEQAaQBhAGcASQBuAGQAZQB4ALsDLgAgAEUAbgBzAHUAcgBlAHMAIAB0AGgAYQB0ACAAdABoAGUAXABuACAAIAAgACAAYQByAHIAYQB5ACAAaQBzACAAYQAgAHYAYQBsAGkAZAAgADIARAAgAHMAdAByAHUAYwB0AHUAcgBlACwAIAB0AGgAYQB0ACAAYwBvAGwAdQBtAG4AIABpAG4AZABpAGMAZQBzACAAKAB3AGgAZQBuACAAcwB1AHAAcABsAGkAZQBkACkAIABhAHIAZQBcAG4AIAAgACAAIAB3AGkAdABoAGkAbgAgAGIAbwB1AG4AZABzACwAIABhAG4AZAAgAHQAaABhAHQAIABhAG4AeQAgAHMAdQBwAHAAbABpAGUAZAAgAGYAdQBuAGMAdABpAG8AbgAgAGkAcwAgAGEAIAB2AGEAbABpAGQAIABMAEEATQBCAEQAQQAvAEUAVABBAFwAbgAgACAAIAAgAGYAdQBuAGMAdABpAG8AbgAuAFwAbgBcAG4AUABhAHIAYQBtAGUAdABlAHIAcwA6AFwAbgAgACAAIAAgAGEAcgByAGEAeQAgACAAIAAgACAAIAAgACAAIAAgACAAIAAgACAAIAAtACAAMgBEACAAaQBuAHAAdQB0ACAAYQByAHIAYQB5AC4AXABuACAAIAAgACAAWwBjAG8AbABfAGkAbgBkAGUAeABdACAAIAAgACAAIAAgACAAIAAgAC0AIABTAHQAYQByAHQAaQBuAGcAIABjAG8AbAB1AG0AbgAgAGkAbgBkAGUAeAAgACgARABpAGEAZwBJAG4AZABlAHgAuwMgAG8AbgBsAHkAKQAuAFwAbgAgACAAIAAgAFsAZgB1AG4AYwB0AGkAbwBuAF0AIAAgACAAIAAgACAAIAAgACAAIAAtACAARQBUAEEAIABvAHIAIABMAEEATQBCAEQAQQAgACgAQgB5AEQAaQBhAGcAuwMgAG8AbgBsAHkAKQAuAFwAbgAgACAAIAAgAFsAcgBvAHcAXwB3AGkAcwBlAF8AcwB0AGEAYwBrAD8AXQAgACAAIAAtACAATwByAGkAZQBuAHQAYQB0AGkAbwBuACAAZgBsAGEAZwAgACgAQgB5AEQAaQBhAGcAuwMgAC8AIABEAGkAYQBnAE0AYQBwALsDKQAuAFwAbgAgACAAIAAgAFsAbwBuAF8AdgBhAGwAaQBkAF0AIAAgACAAIAAgACAAIAAgACAAIAAtACAARQB4AHAAcgBlAHMAcwBpAG8AbgAgAHQAbwAgAGUAdgBhAGwAdQBhAHQAZQAgAHcAaABlAG4AIABpAG4AcAB1AHQAcwAgAGEAcgBlACAAdgBhAGwAaQBkAC4AXABuAFwAbgBOAG8AdABlAHMAOgBcAG4AIAAgACAAIAAiICAAUwBjAGEAbABhAHIAcwAgAGEAbgBkACAAbgBvAG4AESBhAHIAcgBhAHkAcwAgAGEAcgBlACAAcgBlAGoAZQBjAHQAZQBkAC4AXABuACAAIAAgACAAIiAgAGMAbwBsAF8AaQBuAGQAZQB4ACAAPQAgADAAIABpAHMAIABpAG4AdgBhAGwAaQBkACAAYgB5ACAAZABlAHMAaQBnAG4ALgBcAG4AIAAgACAAIAAiICAARgB1AG4AYwB0AGkAbwBuACAAdgBhAGwAaQBkAGEAdABpAG8AbgAgAHUAcwBlAHMAIABhACAAcwBhAGYAZQAgAFQAWQBQAEUAESBiAGEAcwBlAGQAIABpAG4AdgBvAGMAYQB0AGkAbwBuACAAdABlAHMAdAAuAFwAbgAgACAAIAAgACIgIABSAG8AdQB0AGkAbgBnACAAbABvAGcAaQBjACAAZABlAHQAZQByAG0AaQBuAGUAcwAgAHcAaABpAGMAaAAgAG8AcABlAHIAYQB0AG8AcgAgAGkAcwAgAGIAZQBpAG4AZwAgAHYAYQBsAGkAZABhAHQAZQBkAC4AXABuAC0ALQAtAC0ALQAtAC0ALQAtAC0ALQAtAC0ALQAtAC0ALQAtAC0ALQAtAC0ALQAtAC0ALQAtAC0ALQAtAC0ALQAtAC0ALQAtAC0ALQAtAC0ALQAtAC0ALQAtAC0ALQAtAC0ALQAtAC0ALQAtAC0ALQAtAC0ALQAtAC0ALQAtAC0ALQAtAC0ALQAtAC0ALQAtAC0ALQAtAC0ALQAtACoALwBcAG4AXABuAFYAYQBsAGkAZABhAHQAZQBEAGkAYQBnALsDIAA9AFwAbgBMAEEATQBCAEQAQQAoAFwAbgAgACAAIAAgAGEAcgByAGEAeQAsAFwAbgAgACAAIAAgAFsAYwBvAGwAXwBpAG4AZABlAHgAXQAsAFwAbgAgACAAIAAgAFsAZgB1AG4AYwB0AGkAbwBuAF0ALABcAG4AIAAgACAAIABbAHIAbwB3AF8AdwBpAHMAZQBfAHMAdABhAGMAawA/AF0ALABcAG4AIAAgACAAIABbAG8AbgBfAHYAYQBsAGkAZABdACwAXABuAEwARQBUACgAXABuACAAIAAgACAALwAvACAALQAtAC0AIABBAHIAcgBhAHkAIAB2AGEAbABpAGQAYQB0AGkAbwBuACAALQAtAC0AXABuACAAIAAgACAASQBzAEEAcgByAGEAeQA/ACwAIAAgACAAIAAgACAAIAAgACAAIAAgACAAIAAgACAAVABZAFAARQAoAGEAcgByAGEAeQApACAAPQAgADYANAAsAFwAbgAgACAAIAAgAE4AbwB0AF8AQQByAHIAYQB5ACwAIAAgACAAIAAgACAAIAAgACAAIAAgACAAIAAgAE4ATwBUACgASQBzAEEAcgByAGEAeQA/ACkALABcAG4AXABuACAAIAAgACAALwAvACAALQAtAC0AIABDAG8AbAB1AG0AbgAgAGkAbgBkAGUAeAAgAHYAYQBsAGkAZABhAHQAaQBvAG4AIAAoAEQAaQBhAGcASQBuAGQAZQB4ALsDIABvAG4AbAB5ACkAIAAtAC0ALQBcAG4AIAAgACAAIABOAG8AXwBDAG8AbABfAEkAbgBkAGUAeAAsACAAIAAgACAAIAAgACAAIAAgACAAIABJAFMATwBNAEkAVABUAEUARAAoAGMAbwBsAF8AaQBuAGQAZQB4ACkALABcAG4AIAAgACAAIABDAG8AbABJAG4AZABlAHgAXwBJAG4AYwBsAHUAZABlAGQALAAgACAAIAAgACAAIABOAE8AVAAoAE4AbwBfAEMAbwBsAF8ASQBuAGQAZQB4ACkALABcAG4AIAAgACAAIABOAG8AdABfAFYAYQBsAGkAZABfAEMAbwBsAEkAbgBkAGUAeAA/ACwAIAAgACAAIABOAE8AVAAoAEEATgBEACgAYwBvAGwAXwBpAG4AZABlAHgAIAA8AD4AIAAwACwAXABuACAAIAAgACAAIAAgACAAIAAgACAAIAAgACAAIAAgACAAIAAgACAAIAAgACAAIAAgACAAIAAgACAAIAAgACAAIAAgACAAIAAgAEEAQgBTACgAYwBvAGwAXwBpAG4AZABlAHgAKQAgADwAPQAgAEMATwBMAFUATQBOAFMAKABhAHIAcgBhAHkAKQApACkALABcAG4AXABuACAAIAAgACAALwAvACAALQAtAC0AIABGAHUAbgBjAHQAaQBvAG4AIAB2AGEAbABpAGQAYQB0AGkAbwBuACAAKABCAHkARABpAGEAZwC7AyAAbwBuAGwAeQApACAALQAtAC0AXABuACAAIAAgACAATgBvAF8ARgB1AG4AYwB0AGkAbwBuACwAIAAgACAAIAAgACAAIAAgACAAIAAgACAASQBTAE8ATQBJAFQAVABFAEQAKABmAHUAbgBjAHQAaQBvAG4AKQAsAFwAbgAgACAAIAAgAEYAdQBuAGMAdABpAG8AbgBfAEkAbgBjAGwAdQBkAGUAZAAsACAAIAAgACAAIAAgAE4ATwBUACgATgBvAF8ARgB1AG4AYwB0AGkAbwBuACkALABcAG4AXABuACAAIAAgACAALwAvACAAUwBhAGYAZQAgAGYAdQBuAGMAdABpAG8AbgAgAHYAYQBsAGkAZABhAHQAaQBvAG4AOgAgAGUAbgBzAHUAcgBlACAAZgB1AG4AYwB0AGkAbwBuACAAaQBzACAAYwBhAGwAbABhAGIAbABlAFwAbgAgACAAIAAgAEkAbgB2AGEAbABpAGQAXwBGAHUAbgBjAHQAaQBvAG4APwAsACAAIAAgACAAIAAgAEEATgBEACgARgB1AG4AYwB0AGkAbwBuAF8ASQBuAGMAbAB1AGQAZQBkACwAXABuACAAIAAgACAAIAAgACAAIAAgACAAIAAgACAAIAAgACAAIAAgACAAIAAgACAAIAAgACAAIAAgACAAIAAgACAAIABJAFMARQBSAFIATwBSACgAQgBZAFIATwBXACgAewAxACwAMQB9ACwAIABmAHUAbgBjAHQAaQBvAG4AKQApACkALABcAG4AXABuACAAIAAgACAALwAvACAALQAtAC0AIABPAHIAaQBlAG4AdABhAHQAaQBvAG4AIABmAGwAYQBnACAAKABEAGkAYQBnAE0AYQBwALsDIAAvACAAQgB5AEQAaQBhAGcAuwMpACAALQAtAC0AXABuACAAIAAgACAAUgBvAHcAVwBpAHMAZQBTAHQAYQBjAGsAPwAsACAAIAAgACAAIAAgACAAIAAgACAATgBPAFQAKABJAFMATwBNAEkAVABUAEUARAAoAHIAbwB3AF8AdwBpAHMAZQBfAHMAdABhAGMAawA/ACkAKQAsAFwAbgBcAG4AIAAgACAAIAAvAC8AIAAtAC0ALQAgAEQAZQB0AGUAcgBtAGkAbgBlACAAdwBoAGkAYwBoACAAbwBwAGUAcgBhAHQAbwByACAAaQBzACAAYgBlAGkAbgBnACAAdgBhAGwAaQBkAGEAdABlAGQAIAAtAC0ALQBcAG4AIAAgACAAIABJAHMARABpAGEAZwBJAG4AZABlAHgAPwAsACAAIAAgACAAIAAgACAAIAAgACAAIABDAG8AbABJAG4AZABlAHgAXwBJAG4AYwBsAHUAZABlAGQALABcAG4AIAAgACAAIABJAHMAQgB5AEQAaQBhAGcAPwAsACAAIAAgACAAIAAgACAAIAAgACAAIAAgACAAIABBAE4ARAAoAE4AbwBfAEMAbwBsAF8ASQBuAGQAZQB4ACwAIABGAHUAbgBjAHQAaQBvAG4AXwBJAG4AYwBsAHUAZABlAGQAKQAsAFwAbgAgACAAIAAgAEkAcwBEAGkAYQBnAE0AYQBwAD8ALAAgACAAIAAgACAAIAAgACAAIAAgACAAIAAgAEEATgBEACgATgBvAF8AQwBvAGwAXwBJAG4AZABlAHgALAAgAE4AbwBfAEYAdQBuAGMAdABpAG8AbgApACwAXABuAFwAbgAgACAAIAAgAC8ALwAgAC0ALQAtACAATABvAGcAaQBjACAAZwBhAHQAZQBzACAALQAtAC0AXABuACAAIAAgACAALwAvACAARABpAGEAZwBJAG4AZABlAHgAuwNcAG4AIAAgACAAIABnAGEAdABlAF8ARABpAGEAZwBJAG4AZABlAHgALAAgACAAIAAgACAAIAAgACAAIABJAEYAKABOAG8AdABfAEEAcgByAGEAeQAsACAAIAAgACAAIAAgACAAIAAgACAAIABcACIAIwBOAE8AVAAtAEEAUgBSAEEAWQAhAFwAIgAsAFwAbgAgACAAIAAgACAAIAAgACAAIAAgACAAIAAgACAAIAAgACAAIAAgACAAIAAgACAAIAAgACAAIAAgACAAIAAgACAASQBGACgATgBvAHQAXwBWAGEAbABpAGQAXwBDAG8AbABJAG4AZABlAHgAPwAsACAAXAAiACMAQwBPAEwAVQBNAE4ALQBJAE4ARABFAFgAIQBcACIALABcAG4AIAAgACAAIAAgACAAIAAgACAAIAAgACAAIAAgACAAIAAgACAAIAAgACAAIAAgACAAIAAgACAAIAAgACAAIAAgACAAIAAgACAAbwBuAF8AdgBhAGwAaQBkACkAKQAsAFwAbgBcAG4AIAAgACAAIAAvAC8AIABCAHkARABpAGEAZwC7A1wAbgAgACAAIAAgAGcAYQB0AGUAXwBCAHkARABpAGEAZwAsACAAIAAgACAAIAAgACAAIAAgACAAIAAgAEkARgAoAE4AbwB0AF8AQQByAHIAYQB5ACwAIAAgACAAIAAgACAAIAAgACAAIAAgAFwAIgAjAE4ATwBUAC0AQQBSAFIAQQBZACEAXAAiACwAXABuACAAIAAgACAAIAAgACAAIAAgACAAIAAgACAAIAAgACAAIAAgACAAIAAgACAAIAAgACAAIAAgACAAIAAgACAAIABJAEYAKABJAG4AdgBhAGwAaQBkAF8ARgB1AG4AYwB0AGkAbwBuAD8ALAAgAFwAIgAjAEYAVQBOAEMAVABJAE8ATgAhAFwAIgAsAFwAbgAgACAAIAAgACAAIAAgACAAIAAgACAAIAAgACAAIAAgACAAIAAgACAAIAAgACAAIAAgACAAIAAgACAAIAAgACAAIAAgACAAIABvAG4AXwB2AGEAbABpAGQAKQApACwAXABuAFwAbgAgACAAIAAgAC8ALwAgAEQAaQBhAGcATQBhAHAAuwNcAG4AIAAgACAAIABnAGEAdABlAF8ARABpAGEAZwBNAGEAcAAsACAAIAAgACAAIAAgACAAIAAgACAAIABJAEYAKABOAG8AdABfAEEAcgByAGEAeQAsACAAIAAgACAAIAAgACAAIAAgACAAIABcACIAIwBOAE8AVAAtAEEAUgBSAEEAWQAhAFwAIgAsAFwAbgAgACAAIAAgACAAIAAgACAAIAAgACAAIAAgACAAIAAgACAAIAAgACAAIAAgACAAIAAgACAAIAAgACAAIAAgACAAbwBuAF8AdgBhAGwAaQBkACkALABcAG4AXABuACAAIAAgACAALwAvACAALQAtAC0AIABSAG8AdQB0AGUAIAB0AG8AIABjAG8AcgByAGUAYwB0ACAAZwBhAHQAZQAgAC0ALQAtAFwAbgAgACAAIAAgAGQAZQBjAGkAZABlACwAIAAgACAAIAAgACAAIAAgACAAIAAgACAAIAAgACAAIAAgAEkARgAoAEkAcwBEAGkAYQBnAEkAbgBkAGUAeAA/ACwAIABnAGEAdABlAF8ARABpAGEAZwBJAG4AZABlAHgALABcAG4AXABuACAAIAAgACAAIAAgACAAIAAgACAAIAAgACAAIAAgACAAIAAgACAAIAAgACAAIAAgACAAIAAgACAAIAAgACAAIABJAEYAKABJAHMARABpAGEAZwBNAGEAcAA/ACwAIABnAGEAdABlAF8ARABpAGEAZwBNAGEAcAAsAFwAbgBcAG4AIAAgACAAIAAgACAAIAAgACAAIAAgACAAIAAgACAAIAAgACAAIAAgACAAIAAgACAAIAAgACAAIAAgACAAIAAgACAAIAAgACAASQBGACgASQBzAEIAeQBEAGkAYQBnAD8ALAAgAGcAYQB0AGUAXwBCAHkARABpAGEAZwAsAFwAbgBcAG4AIAAgACAAIAAgACAAIAAgACAAIAAgACAAIAAgACAAIAAgACAAIAAgACAAIAAgACAAIAAgACAAIAAgACAAIAAgACAAIAAgACAAIAAgACAAIABcACIAIwBVAE4AUgBPAFUAVABFAEQAIQBcACIAKQApACkALABcAG4AXABuACAAIAAgACAAZABlAGMAaQBkAGUAXABuACkAKQA7AFwAbgBcAG4AXABuAFwAbgAvACoAIABbAEcAUgAwADYAXQAgAC0ALQAtAC0ALQAtAC0ALQAtAC0ALQAtAC0ALQAtAC0ALQAtAC0ALQAtAC0ALQAtAC0ALQAtAC0ALQAtAC0ALQAtAC0ALQAtAC0ALQAtAC0ALQAtAC0ALQAtAC0ALQAtAC0ALQAtAC0ALQAtAC0ALQAtAC0ALQAtAC0ALQAtAC0ALQAtAC0ALQAtAC0ALQAtAC0AXABuAEYAdQBuAGMAdABpAG8AbgA6ACAAIAAgACAAIABQAGEAaQByAHcAaQBz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FAGMAaABvALsDLAAgAFIAZQBzAGkAegBlALsDXABuAFwAbgBEAGUAcwBjAHIAaQBwAHQAaQBvAG4AOgBcAG4AIAAgACAAIABDAHIAZQBhAHQAZQBzACAAdgBlAHIAdABpAGMAYQBsACAAcABhAGkAcgBzACAAZgByAG8AbQAgADEARAAgAGEAbgBkACAAcwBjAGEAbABhAHIAIABpAG4AcAB1AHQAcwAuACAASQBuAHAAdQB0AHMAIABhAHIAZQAgAGYAbABhAHQAdABlAG4AZQBkACAAdwBpAHQAaABcAG4AIAAgACAAIABUAE8AQwBPAEwAIAB0AG8AIABuAG8AcgBtAGEAbABpAHoAZQAgAG8AcgBpAGUAbgB0AGEAdABpAG8AbgAuACAAMgBEACAAYQByAHIAYQB5AHMAIABhAHIAZQAgAHMAdAByAGkAYwB0AGwAeQAgAHAAcgBvAGgAaQBiAGkAdABlAGQALgBcAG4AXABuAFAAYQByAGEAbQBlAHQAZQByAHMAOgBcAG4AIAAgACAAIAB2AGUAYwB0AG8AcgBfADEAIAAgACAAIAAtACAAMQBEACAAdgBlAGMAdABvAHIAIABvAHIAIABzAGMAYQBsAGEAcgAuAFwAbgAgACAAIAAgAHYAZQBjAHQAbwByAF8AMgAgACAAIAAgAC0AIAAxAEQAIAB2AGUAYwB0AG8AcgAgAG8AcgAgAHMAYwBhAGwAYQByAC4AXABuAC0ALQAtAC0ALQAtAC0ALQAtAC0ALQAtAC0ALQAtAC0ALQAtAC0ALQAtAC0ALQAtAC0ALQAtAC0ALQAtAC0ALQAtAC0ALQAtAC0ALQAtAC0ALQAtAC0ALQAtAC0ALQAtAC0ALQAtAC0ALQAtAC0ALQAtAC0ALQAtAC0ALQAtAC0ALQAtAC0ALQAtAC0ALQAtAC0ALQAtAC0ALQAtACoALwBcAG4AXABuAFAAYQBpAHIAdwBpAHMAZQC7Az0AXABuAEwAQQBNAEIARABBACgAXABuACAAIAAgACAAdgBlAGMAdABvAHIAXwAxACwAXABuACAAIAAgACAAdgBlAGMAdABvAHIAXwAyACwAXABuAFwAbgBMAEUAVAAoAFwAbgAgACAAIAAgAC8ALwAgAEYAbABhAHQAdABlAG4AIABpAG4AcAB1AHQAcwBcAG4AIAAgACAAIAB2ACwAIAAgACAAIAAgACAAIAAgACAAIABUAE8AQwBPAEwAKAB2AGUAYwB0AG8AcgBfADEAKQAsAFwAbgAgACAAIAAgAHYAgiAsACAAIAAgACAAIAAgACAAIAAgAFQATwBDAE8ATAAoAHYAZQBjAHQAbwByAF8AMgApACwAXABuAFwAbgAgACAAIAAgAC8ALwAgAEUAbABlAG0AZQBuAHQAIABjAG8AdQBuAHQAcwBcAG4AIAAgACAAIABrACwAIAAgACAAIAAgACAAIAAgACAAIABDAE8AVQBOAFQAQQAoAHYAKQAsAFwAbgAgACAAIAAgAGsAgiAsACAAIAAgACAAIAAgACAAIAAgAEMATwBVAE4AVABBACgAdgCCICkALABcAG4AXABuACAAIAAgACAALwAvACAASABhAGwAdABpAG4AZwAgAHMAYwBlAG4AYQByAGkAbwBzAFwAbgAgACAAIAAgAEkAcwAyAEQASQBuAHAAdQB0AD8ALAAgAE8AUgAoAEEATgBEACgAUgBPAFcAUwAoAHYAZQBjAHQAbwByAF8AMQApAD4AMQAsACAAQwBPAEwAVQBNAE4AUwAoAHYAZQBjAHQAbwByAF8AMQApAD4AMQApACwAXABuACAAIAAgACAAIAAgACAAIAAgACAAIAAgACAAIAAgACAAIAAgACAAQQBOAEQAKABSAE8AVwBTACgAdgBlAGMAdABvAHIAXwAyACkAPgAxACwAIABDAE8ATABVAE0ATgBTACgAdgBlAGMAdABvAHIAXwAyACkAPgAxACkAKQAsAFwAbgBcAG4AIAAgACAAIABJAHMAMgBCAGkAZwA/ACwAIAAgACAAIABrACAAKgAgAGsAgiAgAD4AIAAxADAAMAAwADAAMAAwACwAXABuAFwAbgBJAEYAKABJAHMAMgBEAEkAbgBwAHUAdAA/ACwAIAAgACMAVgBBAEwAVQBFACEALABcAG4AXABuACAAIAAgACAASQBGACgASQBzADIAQgBpAGcAPwAsACAAIAAgACAAIAAjAE4AVQBNACEALABcAG4AXABuAEwARQBUACgAXABuACAAIAAgACAALwAvACAAQwBhAHIAdABlAHMAaQBhAG4AIABlAHgAcABhAG4AcwBpAG8AbgBcAG4AIAAgACAAIAB4ACwAIAAgACAAIAAgACAARQBjAGgAbwC7AygAdgAsACAAawCCICkALABcAG4AIAAgACAAIAB5ACwAIAAgACAAIAAgACAAUgBlAHMAaQB6AGUAuwMoAHYAgiAsACAAawApACwAXABuACAAIAAgACAAcABhAGkAcgBzACwAIAAgAEgAUwBUAEEAQwBLACgAeAAsACAAeQApACwAXABuAFwAbgAgACAAIAAgAHAAYQBpAHIAcwBcAG4AIAAgACAAIABcAG4AKQApACk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tAGEAdAByAGkAeAAgAGIAeQAgAGEAZwBnAHIAZQBnAGEAdABpAG4AZwAgAG8AdgBlAHIAIABuAG8AbgARIG8AdgBlAHIAbABhAHAAcABpAG4AZwAgAHMAcABhAHQAaQBhAGwAIABiAGwAbwBjAGsAcwBcAG4AIAAgACAAIABvAGYAIABzAGkAegBlACAAZABlAHAAdABoACAA1wAgAHcAaQBkAHQAaAAuACAAUABhAHIAdABpAGEAbAAgAGIAbABvAGMAawBzACAAYQB0ACAAdABoAGUAIABlAGQAZwBlAHMAIABhAHIAZQAgAGkAbgBjAGwAdQBkAGUAZAAuACAAVABoAGUAXABuACAAIAAgACAAYQBnAGcAcgBlAGcAYQB0AGkAbwBuACAAaQBzACAAcABlAHIAZgBvAHIAbQBlAGQAIAB1AHMAaQBuAGcAIABhAG4AIABFAFQAQQARIGMAbwBtAHAAYQB0AGkAYgBsAGUAIABmAHUAbgBjAHQAaQBvAG4AIAAoAGUALgBnAC4ALAAgAFMAVQBNACwAXABuACAAIAAgACAAQQBWAEUAUgBBAEcARQAsACAATQBBAFgALAAgAE0ASQBOACwAIABNAEUARABJAEEATgAsACAAbwByACAAYQAgAGMAdQBzAHQAbwBtACAATABBAE0AQgBEAEEAKQAuAFwAbgBcAG4AUABhAHIAYQBtAGUAdABlAHIAcwA6AFwAbgAgACAAIAAgAG0AYQB0AHIAaQB4ACAAIAAgACAAIAAgAC0AIAAyAEQAIABpAG4AcAB1AHQAIABtAGEAdAByAGkAe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tAGEAdAByAGkAeAAgAGkAbgBwAHUAdABzAC4AXABuACAAIAAgACAAIiAgAFIAZQBqAGUAYwB0AHMAIABpAG4AdgBhAGwAaQBkACAAYgBsAG8AYwBrACAAcwBpAHoAZQBzACAAbwByACAAdABlAHgAdAAgAGQAaQBtAGUAbgBzAGkAbwBuAHMALgBcAG4AIAAgACAAIAAiICAAUABhAHIAdABpAGEAbAAgAGIAbABvAGMAawBzACAAYQByAGUAIABoAGEAbgBkAGwAZQBkACAAYQB1AHQAbwBtAGEAdABpAGMAYQBsAGwAeQAgAHYAaQBhACAASQBOAEQARQBYACAAKwAgAFQATwBDAE8ATAAuAFwAbgAtAC0ALQAtAC0ALQAtAC0ALQAtAC0ALQAtAC0ALQAtAC0ALQAtAC0ALQAtAC0ALQAtAC0ALQAtAC0ALQAtAC0ALQAtAC0ALQAtAC0ALQAtAC0ALQAtAC0ALQAtAC0ALQAtAC0ALQAtAC0ALQAtAC0ALQAtAC0ALQAtAC0ALQAtAC0ALQAtAC0ALQAtAC0ALQAtAC0ALQAtAC0ALQAqAC8AXABuAFwAbgBHAHIAYQBpAG4AuwMgAD0AXABuAEwAQQBNAEIARABBACgAXABuACAAIAAgACAAbQBhAHQAcgBpAHgALABcAG4AIAAgACAAIABkAGUAcAB0AGgALABcAG4AIAAgACAAIAB3AGkAZAB0AGgALABcAG4AIAAgACAAIABmAHUAbgBjAHQAaQBvAG4ALABcAG4AXABuAEkARgAoAE4ATwBUACgAVABZAFAARQAoAG0AYQB0AHIAaQB4ACkAIAA9ACAANgA0ACkALABcACIAIwBNAEEAVABSAEkAWAAhAFwAIgAsAFwAbgBcAG4AIAAgACAAIABJAEYAKABPAFIAKABkAGUAcAB0AGgAIAA+ACAAUgBPAFcAUwAoAG0AYQB0AHIAaQB4ACkALAAgAHcAaQBkAHQAaAAgACAAPgAgAEMATwBMAFUATQBOAFMAKABtAGEAdAByAGkAe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bQBhAHQAcgBpAHgAKQAsAFwAbgAgACAAIAAgAHcALAAgACAAIAAgACAAIAAgACAAIAAgACAAIAAgACAAQwBPAEwAVQBNAE4AUwAoAG0AYQB0AHIAaQB4ACkALABcAG4AXABuACAAIAAgACAALwAvACAATgB1AG0AYgBlAHIAIABvAGYAIABiAGwAbwBjAGsAcwAgACgAcgBvAHUAbgBkAGUAZAAgAHUAcAApAFwAbgAgACAAIAAgAHgALAAgACAAIAAgACAAIAAgACAAIAAgACAAIAAgACAAUgBPAFUATgBEAFUAUAAoAGgAIAAvACAAZABlAHAAdABoACwAIAAwACkALABcAG4AIAAgACAAIAB5ACwAIAAgACAAIAAgACAAIAAgACAAIAAgACAAIAAgAFIATwBVAE4ARABVAFAAKAB3ACAALwAgAHcAaQBkAHQAaAAsACAAMAApACwAXABuAFwAbgAgACAAIAAgAC8ALwAgAEIAbABvAGMAawAgAGEAbgBjAGgAbwByACAAZwByAGkAZABzACAAKABkAGUAZgBlAHIAcgBlAGQAKQBcAG4AIAAgACAAIABkAG8AdwBuACwAIAAgACAAIAAgACAAIAAgACAAIAAgAEwAQQBNAEIARABBACgAUwBFAFEAVQBFAE4AQwBFACgAeAAsACAALAAgADEALAAgAGQAZQBwAHQAaAApACAAKgAgAFMARQBRAFUARQBOAEMARQAoACwAIAB5ACwAIAAxACwAIAAwACkAKQAsAFwAbgAgACAAIAAgAGEAYwByAG8AcwBzACwAIAAgACAAIAAgACAAIAAgACAATABBAE0AQgBEAEEAKABTAEUAUQBVAEUATgBDAEUAKAAsACAAeQAsACAAMQAsACAAdwBpAGQAdABoACkAIAAqACAAUwBFAFEAVQBFAE4AQwBFACgAeAAsACAALAAgADEALAAgADAAKQApACwAXABuAFwAbgAgACAAIAAgAC8ALwAgAEIAbABvAGMAawAgAGEAZwBnAHIAZQBnAGEAdABvAHIAXABuACAAIAAgACAAQgBsAG8AYwBrAHMAuwMsACAAIAAgACAAIAAgACAAIABMAEEATQBCAEQAQQAoAHIALAAgAGMALABcAG4AIAAgACAAIAAgACAAIAAgACAAIAAgACAAIAAgACAAIAAgACAAIAAgACAAIAAgACAATABFAFQAKABcAG4AIAAgACAAIAAgACAAIAAgACAAIAAgACAAIAAgACAAIAAgACAAIAAgACAAIAAgACAAIAAgACAAIABpACwAIAAgACAAIAAgACAATABBAE0AQgBEAEEAKABTAEUAUQBVAEUATgBDAEUAKABkAGUAcAB0AGgALAAgACwAIAByACkAIAAqACAAUwBFAFEAVQBFAE4AQwBFACgALAAgAHcAaQBkAHQAaAAsACAAMQAsACAAMAApACkALABcAG4AIAAgACAAIAAgACAAIAAgACAAIAAgACAAIAAgACAAIAAgACAAIAAgACAAIAAgACAAIAAgACAAIABqACwAIAAgACAAIAAgACAATABBAE0AQgBEAEEAKABTAEUAUQBVAEUATgBDAEUAKAAsACAAdwBpAGQAdABoACwAIABjACkAIAAqACAAUwBFAFEAVQBFAE4AQwBFACgAZABlAHAAdABoACwAIAAsACAAMQAsACAAMAApACkALABcAG4AIAAgACAAIAAgACAAIAAgACAAIAAgACAAIAAgACAAIAAgACAAIAAgACAAIAAgACAAIAAgACAAIABiAGwAbwBjAGsALAAgACAAVABPAEMATwBMACgASQBOAEQARQBYACgAbQBhAHQAcgBpAHg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NAGEAdAByAGkAeAAgACAAIAAgACAAIAAgACAAIAAgAC0AIAAyAEQAIABpAG4AcAB1AHQAIABtAGEAdAByAGkAeAAuAFwAbgAgACAAIAAgAGYAdQBuAGMAdABpAG8AbgAgACAAIAAgACAAIAAgACAALQAgAEUAVABBACAAbwByACAATABBAE0AQgBEAEEAIABhAGcAZwByAGUAZwBhAHQAaQBvAG4AIABmAHUAbgBjAHQAaQBvAG4ALgBcAG4AIAAgACAAIABbAEkAcwB2AG8AbgBOAGUAdQBtAGEAbgBuAD8AXQAgAC0AIABUAFIAVQBFACAAkiEgAHUAcwBlACAAdgBvAG4AIABOAGUAdQBtAGEAbgBuACAAbgBlAGkAZwBoAGIAbwByAGgAbwBvAGQALgBcAG4AIAAgACAAIABbAG8AbQBpAHQAXwBjAGUAbgB0AGUAcgBdACAAIAAgAC0AIABUAFIAVQBFACAAkiEgAGUAeABjAGwAdQBkAGUAIABjAGUAbgB0AGUAcgAgAGMAZQBsAGwAIABmAHIAbwBtACAAYQBnAGcAcgBlAGcAYQB0AGkAbwBuAC4AXABuAC0ALQAtAC0ALQAtAC0ALQAtAC0ALQAtAC0ALQAtAC0ALQAtAC0ALQAtAC0ALQAtAC0ALQAtAC0ALQAtAC0ALQAtAC0ALQAtAC0ALQAtAC0ALQAtAC0ALQAtAC0ALQAtAC0ALQAtAC0ALQAtAC0ALQAtAC0ALQAtAC0ALQAtAC0ALQAtAC0ALQAtAC0ALQAtAC0ALQAtAC0ALQAtACoALwBcAG4AXABuAE0AbwBvAHIAZQBBAGcAZwC7AyAAPQBcAG4ATABBAE0AQgBEAEEAKABcAG4AIAAgACAAIABNAGEAdAByAGkAeAAsAFwAbgAgACAAIAAgAGYAdQBuAGMAdABpAG8AbgAsAFwAbgAgACAAIAAgAFsASQBzAHYAbwBuAE4AZQB1AG0AYQBuAG4APwBdACwAXABuACAAIAAgACAAWwBvAG0AaQB0AF8AYwBlAG4AdABlAHIAXQAsAFwAbgBcAG4ASQBGACgAVABZAFAARQAoAE0AYQB0AHIAaQB4ACkAIAA8AD4AIAA2ADQALABcACIAIwBNAEEAVABSAEkAWAAhAFwAIgAsAFwAbgBcAG4AIAAgACAAIABJAEYAKABUAFkAUABFACgAZgB1AG4AYwB0AGkAbwBuACkAIAA8AD4AIAAxADIAOAAgACwAXAAiACMARQBUAEEAIABGAFUATgBDAFQASQBPAE4AIQBcACIALABcAG4AXABuAEwARQBUACgAXABuACAAIAAgACAALwAvACAATwBwAHQAaQBvAG4AYQBsACAAcABhAHIAYQBtAGUAdABlAHIAcwBcAG4AIAAgACAAIABJAHMAdgBvAG4ATgBlAHUAbQBhAG4AbgA/ACwAIAAgACAAIAAgACAATgBPAFQAKABJAFMATwBNAEkAVABUAEUARAAoAEkAcwB2AG8AbgBOAGUAdQBtAGEAbgBuAD8AKQApACwAXABuACAAIAAgACAAbwBtAGkAdABfAGMAZQBuAHQAZQByACwAIAAgACAAIAAgACAAIAAgAE4ATwBUACgASQBTAE8ATQBJAFQAVABFAEQAKABvAG0AaQB0AF8AYwBlAG4AdABlAHIAKQApACwAXABuAFwAbgAgACAAIAAgAC8ALwAgAEQAaQBtAGUAbgBzAGkAbwBuAHMAXABuACAAIAAgACAAaABlAGkAZwBoAHQALAAgACAAIAAgACAAIAAgACAAIAAgACAAIAAgAFIATwBXAFMAKABNAGEAdAByAGkAeAApACwAXABuACAAIAAgACAAdwBpAGQAdABoACwAIAAgACAAIAAgACAAIAAgACAAIAAgACAAIAAgAEMATwBMAFUATQBOAFMAKABNAGEAdAByAGkAeAApACwAXABuAFwAbgAgACAAIAAgAC8ALwAgAFAAYQBkACAAbQBhAHQAcgBpAHgAIAB3AGkAdABoACAAXAAiAG8AbQBpAHQAXAAiACAAdABvACAAcwBhAGYAZQBsAHkAIABkAHIAbwBwACAAZQBkAGcAZQBzAFwAbgAgACAAIAAgAE0ALAAgACAAIAAgACAAIAAgACAAIAAgACAAIAAgACAAIAAgACAAIABWAFMAVABBAEMASwAoAFwAIgBvAG0AaQB0AFwAIgAsAFwAbgAgACAAIAAgACAAIAAgACAAIAAgACAAIAAgACAAIAAgACAAIAAgACAAIAAgACAAIAAgACAAIAAgACAAIAAgAEgAUwBUAEEAQwBLACgAXAAiAG8AbQBpAHQAXAAiACwAIABNAGEAdAByAGkAe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0AYQB0AHIAaQB4AFwAbgAgACAAIAAgAGQAZQBsAGkAdgBlAHIALAAgACAAIAAgACAAIAAgACAAIAAgACAAIAAgACAAIABJAEYARQBSAFIATwBSACgAVwBSAEEAUABSAE8AVwBTACgAYQBnAGcALAAgAHcAaQBkAHQAaAApACwAIAAwACkALABcAG4AXABuACAAIAAgACAAZABlAGwAaQB2AGUAcgBcAG4AKQApACkAKQA7AFwAbgBcAG4AXABuAFwAbgAvACoAIABbAEcAUgAxADIAXQAgAC0ALQAtAC0ALQAtAC0ALQAtAC0ALQAtAC0ALQAtAC0ALQAtAC0ALQAtAC0ALQAtAC0ALQAtAC0ALQAtAC0ALQAtAC0ALQAtAC0ALQAtAC0ALQAtAC0ALQAtAC0ALQAtAC0ALQAtAC0ALQAtAC0ALQAtAC0ALQAtAC0ALQAtAC0ALQAtAC0ALQAtAC0ALQAtAC0AXABuAEYAdQBuAGMAdABpAG8AbgA6ACAAIAAgACAAIABNAG8AbwByAGUAUwBlAGwAZQBjAHQ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wBlAGwAZQBjAHQAcwAgAGEAIABzAHAAZQBjAGkAZgBpAGMAIABuAGUAaQBnAGgAYgBvAHIAIAAoADEAEyA5ACkAIABmAHIAbwBtACAAdABoAGUAIABNAG8AbwByAGUAIABuAGUAaQBnAGgAYgBvAHIAaABvAG8AZAAgAGYAbwByACAAZQBhAGMAaABcAG4AIAAgACAAIABlAGwAZQBtAGUAbgB0ACAAaQBuACAAYQAgAG0AYQB0AHIAaQB4AC4AIABOAGUAaQBnAGgAYgBvAHIAIABpAG4AZABlAHgAIAA1ACAAcgBlAHQAdQByAG4AcwAgAHQAaABlACAAYwBlAG4AdABlAHIAIABjAGUAbABsAC4AXABuAFwAbgBNAG8AbwByAGUAIABOAGUAaQBnAGgAYgBvAHIAaABvAG8AZAA6AFwAbgAgACAAIAAgACAAIAAgACAAMQAgACAAIAAyACAAIAAgADMAXABuACAAIAAgACAAIAAgACAAIAA0ACAAIAAgAEMAIAAgACAANgBcAG4AIAAgACAAIAAgACAAIAAgADcAIAAgACAAOAAgACAAIAA5AFwAbgBcAG4AUABhAHIAYQBtAGUAdABlAHIAcwA6AFwAbgAgACAAIAAgAE0AYQB0AHIAaQB4ACAAIAAgACAAIAAgAC0AIAAyAEQAIABpAG4AcAB1AHQAIABtAGEAdAByAGkAeAAuAFwAbgAgACAAIAAgAG4AZQBpAGcAaABiAG8AcgAgACAAIAAgAC0AIABJAG4AdABlAGcAZQByACAAMQATIDkAIABpAG4AZABpAGMAYQB0AGkAbgBnACAAdwBoAGkAYwBoACAAbgBlAGkAZwBoAGIAbwByACAAdABvACAAcgBlAHQAdQByAG4ALgBcAG4ALQAtAC0ALQAtAC0ALQAtAC0ALQAtAC0ALQAtAC0ALQAtAC0ALQAtAC0ALQAtAC0ALQAtAC0ALQAtAC0ALQAtAC0ALQAtAC0ALQAtAC0ALQAtAC0ALQAtAC0ALQAtAC0ALQAtAC0ALQAtAC0ALQAtAC0ALQAtAC0ALQAtAC0ALQAtAC0ALQAtAC0ALQAtAC0ALQAtAC0ALQAtAC0AKgAvAFwAbgBcAG4ATQBvAG8AcgBlAFMAZQBsAGUAYwB0ALsDIAA9AFwAbgBMAEEATQBCAEQAQQAoAFwAbgAgACAAIAAgAG0AYQB0AHIAaQB4ACwAXABuACAAIAAgACAAbgBlAGkAZwBoAGIAbwByACwAXABuAFwAbgBJAEYAKABUAFkAUABFACgAbQBhAHQAcgBpAHgAKQAgADwAPgAgADYANAAsAFwAIgAjAE0AQQBUAFIASQBYACEAXAAiACwAXABuAFwAbgAgACAAIAAgAEkARgAoAE4ATwBUACgAQQBOAEQAKABuAGUAaQBnAGgAYgBvAHIAIAA+AD0AIAAxACwAIABuAGUAaQBnAGgAYgBvAHIAIAA8AD0AIAA5ACwAIABOAE8AVAAoAEkAUwBUAEUAWABUACgAbgBlAGkAZwBoAGIAbwByACkAKQApACkALABcACIAIwBOAEUASQBHAEgAQgBPAFIAIQBcACIALABcAG4AXABuAEwARQBUACgAXABuACAAIAAgACAALwAvACAARABpAG0AZQBuAHMAaQBvAG4AcwBcAG4AIAAgACAAIABoAGUAaQBnAGgAdAAsACAAIAAgACAAIAAgACAAIAAgACAAIAAgACAAUgBPAFcAUwAoAG0AYQB0AHIAaQB4ACkALABcAG4AIAAgACAAIAB3AGkAZAB0AGgALAAgACAAIAAgACAAIAAgACAAIAAgACAAIAAgACAAQwBPAEwAVQBNAE4AUwAoAG0AYQB0AHIAaQB4ACkALABcAG4AXABuACAAIAAgACAALwAvACAAUABhAGQAIABtAGEAdAByAGkAeAAgAHcAaQB0AGgAIAB6AGUAcgBvAHMAIAAoAG4AbwAgAGEAZwBnAHIAZQBnAGEAdABpAG8AbgAgAG4AZQBlAGQAZQBkACkAXABuACAAIAAgACAAaABwAGEAZAAsACAAIAAgACAAIAAgACAAIAAgACAAIAAgACAAIAAgAEUAWABQAEEATgBEACgAMAAsACAALAAgAHcAaQBkAHQAaAAgACsAIAAyACwAIAAwACkALABcAG4AIAAgACAAIAB2AHAAYQBkACwAIAAgACAAIAAgACAAIAAgACAAIAAgACAAIAAgACAARQBYAFAAQQBOAEQAKAAwACwAIABoAGUAaQBnAGgAdAAsACAALAAgADAAKQAsAFwAbgAgACAAIAAgAE0ALAAgACAAIAAgACAAIAAgACAAIAAgACAAIAAgACAAIAAgACAAIABWAFMAVABBAEMASwAoAGgAcABhAGQALAAgAEgAUwBUAEEAQwBLACgAdgBwAGEAZAAsACAAbQBhAHQAcgBpAHgALAAgAHYAcABhAGQAKQAsACAAaABwAGEAZAApACwAXABuAFwAbgAgACAAIAAgAC8ALwAgAE0AbwBvAHIAZQAgAG4AZQBpAGcAaABiAG8AcgBoAG8AbwBkACAAZQB4AHQAcgBhAGMAdABpAG8AbgBcAG4AIAAgACAAIABhACwAIAAgACAAIAAgACAAIAAgACAAIAAgACAAIAAgACAAIAAgACAARABSAE8AUAAoAE0ALAAgAC0AMgAsACAALQAyACkALAAgACAAIAAgACAAIAAgACAAIAAgACAAIAAgACAAIAAgACAAIAAgACAAIAAgACAAIAAgAC8ALwAgAE4AVwBcAG4AIAAgACAAIABiACwAIAAgACAAIAAgACAAIAAgACAAIAAgACAAIAAgACAAIAAgACAAVABBAEsARQAoAEQAUgBPAFAAKABNACwAIAAsACAAMQApACwAIABoAGUAaQBnAGgAdAAsACAAdwBpAGQAdABoACkALAAgACAAIAAgACAAIAAgAC8ALwAgAE4AXABuACAAIAAgACAAYwAsACAAIAAgACAAIAAgACAAIAAgACAAIAAgACAAIAAgACAAIAAgAFQAQQBLAEUAKABEAFIATwBQACgATQAsACAALAAgADIAKQAsACAAaABlAGkAZwBoAHQAKQAsACAAIAAgACAAIAAgACAAIAAgACAAIAAgACAAIAAvAC8AIABOAEUAXABuACAAIAAgACAAZAAsACAAIAAgACAAIAAgACAAIAAgACAAIAAgACAAIAAgACAAIAAgAFQAQQBLAEUAKABEAFIATwBQACgATQAsACAAMQAsACAALQAxACkALAAgAGgAZQBpAGcAaAB0ACwAIAB3AGkAZAB0AGgAKQAsACAAIAAgACAAIAAvAC8AIABXAFwAbgAgACAAIAAgAGMAZQBuAHQAZQByACwAIAAgACAAIAAgACAAIAAgACAAIAAgACAAIABUAEEASwBFACgARABSAE8AUAAoAE0ALAAgADEALAAgADEAKQAsACAAaABlAGkAZwBoAHQALAAgAHcAaQBkAHQAaAApACwAIAAgACAAIAAgACAALwAvACAAQwBcAG4AIAAgACAAIABmACwAIAAgACAAIAAgACAAIAAgACAAIAAgACAAIAAgACAAIAAgACAAVABBAEsARQAoAEQAUgBPAFAAKABNACwAIAAxACwAIAAxACkALAAgAGgAZQBpAGcAaAB0ACwAIAAtAHcAaQBkAHQAaAApACwAIAAgACAAIAAgAC8ALwAgAEUAXABuACAAIAAgACAAZwAsACAAIAAgACAAIAAgACAAIAAgACAAIAAgACAAIAAgACAAIAAgAFQAQQBLAEUAKABEAFIATwBQACgATQAsACAAMQAsACAALQAxACkALAAgAC0AaABlAGkAZwBoAHQALAAgAHcAaQBkAHQAaAApACwAIAAgACAAIAAvAC8AIABTAFcAXABuACAAIAAgACAAaAAsACAAIAAgACAAIAAgACAAIAAgACAAIAAgACAAIAAgACAAIAAgAFQAQQBLAEUAKABEAFIATwBQACgATQAsACAAMQAsACAALQAxACkALAAgAC0AaABlAGkAZwBoAHQALAAgAC0AdwBpAGQAdABoACkALAAgACAAIAAvAC8AIABTAFwAbgAgACAAIAAgAGkALAAgACAAIAAgACAAIAAgACAAIAAgACAAIAAgACAAIAAgACAAIABUAEEASwBFACgARABSAE8AUAAoAE0ALAAgADEALAAgADEAKQAsACAALQBoAGUAaQBnAGgAdAAsACAALQB3AGkAZAB0AGgAKQAsACAAIAAgACAALwAvACAAUwBFAFwAbgBcAG4AIAAgACAAIAAvAC8AIABTAHQAYQBjAGsAIABhAGwAbAAgADkAIABuAGUAaQBnAGgAYgBvAHIAcwAgAGgAbwByAGkAegBvAG4AdABhAGwAbAB5AFwAbgAgACAAIAAgAE0AbwBvAHIAZQAsACAAIAAgACAAIAAgACAAIAAgACAAIAAgACAAIABIAFMAVABBAEMASwAoAGEALAAgAGIALAAgAGMALAAgAGQALAAgAGMAZQBuAHQAZQByACwAIABmACwAIABnACwAIABoACwAIABpACkALABcAG4AXABuACAAIAAgACAALwAvACAAQwBvAG0AcAB1AHQAZQAgAHMAdABhAHIAdABpAG4AZwAgAGMAbwBsAHUAbQBuACAAZgBvAHIAIAB0AGgAZQAgAGMAaABvAHMAZQBuACAAbgBlAGkAZwBoAGIAbwByAFwAbgAgACAAIAAgAHMAdABhAHIAdAAsACAAIAAgACAAIAAgACAAIAAgACAAIAAgACAAIAAoAG4AZQBpAGcAaABiAG8AcgAgAC0AIAAxACkAIAAqACAAdwBpAGQAdABoACAAKwAgADEALABcAG4AXABuACAAIAAgACAALwAvACAAUwBlAGwAZQBjAHQAIAB0AGgAZQAgAG4AZQBpAGcAaABiAG8AcgAgAGIAbABvAGMAawBcAG4AIAAgACAAIABzAGUAbABlAGMAdABfAG4AZQBpAGcAaABiAG8AcgAsACAAIAAgACAAQwBIAE8ATwBTAEUAQwBPAEwAUwAoAE0AbwBvAHIAZQAsACAAUwBFAFEAVQBFAE4AQwBFACgALAAgAHcAaQBkAHQAaAAsACAAcwB0AGEAcgB0ACkAKQAsAFwAbgBcAG4AIAAgACAAIABzAGUAbABlAGMAdABfAG4AZQBpAGcAaABiAG8AcgBcAG4AKQApACkAKQA7AFwAbgBcAG4AXABuAFwAbgAvACoAIABbAEcAUgAxADMAXQAgAC0ALQAtAC0ALQAtAC0ALQAtAC0ALQAtAC0ALQAtAC0ALQAtAC0ALQAtAC0ALQAtAC0ALQAtAC0ALQAtAC0ALQAtAC0ALQAtAC0ALQAtAC0ALQAtAC0ALQAtAC0ALQAtAC0ALQAtAC0ALQAtAC0ALQAtAC0ALQAtAC0ALQAtAC0ALQAtAC0ALQAtAC0ALQAtAC0AXABuAEYAdQBuAGMAdABpAG8AbgA6ACAAIAAgACAAIABIAGkAcwB0AG8AZwByAGEAb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HAGUAbgBlAHIAYQB0AGUAcwAgAGEAIABoAGkAcwB0AG8AZwByAGEAbQAgAHUAcwBpAG4AZwAgAGEAdQB0AG8AbQBhAHQAaQBjACAAYgBpAG4AbgBpAG4AZwAgAHIAdQBsAGUAcwAgACgAUwB0AHUAcgBnAGUAcwAsACAAUgBpAGMAZQAsAFwAbgAgACAAIAAgAFMAYwBvAHQAdAAsACAARgByAGUAZQBkAG0AYQBuACkAIABkAGUAcABlAG4AZABpAG4AZwAgAG8AbgAgAHMAYQBtAHAAbABlACAAcwBpAHoAZQAgAGEAbgBkACAAcwBrAGUAdwBuAGUAcwBzAC4AIABTAHUAcABwAG8AcgB0AHMAIABhAG4AXABuACAAIAAgACAAbwBwAHQAaQBvAG4AYQBsACAAZgBpAHgAZQBkACAAYgBpAG4AIAB3AGkAZAB0AGgAIABhAG4AZAAgAGEAbgAgAG8AcAB0AGkAbwBuAGEAbAAgAFAAYQByAGUAdABvACAAKABjAHUAbQB1AGwAYQB0AGkAdgBlACAAJQApACAAYwBvAGwAdQBtAG4ALgBcAG4AXABuAFAAYQByAGEAbQBlAHQAZQByAHMAOgBcAG4AIAAgACAAIABhAHIAcgBhAHkAIAAgACAAIAAgACAAIAAgACAAIAAgACAALQAgAE4AdQBtAGUAcgBpAGMAIABhAHIAcgBhAHkAIAAoADEARAAgAG8AcgAgADIARAApAC4AXABuACAAIAAgACAAWwBiAGkAbgBfAHcAaQBkAHQAaABdACAAIAAgACAAIAAgAC0AIABPAHAAdABpAG8AbgBhAGwAIABmAGkAeABlAGQAIABiAGkAbgAgAHcAaQBkAHQAaAAgACgAMAAgADwAIAB3AGkAZAB0AGgAIABkIiAAMQAwADAAMAApAC4AXABuACAAIAAgACAAWwBpAG4AYwBsAHUAZABlAF8AUABhAHIAZQB0AG8AXQAgAC0AIABUAFIAVQBFACAAkiEgAGkAbgBjAGwAdQBkAGUAIABjAHUAbQB1AGwAYQB0AGkAdgBlACAAJQAgAGMAbwBsAHUAbQBuAC4AXABuAFwAbgBOAG8AdABlAHMAOgBcAG4AIAAgACAAIAAiICAAUgBlAHQAdQByAG4AcwAgACMAVgBBAEwAVQBFACEAIABpAGYAIABmAGUAdwBlAHIAIAB0AGgAYQBuACAAMgAgAHYAYQBsAHUAZQBzACAAYQByAGUAIABzAHUAcABwAGwAaQBlAGQALgBcAG4AIAAgACAAIAAiICAAQwBhAHAAcwAgAHQAbwB0AGEAbAAgAGIAaQBuAHMAIABhAHQAIAAxADAAMAAuAFwAbgAgACAAIAAgACIgIABJAGYAIABiAGkAbgBfAHcAaQBkAHQAaAAgAGkAcwAgAHMAdQBwAHAAbABpAGUAZAAsACAAYQB1AHQAbwBtAGEAdABpAGMAIAByAHUAbABlAHMAIABhAHIAZQAgAGIAeQBwAGEAcwBzAGUAZAAuAFwAbgAtAC0ALQAtAC0ALQAtAC0ALQAtAC0ALQAtAC0ALQAtAC0ALQAtAC0ALQAtAC0ALQAtAC0ALQAtAC0ALQAtAC0ALQAtAC0ALQAtAC0ALQAtAC0ALQAtAC0ALQAtAC0ALQAtAC0ALQAtAC0ALQAtAC0ALQAtAC0ALQAtAC0ALQAtAC0ALQAtAC0ALQAtAC0ALQAtAC0ALQAtAC0ALQAqAC8AXABuAFwAbgBIAGkAcwB0AG8AZwByAGEAbQC7AyAAPQBcAG4ATABBAE0AQgBEAEEAKABcAG4AIAAgACAAIABhAHIAcgBhAHkALABcAG4AIAAgACAAIABbAGIAaQBuAF8AdwBpAGQAdABoAF0ALABcAG4AIAAgACAAIABbAGkAbgBjAGwAdQBkAGUAXwBQAGEAcgBlAHQAbwBdACwAXABuAFwAbgBcAG4ASQBGACgAQwBPAFUATgBUACgAYQByAHIAYQB5ACkAIAA8AD0AIAAxACwAIwBWAEEATABVAEUAIQAsAFwAbgBcAG4AIAAgACAAIABJAEYAKABBAE4ARAAoAE4ATwBUACgASQBTAE8ATQBJAFQAVABFAEQAKABiAGkAbgBfAHcAaQBkAHQAaAApACkALABPAFIAKABiAGkAbgBfAHcAaQBkAHQAaAAgADwAIAAwACwAIABiAGkAbgBfAHcAaQBkAHQAaAAgAD4AIAAxADAAMAAwACkAKQAsAFwAIgAjAEIASQBOAC0AVwBJAEQAVABIACEAXAAiACwAXABuAFwAbgBMAEUAVAAoAFwAbgAgACAAIAAgAC8ALwAgAFMAYQBtAHAAbABlACAAYwBoAGEAcgBhAGMAdABlAHIAaQBzAHQAaQBjAHMAXABuACAAIAAgACAAbgAsACAAIAAgACAAIAAgACAAIAAgACAAIAAgACAAIABDAE8AVQBOAFQAKABhAHIAcgBhAHkAKQAsAFwAbgAgACAAIAAgAFMAbQBhAGwAbABEAGEAdABhAD8ALAAgACAAIAAgACAAbgAgADwAIAAyADAAMAAsAFwAbgAgACAAIAAgAEEAZABkAF8AUABhAHIAZQB0AG8APwAsACAAIAAgACAATgBPAFQAKABJAFMATwBNAEkAVABUAEUARAAoAGkAbgBjAGwAdQBkAGUAXwBQAGEAcgBlAHQAbwApACkALABcAG4AXABuACAAIAAgACAAbQBpAG4ALAAgACAAIAAgACAAIAAgACAAIAAgACAAIABNAEkATgAoAGEAcgByAGEAeQApACwAXABuACAAIAAgACAAbQBhAHgALAAgACAAIAAgACAAIAAgACAAIAAgACAAIABNAEEAWAAoAGEAcgByAGEAeQApACwAXABuACAAIAAgACAAcgBhAG4AZwBlACwAIAAgACAAIAAgACAAIAAgACAAIABtAGEAeAAgAC0AIABtAGkAbgAsAFwAbgAgACAAIAAgAGkAcQByACwAIAAgACAAIAAgACAAIAAgACAAIAAgACAAUQBVAEEAUgBUAEkATABFACgAYQByAHIAYQB5ACwAIAAzACkAIAAtACAAUQBVAEEAUgBUAEkATABFACgAYQByAHIAYQB5ACwAIAAxACkALABcAG4AXABuACAAIAAgACAAcwAsACAAIAAgACAAIAAgACAAIAAgACAAIAAgACAAIABTAEsARQBXACgAYQByAHIAYQB5ACkALABcAG4AIAAgACAAIABJAHMAUwBrAGUAdwBlAGQAPwAsACAAIAAgACAAIAAgAEkARgAoAFMAbQBhAGwAbABEAGEAdABhAD8ALAAgAEYAQQBMAFMARQAsACAAQQBCAFMAKABzACkAIAA+ACAAMAAuADIAKQAsAFwAbgBcAG4AIAAgACAAIAAvAC8AIABPAHAAdABpAG8AbgBhAGwAIABmAGkAeABlAGQAIABiAGkAbgAgAHcAaQBkAHQAaABcAG4AIAAgACAAIABJAHMARgBpAHgAZQBkAD8ALAAgACAAIAAgACAAIAAgAE4ATwBUACgASQBTAE8ATQBJAFQAVABFAEQAKABiAGkAbgBfAHcAaQBkAHQAaAApACkALABcAG4AXABuACAAIAAgACAALwAvACAAQQB1AHQAbwBtAGEAdABpAGMAIABiAGkAbgBuAGkAbgBnACAAcgB1AGwAZQBzAFwAbgAgACAAIAAgAFMAdAB1AHIAZwBlACwAIAAgACAAIAAgACAAIAAgACAAQwBFAEkATABJAE4ARwAoAEwATwBHACgAbgAsACAAMgApACAAKwAgADEALAAgADEAKQAsAFwAbgAgACAAIAAgAFMAUgBSACwAIAAgACAAIAAgACAAIAAgACAAIAAgACAAQwBFAEkATABJAE4ARwAoAFMAUQBSAFQAKABuACkALAAgADEAKQAsAFwAbgAgACAAIAAgAFIAaQBjAGUALAAgACAAIAAgACAAIAAgACAAIAAgACAAQwBFAEkATABJAE4ARwAoADIAIAAqACAAbgBeACgAMQAvADMAKQAsACAAMQApACwAXABuACAAIAAgACAAUwBjAG8AdAB0ACwAIAAgACAAIAAgACAAIAAgACAAIABDAEUASQBMAEkATgBHACgAMwAuADUAIAAqACAAUwBUAEQARQBWAC4AUAAoAGEAcgByAGEAeQApACAALwAgAG4AXgAoADEALwAzACkALAAgADEAKQAsAFwAbgAgACAAIAAgAEYAcgBlAGUAZABtAGEAbgAsACAAIAAgACAAIAAgACAAQwBFAEkATABJAE4ARwAoADIAIAAqACAAaQBxAHIAIAAvACAAbgBeACgAMQAvADMAKQAsACAAMQApACwAXABuAFwAbgAgACAAIAAgAGYAaQB4AGUAZAAsACAAIAAgACAAIAAgACAAIAAgACAAQwBFAEkATABJAE4ARwAoAHIAYQBuAGcAZQAgAC8AIABiAGkAbgBfAHcAaQBkAHQAaAAsACAAMQAgAC8AIABiAGkAbgBfAHcAaQBkAHQAaAApACwAXABuAFwAbgAgACAAIAAgAC8ALwAgAEIAaQBuACAAYwBvAHUAbgB0ACAAcwBlAGwAZQBjAHQAaQBvAG4AXABuACAAIAAgACAAawAsACAAIAAgACAAIAAgACAAIAAgACAAIAAgACAAIABJAEYAKABJAHMARgBpAHgAZQBkAD8ALABmAGkAeABlAGQALABcAG4AIAAgACAAIAAgACAAIAAgACAAIAAgACAAIAAgACAAIAAgACAAIAAgACAAIAAgACAASQBGACgAbgAgADwAPQAgADMAMAAsAE0AQQBYACgAUwB0AHUAcgBnAGUALAAgAFIAaQBjAGUAKQAsAFwAbgAgACAAIAAgACAAIAAgACAAIAAgACAAIAAgACAAIAAgACAAIAAgACAAIAAgACAAIAAgACAAIAAgAEkARgAoAEkAcwBTAGsAZQB3AGUAZAA/ACwATQBJAE4AKABGAHIAZQBlAGQAbQBhAG4ALAAgADEANQApACwAXABuACAAIAAgACAAIAAgACAAIAAgACAAIAAgACAAIAAgACAAIAAgACAAIAAgACAAIAAgACAAIAAgACAAIAAgACAAIABNAEkATgAoAFMAYwBvAHQAdAAsACAAMQA1ACkAKQApACkALABcAG4AXABuACAAIAAgACAALwAvACAAQQB2AG8AaQBkACAAcwBpAG4AZwBsAGUALQBiAGkAbgAgAG8AdQB0AHAAdQB0ADsAIABjAGEAcAAgAGEAdAAgADEAMAAwAFwAbgAgACAAIAAgAGsAXwAsACAAIAAgACAAIAAgACAAIAAgACAAIAAgACAATQBJAE4AKABJAEYAKABrACAAPQAgADEALAAgADUALAAgAGsAKQAsACAAMQAwADAAKQAsAFwAbgBcAG4AIAAgACAAIAAvAC8AIABCAGkAbgAgAGkAbgB0AGUAcgB2AGEAbABcAG4AIAAgACAAIABpAG4AdABlAHIAdgBhAGwALAAgACAAIAAgACAAIAAgAEkARgAoAHIAYQBuAGcAZQAgAD0AIAAwACwAIAAxACwAIABNAEEAWAAoAHIAYQBuAGcAZQAgAC8AIABrAF8ALAAgADAALgAxACkAKQAsAFwAbgAgACAAIAAgAGIAaQBuAF8AdQBwAHAAZQByACwAIAAgACAAIAAgACAAQwBFAEkATABJAE4ARwAoAG0AYQB4ACwAIABpAG4AdABlAHIAdgBhAGwAKQAsAFwAbgAgACAAIAAgAGIAaQBuAF8AbABvAHcAZQByACwAIAAgACAAIAAgACAARgBMAE8ATwBSACgAbQBpAG4ALAAgAGkAbgB0AGUAcgB2AGEAbAApACwAXABuAFwAbgAgACAAIAAgAGIAaQBuAF8AYQByAHIALAAgACAAIAAgACAAIAAgACAAUwBFAFEAVQBFAE4AQwBFACgAMQAgACsAIAAoAGIAaQBuAF8AdQBwAHAAZQByACAALQAgAGIAaQBuAF8AbABvAHcAZQByACkAIAAvACAAaQBuAHQAZQByAHYAYQBsACwALABiAGkAbgBfAGwAbwB3AGUAcgAsAGkAbgB0AGUAcgB2AGEAbAApACwAXABuAFwAbgAgACAAIAAgAC8ALwAgAEIAaQBuACAAbABhAGIAZQBsAHMAXABuACAAIAAgACAAYgBpAG4AXwBzAHQAYQByAHQALAAgACAAIAAgACAAIABEAFIATwBQACgAYgBpAG4AXwBhAHIAcgAsACAALQAxACkALABcAG4AIAAgACAAIABiAGkAbgBfAGUAbgBkACwAIAAgACAAIAAgACAAIAAgAEQAUgBPAFAAKABiAGkAbgBfAGEAcgByACwAIAAxACkALABcAG4AXABuACAAIAAgACAAYgBpAG4AXwBoAGUAYQBkAGUAcgAsACAAIAAgACAAIAB7AFwAIgBTAHQAYQByAHQAXAAiACwAIABcACIARQBuAGQAXAAiACwAIABcACIAVABvAHQAYQBsAFwAIgB9ACwAXABuACAAIAAgACAAYgBpAG4AXwBsAGEAYgBlAGwAcwAsACAAIAAgACAAIABIAFMAVABBAEMASwAoAFYAUwBUAEEAQwBLACgAXAAiADwAXAAiACwAIABiAGkAbgBfAHMAdABhAHIAdAApACwAXABuACAAIAAgACAAIAAgACAAIAAgACAAIAAgACAAIAAgACAAIAAgACAAIAAgACAAIAAgACAAIAAgAFYAUwBUAEEAQwBLACgAVABBAEsARQAoAGIAaQBuAF8AcwB0AGEAcgB0ACwAIAAxACkALAAgAGIAaQBuAF8AZQBuAGQAKQApACwAXABuAFwAbgAgACAAIAAgAC8ALwAgAEYAcgBlAHEAdQBlAG4AYwBpAGUAcwAgAGEAbgBkACAAUABhAHIAZQB0AG8AXABuACAAIAAgACAAZgByAGUAcQAsACAAIAAgACAAIAAgACAAIAAgACAAIABEAFIATwBQACgARgBSAEUAUQBVAEUATgBDAFkAKABhAHIAcgBhAHkALAAgAGIAaQBuAF8AYQByAHIAKQAsACAALQAxACkALABcAG4AIAAgACAAIABQAGEAcgBlAHQAbwAsACAAIAAgACAAIAAgACAAIAAgAEIAWQBSAE8AVwAoAGYAcgBlAHEALAAgAEwAQQBNAEIARABBACgAdgAsACAAUABFAFIAQwBFAE4AVABPAEYAKAB2ACwAIABmAHIAZQBxACkAKQApACwAXABuAFwAbgAgACAAIAAgAC8ALwAgAEYAaQBuAGEAbAAgAGEAcwBzAGUAbQBiAGwAeQBcAG4AIAAgACAAIABzAHQAYQBjAGsALAAgACAAIAAgACAAIAAgACAAIAAgAFYAUwBUAEEAQwBLACgAYgBpAG4AXwBoAGUAYQBkAGUAcgAsACAASABTAFQAQQBDAEsAKABiAGkAbgBfAGwAYQBiAGUAbABzACwAIABmAHIAZQBxACkAKQAsAFwAbgBcAG4AIAAgACAAIABkAGUAbABpAHYAZQByACwAIAAgACAAIAAgACAAIAAgAEkARgAoAEEAZABkAF8AUABhAHIAZQB0AG8APwAsAFMATwBSAFQAKABIAFMAVABBAEMASwAoAHMAdABhAGMAawAsAFYAUwBUAEEAQwBLACgAXAAiAEMAdQBtAHUAbABhAHQAaQB2AGUAIAAlAFwAIgAsACAAUABhAHIAZQB0AG8AKQApACwAMwAsAC0AMQApACwAXABuACAAIAAgACAAIAAgACAAIAAgACAAIAAgACAAIAAgACAAIAAgACAAIAAgACAAIAAgAHMAdABhAGMAawApACwAXABuAFwAbgAgACAAIAAgAGQAZQBsAGkAdgBlAHIAXABuACkAKQApACkAOwBcAG4AXABuAFwAbgBcAG4ALwAqACAAWwBHAFIAMQA0AF0AIAAtAC0ALQAtAC0ALQAtAC0ALQAtAC0ALQAtAC0ALQAtAC0ALQAtAC0ALQAtAC0ALQAtAC0ALQAtAC0ALQAtAC0ALQAtAC0ALQAtAC0ALQAtAC0ALQAtAC0ALQAtAC0ALQAtAC0ALQAtAC0ALQAtAC0ALQAtAC0ALQAtAC0ALQAtAC0ALQAtAC0ALQAtAC0ALQAtAFwAbgBGAHUAbgBjAHQAaQBvAG4AOgAgACAAIAAgACAATQBvAGQAZ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SAGUAdAB1AHIAbgBzACAAYQAgAHYAZQByAHQAaQBjAGEAbAAgAGEAcgByAGEAeQAgAG8AZgAgAHQAaABlACAAbQBvAHMAdAAgAGYAcgBlAHEAdQBlAG4AdABsAHkAIABvAGMAYwB1AHIAcgBpAG4AZwAgAHYAYQBsAHUAZQBzACAAbwByAFwAbgAgACAAIAAgAHQAZQB4AHQAIABlAG4AdAByAGkAZQBzACAAaQBuACAAYQBuACAAYQByAHIAYQB5AC4AIABTAHUAcABwAG8AcgB0AHMAIABhAG4AIABvAHAAdABpAG8AbgBhAGwAIAB0AG8AdABhAGwAcwAgAGMAbwBsAHUAbQBuACAAcwBoAG8AdwBpAG4AZwBcAG4AIAAgACAAIAB0AGgAZQAgAGMAbwB1AG4AdAAgAG8AZgAgAGUAYQBjAGgAIABtAG8AZABlAC4AXABuAFwAbgBQAGEAcgBhAG0AZQB0AGUAcgBzADoAXABuACAAIAAgACAAYQByAHIAYQB5ACAAIAAgACAAIAAgACAAIAAgACAAIAAtACAAQQByAHIAYQB5ACAAKAAxAEQAIABvAHIAIAAyAEQAKQAuAFwAbgAgACAAIAAgAFsAaQBuAGMAbAB1AGQAZQBfAHQAbwB0AGEAbABzAF0ALQAgAFQAUgBVAEUAIACSISAAaQBuAGMAbAB1AGQAZQAgAGMAbwB1AG4AdABzACAAbwBmACAAZgByAGUAcQB1AGUAbgB0ACAAdgBhAGwAdQBlAHMALgBcAG4AXABuAE4AbwB0AGUAcwA6AFwAbgAgACAAIAAgACIgIABJAGYAIAB0AGgAZQAgAGEAcgByAGEAeQAgAGMAbwBuAHQAYQBpAG4AcwAgAG4AbwAgAHQAZQB4AHQALAAgAE0ATwBEAEUALgBNAFUATABUACAAaQBzACAAdQBzAGUAZAAgAGYAbwByACAAbgB1AG0AZQByAGkAYwAgAG0AbwBkAGUALgBcAG4AIAAgACAAIAAiICAASQBmACAAbgBvACAAcgBlAHAAZQBhAHQAcwAgAGUAeABpAHMAdAAsACAAcgBlAHQAdQByAG4AcwAgAFwAIgAjAE4ATwAtAFIARQBQAEUAQQBUAFMAIQBcACIALgBcAG4ALQAtAC0ALQAtAC0ALQAtAC0ALQAtAC0ALQAtAC0ALQAtAC0ALQAtAC0ALQAtAC0ALQAtAC0ALQAtAC0ALQAtAC0ALQAtAC0ALQAtAC0ALQAtAC0ALQAtAC0ALQAtAC0ALQAtAC0ALQAtAC0ALQAtAC0ALQAtAC0ALQAtAC0ALQAtAC0ALQAtAC0ALQAtAC0ALQAtAC0ALQAtAC0AKgAvAFwAbgBcAG4ATQBvAGQAZQC7AyAAPQBcAG4ATABBAE0AQgBEAEEAKABcAG4AIAAgACAAIABhAHIAcgBhAHkALABcAG4AIAAgACAAIABbAGkAbgBjAGwAdQBkAGUAXwB0AG8AdABhAGwAcwBdACwAXABuAFwAbgBJAEYAKABDAE8AVQBOAFQAKAAtAC0ASQBTAFQARQBYAFQAKABhAHIAcgBhAHkAKQApACAAPQAgADAALABNAE8ARABFAC4ATQBVAEwAVAAoAGEAcgByAGEAeQApACwAXABuAFwAbgBMAEUAVAAoAFwAbgAgACAAIAAgAC8ALwAgAE0AZQBzAHMAYQBnAGUAIABmAG8AcgAgAG4AbwAgAHIAZQBwAGUAYQB0AHMAXABuACAAIAAgACAAbQBzAGcALAAgACAAIAAgACAAIAAgACAAIAAgACAAIABcACIAIwBOAE8ALQBSAEUAUABFAEEAVABTACEAXAAiACwAXABuAFwAbgAgACAAIAAgAC8ALwAgAEYAbABhAHQAdABlAG4AIABpAG4AcAB1AHQAIABhAG4AZAAgAGMAbwBtAHAAdQB0AGUAIABtAG8AZABlACAAaQBuAGQAaQBjAGUAcwBcAG4AIAAgACAAIABWACwAIAAgACAAIAAgACAAIAAgACAAIAAgACAAIAAgAFQATwBDAE8ATAAoAGEAcgByAGEAeQApACwAXABuACAAIAAgACAAaQAsACAAIAAgACAAIAAgACAAIAAgACAAIAAgACAAIABNAE8ARABFAC4ATQBVAEwAVAAoAFgATQBBAFQAQwBIACgAVgAsACAAVgApACkALABcAG4AIAAgACAAIAByAGUAcwB1AGwAdAAsACAAIAAgACAAIAAgACAAIAAgAFMATwBSAFQAKABJAEYARQBSAFIATwBSACgASQBOAEQARQBYACgAVgAsACAAaQApACwAIABtAHMAZwApACkALABcAG4AXABuACAAIAAgACAALwAvACAAVABvAHQAYQBsAHMAIABmAG8AcgAgAHIAZQBwAGUAYQB0AGUAZAAgAHYAYQBsAHUAZQBzAFwAbgAgACAAIAAgAGsAZQBlAHAALAAgACAAIAAgACAAIAAgACAAIAAgACAASQBTAE4AVQBNAEIARQBSACgAWABNAEEAVABDAEgAKABWACwAIAByAGUAcwB1AGwAdAApACkALABcAG4AIAAgACAAIAB0AG8AdABhAGwAcwAsACAAIAAgACAAIAAgACAAIAAgAEcAUgBPAFUAUABCAFkAKABWACwAIABWACwAIABDAE8AVQBOAFQAQQAsACAAMAAsACAAMAAsACAALAAgAGsAZQBlAHAAKQAsAFwAbgBcAG4AIAAgACAAIAAvAC8AIABEAGUAbABpAHYAZQByACAAdABvAHQAYQBsAHMAIABpAGYAIAByAGUAcQB1AGUAcwB0AGUAZABcAG4AIAAgACAAIABkAGUAbABpAHYAZQByACwAIAAgACAAIAAgACAAIAAgAEkARgAoAEEATgBEACgAaQBuAGMAbAB1AGQAZQBfAHQAbwB0AGEAbABzACwAIAByAGUAcwB1AGwAdAAgADwAPgAgAG0AcwBnACkALAB0AG8AdABhAGwAcwAsAFwAbgAgACAAIAAgACAAIAAgACAAIAAgACAAIAAgACAAIAAgACAAIAAgACAAIAAgACAAIAByAGUAcwB1AGwAdAApACwAXABuAFwAbgAgACAAIAAgAGQAZQBsAGkAdgBlAHIAXABuACkAKQApADsAXABuAFwAbgBcAG4AXABuAC8AKgAgAFsARwBSADEANQBdACAALQAtAC0ALQAtAC0ALQAtAC0ALQAtAC0ALQAtAC0ALQAtAC0ALQAtAC0ALQAtAC0ALQAtAC0ALQAtAC0ALQAtAC0ALQAtAC0ALQAtAC0ALQAtAC0ALQAtAC0ALQAtAC0ALQAtAC0ALQAtAC0ALQAtAC0ALQAtAC0ALQAtAC0ALQAtAC0ALQAtAC0ALQAtAC0ALQBcAG4ARgB1AG4AYwB0AGkAbwBuADoAIAAgACAAIAAgAFoAbwBuAGUAUwB0AGEAdAC7A1wAbgBDAGEAdABlAGcAbwByAHkAOgAgACAAIAAgACAARwByAGkAZAAgAEEAbgBhAGwAeQB0AGkAYwBzACAAKABTAHQAYQB0AGkAcwB0AGkAYwBzACkAXABuAEEAdQB0AGgAbwByADoAIAAgACAAIAAgACAAIABQAGEAdAByAGkAYwBrACAASAAuAFwAbgBWAGUAcgBzAGkAbwBuADoAIAAgACAAIAAgACAAMQAuADEAXABuAEQAZQBwAGUAbgBkAGUAbgBjAGkAZQBzADoAIABIAGkAcwB0AG8AZwByAGEAbQC7A1wAbgBcAG4ARABlAHMAYwByAGkAcAB0AGkAbwBuADoAXABuACAAIAAgACAAQQBnAGcAcgBlAGcAYQB0AGUAcwAgAHYAYQBsAHUAZQBzACAAYgB5ACAAXAAiAHoAbwBuAGUAcwBcACIAIABkAGUAdABlAHIAbQBpAG4AZQBkACAAYgB5ACAASABpAHMAdABvAGcAcgBhAG0AuwMuACAAVABoAGUAIABiAGkAbgAgAHcAaQBkAHQAaAAgAGkAcwBcAG4AIAAgACAAIABjAG8AbQBwAHUAdABlAGQAIABhAHMAIAAxADAAXgBtACAAdwBoAGUAcgBlACAAbQAgAGkAcwAgAHQAaABlACAAbQBvAHMAdAAgAGYAcgBlAHEAdQBlAG4AdAAgAGkAbgB0AGUAZwBlAHIAIABMAE8ARwAgAG0AYQBnAG4AaQB0AHUAZABlACAAbwBmAFwAbgAgACAAIAAgAHQAaABlACAAdgBhAGwAdQBlAHMALgAgAFMAdQBwAHAAbwByAHQAcwAgAEUAVABBACAAZgB1AG4AYwB0AGkAbwBuAHMAIABhAG4AZAAgAGMAdQBzAHQAbwBtACAATABBAE0AQgBEAEEAcwAuAFwAbgBcAG4AUABhAHIAYQBtAGUAdABlAHIAcwA6AFwAbgAgACAAIAAgAGcAcgBpAGQAIAAgACAAIAAgACAAIAAgAC0AIABOAHUAbQBlAHIAaQBjACAAYQByAHIAYQB5ACAAKAAxAEQAIABvAHIAIAAyAEQAKQAuAFwAbgAgACAAIAAgAFsAZgB1AG4AYwB0AGkAbwBuAF0AIAAgAC0AIABFAFQAQQAgAG8AcgAgAEwAQQBNAEIARABBACAAYQBnAGcAcgBlAGcAYQB0AGkAbwBuACAAZgB1AG4AYwB0AGkAbwBuACAAKABkAGUAZgBhAHUAbAB0ACAAUwBVAE0AKQAuAFwAbgBcAG4ATgBvAHQAZQBzADoAXABuACAAIAAgACAAIiAgAFMAYwBhAGwAYQByAHMAIAByAGUAdAB1AHIAbgAgAGYAdQBuAGMAdABpAG8AbgAoAGcAcgBpAGQAKQAuAFwAbgAgACAAIAAgACIgIABOAG8AbgARIG4AdQBtAGUAcgBpAGMAIABnAHIAaQBkAHMAIAByAGUAdAB1AHIAbgAgACMAVgBBAEwAVQBFACEALgBcAG4AIAAgACAAIAAiICAAWgBvAG4AZQBzACAAYQByAGUAIABhAHMAcwBpAGcAbgBlAGQAIAB2AGkAYQAgAEgAaQBzAHQAbwBnAHIAYQBtALsDIAB1AHMAaQBuAGcAIABhAHUAdABvAG0AYQB0AGkAYwAgAGIAaQBuAG4AaQBuAGcALgBcAG4ALQAtAC0ALQAtAC0ALQAtAC0ALQAtAC0ALQAtAC0ALQAtAC0ALQAtAC0ALQAtAC0ALQAtAC0ALQAtAC0ALQAtAC0ALQAtAC0ALQAtAC0ALQAtAC0ALQAtAC0ALQAtAC0ALQAtAC0ALQAtAC0ALQAtAC0ALQAtAC0ALQAtAC0ALQAtAC0ALQAtAC0ALQAtAC0ALQAtAC0ALQAtAC0AKgAvAFwAbgBcAG4AWgBvAG4AZQBTAHQAYQB0ALsDIAA9AFwAbgBMAEEATQBCAEQAQQAoAFwAbgAgACAAIAAgAGcAcgBpAGQALABcAG4AIAAgACAAIABbAGYAdQBuAGMAdABpAG8AbgBdACwAXABuAFwAbgBMAEUAVAAoAFwAbgAgACAAIAAgAC8ALwAgAEQAZQBmAGEAdQBsAHQAIABhAGcAZwByAGUAZwBhAHQAaQBvAG4AIABmAHUAbgBjAHQAaQBvAG4AXABuACAAIAAgACAAZgB1AG4AYwB0AGkAbwBuACwAIAAgACAAIAAgACAAIAAgACAAIAAgAEkARgAoAEkAUwBPAE0ASQBUAFQARQBEACgAZgB1AG4AYwB0AGkAbwBuACkALAAgAFMAVQBNACwAIABmAHUAbgBjAHQAaQBvAG4AKQAsAFwAbgBcAG4AIAAgACAAIAAvAC8AIAAtAC0ALQAgAFYAYQBsAGkAZABhAHQAaQBvAG4AIAAtAC0ALQBcAG4AIAAgACAAIABJAHMATgBvAG4ATgB1AG0APwAsACAAIAAgACAAIAAgACAAIAAgACAAQQBOAEQAKABJAFMAVABFAFgAVAAoAGcAcgBpAGQAKQApACwAXABuACAAIAAgACAASQBuAHYAYQBsAGkAZABGAG4APwAsACAAIAAgACAAIAAgACAAIAAgAFQAWQBQAEUAKABmAHUAbgBjAHQAaQBvAG4AKQAgADwAPgAgADEAMgA4ACwAXABuACAAIAAgACAASQBzAFMAYwBhAGwAYQByAD8ALAAgACAAIAAgACAAIAAgACAAIAAgAEEATgBEACgAUgBPAFcAUwAoAGcAcgBpAGQAKQA9ADEALAAgAEMATwBMAFUATQBOAFMAKABnAHIAaQBkACkAPQAxACkALABcAG4AXABuACAAIAAgACAALwAvACAATABvAGcAaQBjACAAZwBhAHQAZQBcAG4AIAAgACAAIABJAEYAKABJAHMATgBvAG4ATgB1AG0APwAsACAAIAAgACAAIAAgACAAIAAgACAAIwBWAEEATABVAEUAIQAsAFwAbgBcAG4AIAAgACAAIAAgACAAIAAgAEkARgAoAEkAbgB2AGEAbABpAGQARgBuAD8ALAAgACAAIAAgACAAXAAiACMARgBVAE4AQwBUAEkATwBOACEAXAAiACwAXABuAFwAbgAgACAAIAAgACAAIAAgACAAIAAgACAAIABJAEYAKABJAHMAUwBjAGEAbABhAHIAPwAsACAAIABmAHUAbgBjAHQAaQBvAG4AKABnAHIAaQBkACkALABcAG4AXABuAEwARQBUACgAXABuACAAIAAgACAALwAvACAARABlAHQAZQByAG0AaQBuAGUAIABiAGkAbgAgAHcAaQBkAHQAaAAgAGYAcgBvAG0AIABtAGEAZwBuAGkAdAB1AGQAZQBcAG4AIAAgACAAIABtAGEAZwAsACAAIAAgACAAIAAgACAAIAAgACAAIAAgACAAIAAgACAASQBGAEUAUgBSAE8AUgAoAE0ATwBEAEUAKABJAE4AVAAoAEwATwBHACgAZwByAGkAZAApACkAKQAsACAAMQApACwAXABuACAAIAAgACAAYgBpAG4AXwB3AGkAZAB0AGgALAAgACAAIAAgACAAIAAgACAAIAAgADEAMAAgAF4AIABtAGEAZwAsAFwAbgBcAG4AIAAgACAAIAAvAC8AIABIAGkAcwB0AG8AZwByAGEAbQAgAGIAaQBuAHMAIAAoAGYAaQByAHMAdAAgAGMAbwBsAHUAbQBuACAAbwBuAGwAeQApAFwAbgAgACAAIAAgAGgAaQBzAHQALAAgACAAIAAgACAAIAAgACAAIAAgACAAIAAgACAAIABUAEEASwBFACgARABSAE8AUAAoAEgAaQBzAHQAbwBnAHIAYQBtALsDKABnAHIAaQBkACwAIABiAGkAbgBfAHcAaQBkAHQAaAApACwAIAAyACkALAAgACwAIAAxACkALABcAG4AXABuACAAIAAgACAALwAvACAAQQBzAHMAaQBnAG4AIAB6AG8AbgBlAHMAXABuACAAIAAgACAAegBvAG4AZQBzACwAIAAgACAAIAAgACAAIAAgACAAIAAgACAAIAAgAEkARgBOAEEAKABYAE0AQQBUAEMASAAoAGcAcgBpAGQALAAgAGgAaQBzAHQALAAgAC0AMQApACwAIAAwACkALABcAG4AXABuACAAIAAgACAALwAvACAARgBsAGEAdAB0AGUAbgAgAGEAcgByAGEAeQBzAFwAbgAgACAAIAAgAGcALAAgACAAIAAgACAAIAAgACAAIAAgACAAIAAgACAAIAAgACAAIABUAE8AQwBPAEwAKABnAHIAaQBkACkALABcAG4AIAAgACAAIAB6ACwAIAAgACAAIAAgACAAIAAgACAAIAAgACAAIAAgACAAIAAgACAAVABPAEMATwBMACgAegBvAG4AZQBzACkALABcAG4AXABuACAAIAAgACAALwAvACAAQQBnAGcAcgBlAGcAYQB0AGUAIABiAHkAIAB6AG8AbgBlAFwAbgAgACAAIAAgAGEAZwBnACwAIAAgACAAIAAgACAAIAAgACAAIAAgACAAIAAgACAAIABHAFIATwBVAFAAQgBZACgAegAsACAAZwAsACAAZgB1AG4AYwB0AGkAbwBuACwAIAAsACAAMAApACwAXABuACAAIAAgACAAegBvAG4AZQBfAEkARABzACwAIAAgACAAIAAgACAAIAAgACAAIAAgAFQAQQBLAEUAKABhAGcAZwAsACAALAAgADEAKQAsAFwAbgAgACAAIAAgAGcAcgBpAGQAXwB2AGEAbAB1AGUAcwAsACAAIAAgACAAIAAgACAAIABUAEEASwBFACgAYQBnAGcALAAgACwAIAAtADEAKQAsAFwAbgBcAG4AIAAgACAAIAAvAC8AIABCAHIAbwBhAGQAYwBhAHMAdAAgAGEAZwBnAHIAZQBnAGEAdABlAGQAIAB2AGEAbAB1AGUAcwAgAGIAYQBjAGsAIAB0AG8AIABnAHIAaQBkACAAcwBoAGEAcABlAFwAbgAgACAAIAAgAGYAaQBuAGEAbAAsACAAIAAgACAAIAAgACAAIAAgACAAIAAgACAAIABYAEwATwBPAEsAVQBQACgAegBvAG4AZQBzACwAIAB6AG8AbgBlAF8ASQBEAHMALAAgAGcAcgBpAGQAXwB2AGEAbAB1AGUAcwAsACAAMAApACwAXABuAFwAbgAgACAAIAAgAGYAaQBuAGEAbABcAG4AKQApACkAKQApACkAOwBcAG4AXABuAFwAbgBcAG4ALwAvACAAWwBUAFgAXQAgAC0ALQAtAC0ALQAtAC0ALQAtAC0ALQAtAC0ALQAtAC0ALQAtAC0ALQAtAC0ALQAtAC0ALQAtAC0ALQAtAC0ALQAtAC0ALQAtAC0ALQAtAC0ALQAtAC0ALQAtAC0ALQAtAC0ALQAtAC0ALQAtAC0ALQAtAC0ALQAtAC0ALQAtAC0ALQAtAC0ALQAtAC0ALQAtAC0ALQAtAC0ALQBcAG4ALwAvACAALQAtAC0AIwAjACAAMAA3ACAAFCAgAFQAZQB4AHQ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kAcwAgAGMAYQB0AGUAZwBvAHIAeQAgAHAAcgBvAHYAaQBkAGUAcwAgAG8AcABlAHIAYQB0AG8AcgBzACAAdABoAGEAdAAgAG8AdgBlAHIAYwBvAG0AZQAgAGMAbwBtAG0AbwBuACAAbABpAG0AaQB0AGEAdABpAG8AbgBzACAAaQBuAFwAbgAgACAAIAAgAEUAeABjAGUAbAAnAHMAIABuAGEAdABpAHYAZQAgAHQAZQB4AHQAIABlAG4AZwBpAG4AZQAgACgAZQAuAGcALgAsACAAVABFAFgAVABTAFAATABJAFQAIABjAGEAbgBuAG8AdAAgAHMAcABpAGwAbAAgADIARAAgAHIAZQBzAHUAbAB0AHMAOwAgAEIAWQBSAE8AVwBcAG4AIAAgACAAIABjAGEAbgBuAG8AdAAgAGQAZQBwAGwAbwB5ACAAUwBPAFIAVAAgAHQAbwAgAGEAbABpAGcAbgAgAGMAbwBsAHUAbQBuAHMAKQAuACAAVABoAGUAcwBlACAAZgB1AG4AYwB0AGkAbwBuAHMAIABlAG4AYQBiAGwAZQAgAHMAdAByAHUAYwB0AHUAcgBhAGwAXABuACAAIAAgACAAYQBsAGkAZwBuAG0AZQBuAHQALAAgAGUAeAB0AHIAYQBjAHQAaQBvAG4ALAAgAGEAbgBkACAAdAByAGEAbgBzAGYAbwByAG0AYQB0AGkAbwBuACAAbwBmACAAdABlAHgAdAAgAGEAcgByAGEAeQBzACwAIABlAHgAdABlAG4AZABpAG4AZwAgAEUAeABjAGUAbAAnAHMAXABuACAAIAAgACAAYwBhAHAAYQBiAGkAbABpAHQAaQBlAHMAIABmAG8AcgAgAGIAbwB0AGgAIAAxAEQAIABhAG4AZAAgADIARAAgAGkAbgBwAHUAdABzAC4AXABuAFwAbgBGAHUAbgBjAHQAaQBvAG4AcwA6AFwAbgAgACAAIAAgACIgIABBAGwAaQBnAG4AuwNcAG4AIAAgACAAIAAgACAAIAAgAFMAbwByAHQAcwAgAGUAYQBjAGgAIAByAG8AdwAgAG8AcgAgAGMAbwBsAHUAbQBuACAAYQBsAHAAaABhAGIAZQB0AGkAYwBhAGwAbAB5AC4AXABuAFwAbgAgACAAIAAgACIgIABBAGwAaQBnAG4ARABpAHMAdABpAG4AYwB0ALsDXABuACAAIAAgACAAIAAgACAAIABDAGEAbABsAHMAIABBAGwAaQBnAG4AuwMgAHQAbwAgAHMAbwByAHQAIABhACAAMgBEACAAYQByAHIAYQB5ACwAIAB0AGgAZQBuACAAcgBlAHQAdQByAG4AcwAgAGQAaQBzAHQAaQBuAGMAdAAgAHYAYQBsAHUAZQBzAC4AXABuAFwAbgAgACAAIAAgACIgIABBAGwAaQBnAG4AVQBuAGkAcQB1AGUAuwNcAG4AIAAgACAAIAAgACAAIAAgAEMAYQBsAGwAcwAgAEEAbABpAGcAbgC7AyAAdABvACAAcwBvAHIAdAAgAGEAIAAyAEQAIABhAHIAcgBhAHkALAAgAHQAaABlAG4AIAByAGUAdAB1AHIAbgBzACAAdQBuAGkAcQB1AGUAIAB2AGEAbAB1AGUAcwAuAFwAbgBcAG4AIAAgACAAIAAiICAAQwBvAGEAbABlAHMAYwBlALsDXABuACAAIAAgACAAIAAgACAAIABSAGUAdAB1AHIAbgBzACAAdABoAGUAIABmAGkAcgBzAHQAIABuAG8AbgARIGUAbQBwAHQAeQAgAHYAYQBsAHUAZQAgAGEAYwByAG8AcwBzACAAbQB1AGwAdABpAHAAbABlACAAMgBEACAAYQByAHIAYQB5AHMAIAAoADIAIAB0AG8AIAA0ACAAaQBuAHAAdQB0AHMAKQAuAFwAbgBcAG4AIAAgACAAIAAiICAARQB4AHAAbABvAGQAZQC7A1wAbgAgACAAIAAgACAAIAAgACAAQwBvAG4AdgBlAHIAdABzACAAYQAgAHMAYwBhAGwAYQByACwAIAAxAEQAIABhAHIAcgBhAHkALAAgAG8AcgAgADIARAAgAGEAcgByAGEAeQAgAGkAbgB0AG8AIABhAG4AIABlAHgAcABsAG8AZABlAGQAIABjAGgAYQByAGEAYwB0AGUAcgAgAGEAcgByAGEAeQAuAFwAbgBcAG4AIAAgACAAIAAiICAATgB1AG0AYgBlAHIAcwBPAG4AbAB5ALsDXABuACAAIAAgACAAIAAgACAAIABFAHgAdAByAGEAYwB0AHMAIABuAHUAbQBlAHIAaQBjACAAdgBhAGwAdQBlAHMAIABmAHIAbwBtACAAYQAgAHMAYwBhAGwAYQByACwAIAAxAEQAIABhAHIAcgBhAHkALAAgAG8AcgAgADIARAAgAGEAcgByAGEAeQAuAFwAbgBcAG4AIAAgACAAIAAiICAAVABlAHgAdABPAG4AbAB5ALsDXABuACAAIAAgACAAIAAgACAAIABFAHgAdAByAGEAYwB0AHMAIAB0AGUAeAB0ACAAdgBhAGwAdQBlAHMAIABmAHIAbwBtACAAYQAgAHMAYwBhAGwAYQByACwAIAAxAEQAIABhAHIAcgBhAHkALAAgAG8AcgAgADIARAAgAGEAcgByAGEAeQAuAFwAbgBcAG4AIAAgACAAIAAiICAAUwBwAGwAaQB0ALsDXABuACAAIAAgACAAIAAgACAAIABTAHAAbABpAHQAcwAgADEARAAgAHQAZQB4AHQAIABhAHIAcgBhAHkAcwAgAHUAcwBpAG4AZwAgAGEAIABzAHAAZQBjAGkAZgBpAGUAZAAgAGQAZQBsAGkAbQBpAHQAZQByACwAIAB3AGkAdABoACAAZgB1AGwAbAAgADIARAAgAHMAcABpAGwAbAAgAHMAdQBwAHAAbwByAHQALgBcAG4AKgAvAFwAbgBcAG4AXABuAFwAbgAvACoAIABbAFQAWAAwADEAXQAgAC0ALQAtAC0ALQAtAC0ALQAtAC0ALQAtAC0ALQAtAC0ALQAtAC0ALQAtAC0ALQAtAC0ALQAtAC0ALQAtAC0ALQAtAC0ALQAtAC0ALQAtAC0ALQAtAC0ALQAtAC0ALQAtAC0ALQAtAC0ALQAtAC0ALQAtAC0ALQAtAC0ALQAtAC0ALQAtAC0ALQAtAC0ALQAtAC0AXABuAEYAdQBuAGMAdABpAG8AbgA6ACAAIAAgACAAIAAgACAAIABBAGwAaQBnAG4AuwNcAG4AQwBhAHQAZQBnAG8AcgB5ADoAIAAgACAAIAAgACAAIAAgAFQAZQB4AHQAXABuAEEAdQB0AGgAbwByADoAIAAgACAAIAAgACAAIAAgACAAIABQAGEAdAByAGkAYwBrACAASAAuAFwAbgBWAGUAcgBzAGkAbwBuADoAIAAgACAAIAAgACAAIAAgACAAMQAuADEAXABuAEQAZQBwAGUAbgBkAGUAbgBjAGkAZQBzADoAIAAgACAAIABTAHAAbABpAHQAuwNcAG4AXABuAEQAZQBzAGMAcgBpAHAAdABpAG8AbgA6AFwAbgAgACAAIAAgAFMAbwByAHQAcwAgAGUAYQBjAGgAIAByAG8AdwAgAGEAbABwAGgAYQBiAGUAdABpAGMAYQBsAGwAeQAgACgAZABlAGYAYQB1AGwAdAApACAAbwByACAAZQBhAGMAaAAgAGMAbwBsAHUAbQBuACAAdwBoAGUAbgBcAG4AIAAgACAAIABiAHkAXwBjAG8AbAAgAD0AIABUAFIAVQBFAC4AIABPAHIAaQBlAG4AdABhAHQAaQBvAG4AIABpAHMAIABuAG8AcgBtAGEAbABpAHoAZQBkACAAaQBuAHQAZQByAG4AYQBsAGwAeQAgAHMAbwAgAHQAaABlAFwAbgAgACAAIAAgAHMAYQBtAGUAIABwAGkAcABlAGwAaQBuAGUAIABoAGEAbgBkAGwAZQBzACAAYgBvAHQAaAAgAG0AbwBkAGUAcwAuACAAUwBvAHIAdABpAG4AZwAgAGkAcwAgAGwAZQB4AGkAYwBvAGcAcgBhAHAAaABpAGMAXABuACAAIAAgACAAYQBuAGQAIABjAGEAcwBlABEgcwBlAG4AcwBpAHQAaQB2AGUALgBcAG4AXABuAFAAYQByAGEAbQBlAHQAZQByAHMAOgBcAG4AIAAgACAAIABhAHIAcgBhAHkAIAAgACAAIAAgACAAIAAtACAAMgBEACAAYQByAHIAYQB5ACAAdABvACAAYgBlACAAYQBsAGkAZwBuAGUAZAAuAFwAbgAgACAAIAAgAFsAYgB5AF8AYwBvAGwAXQAgACAAIAAgAC0AIABPAHAAdABpAG8AbgBhAGwALgAgAFQAUgBVAEUAIACSISAAcwBvAHIAdAAgAGUAYQBjAGgAIABjAG8AbAB1AG0AbgAgAHQAbwBwABEgdABvABEgYgBvAHQAdABvAG0ALgBcAG4AIAAgACAAIAAgACAAIAAgACAAIAAgACAAIAAgACAAIAAgACAATwBtAGkAdAB0AGUAZAAgAJIhIABzAG8AcgB0ACAAZQBhAGMAaAAgAHIAbwB3ACAAbABlAGYAdAARIHQAbwARIHIAaQBnAGgAdAAuAFwAbgBcAG4ATgBvAHQAZQBzADoAXABuACAAIAAgACAAIiAgAFUAcwBlAHMAIABUAEUAWABUAEoATwBJAE4AIAArACAAUwBwAGwAaQB0ALsDIABmAG8AcgAgAGYAYQBzAHQAIAByAG8AdwARIHcAaQBzAGUAIABjAGEAbgBvAG4AaQBjAGEAbABpAHoAYQB0AGkAbwBuAC4AXABuAC0ALQAtAC0ALQAtAC0ALQAtAC0ALQAtAC0ALQAtAC0ALQAtAC0ALQAtAC0ALQAtAC0ALQAtAC0ALQAtAC0ALQAtAC0ALQAtAC0ALQAtAC0ALQAtAC0ALQAtAC0ALQAtAC0ALQAtAC0ALQAtAC0ALQAtAC0ALQAtAC0ALQAtAC0ALQAtAC0ALQAtAC0ALQAtAC0ALQAtAC0ALQAtACoALwBcAG4AXABuAEEAbABpAGcAbgC7AyAAPQBcAG4ATABBAE0AQgBEAEEAKABcAG4AIAAgACAAIABhAHIAcgBhAHkALABcAG4AIAAgACAAIABbAGIAeQBfAGMAbwBsAF0ALABcAG4AXABuAEwARQBUACgAXABuACAAIAAgACAALwAvACAARABlAHQAZQByAG0AaQBuAGUAIABzAG8AcgB0ACAAbwByAGkAZQBuAHQAYQB0AGkAbwBuAFwAbgAgACAAIAAgAEkAcwBSAG8AdwBTAG8AcgB0AD8ALAAgAEkAUwBPAE0ASQBUAFQARQBEACgAYgB5AF8AYwBvAGwAKQAsAFwAbgBcAG4AIAAgACAAIAAvAC8AIABOAG8AcgBtAGEAbABpAHoAZQAgAG8AcgBpAGUAbgB0AGEAdABpAG8AbgAgACgAYQBsAHcAYQB5AHMAIABzAG8AcgB0ACAAcgBvAHcAcwApAFwAbgAgACAAIAAgAGEAcgByAGEAeQAsACAAIAAgACAAIAAgAEkARgAoAEkAcwBSAG8AdwBTAG8AcgB0AD8ALAAgAGEAcgByAGEAeQAsACAAVABSAEEATgBTAFAATwBTAEUAKABhAHIAcgBhAHkAKQApACwAXABuAFwAbgAgACAAIAAgAC8ALwAgAFIAbwB3ABEgdwBpAHMAZQAgAHMAbwByAHQAIACSISAAcwBjAGEAbABhAHIAIABqAG8AaQBuACAAdwBpAHQAaAAgAGkAbgB2AGkAcwBpAGIAbABlACAAcwBlAHAAYQByAGEAdABvAHIAXABuACAAIAAgACAAaQBuAHYAaQBzACwAIAAgACAAIAAgACAAVQBOAEkAQwBIAEEAUgAoADgAMgA5ADEAKQAsAFwAbgAgACAAIAAgAFIAbwB3AFMAbwByAHQAuwMsACAAIAAgAEwAQQBNAEIARABBACgAdgAsACAAVABFAFgAVABKAE8ASQBOACgAaQBuAHYAaQBzACwAIAAsACAAUwBPAFIAVAAoAHYALAAgACwAIAAsACAAMQApACkAKQAsAFwAbgBcAG4AIAAgACAAIAAvAC8AIABDAG8AbgB2AGUAcgB0ACAAZQBhAGMAaAAgAHIAbwB3ACAAdABvACAAYQAgAGoAbwBpAG4AZQBkACAAcwB0AHIAaQBuAGcAXABuACAAIAAgACAAagBvAGkAbgBlAGQALAAgACAAIAAgACAAQgBZAFIATwBXACgAYQByAHIAYQB5ACwAIABSAG8AdwBTAG8AcgB0ALsDKQAsAFwAbgBcAG4AIAAgACAAIAAvAC8AIABTAHAAbABpAHQAIABiAGEAYwBrACAAaQBuAHQAbwAgAGMAbwBsAHUAbQBuAHMAXABuACAAIAAgACAAZQB4ACwAIAAgACAAIAAgACAAIAAgACAAUwBwAGwAaQB0ALsDKABqAG8AaQBuAGUAZAAsACAAaQBuAHYAaQBzACkALABcAG4AXABuACAAIAAgACAALwAvACAAUgBlAHMAdABvAHIAZQAgAG8AcgBpAGcAaQBuAGEAbAAgAG8AcgBpAGUAbgB0AGEAdABpAG8AbgBcAG4AIAAgACAAIABmAGkAbgBhAGwALAAgACAAIAAgACAAIABJAEYAKABJAHMAUgBvAHcAUwBvAHIAdAA/ACwAIABlAHgALAAgAFQAUgBBAE4AUwBQAE8AUwBFACgAZQB4ACkAKQAsAFwAbgBcAG4AIAAgACAAIABmAGkAbgBhAGwAXABuACkAKQA7AFwAbgBcAG4AXABuAFwAbgAvACoAIABbAFQAWAAwADIAXQAgAC0ALQAtAC0ALQAtAC0ALQAtAC0ALQAtAC0ALQAtAC0ALQAtAC0ALQAtAC0ALQAtAC0ALQAtAC0ALQAtAC0ALQAtAC0ALQAtAC0ALQAtAC0ALQAtAC0ALQAtAC0ALQAtAC0ALQAtAC0ALQAtAC0ALQAtAC0ALQAtAC0ALQAtAC0ALQAtAC0ALQAtAC0ALQAtAC0AXABuAEYAdQBuAGMAdABpAG8AbgA6ACAAIAAgACAAIAAgACAAIABBAGwAaQBnAG4ARABpAHMAdABpAG4AYwB0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ZABpAHMAdABpAG4AYwB0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RABJAFMAVABJAE4AQwBUACAAcgBlAG0AbwB2AGUAcwAgAGUAeABhAGMAdAAgAGQAdQBwAGwAaQBjAGEAdA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EQAaQBzAHQAaQBuAGMAdA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EQAaQBzAHQAaQBuAGMAdAAgAHIAZQBtAG8AdgBhAGwAXABuACAAIAAgACAAdQAsACAAIAAgACAAIAAgACAAIAAgACAAVQBOAEkAUQBVAEUAKABhAGwAaQBnAG4AZQBkACwAIABTAG8AcgB0AEIAeQBDAG8AbAA/ACwAIABUAFIAVQBFACkALABcAG4AXABuACAAIAAgACAAdQBcAG4AKQApADsAXABuAFwAbgBcAG4AXABuAC8AKgAgAFsAVABYADAAMwBdACAALQAtAC0ALQAtAC0ALQAtAC0ALQAtAC0ALQAtAC0ALQAtAC0ALQAtAC0ALQAtAC0ALQAtAC0ALQAtAC0ALQAtAC0ALQAtAC0ALQAtAC0ALQAtAC0ALQAtAC0ALQAtAC0ALQAtAC0ALQAtAC0ALQAtAC0ALQAtAC0ALQAtAC0ALQAtAC0ALQAtAC0ALQAtAC0ALQBcAG4ARgB1AG4AYwB0AGkAbwBuADoAIAAgACAAIAAgACAAIAAgAEEAbABpAGcAbgBVAG4AaQBxAHUAZQC7A1wAbgBDAGEAdABlAGcAbwByAHkAOgAgACAAIAAgACAAIAAgACAAVABlAHgAdABcAG4AQQB1AHQAaABvAHIAOgAgACAAIAAgACAAIAAgACAAIAAgAFAAYQB0AHIAaQBjAGsAIABIAC4AXABuAFYAZQByAHMAaQBvAG4AOgAgACAAIAAgACAAIAAgACAAIAAxAC4AMQBcAG4ARABlAHAAZQBuAGQAZQBuAGMAaQBlAHMAOgAgACAAIAAgAEEAbABpAGcAbgC7A1wAbgBcAG4ARABlAHMAYwByAGkAcAB0AGkAbwBuADoAXABuACAAIAAgACAAQwBhAGwAbABzACAAQQBsAGkAZwBuALsDIAB0AG8AIABhAGwAcABoAGEAYgBlAHQAaQBjAGEAbABsAHkAIABzAG8AcgB0ACAAZQBhAGMAaAAgAHIAbwB3ACAAbwByACAAYwBvAGwAdQBtAG4ALAAgAHQAaABlAG4AIAByAGUAdAB1AHIAbgBzAFwAbgAgACAAIAAgAHUAbgBpAHEAdQBl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VQBOAEkAUQBVAEUAIAByAGUAbQBvAHYAZQBzACAAcgBlAHAAZQBhAHQAZQBkACAAcgBvAHcAcwAvAGMAbwBsAHUAbQBuAHMAIABiAHUAdAAgAHAAcgBlAHMAZQByAHYAZQBzACAAZgBpAHIAcwB0ACAAbwBjAGMAdQByAHIAZQBuAGMAZQBzAC4AXABuACAAIAAgACAAIiAgAE8AcgBpAGUAbgB0AGEAdABpAG8AbgAgAGkAcwAgAHAAcgBlAHMAZQByAHYAZQBkAC4AXABuAC0ALQAtAC0ALQAtAC0ALQAtAC0ALQAtAC0ALQAtAC0ALQAtAC0ALQAtAC0ALQAtAC0ALQAtAC0ALQAtAC0ALQAtAC0ALQAtAC0ALQAtAC0ALQAtAC0ALQAtAC0ALQAtAC0ALQAtAC0ALQAtAC0ALQAtAC0ALQAtAC0ALQAtAC0ALQAtAC0ALQAtAC0ALQAtAC0ALQAtAC0ALQAtACoALwBcAG4AXABuAEEAbABpAGcAbgBVAG4AaQBxAHUAZQ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FUAbgBpAHEAdQBlACAAcgBlAG0AbwB2AGEAbABcAG4AIAAgACAAIAB1ACwAIAAgACAAIAAgACAAIAAgACAAIABVAE4ASQBRAFUARQAoAGEAbABpAGcAbgBlAGQALAAgAFMAbwByAHQAQgB5AEMAbwBsAD8AKQAsAFwAbgBcAG4AIAAgACAAIAB1AFwAbgApACkAOwBcAG4AXABuAFwAbgBcAG4ALwAqACAAWwBUAFgAMAA0AF0AIAAtAC0ALQAtAC0ALQAtAC0ALQAtAC0ALQAtAC0ALQAtAC0ALQAtAC0ALQAtAC0ALQAtAC0ALQAtAC0ALQAtAC0ALQAtAC0ALQAtAC0ALQAtAC0ALQAtAC0ALQAtAC0ALQAtAC0ALQAtAC0ALQAtAC0ALQAtAC0ALQAtAC0ALQAtAC0ALQAtAC0ALQAtAC0ALQAtAFwAbgBGAHUAbgBjAHQAaQBvAG4AOgAgACAAIAAgACAAIAAgACAAQwBvAGEAbABlAHMAYwBlALsDXABuAEMAYQB0AGUAZwBvAHIAeQA6ACAAIAAgACAAIAAgACAAIABUAGUAeAB0AFwAbgBBAHUAdABoAG8AcgA6ACAAIAAgACAAIAAgACAAIAAgACAAUABhAHQAcgBpAGMAawAgAEgALgBcAG4AVgBlAHIAcwBpAG8AbgA6ACAAIAAgACAAIAAgACAAIAAgADEALgAxAFwAbgBcAG4ARABlAHMAYwByAGkAcAB0AGkAbwBuADoAXABuACAAIAAgACAAUgBlAHQAdQByAG4AcwAgAHQAaABlACAAZgBpAHIAcwB0ACAAbgBvAG4AESBlAG0AcAB0AHkAIAB2AGEAbAB1AGUAIABhAGMAcgBvAHMAcwAgAG0AdQBsAHQAaQBwAGwAZQAgADIARAAgAGEAcgByAGEAeQBzACAAKAAyACAAdABvACAANAAgAGkAbgBwAHUAdABzACkALABcAG4AIAAgACAAIABlAHYAYQBsAHUAYQB0AGUAZAAgAGkAbgAgAHAAcgBpAG8AcgBpAHQAeQAgAG8AcgBkAGUAcgA6AFwAbgBcAG4AIAAgACAAIAAgACAAIAAgAGEAcgByAGEAeQBfADEAIACSISAAYQByAHIAYQB5AF8AMgAgAJIhIABhAHIAcgBhAHkAXwAzACAAkiEgAGEAcgByAGEAeQBfADQAIACSISAAZgBpAGwAbABfAHYAYQBsAHUAZQBcAG4AXABuACAAIAAgACAAQQAgAGMAZQBsAGwAIABpAHMAIABjAG8AbgBzAGkAZABlAHIAZQBkACAAXAAiAGUAbQBwAHQAeQBcACIAIABpAGYAIABpAHQAIABtAGEAdABjAGgAZQBzACAAYQBuAHkAIABvAGYAIAB0AGgAZQAgAGYAbwBsAGwAbwB3AGkAbgBnADoAXABuACAAIAAgACAAIAAgACAAIAAiICAATABFAE4AKABjAGUAbABsACkAIAA9ACAAMABcAG4AIAAgACAAIAAgACAAIAAgACIgIABjAGUAbABsACAAPQAgAEYAQQBMAFMARQBcAG4AIAAgACAAIAAgACAAIAAgACIgIABjAGUAbABsACAAPQAgAGkAZwBuAG8AcgBlACAAIAAgACgAdQBzAGUAcgARIHMAcABlAGMAaQBmAGkAZQBkACkAXABuAFwAbgAgACAAIAAgAEUAbQBwAHQAeQAgAGMAZQBsAGwAcwAgAGEAcgBlACAAcwBrAGkAcABwAGUAZAAgAHcAaABlAG4AIABkAGUAdABlAHIAbQBpAG4AaQBuAGcAIAB0AGgAZQAgAG8AdQB0AHAAdQB0ACAAdgBhAGwAdQBlAC4AIABUAGgAaQBzACAAZgB1AG4AYwB0AGkAbwBuACAAaQBzAFwAbgAgACAAIAAgAHUAcwBlAGYAdQBsACAAZgBvAHIAIAByAGUAYwBvAG0AcABvAHMAaQBuAGcAIABtAGEAcwBrAGUAZAAgAG8AcgAgAGwAYQB5AGUAcgBlAGQAIABhAHIAcgBhAHkAcwAgACgAZQAuAGcALgAsACAAcgBpAG4AZwBzACkAIABpAG4AdABvACAAYQAgAHMAaQBuAGcAbABlAFwAbgAgACAAIAAgAGMAbwBoAGUAcgBlAG4AdAAgAGcAcgBpAGQAIABhAGYAdABlAHIAIAB0AHIAYQBuAHMAZgBvAHIAbQBhAHQAaQBvAG4AcwAuAFwAbgBcAG4AUABhAHIAYQBtAGUAdABlAHIAcwA6AFwAbgAgACAAIAAgAGEAcgByAGEAeQBfADEAIAAgACAAIAAgACAAIAAtACAAUgBlAHEAdQBpAHIAZQBkACAAMgBEACAAYQByAHIAYQB5AC4AXABuACAAIAAgACAAYQByAHIAYQB5AF8AMgAgACAAIAAgACAAIAAgAC0AIABSAGUAcQB1AGkAcgBlAGQAIAAyAEQAIABhAHIAcgBhAHkALgBcAG4AXABuAE8AcAB0AGkAbwBuAGEAbAA6AFwAbgAgACAAIAAgAFsAYQByAHIAYQB5AF8AMwBdACAAIAAgACAAIAAtACAATwBwAHQAaQBvAG4AYQBsACAAMgBEACAAYQByAHIAYQB5AC4AXABuACAAIAAgACAAWwBhAHIAcgBhAHkAXwA0AF0AIAAgACAAIAAgAC0AIABPAHAAdABpAG8AbgBhAGwAIAAyAEQAIABhAHIAcgBhAHkALgBcAG4AIAAgACAAIABbAGkAZwBuAG8AcgBlAF0AIAAgACAAIAAgACAALQAgAFYAYQBsAHUAZQAgAHQAcgBlAGEAdABlAGQAIABhAHMAIABlAG0AcAB0AHkAIABkAHUAcgBpAG4AZwAgAG8AYwBjAHUAcABhAG4AYwB5ACAAZQB2AGEAbAB1AGEAdABpAG8AbgAuAFwAbgAgACAAIAAgAFsAZgBpAGwAbABfAHYAYQBsAHUAZQBdACAAIAAtACAAUwBjAGEAbABhAHIAIAB1AHMAZQBkACAAdwBoAGUAbgAgAGEAbABsACAAYQByAHIAYQB5AHMAIABzAHUAcABwAGwAeQAgAGEAbgAgAGUAbQBwAHQAeQAgAHYAYQBsAHUAZQAuAFwAbgAtAC0ALQAtAC0ALQAtAC0ALQAtAC0ALQAtAC0ALQAtAC0ALQAtAC0ALQAtAC0ALQAtAC0ALQAtAC0ALQAtAC0ALQAtAC0ALQAtAC0ALQAtAC0ALQAtAC0ALQAtAC0ALQAtAC0ALQAtAC0ALQAtAC0ALQAtAC0ALQAtAC0ALQAtAC0ALQAtAC0ALQAtAC0ALQAtAC0ALQAtAC0ALQAqAC8AXABuAFwAbgBDAG8AYQBsAGUAcwBjAGUAuwMgAD0AXABuAEwAQQBNAEIARABBACgAXABuACAAIAAgACAAYQByAHIAYQB5AF8AMQAsACAAYQByAHIAYQB5AF8AMgAsACAAWwBhAHIAcgBhAHkAXwAzAF0ALAAgAFsAYQByAHIAYQB5AF8ANABdACwAXABuACAAIAAgACAAWwBpAGcAbgBvAHIAZQBdACwAXABuACAAIAAgACAAWwBmAGkAbABsAF8AdgBhAGwAdQBlAF0ALABcAG4AXABuAEwARQBUACgAXABuACAAIAAgACAALwAvACAATwBwAHQAaQBvAG4AYQBsACAAYQByAHIAYQB5ACAAcAByAGUAcwBlAG4AYwBlAFwAbgAgACAAIAAgAEkAbgBjAGwAdQBkAGUAMwAsACAAIAAgACAAIAAgACAATgBPAFQAKABJAFMATwBNAEkAVABUAEUARAAoAGEAcgByAGEAeQBfADMAKQApACwAXABuACAAIAAgACAASQBuAGMAbAB1AGQAZQA0ACwAIAAgACAAIAAgACAAIABOAE8AVAAoAEkAUwBPAE0ASQBUAFQARQBEACgAYQByAHIAYQB5AF8ANAApACkALABcAG4AIAAgACAAIABhAHIAcgBhAHkAXwAzACwAIAAgACAAIAAgACAAIAAgAEkARgAoAEkAUwBPAE0ASQBUAFQARQBEACgAYQByAHIAYQB5AF8AMwApACwAIABGAEEATABTAEUALAAgAGEAcgByAGEAeQBfADMAKQAsAFwAbgAgACAAIAAgAGEAcgByAGEAeQBfADQALAAgACAAIAAgACAAIAAgACAASQBGACgASQBTAE8ATQBJAFQAVABFAEQAKABhAHIAcgBhAHkAXwA0ACkALAAgAEYAQQBMAFMARQAsACAAYQByAHIAYQB5AF8ANAApACwAXABuAFwAbgAgACAAIAAgAC8ALwAgAEUAbQBwAHQAeQARIHYAYQBsAHUAZQAgAHIAdQBsAGUAcwBcAG4AIAAgACAAIABpAGcAbgBvAHIAZQAsACAAIAAgACAAIAAgACAAIAAgAEkARgAoAEkAUwBPAE0ASQBUAFQARQBEACgAaQBnAG4AbwByAGUAKQAsACAAXAAiAFwAIgAsACAAaQBnAG4AbwByAGUAKQAsAFwAbgAgACAAIAAgAGYAaQBsAGwAXwB2AGEAbAB1AGUALAAgACAAIAAgACAASQBGACgASQBTAE8ATQBJAFQAVABFAEQAKABmAGkAbABsAF8AdgBhAGwAdQBlACkALAAgAFwAIgBcACIALAAgAGYAaQBsAGwAXwB2AGEAbAB1AGUAKQAsAFwAbgBcAG4AIAAgACAAIAAvAC8AIABEAGkAbQBlAG4AcwBpAG8AbgBzAFwAbgAgACAAIAAgAGgALAAgACAAIAAgACAAIAAgACAAIAAgACAAIAAgACAAUgBPAFcAUwAoAGEAcgByAGEAeQBfADEAKQAsACAAIAAgACAAIAAgAHcALAAgACAAIABDAE8ATABVAE0ATgBTACgAYQByAHIAYQB5AF8AMQApACwAXABuACAAIAAgACAAaACCICwAIAAgACAAIAAgACAAIAAgACAAIAAgACAAIABSAE8AVwBTACgAYQByAHIAYQB5AF8AMgApACwAIAAgACAAIAAgACAAdwCCICwAIAAgAEMATwBMAFUATQBOAFMAKABhAHIAcgBhAHkAXwAyACkALABcAG4AIAAgACAAIABoAIMgLAAgACAAIAAgACAAIAAgACAAIAAgACAAIAAgAFIATwBXAFMAKABhAHIAcgBhAHkAXwAzACkALAAgACAAIAAgACAAIAB3AIMgLAAgACAAQwBPAEwAVQBNAE4AUwAoAGEAcgByAGEAeQBfADMAKQAsAFwAbgAgACAAIAAgAGgAhCAsACAAIAAgACAAIAAgACAAIAAgACAAIAAgACAAUgBPAFcAUwAoAGEAcgByAGEAeQBfADQAKQAsACAAIAAgACAAIAAgAHcAhCAsACAAIABDAE8ATABVAE0ATgBTACgAYQByAHIAYQB5AF8ANAApACwAXABuAFwAbgAgACAAIAAgAC8ALwAgAEQAaQBtAGUAbgBzAGkAbwBuACAAbQBpAHMAbQBhAHQAYwBoAGUAcwBcAG4AIAAgACAAIABTAF8AMgAsACAAIAAgACAAIAAgACAAIAAgACAAIAAgAE8AUgAoAGgAIAA8AD4AIABoAIIgLAAgAHcAIAA8AD4AIAB3AIIgKQAsAFwAbgAgACAAIAAgAFMAXwAzACwAIAAgACAAIAAgACAAIAAgACAAIAAgACAASQBuAGMAbAB1AGQAZQAzACAAKgAgAE8AUgAoAGgAIAA8AD4AIABoAIMgLAAgAHcAIAA8AD4AIAB3AIMgKQAsAFwAbgAgACAAIAAgAFMAXwA0ACwAIAAgACAAIAAgACAAIAAgACAAIAAgACAASQBuAGMAbAB1AGQAZQA0ACAAKgAgAE8AUgAoAGgAIAA8AD4AIABoAIQgLAAgAHcAIAA8AD4AIAB3AIQgKQAsAFwAbgBcAG4AIAAgACAAIABTAGgAYQBwAGUATQBpAHMAbQBhAHQAYwBoAD8ALAAgAE8AUgAoAFMAXwAyACwAIABTAF8AMwAsACAAUwBfADQAKQAsAFwAbgBcAG4AIAAgACAAIABJAEYAKABTAGgAYQBwAGUATQBpAHMAbQBhAHQAYwBoAD8ALABcACIAIwBEAEkATQBFAE4AUwBJAE8ATgBTACEAXAAiACwAXABuAFwAbgBMAEUAVAAoAFwAbgAgACAAIAAgAC8ALwAgAE8AYwBjAHUAcABhAG4AYwB5ACAAdABlAHMAdABcAG4AIAAgACAAIABPAGMAYwB1AHAAaQBlAGQAuwMsACAAIABMAEEATQBCAEQAQQAoAGEAcgByACwAXABuACAAIAAgACAAIAAgACAAIAAgACAAIAAgACAAIAAgACAAIAAgACAAIABMAEEATQBCAEQAQQAoACgAYQByAHIAIAA8AD4AIABGAEEATABTAEUAKQAgACoAKABMAEUATgAoAGEAcgByACkAIAA8AD4AIAAwACkAIAAqACAAKABhAHIAcgAgADwAPgAgAGkAZwBuAG8AcgBlACkAKQApACwAXABuAFwAbgAgACAAIAAgAG0AXwAxACwAIAAgACAAIAAgACAAIAAgAE8AYwBjAHUAcABpAGUAZAC7AygAYQByAHIAYQB5AF8AMQApACwAXABuACAAIAAgACAAbQBfADIALAAgACAAIAAgACAAIAAgACAATwBjAGMAdQBwAGkAZQBkALsDKABhAHIAcgBhAHkAXwAyACkALABcAG4AIAAgACAAIABtAF8AMwAsACAAIAAgACAAIAAgACAAIABPAGMAYwB1AHAAaQBlAGQAuwMoAGEAcgByAGEAeQBfADMAKQAsAFwAbgAgACAAIAAgAG0AXwA0ACwAIAAgACAAIAAgACAAIAAgAE8AYwBjAHUAcABpAGUAZAC7AygAYQByAHIAYQB5AF8ANAApACwAXABuAFwAbgAgACAAIAAgAC8ALwAgAFAAcgBpAG8AcgBpAHQAeQAgAGMAaABhAGkAbgBcAG4AIAAgACAAIABmAGkAbgBhAGwALAAgACAAIAAgACAAIABJAEYAKABtAF8AMQAoACkALAAgAGEAcgByAGEAeQBfADEALABcAG4AIAAgACAAIAAgACAAIAAgACAAIAAgACAAIAAgACAAIAAgACAAIAAgAEkARgAoAG0AXwAyACgAKQAsACAAYQByAHIAYQB5AF8AMgAsAFwAbgAgACAAIAAgACAAIAAgACAAIAAgACAAIAAgACAAIAAgACAAIAAgACAAIAAgACAAIABJAEYAKABtAF8AMwAoACkALAAgAGEAcgByAGEAeQBfADMALABcAG4AIAAgACAAIAAgACAAIAAgACAAIAAgACAAIAAgACAAIAAgACAAIAAgACAAIAAgACAAIAAgACAAIABJAEYAKABtAF8ANAAoACkALAAgAGEAcgByAGEAeQBfADQALAAgAGYAaQBsAGwAXwB2AGEAbAB1AGUAKQApACkAKQAsAFwAbgBcAG4AIAAgACAAIABmAGkAbgBhAGwAXABuACkAKQApACkAOwBcAG4AXABuAFwAbgBcAG4ALwAqACAAWwBUAFgAMAA1AF0AIAAtAC0ALQAtAC0ALQAtAC0ALQAtAC0ALQAtAC0ALQAtAC0ALQAtAC0ALQAtAC0ALQAtAC0ALQAtAC0ALQAtAC0ALQAtAC0ALQAtAC0ALQAtAC0ALQAtAC0ALQAtAC0ALQAtAC0ALQAtAC0ALQAtAC0ALQAtAC0ALQAtAC0ALQAtAC0ALQAtAC0ALQAtAC0ALQAtAFwAbgBGAHUAbgBjAHQAaQBvAG4AOgAgACAAIAAgACAAIAAgACAARQB4AHAAbABvAGQAZQC7A1wAbgBDAGEAdABlAGcAbwByAHkAOgAgACAAIAAgACAAIAAgACAAVABlAHgAdABcAG4AQQB1AHQAaABvAHIAOgAgACAAIAAgACAAIAAgACAAIAAgAFAAYQB0AHIAaQBjAGsAIABIAC4AXABuAFYAZQByAHMAaQBvAG4AOgAgACAAIAAgACAAIAAgACAAIAAxAC4AMQBcAG4ARABlAHAAZQBuAGQAZQBuAGMAaQBlAHMAOgAgACAAIAAgAE0ARwByAGkAZAC7AywAIABSAGUAcwBpAHoAZQC7A1wAbgBcAG4ARABlAHMAYwByAGkAcAB0AGkAbwBuADoAXABuACAAIAAgACAAQwBvAG4AdgBlAHIAdABzACAAYQAgAHMAYwBhAGwAYQByACwAIAAxAEQAIABhAHIAcgBhAHkALAAgAG8AcgAgADIARAAgAGEAcgByAGEAeQAgAGkAbgB0AG8AIABhAG4AIABlAHgAcABsAG8AZABlAGQAIABjAGgAYQByAGEAYwB0AGUAcgAgAGEAcgByAGEAeQAuAFwAbgAgACAAIAAgAEUAeABwAGwAbwBzAGkAbwBuACAAYgBlAGgAYQB2AGkAbwByACAAZABlAHAAZQBuAGQAcwAgAG8AbgAgAHQAaABlACAAaQBuAHAAdQB0ACAAcwBoAGEAcABlADoAXABuAFwAbgAgACAAIAAgACAAIAAgACAAIiAgAFMAYwBhAGwAYQByAHMAIABlAHgAcABsAG8AZABlACAAYwBvAGwAdQBtAG4AESB3AGkAcwBlAC4AXABuACAAIAAgACAAIAAgACAAIAAiICAAVgBlAHIAdABpAGMAYQBsACAAMQBEACAAYQByAHIAYQB5AHMAIABlAHgAcABsAG8AZABlACAAYwBvAGwAdQBtAG4AESB3AGkAcwBlAC4AXABuACAAIAAgACAAIAAgACAAIAAiICAASABvAHIAaQB6AG8AbgB0AGEAbAAgADEARAAgAGEAcgByAGEAeQBzACAAZQB4AHAAbABvAGQAZQAgAHIAbwB3ABEgdwBpAHMAZQAuAFwAbgAgACAAIAAgACAAIAAgACAAIiAgADIARAAgAGEAcgByAGEAeQBzACAAZQB4AHAAbABvAGQAZQAgAHIAbwB3ABEgdwBpAHMAZQAgAGIAeQAgAGQAZQBmAGEAdQBsAHQALAAgAG8AcgAgAHcAaQBkAHQAaAARIHcAaQBzAGUAIAB3AGgAZQBuAFwAbgAgACAAIAAgACAAIAAgACAAIAAgAGUAeABwAGwAbwBkAGUAXwAyAEQAXwBiAHkAYwBvAGwAIAA9ACAAVABSAFUARQAuAFwAbgBcAG4AUABhAHIAYQBtAGUAdABlAHIAcwA6AFwAbgAgACAAIAAgAGEAcgByAGEAeQAgACAAIAAgACAAIAAgACAAIAAgACAAIAAgACAAIAAtACAASQBuAHAAdQB0ACAAYwBhAG4AIABiAGUAIABzAGMAYQBsAGEAcgAsACAAMQBEACwAIABvAHIAIAAyAEQALgBcAG4AIAAgACAAIABbAGUAeABwAGwAbwBkAGUAXwAyAEQAXwBiAHkAYwBvAGwAXQAgACAALQAgAE8AcAB0AGkAbwBuAGEAbAAuACAAVABSAFUARQAgAJIhIABlAHgAcABsAG8AZABlACAAMgBEACAAYQByAHIAYQB5AHMAIAB3AGkAZAB0AGgAESB3AGkAcwBlAC4AXABuACAAIAAgACAAIAAgACAAIAAgACAAIAAgACAAIAAgACAAIAAgACAAIAAgACAAIAAgACAAIABPAG0AaQB0AHQAZQBkACAAkiEgAGUAeABwAGwAbwBkAGUAIAByAG8AdwARIHcAaQBzAGUALgBcAG4AXABuAE4AbwB0AGUAcwA6AFwAbgAgACAAIAAgACIgIABMAEUATgAoAGEAcgByAGEAeQApACAAZABlAHQAZQByAG0AaQBuAGUAcwAgAHQAaABlACAAbQBhAHgAaQBtAHUAbQAgAGMAaABhAHIAYQBjAHQAZQByACAAYwBvAHUAbgB0ACAAcABlAHIAIABjAGUAbABsAC4AXABuAC0ALQAtAC0ALQAtAC0ALQAtAC0ALQAtAC0ALQAtAC0ALQAtAC0ALQAtAC0ALQAtAC0ALQAtAC0ALQAtAC0ALQAtAC0ALQAtAC0ALQAtAC0ALQAtAC0ALQAtAC0ALQAtAC0ALQAtAC0ALQAtAC0ALQAtAC0ALQAtAC0ALQAtAC0ALQAtAC0ALQAtAC0ALQAtAC0ALQAtAC0ALQAtACoALwBcAG4AXABuAEUAeABwAGwAbwBkAGUAuwMgAD0AXABuAEwAQQBNAEIARABBACgAXABuACAAIAAgACAAYQByAHIAYQB5ACwAXABuACAAIAAgACAAWwBlAHgAcABsAG8AZABlAF8AMgBEAF8AYgB5AGMAbwBsAF0ALABcAG4AXABuAEwARQBUACgAXABuACAAIAAgACAALwAvACAARABpAG0AZQBuAHMAaQBvAG4AcwBcAG4AIAAgACAAIABoACwAIAAgACAAIAAgACAAIAAgACAAIAAgACAAIAAgAFIATwBXAFMAKABhAHIAcgBhAHkAKQAsAFwAbgAgACAAIAAgAHcALAAgACAAIAAgACAAIAAgACAAIAAgACAAIAAgACAAQwBPAEwAVQBNAE4AUwAoAGEAcgByAGEAeQApACwAXABuAFwAbgAgACAAIAAgAC8ALwAgAEcAZQBvAG0AZQB0AHIAeQAgAGMAbABhAHMAcwBpAGYAaQBjAGEAdABpAG8AbgBcAG4AIAAgACAAIABJAHMAVgBlAHIAdABpAGMAYQBsAD8ALAAgACAAIAAgAGgAIAA+ACAAdwAsAFwAbgAgACAAIAAgAEkAcwBIAG8AcgBpAHoAbwBuAHQAYQBsAD8ALAAgACAAdwAgAD4AIABoACwAXABuACAAIAAgACAASQBzAFMAYwBhAGwAYQByAD8ALAAgACAAIAAgACAAIABBAE4ARAAoAGgAIAA9ACAAMQAsACAAdwAgAD0AIAAxACkALABcAG4AIAAgACAAIABJAHMAMQBEAD8ALAAgACAAIAAgACAAIAAgACAAIAAgAFgATwBSACgAaAAgAD4AIAAxACwAIAB3ACAAPgAgADEAKQAsAFwAbgAgACAAIAAgAEkAcwAyAEQAPwAsACAAIAAgACAAIAAgACAAIAAgACAAQQBOAEQAKABoACAAPgAgADEALAAgAHcAIAA+ACAAMQApACwAXABuACAAIAAgACAARABpAHIATwBtAGkAdAB0AGUAZAA/ACwAIAAgACAAIABJAFMATwBNAEkAVABUAEUARAAoAGUAeABwAGwAbwBkAGUAXwAyAEQAXwBiAHkAYwBvAGwAKQAsAFwAbgBcAG4AIAAgACAAIAAvAC8AIABTAGMAYQBsAGEAcgAgAGUAeABwAGwAbwBzAGkAbwBuAFwAbgAgACAAIAAgAEUAeABwAGwAbwBkAGUAUwBjAGEAbABhAHIALAAgACAAUgBFAEcARQBYAEUAWABUAFIAQQBDAFQAKABhAHIAcgBhAHkALAAgAFwAIgAuAFwAIgAsACAAMQApACwAXABuAFwAbgAgACAAIAAgAEkARgAoAEkAcwBTAGMAYQBsAGEAcgA/ACwARQB4AHAAbABvAGQAZQBTAGMAYQBsAGEAcgAsAFwAbgBcAG4ATABFAFQAKABcAG4AIAAgACAAIAAvAC8AIABNAGEAeABpAG0AdQBtACAAYwBoAGEAcgBhAGMAdABlAHIAcwAgAGEAYwByAG8AcwBzACAAYQBsAGwAIABjAGUAbABsAHMAXABuACAAIAAgACAAbQAsACAAIAAgACAAIAAgACAAIAAgACAATQBBAFgAKABMAEUATgAoAGEAcgByAGEAeQApACkALABcAG4AXABuACAAIAAgACAALwAvACAALQAtAC0AIAAxAEQAIABpAG4AZABlAHgAaQBuAGcAIAAtAC0ALQBcAG4AIAAgACAAIABpAGQAeAAsACAAIAAgACAAIAAgACAAIABMAEEATQBCAEQAQQAoAEkARgAoAEkAcwBWAGUAcgB0AGkAYwBhAGwAPwAsAFMARQBRAFUARQBOAEMARQAoACwAIABtACkALABcAG4AIAAgACAAIAAgACAAIAAgACAAIAAgACAAIAAgACAAIAAgACAAIAAgACAAIAAgACAAIAAgACAAIAAgACAAIAAgACAAIAAgACAAIAAgAFMARQBRAFUARQBOAEMARQAoAG0AKQApACkALABcAG4AXABuACAAIAAgACAALwAvACAALQAtAC0AIAAyAEQAIABpAG4AZABlAHgAaQBuAGcAIAAoAHYAZQByAHQAaQBjAGEAbAAgAGUAeABwAGwAbwBzAGkAbwBuACkAIAAtAC0ALQBcAG4AIAAgACAAIABpAF8ALAAgACAAIAAgACAAIAAgACAAIABMAEEATQBCAEQAQQAoACAAUgBlAHMAaQB6AGUAuwMoACAASQBOAFQAKABTAEUAUQBVAEUATgBDAEUAKABtACAAKgAgAGgALAAgACwAIAAsACAAMQAgAC8AIABtACkAKQAsACAALAAgAHcAIAApACAAKQAsAFwAbgAgACAAIAAgAGoAXwAsACAAIAAgACAAIAAgACAAIAAgAEwAQQBNAEIARABBACgAIABSAGUAcwBpAHoAZQC7AygAIABNAEcAcgBpAGQAuwMoAGEAcgByAGEAeQAsACAAMQApACwAIABtACAAKQAgACkALABcAG4AIAAgACAAIABzAHQAYQByAHQAXwBhAHQAXwAsACAAIABMAEEATQBCAEQAQQAoACAAUgBlAHMAaQB6AGUAuwMoACAAUwBFAFEAVQBFAE4AQwBFACgAbQApACwAIABoACwAIAB3ACAAKQAgACkALABcAG4AXABuACAAIAAgACAALwAvACAALQAtAC0AIAAyAEQAIABpAG4AZABlAHgAaQBuAGcAIAAoAGgAbwByAGkAegBvAG4AdABhAGwAIABlAHgAcABsAG8AcwBpAG8AbgApACAALQAtAC0AXABuACAAIAAgACAAaQAsACAAIAAgACAAIAAgACAAIAAgACAATABBAE0AQgBEAEEAKAAgAFIAZQBzAGkAegBlALsDKAAgAE0ARwByAGkAZAC7AygAYQByAHIAYQB5ACkALAAgACwAIABtACAAKQAgACkALABcAG4AIAAgACAAIABqACwAIAAgACAAIAAgACAAIAAgACAAIABMAEEATQBCAEQAQQAoACAAUgBlAHMAaQB6AGUAuwMoACAASQBOAFQAKABTAEUAUQBVAEUATgBDAEUAKAAsACAAbQAgACoAIAB3ACwAIAAsACAAMQAgAC8AIABtACkAKQAsACAAaAAgACkAIAApACwAXABuACAAIAAgACAAcwB0AGEAcgB0AF8AYQB0ACwAIAAgACAATABBAE0AQgBEAEEAKAAgAFIAZQBzAGkAegBlALsDKAAgAFMARQBRAFUARQBOAEMARQAoACwAIABtACkALAAgAGgALAAgAHcAIAApACAAKQAsAFwAbgBcAG4AIAAgACAAIAAvAC8AIAAxAEQAIABlAHgAcABsAG8AcwBpAG8AbgBcAG4AIAAgACAAIABlAHgAMQBEACwAIAAgACAAIAAgACAAIABMAEEATQBCAEQAQQAoACAATQBJAEQAKABhAHIAcgBhAHkALAAgAGkAZAB4ACgAKQAsACAAMQApACAAKQAsAFwAbgBcAG4AIAAgACAAIAAvAC8AIAAyAEQAIABlAHgAcABsAG8AcwBpAG8AbgAgAHYAYQByAGkAYQBuAHQAcwBcAG4AIAAgACAAIABlAHgAMgBEAF8AVgAsACAAIAAgACAAIABMAEEATQBCAEQAQQAoACAATQBJAEQAKABJAE4ARABFAFgAKABhAHIAcgBhAHkALAAgAGkAXwAoACkALAAgAGoAXwAoACkAKQAsACAAcwB0AGEAcgB0AF8AYQB0AF8AKAApACwAIAAxACkAIAApACwAXABuACAAIAAgACAAZQB4ADIARABfAEgALAAgACAAIAAgACAATABBAE0AQgBEAEEAKAAgAE0ASQBEACgASQBOAEQARQBYACgAYQByAHIAYQB5ACwAIABpACgAKQAsACAAIABqACgAKQApACwAIABzAHQAYQByAHQAXwBhAHQAKAApACwAIAAgADEAKQAgACkALABcAG4AXABuACAAIAAgACAALwAvACAAMgBEACAAcwBlAGwAZQBjAHQAaQBvAG4AXABuACAAIAAgACAAZQB4ADIARAAsACAAIAAgACAAIAAgACAATABBAE0AQgBEAEEAKABJAEYAKABEAGkAcgBPAG0AaQB0AHQAZQBkAD8ALABlAHgAMgBEAF8AVgAoACkALABlAHgAMgBEAF8ASAAoACkAKQApACwAXABuAFwAbgAgACAAIAAgAC8ALwAgAEYAaQBuAGEAbAAgAHMAZQBsAGUAYwB0AGkAbwBuAFwAbgAgACAAIAAgAGYAaQBuAGEAbAAsACAAIAAgACAAIAAgAEkARgAoAEkAcwAxAEQAPwAsACAAZQB4ADEARAAoACkALAAgAGUAeAAyAEQAKAApACkALABcAG4AXABuACAAIAAgACAAZgBpAG4AYQBsAFwAbgApACkAKQApADsAXABuAFwAbgBcAG4AXABuAC8AKgAgAFsAVABYADAANgBdACAALQAtAC0ALQAtAC0ALQAtAC0ALQAtAC0ALQAtAC0ALQAtAC0ALQAtAC0ALQAtAC0ALQAtAC0ALQAtAC0ALQAtAC0ALQAtAC0ALQAtAC0ALQAtAC0ALQAtAC0ALQAtAC0ALQAtAC0ALQAtAC0ALQAtAC0ALQAtAC0ALQAtAC0ALQAtAC0ALQAtAC0ALQAtAC0ALQBcAG4ARgB1AG4AYwB0AGkAbwBuADoAIAAgACAAIAAgACAAIAAgAE4AdQBtAGIAZQByAHM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dQBtAGUAcgBpAGMAIABjAGgAYQByAGEAYwB0AGUAcgBzACAAKAAwABMgOQApACAAZgByAG8AbQAgAGEAIABzAGMAYQBsAGEAcgAsACAAMQBEACAAYQByAHIAYQB5ACwAIABvAHIAIAAyAEQAIABhAHIAcgBhAHkALgBcAG4AXABuAFAAYQByAGEAbQBlAHQAZQByAHMAOgBcAG4AIAAgACAAIABhAHIAcgBhAHkAIAAgACAAIAAgACAAIAAtACAASQBuAHAAdQB0ACAAcwBjAGEAbABhAHIALAAgADEARAAgAGEAcgByAGEAeQAsACAAbwByACAAMgBEACAAYQByAHIAYQB5AC4AXABuAFwAbgBOAG8AdABlAHMAOgBcAG4AIAAgACAAIAAiICAAVQBzAGUAcwAgAEUAeABwAGwAbwBkAGUAuwMgAGYAbwByACAAYwBoAGEAcgBhAGMAdABlAHIAESBsAGUAdgBlAGwAIABlAHgAcABhAG4AcwBpAG8AbgAuAFwAbgAgACAAIAAgACIgIABDAE8ARABFACgAKQAgAGYAaQBsAHQAZQByAGkAbgBnACAAZQBuAHMAdQByAGUAcwAgAHMAdAByAGkAYwB0ACAAZABpAGcAaQB0ACAAZQB4AHQAcgBhAGMAdABpAG8AbgAuAFwAbgAtAC0ALQAtAC0ALQAtAC0ALQAtAC0ALQAtAC0ALQAtAC0ALQAtAC0ALQAtAC0ALQAtAC0ALQAtAC0ALQAtAC0ALQAtAC0ALQAtAC0ALQAtAC0ALQAtAC0ALQAtAC0ALQAtAC0ALQAtAC0ALQAtAC0ALQAtAC0ALQAtAC0ALQAtAC0ALQAtAC0ALQAtAC0ALQAtAC0ALQAtAC0ALQAqAC8AXABuAFwAbgBOAHUAbQBiAGUAcgBz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QAaQBnAGkAdAAgAG0AYQBzAGsAXABuACAAIAAgACAASwBlAGUAcAAsACAAIAAgACAAIAAgACAAIAAgACAASQBGAEUAUgBSAE8AUgAoACgAQwBPAEQARQAoAGUAeAApACAAPgA9ACAANAA4ACkAIAAqACAAKABDAE8ARABFACgAZQB4ACkAIAA8AD0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gACsAIAAwACwAXAAiAFwAIgApACwAXABuAFwAbgAgACAAIAAgAGYAaQBuAGEAbABcAG4AKQApADsAXABuAFwAbgBcAG4AXABuAC8AKgAgAFsAVABYADAANwBdACAALQAtAC0ALQAtAC0ALQAtAC0ALQAtAC0ALQAtAC0ALQAtAC0ALQAtAC0ALQAtAC0ALQAtAC0ALQAtAC0ALQAtAC0ALQAtAC0ALQAtAC0ALQAtAC0ALQAtAC0ALQAtAC0ALQAtAC0ALQAtAC0ALQAtAC0ALQAtAC0ALQAtAC0ALQAtAC0ALQAtAC0ALQAtAC0ALQBcAG4ARgB1AG4AYwB0AGkAbwBuADoAIAAgACAAIAAgACAAIAAgAFQAZQB4AHQ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bwBuABEgbgB1AG0AZQByAGkAYwAgAGMAaABhAHIAYQBjAHQAZQByAHM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bwBtAHAAbABlAG0AZQBuAHQAcwAgAE4AdQBtAGIAZQByAHMATwBuAGwAeQC7AyAAYgB5ACAAcwBlAGwAZQBjAHQAaQBuAGcAIABhAGwAbAAgAG4AbwBuABEgZABpAGcAaQB0ACAAYwBoAGEAcgBhAGMAdABlAHIAcwAuAFwAbgAtAC0ALQAtAC0ALQAtAC0ALQAtAC0ALQAtAC0ALQAtAC0ALQAtAC0ALQAtAC0ALQAtAC0ALQAtAC0ALQAtAC0ALQAtAC0ALQAtAC0ALQAtAC0ALQAtAC0ALQAtAC0ALQAtAC0ALQAtAC0ALQAtAC0ALQAtAC0ALQAtAC0ALQAtAC0ALQAtAC0ALQAtAC0ALQAtAC0ALQAtAC0ALQAqAC8AXABuAFwAbgBUAGUAeAB0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4AbwBuABEgZABpAGcAaQB0ACAAbQBhAHMAawBcAG4AIAAgACAAIABLAGUAZQBwACwAIAAgACAAIAAgACAAIAAgACAAIABJAEYARQBSAFIATwBSACgAKABDAE8ARABFACgAZQB4ACkAIAA8ACAANAA4ACkAIAArACAAKABDAE8ARABFACgAZQB4ACkAIAA+ACAANQA3ACkALAAgAEYAQQBMAFMARQApACwAXABuAFwAbgAgACAAIAAgAC8ALwAgAE0AYQBzAGsAZQBkACAAcgBlAHMAdQBsAHQAXABuACAAIAAgACAAUgBlAHMAdQBsAHQALAAgACAAIAAgACAAIAAgACAASQBGACgASwBlAGUAcAAsACAAZQB4ACwAIABcACIAXAAiACkALABcAG4AXABuACAAIAAgACAALwAvACAAMQBEACAAYwBvAG4AYwBhAHQAZQBuAGEAdABlAGQAIABvAHUAdABwAHUAdABcAG4AIAAgACAAIABmAGkAbgBhAGwALAAgACAAIAAgACAAIAAgACAAIABJAEYARQBSAFIATwBSACgAQgBZAFIATwBXACgAUgBlAHMAdQBsAHQALAAgAEMATwBOAEMAQQBUACkALABcACIAXAAiACkALABcAG4AXABuACAAIAAgACAAZgBpAG4AYQBsAFwAbgApACkAOwBcAG4AXABuAFwAbgBcAG4ALwAqACAAWwBUAFgAMAA4AF0AIAAtAC0ALQAtAC0ALQAtAC0ALQAtAC0ALQAtAC0ALQAtAC0ALQAtAC0ALQAtAC0ALQAtAC0ALQAtAC0ALQAtAC0ALQAtAC0ALQAtAC0ALQAtAC0ALQAtAC0ALQAtAC0ALQAtAC0ALQAtAC0ALQAtAC0ALQAtAC0ALQAtAC0ALQAtAC0ALQAtAC0ALQAtAC0ALQAtAFwAbgBGAHUAbgBjAHQAaQBvAG4AOgAgACAAIAAgACAAIAAgACAAUwBwAGwAaQB0ALsDXABuAEMAYQB0AGUAZwBvAHIAeQA6ACAAIAAgACAAIAAgACAAIABUAGUAeAB0AFwAbgBBAHUAdABoAG8AcgA6ACAAIAAgACAAIAAgACAAIAAgACAAUABhAHQAcgBpAGMAawAgAEgALgBcAG4AVgBlAHIAcwBpAG8AbgA6ACAAIAAgACAAIAAgACAAIAAgADEALgAxAFwAbgBEAGUAcABlAG4AZABlAG4AYwBpAGUAcwA6ACAAIAAgACAAUgBlAGcAZQB4AFMAYQBmAGUAuwNcAG4AXABuAEQAZQBzAGMAcgBpAHAAdABpAG8AbgA6AFwAbgAgACAAIAAgAFMAcABsAGkAdABzACAAMQBEACAAdABlAHgAdAAgAGEAcgByAGEAeQBzACAAaQBuAHQAbwAgAHQAbwBrAGUAbgBzACAAdQBzAGkAbgBnACAAYQAgAHMAcABlAGMAaQBmAGkAZQBkACAAZABlAGwAaQBtAGkAdABlAHIALgAgAFQAaABlACAAZgB1AG4AYwB0AGkAbwBuAFwAbgAgACAAIAAgAGkAcwAgAHMAaABhAHAAZQARIGEAdwBhAHIAZQAgAGEAbgBkACAAcgBlAHQAdQByAG4AcwAgAGEAIAAyAEQAIABzAHAAaQBsAGwAIABhAGwAaQBnAG4AZQBkACAAdABvACAAdABoAGUAIABvAHIAaQBlAG4AdABhAHQAaQBvAG4AIABvAGYAIAB0AGgAZQBcAG4AIAAgACAAIABpAG4AcAB1AHQAIABhAHIAcgBhAHkALgAgAFMAdQBwAHAAbwByAHQAcwAgAG0AdQBsAHQAaQARIGMAaABhAHIAYQBjAHQAZQByACAAZABlAGwAaQBtAGkAdABlAHIAcwAgAGEAbgBkACAAZgB1AGwAbAAgAHIAZQBnAGUAeAARIHMAYQBmAGUAXABuACAAIAAgACAAZQBzAGMAYQBwAGkAbgBnAC4AXABuAFwAbgBQAGEAcgBhAG0AZQB0AGUAcgBzADoAXABuACAAIAAgACAAYQByAHIAYQB5ACAAIAAgACAAIAAgACAALQAgAEEAIAAxAEQAIABhAHIAcgBhAHkAIAAoAHYAZQByAHQAaQBjAGEAbAAgAG8AcgAgAGgAbwByAGkAegBvAG4AdABhAGwAKQAuACAAMgBEACAAYQByAHIAYQB5AHMAIABhAHIAZQAgAG4AbwB0ACAAcwB1AHAAcABvAHIAdABlAGQALgBcAG4AIAAgACAAIABkAGUAbABpAG0AaQB0AGUAcgAgACAAIAAtACAARABlAGwAaQBtAGkAdABlAHIAIAB1AHMAZQBkACAAdABvACAAcwBwAGwAaQB0ACAAZQBhAGMAaAAgAHQAZQB4AHQAIABlAGwAZQBtAGUAbgB0AC4AIABTAHAAaQBsAGwAIABvAHIAaQBlAG4AdABhAHQAaQBvAG4AXABuACAAIAAgACAAIAAgACAAIAAgACAAIAAgACAAIAAgACAAIAAgAGkAcwAgAGkAbgBmAGUAcgByAGUAZAAgAGYAcgBvAG0AIAB0AGgAZQAgAHMAaABhAHAAZQAgAG8AZgAgAGEAcgByAGEAeQAuAFwAbgBcAG4ATwBwAHQAaQBvAG4AYQBsADoAXABuACAAIAAgACAAWwBpAGYAXwBuAG8AdABfAGYAbwB1AG4AZABdAFwAbgAgACAAIAAgACAAIAAgACAAVgBhAGwAdQBlACAAcgBlAHQAdQByAG4AZQBkACAAdwBoAGUAbgAgAGEAIAB0AGUAeAB0ACAAZQBsAGUAbQBlAG4AdAAgAGMAbwBuAHQAYQBpAG4AcwAgAG4AbwAgAGQAZQBsAGkAbQBpAHQAZQByAC4AXABuACAAIAAgACAAIAAgACAAIABEAGUAZgBhAHUAbAB0AHMAIAB0AG8AIABcACIAXAAiAC4AXABuAFwAbgAgACAAIAAgAFsAdAByAGUAYQB0AF8AYwBvAG4AcwBlAGMAdQB0AGkAdgBlAF8AZABlAGwAaQBtAGkAdABlAHIAcwBfAGEAcwBfAG8AbgBlAF0AXABuACAAIAAgACAAIAAgACAAIABUAFIAVQBFACAAkiEgAGMAbwBsAGwAYQBwAHMAZQAgAHIAdQBuAHMAIABvAGYAIABjAG8AbgBzAGUAYwB1AHQAaQB2AGUAIABkAGUAbABpAG0AaQB0AGUAcgBzACAAYgBlAGYAbwByAGUAIABzAHAAbABpAHQAdABpAG4AZwAuAFwAbgAgACAAIAAgACAAIAAgACAAVQBzAGUAZgB1AGwAIABmAG8AcgAgAEMAUwBWABEgcwB0AHkAbABlACAAbgBvAHIAbQBhAGwAaQB6AGEAdABpAG8AbgAuAFwAbgBcAG4ATgBvAHQAZQBzADoAXABuACAAIAAgACAAIiAgAEMAbwBsAGwAYQBwAHMAZQAgAG0AbwBkAGUAIABwAGUAcgBmAG8AcgBtAHMAIABhACAAUgBFAEcARQBYAFIARQBQAEwAQQBDAEUAIABwAGEAcwBzACAAdwBoAGUAbgAgAGMAbwBuAHMAZQBjAHUAdABpAHYAZQAgAGQAZQBsAGkAbQBpAHQAZQByAHMAIABlAHgAaQBzAHQALgBcAG4AIAAgACAAIAAgACAARgBvAHIAIAB2AGUAcgB5ACAAbABhAHIAZwBlACAAYQByAHIAYQB5AHMAIABvAHIAIABoAGkAZwBoACAAdABvAGsAZQBuACAAYwBvAHUAbgB0AHMALAAgAHQAaABpAHMAIABtAGEAeQAgAGkAbgBjAHIAZQBhAHMAZQAgAGMAYQBsAGMAdQBsAGEAdABpAG8AbgAgAHQAaQBtAGUALgBcAG4AIAAgACAAIAAiICAARABlAGwAaQBtAGkAdABlAHIAcwAgAGEAcgBlACAAZgB1AGwAbAB5ACAAcgBlAGcAZQB4ABEgZQBzAGMAYQBwAGUAZAAgAHYAaQBhACAAUgBlAGcAZQB4AFMAYQBmAGUAuwMsACAAYQBsAGwAbwB3AGkAbgBnACAAbABpAHQAZQByAGEAbAAgAHUAcwBlACAAbwBmAFwAbgAgACAAIAAgACAAIABtAGUAdABhAGMAaABhAHIAYQBjAHQAZQByAHMAIAAoACoALAAgAD8ALAAgACsALAAgAHwALAAgACgALAAgACkALAAgAFsALAAgAF0ALAAgAF4ALAAgACQALAAgAGUAdABjAC4AKQAuAFwAbgAtAC0ALQAtAC0ALQAtAC0ALQAtAC0ALQAtAC0ALQAtAC0ALQAtAC0ALQAtAC0ALQAtAC0ALQAtAC0ALQAtAC0ALQAtAC0ALQAtAC0ALQAtAC0ALQAtAC0ALQAtAC0ALQAtAC0ALQAtAC0ALQAtAC0ALQAtAC0ALQAtAC0ALQAtAC0ALQAtAC0ALQAtAC0ALQAtAC0ALQAtAC0ALQAqAC8AXABuAFwAbgBTAHAAbABpAHQAuwMgAD0AXABuAEwAQQBNAEIARABBACgAXABuACAAIAAgACAAYQByAHIAYQB5ACwAXABuACAAIAAgACAAZABlAGwAaQBtAGkAdABlAHIALABcAG4AIAAgACAAIABbAGkAZgBfAG4AbwB0AF8AZgBvAHUAbgBkAF0ALABcAG4AIAAgACAAIABbAHQAcgBlAGEAdABfAGMAbwBuAHMAZQBjAHUAdABpAHYAZQBfAGQAZQBsAGkAbQBpAHQAZQByAHMAXwBhAHMAXwBvAG4AZQBdACwAXABuAFwAbgBMAEUAVAAoAFwAbgAgACAAIAAgAC8ALwAgAEQAaQBtAGUAbgBzAGkAbwBuAHMAIABvAGYAIABpAG4AcAB1AHQAIABhAHIAcgBhAHkAXABuACAAIAAgACAAaAAsACAAIABSAE8AVwBTACgAYQByAHIAYQB5ACkALABcAG4AIAAgACAAIAB3ACwAIAAgAEMATwBMAFUATQBOAFMAKABhAHIAcgBhAHkAKQAsAFwAbgBcAG4AIAAgACAAIAAvAC8AIABEAGkAbQBlAG4AcwBpAG8AbgBzACAAbwBmACAAZABlAGwAaQBtAGkAdABlAHIAXABuACAAIAAgACAAaACCICwAIABSAE8AVwBTACgAZABlAGwAaQBtAGkAdABlAHIAKQAsAFwAbgAgACAAIAAgAHcAgiAsACAAQwBPAEwAVQBNAE4AUwAoAGQAZQBsAGkAbQBpAHQAZQByACkALABcAG4AXABuACAAIAAgACAALwAvACAATwByAGkAZQBuAHQAYQB0AGkAbwBuACAAYwBoAGUAYwBrAHMAXABuACAAIAAgACAASQBzAFYAZQByAHQAaQBjAGEAbAA/ACwAIAAgACAAIABoACAAPgAgAHcALABcAG4AIAAgACAAIABJAHMAMgBEAD8ALAAgACAAIAAgACAAIAAgACAAIAAgAEEATgBEACgAaAAgAD4AIAAxACwAIAB3ACAAPgAgADEAKQAsAFwAbgAgACAAIAAgAEkAcwBTAGMAYQBsAGEAcgA/ACwAIAAgACAAIAAgACAAQQBOAEQAKABoACAAPQAgADEALAAgAHcAIAA9ACAAMQApACwAXABuAFwAbgAgACAAIAAgAC8ALwAgAE8AcAB0AGkAbwBuAGEAbAAgAHAAYQByAGEAbQBlAHQAZQByAHMAXABuACAAIAAgACAAaQBmAF8AbgBvAHQAXwBmAG8AdQBuAGQALAAgACAAIABJAEYAKABJAFMATwBNAEkAVABUAEUARAAoAGkAZgBfAG4AbwB0AF8AZgBvAHUAbgBkACkALAAgAFwAIgBcACIALAAgAGkAZgBfAG4AbwB0AF8AZgBvAHUAbgBkACkALABcAG4AIAAgACAAIABDAG8AbABsAGEAcABzAGUARABlAGwAaQBtAD8ALAAgAE4ATwBUACgASQBTAE8ATQBJAFQAVABFAEQAKAB0AHIAZQBhAHQAXwBjAG8AbgBzAGUAYwB1AHQAaQB2AGUAXwBkAGUAbABpAG0AaQB0AGUAcgBzAF8AYQBzAF8AbwBuAGUAKQApACwAXABuACAAIAAgACAATQB1AGwAdABpAHAAbABlAEQAZQBsAGkAbQA/ACwAIABPAFIAKABoAIIgIAA+ACAAMQAsACAAdwCCICAAPgAgADEAKQAsAFwAbgBcAG4AIAAgACAAIAAvAC8AIABWAGEAbABpAGQAYQB0AGkAbwBuAFwAbgAgACAAIAAgAEkARgAoAEkAcwAyAEQAPwAsACAAIAAgACAAIAAgACAAIAAgACAAIAAgACAAIABcACIAIwAyAEQALQBJAE4AUABVAFQAIQBcACIALABcAG4AXABuACAAIAAgACAAIAAgACAAIABJAEYAKABNAHUAbAB0AGkAcABsAGUARABlAGwAaQBtAD8ALAAgAFwAIgAjAEQARQBMAEkATQBJAFQARQBSAC0AQQBSAFIAQQBZACEAXAAiACwAXABuAFwAbgBMAEUAVAAoAFwAbgAgACAAIAAgAC8ALwAgAFcAcgBhAHAAIABlAGEAYwBoACAAZQBsAGUAbQBlAG4AdAAgAHcAaQB0AGgAIABkAGUAbABpAG0AaQB0AGUAcgAgAG8AbgAgAGIAbwB0AGgAIABzAGkAZABlAHMAXABuACAAIAAgACAAagBvAGkAbgBlAGQALAAgACAAIAAgACAAIAAgACAAIABkAGUAbABpAG0AaQB0AGUAcgAgACYAIABhAHIAcgBhAHkAIAAmACAAZABlAGwAaQBtAGkAdABlAHIALABcAG4AXABuACAAIAAgACAALwAvACAAUgBlAGcAZQB4ABEgcwBhAGYAZQAgAGQAZQBsAGkAbQBpAHQAZQByAFwAbgAgACAAIAAgAGQAZQBsAGkAbQBfAGIALAAgACAAIAAgACAAIAAgACAAUgBlAGcAZQB4AFMAYQBmAGUAuwMoAGQAZQBsAGkAbQBpAHQAZQByACkALABcAG4AXABuACAAIAAgACAALwAvACAARABlAHQAZQBjAHQAIABjAG8AbgBzAGUAYwB1AHQAaQB2AGUAIABkAGUAbABpAG0AaQB0AGUAcgBzAFwAbgAgACAAIAAgAEkAcwBDAG8AbgBzAGUAYwBEAGUAbABpAG0APwAsACAATwBSACgAUgBFAEcARQBYAFQARQBTAFQAKABqAG8AaQBuAGUAZAAsACAAXAAiACgAXAAiACAAJgAgAGQAZQBsAGkAbQBfAGIAIAAmACAAXAAiACkAewAyACwAfQBcACIAKQApACwAXABuAFwAbgAgACAAIAAgAC8ALwAgAEMAbwBsAGwAYQBwAHMAZQAgAGMAbwBuAHMAZQBjAHUAdABpAHYAZQAgAGQAZQBsAGkAbQBpAHQAZQByAHMAIABpAGYAIAByAGUAcQB1AGUAcwB0AGUAZABcAG4AIAAgACAAIAB0AGUAeAB0AHMALAAgACAAIAAgACAAIAAgACAAIAAgAEkARgAoAEEATgBEACgAQwBvAGwAbABhAHAAcwBlAEQAZQBsAGkAbQA/ACwAIABJAHMAQwBvAG4AcwBlAGMARABlAGwAaQBtAD8AKQAsAFwAbgAgACAAIAAgACAAIAAgACAAIAAgACAAIAAgACAAIAAgACAAIAAgACAAIAAgACAAIABSAEUARwBFAFgAUgBFAFAATABBAEMARQAoAGoAbwBpAG4AZQBkACwAIABcACIAKABcACIAIAAmACAAZABlAGwAaQBtAF8AYgAgACYAIABcACIAKQArAFwAIgAsACAAZABlAGwAaQBtAF8AYgApACwAXABuACAAIAAgACAAIAAgACAAIAAgACAAIAAgACAAIAAgACAAIAAgACAAIAAgACAAIAAgAGoAbwBpAG4AZQBkACkALABcAG4AXABuACAAIAAgACAALwAvACAAVABvAGsAZQBuACAAYwBvAHUAbgB0AFwAbgAgACAAIAAgAEwALAAgACAAIAAgACAAIAAgACAAIAAgACAAIAAgACAATABFAE4AKABkAGUAbABpAG0AaQB0AGUAcgApACwAXABuACAAIAAgACAAdABvAGsAZQBuACwAIAAgACAAIAAgACAAIAAgACAAIABNAEEAWAAoAEwARQBOACgAdABlAHgAdABzACkAIAAtACAATABFAE4AKABTAFUAQgBTAFQASQBUAFUAVABFACgAdABlAHgAdABzACwAIABkAGUAbABpAG0AaQB0AGUAcgAsACAAXAAiAFwAIgApACkAKQAgAC8AIABMACAALQAgADEALABcAG4AXABuACAAIAAgACAALwAvACAASQBuAGQAZQB4AGkAbgBnACAAZgBvAHIAIABUAEUAWABUAEEARgBUAEUAUgAvAFQARQBYAFQAQgBFAEYATwBSAEUAXABuACAAIAAgACAAaQBkAHgALAAgACAAIAAgACAAIAAgACAAIAAgACAAIABMAEEATQBCAEQAQQAoAEkARgAoACgASQBzAFYAZQByAHQAaQBjAGEAbAA/ACkAIAArACAAKABJAHMAUwBjAGEAbABhAHIAPwApACwAUwBFAFEAVQBFAE4AQwBFACgALAAgAHQAbwBrAGUAbgApACwAXABuACAAIAAgACAAIAAgACAAIAAgACAAIAAgACAAIAAgACAAIAAgACAAIAAgACAAIAAgACAAIAAgACAAIAAgACAAIAAgACAAIAAgACAAIAAgACAAIAAgACAAIAAgACAAIAAgACAAIAAgACAAIAAgACAAIAAgACAAUwBFAFEAVQBFAE4AQwBFACgAdABvAGsAZQBuACkAKQApACwAXABuAFwAbgAgACAAIAAgAC8ALwAgAFAAYQByAHMAZQAgAHQAbwBrAGUAbgBzAFwAbgAgACAAIAAgAGYAaQBuAGEAbAAsACAAIAAgACAAIAAgACAAIAAgACAASQBGAEUAUgBSAE8AUgAoAFwAbgAgACAAIAAgACAAIAAgACAAIAAgACAAIAAgACAAIAAgACAAIAAgACAAIAAgACAAIAAgACAAIAAgAFQARQBYAFQAQgBFAEYATwBSAEUAKABUAEUAWABUAEEARgBUAEUAUgAoAHQAZQB4AHQAcwAsACAAZABlAGwAaQBtAGkAdABlAHIALAAgAGkAZAB4ACgAKQAsACAALAAgACwAIABpAGYAXwBuAG8AdABfAGYAbwB1AG4AZAApACwAXABuACAAIAAgACAAIAAgACAAIAAgACAAIAAgACAAIAAgACAAIAAgACAAIAAgACAAIAAgACAAIAAgACAAZABlAGwAaQBtAGkAdABlAHIALAAsACAALAAgACwAIABpAGYAXwBuAG8AdABfAGYAbwB1AG4AZAApACwAXABuACAAIAAgACAAIAAgACAAIAAgACAAIAAgACAAIAAgACAAIAAgACAAIAAgACAAIAAgACAAIAAgACAAaQBmAF8AbgBvAHQAXwBmAG8AdQBuAGQAKQAsAFwAbgBcAG4AIAAgACAAIABmAGkAbgBhAGwAXABuACkAKQApACkAKQA7AFwAbgBcAG4AXABuAFwAbgAvACoAIABbAFQAWAAtAEMATwBSAEUAXQAgAC0ALQAtAC0ALQAtAC0ALQAtAC0ALQAtAC0ALQAtAC0ALQAtAC0ALQAtAC0ALQAtAC0ALQAtAC0ALQAtAC0ALQAtAC0ALQAtAC0ALQAtAC0ALQAtAC0ALQAtAC0ALQAtAC0ALQAtAC0ALQAtAC0ALQAtAC0ALQAtAC0ALQAtAC0ALQAtAC0ALQAtAC0AXABuAEYAdQBuAGMAdABpAG8AbgA6ACAAIAAgACAAIAAgACAAIABSAGUAZwBlAHgAUwBhAGYAZQC7A1wAbgBDAGEAdABlAGcAbwByAHkAOgAgACAAIAAgACAAIAAgACAAVABlAHgAdAAgACgAQwBvAHIAZQApAFwAbgBBAHUAdABoAG8AcgA6ACAAIAAgACAAIAAgACAAIAAgACAAUABhAHQAcgBpAGMAawAgAEgALgBcAG4AVgBlAHIAcwBpAG8AbgA6ACAAIAAgACAAIAAgACAAIAAgADEALgAxAFwAbgBcAG4ARABlAHMAYwByAGkAcAB0AGkAbwBuADoAXABuACAAIAAgACAARQBzAGMAYQBwAGUAcwAgAHIAZQBnAGUAeAAgAG0AZQB0AGEAYwBoAGEAcgBhAGMAdABlAHIAcwAgAGkAbgAgAGEAIABzAHUAcABwAGwAaQBlAGQAIABkAGUAbABpAG0AaQB0AGUAcgAgAHMAbwAgAGkAdAAgAGMAYQBuACAAYgBlACAAdQBzAGUAZABcAG4AIAAgACAAIABzAGEAZgBlAGwAeQAgAGkAbgAgAFIARQBHAEUAWABUAEUAUwBUACwAIABSAEUARwBFAFgAUgBFAFAATABBAEMARQAsACAAYQBuAGQAIABSAEUARwBFAFgARQBYAFQAUgBBAEMAVAAgAHAAYQB0AHQAZQByAG4AcwAuACAATQB1AGwAdABpABEgXABuACAAIAAgACAAYwBoAGEAcgBhAGMAdABlAHIAIABkAGUAbABpAG0AaQB0AGUAcgBzACAAYQByAGUAIABwAHIAbwBjAGUAcwBzAGUAZAAgAGMAaABhAHIAYQBjAHQAZQByABEgYgB5ABEgYwBoAGEAcgBhAGMAdABlAHIALAAgAGEAbgBkACAAbwBuAGwAeQBcAG4AIAAgACAAIABjAGgAYQByAGEAYwB0AGUAcgBzACAAdABoAGEAdAAgAHIAZQBxAHUAaQByAGUAIABlAHMAYwBhAHAAaQBuAGcAIABhAHIAZQAgAHAAcgBlAGYAaQB4AGUAZAAgAHcAaQB0AGgAIABcACIAXABcAFwAIgAuAFwAbgBcAG4ARQB4AGEAbQBwAGwAZQA6AFwAbgAgACAAIAAgAD0AUgBlAGcAZQB4AFMAYQBmAGUAuwMoAFwAIgB8AFwAIgApAFwAbgAgACAAIAAgAHIAZQB0AHUAcgBuAHMAOgAgAFwAIgBcAFwAfABcACIAXABuAC0ALQAtAC0ALQAtAC0ALQAtAC0ALQAtAC0ALQAtAC0ALQAtAC0ALQAtAC0ALQAtAC0ALQAtAC0ALQAtAC0ALQAtAC0ALQAtAC0ALQAtAC0ALQAtAC0ALQAtAC0ALQAtAC0ALQAtAC0ALQAtAC0ALQAtAC0ALQAtAC0ALQAtAC0ALQAtAC0ALQAtAC0ALQAtAC0ALQAtAC0ALQAtACoALwBcAG4AXABuAFIAZQBnAGUAeABTAGEAZgBlALsDIAA9AFwAbgBMAEEATQBCAEQAQQAoAFwAbgAgACAAIAAgAGQAZQBsAGkAbQBpAHQAZQByAHMALABcAG4ATABFAFQAKABcAG4AIAAgACAAIAAvAC8AIABDAGgAYQByAGEAYwB0AGUAcgBzACAAcgBlAHEAdQBpAHIAaQBuAGcAIABlAHMAYwBhAHAAaQBuAGcAIABpAG4AIABFAHgAYwBlAGwAJwBzACAAUABDAFIARQAyACAAZQBuAGcAaQBuAGUAXABuACAAIAAgACAAbQBlAHQAYQAsACAAIAAgACAAIAAgACAAewBcACIAXABcAFwAIgAsACAAXAAiACsAXAAiACwAIABcACIAKgBcACIALAAgAFwAIgA/AFwAIgAsACAAXAAiAF4AXAAiACwAXABuACAAIAAgACAAIAAgACAAIAAgACAAIAAgACAAIAAgACAAIABcACIAJABcACIALAAgAFwAIgAoAFwAIgAsACAAXAAiACkAXAAiACwAIABcACIAWwBcACIALAAgAFwAIgB8AFwAIgB9ACwAXABuAFwAbgAgACAAIAAgAC8ALwAgAEUAbgB1AG0AZQByAGEAdABlACAAZQBhAGMAaAAgAGMAaABhAHIAYQBjAHQAZQByACAAbwBmACAAdABoAGUAIABkAGUAbABpAG0AaQB0AGUAcgBcAG4AIAAgACAAIABjAGgAYQByAHMALAAgACAAIAAgACAAIABSAEUARwBFAFgARQBYAFQAUgBBAEMAVAAoAGQAZQBsAGkAbQBpAHQAZQByAHMALABcACIALgBcACIALAAxACkALABcAG4AXABuACAAIAAgACAALwAvACAASQBkAGUAbgB0AGkAZgB5ACAAbQBlAHQAYQBjAGgAYQByAGEAYwB0AGUAcgBzAFwAbgAgACAAIAAgAEkAcwBNAGUAdABhAD8ALAAgACAAIAAgAEkAUwBOAFUATQBCAEUAUgAoAFgATQBBAFQAQwBIACgAYwBoAGEAcgBzACwAIABtAGUAdABhACkAKQAsAFwAbgBcAG4AIAAgACAAIAAvAC8AIABFAHMAYwBhAHAAZQAgAG8AbgBsAHkAIAB0AGgAbwBzAGUAIAB0AGgAYQB0ACAAcgBlAHEAdQBpAHIAZQAgAGkAdABcAG4AIAAgACAAIABwAGEAdAB0AGUAcgBuACwAIAAgACAAIABDAE8ATgBDAEEAVAAoAEkARgAoAEkAcwBNAGUAdABhAD8ALAAgAFwAIgBcAFwAXAAiACAAJgAgAGMAaABhAHIAcwAsACAAYwBoAGEAcgBzACkAKQAsAFwAbgBcAG4AIAAgACAAIABwAGEAdAB0AGUAcgBuAFwAbgApACkAOwBcAG4AXABuAFwAbgBcAG4ALwAvACAAWwBFAE4AXQAgAC0ALQAtAC0ALQAtAC0ALQAtAC0ALQAtAC0ALQAtAC0ALQAtAC0ALQAtAC0ALQAtAC0ALQAtAC0ALQAtAC0ALQAtAC0ALQAtAC0ALQAtAC0ALQAtAC0ALQAtAC0ALQAtAC0ALQAtAC0ALQAtAC0ALQAtAC0ALQAtAC0ALQAtAC0ALQAtAC0ALQAtAC0ALQAtAC0ALQAtAC0ALQBcAG4ALwAvACAALQAtAC0AIwAjACAAMAA4ACAAFCAgAEUAbgBnAGkAbgBlAGUAcgBpAG4AZ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UAbgBnAGkAbgBlAGUAcgBpAG4AZwAgAGMAYQB0AGUAZwBvAHIAeQAgAHAAcgBvAHYAaQBkAGUAcwAgAGIAaQBuAGEAcgB5ACwAIABHAHIAYQB5ABEgYwBvAGQAZQAsACAAYQBuAGQAIABiAGkAdAARIGwAZQB2AGUAbAAgAHUAdABpAGwAaQB0AGkAZQBzAFwAbgAgACAAIAAgAGQAZQBzAGkAZwBuAGUAZAAgAHQAbwAgAG8AcABlAHIAYQB0AGUAIAB3AGUAbABsACAAYgBlAHkAbwBuAGQAIABFAHgAYwBlAGwAJwBzACAAbgBhAHQAaQB2AGUAIABEAEUAQwAyAEIASQBOACAAbABpAG0AaQB0ACAAbwBmACAANQAxADEALgAgAEEAbABsAFwAbgAgACAAIAAgAGYAdQBuAGMAdABpAG8AbgBzACAAcwB1AHAAcABvAHIAdAAgAGMAbwBuAGMAaQBzAGUAIABiAGkAbgBhAHIAeQAgAHMAdAByAGkAbgBnAHMAIABhAG4AZAAgAHMAaABhAHAAZQARIHAAcgBlAHMAZQByAHYAaQBuAGcAIABhAHIAcgBhAHkAIABiAGUAaABhAHYAaQBvAHIALABcAG4AIAAgACAAIAB3AGkAdABoACAAbwBwAHQAaQBvAG4AYQBsACAAMgBEACAAZQB4AHAAbABvAGQAZQBkACAAYgBpAHQAESBtAGEAdAByAGkAYwBlAHMAIAB3AGgAZQByAGUAIABhAHAAcABsAGkAYwBhAGIAbABlAC4AXABuAFwAbgBGAHUAbgBjAHQAaQBvAG4AcwA6AFwAbgAgACAAIAAgACIgIABCAGkAbgAyAEQAZQBjALsDXABuACAAIAAgACAAIAAgACAAIABDAG8AbgB2AGUAcgB0AHMAIABjAG8AbgBjAGkAcwBlACAAYgBpAG4AYQByAHkAIABpAG4AdABvACAAZABlAGMAaQBtAGEAbAAgAHYAYQBsAHUAZQBzAC4AXABuAFwAbgAgACAAIAAgACIgIABCAGkAbgAyAEcAcgBhAHkAuwNcAG4AIAAgACAAIAAgACAAIAAgAEMAbwBuAHYAZQByAHQAcwAgAGMAbwBuAGMAaQBzAGUAIABiAGkAbgBhAHIAeQAgAGkAbgB0AG8AIABHAHIAYQB5ABEgYwBvAGQAZQAgAHYAYQBsAHUAZQBzACwAIAB3AGkAdABoACAAbwBwAHQAaQBvAG4AYQBsACAAZQB4AHAAbABvAGQAZQBkACAAZgBvAHIAbQAuAFwAbgBcAG4AIAAgACAAIAAiICAAQgBpAHQAQwBvAHUAbgB0ALsDXABuACAAIAAgACAAIAAgACAAIABDAG8AbgB2AGUAcgB0AHMAIABpAG4AdABlAGcAZQByAHMAIAB0AG8AIABiAGkAbgBhAHIAeQAgAGEAbgBkACAAcgBlAHQAdQByAG4AcwAgAGIAaQB0ACAAYwBvAHUAbgB0AHMALAAgAHAAcgBlAHMAZQByAHYAaQBuAGcAIABpAG4AcAB1AHQAIABzAGgAYQBwAGUALgBcAG4AXABuACAAIAAgACAAIiAgAEQAZQBjADIAQgBpAG4AuwNcAG4AIAAgACAAIAAgACAAIAAgAEMAbwBuAHYAZQByAHQAcwAgAGkAbgB0AGUAZwBlAHIAcwAgAGkAbgB0AG8AIABiAGkAbgBhAHIAeQAgAHYAYQBsAHUAZQBzACwAIAByAGUAdAB1AHIAbgBlAGQAIABhAHMAIABjAG8AbgBjAGkAcwBlACAAcwB0AHIAaQBuAGcAcwAgAG8AcgBcAG4AIAAgACAAIAAgACAAIAAgAGUAeABwAGwAbwBkAGUAZAAgADIARAAgAGIAaQB0ABEgYQByAHIAYQB5AHMALgBcAG4AXABuACAAIAAgACAAIiAgAEQAZQBjADIARwByAGEAeQC7A1wAbgAgACAAIAAgACAAIAAgACAAQwBvAG4AdgBlAHIAdABzACAAaQBuAHQAZQBnAGUAcgBzACAAaQBuAHQAbwAgAEcAcgBhAHkAESBjAG8AZABlACAAdgBhAGwAdQBlAHMAIAAoAHcAcgBhAHAAcABlAHIAOgAgAEQAZQBjADIAQgBpAG4AuwMgAJIhIABCAGkAbgAyAEcAcgBhAHkAuwMpAC4AXABuAFwAbgBOAG8AdABlAHMAOgBcAG4AIAAgACAAIAAiICAATgBlAGcAYQB0AGkAdgBlACAAbgB1AG0AYgBlAHIAcwAgAGEAcgBlACAAbgBvAHQAIABzAHUAcABwAG8AcgB0AGUAZAAgAGYAbwByACAARABlAGMAMgBCAGkAbgC7AyAAbwByACAARABlAGMAMgBHAHIAYQB5ALsDLgBcAG4AKgAvAFwAbgBcAG4AXABuAFwAbgAvACoAIABbAEUATgAwADEAXQAgAC0ALQAtAC0ALQAtAC0ALQAtAC0ALQAtAC0ALQAtAC0ALQAtAC0ALQAtAC0ALQAtAC0ALQAtAC0ALQAtAC0ALQAtAC0ALQAtAC0ALQAtAC0ALQAtAC0ALQAtAC0ALQAtAC0ALQAtAC0ALQAtAC0ALQAtAC0ALQAtAC0ALQAtAC0ALQAtAC0ALQAtAC0ALQAtAC0AXABuAEYAdQBuAGMAdABpAG8AbgA6ACAAIAAgACAAIAAgACAAIABCAGkAbgAyAEQAZQBj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jAG8AbgBjAGkAcwBlACAAYgBpAG4AYQByAHkAIABpAG4AdABvACAAZABlAGMAaQBtAGEAbAAgAHYAYQBsAHUAZQBzAC4AIABTAHUAcABwAG8AcgB0AHMAIABzAGMAYQBsAGEAcgAsACAAMQBEACwAIABhAG4AZAAgADIARABcAG4AIAAgACAAIABpAG4AcAB1AHQAcwAgAHcAaQB0AGgAIABmAHUAbABsACAAcwBoAGEAcABlACAAcAByAGUAcwBlAHIAdgBhAHQAaQBvAG4ALgAgAEIAaQB0ABEgdwBpAGQAdABoACAAaQBzACAAaQBuAGYAZQByAHIAZQBkACAAYQB1AHQAbwBtAGEAdABpAGMAYQBsAGwAeQBcAG4AIAAgACAAIABhAG4AZAAgAGEAbABsACAAdgBhAGwAdQBlAHMAIABhAHIAZQAgAG4AbwByAG0AYQBsAGkAegBlAGQAIABiAGUAZgBvAHIAZQAgAGUAeABwAGwAbwBzAGkAbwBuAC4AXABuAFwAbgBQAGEAcgBhAG0AZQB0AGUAcgBzADoAXABuACAAIAAgACAAYgBpAG4AYQByAHkAXABuACAAIAAgACAAIAAgACAAIABTAGMAYQBsAGEAcgAsACAAMQBEACAAYQByAHIAYQB5ACwAIABvAHIAIAAyAEQAIABhAHIAcgBhAHkAIABjAG8AbgB0AGEAaQBuAGkAbgBnACAAYwBvAG4AYwBpAHMAZQAgAGIAaQBuAGEAcgB5ACAAcwB0AHIAaQBuAGcAcwAuAFwAbgBcAG4AIAAgACAAIAAgACAAIAAgACIgIABDAG8AbgBjAGkAcwBlACAAZgBvAHIAbQA6AFwAbgAgACAAIAAgACAAIAAgACAAIAAgACAAIAAgACAAXAAiADEAMAAxADEAXAAiACwAIABcACIAMAAwADAAMQAxADAAMQAwAFwAIgAsACAAZQB0AGMALgAgACAAKABhAG4AeQAgAHMAaABhAHAAZQApAFwAbgBcAG4ATgBvAHQAZQBzADoAXABuACAAIAAgACAAIiAgAE8AdQB0AHAAdQB0ACAAcwBoAGEAcABlACAAbQBhAHQAYwBoAGUAcwAgAGkAbgBwAHUAdAAgAHMAaABhAHAAZQAgACgAcwBjAGEAbABhAHIALAAgAHYAZQByAHQAaQBjAGEAbAAsACAAaABvAHIAaQB6AG8AbgB0AGEAbAAsACAAbwByACAAMgBEACkALgBcAG4AIAAgACAAIAAiICAAUwB1AHAAcABvAHIAdABzACAAYgBpAG4AYQByAHkAIAB2AGEAbAB1AGUAcwAgAGYAYQByACAAYgBlAHkAbwBuAGQAIABFAHgAYwBlAGwAGSBzACAAbgBhAHQAaQB2AGUAIAAxADYAESBkAGkAZwBpAHQAIABuAHUAbQBlAHIAaQBjACAAbABpAG0AaQB0AC4AXABuAC0ALQAtAC0ALQAtAC0ALQAtAC0ALQAtAC0ALQAtAC0ALQAtAC0ALQAtAC0ALQAtAC0ALQAtAC0ALQAtAC0ALQAtAC0ALQAtAC0ALQAtAC0ALQAtAC0ALQAtAC0ALQAtAC0ALQAtAC0ALQAtAC0ALQAtAC0ALQAtAC0ALQAtAC0ALQAtAC0ALQAtAC0ALQAtAC0ALQAtAC0ALQAtACoALwBcAG4AXABuAEIAaQBuADIARABlAGMAuwMgAD0AXABuAEwAQQBNAEIARABBACgAXABuACAAIAAgACAAYgBpAG4AYQByAHkALABcAG4ATABFAFQAKA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XABuACAAIAAgACAALwAvACAATgBvAHIAbQBhAGwAaQB6AGUAIABiAGkAdAARIHcAaQBkAHQAaAAgAGEAbgBkACAAZQB4AHAAbABvAGQAZQBcAG4AIAAgACAAIABiAGkAdABzACwAIAAgACAAIAAgACAAIAAgACAAIAAgAE0AQQBYACgATABFAE4AKABiAGkAbgBhAHIAeQApACkALABcAG4AIAAgACAAIABhAHIAcgAsACAAIAAgACAAIAAgACAAIAAgACAAIAAgAFQARQBYAFQAKABiAGkAbgBhAHIAeQAsACAAUgBFAFAAVAAoAFwAIgAwAFwAIgAsACAAYgBpAHQAcwApACkALABcAG4AIAAgACAAIABiAGkAbgBhAHIAeQAsACAAIAAgACAAIAAgACAAIAAgAEkARgAoAEkAcwBTAGMAYQBsAGEAcgA/ACwARQB4AHAAbABvAGQAZQC7AygAYgBpAG4AYQByAHkAKQAsAFwAbgAgACAAIAAgACAAIAAgACAAIAAgACAAIAAgACAAIAAgACAAIAAgACAAIAAgACAAIAAgACAAIAAgACAAIAAgACAAIABFAHgAcABsAG8AZABlALsDKABUAE8AQwBPAEwAKABhAHIAcgApACkAKQAsAFwAbgBcAG4AIAAgACAAIAAvAC8AIABNAGEAdABoAFwAbgAgACAAIAAgAHAAbwB3AGUAcgBzACwAIABTAEUAUQBVAEUATgBDAEUAKAAsACAAYgBpAHQAcwAsACAAYgBpAHQAcwAgAC0AIAAxACwAIAAtADEAKQAsAFwAbgAgACAAIAAgAHAALAAgACAAIAAgACAAIABQAE8AVwBFAFIAKAAyACwAIABwAG8AdwBlAHIAcwApACwAXABuAFwAbgAgACAAIAAgAC8ALwAgAEEAZwBnAHIAZQBnAGEAdABpAG8AbgAgACYAIABkAGUAbABpAHYAZQByAHkAXABuACAAIAAgACAAcgBlAHMAdQBsAHQALAAgAEIAWQBSAE8AVwAoAGIAaQBuAGEAcgB5ACAAKgAgAHAALAAgAFMAVQBNACkALABcAG4AIAAgACAAIABmAGkAbgBhAGwALAAgACAASQBGACgATwBSACgASQBzAFMAYwBhAGwAYQByAD8ALAAgAEkAcwBWAGUAcgB0AGkAYwBhAGwAPwApACwAIAByAGUAcwB1AGwAdAAsAFwAbgAgACAAIAAgACAAIAAgACAAIAAgACAAIAAgACAAIAAgAEkARgAoAEkAcwBIAG8AcgBpAHoAbwBuAHQAYQBsAD8ALAAgAFQAUgBBAE4AUwBQAE8AUwBFACgAcgBlAHMAdQBsAHQAKQAsAFwAbgAgACAAIAAgACAAIAAgACAAIAAgACAAIAAgACAAIAAgACAAIAAgACAAVwBSAEEAUABSAE8AVwBTACgAcgBlAHMAdQBsAHQALAAgAHcAKQApACkALABcAG4AXABuACAAIAAgACAAZgBpAG4AYQBsAFwAbgApACkAOwBcAG4AXABuAFwAbgBcAG4ALwAqACAAWwBFAE4AMAAyAF0AIAAtAC0ALQAtAC0ALQAtAC0ALQAtAC0ALQAtAC0ALQAtAC0ALQAtAC0ALQAtAC0ALQAtAC0ALQAtAC0ALQAtAC0ALQAtAC0ALQAtAC0ALQAtAC0ALQAtAC0ALQAtAC0ALQAtAC0ALQAtAC0ALQAtAC0ALQAtAC0ALQAtAC0ALQAtAC0ALQAtAC0ALQAtAC0ALQAtAFwAbgBGAHUAbgBjAHQAaQBvAG4AOgAgACAAIAAgACAAIAAgACAAQgBpAG4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iAGkAbgBhAHIAeQAgAGkAbgB0AG8AIABHAHIAYQB5ABEgYwBvAGQAZQAgAHYAYQBsAHUAZQBzAC4AIABTAHUAcABwAG8AcgB0AHMAIABzAGMAYQBsAGEAcgAsAFwAbgAgACAAIAAgADEARAAsACAAYQBuAGQAIAAyAEQAIABpAG4AcAB1AHQAcwAuACAATwB1AHQAcAB1AHQAIABjAGEAbgAgAGIAZQAgAHIAZQB0AHUAcgBuAGUAZAAgAGUAaQB0AGgAZQByACAAYQBzACAAYQAgADIARAAgAGEAcgByAGEAeQAgAG8AcgAgAGEAcwBcAG4AIAAgACAAIABjAG8AbgBjAGkAcwBlACAAcgBvAHcAESB3AGkAcwBlACAAcwB0AHIAaQBuAGcAcwAuAFwAbgBcAG4AUABhAHIAYQBtAGUAdABlAHIAcwA6AFwAbgAgACAAIAAgAGIAaQBuAGEAcgB5AFwAbgAgACAAIAAgACAAIAAgACAAUwBjAGEAbABhAHIALAAgADEARAAgAGEAcgByAGEAeQAsACAAbwByACAAMgBEACAAYQByAHIAYQB5ACAAYwBvAG4AdABhAGkAbgBpAG4AZwAgAGIAaQBuAGEAcgB5ACAAZABhAHQAYQ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MgBEACAAZQB4AHAAbABvAGQAZQBkACAARwByAGEAeQARIGMAbwBkAGUAIABiAGkAdAAgAGEAcgByAGEAeQBzAC4AXABuAFwAbgBOAG8AdABlAHMAOgBcAG4AIAAgACAAIAAiICAAMgBEACAAYQByAHIAYQB5AHMAIABhAHIAZQAgAGQAZQBsAGkAdgBlAHIAZQBkACAAaQBuACAAYwBvAG4AYwBpAHMAZQAgAGYAbwByAG0AYQB0AC4AXABuACAAIAAgACAAIiAgAEcAcgBhAHkAIABjAG8AZABlACAAaQBzACAAYwBvAG0AcAB1AHQAZQBkACAAYQBzADoAIAAgAGcAgCAgAD0AIABiAIAgLAAgACAAZwBiHSAAPQAgAGIAYh0gAFgATwBSACAAYgBiHYsggSAuAFwAbgAtAC0ALQAtAC0ALQAtAC0ALQAtAC0ALQAtAC0ALQAtAC0ALQAtAC0ALQAtAC0ALQAtAC0ALQAtAC0ALQAtAC0ALQAtAC0ALQAtAC0ALQAtAC0ALQAtAC0ALQAtAC0ALQAtAC0ALQAtAC0ALQAtAC0ALQAtAC0ALQAtAC0ALQAtAC0ALQAtAC0ALQAtAC0ALQAtAC0ALQAtAC0ALQAqAC8AXABuAFwAbgBCAGkAbgAyAEcAcgBhAHkAuwMgAD0AXABuAEwAQQBNAEIARABBACgAXABuACAAIAAgACAAYgBpAG4AYQByAHkALABcAG4AIAAgACAAIABbAGMAbwBuAGMAaQBzAGUAXQAsAFwAbgBcAG4ATABFAFQAKABcAG4AIAAgACAAIAAvAC8AIABPAHUAdABwAHUAdAAgAG0AbwBkAGUAXABuACAAIAAgACAASQBzADIARABHAHIAYQB5AD8ALAAgACAAIAAgACAAIABJAFMATwBNAEkAVABUAEUARAAoAGMAbwBuAGMAaQBzAGUAKQAsAFwAbg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IAAgACAAIABJAHMAMQBEAD8ALAAgACAAIAAgACAAIAAgACAAIAAgAFgATwBSACgAaAAgAD0AIAAxACwAIAB3ACAAPQAgADEAKQAsAFwAbgBcAG4AIAAgACAAIAAvAC8AIABOAG8AcgBtAGEAbABpAHoAZQAgAGIAaQB0AC0A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bwBzAHQAIABzAGkAZwBuAGkAZgBpAGMAYQBuAHQAIABiAGkAdABcAG4AIAAgACAAIABtAHMAYgAsACAAIAAgACAAIAAgACAAIAAgACAAIAAgAFQAQQBLAEUAKABiAGkAbgBhAHIAeQAsACAALAAgADEAKQAsAFwAbgBcAG4AIAAgACAAIAAvAC8AIABYAE8AUgAgAG4AZQBpAGcAaABiAG8AcgBzAFwAbgAgACAAIAAgAHgALAAgACAAIAAgACAAIAAgACAAIAAgACAAIAAgACAAQgBJAFQAWABPAFIAKABEAFIATwBQACgAYgBpAG4AYQByAHkALAAgACwAIAAxACkALAAgAEQAUgBPAFAAKABiAGkAbgBhAHIAeQAsACAALAAgAC0AMQApACkALABcAG4AXABuACAAIAAgACAALwAvACAARwByAGEAeQAgAGMAbwBkAGUAIABtAGEAdAByAGkAe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tAGEAdAByAGkAeABcAG4AIAAgACAAIABiAGkAdABzACwAIAAgACAAIAAgACAAIAAgACAARABlAGMAMgBCAGkAbgC7AygAbgAsACAAMQApACwAXABuAFwAbgAgACAAIAAgAC8ALwAgAEMAbwB1AG4AdAAgAGIAaQB0AHMAXABuACAAIAAgACAAYwBvAHUAbgB0AHMALAAgACAAIAAgACAAIAAgAEkARgAoAEkAcwBTAGMAYQBsAGEAcgA/ACwAIABTAFUATQAoAGIAaQB0AHMAKQAsAGYAbgC7AygAYgBpAHQAcwAsAFMAVQBNACkAKQAsAFwAbgBcAG4AIAAgACAAIABmAGkAbgBhAGwALAAgACAAIAAgACAAIAAgACAASQBGACgASQBzADEARAA/ACwAYwBvAHUAbgB0AHMALABXAFIAQQBQAFIATwBXAFMAKABjAG8AdQBuAHQAcwAsAHcAKQApACwAXABuAFwAbgAgACAAIAAgAGYAaQBuAGEAbABcAG4AKQApADsAXABuAFwAbgBcAG4AXABuAC8AKgAgAFsARQBOADAANABdACAALQAtAC0ALQAtAC0ALQAtAC0ALQAtAC0ALQAtAC0ALQAtAC0ALQAtAC0ALQAtAC0ALQAtAC0ALQAtAC0ALQAtAC0ALQAtAC0ALQAtAC0ALQAtAC0ALQAtAC0ALQAtAC0ALQAtAC0ALQAtAC0ALQAtAC0ALQAtAC0ALQAtAC0ALQAtAC0ALQAtAC0ALQAtAC0ALQBcAG4ARgB1AG4AYwB0AGkAbwBuADoAIAAgACAAIAAgACAAIAAgAEQAZQBjADIAQgBpAG4AuwNcAG4AQwBhAHQAZQBnAG8AcgB5ADoAIAAgACAAIAAgACAAIAAgAEUAbgBnAGkAbgBlAGUAcgBpAG4AZwBcAG4AQQB1AHQAaABvAHIAOgAgACAAIAAgACAAIAAgACAAIAAgAFAAYQB0AHIAaQBjAGsAIABIAC4AXABuAFYAZQByAHMAaQBvAG4AOgAgACAAIAAgACAAIAAgACAAIAAxAC4AMQBcAG4AXABuAEQAZQBzAGMAcgBpAHAAdABpAG8AbgA6AFwAbgAgACAAIAAgAEMAbwBuAHYAZQByAHQAcwAgAG4AbwBuABEgbgBlAGcAYQB0AGkAdgBlACAAaQBuAHQAZQBnAGUAcgBzACAAaQBuAHQAbwAgAGIAaQBuAGEAcgB5AC4AIABTAHUAcABwAG8AcgB0AHMAIABzAGMAYQBsAGEAcgAsACAAMQBEACwAIABhAG4AZAAgADIARABcAG4AIAAgACAAIABpAG4AcAB1AHQAcwAgAHcAaQB0AGgAIABmAHUAbABsACAAcwBoAGEAcABlACAAcAByAGUAcwBlAHIAdgBhAHQAaQBvAG4ALgAgAFIAZQB0AHUAcgBuAHMAIABlAGkAdABoAGUAcgAgAGMAbwBuAGMAaQBzAGUAIABiAGkAbgBhAHIAeQAgAHMAdAByAGkAbgBnAHMAXABuACAAIAAgACAAbwByACAAZQB4AHAAbABvAGQAZQBkACAAMgBEACAAYgBpAHQAESBhAHIAcgBhAHkAcwAuAFwAbgBcAG4AUABhAHIAYQBtAGUAdABlAHIAcwA6AFwAbgAgACAAIAAgAG4AdQBtAGIAZQByAHMAXABuACAAIAAgACAAIAAgACAAIABTAGMAYQBsAGEAcgAsACAAMQBEACAAYQByAHIAYQB5ACwAIABvAHIAIAAyAEQAIABhAHIAcgBhAHkAIABvAGYAIABuAG8AbgARIG4AZQBnAGEAdABpAHYAZQAgAGkAbgB0AGUAZwBlAHIAcwAuAFwAbgBcAG4AIAAgACAAIABbAEEAcgByAGEAeQBfAEYAbwByAG0AXwAyAEQAXQBcAG4AIAAgACAAIAAgACAAIAAgAE8AcAB0AGkAbwBuAGEAbAAuACAAVABSAFUARQAgAJIhIAByAGUAdAB1AHIAbgAgAGUAeABwAGwAbwBkAGUAZAAgADIARAAgAGIAaQB0ABEgYQByAHIAYQB5AHMALgBcAG4AIAAgACAAIAAgACAAIAAgAE8AbQBpAHQAdABlAGQAIACSISAAcgBlAHQAdQByAG4AIABjAG8AbgBjAGkAcwBlACAAYgBpAG4AYQByAHkAIABzAHQAcgBpAG4AZwBzAC4AXABuAFwAbgBOAG8AdABlAHMAOgBcAG4AIAAgACAAIAAiICAAUwB1AHAAcABvAHIAdABzACAAYQByAGIAaQB0AHIAYQByAGkAbAB5ACAAbABhAHIAZwBlACAAaQBuAHQAZQBnAGUAcgBzACAAKABiAGUAeQBvAG4AZAAgAEUAeABjAGUAbAAZIHMAIABuAGEAdABpAHYAZQAgAEIASQBOADIARABFAEMAIABsAGkAbQBpAHQAcwApAC4AXABuACAAIAAgACAAIiAgAEMAbwBuAGMAaQBzAGUAIABvAHUAdABwAHUAdAAgAGEAdgBvAGkAZABzACAAcwBjAGkAZQBuAHQAaQBmAGkAYwAgAG4AbwB0AGEAdABpAG8AbgAgAGEAbgBkACAAMQA2ABEgZABpAGcAaQB0ACAAcAByAGUAYwBpAHMAaQBvAG4AIABpAHMAcwB1AGUAcwAuAFwAbgAgACAAIAAgACIgIAAyAEQAIABpAG4AcAB1AHQAcwAgAHAAcgBlAHMAZQByAHYAZQAgAHQAaABlAGkAcgAgAG8AcgBpAGcAaQBuAGEAbAAgAHMAaABhAHAAZQAgAHcAaABlAG4AIABjAG8AbgBjAGkAcwBlACAAbwB1AHQAcAB1AHQAIABpAHMAIABzAGUAbABlAGMAdABlAGQALgBcAG4ALQAtAC0ALQAtAC0ALQAtAC0ALQAtAC0ALQAtAC0ALQAtAC0ALQAtAC0ALQAtAC0ALQAtAC0ALQAtAC0ALQAtAC0ALQAtAC0ALQAtAC0ALQAtAC0ALQAtAC0ALQAtAC0ALQAtAC0ALQAtAC0ALQAtAC0ALQAtAC0ALQAtAC0ALQAtAC0ALQAtAC0ALQAtAC0ALQAtAC0ALQAtAC0AKgAvAFwAbgBcAG4ARABlAGMAMgBCAGkAbgC7Az0AXABuAEwAQQBNAEIARABBACgAXABuACAAIAAgACAAbgB1AG0AYgBlAHIAcwAsAFwAbgAgACAAIAAgAFsAQQByAHIAYQB5AF8ARgBvAHIAbQBfADIARABdACwAXABuAFwAbgAvAC8AQwBoAGUAYwBrACAAbgB1AG0AYgBlAHIAcwBcAG4ASQBGACgATwBSACgASQBTAFQARQBYAFQAKABuAHUAbQBiAGUAcgBzACkALAAgAEkAUwBFAFIAUgBPAFIAKAAtAC0AbgB1AG0AYgBlAHIAcwApACwAbgB1AG0AYgBlAHIAcwAgADwAIAAwACkALAAgACMAVgBBAEwAVQBFACEALABcAG4AXABuAEwARQBUACgAXABuACAAIAAgACAALwAvACAASQBuAHAAdQB0ACAAcwBoAGEAcABlAFwAbgAgACAAIAAgAGgALAAgACAAIAAgACAAIAAgACAAIAAgACAAIAAgAFIATwBXAFMAKABuAHUAbQBiAGUAcgBzACkALABcAG4AIAAgACAAIAB3ACwAIAAgACAAIAAgACAAIAAgACAAIAAgACAAIABDAE8ATABVAE0ATgBTACgAbgB1AG0AYgBlAHIAcwApACwAXABuAFwAbgAgACAAIAAgAEkAcwBTAGMAYQBsAGEAcgA/ACwAIAAgACAAIAAgAEEATgBEACgAaAAgAD0AIAAxACwAIAB3ACAAPQAgADEAKQAsAFwAbgAgACAAIAAgAEkAcwBWAGUAcgB0AGkAYwBhAGwAPwAsACAAIAAgAGgAIAA+ACAAdwAsAFwAbgAgACAAIAAgAEkAcwAyAEQAPwAsACAAIAAgACAAIAAgACAAIAAgAEEATgBEACgAaAAgAD4AIAAxACwAdwAgAD4AIAAxACkALABcAG4AXABuACAAIAAgACAALwAvACAARgBsAGEAdAB0AGUAbgAgAGkAbgBwAHUAdABcAG4AIAAgACAAIABuAHUAbQBiAGUAcgBzACwAIAAgACAAIAAgACAAIABUAE8AQwBPAEwAKABuAHUAbQBiAGUAcgBzACkALABcAG4AXABuACAAIAAgACAALwAvACAARgBvAHIAbQBcAG4AIAAgACAAIABJAHMAVgBlAGMAdABvAHIAPwAsACAAIAAgACAAIABJAFMATwBNAEkAVABUAEUARAAoAEEAcgByAGEAeQBfAEYAbwByAG0AXwAyAEQAKQAsAFwAbgBcAG4AIAAgACAAIAAvAC8AIABNAGEAeAAgAGIAaQB0AHMAIABuAGUAZQBkAGUAZAAgAHQAbwAgAGUAeABwAHIAZQBzAHMAIAByAGUAcwB1AGwAdABzACAAYQBzACAAYQByAHIAYQB5AFwAbgAgACAAIAAgAGIAaQB0AHMALAAgACAAIAAgACAAIAAgACAAIAAgAE0AQQBYACgASQBGAEUAUgBSAE8AUgAoAEkATgBUACgATABPAEcAKABuAHUAbQBiAGUAcgBzACwAMgApACkAIAArACAAMQAsADEAKQApACwAXABuAFwAbgAgACAAIAAgAC8ALwAgAEYAbwByAG0AcwAgAC0AIAAyAEQAIABhAHIAcgBhAHkALAAgAGIAaQBuACAAdgBlAGMAdABvAHIAIAAtACAAZQBhAGcAZQByACAAZQB2AGEAbAB1AGEAdABpAG8AbgAgAGQAZQBmAGUAcgByAGUAZABcAG4AIAAgACAAIABiAGkAbgBfAGEAcgByACwAIAAgACAAIAAgACAAIABMAEEATQBCAEQAQQAoAE0ATwBEACgAQgBJAFQAUgBTAEgASQBGAFQAKABuAHUAbQBiAGUAcgBzACwAUwBFAFEAVQBFAE4AQwBFACgALABiAGkAdABzACwAYgBpAHQAcwAgAC0AIAAxACwALQAxACkAKQAsADIAKQApACwAXABuACAAIAAgACAAYgBpAG4AXwB2AGUAYwB0AG8AcgAsACAAIAAgACAATABBAE0AQgBEAEEAKABCAFkAUgBPAFcAKABiAGkAbgBfAGEAcgByACgAKQAsAEMATwBOAEMAQQBUACkAKQAsAFwAbgAgACAAIAAgAGIAaQBuAF8AcgBlAHMAdQBsAHQALAAgACAAIAAgAEwAQQBNAEIARABBACgASQBGACgASQBzAFYAZQBjAHQAbwByAD8ALABiAGkAbgBfAHYAZQBjAHQAbwByACgAKQAsAGIAaQBuAF8AYQByAHIAKAApACkAKQAsAFwAbgBcAG4AIAAgACAAIAAvAC8AIABSAGUALQBzAGgAYQBwAGkAbgBnACAAJgAgAGQAZQBsAGkAdgBlAHIAeQBcAG4AIAAgACAAIABkAGUAbABpAHYAZQByACwAIAAgACAAIAAgACAAIABJAEYAKABJAHMAMgBEAD8ALABXAFIAQQBQAFIATwBXAFMAKABiAGkAbgBfAHYAZQBjAHQAbwByACgAKQAsAHcAKQAsAFwAbgAgACAAIAAgACAAIAAgACAAIAAgACAAIAAgACAAIAAgACAAIAAgACAAIAAgACAAIABJAEYAKABPAFIAKABJAHMAUwBjAGEAbABhAHIAPwAsAEkAcwBWAGUAcgB0AGkAYwBhAGwAPwApACwAYgBpAG4AXwByAGUAcwB1AGwAdAAoACkALABcAG4AIAAgACAAIAAgACAAIAAgACAAIAAgACAAIAAgACAAIAAgACAAIAAgACAAIAAgACAAIAAgACAAIABUAFIAQQBOAFMAUABPAFMARQAoAGIAaQBuAF8AcgBlAHMAdQBsAHQAKAApACkAKQApACwAXABuACAAIAAgACAAZABlAGwAaQB2AGUAcgBcAG4AKQApACkAOwBcAG4AXABuAFwAbgBcAG4ALwAqACAAWwBFAE4AMAA1AF0AIAAtAC0ALQAtAC0ALQAtAC0ALQAtAC0ALQAtAC0ALQAtAC0ALQAtAC0ALQAtAC0ALQAtAC0ALQAtAC0ALQAtAC0ALQAtAC0ALQAtAC0ALQAtAC0ALQAtAC0ALQAtAC0ALQAtAC0ALQAtAC0ALQAtAC0ALQAtAC0ALQAtAC0ALQAtAC0ALQAtAC0ALQAtAC0ALQAtAFwAbgBGAHUAbgBjAHQAaQBvAG4AOgAgACAAIAAgACAAIAAgACAARABlAGM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LAAgAEIAaQBuADIARwByAGEAeQC7A1wAbgBcAG4ARABlAHMAYwByAGkAcAB0AGkAbwBuADoAXABuACAAIAAgACAAQwBvAG4AdgBlAHIAdABzACAAbgBvAG4AESBuAGUAZwBhAHQAaQB2AGUAIABpAG4AdABlAGcAZQByAHMAIABpAG4AdABvACAARwByAGEAeQARIGMAbwBkAGUAIAB2AGEAbAB1AGUAcwAuACAAUwB1AHAAcABvAHIAdABzACAAcwBjAGEAbABhAHIALAAgADEARAAsAFwAbgAgACAAIAAgAGEAbgBkACAAMgBEACAAaQBuAHAAdQB0AHMAIAB3AGkAdABoACAAZgB1AGwAbAAgAHMAaABhAHAAZQAgAHAAcgBlAHMAZQByAHYAYQB0AGkAbwBuAC4AIABPAHUAdABwAHUAdAAgAGMAYQBuACAAYgBlACAAcgBlAHQAdQByAG4AZQBkACAAZQBpAHQAaABlAHIAXABuACAAIAAgACAAYQBzACAAYwBvAG4AYwBpAHMAZQAgAEcAcgBhAHkAESBjAG8AZABlACAAcwB0AHIAaQBuAGcAcwAgAG8AcgAgAGEAcwAgAGUAeABwAGwAbwBkAGUAZAAgADIARAAgAGIAaQB0ABEgYQByAHIAYQB5AHMALgBcAG4AXABuAFAAYQByAGEAbQBlAHQAZQByAHMAOgBcAG4AIAAgACAAIABuAHUAbQBiAGUAcgBcAG4AIAAgACAAIAAgACAAIAAgAFMAYwBhAGwAYQByACwAIAAxAEQAIABhAHIAcgBhAHkALAAgAG8AcgAgADIARAAgAGEAcgByAGEAeQAgAG8AZgAgAG4AbwBuABEgbgBlAGcAYQB0AGkAdgBlACAAaQBuAHQAZQBnAGUAcgBz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BlAHgAcABsAG8AZABlAGQAIAAyAEQAIABHAHIAYQB5ABEgYwBvAGQAZQAgAGIAaQB0ACAAYQByAHIAYQB5AHMALgBcAG4AXABuAE4AbwB0AGUAcwA6AFwAbgAgACAAIAAgACIgIABVAHMAZQBzACAARABlAGMAMgBCAGkAbgC7AyAAdABvACAAbwBiAHQAYQBpAG4AIABiAGkAbgBhAHIAeQAsACAAdABoAGUAbgAgAEIAaQBuADIARwByAGEAeQC7AyAAdABvACAAYwBvAG4AdgBlAHIAdAAgAHQAbwAgAEcAcgBhAHkAIABjAG8AZABl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EAGUAYwAyAEcAcgBhAHkAuwMgAD0AXABuAEwAQQBNAEIARABBACgAXABuACAAIAAgACAAbgB1AG0AYgBlAHIALABcAG4AIAAgACAAIABbAGMAbwBuAGMAaQBzAGUAXQAsAFwAbgAgACAAIAAgAEIAaQBuADIARwByAGEAeQC7AygARABlAGMAMgBCAGkAbgC7AygAbgB1AG0AYgBlAHIAKQAsACAAYwBvAG4AYwBpAHMAZQApAFwAbgApADsAXABuAFwAbgBcAG4AXABuAC8ALwAgAFsAQwBCAF0AIAAtAC0ALQAtAC0ALQAtAC0ALQAtAC0ALQAtAC0ALQAtAC0ALQAtAC0ALQAtAC0ALQAtAC0ALQAtAC0ALQAtAC0ALQAtAC0ALQAtAC0ALQAtAC0ALQAtAC0ALQAtAC0ALQAtAC0ALQAtAC0ALQAtAC0ALQAtAC0ALQAtAC0ALQAtAC0ALQAtAC0ALQAtAC0ALQAtAC0ALQAtAC0AXABuAC8ALwAgAC0ALQAtACMAIwAgADAAOQAgABQgIABDAG8AbQBiAGkAbgBhAHQAbwByAGkAYwBz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QwBvAG0AYgBpAG4AYQB0AG8AcgBpAGMAcwAgAGMAYQB0AGUAZwBvAHIAeQAgAHAAcgBvAHYAaQBkAGUAcwAgAGgAaQBnAGgAESBwAGUAcgBmAG8AcgBtAGEAbgBjAGUAIABnAGUAbgBlAHIAYQB0AG8AcgBzACAAZgBvAHIAXABuACAAIAAgACAAcABlAHIAbQB1AHQAYQB0AGkAbwBuAHMALAAgAGMAbwBtAGIAaQBuAGEAdABpAG8AbgBzACwAIABzAHUAYgBzAGUAdABzACwAIABhAG4AZAAgAHIAZQBsAGEAdABlAGQAIABzAHQAcgB1AGMAdAB1AHIAZQBzAC4AXABuAFwAbgBGAHUAbgBjAHQAaQBvAG4AcwA6AFwAbgAgACAAIAAgACIgIABQAGUAcgBtAFIAuwNcAG4AIAAgACAAIAAgACAAIAAgAEcAZQBuAGUAcgBhAHQAZQBzACAAcABlAHIAbQB1AHQAYQB0AGkAbwBuAHMAIAB3AGkAdABoACAAcgBlAHAAbABhAGMAZQBtAGUAbgB0ACAAKABrABEgdAB1AHAAbABlAHMAIABkAHIAYQB3AG4AIABmAHIAbwBtACAAbgAgAGkAdABlAG0AcwApAC4AXABuAFwAbgAgACAAIAAgACIgIABQAGUAcgBtALsDXABuACAAIAAgACAAIAAgACAAIABHAGUAbgBlAHIAYQB0AGUAcwAgAHAAZQByAG0AdQB0AGEAdABpAG8AbgBzACAAdwBpAHQAaABvAHUAdAAgAHIAZQBwAGwAYQBjAGUAbQBlAG4AdAAuAFwAbgBcAG4AIAAgACAAIAAiICAAQwBvAG0AYgBpAG4AYQB0AGkAbwBuAHMAUgC7A1wAbgAgACAAIAAgACAAIAAgACAARwBlAG4AZQByAGEAdABlAHMAIABjAG8AbQBiAGkAbgBhAHQAaQBvAG4AcwAgAHcAaQB0AGgAIAByAGUAcABsAGEAYwBlAG0AZQBuAHQALgBcAG4AXABuACAAIAAgACAAIiAgAEMAbwBtAGIAaQBuAGEAdABpAG8AbgBzALsDXABuACAAIAAgACAAIAAgACAAIABHAGUAbgBlAHIAYQB0AGUAcwAgAGMAbwBtAGIAaQBuAGEAdABpAG8AbgBzACAAdwBpAHQAaABvAHUAdAAgAHIAZQBwAGwAYQBjAGUAbQBlAG4AdAAuAFwAbgBcAG4AIAAgACAAIAAiICAARABlAHIAYQBuAGcAZQBtAGUAbgB0AHMAuwNcAG4AIAAgACAAIAAgACAAIAAgAEcAZQBuAGUAcgBhAHQAZQBzACAAcABlAHIAbQB1AHQAYQB0AGkAbwBuAHMAIAB3AGgAZQByAGUAIABuAG8AIABlAGwAZQBtAGUAbgB0ACAAcgBlAG0AYQBpAG4AcwAgAGkAbgAgAGkAdABzACAAbwByAGkAZwBpAG4AYQBsACAAcABvAHMAaQB0AGkAbwBuAC4AXABuAFwAbgAgACAAIAAgACIgIABLAG4AYQBwAFMAYQBjAGsAuwNcAG4AIAAgACAAIAAgACAAIAAgAFMAbwBsAHYAZQBzACAAdABoAGUAIABzAHUAYgBzAGUAdAARIHMAdQBtACAALwAgAGsAbgBhAHAAcwBhAGMAawAgAGYAZQBhAHMAaQBiAGkAbABpAHQAeQAgAHAAcgBvAGIAbABlAG0AIAB1AHMAaQBuAGcAIAB2AGUAYwB0AG8AcgBpAHoAZQBkAFwAbgAgACAAIAAgACAAIAAgACAAZQBuAHUAbQBlAHIAYQB0AGkAbwBuACAAYQBuAGQAIABmAGkAbAB0AGUAcgBpAG4AZwAuAFwAbgBcAG4AIAAgACAAIAAiICAAUwB1AGIAcwBlAHQARwBlAG4AuwNcAG4AIAAgACAAIAAgACAAIAAgAEcAZQBuAGUAcgBhAHQAZQBzACAAYQBsAGwAIABzAHUAYgBzAGUAdABzACAAbwBmACAAYQAgAHMAZQB0ACAAKAB0AGgAZQAgAHAAbwB3AGUAcgAgAHMAZQB0ACkALAAgAHIAZQB0AHUAcgBuAGUAZAAgAGkAbgAgAGIAaQBuAGEAcgB5ABEgbQBhAHMAawBcAG4AIAAgACAAIAAgACAAIAAgAG8AcgBkAGUAcgAuAFwAbgBcAG4AIAAgACAAIAAiICAAUwB1AGIAcwBlAHQAUwB1AG0AuwNcAG4AIAAgACAAIAAgACAAIAAgAFIAZQB0AHUAcgBuAHMAIABhAGwAbAAgAHMAdQBiAHMAZQB0AHMAIAB3AGgAbwBzAGUAIABlAGwAZQBtAGUAbgB0AHMAIABzAHUAbQAgAHQAbwAgAGEAIAB0AGEAcgBnAGUAdAAgAHYAYQBsAHUAZQAuAFwAbgBcAG4ATgBvAHQAZQBzADoAXABuACAAIAAgACAAIiAgAEEAbABsACAAZwBlAG4AZQByAGEAdABvAHIAcwAgAGEAcgBlACAAcwBoAGEAcABlABEgcAByAGUAcwBlAHIAdgBpAG4AZwAgAGEAbgBkACAAcgBlAHQAdQByAG4AIAAyAEQAIABhAHIAcgBhAHkAcwAgAHcAaABlAHIAZQAgAGUAYQBjAGgAIAByAG8AdwBcAG4AIAAgACAAIAAgACAAcgBlAHAAcgBlAHMAZQBuAHQAcwAgAG8AbgBlACAAYwBvAG0AYgBpAG4AYQB0AG8AcgBpAGEAbAAgAG8AYgBqAGUAYwB0AC4AXABuACAAIAAgACAAIiAgAEEAbABsACAAZgB1AG4AYwB0AGkAbwBuAHMAIABvAHAAZQByAGEAdABlACAAbwBuACAAYQByAHIAYQB5AHMAIABvAGYAIABpAHQAZQBtAHMALAAgAG4AbwB0ACAAagB1AHMAdAAgAGkAbgB0AGUAZwBlAHIAcwAuAFwAbgAgACAAIAAgACIgIABUAGgAZQAgAHUAbgBkAGUAcgBsAHkAaQBuAGcAIABhAHIAYwBoAGkAdABlAGMAdAB1AHIAZQAgAHUAcwBlAHMAIABhACAAZgB1AG4AbgBlAGwAIABtAG8AZABlAGwAOgAgAGwAYQByAGcAZQAgAGUAbgB1AG0AZQByAGEAdABpAG8AbgBzACAAYQByAGUAXABuACAAIAAgACAAIAAgAGcAZQBuAGUAcgBhAHQAZQBkACAAbwBuAGMAZQAgAGEAbgBkACAAZgBpAGwAdABlAHIAZQBkACAAYgB5ACAAbwByAGQAZQByACwAIAB1AG4AaQBxAHUAZQBuAGUAcwBzACwAIABvAHIAIABwAG8AcwBpAHQAaQBvAG4AYQBsACAAcAByAGUAZABpAGMAYQB0AGUAcwAuAFwAbgBcAG4ARQBuAHUAbQBlAHIAYQB0AGUAuwNcAG4AIAAgACAAIAAgACAAIAAgACAAIAAgACAAIAAgACAAIAAgACAAIAAgACAAIAAgACAAIAAgACAAIAAgACAAIAAgACgARwBlAG4AZQByAGEAdABpAG4AZwAgAGYAdQBuAGMAdABpAG8AbgApAFwAbgAgACAAIAAgACAAIAAgACAAIAAgACAAIAAgACAAIAAgACAAIAAgACAAIAAgACAAIAAgACAAIAAgACAAIAAgACAAIAAgACAAIAAgACAAIAAgAHwAXABuACAAIAAgACAAIAAgACAAIAAgACAAIAAgACAAIAAgACAAIAAgACAAIAAgACAAIAAgACAAIAAgACAAIAAgACAAIAAgACAAIAAgACAAIABQAGUAcgBtAFIAuwNcAG4AIAAgACAAIAAgACAAIAAgACAAIAAgACAAIAAgACAAIAAgACAAIAAgACgAZgB1AGwAbAAgAHAAZQByAG0AdQB0AGEAdABpAG8AbgBzACAAdwBpAHQAaAAgAHIAZQBwAGwAYQBjAGUAbQBlAG4AdAApAFwAbgAgACAAIAAgACAAIAAgACAAIAAgACAAIAAgACAAIAAgACAAIAAgACAAIAAgACAAIAAgACAAIAAgACAAIAAgACAAIAAgACAAIAAgACAAIAAgAHwAXABuACAAIAAgACAAIAAgACAAIAAgACAAIAAgACAAIAAgACAALQAtAC0ALQAtAC0ALQAtAC0ALQAtAC0ALQAtAC0ALQAtAC0ALQAtAC0ALQAtAC0ALQAtAC0ALQAtAC0ALQAtAC0ALQAtAC0ALQAtAC0ALQAtAC0ALQAtAC0ALQAtAC0ALQBcAG4AIAAgACAAIAAgACAAIAAgACAAIAAgACAAIAAgACAAIAB8ACAAIAAgACAAIAAgACAAIAAgACAAIAAgACAAIAAgACAAIAAgACAAIAAgACAAIAB8ACAAIAAgACAAIAAgACAAIAAgACAAIAAgACAAIAAgACAAIAAgACAAIAAgACAAIAB8AFwAbgAgACAAIAAgACAAIAAgACAAQwBvAG0AYgBpAG4AYQB0AGkAbwBuAHMAUgC7AyAAIAAgACAAIAAgACAAIAAgACAAIAAgACAAIAAgACAAUABlAHIAbQC7AyAAIAAgACAAIAAgACAAIAAgACAAIAAgACAAIABEAGUAcgBhAG4AZwBlAG0AZQBuAHQAcwC7A1wAbgAgACAAIAAgACAAIAAgACAAKABmAGkAbAB0AGUAcgAgAHIAZQBwAGUAYQB0AHMAKQAgACAAIAAgACAAIAAgACAAKABmAGkAbAB0AGUAcgAgAGIAeQAgAG8AcgBkAGUAcgApACAAIAAgACAAIAAoAGYAaQBsAHQAZQByACAAYgB5ACAAcABvAHMAaQB0AGkAbwBuACkAXABuACAAIAAgACAAIAAgACAAIAAgACAAIAAgACAAIAAgACAAfABcAG4AIAAgACAAIAAgACAAIAAgACAAIABDAG8AbQBiAGkAbgBhAHQAaQBvAG4AcwC7A1wAbgAgACAAIAAgACAAKABmAGkAbAB0AGUAcgAgAHIAZQBwAGUAYQB0AHMAIAArACAAbwByAGQAZQByACkAXABuAFwAbgBcAG4AKgAvAFwAbgBcAG4AXABuAFwAbgAvACoAIABbAEMAQgARIEMATwBSAEUAXQAgAC0ALQAtAC0ALQAtAC0ALQAtAC0ALQAtAC0ALQAtAC0ALQAtAC0ALQAtAC0ALQAtAC0ALQAtAC0ALQAtAC0ALQAtAC0ALQAtAC0ALQAtAC0ALQAtAC0ALQAtAC0ALQAtAC0ALQAtAC0ALQAtAC0ALQAtAC0ALQAtAC0ALQAtAC0ALQAtAC0ALQAtAC0ALQBcAG4ARgB1AG4AYwB0AGkAbwBuADoAIAAgACAAIAAgACAAIAAgAEUAbgB1AG0AZQByAGEAdABlALsDXABuAEMAYQB0AGUAZwBvAHIAeQA6ACAAIAAgACAAIAAgACAAIABDAG8AbQBiAGkAbgBhAHQAbwByAGkAYwBzAFwAbgBBAHUAdABoAG8AcgA6ACAAIAAgACAAIAAgACAAIAAgACAAUABhAHQAcgBpAGMAawAgAEgALgBcAG4AVgBlAHIAcwBpAG8AbgA6ACAAIAAgACAAIAAgACAAIAAgADEALgAxAFwAbgBcAG4ARABlAHMAYwByAGkAcAB0AGkAbwBuADoAXABuACAAIAAgACAAQwBvAHIAZQAgAGcAZQBuAGUAcgBhAHQAaQBuAGcAIABmAHUAbgBjAHQAaQBvAG4AIABmAG8AcgAgAGEAbABsACAAYwBvAG0AYgBpAG4AYQB0AG8AcgBpAGEAbAAgAG8AcABlAHIAYQB0AG8AcgBzACAAaQBuACAAdABoAGUAIABDAG8AbQBiAGkAbgBhAHQAbwByAGkAYwBzAFwAbgAgACAAIAAgAGMAYQB0AGUAZwBvAHIAeQAuACAAUAByAG8AZAB1AGMAZQBzACAAaQBuAGQAZQB4ACAAbQBhAHQAcgBpAGMAZQBzACAAZgBvAHIAIABwAGUAcgBtAHUAdABhAHQAaQBvAG4AcwAsACAAYwBvAG0AYgBpAG4AYQB0AGkAbwBuAHMALAAgAG0AdQBsAHQAaQBzAGUAdABzACwAXABuACAAIAAgACAAYQBuAGQAIABkAGUAcgBhAG4AZwBlAG0AZQBuAHQAcwAgAHUAcwBpAG4AZwAgAGEAIAB2AGUAYwB0AG8AcgBpAHoAZQBkACAAZgB1AG4AbgBlAGwAIABhAHIAYwBoAGkAdABlAGMAdAB1AHIAZQAuACAASABpAGcAaABlAHIAESBsAGUAdgBlAGwAXABuACAAIAAgACAAZgB1AG4AYwB0AGkAbwBuAHMAIAAoAFAAZQByAG0AUgC7AywAIABQAGUAcgBtALsDLAAgAEMAbwBtAGIAaQBuAGEAdABpAG8AbgBzAFIAuwMsACAAQwBvAG0AYgBpAG4AYQB0AGkAbwBuAHMAuwMsACAARABlAHIAYQBuAGcAZQBtAGUAbgB0AHMAuwMpAFwAbgAgACAAIAAgAGEAcgBlACAAdABoAGkAbgAgAHcAcgBhAHAAcABlAHIAcwAgAGEAcgBvAHUAbgBkACAAdABoAGkAcwAgAGcAZQBuAGUAcgBhAHQAbwBy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sAXABuACAAIAAgACAAIAAgACAAIABMAGUAbgBnAHQAaAAgAG8AZgAgAGUAYQBjAGgAIAB0AHUAcABsAGUAIAAoAGsAIABlIiAAMAApAC4AIABNAHUAcwB0ACAAYgBlACAAYQAgAHMAYwBhAGwAYQByAC4AXABuAFwAbgAgACAAIAAgAHQAeQBwAGUAXABuACAAIAAgACAAIAAgACAAIABTAGUAbABlAGMAdABvAHIAIABmAG8AcgAgAHQAaABlACAAYwBvAG0AYgBpAG4AYQB0AG8AcgBpAGEAbAAgAG0AbwBkAGUAOgBcAG4AIAAgACAAIAAgACAAIAAgACAAIAAgACAAMQAgAJIhIABQAGUAcgBtAHUAdABhAHQAaQBvAG4AcwAgAHcAaQB0AGgAIAByAGUAcABsAGEAYwBlAG0AZQBuAHQAXABuACAAIAAgACAAIAAgACAAIAAgACAAIAAgADIAIACSISAAUABlAHIAbQB1AHQAYQB0AGkAbwBuAHMAIAB3AGkAdABoAG8AdQB0ACAAcgBlAHAAbABhAGMAZQBtAGUAbgB0AFwAbgAgACAAIAAgACAAIAAgACAAIAAgACAAIAAzACAAkiEgAEMAbwBtAGIAaQBuAGEAdABpAG8AbgBzACAAdwBpAHQAaAAgAHIAZQBwAGwAYQBjAGUAbQBlAG4AdABcAG4AIAAgACAAIAAgACAAIAAgACAAIAAgACAANAAgAJIhIABDAG8AbQBiAGkAbgBhAHQAaQBvAG4AcwAgAHcAaQB0AGgAbwB1AHQAIAByAGUAcABsAGEAYwBlAG0AZQBuAHQAXABuACAAIAAgACAAIAAgACAAIAAgACAAIAAgADUAIACSISAARABlAHIAYQBuAGcAZQBtAGUAbgB0AHMAXABuAFwAbgBOAG8AdABlAHMAOgBcAG4AIAAgACAAIAAiICAAQQBsAGwAIAByAGUAcwB1AGwAdABzACAAYQByAGUAIAByAGUAdAB1AHIAbgBlAGQAIABhAHMAIAAyAEQAIABhAHIAcgBhAHkAcwAgAHcAaABlAHIAZQAgAGUAYQBjAGgAIAByAG8AdwAgAGkAcwAgAG8AbgBlACAAdAB1AHAAbABlAC4AXABuACAAIAAgACAAIiAgAEkAZgAgAGkAdABlAG0AcwAgAGEAcgBlACAAbgB1AG0AZQByAGkAYwAgAGEAbgBkACAAZQBxAHUAYQBsACAAdABvACAAUwBFAFEAVQBFAE4AQwBFACgAbgApACwAIAByAGEAdwAgAGkAbgBkAGkAYwBlAHMAIABhAHIAZQAgAHIAZQB0AHUAcgBuAGUAZAAuAFwAbgAgACAAIAAgACAAIABPAHQAaABlAHIAdwBpAHMAZQAsACAAaQB0AGUAbQBzACAAYQByAGUAIABzAHUAYgBzAHQAaQB0AHUAdABlAGQAIABpAG4AdABvACAAdABoAGUAIABpAG4AZABlAHgAIABtAGEAdAByAGkAeAAuAFwAbgAgACAAIAAgACIgIABNAGEAeABpAG0AdQBtACAAZQBuAHUAbQBlAHIAYQB0AGkAbwBuACAAcwBpAHoAZQAgAGkAcwAgAGMAYQBwAHAAZQBkACAAYQB0ACAAMQAsADAANAA4ACwANQA3ADYAIAByAG8AdwBzAC4AXABuAC0ALQAtAC0ALQAtAC0ALQAtAC0ALQAtAC0ALQAtAC0ALQAtAC0ALQAtAC0ALQAtAC0ALQAtAC0ALQAtAC0ALQAtAC0ALQAtAC0ALQAtAC0ALQAtAC0ALQAtAC0ALQAtAC0ALQAtAC0ALQAtAC0ALQAtAC0ALQAtAC0ALQAtAC0ALQAtAC0ALQAtAC0ALQAtAC0ALQAtAC0ALQAtACoALwBcAG4AXABuAEUAbgB1AG0AZQByAGEAdABlALsDIAA9AFwAbgBMAEEATQBCAEQAQQAoAFwAbgAgACAAIAAgAGkAdABlAG0AcwAsAFwAbgAgACAAIAAgAGsALABcAG4AIAAgACAAIAB0AHkAcABlACwAXABuAFwAbgBJAEYAKABPAFIAKABJAFMAVABFAFgAVAAoAGsAKQAsACAAawAgADwAIAAwACwAIABrACAAPgAgAEMATwBVAE4AVABBACgAaQB0AGUAbQBzACkAKQAsACMAVgBBAEwAVQBFACEALABcAG4AXABuACAAIAAgACAASQBGACgAQwBPAFUATgBUAEEAKABrACkAIAA8AD4AIAAxACwAIwBWAEEATABVAEUAIQAsAFwAbgBcAG4AIAAgACAAIAAgACAAIAAgAEkARgAoAEMATwBVAE4AVABBACgAaQB0AGUAbQBzACkAIABeACAAawAgAD4AIAAxADAANAA4ADUANwA2ACwAIwBOAFUATQAhACwAXABuAFwAbgBMAEUAVAAoAFwAbgAgACAAIAAgAC8ALwAgAEYAbABhAHQAdABlAG4AIABpAHQAZQBtAHMAXABuACAAIAAgACAAbABpAHMAdAAsACAAIAAgACAAVABPAEMATwBMACgAaQB0AGUAbQBzACkALABcAG4AIAAgACAAIABuACwAIAAgACAAIAAgACAAIABDAE8AVQBOAFQAQQAoAGwAaQBzAHQAKQAsAFwAbgBcAG4AIAAgACAAIAAvAC8AIABUAG8AdABhAGwAIAByAG8AdwBzAFwAbgAgACAAIAAgAGkALAAgACAAIAAgACAAIAAgAG4AIABeACAAawAsAFwAbgBcAG4AIAAgACAAIAAvAC8AIABCAGEAcwBlACAAZwBlAG4AZQByAGEAdABvAHIAOgAgAHAAZQByAG0AdQB0AGEAdABpAG8AbgBzACAAdwBpAHQAaAAgAHIAZQBwAGwAYQBjAGUAbQBlAG4AdABcAG4AIAAgACAAIABQAF8AcgAsACAAIAAgACAAIABMAEEATQBCAEQAQQAoADEAIAArACAATQBPAEQAKABRAFUATwBUAEkARQBOAFQAKABTAEUAUQBVAEUATgBDAEUAKABpACkALABuACAAXgAgAFMARQBRAFUARQBOAEMARQAoACwAIABrACwAIABrACAALQAgADEALAAgAC0AMQApACkALABuACkAKQAsAFwAbgBcAG4AIAAgACAAIAAvAC8AIABQAGUAcgBtAHUAdABhAHQAaQBvAG4AcwAgACgAbgBvACAAcgBlAHAAbABhAGMAZQBtAGUAbgB0ACkAXABuACAAIAAgACAAUAAsACAAIAAgACAAIAAgACAATABBAE0AQgBEAEEAKABGAEkATABUAEUAUgAoAFAAXwByACgAKQAsAEkAUwBOAEEAKABCAFkAUgBPAFcAKABQAF8AcgAoACkALAAgAE0ATwBEAEUAKQApACkAKQAsAFwAbgBcAG4AIAAgACAAIAAvAC8AIABDAG8AbQBiAGkAbgBhAHQAaQBvAG4AcwAgAHcAaQB0AGgAIAByAGUAcABsAGEAYwBlAG0AZQBuAHQAXABuACAAIAAgACAAQwBfAHIALAAgACAAIAAgACAATABBAE0AQgBEAEEAKABGAEkATABUAEUAUgAoAFAAXwByACgAKQAsAEIAWQBSAE8AVwAoAFAAXwByACgAKQAsAEwAQQBNAEIARABBACgAcgBvAHcALAAgAEEATgBEACgAcgBvAHcAIAA9ACAAUwBPAFIAVAAoAHIAbwB3ACwALAAsADEAKQApACkAKQApACkALABcAG4AXABuACAAIAAgACAALwAvACAAQwBvAG0AYgBpAG4AYQB0AGkAbwBuAHMAIAAoAG4AbwAgAHIAZQBwAGwAYQBjAGUAbQBlAG4AdAApAFwAbgAgACAAIAAgAEMALAAgACAAIAAgACAAIAAgAEwAQQBNAEIARABBACgARgBJAEwAVABFAFIAKABDAF8AcgAoACkALABJAFMATgBBACgAQgBZAFIATwBXACgAQwBfAHIAKAApACwAIABNAE8ARABFACkAKQApACkALABcAG4AXABuACAAIAAgACAALwAvACAARABlAHIAYQBuAGcAZQBtAGUAbgB0AHMAXABuACAAIAAgACAARAAsACAAIAAgACAAIAAgACAATABBAE0AQgBEAEEAKABGAEkATABUAEUAUgAoAFAAXwByACgAKQAsAEIAWQBSAE8AVwAoAFAAXwByACgAKQAsAEwAQQBNAEIARABBACgAcgBvAHcALAAgAE4ATwBUACgATwBSACgAUwBFAFEAVQBFAE4AQwBFACgALAAgAGsAKQAgAD0AIAByAG8AdwApACkAKQApACkAKQAsAFwAbgBcAG4AIAAgACAAIAAvAC8AIABTAGUAbABlAGMAdAAgAGcAZQBuAGUAcgBhAHQAbwByAFwAbgAgACAAIAAgAGkAZAB4ACwAIAAgACAAIAAgAEwAQQBNAEIARABBACgAQwBIAE8ATwBTAEUAKAB0AHkAcABlACwAIABQAF8AcgAoACkALAAgAFAAKAApACwAIABDAF8AcgAoACkALAAgAEMAKAApACwAIABEACgAKQApACkALABcAG4AXABuACAAIAAgACAALwAvACAAUwB1AGIAcwB0AGkAdAB1AHQAZQAgAGkAdABlAG0AcwAgAHUAbgBsAGUAcwBzACAAdABoAGUAeQAgAGEAcgBlACAAZQB4AGEAYwB0AGwAeQAgADEALgAuAG4AXABuACAAIAAgACAATgBvAHQASQBuAHQAPwAsACAATgBPAFQAKABBAE4ARAAoAFMARQBRAFUARQBOAEMARQAoAG4AKQAgAD0AIABsAGkAcwB0ACkAKQAsAFwAbgAgACAAIAAgAGQAZQBsAGkAdgBlAHIALAAgAEkARgAoAE4AbwB0AEkAbgB0AD8ALAAgAEkATgBEAEUAWAAoAGwAaQBzAHQALAAgAGkAZAB4ACgAKQApACwAIABpAGQAeAAoACkAKQAsAFwAbgBcAG4AIAAgACAAIABkAGUAbABpAHYAZQByAFwAbgApACkAKQApACkAOwBcAG4AXABuAFwAbgBcAG4ALwAqACAAWwBDAEIAMAAxAF0AIAAtAC0ALQAtAC0ALQAtAC0ALQAtAC0ALQAtAC0ALQAtAC0ALQAtAC0ALQAtAC0ALQAtAC0ALQAtAC0ALQAtAC0ALQAtAC0ALQAtAC0ALQAtAC0ALQAtAC0ALQAtAC0ALQAtAC0ALQAtAC0ALQAtAC0ALQAtAC0ALQAtAC0ALQAtAC0ALQAtAC0ALQAtAC0ALQAtAFwAbgBGAHUAbgBjAHQAaQBvAG4AOgAgACAAIAAgACAAIAAgACAAUABlAHIAbQ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CAAcgBlAHAAbABhAGMAZQBtAGUAbgB0ACAAKABrABEgdAB1AHAAbABlAHMAIABkAHIAYQB3AG4AIABmAHIAbwBtACAAbgAgAGkAdABlAG0AcwApAC4AXABuACAAIAAgACAARQBhAGMAaAAgAHIAbwB3ACAAbwBmACAAdABoAGUAIAByAGUAcwB1AGwAdAAgAHIAZQBwAHIAZQBzAGUAbgB0AHMAIABvAG4AZQAgAHAAZQByAG0AdQB0AGEAdABpAG8AbgAgAG8AZgAgAGwAZQBuAGcAdABoACAAa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xACkALgBcAG4ALQAtAC0ALQAtAC0ALQAtAC0ALQAtAC0ALQAtAC0ALQAtAC0ALQAtAC0ALQAtAC0ALQAtAC0ALQAtAC0ALQAtAC0ALQAtAC0ALQAtAC0ALQAtAC0ALQAtAC0ALQAtAC0ALQAtAC0ALQAtAC0ALQAtAC0ALQAtAC0ALQAtAC0ALQAtAC0ALQAtAC0ALQAtAC0ALQAtAC0ALQAtAC0AKgAvAFwAbgBcAG4AUABlAHIAbQBSALsDIAA9AFwAbgBMAEEATQBCAEQAQQAoAFwAbgAgACAAIAAgAGkAdABlAG0AcwAsAFwAbgAgACAAIAAgAGkAdABlAG0AcwBfAGMAaABvAHMAZQBuACwAXABuACAAIAAgACAARQBuAHUAbQBlAHIAYQB0AGUAuwMoAGkAdABlAG0AcwAsACAAaQB0AGUAbQBzAF8AYwBoAG8AcwBlAG4ALAAgADEAKQBcAG4AKQA7AFwAbgBcAG4AXABuAFwAbgAvACoAIABbAEMAQgAwADIAXQAgAC0ALQAtAC0ALQAtAC0ALQAtAC0ALQAtAC0ALQAtAC0ALQAtAC0ALQAtAC0ALQAtAC0ALQAtAC0ALQAtAC0ALQAtAC0ALQAtAC0ALQAtAC0ALQAtAC0ALQAtAC0ALQAtAC0ALQAtAC0ALQAtAC0ALQAtAC0ALQAtAC0ALQAtAC0ALQAtAC0ALQAtAC0ALQAtAC0AXABuAEYAdQBuAGMAdABpAG8AbgA6ACAAIAAgACAAIAAgACAAIABQAGUAcgBt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G8AdQB0ACAAcgBlAHAAbABhAGMAZQBtAGUAbgB0AC4AIABFAGEAYwBoACAAcgBvAHcAIABvAGYAIAB0AGgAZQAgAHIAZQBzAHUAbAB0ACAAcgBlAHAAcgBlAHMAZQBuAHQAcwBcAG4AIAAgACAAIABvAG4AZQAgAGsAESB0AHUAcABsAGUAIABkAHIAYQB3AG4AIABmAHIAbwBtACAAdABoAGUAIABpAG4AcAB1AHQAIABpAHQAZQBtAHMALAAgAHcAaQB0AGgAIABuAG8AIAByAGUAcABlAGEAdABlAGQAIABwAG8AcwBpAHQAaQBvAG4Ac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yACkALgBcAG4ALQAtAC0ALQAtAC0ALQAtAC0ALQAtAC0ALQAtAC0ALQAtAC0ALQAtAC0ALQAtAC0ALQAtAC0ALQAtAC0ALQAtAC0ALQAtAC0ALQAtAC0ALQAtAC0ALQAtAC0ALQAtAC0ALQAtAC0ALQAtAC0ALQAtAC0ALQAtAC0ALQAtAC0ALQAtAC0ALQAtAC0ALQAtAC0ALQAtAC0ALQAtAC0AKgAvAFwAbgBcAG4AUABlAHIAbQC7AyAAPQBcAG4ATABBAE0AQgBEAEEAKABcAG4AIAAgACAAIABpAHQAZQBtAHMALABcAG4AIAAgACAAIABpAHQAZQBtAHMAXwBjAGgAbwBzAGUAbgAsAFwAbgAgACAAIAAgAEUAbgB1AG0AZQByAGEAdABlALsDKABpAHQAZQBtAHMALAAgAGkAdABlAG0AcwBfAGMAaABvAHMAZQBuACwAIAAyACkAXABuACkAOwBcAG4AXABuAFwAbgBcAG4ALwAqACAAWwBDAEIAMAAzAF0AIAAtAC0ALQAtAC0ALQAtAC0ALQAtAC0ALQAtAC0ALQAtAC0ALQAtAC0ALQAtAC0ALQAtAC0ALQAtAC0ALQAtAC0ALQAtAC0ALQAtAC0ALQAtAC0ALQAtAC0ALQAtAC0ALQAtAC0ALQAtAC0ALQAtAC0ALQAtAC0ALQAtAC0ALQAtAC0ALQAtAC0ALQAtAC0ALQAtAFwAbgBGAHUAbgBjAHQAaQBvAG4AOgAgACAAIAAgACAAIAAgACAAQwBvAG0AYgBpAG4AYQB0AGkAbwBuAHMAUg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AgAHIAZQBwAGwAYQBjAGUAbQBlAG4AdAAgACgAbQB1AGwAdABpAHMAZQB0AHMAKQAuACAARQBhAGMAaAAgAHIAbwB3ACAAbwBmACAAdABoAGUAIAByAGUAcwB1AGwAdABcAG4AIAAgACAAIAByAGUAcAByAGUAcwBlAG4AdABzACAAbwBuAGUAIABrABEgZQBsAGUAbQBlAG4AdAAgAG0AdQBsAHQAaQBzAGUAdAAgAGQAcgBhAHcAbgAgAGYAcgBvAG0AIAB0AGgAZQAgAGkAbgBwAHUAdAAgAGkAdABlAG0AcwAsACAAdwBoAGUAcgBlACAAbwByAGQAZQByAFwAbgAgACAAIAAgAGQAbwBlAHMAIABuAG8AdAAgAG0AYQB0AHQAZQByACAAYQBuAGQAIAByAGUAcABlAGEAdABlAGQAIABzAGUAbABlAGMAdABpAG8AbgBzACAAYQByAGU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MAKQAuAFwAbgAtAC0ALQAtAC0ALQAtAC0ALQAtAC0ALQAtAC0ALQAtAC0ALQAtAC0ALQAtAC0ALQAtAC0ALQAtAC0ALQAtAC0ALQAtAC0ALQAtAC0ALQAtAC0ALQAtAC0ALQAtAC0ALQAtAC0ALQAtAC0ALQAtAC0ALQAtAC0ALQAtAC0ALQAtAC0ALQAtAC0ALQAtAC0ALQAtAC0ALQAtAC0ALQAqAC8AXABuAFwAbgBDAG8AbQBiAGkAbgBhAHQAaQBvAG4AcwBSALsDIAA9AFwAbgBMAEEATQBCAEQAQQAoAFwAbgAgACAAIAAgAGkAdABlAG0AcwAsAFwAbgAgACAAIAAgAGkAdABlAG0AcwBfAGMAaABvAHMAZQBuACwAXABuACAAIAAgACAARQBuAHUAbQBlAHIAYQB0AGUAuwMoAGkAdABlAG0AcwAsACAAaQB0AGUAbQBzAF8AYwBoAG8AcwBlAG4ALAAgADMAKQBcAG4AKQA7AFwAbgBcAG4AXABuAFwAbgAvACoAIABbAEMAQgAwADQ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BvAHUAdAAgAHIAZQBwAGwAYQBjAGUAbQBlAG4AdAAuACAARQBhAGMAaAAgAHIAbwB3ACAAbwBmACAAdABoAGUAIAByAGUAcwB1AGwAdAAgAHIAZQBwAHIAZQBzAGUAbgB0AHMAXABuACAAIAAgACAAbwBuAGUAIABrABEgZQBsAGUAbQBlAG4AdAAgAHMAdQBiAHMAZQB0ACAAZAByAGEAdwBuACAAZgByAG8AbQAgAHQAaABlACAAaQBuAHAAdQB0ACAAaQB0AGUAbQBzACwAIAB3AGgAZQByAGUAIABvAHIAZABlAHIAIABkAG8AZQBzACAAbgBvAHQAIABtAGEAdAB0AGUAcgBcAG4AIAAgACAAIABhAG4AZAAgAHIAZQBwAGUAYQB0AGUAZAAgAHMAZQBsAGUAYwB0AGkAbwBuAHMAIABhAHIAZQAgAG4AbwB0ACAAYQBsAGwAbwB3AGUAZA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FMAaQB6AGUAIABvAGYAIABlAGEAYwBoACAAYwBvAG0AYgBpAG4AYQB0AGkAbwBuACAAKABrACAAZSIgADAAKQAuACAATQB1AHMAdAAgAGIAZQAgAGEAIABzAGMAYQBsAGEAcgAuAFwAbgBcAG4ATgBvAHQAZQBzADoAXABuACAAIAAgACAAIiAgAEUAcQB1AGkAdgBhAGwAZQBuAHQAIAB0AG8AIABFAG4AdQBtAGUAcgBhAHQAZQC7AygAaQB0AGUAbQBzACwAIABrACwAIAA0ACkALgBcAG4ALQAtAC0ALQAtAC0ALQAtAC0ALQAtAC0ALQAtAC0ALQAtAC0ALQAtAC0ALQAtAC0ALQAtAC0ALQAtAC0ALQAtAC0ALQAtAC0ALQAtAC0ALQAtAC0ALQAtAC0ALQAtAC0ALQAtAC0ALQAtAC0ALQAtAC0ALQAtAC0ALQAtAC0ALQAtAC0ALQAtAC0ALQAtAC0ALQAtAC0ALQAtAC0AKgAvAFwAbgBcAG4AQwBvAG0AYgBpAG4AYQB0AGkAbwBuAHMAuwMgAD0AXABuAEwAQQBNAEIARABBACgAXABuACAAIAAgACAAaQB0AGUAbQBzACwAXABuACAAIAAgACAAaQB0AGUAbQBzAF8AYwBoAG8AcwBlAG4ALABcAG4AIAAgACAAIABFAG4AdQBtAGUAcgBhAHQAZQC7AygAaQB0AGUAbQBzACwAIABpAHQAZQBtAHMAXwBjAGgAbwBzAGUAbgAsACAANAApAFwAbgApADsAXABuAFwAbgBcAG4AXABuAC8AKgAgAFsAQwBCADAANQBdACAALQAtAC0ALQAtAC0ALQAtAC0ALQAtAC0ALQAtAC0ALQAtAC0ALQAtAC0ALQAtAC0ALQAtAC0ALQAtAC0ALQAtAC0ALQAtAC0ALQAtAC0ALQAtAC0ALQAtAC0ALQAtAC0ALQAtAC0ALQAtAC0ALQAtAC0ALQAtAC0ALQAtAC0ALQAtAC0ALQAtAC0ALQAtAC0ALQBcAG4ARgB1AG4AYwB0AGkAbwBuADoAIAAgACAAIAAgACAAIAAgAEQAZQByAGEAbgBnAGUAbQBlAG4AdA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ZABlAHIAYQBuAGcAZQBtAGUAbgB0AHMAIABvAGYAIABsAGUAbgBnAHQAaAAgAGsALgAgAEEAIABkAGUAcgBhAG4AZwBlAG0AZQBuAHQAIABpAHMAIABhACAAcABlAHIAbQB1AHQAYQB0AGkAbwBuACAAaQBuACAAdwBoAGkAYwBoAFwAbgAgACAAIAAgAG4AbwAgAGUAbABlAG0AZQBuAHQAIABhAHAAcABlAGEAcgBzACAAaQBuACAAaQB0AHMAIABvAHIAaQBnAGkAbgBhAGwAIABwAG8AcwBpAHQAaQBvAG4ALgAgAEUAYQBjAGgAIAByAG8AdwAgAG8AZgAgAHQAaABlACAAcgBlAHMAdQBsAHQAXABuACAAIAAgACAAcgBlAHAAcgBlAHMAZQBuAHQAcwAgAG8AbgBlACAAZABlAHIAYQBuAGcAZQBkACAAawARIHQAdQBwAGwAZQAgAGQAcgBhAHcAbgAgAGYAcgBvAG0AIAB0AGgAZQAgAGkAbgBwAHUAdAAgAGkAdABlAG0Acw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EwAZQBuAGcAdABoACAAbwBmACAAZQBhAGMAaAAgAHQAdQBwAGwAZQAgACgAawAgAGUiIAAwACkALgAgAE0AdQBzAHQAIABiAGUAIABhACAAcwBjAGEAbABhAHIALgBcAG4AXABuAE4AbwB0AGUAcwA6AFwAbgAgACAAIAAgACIgIABFAHEAdQBpAHYAYQBsAGUAbgB0ACAAdABvACAARQBuAHUAbQBlAHIAYQB0AGUAuwMoAGkAdABlAG0AcwAsACAAawAsACAANQApAC4AXABuAC0ALQAtAC0ALQAtAC0ALQAtAC0ALQAtAC0ALQAtAC0ALQAtAC0ALQAtAC0ALQAtAC0ALQAtAC0ALQAtAC0ALQAtAC0ALQAtAC0ALQAtAC0ALQAtAC0ALQAtAC0ALQAtAC0ALQAtAC0ALQAtAC0ALQAtAC0ALQAtAC0ALQAtAC0ALQAtAC0ALQAtAC0ALQAtAC0ALQAtAC0ALQAtACoALwBcAG4AXABuAEQAZQByAGEAbgBnAGUAbQBlAG4AdABzALsDIAA9AFwAbgBMAEEATQBCAEQAQQAoAFwAbgAgACAAIAAgAGkAdABlAG0AcwAsAFwAbgAgACAAIAAgAGkAdABlAG0AcwBfAGMAaABvAHMAZQBuACwAXABuACAAIAAgACAARQBuAHUAbQBlAHIAYQB0AGUAuwMoAGkAdABlAG0AcwAsACAAaQB0AGUAbQBzAF8AYwBoAG8AcwBlAG4ALAAgADUAKQBcAG4AKQA7AFwAbgBcAG4AXABuAFwAbgAvACoAIABbAEMAQgAwADYAXQAgAC0ALQAtAC0ALQAtAC0ALQAtAC0ALQAtAC0ALQAtAC0ALQAtAC0ALQAtAC0ALQAtAC0ALQAtAC0ALQAtAC0ALQAtAC0ALQAtAC0ALQAtAC0ALQAtAC0ALQAtAC0ALQAtAC0ALQAtAC0ALQAtAC0ALQAtAC0ALQAtAC0ALQAtAC0ALQAtAC0ALQAtAC0ALQAtAC0AXABuAEYAdQBuAGMAdABpAG8AbgA6ACAAIAAgACAAIAAgACAAIABLAG4AYQBwAFMAYQBjAGs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TAG8AbAB2AGUAcwAgAHQAaABlACAAMAARIDEAIABrAG4AYQBwAHMAYQBjAGsAIABwAHIAbwBiAGwAZQBtACAAYgB5ACAAZQBuAHUAbQBlAHIAYQB0AGkAbgBnACAAYQBsAGwAIABzAHUAYgBzAGUAdABzACAAbwBmACAAaQB0AGUAbQBzACAAYQBuAGQAXABuACAAIAAgACAAcwBlAGwAZQBjAHQAaQBuAGcAIAB0AGgAZQAgAGYAZQBhAHMAaQBiAGwAZQAgAHAAYQBjAGsAKABzACkAIAB3AGkAdABoACAAbQBhAHgAaQBtAHUAbQAgAHQAbwB0AGEAbAAgAHYAYQBsAHUAZQAuACAAVQBzAGUAcwAgAGEAIABiAHIAdQB0AGUAESBmAG8AcgBjAGUALABcAG4AIAAgACAAIAB2AGUAYwB0AG8AcgBpAHoAZQBkACAAYgBpAHQAESBtAGEAcwBrACAAZwBlAG4AZQByAGEAdABvAHIAIABhAG4AZAAgAHMAdQBwAHAAbwByAHQAcwAgAGIAbwB0AGgAIABuAHUAbQBlAHIAaQBjACAAYQBuAGQAIAB0AGUAeAB0ACAAaQB0AGUAbQAgAGwAYQBiAGUAbABzAC4AXABuAFwAbgBQAGEAcgBhAG0AZQB0AGUAcgBzADoAXABuACAAIAAgACAAaQB0AGUAbQBzAFwAbgAgACAAIAAgACAAIAAgACAAQQByAHIAYQB5ACAAbwBmACAAaQB0AGUAbQAgAGwAYQBiAGUAbABzACAAKABuAHUAbQBiAGUAcgBzACAAbwByACAAdABlAHgAdAApAC4AXABuAFwAbgAgACAAIAAgAHYAYQBsAHUAZQBfAG8AZgBfAGkAdABlAG0AcwBcAG4AIAAgACAAIAAgACAAIAAgAEEAcgByAGEAeQAgAG8AZgAgAG4AdQBtAGUAcgBpAGMAIAB2AGEAbAB1AGUAcwAgAGMAbwByAHIAZQBzAHAAbwBuAGQAaQBuAGcAIAB0AG8AIABlAGEAYwBoACAAaQB0AGUAbQAuAFwAbgBcAG4AIAAgACAAIAB3AGUAaQBnAGgAdABzAFwAbgAgACAAIAAgACAAIAAgACAAQQByAHIAYQB5ACAAbwBmACAAbgB1AG0AZQByAGkAYwAgAHcAZQBpAGcAaAB0AHMAIABjAG8AcgByAGUAcwBwAG8AbgBkAGkAbgBnACAAdABvACAAZQBhAGMAaAAgAGkAdABlAG0ALgBcAG4AXABuACAAIAAgACAAYwBhAHAAYQBjAGkAdAB5AFwAbgAgACAAIAAgACAAIAAgACAAUwBjAGEAbABhAHIAIABuAHUAbQBlAHIAaQBjACAAdwBlAGkAZwBoAHQAIABsAGkAbQBpAHQALgBcAG4AXABuAE4AbwB0AGUAcwA6AFwAbgAgACAAIAAgACIgIABpAHQAZQBtAHMALAAgAHYAYQBsAHUAZQBfAG8AZgBfAGkAdABlAG0AcwAsACAAYQBuAGQAIAB3AGUAaQBnAGgAdABzACAAYQByAGUAIABmAGwAYQB0AHQAZQBuAGUAZAAgAHcAaQB0AGgAIABUAE8AUgBPAFcALgBcAG4AIAAgACAAIAAiICAAYwBhAHAAYQBjAGkAdAB5ACAAaQBzACAAbgBvAHIAbQBhAGwAaQB6AGUAZAAgAHQAbwAgAGEAIABzAGMAYQBsAGEAcgAgAHcAaQB0AGgAIABJAE4ARABFAFgAKABjAGEAcABhAGMAaQB0AHkALAAxACwAMQApAC4AXABuACAAIAAgACAAIiAgAE0AYQB4AGkAbQB1AG0AIABpAHQAZQBtACAAYwBvAHUAbgB0ACAAaQBzACAAYwBhAHAAcABlAGQAIABhAHQAIAAyADAAIAB0AG8AIABhAHYAbwBpAGQAIABjAG8AbQBiAGkAbgBhAHQAbwByAGkAYQBsACAAZQB4AHAAbABvAHMAaQBvAG4ALgBcAG4ALQAtAC0ALQAtAC0ALQAtAC0ALQAtAC0ALQAtAC0ALQAtAC0ALQAtAC0ALQAtAC0ALQAtAC0ALQAtAC0ALQAtAC0ALQAtAC0ALQAtAC0ALQAtAC0ALQAtAC0ALQAtAC0ALQAtAC0ALQAtAC0ALQAtAC0ALQAtAC0ALQAtAC0ALQAtAC0ALQAtAC0ALQAtAC0ALQAtAC0ALQAtAC0AKgAvAFwAbgBcAG4ASwBuAGEAcABTAGEAYwBrALsDIAA9AFwAbgBMAEEATQBCAEQAQQAoAFwAbgAgACAAIAAgAGkAdABlAG0AcwAsAFwAbgAgACAAIAAgAHYAYQBsAHUAZQBfAG8AZgBfAGkAdABlAG0AcwAsAFwAbgAgACAAIAAgAHcAZQBpAGcAaAB0AHMALABcAG4AIAAgACAAIABjAGEAcABhAGMAaQB0AHkALABcAG4AXABuAEwARQBUACgAXABuACAAIAAgACAALwAvACAASABhAGwAdABpAG4AZwAgAHMAYwBlAG4AYQByAGkAbwBzAFwAbgAgACAAIAAgAFQAbwBvAE0AYQBuAHkASQB0AGUAbQBzAD8ALAAgACAAIABSAE8AVwBTACgAaQB0AGUAbQBzACkAIAAqACAAQwBPAEwAVQBNAE4AUwAoAGkAdABlAG0AcwApACAAPgAgADIAMAAsAFwAbgAgACAAIAAgAFQAZQB4AHQASQB0AGUAbQBWAGEAbAA/ACwAIAAgACAAIABPAFIAKABJAFMAVABFAFgAVAAoAHYAYQBsAHUAZQBfAG8AZgBfAGkAdABlAG0AcwApACkALABcAG4AIAAgACAAIABUAGUAeAB0AFcAZQBpAGcAaAB0AHMAPwAsACAAIAAgACAATwBSACgASQBTAFQARQBYAFQAKAB3AGUAaQBnAGgAdABzACkAKQAsAFwAbgAgACAAIAAgAFQAZQB4AHQAQwBhAHAAYQBjAGkAdAB5AD8ALAAgACAAIABPAFIAKABJAFMAVABFAFgAVAAoAGMAYQBwAGEAYwBpAHQAeQApACkALABcAG4AIAAgACAAIABTAGgAYQBwAGUATQBpAHMATQBhAHQAYwBoAD8ALAAgACAATwBSACgAQwBPAFUATgBUAEEAKABpAHQAZQBtAHMAKQAgADwAPgAgAEMATwBVAE4AVABBACgAdgBhAGwAdQBlAF8AbwBmAF8AaQB0AGUAbQBzACkALABcAG4AIAAgACAAIAAgACAAIAAgACAAIAAgACAAIAAgACAAIAAgACAAIAAgACAAIAAgACAAQwBPAFUATgBUAEEAKABpAHQAZQBtAHMAKQAgADwAPgAgAEMATwBVAE4AVABBACgAdwBlAGkAZwBoAHQAcwApACkALABcAG4AXABuACAAIAAgACAAcwBjAGUAbgBhAHIAaQBvAHMALAAgACAAIAAgACAAIAAgAFYAUwBUAEEAQwBLACgAVABlAHgAdABJAHQAZQBtAFYAYQBsAD8ALABUAGUAeAB0AFcAZQBpAGcAaAB0AHMAPwAsAFQAZQB4AHQAQwBhAHAAYQBjAGkAdAB5AD8ALABTAGgAYQBwAGUATQBpAHMATQBhAHQAYwBoAD8AKQAsAFwAbgBcAG4AIAAgACAAIABlAHgAaQB0ACwAIAAgACAAIAAgACAAIAAgACAAIAAgACAATwBSACgAcwBjAGUAbgBhAHIAaQBvAHMAKQAsAFwAbgAgACAAIAAgAGUAcgByAG8AcgBzACwAIAAgACAAIAAgACAAIAAgACAAIAB7AFwAIgAjAFYAQQBMAFUARQAtAEkAVABFAE0AIQBcACIAOwBcACIAIwBWAEEATABVAEUALQBXAEUASQBHAEgAVABTACEAXAAiADsAXAAiACMAVgBBAEwAVQBFAC0AQwBBAFAAQQBDAEkAVABZACEAXAAiADsAXAAiACMASQBOAFAAVQBUAC0ATQBJAFMATQBBAFQAQwBIACEAXAAiAH0ALABcAG4AXABuACAAIAAgACAAYQBsAGUAcgB0ACwAIAAgACAAIAAgACAAIAAgACAAIAAgAEEAUgBSAEEAWQBUAE8AVABFAFgAVAAoAEYASQBMAFQARQBSACgAZQByAHIAbwByAHMALAAgAHMAYwBlAG4AYQByAGkAbwBzACkAKQAsAFwAbgBcAG4ASQBGACgAVABvAG8ATQBhAG4AeQBJAHQAZQBtAHMAPwAsAFwAIgAjAFQATwBPAC0ATQBBAE4AWQAtAEkAVABFAE0AUwAhAFwAIgAsAFwAbgBcAG4AIAAgACAAIABJAEYAKABlAHgAaQB0ACwAYQBsAGUAcgB0ACwAXABuAFwAbgBMAEUAVAAoAFwAbgAgACAAIAAgAC8ALwAgAEYAbABhAHQAdABlAG4AIABpAG4AcAB1AHQAcwBcAG4AIAAgACAAIABpAHQAZQBtAHMALAAgACAAIAAgACAAIAAgACAAIAAgAFQATwBSAE8AVwAoAGkAdABlAG0AcwApACwAXABuACAAIAAgACAAdgBhAGwAdQBlAF8AbwBmAF8AaQB0AGUAbQBzACwAIABUAE8AUgBPAFcAKAB2AGEAbAB1AGUAXwBvAGYAXwBpAHQAZQBtAHMAKQAsAFwAbgAgACAAIAAgAHcAZQBpAGcAaAB0AHMALAAgACAAIAAgACAAIAAgACAAVABPAFIATwBXACgAdwBlAGkAZwBoAHQAcwApACwAXABuACAAIAAgACAAYwBhAHAAYQBjAGkAdAB5ACwAIAAgACAAIAAgACAAIABJAE4ARABFAFgAKABjAGEAcABhAGMAaQB0AHkALAAgADEALAAgADEAKQAsAFwAbgBcAG4AIAAgACAAIAAvAC8AIABMAGEAYgBlAGwAcwBcAG4AIAAgACAAIABsAGEAYgBlAGwAcwAsACAAIAAgACAAIAAgACAAIAAgAHsAXAAiAEkAdABlAG0AcwBcACIAOwAgAFwAIgBWAGEAbAB1AGUAXAAiADsAIABcACIAVwBlAGkAZwBoAHQAXAAiADsAIABcACIAUABhAGMAawBcACIAfQAsAFwAbgBcAG4AIAAgACAAIAAvAC8AIABFAG4AdQBtAGUAcgBhAHQAaQBvAG4AXABuACAAIAAgACAAbgAsACAAIAAgACAAIAAgACAAIAAgACAAIAAgACAAIABDAE8AVQBOAFQAQQAoAGkAdABlAG0AcwApACwAXABuACAAIAAgACAAQwAsACAAIAAgACAAIAAgACAAIAAgACAAIAAgACAAIABTAEUAUQBVAEUATgBDAEUAKAAyACAAXgAgAG4AIAAtACAAMQApACwAXABuACAAIAAgACAAYgBpAG4ALAAgACAAIAAgACAAIAAgACAAIAAgACAAIABEAGUAYwAyAEIAaQBuALsDKABDACwAIAAxACkALABcAG4AXABuACAAIAAgACAALwAvACAAVwBlAGkAZwBoAHQAIABmAGUAYQBzAGkAYgBpAGwAaQB0AHkAXABuACAAIAAgACAAdwBfAGEAcgByACwAIAAgACAAIAAgACAAIAAgACAAIABiAGkAbgAgACoAIAB3AGUAaQBnAGgAdABzACwAXABuACAAIAAgACAAZgBlAGEAcwBpAGIAbABlAD8ALAAgACAAIAAgACAAIABCAFkAUgBPAFcAKAB3AF8AYQByAHIALAAgAFMAVQBNACkAIAA8AD0AIABjAGEAcABhAGMAaQB0AHkALABcAG4AXABuACAAIAAgACAALwAvACAAVgBhAGwAdQBlACAAYwBvAG0AcAB1AHQAYQB0AGkAbwBuAFwAbgAgACAAIAAgAHYAYQBsAF8AYQByAHIALAAgACAAIAAgACAAIAAgACAARgBJAEwAVABFAFIAKABiAGkAbgAgACoAIAB2AGEAbAB1AGUAXwBvAGYAXwBpAHQAZQBtAHMALAAgAGYAZQBhAHMAaQBiAGwAZQA/ACwAIAAwACkALABcAG4AIAAgACAAIAB0AG8AdABhAGwAcwAsACAAIAAgACAAIAAgACAAIAAgAEIAWQBSAE8AVwAoAHYAYQBsAF8AYQByAHIALAAgAFMAVQBNACkALABcAG4AXABuACAAIAAgACAALwAvACAAUwBlAGwAZQBjAHQAIABvAHAAdABpAG0AYQBsACAAcABhAGMAawAoAHMAKQBcAG4AIAAgACAAIABwAGEAYwBrACwAIAAgACAAIAAgACAAIAAgACAAIAAgAFMASQBHAE4AKABGAEkATABUAEUAUgAoAHYAYQBsAF8AYQByAHIALAAgAE0AQQBYACgAdABvAHQAYQBsAHMAKQAgAD0AIAB0AG8AdABhAGwAcwAsACAAMAApACkALABcAG4AXABuACAAIAAgACAALwAvACAARgBpAG4AYQBsACAAdABhAGIAbABlAFwAbgAgACAAIAAgAGYAaQBuAGEAbAAsACAAIAAgACAAIAAgACAAIAAgACAASQBGAE4AQQAoAEgAUwBUAEEAQwBLACgAbABhAGIAZQBsAHMALAAgAFYAUwBUAEEAQwBLACgAaQB0AGUAbQBzACwAIAB2AGEAbAB1AGUAXwBvAGYAXwBpAHQAZQBtAHMALAAgAHcAZQBpAGcAaAB0AHMALAAgAHAAYQBjAGsAKQApACwAXAAiAFwAIgApACwAXABuAFwAbgAgACAAIAAgAGYAaQBuAGEAbABcAG4AKQApACkAKQApADsAXABuAFwAbgBcAG4AXABuAC8AKgAgAFsAQwBCADAANwBdACAALQAtAC0ALQAtAC0ALQAtAC0ALQAtAC0ALQAtAC0ALQAtAC0ALQAtAC0ALQAtAC0ALQAtAC0ALQAtAC0ALQAtAC0ALQAtAC0ALQAtAC0ALQAtAC0ALQAtAC0ALQAtAC0ALQAtAC0ALQAtAC0ALQAtAC0ALQAtAC0ALQAtAC0ALQAtAC0ALQAtAC0ALQAtAC0ALQBcAG4ARgB1AG4AYwB0AGkAbwBuADoAIAAgACAAIAAgACAAIAAgAFMAdQBiAHMAZQB0AEcAZQBu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RwBlAG4AZQByAGEAdABlAHMAIABhAGwAbAAgAG4AbwBuABEgZQBtAHAAdAB5ACAAcwB1AGIAcwBlAHQAcwAgAG8AZgAgAGEAIABzAHUAcABwAGwAaQBlAGQAIABsAGkAcwB0ACAAdQBzAGkAbgBnACAAYgByAHUAdABlABEgZgBvAHIAYwBlAFwAbgAgACAAIAAgAGIAaQB0AG0AYQBzAGsAaQBuAGcALgAgAEUAYQBjAGgAIAByAG8AdwAgAG8AZgAgAHQAaABlACAAcgBlAHMAdQBsAHQAIAByAGUAcAByAGUAcwBlAG4AdABzACAAbwBuAGUAIABzAHUAYgBzAGUAdAAsACAAZQB4AHAAcgBlAHMAcwBlAGQAIABhAHMAIABhAFwAbgAgACAAIAAgAGMAbwBtAG0AYQARIHMAZQBwAGEAcgBhAHQAZQBkACAAcwB0AHIAaQBuAGcALgAgAFMAdQBwAHAAbwByAHQAcwAgAG4AdQBtAGIAZQByAHMAIABvAHIAIAB0AGUAeAB0ACAAaQB0AGUAbQBzAC4AXABuAFwAbgBQAGEAcgBhAG0AZQB0AGUAcgBzADoAXABuACAAIAAgACAAcwBlAHQAXABuACAAIAAgACAAIAAgACAAIABBAHIAcgBhAHkAIABvAGYAIABpAHQAZQBtAHMAIAAoAG4AdQBtAGIAZQByAHMAIABvAHIAIAB0AGUAeAB0ACkALgAgAEYAbABhAHQAdABlAG4AZQBkACAAdwBpAHQAaAAgAFQATwBSAE8AVwAuAFwAbgBcAG4ATgBvAHQAZQBzADoAXABuACAAIAAgACAAIiAgAE0AYQB4AGkAbQB1AG0AIABpAHQAZQBtACAAYwBvAHUAbgB0ACAAaQBzACAAYwBhAHAAcABlAGQAIABhAHQAIAAyADAALgBcAG4ALQAtAC0ALQAtAC0ALQAtAC0ALQAtAC0ALQAtAC0ALQAtAC0ALQAtAC0ALQAtAC0ALQAtAC0ALQAtAC0ALQAtAC0ALQAtAC0ALQAtAC0ALQAtAC0ALQAtAC0ALQAtAC0ALQAtAC0ALQAtAC0ALQAtAC0ALQAtAC0ALQAtAC0ALQAtAC0ALQAtAC0ALQAtAC0ALQAtAC0ALQAtAC0AKgAvAFwAbgBcAG4AUwB1AGIAcwBlAHQARwBlAG4AuwMgAD0AXABuAEwAQQBNAEIARABBACgAXABuACAAIAAgACAAcwBlAHQALABcAG4AXABuAEkARgAoAFIATwBXAFMAKABzAGUAdAApACAAKgAgAEMATwBMAFUATQBOAFMAKABzAGUAdAApACAAPgAgADIAMAAsAFwAIgAjAFQATwBPAC0ATQBBAE4AWQAtAEkAVABFAE0AUwAhAFwAIgAsAFwAbgBcAG4ATABFAFQAKABcAG4AIAAgACAAIAAvAC8AIABGAGwAYQB0AHQAZQBuACAAaQBuAHAAdQB0AFwAbgAgACAAIAAgAHMAZQB0ACwAIAAgACAAIABUAE8AUgBPAFcAKABzAGUAdAApACwAXABuAFwAbgAgACAAIAAgAC8ALwAgAFQAbwB0AGEAbAAgAGkAdABlAG0AcwBcAG4AIAAgACAAIABuACwAIAAgACAAIAAgACAAQwBPAFUATgBUAEEAKABzAGUAdAApACwAXABuAFwAbgAgACAAIAAgAC8ALwAgAEIAaQB0ACAAbQBhAHMAawBzACAAKABlAHgAYwBsAHUAZABlACAAMAApAFwAbgAgACAAIAAgAEMALAAgACAAIAAgACAAIABTAEUAUQBVAEUATgBDAEUAKAAyACAAXgAgAG4AIAAtACAAMQApACwAXABuACAAIAAgACAAYgBpAG4ALAAgACAAIAAgAEQAZQBjADIAQgBpAG4AuwMoAEMALAAgADEAKQAsAFwAbgBcAG4AIAAgACAAIAAvAC8AIABBAHAAcABsAHkAIABtAGEAcwBrAFwAbgAgACAAIAAgAG0AYQBzAGsAZQBkACwAIABJAEYAKABiAGkAbgAsACAAcwBlAHQALAAgAFwAIgBcACIAKQAsAFwAbgBcAG4AIAAgACAAIAAvAC8AIABDAG8AbgB2AGUAcgB0ACAAZQBhAGMAaAAgAG0AYQBzAGsAZQBkACAAcgBvAHcAIABpAG4AdABvACAAYQAgAGMAbwBtAHAAYQBjAHQAIABzAHUAYgBzAGUAdAAgAHMAdAByAGkAbgBnAFwAbgAgACAAIAAgAGYAaQBuAGEAbAAsACAAIABCAFkAUgBPAFcAKABtAGEAcwBrAGUAZAAsACAATABBAE0AQgBEAEEAKAB2ACwAIABUAEUAWABUAEoATwBJAE4AKABcACIALAAgAFwAIgAsACAAMQAsACAAdgApACkAKQAsAFwAbgBcAG4AIAAgACAAIABmAGkAbgBhAGwAXABuACkAKQApADsAXABuAFwAbgBcAG4AXABuAC8AKgAgAFsAQwBCADAAOABdACAALQAtAC0ALQAtAC0ALQAtAC0ALQAtAC0ALQAtAC0ALQAtAC0ALQAtAC0ALQAtAC0ALQAtAC0ALQAtAC0ALQAtAC0ALQAtAC0ALQAtAC0ALQAtAC0ALQAtAC0ALQAtAC0ALQAtAC0ALQAtAC0ALQAtAC0ALQAtAC0ALQAtAC0ALQAtAC0ALQAtAC0ALQAtAC0ALQBcAG4ARgB1AG4AYwB0AGkAbwBuADoAIAAgACAAIAAgACAAIAAgAFMAdQBiAHMAZQB0AFMAdQBt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UgBlAHQAdQByAG4AcwAgAGEAbABsACAAcwB1AGIAcwBlAHQAcwAgAG8AZgAgAGEAIABuAHUAbQBlAHIAaQBjACAAcwBlAHQAIAB3AGgAbwBzAGUAIABlAGwAZQBtAGUAbgB0AHMAIABzAHUAbQAgAGUAeABhAGMAdABsAHkAIAB0AG8AIABhACAAdABhAHIAZwBlAHQALgBcAG4AIAAgACAAIABVAHMAZQBzACAAYgByAHUAdABlABEgZgBvAHIAYwBlACAAYgBpAHQAbQBhAHMAawBpAG4AZwAgACgAbgAgAGQiIAAyADAAKQAuACAARQBhAGMAaAAgAHMAdQBiAHMAZQB0ACAAaQBzACAAcgBlAHQAdQByAG4AZQBkACAAYQBzACAAYQAgAGMAbwBtAHAAYQBjAHQAXABuACAAIAAgACAAYwBvAG0AbQBhABEgcwBlAHAAYQByAGEAdABlAGQAIABzAHQAcgBpAG4AZwAuAFwAbgBcAG4AUABhAHIAYQBtAGUAdABlAHIAcwA6AFwAbgAgACAAIAAgAHMAZQB0AFwAbgAgACAAIAAgACAAIAAgACAAQQByAHIAYQB5ACAAbwBmACAAbgB1AG0AZQByAGkAYwAgAGkAdABlAG0AcwAuACAARgBsAGEAdAB0AGUAbgBlAGQAIAB3AGkAdABoACAAVABPAFIATwBXAC4AIABUAGUAeAB0ACAAaQBzACAAbgBvAHQAIABhAGwAbABvAHcAZQBkAC4AXABuAFwAbgAgACAAIAAgAHQAYQByAGcAZQB0AFwAbgAgACAAIAAgACAAIAAgACAAUwBjAGEAbABhAHIAIABuAHUAbQBlAHIAaQBjACAAdABhAHIAZwBlAHQAIABzAHUAbQAuAFwAbgBcAG4ATgBvAHQAZQBzADoAXABuACAAIAAgACAAIiAgAEUAbQBwAHQAeQAgAHMAdQBiAHMAZQB0ACAAaQBzACAAZQB4AGMAbAB1AGQAZQBkACAAYgB5ACAAYwBvAG4AcwB0AHIAdQBjAHQAaQBvAG4AIAAoAGIAaQB0AG0AYQBzAGsAIAAwACAAbwBtAGkAdAB0AGUAZAApAC4AXABuACAAIAAgACAAIiAgAFIAZQB0AHUAcgBuAHMAIABcACIAIwBOAE8ALQBTAE8ATABVAFQASQBPAE4AIQBcACIAIABpAGYAIABuAG8AIABzAHUAYgBzAGUAdABzACAAbQBhAHQAYwBoACAAdABoAGUAIAB0AGEAcgBnAGUAdAAuAFwAbgAtAC0ALQAtAC0ALQAtAC0ALQAtAC0ALQAtAC0ALQAtAC0ALQAtAC0ALQAtAC0ALQAtAC0ALQAtAC0ALQAtAC0ALQAtAC0ALQAtAC0ALQAtAC0ALQAtAC0ALQAtAC0ALQAtAC0ALQAtAC0ALQAtAC0ALQAtAC0ALQAtAC0ALQAtAC0ALQAtAC0ALQAtAC0ALQAtAC0ALQAtAC0ALQAqAC8AXABuAFwAbgBTAHUAYgBzAGUAdABTAHUAbQC7AyAAPQBcAG4ATABBAE0AQgBEAEEAKABcAG4AIAAgACAAIABzAGUAdAAsAFwAbgAgACAAIAAgAHQAYQByAGcAZQB0ACwAXABuAFwAbgBMAEUAVAAoAFwAbgAgACAAIAAgAC8ALwAgAE4AbwByAG0AYQBsAGkAegBlACAAcwBjAGEAbABhAHIAXABuACAAIAAgACAAdABhAHIAZwBlAHQALAAgAEkATgBEAEUAWAAoAHQAYQByAGcAZQB0ACwAIAAxACwAIAAxACkALABcAG4AXABuACAAIAAgACAALwAvACAASABhAGwAdABpAG4AZwAgAHMAYwBlAG4AYQByAGkAbwBzAFwAbgAgACAAIAAgAFQAbwBvAE0AYQBuAHkASQB0AGUAbQBzAD8ALAAgAFIATwBXAFMAKABzAGUAdAApACAAKgAgAEMATwBMAFUATQBOAFMAKABzAGUAdAApACAAPgAgADIAMAAsAFwAbgAgACAAIAAgAFQAZQB4AHQAUwBlAHQAPwAsACAAIAAgACAAIAAgAE8AUgAoAEkAUwBFAFIAUgBPAFIAKAAtAC0AcwBlAHQAKQApACwAXABuACAAIAAgACAAVABlAHgAdABUAGEAcgBnAGUAdAA/ACwAIAAgACAASQBTAEUAUgBSAE8AUgAoAC0ALQB0AGEAcgBnAGUAdAApACwAXABuAFwAbgBJAEYAKABUAG8AbwBNAGEAbgB5AEkAdABlAG0AcwA/ACwAIABcACIAIwBUAE8ATwAtAE0AQQBOAFkALQBJAFQARQBNAFMAIQBcACIALABcAG4AXABuACAAIAAgACAASQBGACgAVABlAHgAdABTAGUAdAA/ACwAIABcACIAIwBUAEUAWABUAC0AUwBFAFQAIQBcACIALABcAG4AXABuACAAIAAgACAAIAAgACAAIABJAEYAKABUAGUAeAB0AFQAYQByAGcAZQB0AD8ALAAgAFwAIgAjAFQARQBYAFQALQBUAEEAUgBHAEUAVAAhAFwAIgAsAFwAbgBcAG4ATABFAFQAKABcAG4AIAAgACAAIAAvAC8AIABGAGwAYQB0AHQAZQBuACAAaQBuAHAAdQB0AFwAbgAgACAAIAAgAHMAZQB0ACwAIAAgACAAIAAgACAAVABPAFIATwBXACgALQAtAHMAZQB0ACkALABcAG4AXABuACAAIAAgACAALwAvACAAVABvAHQAYQBsACAAaQB0AGUAbQBzAFwAbgAgACAAIAAgAG4ALAAgACAAIAAgACAAIAAgACAAQwBPAFUATgBUAEEAKABzAGUAdAApACwAXABuAFwAbgAgACAAIAAgAC8ALwAgAEIAaQB0ACAAbQBhAHMAawBzACAAKABlAHgAYwBsAHUAZABlACAAMAApAFwAbgAgACAAIAAgAEMALAAgACAAIAAgACAAIAAgACAAUwBFAFEAVQBFAE4AQwBFACgAMgAgAF4AIABuACAALQAgADEAKQAsAFwAbgAgACAAIAAgAGIAaQBuACwAIAAgACAAIAAgACAARABlAGMAMgBCAGkAbgC7AygAQwAsACAAMQApACwAXABuAFwAbgAgACAAIAAgAC8ALwAgAEEAcABwAGwAeQAgAG0AYQBzAGsAXABuACAAIAAgACAAdgBhAGwAXwBhAHIAcgAsACAAIABJAEYAKABiAGkAbgAsACAAcwBlAHQALAAgADAAKQAsAFwAbgBcAG4AIAAgACAAIAAvAC8AIABMAG8AYwBhAHQAZQAgAHQAYQByAGcAZQB0ACAAcwB1AG0AXABuACAAIAAgACAAYgBvAG8AbAAsACAAIAAgACAAIABCAFkAUgBPAFcAKAB2AGEAbABfAGEAcgByACwAIABTAFUATQApACAAPQAgAHQAYQByAGcAZQB0ACwAXABuACAAIAAgACAAZgBvAHUAbgBkACwAIAAgACAAIABGAEkATABUAEUAUgAoAHYAYQBsAF8AYQByAHIALAAgAGIAbwBvAGwALAAgADAAKQAsAFwAbgBcAG4AIAAgACAAIAAvAC8AIABDAG8AbgB2AGUAcgB0ACAAZQBhAGMAaAAgAHMAdQBiAHMAZQB0ACAAdABvACAAYQAgAGMAbwBtAHAAYQBjAHQAIABzAHQAcgBpAG4AZwBcAG4AIAAgACAAIABDAG8AbgBjAGkAcwBlALsDLAAgAEwAQQBNAEIARABBACgAdgAsACAAVABFAFgAVABKAE8ASQBOACgAXAAiACwAIABcACIALAAgADEALAAgAFQARQBYAFQAKAB2ACwAIABcACIAMAA7AC0AMAA7ADsAXAAiACkAKQApACwAXABuACAAIAAgACAAcgBlAHMAdQBsAHQALAAgACAAIABCAFkAUgBPAFcAKABmAG8AdQBuAGQALAAgAEMAbwBuAGMAaQBzAGUAuwMpACwAXABuAFwAbgAgACAAIAAgAC8ALwAgAEgAYQBuAGQAbABlACAAbgBvACAAbQBhAHQAYwBoAGUAcwBcAG4AIAAgACAAIABmAGkAbgBhAGwALAAgACAAIAAgAEkARgAoAFMAVQBNACgATABFAE4AKAByAGUAcwB1AGwAdAApACkAIAA9ACAAMAAsACAAXAAiACMATgBPAC0AUwBPAEwAVQBUAEkATwBOACEAXAAiACwAIAByAGUAcwB1AGwAdAApACwAXABuAFwAbgAgACAAIAAgAGYAaQBuAGEAbABcAG4AKQApACkAKQApACkAOwBcAG4AXABuAFwAbgBcAG4ALwAvACAAWwBHAEQAXQAgAC0ALQAtAC0ALQAtAC0ALQAtAC0ALQAtAC0ALQAtAC0ALQAtAC0ALQAtAC0ALQAtAC0ALQAtAC0ALQAtAC0ALQAtAC0ALQAtAC0ALQAtAC0ALQAtAC0ALQAtAC0ALQAtAC0ALQAtAC0ALQAtAC0ALQAtAC0ALQAtAC0ALQAtAC0ALQAtAC0ALQAtAC0ALQAtAC0ALQAtAC0ALQBcAG4ALwAvACAALQAtAC0AIwAjACAAMQAwACAAFCAgAEcAcgBpAGQAIABEAGkAYQBnAG4AbwBzAHQ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QAaQBhAGcAbgBvAHMAdABpAGMAcwAgAGMAbwBuAHQAYQBpAG4AcwAgAGYAdQBuAGMAdABpAG8AbgBzACAAdwBoAG8AcwBlACAAcAB1AHIAcABvAHMAZQAgAGkAcwAgAHQAbwAgAGUAeABwAG8AcwBlACwAIABhAG4AbgBvAHQAYQB0AGUALABcAG4AIAAgACAAIABvAHIAIABlAHgAcABsAGEAaQBuACAAdABoAGUAIABpAG4AdABlAHIAbgBhAGwAIABzAHQAcgB1AGMAdAB1AHIAZQAgAG8AZgAgAGEAIABnAHIAaQBkAC4AIABEAGkAYQBnAG4AbwBzAHQAaQBjAHMAIABmAHUAbgBjAHQAaQBvAG4AcwAgAGEAcgBlAFwAbgAgACAAIAAgAHUAcwBlAGQAIABmAG8AcgAgAGQAZQBiAHUAZwBnAGkAbgBnACwAIABpAG4AdAByAG8AcwBwAGUAYwB0AGkAbwBuACwAIAB2AGkAcwB1AGEAbABpAHoAYQB0AGkAbwBuACwAIABhAG4AZAAgAHMAdAByAHUAYwB0AHUAcgBhAGwAIABhAG4AYQBsAHkAcwBpAHMALgBcAG4AXABuAEYAdQBuAGMAdABpAG8AbgBzADoAXABuACAAIAAgACAAIiAgAFIAZQB2AGUAYQBsALsDXABuACAAIAAgACAAIAAgACAAIABpAG4AcwBwAGUAYwB0AHMAIABhACAAbQBhAHQAcgBpAHg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0AYQB0AHIAaQB4ACAAbwBmACAAZABhAHQAYQAgAGEAbgBkACAAcgBlAHQAdQByAG4AcwAgAGUAaQB0AGgAZQByADoAXABuACAAIAAgACAAIAAgACAAIAAiICAAQQAgAHQAbwBwAC0AbABlAHYAZQBsACAAcwB1AG0AbQBhAHIAeQAgAG8AZgAgAHMAZQBtAGEAbgB0AGkAYwAgAG0AZQB0AHIAaQBjAHMAIAAoAE4AdQBtAGIAZQByAHMALAAgAFQAZQB4AHQAcwAsACAARQByAHIAbwByAHMALAAgAGUAdABjAC4AKQBcAG4AIAAgACAAIAAgACAAIAAgACIgIABBACAAdgBlAHIAYgBvAHMAZQAsACAAYwBlAGwAbAAtAGIAeQAtAGMAZQBsAGwAIABuAGEAcgByAGEAdABpAG8AbgAgAG8AZgAgAHQAYQBnAHMAIABwAGUAcgAgAGMAZQBsAGwAXABuACAAIAAgACAAUwB1AHAAcABvAHIAdABzACAAbwBwAHQAaQBvAG4AYQBsACAAZABlAGwAaQBtAGkAdABlAHIAIABjAG8AbgB0AHIAbwBsACAAYQBuAGQAIABiAGwAYQBuAGsALQBhAHcAYQByAGUAIABvAHAAdABpAG0AaQB6AGEAdABpAG8AbgAuAFwAbgBcAG4AUABhAHIAYQBtAGUAdABlAHIAcwA6AFwAbgAgACAAIAAgAGQAYQB0AGEAXABuACAAIAAgACAAIAAgACAAIABEAGEAdABhACAAdABvACAAYgBlACAAaQBuAHMAcABlAGMAdABlAGQAIAAoAGEAbgB5ACAAcwBjAGEAbABhAHIALAAgAHYAZQBjAHQAbwByACwAIABvAHIAIAAyAEQAIABhAHIAcgBhAHkAKQAuAFwAbgBcAG4AIAAgACAAIABJAHMAVgBlAHIAYgBvAHMAZQA/ACAAIABbAG8AcAB0AGkAbwBuAGEAbABdAFwAbgAgACAAIAAgACAAIAAgACAASQBmACAAVABSAFUARQAsACAAcgBlAHQAdQByAG4AcwAgAGEAIABtAGEAdAByAGkAeAAgAG8AZgAgAG4AYQByAHIAYQB0AGEAYgBsAGUAIAB0AGEAZwBzACAAcABlAHIAIABjAGUAbABsAC4AXABuACAAIAAgACAAIAAgACAAIABJAGYAIABvAG0AaQB0AHQAZQBkACwAIAByAGUAdAB1AHIAbgBzACAAYQAgADkA1wAyACAAcwB1AG0AbQBhAHIAeQAgAHQAYQBiAGwAZQAuAFwAbgBcAG4AIAAgACAAIABkAGUAbABpAG0AaQB0AGUAcgAgACAAIABbAG8AcAB0AGkAbwBuAGEAbABdAFwAbgAgACAAIAAgACAAIAAgACAARABlAGwAaQBtAGkAdABlAHIAIAB1AHMAZQBkACAAaQBuACAAdgBlAHIAYgBvAHMAZQAgAG0AbwBkAGUALgAgAEQAZQBmAGEAdQBsAHQAcwAgAHQAbwAgAFwAIgAsACAAXAAiAC4AXABuAFwAbgAtAC0ALQAtAC0ALQAtAC0ALQAtAC0ALQAtAC0ALQAtAC0ALQAtAC0ALQAtAC0ALQAtAC0ALQAtAC0ALQAtAC0ALQAtAC0ALQAtAC0ALQAtAC0ALQAtAC0ALQAtAC0ALQAtAC0ALQAtAC0ALQAtAC0ALQAtAC0ALQAtAC0ALQAtAC0ALQAtAC0ALQAtAC0ALQAtAC0ALQAtAC0ALQAqAC8AXABuAFwAbgBSAGUAdgBlAGEAbAC7AyAAPQBcAG4ATABBAE0AQgBEAEEAKABcAG4AIAAgACAAIABkAGEAdABhACwAIAAgACAAIAAgACAAIAAgAFwAbgAgACAAIAAgAFsASQBzAFYAZQByAGIAbwBzAGUAPwBdACwAXABuACAAIAAgACAAWwBkAGUAbABpAG0AaQB0AGUAcgBdACwAXABuAFwAbgBMAEUAVAAoAFwAbgAgACAAIAAgAC8ALwAgAEQAaQBtAGUAbgBzAGkAbwBuAFwAbgAgACAAIAAgAHcAaQBkAHQAaAAsACAAIAAgACAAIAAgACAAIAAgACAAIAAgACAAIAAgACAAIAAgAEMATwBMAFUATQBOAFMAKABkAGEAdABhACkALABcAG4AXABuACAAIAAgACAALwAvACAAQwBlAGwAbAAgAG0AZQB0AHIAaQBjACAAbABhAGIAZQBsAHMAXABuACAAIAAgACAAbQBlAHQAcgBpAGMAcwAsACAAIAAgACAAIAAgACAAIAAgACAAIAAgACAAIAAgACAAewBcACIATgB1AG0AYgBlAHIAXAAiADsAXABuACAAIAAgACAAIAAgACAAIAAgACAAIAAgACAAIAAgACAAIAAgACAAIAAgACAAIAAgACAAIAAgACAAXAAiAFQAZQB4AHQAXAAiADsAXABuACAAIAAgACAAIAAgACAAIAAgACAAIAAgACAAIAAgACAAIAAgACAAIAAgACAAIAAgACAAIAAgACAAXAAiAE4AdQBtAGIAZQByAC0AcwB0AG8AcgBlAGQALQBhAHMALQB0AGUAeAB0AFwAIgA7AFwAbgAgACAAIAAgACAAIAAgACAAIAAgACAAIAAgACAAIAAgACAAIAAgACAAIAAgACAAIAAgACAAIAAgAFwAIgBFAHIAcgBvAHIAXAAiADsAXABuACAAIAAgACAAIAAgACAAIAAgACAAIAAgACAAIAAgACAAIAAgACAAIAAgACAAIAAgACAAIAAgACAAXAAiAEMAbwBuAHQAYQBpAG4AcwAgAHMAcABhAGMAZQBzAFwAIgA7AFwAbgAgACAAIAAgACAAIAAgACAAIAAgACAAIAAgACAAIAAgACAAIAAgACAAIAAgACAAIAAgACAAIAAgAFwAIgBDAG8AbgB0AGEAaQBuAHMAIABzAHAAZQBjAGkAYQBsACAAYwBoAGEAcgBhAGMAdABlAHIAcwBcACIAOwBcAG4AIAAgACAAIAAgACAAIAAgACAAIAAgACAAIAAgACAAIAAgACAAIAAgACAAIAAgACAAIAAgACAAIABcACIARgBvAHIAbQB1AGwAYQBcACIAOwBcAG4AIAAgACAAIAAgACAAIAAgACAAIAAgACAAIAAgACAAIAAgACAAIAAgACAAIAAgACAAIAAgACAAIABcACIAQgBsAGEAbgBrAFwAIgA7AFwAbgAgACAAIAAgACAAIAAgACAAIAAgACAAIAAgACAAIAAgACAAIAAgACAAIAAgACAAIAAgACAAIAAgAFwAIgBMAG8AZwBpAGMAYQBsAFwAIgB9ACwAXABuAFwAbgAgACAAIAAgAC8ALwAtAC0AIABMAG8AYwBhAGwAIABmAHUAbgBjAHQAaQBvAG4AcwAgAC0ALQBcAG4AXABuACAAIAAgACAALwAvACAARgBsAGEAdAB0AGUAbgAgAG0AYQB0AHIAaQBjAGUAcwAgAGEAbgBkACAAZQBuAHMAdQByAGUAIABiAGkAbgBhAHIAeQAgAGEAcgByAGEAeQAuAFwAbgAgACAAIAAgAEIAaQBuALsDLAAgACAAIAAgACAAIAAgACAAIAAgACAAIAAgACAAIAAgACAAIAAgAEwAQQBNAEIARABBACgAdgAsACAAVABPAEMATwBMACgASQBGAEUAUgBSAE8AUgAoAHYALAAgADAAKQApACkALABcAG4AXABuACAAIAAgACAALwAvACAAUgBlAG0AbwB2AGUAIABlAHIAcgBvAHIAcwAgAGYAcgBvAG0AIABzAGMAYQBsAGEAcgBzAC4AXABuACAAIAAgACAAUgBlAG0AbwB2AGUATgBBALsDLAAgACAAIAAgACAAIAAgACAAIAAgACAAIAAgACAATABBAE0AQgBEAEEAKAB2ACwAIABJAEYATgBBACgAdgAsACAAMAApACkALABcAG4AXABuACAAIAAgACAALwAvACAATwBwAHQAaQBvAG4AYQBsACAAZABlAGwAaQBtAGkAdABlAHIAIABmAG8AcgAgAHYAZQByAGIAbwBzAGUAIAByAGUAcABvAHIAdAAuAFwAbgAgACAAIAAgAGQAZQBsAGkAbQBpAHQAZQByACwAIAAgACAAIAAgACAAIAAgACAAIAAgACAAIAAgAEkARgAoAEkAUwBPAE0ASQBUAFQARQBEACgAZABlAGwAaQBtAGkAdABlAHIAKQAsACAAXAAiACwAIABcACIALAAgAGQAZQBsAGkAbQBpAHQAZQByACkALABcAG4AXABuACAAIAAgACAALwAvACAAVgBlAHIAYgBvAHMAZQAgAHIAZQBwAG8AcgB0ACAALQAgAHIAZQB0AHUAcgBuAHMAIABuAGEAcgByAGEAdABhAGIAbABlACAAdABhAGcAcwAgAGIAeQAgAGMAZQBsAGwALgAgAFQAZQByAG0AaQBuAGEAdABlAHMAIABlAGEAcgBsAHkAIABpAGYAIABiAGwAYQBuAGsALgBcAG4AIAAgACAAIABHAGUAdABEAGUAdABhAGkAbABzALsDLAAgACAAIAAgACAAIAAgACAAIAAgACAAIABMAEEATQBCAEQAQQAoAGEALAAgAGIALAAgAGMALAAgAGQALAAgAGUALAAgAGYALAAgAGcALAAgAGgALAAgAGkALABcAG4AIAAgACAAIAAgACAAIAAgACAAIAAgACAAIAAgACAAIAAgACAAIAAgACAAIAAgACAAIAAgACAAIABMAEUAVAAoAFwAbgAgACAAIAAgACAAIAAgACAAIAAgACAAIAAgACAAIAAgACAAIAAgACAAIAAgACAAIAAgACAAIAAgACAAIAAgACAAbQAsACAAIAAgACAAIAAgAFYAUwBUAEEAQwBLACgAYQAsACAAYgAsACAAYwAsACAAZAAsACAAUgBlAG0AbwB2AGUATgBBALsDKABlACkALAAgAFIAZQBtAG8AdgBlAE4AQQC7AygAZgApACwAIABnACwAIABoACwAIABpACkALABcAG4AIAAgACAAIAAgACAAIAAgACAAIAAgACAAIAAgACAAIAAgACAAIAAgACAAIAAgACAAIAAgACAAIAAgACAAIAAgAGQAZQB0AGEAaQBsACwAIABJAEYAKABoACwAIABcACIAQgBsAGEAbgBrAFwAIgAsACAAVABPAEMATwBMACgASQBGAFMAKABtACwAIABtAGUAdAByAGkAYwBzACkALAAgADIAKQApACwAXABuACAAIAAgACAAIAAgACAAIAAgACAAIAAgACAAIAAgACAAIAAgACAAIAAgACAAIAAgACAAIAAgACAAIAAgACAAIABqAG8AaQBuAGUAZAAsACAAVABFAFgAVABKAE8ASQBOACgAZABlAGwAaQBtAGkAdABlAHIALAAgADEALAAgAGQAZQB0AGEAaQBsACkALABcAG4AIAAgACAAIAAgACAAIAAgACAAIAAgACAAIAAgACAAIAAgACAAIAAgACAAIAAgACAAIAAgACAAIAAgACAAIAAgAGoAbwBpAG4AZQBkACkAKQAsAFwAbgBcAG4AIAAgACAAIAAvAC8AIABDAGUAbABsAHMAIAB3AGkAdABoADoAXABuACAAIAAgACAATgB1AG0AYgBlAHIAcwAsACAAIAAgACAAIAAgACAAIAAgACAAIAAgACAAIAAgAC0ALQBUAE8AQwBPAEwAKABJAFMATgBVAE0AQgBFAFIAKABkAGEAdABhACkAKQAsAFwAbgAgACAAIAAgAFQAZQB4AHQAcwAsACAAIAAgACAAIAAgACAAIAAgACAAIAAgACAAIAAgACAAIAAtAC0AVABPAEMATwBMACgASQBTAFQARQBYAFQAKABkAGEAdABhACkAKQAsAFwAbgAgACAAIAAgAE4AdQBtAGIAZQByAHMAXwBzAHQAbwByAGUAZABfAGEAcwBfAHQAZQB4AHQALAAgAFQATwBDAE8ATAAoAEkAUwBOAFUATQBCAEUAUgAoAEkARgBFAFIAUgBPAFIAKABkAGEAdABhACAAKwAgADAALAAgAFwAIgBcACIAKQApACAAKgAgAEkAUwBUAEUAWABUACgAZABhAHQAYQApACkALABcAG4AIAAgACAAIABDAGUAbABsAHMAXwB3AGkAdABoAF8AZQByAHIAbwByAHMALAAgACAAIAAgACAALQAtAFQATwBDAE8ATAAoAEkAUwBFAFIAUgBPAFIAKABkAGEAdABhACkAKQAsAFwAbgAgACAAIAAgAFMAcABhAGMAZQBzACwAIAAgACAAIAAgACAAIAAgACAAIAAgACAAIAAgACAAIAAtAC0AQgBpAG4AuwMoAEwARQBOACgAVABSAEkATQAoAGQAYQB0AGEAKQApACAAPAA+ACAATABFAE4AKABkAGEAdABhACkAKQAsAFwAbgBcAG4AIAAgACAAIAAvAC8AIABQAGEAdAB0AGUAcgBuACAAbQBhAHQAYwBoAGUAcwAgAGYAbwByACAAcwBwAGUAYwBpAGEAbAAgAGMAaABhAHIAYQBjAHQAZQByAHMAXABuACAAIAAgACAAcABhAHQAdABlAHIAbgAsACAAIAAgACAAIAAgACAAIAAgACAAIAAgACAAIAAgAFwAIgBbAF4AQQAtAFoAYQAtAHoAMAAtADkAIAAuAF0AfABbAFwAXAB4AHsAMAAwAEEAMAB9AFwAXAB4AHsAMgAwADAAQgB9AC0AXABcAHgAewAyADAAMABEAH0AXQB8AFsAXABcAHQAXABcAG4AXABcAHIAXQB8AFsAXABcAHgAewAxAEYANgAwADAAfQAtAFwAXAB4AHsAMQBGADYANABGAH0AXQBcACIALABcAG4AIAAgACAAIABTAHAAZQBjAGkAYQBsAF8AYwBoAGEAcgBhAGMAdABlAHIAcwAsACAAIAAgACAALQAtAEIAaQBuALsDKABSAEUARwBFAFgAVABFAFMAVAAoAGQAYQB0AGEALAAgAHAAYQB0AHQAZQByAG4AKQApACwAXABuAFwAbgAgACAAIAAgAEYAbwByAG0AdQBsAGEAcwAsACAAIAAgACAAIAAgACAAIAAgACAAIAAgACAAIAAtAC0AVABPAEMATwBMACgASQBTAEYATwBSAE0AVQBMAEEAKABkAGEAdABhACkAKQAsAFwAbgAgACAAIAAgAEIAbABhAG4AawBzACwAIAAgACAAIAAgACAAIAAgACAAIAAgACAAIAAgACAAIAAtAC0AVABPAEMATwBMACgASQBTAEIATABBAE4ASwAoAGQAYQB0AGEAKQApACwAXABuACAAIAAgACAATABvAGcAaQBjAGEAbAAsACAAIAAgACAAIAAgACAAIAAgACAAIAAgACAAIAAgAC0ALQBUAE8AQwBPAEwAKABJAFMATABPAEcASQBDAEEATAAoAGQAYQB0AGEAKQApACwAXABuAFwAbgAgACAAIAAgAC8ALwAgAE0AZQB0AHIAaQBjAHMAIABmAGwAYQB0AHQAZQBuAGUAZAAgAHIAbwB3AC0AdwBpAHMAZQAgAGEAbgBkACAAcwB0AGEAYwBrAGUAZAAgAGgAbwByAGkAegBvAG4AdABhAGwAbAB5AC4AXABuACAAIAAgACAAbQBlAHQAcgBpAGMAXwBzAHQAYQBjAGsALAAgACAAIAAgACAAIAAgACAAIAAgAEgAUwBUAEEAQwBLACgAXABuACAAIAAgACAAIAAgACAAIAAgACAAIAAgACAAIAAgACAAIAAgACAAIAAgACAAIAAgACAAIAAgACAAIAAgACAAIABOAHUAbQBiAGUAcgBzACwAXABuACAAIAAgACAAIAAgACAAIAAgACAAIAAgACAAIAAgACAAIAAgACAAIAAgACAAIAAgACAAIAAgACAAIAAgACAAIABUAGUAeAB0AHMALABcAG4AIAAgACAAIAAgACAAIAAgACAAIAAgACAAIAAgACAAIAAgACAAIAAgACAAIAAgACAAIAAgACAAIAAgACAAIAAgAE4AdQBtAGIAZQByAHMAXwBzAHQAbwByAGUAZABfAGEAcwBfAHQAZQB4AHQALABcAG4AIAAgACAAIAAgACAAIAAgACAAIAAgACAAIAAgACAAIAAgACAAIAAgACAAIAAgACAAIAAgACAAIAAgACAAIAAgAEMAZQBsAGwAcwBfAHcAaQB0AGgAXwBlAHIAcgBvAHIAcwAsAFwAbgAgACAAIAAgACAAIAAgACAAIAAgACAAIAAgACAAIAAgACAAIAAgACAAIAAgACAAIAAgACAAIAAgACAAIAAgACAAUwBwAGEAYwBlAHMALABcAG4AIAAgACAAIAAgACAAIAAgACAAIAAgACAAIAAgACAAIAAgACAAIAAgACAAIAAgACAAIAAgACAAIAAgACAAIAAgAFMAcABlAGMAaQBhAGwAXwBjAGgAYQByAGEAYwB0AGUAcgBzACwAXABuACAAIAAgACAAIAAgACAAIAAgACAAIAAgACAAIAAgACAAIAAgACAAIAAgACAAIAAgACAAIAAgACAAIAAgACAAIABGAG8AcgBtAHUAbABhAHMALABcAG4AIAAgACAAIAAgACAAIAAgACAAIAAgACAAIAAgACAAIAAgACAAIAAgACAAIAAgACAAIAAgACAAIAAgACAAIAAgAEIAbABhAG4AawBzACwAXABuACAAIAAgACAAIAAgACAAIAAgACAAIAAgACAAIAAgACAAIAAgACAAIAAgACAAIAAgACAAIAAgACAAIAAgACAAIABMAG8AZwBpAGMAYQBsACkALABcAG4AXABuACAAIAAgACAALwAvACAATQBlAHQAcgBpAGMAcwAgAHMAdQBtAG0AYQByAGkAegBlAGQAIABhAG4AZAAgAGMAbwBuAHYAZQByAHQAZQBkACAAdABvACAAdgBlAHIAdABpAGMAYQBsACAAYQByAHIAYQB5AC4AXABuACAAIAAgACAAdABvAHQAYQBsAHMALAAgACAAIAAgACAAIAAgACAAIAAgACAAIAAgACAAIAAgACAAVABPAEMATwBMACgAQgBZAEMATwBMACgAbQBlAHQAcgBpAGMAXwBzAHQAYQBjAGsALAAgAFMAVQBNACkAKQAsAFwAbgBcAG4AIAAgACAAIAAvAC8ALQAtACAAUgBlAHAAbwByAHQAaQBuAGcAIAAtAC0AXABuAFwAbgAgACAAIAAgAC8ALwAgAFQAbwBwAC0AbABlAHYAZQBsACAAOQDXADIAIABzAHUAbQBtAGEAcgB5ACAAbwBmACAAZABhAHQAYQAuAFwAbgAgACAAIAAgAFMAdQBtAG0AYQByAHkALAAgACAAIAAgACAAIAAgACAAIAAgACAAIAAgACAAIAAgAEwAQQBNAEIARABBACgAUwBPAFIAVAAoAEgAUwBUAEEAQwBLACgAbQBlAHQAcgBpAGMAcwAsACAAdABvAHQAYQBsAHMAKQAsACAAMgAsACAALQAxACkAKQAsAFwAbgBcAG4AIAAgACAAIAAvAC8AIABDAGUAbABsAC0AYgB5AC0AYwBlAGwAbAAgAHIAZQBwAG8AcgB0ACAAbwBmACAAZABhAHQAYQAuAFwAbgAgACAAIAAgAFYAZQByAGIAbwBzAGUALAAgACAAIAAgACAAIAAgACAAIAAgACAAIAAgACAAIAAgAFcAUgBBAFAAUgBPAFcAUwAoAFwAbgAgACAAIAAgACAAIAAgACAAIAAgACAAIAAgACAAIAAgACAAIAAgACAAIAAgACAAIAAgACAAIAAgACAAIAAgACAATQBBAFAAKABcAG4AIAAgACAAIAAgACAAIAAgACAAIAAgACAAIAAgACAAIAAgACAAIAAgACAAIAAgACAAIAAgACAAIAAgACAAIAAgACAAIAAgACAATgB1AG0AYgBlAHIAcwAsAFwAbgAgACAAIAAgACAAIAAgACAAIAAgACAAIAAgACAAIAAgACAAIAAgACAAIAAgACAAIAAgACAAIAAgACAAIAAgACAAIAAgACAAIABUAGUAeAB0AHMALABcAG4AIAAgACAAIAAgACAAIAAgACAAIAAgACAAIAAgACAAIAAgACAAIAAgACAAIAAgACAAIAAgACAAIAAgACAAIAAgACAAIAAgACAATgB1AG0AYgBlAHIAcwBfAHMAdABvAHIAZQBkAF8AYQBzAF8AdABlAHgAdAAsAFwAbgAgACAAIAAgACAAIAAgACAAIAAgACAAIAAgACAAIAAgACAAIAAgACAAIAAgACAAIAAgACAAIAAgACAAIAAgACAAIAAgACAAIABDAGUAbABsAHMAXwB3AGkAdABoAF8AZQByAHIAbwByAHMALABcAG4AIAAgACAAIAAgACAAIAAgACAAIAAgACAAIAAgACAAIAAgACAAIAAgACAAIAAgACAAIAAgACAAIAAgACAAIAAgACAAIAAgACAAUwBwAGEAYwBlAHMALABcAG4AIAAgACAAIAAgACAAIAAgACAAIAAgACAAIAAgACAAIAAgACAAIAAgACAAIAAgACAAIAAgACAAIAAgACAAIAAgACAAIAAgACAAUwBwAGUAYwBpAGEAbABfAGMAaABhAHIAYQBjAHQAZQByAHMALABcAG4AIAAgACAAIAAgACAAIAAgACAAIAAgACAAIAAgACAAIAAgACAAIAAgACAAIAAgACAAIAAgACAAIAAgACAAIAAgACAAIAAgACAARgBvAHIAbQB1AGwAYQBzACwAXABuACAAIAAgACAAIAAgACAAIAAgACAAIAAgACAAIAAgACAAIAAgACAAIAAgACAAIAAgACAAIAAgACAAIAAgACAAIAAgACAAIAAgAEIAbABhAG4AawBzACwAXABuACAAIAAgACAAIAAgACAAIAAgACAAIAAgACAAIAAgACAAIAAgACAAIAAgACAAIAAgACAAIAAgACAAIAAgACAAIAAgACAAIAAgAEwAbwBnAGkAYwBhAGwALABcAG4AIAAgACAAIAAgACAAIAAgACAAIAAgACAAIAAgACAAIAAgACAAIAAgACAAIAAgACAAIAAgACAAIAAgACAAIAAgACAAIAAgACAARwBlAHQARABlAHQAYQBpAGwAcwC7AykALABcAG4AIAAgACAAIAAgACAAIAAgACAAIAAgACAAIAAgACAAIAAgACAAIAAgACAAIAAgACAAIAAgACAAIAAgACAAIAAgAHcAaQBkAHQAaAApACwAXABuAFwAbgAgACAAIAAgAFIAZQBwAG8AcgB0ACwAIAAgACAAIAAgACAAIAAgACAAIAAgACAAIAAgACAAIAAgAEkARgAoAEkAUwBPAE0ASQBUAFQARQBEACgASQBzAFYAZQByAGIAbwBzAGUAPwApACwAIABTAHUAbQBtAGEAcgB5ACgAKQAsACAAVgBlAHIAYgBvAHMAZQApACwAXABuACAAIAAgACAAUgBlAHAAbwByAHQAXABuACkAKQA7AFwAbgBcAG4AXABuAFwAbgAvAC8AIAAtAC0ARQBuAGQAIABvAGYAIABCAGkAZwBTAHAAaQBsAGwAIABNAG8AZAB1AGwAZQAtAC0AIgB9AF0ALAAiAHAAcgBvAGoAZQBjAHQATgBhAG0AZQBzACIAOgBbACIARABHAHIAaQBkALsDIgAsACIAQwBHAHIAaQBkALsDIgAsACIATQBHAHIAaQBkALsDIgAsACIAVABHAHIAaQBkALsDIgAsACIAUABvAGwAYQByAEcAcgBpAGQAuwMiACwAIgBDAGkAcgBjAGwAZQC7AyIALAAiAEQAaQBhAG0AbwBuAGQAuwMiACwAIgBQAGwAdQBzALsDIgAsACIAUAB5AHIAYQBtAGkAZAC7AyIALAAiAFIAaQBuAGcAuwMiACwAIgBTAHEAdQBhAHIAZQC7AyIALAAiAFQAcgBpAGEAbgBnAGwAZQC7AyIALAAiAFIAZQBTAGgAYQBwAGUAMgBEALsDIgAsACIAUgBlAHMAaQB6AGUAuwMiACwAIgBTAGMAYQBuADIARAC7AyIALAAiAFQAcgBhAHYAZQByAHMAZQC7AyIALAAiAFQAYQBrAGUAQgBsAG8AYwBrALsDIgAsACIARABTAHQAYQBjAGsAuwMiACwAIgBXAHIAYQBwAFIAbwB3AHMAMgBEALsDIgAsACIAVwByAGEAcABDAG8AbABzADIARAC7AyIALAAiAFMAdABhAGkAcgBjAGEAcwBlALsDIgAsACIAVgBhAGwAaQBkAGEAdABlAFMAdABhAGkAcgBjAGEAcwBlALsDIgAsACIAVQBuAFAAaQB2AG8AdAC7AyIALAAiAFoAaQBwALsDIgAsACIAUwBsAGkAYwBlAEIAeQBEAGUAZwC7AyIALAAiAFAAYQBkALsDIgAsACIASQBuAHMAdQBsAGEAdABlAFIAbwB3AHMAuwMiACwAIgBJAG4AcwB1AGwAYQB0AGUAQwBvAGwAcwC7AyIALAAiAE0AYQBnAG4AaQBmAHkAuwMiACwAIgBaAG8AbwBtALsDIgAsACIARABlAGwAZQB0AGUAUgBvAHcAcwC7AyIALAAiAEQAZQBsAGUAdABlAEMAbwBsAHMAuwMiACwAIgBEAGUAbABlAHQAZQBXAGgAZQByAGUAuwMiACwAIgBQAGkAbgBjAGgAuwMiACwAIgBSAGUAbQBvAHYAZQC7AyIALAAiAFMAcQB1AGUAZQB6AGUAuwMiACwAIgBLAHIAbwBuAGUAYwBrAGUAcgBQAHIAbwBkALsDIgAsACIARQB4AGMAbAB1AGQAZQC7AyIALAAiAFMAbgBhAHAAuwMiACwAIgBTAGgAaQBmAHQAuwMiACwAIgBTAGgAaQBmAHQAUgBvAHcAcwC7AyIALAAiAFMAaABpAGYAdABDAG8AbABzALsDIgAsACIARQBtAGIAZQBkALsDIgAsACIASwBlAGUAcABSAG8AdwBzALsDIgAsACIASwBlAGUAcABDAG8AbABzALsDIgAsACIAQgBsAG8AYwBrAE0AYQBwALsDIgAsACIAVgBhAGwAaQBkAGEAdABlAEIAbABvAGMAawBNAGEAcAC7AyIALAAiAEMAbwBuAHYAbwBsAHYAZQC7AyIALAAiAEYAbwBsAGQAuwMiACwAIgBKAG8AaQBuADIARAC7AyIALAAiAEUAYwBoAG8AuwMiACwAIgBSAGUAcABlAGEAdABSAG8AdwBzALsDIgAsACIAUgBlAHAAZQBhAHQAQwBvAGwAcwC7AyIALAAiAFQAZQBzAHMAZQBsAGwAYQB0AGUAuwMiACwAIgBTAHQAcgBlAGEAawC7AyIALAAiAEMAbwB1AG4AdABkAG8AdwBuALsDIgAsACIAQgB5AEQAaQBhAGcAuwMiACwAIgBEAGkAYQBnAE0AYQBwALsDIgAsACIARABpAGEAZwBJAG4AZABlAHgAuwMiACwAIgBWAGEAbABpAGQAYQB0AGUARABpAGEAZwC7AyIALAAiAFAAYQBpAHI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8FA26BC6-5067-4B70-B09C-C0F38F71BFDB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36</vt:i4>
      </vt:variant>
    </vt:vector>
  </HeadingPairs>
  <TitlesOfParts>
    <vt:vector size="51" baseType="lpstr">
      <vt:lpstr>Introduction</vt:lpstr>
      <vt:lpstr>Streak</vt:lpstr>
      <vt:lpstr>Countdown</vt:lpstr>
      <vt:lpstr>ByDiag</vt:lpstr>
      <vt:lpstr>DiagIndex</vt:lpstr>
      <vt:lpstr>Pairwise</vt:lpstr>
      <vt:lpstr>GroupbyBin</vt:lpstr>
      <vt:lpstr>GroupbyDate</vt:lpstr>
      <vt:lpstr>PivotbyCat</vt:lpstr>
      <vt:lpstr>Grain</vt:lpstr>
      <vt:lpstr>MooreAgg</vt:lpstr>
      <vt:lpstr>MooreSelect</vt:lpstr>
      <vt:lpstr>Histogram</vt:lpstr>
      <vt:lpstr>Mode</vt:lpstr>
      <vt:lpstr>ZoneStat</vt:lpstr>
      <vt:lpstr>Age</vt:lpstr>
      <vt:lpstr>Age_</vt:lpstr>
      <vt:lpstr>Amount</vt:lpstr>
      <vt:lpstr>Board</vt:lpstr>
      <vt:lpstr>Bonus</vt:lpstr>
      <vt:lpstr>Date</vt:lpstr>
      <vt:lpstr>Department</vt:lpstr>
      <vt:lpstr>ElevationGrid</vt:lpstr>
      <vt:lpstr>EnteredDate</vt:lpstr>
      <vt:lpstr>Grid</vt:lpstr>
      <vt:lpstr>GridB</vt:lpstr>
      <vt:lpstr>GroupA</vt:lpstr>
      <vt:lpstr>GroupB</vt:lpstr>
      <vt:lpstr>Height</vt:lpstr>
      <vt:lpstr>Height_</vt:lpstr>
      <vt:lpstr>Hours</vt:lpstr>
      <vt:lpstr>Item</vt:lpstr>
      <vt:lpstr>MatrixDemo</vt:lpstr>
      <vt:lpstr>MixedData</vt:lpstr>
      <vt:lpstr>Neighborhood</vt:lpstr>
      <vt:lpstr>Outcome</vt:lpstr>
      <vt:lpstr>OutcomeH</vt:lpstr>
      <vt:lpstr>Processed</vt:lpstr>
      <vt:lpstr>Rating</vt:lpstr>
      <vt:lpstr>Reading</vt:lpstr>
      <vt:lpstr>Result</vt:lpstr>
      <vt:lpstr>ResultH</vt:lpstr>
      <vt:lpstr>Schedule</vt:lpstr>
      <vt:lpstr>Sites</vt:lpstr>
      <vt:lpstr>Sizes</vt:lpstr>
      <vt:lpstr>Snowfall</vt:lpstr>
      <vt:lpstr>Team</vt:lpstr>
      <vt:lpstr>Time</vt:lpstr>
      <vt:lpstr>WillowTrees</vt:lpstr>
      <vt:lpstr>Worker</vt:lpstr>
      <vt:lpstr>ZoneGrid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Grid Analytics</dc:title>
  <dc:creator>BigSpill Project</dc:creator>
  <dc:description>Demonstration workbook for BigSpill - Grid Analytics</dc:description>
  <dcterms:created xsi:type="dcterms:W3CDTF">2026-07-07T13:58:14Z</dcterms:created>
  <dcterms:modified xsi:type="dcterms:W3CDTF">2026-07-07T13:58:48Z</dcterms:modified>
</cp:coreProperties>
</file>