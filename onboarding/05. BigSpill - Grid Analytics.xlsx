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BCE3041F-FA95-4582-8D61-8C86943B9B82}" xr6:coauthVersionLast="47" xr6:coauthVersionMax="47" xr10:uidLastSave="{00000000-0000-0000-0000-000000000000}"/>
  <bookViews>
    <workbookView xWindow="28680" yWindow="-120" windowWidth="29040" windowHeight="15720" tabRatio="610" xr2:uid="{F66D582A-7D0C-4E5D-944D-C6A8F5A29A1E}"/>
  </bookViews>
  <sheets>
    <sheet name="Introduction" sheetId="1" r:id="rId1"/>
    <sheet name="Streak" sheetId="3" r:id="rId2"/>
    <sheet name="Countdown" sheetId="4" r:id="rId3"/>
    <sheet name="Instance" sheetId="20" r:id="rId4"/>
    <sheet name="Wave" sheetId="21" r:id="rId5"/>
    <sheet name="ByDiag" sheetId="5" r:id="rId6"/>
    <sheet name="DiagIndex" sheetId="7" r:id="rId7"/>
    <sheet name="Pairwise" sheetId="8" r:id="rId8"/>
    <sheet name="Triplewise_Quadwise" sheetId="19" r:id="rId9"/>
    <sheet name="GroupbyBin" sheetId="9" r:id="rId10"/>
    <sheet name="GroupbyDate" sheetId="10" r:id="rId11"/>
    <sheet name="PivotbyCat" sheetId="11" r:id="rId12"/>
    <sheet name="GroupIndex" sheetId="22" r:id="rId13"/>
    <sheet name="Occurrence" sheetId="23" r:id="rId14"/>
    <sheet name="OccurrenceRange" sheetId="24" r:id="rId15"/>
    <sheet name="Grain" sheetId="12" r:id="rId16"/>
    <sheet name="MooreAgg" sheetId="13" r:id="rId17"/>
    <sheet name="MooreSelect" sheetId="14" r:id="rId18"/>
    <sheet name="Histogram" sheetId="15" r:id="rId19"/>
    <sheet name="Mode" sheetId="17" r:id="rId20"/>
    <sheet name="ZoneStat" sheetId="18" r:id="rId21"/>
  </sheets>
  <definedNames>
    <definedName name="_xlnm._FilterDatabase" localSheetId="14" hidden="1">OccurrenceRange!$C$14:$F$84</definedName>
    <definedName name="Activity">Instance!$H$8:$O$8</definedName>
    <definedName name="Age">GroupbyBin!$C$14:$C$38</definedName>
    <definedName name="Age_">GroupbyBin!$C$13:$C$38</definedName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Amount">GroupbyDate!$D$15:$D$21</definedName>
    <definedName name="Animals">Triplewise_Quadwise!$I$9:$I$10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oard">MooreAgg!$C$30:$G$37</definedName>
    <definedName name="Bonus">GroupbyDate!$E$36:$E$43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lub">Occurrence!$I$11:$I$20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lors">Triplewise_Quadwise!$C$9:$C$11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_xlfn.LAMBDA(Resizeλ(IF(_xlpm.anch_r = 1, 1, _xlfn.SEQUENCE(_xlpm.anch_r)), , _xlpm.anch_c)), _xlpm.j, _xlfn.LAMBDA(Resizeλ(IF(_xlpm.anch_c = 1, 1, _xlfn.SEQUENCE(, _xlpm.anch_c)),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ate">GroupbyDate!$C$15:$C$21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cision">Instance!$G$20:$I$23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partment">GroupbyDate!$D$36:$D$43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levationGrid">Grain!$C$18:$J$33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teredDate">GroupbyDate!$C$36:$C$43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id">ByDiag!$D$9:$I$14</definedName>
    <definedName name="GridB">DiagIndex!$C$7:$J$14</definedName>
    <definedName name="GroupA">Pairwise!$C$9:$C$11</definedName>
    <definedName name="GroupB">Pairwise!$E$9:$E$10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GroupIndexλ">_xlfn.LAMBDA(_xlpm.vector,_xlop.Horizontal?, _xlfn.LET(_xlpm.vector, _xlfn.TOCOL(_xlpm.vector), _xlpm.height, ROWS(_xlpm.vector), _xlpm.width, COLUMNS(_xlpm.vector), _xlpm.IsVertical?, _xlfn.ISOMITTED(_xlpm.Horizontal?), _xlpm.IsScalar?, AND(_xlpm.height = 1, _xlpm.width = 1), _xlpm.SpillRisk?, IF(_xlpm.IsVertical?, _xlpm.height &gt; 1048576, _xlpm.height &gt; 16384), IF(_xlpm.IsScalar?, _xlpm.vector, IF(_xlpm.SpillRisk?, #NUM!, _xlfn.LET(_xlpm.idx, _xlfn.XMATCH(_xlpm.vector, _xlfn.UNIQUE(_xlpm.vector)), _xlpm.final, IF(_xlpm.IsVertical?, _xlpm.idx, _xlfn.TOROW(_xlpm.idx)), _xlpm.final)))))</definedName>
    <definedName name="Groups">GroupIndex!$B$9:$B$18</definedName>
    <definedName name="Height">GroupbyBin!$D$14:$D$38</definedName>
    <definedName name="Height_">GroupbyBin!$D$13:$D$38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Hours">PivotbyCat!$E$20:$E$27</definedName>
    <definedName name="Instanceλ">_xlfn.LAMBDA(_xlpm.vector,_xlop.Horizontal?,_xlop.Descend?, _xlfn.LET(_xlpm.vector, _xlfn.TOCOL(_xlpm.vector), _xlpm.height, ROWS(_xlpm.vector), _xlpm.width, COLUMNS(_xlpm.vector), _xlpm.IsVertical?, _xlfn.ISOMITTED(_xlpm.Horizontal?), _xlpm.IsDescend?, AND(NOT(_xlfn.ISOMITTED(_xlpm.Descend?)), _xlpm.Descend? = TRUE), _xlpm.IsScalar?, AND(_xlpm.height = 1, _xlpm.width = 1), _xlpm.SpillRisk?, IF(_xlpm.IsVertical?, _xlpm.height &gt; 1048576, _xlpm.height &gt; 16384), IF(_xlpm.IsScalar?, _xlpm.vector, IF(_xlpm.SpillRisk?, #NUM!, _xlfn.LET(_xlpm.idxλ, IF(_xlpm.IsDescend?, Countdownλ, Streakλ), _xlpm.i, MGridλ(_xlpm.vector), _xlpm.sorted, _xlfn._xlws.SORT(_xlfn.HSTACK(_xlpm.i, _xlpm.vector), 2), _xlpm.idx, _xlpm.idxλ(_xlfn.TAKE(_xlpm.sorted, , -1)), _xlpm.new_arr, _xlfn.HSTACK(_xlpm.sorted, _xlpm.idx), _xlpm.inst, _xlfn.TAKE(_xlfn._xlws.SORT(_xlpm.new_arr), , -1), _xlpm.final, IF(_xlpm.IsVertical?, _xlpm.inst, _xlfn.TOROW(_xlpm.inst)), _xlpm.final)))))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Item">Pairwise!$C$20:$C$23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Letters">Triplewise_Quadwise!$E$9:$E$10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atrixDemo">Grain!$C$8:$J$15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ixedData">Mode!$C$8:$F$15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MVP">OccurrenceRange!$C$15:$F$84</definedName>
    <definedName name="Neighborhood">MooreSelect!$D$7:$I$12</definedName>
    <definedName name="Numbers">Triplewise_Quadwise!$G$9:$G$11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OccurrenceRangeλ">_xlfn.LAMBDA(_xlpm.array,_xlpm.crit_vector,_xlpm.start_occurrence,_xlop.end_occurrence,_xlop.Horizontal?, _xlfn.LET(_xlpm.IsVertical?, NOT(AND(NOT(_xlfn.ISOMITTED(_xlpm.Horizontal?)), _xlpm.Horizontal? = TRUE)), _xlpm.array, IF(_xlpm.IsVertical?, _xlpm.array, TRANSPOSE(_xlpm.array)), _xlpm.crit_vector, IF(_xlpm.IsVertical?, _xlpm.crit_vector, TRANSPOSE(_xlpm.crit_vector)), _xlpm.IncludeEnd?, NOT(_xlfn.ISOMITTED(_xlpm.end_occurrence)), _xlpm.start_occurrence, INDEX(_xlpm.start_occurrence, 1, 1), _xlpm.end_occurrence, IF(_xlpm.IncludeEnd?, INDEX(_xlpm.end_occurrence, 1, 1), FALSE), _xlpm.height, ROWS(_xlpm.array), _xlpm.height_, ROWS(_xlpm.crit_vector), _xlpm.height_mismatch?, _xlpm.height &lt;&gt; _xlpm.height_, _xlpm.InvalidOccurrence?, OR(ISTEXT(_xlpm.start_occurrence), _xlpm.start_occurrence &lt; 1, AND(_xlpm.IncludeEnd?, ISTEXT(_xlpm.end_occurrence)), AND(_xlpm.IncludeEnd?, _xlpm.end_occurrence &lt; _xlpm.start_occurrence)), IF(_xlpm.height_mismatch?, #VALUE!, IF(_xlpm.InvalidOccurrence?, #VALUE!, _xlfn.LET(_xlpm.inst, Instanceλ(_xlpm.crit_vector), _xlpm.bool, IF(_xlpm.IncludeEnd?, (_xlpm.inst &gt;= _xlpm.start_occurrence) * (_xlpm.inst &lt;= _xlpm.end_occurrence), (_xlpm.inst &gt;= _xlpm.start_occurrence)), _xlpm.result, _xlfn._xlws.FILTER(_xlpm.array, _xlpm.bool, 0), _xlpm.final, IF(_xlpm.IsVertical?, _xlpm.result, TRANSPOSE(_xlpm.result)), _xlpm.final)))))</definedName>
    <definedName name="Occurrenceλ">_xlfn.LAMBDA(_xlpm.array,_xlpm.crit_vector,_xlpm.Nᵀᴴ_occurrence, _xlfn.LET(_xlpm.height, ROWS(_xlpm.array), _xlpm.height_, ROWS(_xlpm.crit_vector), _xlpm.height_mismatch?, _xlpm.height &lt;&gt; _xlpm.height_, _xlpm.InvalidOccurrence?, OR(ISTEXT(_xlpm.Nᵀᴴ_occurrence), _xlpm.Nᵀᴴ_occurrence = 0), IF(_xlpm.height_mismatch?, #VALUE!, IF(_xlpm.InvalidOccurrence?, #VALUE!, _xlfn.LET(_xlpm.Descend?, SIGN(_xlpm.Nᵀᴴ_occurrence) = -1, _xlpm.bool, Instanceλ(_xlpm.crit_vector, , _xlpm.Descend?) = ABS(_xlpm.Nᵀᴴ_occurrence), _xlpm.final, _xlfn._xlws.FILTER(_xlpm.array, _xlpm.bool, 0), _xlpm.final)))))</definedName>
    <definedName name="Outcome">Countdown!$C$11:$C$21</definedName>
    <definedName name="OutcomeH">Countdown!$H$11:$R$11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ayer">OccurrenceRange!$E$15:$E$84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osition">OccurrenceRange!$D$15:$D$84</definedName>
    <definedName name="Processed">PivotbyCat!$C$20:$C$27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Rating">Mode!$D$18:$E$25</definedName>
    <definedName name="Reading">GroupbyDate!$D$24:$D$32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gion">Occurrence!$B$11:$B$18</definedName>
    <definedName name="RegionData">Occurrence!$B$11:$C$18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sult">Streak!$F$11:$F$19</definedName>
    <definedName name="ResultH">Streak!$C$23:$K$23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chedule">Streak!$C$31:$J$33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ites">PivotbyCat!$F$20:$F$27</definedName>
    <definedName name="Sizes">Pairwise!$C$17:$E$17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nowfall">Histogram!$B$27:$D$36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atus">Instance!$B$9:$B$15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am">Pairwise!$J$9:$J$13</definedName>
    <definedName name="TeamData">Occurrence!$I$11:$J$20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ime">GroupbyDate!$C$24:$C$32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Vehicles">GroupIndex!$H$8:$P$8</definedName>
    <definedName name="Waveλ">_xlfn.LAMBDA(_xlpm.crest,_xlop.rep_count, _xlfn.LET(_xlpm.Standard?, _xlfn.ISOMITTED(_xlpm.rep_count), _xlpm.rep_count, IF(_xlpm.Standard?, 1, INDEX(_xlpm.rep_count, 1, 1)), _xlpm.crest, INDEX(_xlpm.crest, 1, 1), _xlpm.InvalidN?, OR(ISTEXT(_xlpm.crest), _xlpm.crest &lt; 0), _xlpm.SpillRisk?, _xlpm.rep_count * (_xlpm.crest * 2 - 1) &gt; 1048576, IF(_xlpm.InvalidN?, #VALUE!, IF(_xlpm.SpillRisk?, #NUM!, _xlfn.LET(_xlpm.k, _xlpm.crest * 2 - 1, _xlpm.seq, _xlfn.SEQUENCE(_xlpm.k), _xlpm.m, MAX(_xlpm.seq), _xlpm.w, IF(_xlpm.seq &gt; _xlpm.crest, _xlpm.m - _xlpm.seq + 1, _xlpm.seq), _xlpm.final, IF(_xlpm.Standard?, _xlpm.w, Echoλ(_xlpm.w, _xlpm.rep_count)), _xlpm.final)))))</definedName>
    <definedName name="Weather">Instance!$B$20:$B$31</definedName>
    <definedName name="WillowTrees">Histogram!$C$9:$C$24</definedName>
    <definedName name="Worker">PivotbyCat!$D$20:$D$27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Grid">ZoneStat!$C$9:$F$12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31" i="24" l="1" a="1"/>
  <c r="H31" i="24" s="1"/>
  <c r="H15" i="24" a="1"/>
  <c r="H15" i="24" s="1"/>
  <c r="L17" i="23" a="1"/>
  <c r="L17" i="23" s="1"/>
  <c r="L11" i="23" a="1"/>
  <c r="L11" i="23" s="1"/>
  <c r="E11" i="23" a="1"/>
  <c r="E11" i="23" s="1"/>
  <c r="H11" i="22" a="1"/>
  <c r="H11" i="22" s="1"/>
  <c r="D9" i="22" a="1"/>
  <c r="D9" i="22" s="1"/>
  <c r="K20" i="20" a="1"/>
  <c r="K20" i="20" s="1"/>
  <c r="H11" i="20" a="1"/>
  <c r="H11" i="20" s="1"/>
  <c r="D20" i="20" a="1"/>
  <c r="D20" i="20" s="1"/>
  <c r="E9" i="20" a="1"/>
  <c r="E9" i="20" s="1"/>
  <c r="D9" i="20" a="1"/>
  <c r="D9" i="20" s="1"/>
  <c r="J10" i="21" a="1"/>
  <c r="J10" i="21" s="1"/>
  <c r="H10" i="21" a="1"/>
  <c r="H10" i="21" s="1"/>
  <c r="F10" i="21" a="1"/>
  <c r="F10" i="21" s="1"/>
  <c r="D10" i="21" a="1"/>
  <c r="D10" i="21" s="1"/>
  <c r="B10" i="21" a="1"/>
  <c r="B10" i="21" s="1"/>
  <c r="H15" i="19" a="1"/>
  <c r="H15" i="19" s="1"/>
  <c r="C15" i="19" a="1"/>
  <c r="C15" i="19" s="1"/>
  <c r="H19" i="11" a="1"/>
  <c r="H19" i="11" s="1"/>
  <c r="F16" i="10" a="1"/>
  <c r="F16" i="10" s="1"/>
  <c r="H23" i="18" a="1"/>
  <c r="H23" i="18" s="1"/>
  <c r="M16" i="18" a="1"/>
  <c r="M16" i="18" s="1"/>
  <c r="H16" i="18" a="1"/>
  <c r="H16" i="18" s="1"/>
  <c r="M9" i="18" a="1"/>
  <c r="M9" i="18" s="1"/>
  <c r="H9" i="18" a="1"/>
  <c r="H9" i="18" s="1"/>
  <c r="J19" i="17" a="1"/>
  <c r="J19" i="17" s="1"/>
  <c r="H19" i="17" a="1"/>
  <c r="H19" i="17" s="1"/>
  <c r="J9" i="17" a="1"/>
  <c r="J9" i="17" s="1"/>
  <c r="H9" i="17" a="1"/>
  <c r="H9" i="17" s="1"/>
  <c r="K28" i="15" a="1"/>
  <c r="K28" i="15" s="1"/>
  <c r="F28" i="15" a="1"/>
  <c r="F28" i="15" s="1"/>
  <c r="N10" i="15" a="1"/>
  <c r="N10" i="15" s="1"/>
  <c r="J10" i="15" a="1"/>
  <c r="J10" i="15" s="1"/>
  <c r="F10" i="15" a="1"/>
  <c r="F10" i="15" s="1"/>
  <c r="Q32" i="14" l="1" a="1"/>
  <c r="Q32" i="14" s="1"/>
  <c r="J32" i="14" a="1"/>
  <c r="J32" i="14" s="1"/>
  <c r="C32" i="14" a="1"/>
  <c r="C32" i="14" s="1"/>
  <c r="Q24" i="14" a="1"/>
  <c r="Q24" i="14" s="1"/>
  <c r="C24" i="14" a="1"/>
  <c r="C24" i="14" s="1"/>
  <c r="Q16" i="14" a="1"/>
  <c r="Q16" i="14" s="1"/>
  <c r="J16" i="14" a="1"/>
  <c r="J16" i="14" s="1"/>
  <c r="C16" i="14" a="1"/>
  <c r="C16" i="14" s="1"/>
  <c r="J30" i="13" a="1"/>
  <c r="J30" i="13" s="1"/>
  <c r="J14" i="13" a="1"/>
  <c r="J14" i="13" s="1"/>
  <c r="C14" i="13" a="1"/>
  <c r="C14" i="13" s="1"/>
  <c r="N29" i="12" a="1"/>
  <c r="N29" i="12" s="1"/>
  <c r="P19" i="12" a="1"/>
  <c r="P19" i="12" s="1"/>
  <c r="L19" i="12" a="1"/>
  <c r="L19" i="12" s="1"/>
  <c r="P22" i="13" l="1" a="1"/>
  <c r="P22" i="13" s="1"/>
  <c r="P14" i="13" a="1"/>
  <c r="P14" i="13" s="1"/>
  <c r="J22" i="13" a="1"/>
  <c r="J22" i="13" s="1"/>
  <c r="V14" i="13" a="1"/>
  <c r="V14" i="13" s="1"/>
  <c r="P9" i="12" a="1"/>
  <c r="P9" i="12" s="1"/>
  <c r="L9" i="12" a="1"/>
  <c r="L9" i="12" s="1"/>
  <c r="Q19" i="11" a="1"/>
  <c r="Q19" i="11" s="1"/>
  <c r="G37" i="10" a="1"/>
  <c r="G37" i="10" s="1"/>
  <c r="L16" i="10" a="1"/>
  <c r="L16" i="10" s="1"/>
  <c r="J26" i="10" a="1"/>
  <c r="J26" i="10" s="1"/>
  <c r="F26" i="10" a="1"/>
  <c r="F26" i="10" s="1"/>
  <c r="I16" i="10" a="1"/>
  <c r="I16" i="10" s="1"/>
  <c r="J38" i="9" a="1"/>
  <c r="J38" i="9" s="1"/>
  <c r="J29" i="9" a="1"/>
  <c r="J29" i="9" s="1"/>
  <c r="F29" i="9" a="1"/>
  <c r="F29" i="9" s="1"/>
  <c r="J15" i="9" a="1"/>
  <c r="J15" i="9" s="1"/>
  <c r="F15" i="9" a="1"/>
  <c r="F15" i="9" s="1"/>
  <c r="J19" i="8" l="1" a="1"/>
  <c r="J19" i="8" s="1"/>
  <c r="G19" i="8" a="1"/>
  <c r="G19" i="8" s="1"/>
  <c r="L10" i="8" a="1"/>
  <c r="L10" i="8" s="1"/>
  <c r="G10" i="8" a="1"/>
  <c r="G10" i="8" s="1"/>
  <c r="L19" i="8" l="1" a="1"/>
  <c r="L19" i="8" s="1"/>
  <c r="H26" i="7" a="1"/>
  <c r="H26" i="7" s="1"/>
  <c r="C26" i="7" a="1"/>
  <c r="C26" i="7" s="1"/>
  <c r="H18" i="7" a="1"/>
  <c r="H18" i="7" s="1"/>
  <c r="C18" i="7" a="1"/>
  <c r="C18" i="7" s="1"/>
  <c r="J36" i="5" a="1"/>
  <c r="J36" i="5" s="1"/>
  <c r="J27" i="5" a="1"/>
  <c r="J27" i="5" s="1"/>
  <c r="J18" i="5" a="1"/>
  <c r="J18" i="5" s="1"/>
  <c r="C31" i="5" a="1"/>
  <c r="C31" i="5" s="1"/>
  <c r="C27" i="5" a="1"/>
  <c r="C27" i="5" s="1"/>
  <c r="C22" i="5" a="1"/>
  <c r="C22" i="5" s="1"/>
  <c r="C18" i="5" a="1"/>
  <c r="C18" i="5" s="1"/>
  <c r="H15" i="4" a="1"/>
  <c r="H15" i="4" s="1"/>
  <c r="E11" i="4" a="1"/>
  <c r="E11" i="4" s="1"/>
  <c r="M32" i="3" a="1"/>
  <c r="M32" i="3" s="1"/>
  <c r="M28" i="3" a="1"/>
  <c r="M28" i="3" s="1"/>
  <c r="M24" i="3" a="1"/>
  <c r="M24" i="3" s="1"/>
  <c r="O11" i="3" a="1"/>
  <c r="O11" i="3" s="1"/>
  <c r="M11" i="3" a="1"/>
  <c r="M11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<sst xmlns="http://schemas.openxmlformats.org/spreadsheetml/2006/main" count="860" uniqueCount="576">
  <si>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</si>
  <si>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</si>
  <si>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</si>
  <si>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</si>
  <si>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</si>
  <si>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Grid Analytics</t>
  </si>
  <si>
    <t>Sequencing</t>
  </si>
  <si>
    <t>Streakλ</t>
  </si>
  <si>
    <t>Countdownλ</t>
  </si>
  <si>
    <t>Categorical Analysis</t>
  </si>
  <si>
    <t>ByDiagλ</t>
  </si>
  <si>
    <t>DiagMapλ</t>
  </si>
  <si>
    <t>DiagIndexλ</t>
  </si>
  <si>
    <t>Pairwiseλ</t>
  </si>
  <si>
    <t>GroupbyBinλ</t>
  </si>
  <si>
    <t>GroupbyDateλ</t>
  </si>
  <si>
    <t>PivotbyCatλ</t>
  </si>
  <si>
    <t>Neighborhoods</t>
  </si>
  <si>
    <t>Grainλ</t>
  </si>
  <si>
    <t>MooreAggλ</t>
  </si>
  <si>
    <t>MooreSelectλ</t>
  </si>
  <si>
    <t>Statistics</t>
  </si>
  <si>
    <t>Histogramλ</t>
  </si>
  <si>
    <t>Modeλ</t>
  </si>
  <si>
    <t>ZoneStatλ</t>
  </si>
  <si>
    <t>Grid Analytics is a collection of functions for elegant sequencing, categorical analysis, neighborhood‑based aggregation, and statistics.</t>
  </si>
  <si>
    <t>Computes streak counts of consecutive identical values in a 1D or 2D array.</t>
  </si>
  <si>
    <t>Generates countdown indices for contiguous runs in a 1D array.</t>
  </si>
  <si>
    <t>Applies an ETA function or Lambda to each diagonal of a 2D array.</t>
  </si>
  <si>
    <t>Extracts all diagonals from a 2D array and returns them as a 2D matrix.</t>
  </si>
  <si>
    <t>Extracts a single diagonal or anti‑diagonal vector from a 2D array.</t>
  </si>
  <si>
    <t>Creates vertical pairs from 1D and scalar inputs.</t>
  </si>
  <si>
    <t>Aggregates one or more value arrays into fixed‑width bins derived from a numeric field.</t>
  </si>
  <si>
    <t>Aggregates values by row fields containing dates, using a specified date/time interval (minute, hour, day, week, fortnight, month, quarter, year).</t>
  </si>
  <si>
    <t>Pivots data by row fields (detail + date), categories, and values.</t>
  </si>
  <si>
    <t>Downsamples a matrix by aggregating over non‑overlapping spatial blocks of size depth × width.</t>
  </si>
  <si>
    <t>Performs aggregation over Moore or von Neumann neighborhoods using an ETA‑compatible function (SUM, AVERAGE, MAX, MIN, MEDIAN, or a custom LAMBDA).</t>
  </si>
  <si>
    <t>Selects a specific neighbor (1-9) from the Moore neighborhood for each element in a matrix.</t>
  </si>
  <si>
    <t>Generates a histogram using automatic binning rules (Sturges, Rice, Scott, Freedman) depending on sample size and skewness.</t>
  </si>
  <si>
    <t>Returns a vertical array of the most frequently occurring values or text entries in an array.</t>
  </si>
  <si>
    <t>Aggregates values by "zones" determined by Histogramλ.</t>
  </si>
  <si>
    <t>Streakλ - Computes streak counts of consecutive identical values in a 1D or 2D array</t>
  </si>
  <si>
    <t>• input: array - 1D or 2D array</t>
  </si>
  <si>
    <t>Optional</t>
  </si>
  <si>
    <t>• Horizontal? - For 1D arrays, computes streaks column-wise instead of row-wise. Ignore for 2D arrays.</t>
  </si>
  <si>
    <t>• Include_Symbol - If TRUE, append the symbol to the streak count (e.g., W·1, W·2, L·1)</t>
  </si>
  <si>
    <t>W</t>
  </si>
  <si>
    <t>L</t>
  </si>
  <si>
    <t>Result</t>
  </si>
  <si>
    <t>=Streakλ(Result)</t>
  </si>
  <si>
    <t>Calculate Streak</t>
  </si>
  <si>
    <t>=Streakλ(Result,,TRUE)</t>
  </si>
  <si>
    <t>Calculate Streak (Include_Symbol = TRUE)</t>
  </si>
  <si>
    <t>ResultH</t>
  </si>
  <si>
    <t>=Streakλ(ResultH,TRUE)</t>
  </si>
  <si>
    <t>Calculate Streak (Horizontal? = TRUE)</t>
  </si>
  <si>
    <t>Calculate Streak (Horizontal? = TRUE, Include_Symbol? = TRUE)</t>
  </si>
  <si>
    <t>=Streakλ(ResultH,TRUE,TRUE)</t>
  </si>
  <si>
    <t>JP</t>
  </si>
  <si>
    <t>DH</t>
  </si>
  <si>
    <t>AB</t>
  </si>
  <si>
    <t>Schedule</t>
  </si>
  <si>
    <t>=Streakλ(Schedule,,TRUE)</t>
  </si>
  <si>
    <t>Calculate Streak on a 2D array (Recommended: Include_Symbol? = TRUE)</t>
  </si>
  <si>
    <t>For 2D arrays, Streakλ always computes streaks row‑wise.</t>
  </si>
  <si>
    <t>Countdownλ - Generates countdown indices for contiguous runs in a 1D array</t>
  </si>
  <si>
    <t>• input: vector - 1D array</t>
  </si>
  <si>
    <t>• Horizontal? - If omitted, output is vertical. If TRUE, output is returned horizontally.</t>
  </si>
  <si>
    <t>Outcome</t>
  </si>
  <si>
    <t>Win</t>
  </si>
  <si>
    <t>Draw</t>
  </si>
  <si>
    <t>Loss</t>
  </si>
  <si>
    <t>Countdownλ is the natural reverse of Streakλ.</t>
  </si>
  <si>
    <t>=Countdownλ(Outcome)</t>
  </si>
  <si>
    <t>Calculate Countdown</t>
  </si>
  <si>
    <t>OutcomeH</t>
  </si>
  <si>
    <t>=Countdownλ(OutcomeH,TRUE)</t>
  </si>
  <si>
    <t>Calculate Countdown (Horizontal? = TRUE)</t>
  </si>
  <si>
    <t>ByDiagλ - Applies an ETA function or Lambda to each diagonal of a 2D array</t>
  </si>
  <si>
    <t>• input: array - 2D input array (scalars not accepted)</t>
  </si>
  <si>
    <t>• function - ETA function or LAMBDA applied to each diagonal</t>
  </si>
  <si>
    <t>• row_wise_stack? - If TRUE, results are stacked vertically. Otherwise, diagonals are returned as columns.</t>
  </si>
  <si>
    <t>Grid</t>
  </si>
  <si>
    <t>=ByDiagλ(Grid,SUM)</t>
  </si>
  <si>
    <t>COUNT of diagonals</t>
  </si>
  <si>
    <t>SUM of diagonals</t>
  </si>
  <si>
    <t>=ByDiagλ(Grid,COUNT)</t>
  </si>
  <si>
    <t>=ByDiagλ(Grid,AVERAGE)</t>
  </si>
  <si>
    <t>AVERAGE of diagonals</t>
  </si>
  <si>
    <t>=ByDiagλ(Grid,LAMBDA(v,MAX(v)-MIN(v)))</t>
  </si>
  <si>
    <t>LAMBDA(v,MAX(v)-MIN(v))</t>
  </si>
  <si>
    <t>=ByDiagλ(Grid,SUM,TRUE)</t>
  </si>
  <si>
    <t>Sum of diagonals (row_wise_stack? = TRUE)</t>
  </si>
  <si>
    <t>=DiagMapλ(Grid)</t>
  </si>
  <si>
    <t>DiagMapλ is a convenience wrapper for returning diagonals</t>
  </si>
  <si>
    <t>DiagMapλ(Grid,TRUE)</t>
  </si>
  <si>
    <t>Return diagonals (row_wise_stack? = TRUE)</t>
  </si>
  <si>
    <t>DiagIndexλ - Extracts a single diagonal or anti‑diagonal vector from a 2D array</t>
  </si>
  <si>
    <t>• input: array - 2D array (scalars not accepted)</t>
  </si>
  <si>
    <t>• col_index - Starting column index. Negative values indicate anti-diagonal extraction.</t>
  </si>
  <si>
    <t>GridB</t>
  </si>
  <si>
    <t>=DiagIndexλ(GridB,4)</t>
  </si>
  <si>
    <t>Extract diagonal from column 4</t>
  </si>
  <si>
    <t>=DiagIndexλ(GridB,-4)</t>
  </si>
  <si>
    <t>Extract anti-diagonal from column 4</t>
  </si>
  <si>
    <t>=DiagIndexλ(GridB,1)</t>
  </si>
  <si>
    <t>Extract diagonal from column 1</t>
  </si>
  <si>
    <t>=DiagIndexλ(GridB,-1)</t>
  </si>
  <si>
    <t>Extract anti-diagonal from column 1</t>
  </si>
  <si>
    <t>Pairwiseλ - Creates vertical pairs from 1D and scalar inputs</t>
  </si>
  <si>
    <t>• vector_1 - 1D vector or scalar</t>
  </si>
  <si>
    <t>• vector_2 - 1D vector or scalar</t>
  </si>
  <si>
    <t>GroupA</t>
  </si>
  <si>
    <t>GroupB</t>
  </si>
  <si>
    <t>Crimson Falcons</t>
  </si>
  <si>
    <t>Silver Wolves</t>
  </si>
  <si>
    <t>Golden Tigers</t>
  </si>
  <si>
    <t>Shadow Panthers</t>
  </si>
  <si>
    <t>Iron Rhinos</t>
  </si>
  <si>
    <t>=Pairwiseλ(GroupA,GroupB)</t>
  </si>
  <si>
    <t>Pairwise matchups for GroupA and GroupB</t>
  </si>
  <si>
    <t>Team</t>
  </si>
  <si>
    <t>Deb</t>
  </si>
  <si>
    <t>Bob</t>
  </si>
  <si>
    <t>Jack</t>
  </si>
  <si>
    <t>Suzy</t>
  </si>
  <si>
    <t>=Pairwiseλ("Gail",Team)</t>
  </si>
  <si>
    <t>Pairwise 1-on-1 meetings - Gail with Team</t>
  </si>
  <si>
    <t>Gus</t>
  </si>
  <si>
    <t>Rusty</t>
  </si>
  <si>
    <t>Shirt</t>
  </si>
  <si>
    <t>Slacks</t>
  </si>
  <si>
    <t>Shorts</t>
  </si>
  <si>
    <t>Jacket</t>
  </si>
  <si>
    <t>Sizes</t>
  </si>
  <si>
    <t>Small</t>
  </si>
  <si>
    <t>Medium</t>
  </si>
  <si>
    <t>Large</t>
  </si>
  <si>
    <t>Item</t>
  </si>
  <si>
    <t>=Pairwiseλ(Item,Sizes)</t>
  </si>
  <si>
    <t>Pairwise Items and Sizes</t>
  </si>
  <si>
    <t>All possible Permutations with replacements</t>
  </si>
  <si>
    <t>GroupbyBinλ - Aggregates one or more value arrays into fixed‑width bins derived from a numeric field</t>
  </si>
  <si>
    <t>• values - Arrays to be aggregated (1D or 2D)</t>
  </si>
  <si>
    <t>• bin_width - Positive integer specifying bin width (≥ 1)</t>
  </si>
  <si>
    <t>• function - ETA-compatible function or single parameter LAMBDA</t>
  </si>
  <si>
    <t>• array - Numeric 1D array used to define bin boundaries</t>
  </si>
  <si>
    <t>Input</t>
  </si>
  <si>
    <t>• field_header - TRUE if input arrays include headers to be carried forward</t>
  </si>
  <si>
    <t>• chart_prep - TRUE to return concise chart-ready layout</t>
  </si>
  <si>
    <t>Age</t>
  </si>
  <si>
    <t>Height (inches)</t>
  </si>
  <si>
    <t>=GroupbyBinλ(Age,Height,10,AVERAGE)</t>
  </si>
  <si>
    <t>Group by Age, Average of Height (Bin_width = 10)</t>
  </si>
  <si>
    <t>=GroupbyBinλ(Age,Height,10,AVERAGE,,TRUE)</t>
  </si>
  <si>
    <t>=GroupbyBinλ(Age_,Height_,10,AVERAGE,TRUE)</t>
  </si>
  <si>
    <t>Include Headers</t>
  </si>
  <si>
    <t>Group by Age, Max of Height (Bin_width = 20)</t>
  </si>
  <si>
    <t>chart_prep = TRUE</t>
  </si>
  <si>
    <t>=GroupbyBinλ(Age,Height,20,MAX)</t>
  </si>
  <si>
    <t>=GroupbyBinλ(Age,Height,20,MIN)</t>
  </si>
  <si>
    <t>Group by Age, MIN of Height (Bin_width = 20)</t>
  </si>
  <si>
    <t>• row fields - Array (1D or 2D) with dates in the leftmost column</t>
  </si>
  <si>
    <t>• values - Array (1D or 2D) containing values for aggregation</t>
  </si>
  <si>
    <t>• interval - Date/time aggregation (number or text)</t>
  </si>
  <si>
    <t>Inputs</t>
  </si>
  <si>
    <t>• format - Custom date/time format string</t>
  </si>
  <si>
    <t>• field_headers - TRUE if input arrays include headers</t>
  </si>
  <si>
    <t>• filter_array - Boolean array to filter rows before aggregation</t>
  </si>
  <si>
    <t>Date</t>
  </si>
  <si>
    <t>Amount</t>
  </si>
  <si>
    <t>=GroupbyDateλ(Date,Amount,"month",SUM)</t>
  </si>
  <si>
    <t>Group Date by Month, SUM of Amount</t>
  </si>
  <si>
    <t>Numeric</t>
  </si>
  <si>
    <t>Text</t>
  </si>
  <si>
    <t>Totals</t>
  </si>
  <si>
    <t>minute</t>
  </si>
  <si>
    <t>hour</t>
  </si>
  <si>
    <t>day</t>
  </si>
  <si>
    <t>weekly</t>
  </si>
  <si>
    <t>biweekly</t>
  </si>
  <si>
    <t>monthly</t>
  </si>
  <si>
    <t>quarter</t>
  </si>
  <si>
    <t>yearly</t>
  </si>
  <si>
    <t>"mo"</t>
  </si>
  <si>
    <t>"min"</t>
  </si>
  <si>
    <t>"h"</t>
  </si>
  <si>
    <t>"d"</t>
  </si>
  <si>
    <t>"w"</t>
  </si>
  <si>
    <t>"q"</t>
  </si>
  <si>
    <t>"y"</t>
  </si>
  <si>
    <t>"fort"</t>
  </si>
  <si>
    <t>GroupbyDateλ - Aggregates values by row fields containing dates, using a specified date/time interval</t>
  </si>
  <si>
    <t>Interval Codes</t>
  </si>
  <si>
    <t>=GroupbyDateλ(Date,Amount,6,SUM)</t>
  </si>
  <si>
    <t>6 = monthly totals</t>
  </si>
  <si>
    <t>Time</t>
  </si>
  <si>
    <t>Reading</t>
  </si>
  <si>
    <t>=GroupbyDateλ(Time,Reading,1,AVERAGE,,TRUE)</t>
  </si>
  <si>
    <t>Group Time by Minute, AVERAGE of Reading (field_headers = TRUE)</t>
  </si>
  <si>
    <t>=GroupbyDateλ(Time,Reading,1,MIN,,TRUE)</t>
  </si>
  <si>
    <t>MIN</t>
  </si>
  <si>
    <t>=GroupbyDateλ(Date,Amount,6,SUM,"m/y")</t>
  </si>
  <si>
    <t>Format = "m/y"</t>
  </si>
  <si>
    <t>Department</t>
  </si>
  <si>
    <t>Entered Date</t>
  </si>
  <si>
    <t>Bonus</t>
  </si>
  <si>
    <t>Sales</t>
  </si>
  <si>
    <t>Legal</t>
  </si>
  <si>
    <t>Unknown</t>
  </si>
  <si>
    <t>=GroupbyDateλ(EnteredDate,Bonus,"y",MAX,,,Department&lt;&gt;"Unknown")</t>
  </si>
  <si>
    <t>Group Entered Date by Year, MAX of Bonus (filter_array excludes "Unknown")</t>
  </si>
  <si>
    <t>PivotbyCatλ - Pivots data by row fields (detail + date), categories, and values</t>
  </si>
  <si>
    <t>Categories are assumed to be pre‑concatenated using a delimiter.</t>
  </si>
  <si>
    <t>• row_detail - 1D array of non-date fields</t>
  </si>
  <si>
    <t>• row_dates - 1D array of dates</t>
  </si>
  <si>
    <t>• categories - 1D array of delimited category strings</t>
  </si>
  <si>
    <t>• values - 1D array of numeric values</t>
  </si>
  <si>
    <t>• delimiter - Delimiter used in the categories array</t>
  </si>
  <si>
    <t>• date_format - Format code for dates (default = "yyy")</t>
  </si>
  <si>
    <t>• function - ETA or LAMBDA aggregation function (default = SUM)</t>
  </si>
  <si>
    <t>Peg</t>
  </si>
  <si>
    <t>Sue</t>
  </si>
  <si>
    <t>Walt</t>
  </si>
  <si>
    <t>Willy</t>
  </si>
  <si>
    <t>Lucy</t>
  </si>
  <si>
    <t>Henry</t>
  </si>
  <si>
    <t>Liz</t>
  </si>
  <si>
    <t>Worker</t>
  </si>
  <si>
    <t>Hours</t>
  </si>
  <si>
    <t>Processed</t>
  </si>
  <si>
    <t>Sites</t>
  </si>
  <si>
    <t>C</t>
  </si>
  <si>
    <t>Values are divided evenly across repeated category rows.</t>
  </si>
  <si>
    <t>=PivotbyCatλ(Worker,Processed,Sites,Hours,", ","mmm y",COUNT)</t>
  </si>
  <si>
    <t>A, B, B</t>
  </si>
  <si>
    <t>B, C, C</t>
  </si>
  <si>
    <t>B, C, D, D</t>
  </si>
  <si>
    <t>D, B, A, B</t>
  </si>
  <si>
    <t>A, B, C, A</t>
  </si>
  <si>
    <t>A, B, C, B</t>
  </si>
  <si>
    <t>A, B, B, A</t>
  </si>
  <si>
    <t>COUNT (Sites are tallied)</t>
  </si>
  <si>
    <t>A, B, A, C, D</t>
  </si>
  <si>
    <t>Categories must be pre‑concatenated using the specified delimiter.</t>
  </si>
  <si>
    <t>Grainλ - Downsamples a matrix by aggregating over non‑overlapping spatial blocks of size depth × width</t>
  </si>
  <si>
    <t>• input: matrix - 2D array</t>
  </si>
  <si>
    <t>• depth: number of rows in each block</t>
  </si>
  <si>
    <t>• width: number of columns in each block</t>
  </si>
  <si>
    <t>MatrixDemo</t>
  </si>
  <si>
    <t>=Grainλ(MatrixDemo,2,4,SUM)</t>
  </si>
  <si>
    <t>=Grainλ(MatrixDemo,2,4,MAX)</t>
  </si>
  <si>
    <t>2 x 4 blocks (SUM)</t>
  </si>
  <si>
    <t>2 x 4 blocks (MAX)</t>
  </si>
  <si>
    <t>ElevationGrid</t>
  </si>
  <si>
    <t>=Grainλ(ElevationGrid,5,3,AVERAGE)</t>
  </si>
  <si>
    <t>5 x 3 blocks (AVERAGE)</t>
  </si>
  <si>
    <t>=Grainλ(ElevationGrid,5,3,COUNT)</t>
  </si>
  <si>
    <t>5 x 3 blocks (COUNT)</t>
  </si>
  <si>
    <t>Partial blocks on bottom and right edges</t>
  </si>
  <si>
    <t>=Grainλ(ElevationGrid,5,3,LAMBDA(v,AVERAGE(v)&gt;AVERAGE(ElevationGrid)))</t>
  </si>
  <si>
    <t>5 x 3 blocks (Compare block AVERAGE vs. ElevationGrid AVERAGE)</t>
  </si>
  <si>
    <t>• function: ETA or LAMBDA aggregation function</t>
  </si>
  <si>
    <t>• IsvonNeumann? - If TRUE, use von Neumann neighborhood</t>
  </si>
  <si>
    <t>• omit_center - If TRUE, exclude center cell from aggregation</t>
  </si>
  <si>
    <t>Moore</t>
  </si>
  <si>
    <t>von Neumann</t>
  </si>
  <si>
    <t>Input Grid</t>
  </si>
  <si>
    <t>MooreAggλ - Performs aggregation over Moore or von Neumann neighborhoods using an ETA‑compatible function</t>
  </si>
  <si>
    <t xml:space="preserve"> (SUM, AVERAGE, MAX, MIN, MEDIAN, or a custom LAMBDA)</t>
  </si>
  <si>
    <t>=MooreAggλ(C14#,COUNT)</t>
  </si>
  <si>
    <t>C14#</t>
  </si>
  <si>
    <t>=MooreAggλ(C14#,SUM)</t>
  </si>
  <si>
    <t>=MooreAggλ(C14#,SUM,TRUE)</t>
  </si>
  <si>
    <t>SUM</t>
  </si>
  <si>
    <t>COUNT</t>
  </si>
  <si>
    <t>SUM (IsvonNeumann? = TRUE)</t>
  </si>
  <si>
    <t>=MooreAggλ(C14#,COUNT,TRUE)</t>
  </si>
  <si>
    <t>COUNT (IsvonNeumann? = TRUE)</t>
  </si>
  <si>
    <t>SUM (omit_center = TRUE)</t>
  </si>
  <si>
    <t>=MooreAggλ(C14#,SUM,,TRUE)</t>
  </si>
  <si>
    <t>Board</t>
  </si>
  <si>
    <t>=MooreAggλ(Board,SUM,,TRUE)</t>
  </si>
  <si>
    <t>Each cell in input grid is the</t>
  </si>
  <si>
    <t>center of the neighborhood</t>
  </si>
  <si>
    <t>during aggregation.</t>
  </si>
  <si>
    <t>MooreSelectλ - Selects a specific neighbor (1-9) from the Moore neighborhood for each element in a matrix</t>
  </si>
  <si>
    <t>• neighbor - Integer 1-9 indicating which neighbor to return</t>
  </si>
  <si>
    <t>Neighborhood</t>
  </si>
  <si>
    <t>=MooreSelectλ(Neighborhood,1)</t>
  </si>
  <si>
    <t>=MooreSelectλ(Neighborhood,2)</t>
  </si>
  <si>
    <t>=MooreSelectλ(Neighborhood,3)</t>
  </si>
  <si>
    <t>=MooreSelectλ(Neighborhood,4)</t>
  </si>
  <si>
    <t>=MooreSelectλ(Neighborhood,6)</t>
  </si>
  <si>
    <t>=MooreSelectλ(Neighborhood,7)</t>
  </si>
  <si>
    <t>=MooreSelectλ(Neighborhood,8)</t>
  </si>
  <si>
    <t>=MooreSelectλ(Neighborhood,9)</t>
  </si>
  <si>
    <t>Northeast</t>
  </si>
  <si>
    <t>North</t>
  </si>
  <si>
    <t>Northwest</t>
  </si>
  <si>
    <t>West</t>
  </si>
  <si>
    <t>East</t>
  </si>
  <si>
    <t>Southwest</t>
  </si>
  <si>
    <t>South</t>
  </si>
  <si>
    <t>Southeast</t>
  </si>
  <si>
    <t>Neighbor 5 returns the input array</t>
  </si>
  <si>
    <t>Moore Neighborhood</t>
  </si>
  <si>
    <t>Histogramλ - Generates a histogram using automatic binning rules (Sturges, Rice, Scott, Freedman) depending on sample size and skewness</t>
  </si>
  <si>
    <t>• input: array - Numeric array (1D or 2D)</t>
  </si>
  <si>
    <t>• bin_width - fixed bin width (0 &lt; width ≤ 1000)</t>
  </si>
  <si>
    <t>• include_Pareto - If TRUE, include cumulative % column</t>
  </si>
  <si>
    <t>WillowTrees (Height in Feet)</t>
  </si>
  <si>
    <t>=Histogramλ(WillowTrees)</t>
  </si>
  <si>
    <t>Auto-bin</t>
  </si>
  <si>
    <t>=Histogramλ(WillowTrees,10)</t>
  </si>
  <si>
    <t>bin_width = 10</t>
  </si>
  <si>
    <t>=Histogramλ(WillowTrees,,TRUE)</t>
  </si>
  <si>
    <t>Auto-bin (include_Pareto = TRUE)</t>
  </si>
  <si>
    <t>=Histogramλ(Snowfall)</t>
  </si>
  <si>
    <t>Snowfall (Inches)</t>
  </si>
  <si>
    <t>=Histogramλ(Snowfall,,TRUE)</t>
  </si>
  <si>
    <t>Modeλ - Returns a vertical array of the most frequently occurring values or text entries in an array</t>
  </si>
  <si>
    <t>• include_totals - If TRUE, includes counts of frequent values</t>
  </si>
  <si>
    <t>MixedData</t>
  </si>
  <si>
    <t>Waldo</t>
  </si>
  <si>
    <t>=Modeλ(MixedData)</t>
  </si>
  <si>
    <t>Mode of MixedData</t>
  </si>
  <si>
    <t>=Modeλ(MixedData,TRUE)</t>
  </si>
  <si>
    <t>With include_totals = TRUE</t>
  </si>
  <si>
    <t>Good</t>
  </si>
  <si>
    <t>Average</t>
  </si>
  <si>
    <t>Rating</t>
  </si>
  <si>
    <t>Excellent</t>
  </si>
  <si>
    <t>Poor</t>
  </si>
  <si>
    <t>=Modeλ(Rating)</t>
  </si>
  <si>
    <t>Mode of Rating</t>
  </si>
  <si>
    <t>=Modeλ(Rating,TRUE)</t>
  </si>
  <si>
    <t>ZoneStatλ - Aggregates values by "zones" determined by Histogramλ</t>
  </si>
  <si>
    <t>• input: grid - Numeric array (1D or 2D)</t>
  </si>
  <si>
    <t>• function - ETA or LAMBDA aggregation function (Default = SUM)</t>
  </si>
  <si>
    <t>ZoneGrid</t>
  </si>
  <si>
    <t>=ZoneStatλ(ZoneGrid)</t>
  </si>
  <si>
    <t>=ZoneStatλ(ZoneGrid,COUNT)</t>
  </si>
  <si>
    <t>=ZoneStatλ(ZoneGrid,MAX)</t>
  </si>
  <si>
    <t>=ZoneStatλ(ZoneGrid,MIN)</t>
  </si>
  <si>
    <t>MAX</t>
  </si>
  <si>
    <t>=ZoneStatλ(ZoneGrid,LAMBDA(v,MAX(v)-MIN(v)))</t>
  </si>
  <si>
    <t>RANGE - LAMBDA(v,MAX(v)-MIN(v))</t>
  </si>
  <si>
    <t>J19#</t>
  </si>
  <si>
    <t>=Pairwiseλ(J19#,J19#)</t>
  </si>
  <si>
    <t>Zone aggregation indicated by colors.</t>
  </si>
  <si>
    <t>=PivotbyCatλ(Worker,Processed,Sites,Hours,", ","mmm y",SUM)</t>
  </si>
  <si>
    <t>Triplewiseλ</t>
  </si>
  <si>
    <t>Quadwiseλ</t>
  </si>
  <si>
    <t>Generates a Cartesian product from 3 sets</t>
  </si>
  <si>
    <t>Generates a Cartesian product from 4 sets</t>
  </si>
  <si>
    <t>Both functions generate Cartesian products of multiple sets</t>
  </si>
  <si>
    <t>• Triples and Quadruplets are returned in the same order the sets are supplied</t>
  </si>
  <si>
    <t>3 sets</t>
  </si>
  <si>
    <t>4 sets</t>
  </si>
  <si>
    <t>Colors</t>
  </si>
  <si>
    <t>Letters</t>
  </si>
  <si>
    <t>Numbers</t>
  </si>
  <si>
    <t>Animals</t>
  </si>
  <si>
    <t>Red</t>
  </si>
  <si>
    <t>A</t>
  </si>
  <si>
    <t>Lion</t>
  </si>
  <si>
    <t>Green</t>
  </si>
  <si>
    <t>B</t>
  </si>
  <si>
    <t>Bear</t>
  </si>
  <si>
    <t>Blue</t>
  </si>
  <si>
    <t>=Triplewiseλ(Colors,Letters,Numbers)</t>
  </si>
  <si>
    <t>=Quadwiseλ(Animals,Letters,Colors,Numbers)</t>
  </si>
  <si>
    <t>Instanceλ - Obtain the instance numbers for unsorted values in a 1D array with options for returning instances for horizontal vectors, and displaying instances in descending order.</t>
  </si>
  <si>
    <t>• vector - 1D array input (2D arrays are flattened)</t>
  </si>
  <si>
    <t>• [Horizontal?] - If TRUE, obtain instance numbers for horizontal vectors</t>
  </si>
  <si>
    <t>• [Descend?] - If TRUE, display instances in descending order</t>
  </si>
  <si>
    <t>Default - Ascend</t>
  </si>
  <si>
    <t>Descend</t>
  </si>
  <si>
    <t>Status</t>
  </si>
  <si>
    <t>=Instanceλ(Status)</t>
  </si>
  <si>
    <t>=Instanceλ(Status,,TRUE)</t>
  </si>
  <si>
    <t>Activity</t>
  </si>
  <si>
    <t>Run</t>
  </si>
  <si>
    <t>Lift</t>
  </si>
  <si>
    <t>Climb</t>
  </si>
  <si>
    <t>Walk</t>
  </si>
  <si>
    <t>Start</t>
  </si>
  <si>
    <t>Horizontal</t>
  </si>
  <si>
    <t>=Instanceλ(Activity,TRUE)</t>
  </si>
  <si>
    <t>Pause</t>
  </si>
  <si>
    <t>Stop</t>
  </si>
  <si>
    <t>2D inputs are flattened first</t>
  </si>
  <si>
    <t>Weather</t>
  </si>
  <si>
    <t>=Instanceλ(Weather)</t>
  </si>
  <si>
    <t>Sunny</t>
  </si>
  <si>
    <t>Lose</t>
  </si>
  <si>
    <t>Snow</t>
  </si>
  <si>
    <t>Idle</t>
  </si>
  <si>
    <t>Rain</t>
  </si>
  <si>
    <t>Cloudy</t>
  </si>
  <si>
    <t>Waveλ - Returns a vertical 1D "wave array" by supplying a crest (max value) and an optional rep_count</t>
  </si>
  <si>
    <t>• crest - max value in 1D wave array</t>
  </si>
  <si>
    <t>• [rep_count] - number of times to repeat each integer in wave array. If omitted, defaults to no repetition.</t>
  </si>
  <si>
    <t>Crest = 3</t>
  </si>
  <si>
    <t>Crest = 2</t>
  </si>
  <si>
    <t>Crest = 6</t>
  </si>
  <si>
    <t>rep_count = 3</t>
  </si>
  <si>
    <t>Crest = 10</t>
  </si>
  <si>
    <t>rep_count = 8</t>
  </si>
  <si>
    <t>rep_count = 2</t>
  </si>
  <si>
    <t>=Waveλ(3)</t>
  </si>
  <si>
    <t>=Waveλ(3,3)</t>
  </si>
  <si>
    <t>=Waveλ(10)</t>
  </si>
  <si>
    <t>=Waveλ(2,8)</t>
  </si>
  <si>
    <t>=Waveλ(6,2)</t>
  </si>
  <si>
    <t>GroupIndexλ - Assign numerical group indices to a 1D array (horizontal or vertical). 2D arrays are flattened vertically before indices are assigned.</t>
  </si>
  <si>
    <t>• vector - 1D array containing values to be placed in numerical groups</t>
  </si>
  <si>
    <t>• [Horizontal?] - TRUE = horizontal output; omitted = vertical</t>
  </si>
  <si>
    <t>Groups</t>
  </si>
  <si>
    <t>=GroupIndexλ(Groups)</t>
  </si>
  <si>
    <t>Vehicles</t>
  </si>
  <si>
    <t>Sedan</t>
  </si>
  <si>
    <t>Jeep</t>
  </si>
  <si>
    <t>Coupe</t>
  </si>
  <si>
    <t>Truck</t>
  </si>
  <si>
    <t>Motorcycle</t>
  </si>
  <si>
    <t>=GroupIndexλ(Vehicles,TRUE)</t>
  </si>
  <si>
    <t>D</t>
  </si>
  <si>
    <t>Occurrenceλ - Selects the Nᵀᴴ_occurrences of rows from a specified 2D array by locating the Nᵀᴴ instance from a crit_vector</t>
  </si>
  <si>
    <t>• array - 2D array</t>
  </si>
  <si>
    <t>• crit_vector - 1D array defining the structure</t>
  </si>
  <si>
    <t>• Nᵀᴴ_occurrence - Integer of selected occurrences (e.g. 1 - n)</t>
  </si>
  <si>
    <t>Results are returned in order of appearance and not sorted.</t>
  </si>
  <si>
    <t>RegionData</t>
  </si>
  <si>
    <t>Second Occurrence</t>
  </si>
  <si>
    <t>TeamData</t>
  </si>
  <si>
    <t>Third Occurrence</t>
  </si>
  <si>
    <t>Region</t>
  </si>
  <si>
    <t>Agent</t>
  </si>
  <si>
    <t>=Occurrenceλ(RegionData,Region,2)</t>
  </si>
  <si>
    <t>Player</t>
  </si>
  <si>
    <t>Lee</t>
  </si>
  <si>
    <t>Buffalos</t>
  </si>
  <si>
    <t>Johnson</t>
  </si>
  <si>
    <t>Smith</t>
  </si>
  <si>
    <t>Bailey</t>
  </si>
  <si>
    <t>Scorpions</t>
  </si>
  <si>
    <t>Drabeck</t>
  </si>
  <si>
    <t>Shaw</t>
  </si>
  <si>
    <t>Phipps</t>
  </si>
  <si>
    <t>Wilks</t>
  </si>
  <si>
    <t>Pull last occurrences with -1 (Similar to TAKE)</t>
  </si>
  <si>
    <t>Cruz</t>
  </si>
  <si>
    <t>Frogs</t>
  </si>
  <si>
    <t>Grant</t>
  </si>
  <si>
    <t>Shelby</t>
  </si>
  <si>
    <t>Chambers</t>
  </si>
  <si>
    <t>Thomas</t>
  </si>
  <si>
    <t>Jamison</t>
  </si>
  <si>
    <t>Mustangs</t>
  </si>
  <si>
    <t>Murphy</t>
  </si>
  <si>
    <t>Reed</t>
  </si>
  <si>
    <t>OccurrenceRangeλ - Selects a range of occurrences of rows from a specified 2D array by locating the Nᵀᴴ instances from a crit_vector</t>
  </si>
  <si>
    <t>• start_occurrence - Starting integer of occurrences</t>
  </si>
  <si>
    <t>• [end_occurrence] - Ending integer of occurrences. If omitted, the selection of occurrences = start_occurrence ~ end of array.</t>
  </si>
  <si>
    <t>• [Horizontal?] - TRUE = select occurrence range from horizontally arranged data</t>
  </si>
  <si>
    <t>Negative integers are rejected for start and end occurrences.</t>
  </si>
  <si>
    <t>MVP</t>
  </si>
  <si>
    <t>First 3 MVP seasons from each position</t>
  </si>
  <si>
    <t>Year</t>
  </si>
  <si>
    <t>Position</t>
  </si>
  <si>
    <t>=OccurrenceRangeλ(MVP,Position,1,3)</t>
  </si>
  <si>
    <t>FB</t>
  </si>
  <si>
    <t>Jim Brown</t>
  </si>
  <si>
    <t>Cleveland Browns</t>
  </si>
  <si>
    <t>QB</t>
  </si>
  <si>
    <t>Johnny Unitas</t>
  </si>
  <si>
    <t>Baltimore Colts</t>
  </si>
  <si>
    <t>HB</t>
  </si>
  <si>
    <t>Paul Hornung</t>
  </si>
  <si>
    <t>Green Bay Packers</t>
  </si>
  <si>
    <t>Jim Taylor</t>
  </si>
  <si>
    <t>Y.A. Tittle</t>
  </si>
  <si>
    <t>New York Giants</t>
  </si>
  <si>
    <t>Bart Starr</t>
  </si>
  <si>
    <t>Earl Morrall</t>
  </si>
  <si>
    <t>Roman Gabriel</t>
  </si>
  <si>
    <t>Los Angeles Rams</t>
  </si>
  <si>
    <t>John Brodie</t>
  </si>
  <si>
    <t>San Francisco 49ers</t>
  </si>
  <si>
    <t>RDT</t>
  </si>
  <si>
    <t>Alan Page</t>
  </si>
  <si>
    <t>Minnesota Vikings</t>
  </si>
  <si>
    <t>RB</t>
  </si>
  <si>
    <t>Larry Brown</t>
  </si>
  <si>
    <t>Washington Redskins</t>
  </si>
  <si>
    <t>MVP Seasons for players with 3 or more awards - displaying 3rd MVP season and beyond</t>
  </si>
  <si>
    <t>O.J. Simpson</t>
  </si>
  <si>
    <t>Buffalo Bills</t>
  </si>
  <si>
    <t>=OccurrenceRangeλ(MVP,Player,3)</t>
  </si>
  <si>
    <t>Ken Stabler</t>
  </si>
  <si>
    <t>Oakland Raiders</t>
  </si>
  <si>
    <t>Fran Tarkenton</t>
  </si>
  <si>
    <t>Bert Jones</t>
  </si>
  <si>
    <t>Walter Payton</t>
  </si>
  <si>
    <t>Chicago Bears</t>
  </si>
  <si>
    <t>Terry Bradshaw</t>
  </si>
  <si>
    <t>Pittsburgh Steelers</t>
  </si>
  <si>
    <t>Earl Campbell</t>
  </si>
  <si>
    <t>Houston Oilers</t>
  </si>
  <si>
    <t>Brian Sipe</t>
  </si>
  <si>
    <t>Ken Anderson</t>
  </si>
  <si>
    <t>Cincinnati Bengals</t>
  </si>
  <si>
    <t>K</t>
  </si>
  <si>
    <t>Mark Moseley</t>
  </si>
  <si>
    <t>Joe Theismann</t>
  </si>
  <si>
    <t>Dan Marino</t>
  </si>
  <si>
    <t>Miami Dolphins</t>
  </si>
  <si>
    <t>Marcus Allen</t>
  </si>
  <si>
    <t>Los Angeles Raiders</t>
  </si>
  <si>
    <t>ROLB</t>
  </si>
  <si>
    <t>Lawrence Taylor</t>
  </si>
  <si>
    <t>John Elway</t>
  </si>
  <si>
    <t>Denver Broncos</t>
  </si>
  <si>
    <t>Boomer Esiason</t>
  </si>
  <si>
    <t>Joe Montana</t>
  </si>
  <si>
    <t>Thurman Thomas</t>
  </si>
  <si>
    <t>Steve Young</t>
  </si>
  <si>
    <t>Emmitt Smith</t>
  </si>
  <si>
    <t>Dallas Cowboys</t>
  </si>
  <si>
    <t>Brett Favre</t>
  </si>
  <si>
    <t>Barry Sanders</t>
  </si>
  <si>
    <t>Detroit Lions</t>
  </si>
  <si>
    <t>Terrell Davis</t>
  </si>
  <si>
    <t>Kurt Warner</t>
  </si>
  <si>
    <t>St. Louis Rams</t>
  </si>
  <si>
    <t>Marshall Faulk</t>
  </si>
  <si>
    <t>Rich Gannon</t>
  </si>
  <si>
    <t>Steve McNair</t>
  </si>
  <si>
    <t>Tennessee Titans</t>
  </si>
  <si>
    <t>Peyton Manning</t>
  </si>
  <si>
    <t>Indianapolis Colts</t>
  </si>
  <si>
    <t>Shaun Alexander</t>
  </si>
  <si>
    <t>Seattle Seahawks</t>
  </si>
  <si>
    <t>LaDainian Tomlinson</t>
  </si>
  <si>
    <t>San Diego Chargers</t>
  </si>
  <si>
    <t>Tom Brady</t>
  </si>
  <si>
    <t>New England Patriots</t>
  </si>
  <si>
    <t>Aaron Rodgers</t>
  </si>
  <si>
    <t>Adrian Peterson</t>
  </si>
  <si>
    <t>Cam Newton</t>
  </si>
  <si>
    <t>Carolina Panthers</t>
  </si>
  <si>
    <t>Matt Ryan</t>
  </si>
  <si>
    <t>Atlanta Falcons</t>
  </si>
  <si>
    <t>Patrick Mahomes</t>
  </si>
  <si>
    <t>Kansas City Chiefs</t>
  </si>
  <si>
    <t>Lamar Jackson</t>
  </si>
  <si>
    <t>Baltimore Ravens</t>
  </si>
  <si>
    <t>Josh Allen</t>
  </si>
  <si>
    <t>Matthew Stafford</t>
  </si>
  <si>
    <t>Decision</t>
  </si>
  <si>
    <t>=Instanceλ(Decision)</t>
  </si>
  <si>
    <t>Club</t>
  </si>
  <si>
    <t>=Occurrenceλ(TeamData,Club,3)</t>
  </si>
  <si>
    <t>=Occurrenceλ(TeamData,Club,-1)</t>
  </si>
  <si>
    <t>Instanceλ</t>
  </si>
  <si>
    <t>Waveλ</t>
  </si>
  <si>
    <t>GroupIndexλ</t>
  </si>
  <si>
    <t>Occurrenceλ</t>
  </si>
  <si>
    <t>OccurrenceRangeλ</t>
  </si>
  <si>
    <t>Obtain the instance numbers for unsorted values in a 1D array</t>
  </si>
  <si>
    <t>Returns a vertical 1D "wave array" by supplying a crest (max value) and an optional rep_count</t>
  </si>
  <si>
    <t>Assign numerical group indices to a 1D array (horizontal or vertical)</t>
  </si>
  <si>
    <t>Selects the Nᵀᴴ_occurrences of rows from a specified 2D array by locating the Nᵀᴴ instance from a crit_vector</t>
  </si>
  <si>
    <t>Selects a range of occurrences of rows from a specified 2D array by locating the Nᵀᴴ instances from a crit_vector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</si>
</sst>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F400]h:mm:ss\ AM/PM"/>
    <numFmt numFmtId="165" formatCode=".000"/>
    <numFmt numFmtId="166" formatCode="0.0"/>
  </numFmts>
  <fonts count="16" x14ac:knownFonts="1">
    <font>
      <sz val="11"/>
      <color theme="1"/>
      <name val="Segoe UI Variable Display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sz val="11"/>
      <color theme="1"/>
      <name val="Segoe UI Variable Display"/>
      <family val="2"/>
    </font>
    <font>
      <b/>
      <sz val="11"/>
      <color indexed="8"/>
      <name val="Segoe UI Variable Display"/>
    </font>
    <font>
      <i/>
      <sz val="11"/>
      <color theme="1"/>
      <name val="Segoe UI Variable Display"/>
    </font>
    <font>
      <sz val="10"/>
      <color theme="1"/>
      <name val="Segoe UI Variable Display"/>
      <family val="2"/>
    </font>
    <font>
      <i/>
      <sz val="10"/>
      <color theme="1"/>
      <name val="Segoe UI Variable Display"/>
    </font>
    <font>
      <sz val="11"/>
      <color theme="1"/>
      <name val="Bahnschrift"/>
      <family val="2"/>
    </font>
    <font>
      <b/>
      <sz val="10"/>
      <color theme="1"/>
      <name val="Segoe UI Variable Display"/>
    </font>
    <font>
      <sz val="10"/>
      <color theme="1"/>
      <name val="Segoe UI Variable Display"/>
    </font>
    <font>
      <b/>
      <sz val="10"/>
      <color theme="1"/>
      <name val="Bahnschrift"/>
      <family val="2"/>
    </font>
    <font>
      <b/>
      <i/>
      <sz val="10"/>
      <color theme="1"/>
      <name val="Segoe UI Variable Display"/>
    </font>
    <font>
      <i/>
      <sz val="10"/>
      <color indexed="8"/>
      <name val="Segoe UI Variable Display"/>
    </font>
    <font>
      <sz val="10"/>
      <color theme="1"/>
      <name val="Bahnschrift"/>
      <family val="2"/>
    </font>
    <font>
      <sz val="9"/>
      <color theme="1"/>
      <name val="Segoe UI Variable Display"/>
    </font>
  </fonts>
  <fills count="34">
    <fill>
      <patternFill patternType="none"/>
    </fill>
    <fill>
      <patternFill patternType="gray125"/>
    </fill>
    <fill>
      <patternFill patternType="solid">
        <fgColor rgb="FFC7D4E5"/>
        <bgColor indexed="64"/>
      </patternFill>
    </fill>
    <fill>
      <patternFill patternType="solid">
        <fgColor rgb="FFB8DAD2"/>
        <bgColor indexed="64"/>
      </patternFill>
    </fill>
    <fill>
      <patternFill patternType="solid">
        <fgColor rgb="FFF4D9A6"/>
        <bgColor indexed="64"/>
      </patternFill>
    </fill>
    <fill>
      <patternFill patternType="solid">
        <fgColor rgb="FFD7CDE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9BFB9"/>
        <bgColor indexed="64"/>
      </patternFill>
    </fill>
    <fill>
      <patternFill patternType="solid">
        <fgColor rgb="FFEFC3EB"/>
        <bgColor indexed="64"/>
      </patternFill>
    </fill>
    <fill>
      <patternFill patternType="solid">
        <fgColor rgb="FFF1A983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7BDF87"/>
        <bgColor indexed="64"/>
      </patternFill>
    </fill>
    <fill>
      <patternFill patternType="solid">
        <fgColor rgb="FFFEB8B4"/>
        <bgColor indexed="64"/>
      </patternFill>
    </fill>
    <fill>
      <patternFill patternType="solid">
        <fgColor rgb="FFA9C8E8"/>
        <bgColor indexed="64"/>
      </patternFill>
    </fill>
    <fill>
      <patternFill patternType="solid">
        <fgColor rgb="FF8CC5C1"/>
        <bgColor indexed="64"/>
      </patternFill>
    </fill>
    <fill>
      <patternFill patternType="solid">
        <fgColor rgb="FFA7DED3"/>
        <bgColor indexed="64"/>
      </patternFill>
    </fill>
    <fill>
      <patternFill patternType="solid">
        <fgColor rgb="FFB7D9B1"/>
        <bgColor indexed="64"/>
      </patternFill>
    </fill>
    <fill>
      <patternFill patternType="solid">
        <fgColor rgb="FFD2D8A3"/>
        <bgColor indexed="64"/>
      </patternFill>
    </fill>
    <fill>
      <patternFill patternType="solid">
        <fgColor rgb="FFE8D7A1"/>
        <bgColor indexed="64"/>
      </patternFill>
    </fill>
    <fill>
      <patternFill patternType="solid">
        <fgColor rgb="FFE6C9A8"/>
        <bgColor indexed="64"/>
      </patternFill>
    </fill>
    <fill>
      <patternFill patternType="solid">
        <fgColor rgb="FFE8B7A9"/>
        <bgColor indexed="64"/>
      </patternFill>
    </fill>
    <fill>
      <patternFill patternType="solid">
        <fgColor rgb="FFD9A8B8"/>
        <bgColor indexed="64"/>
      </patternFill>
    </fill>
    <fill>
      <patternFill patternType="solid">
        <fgColor rgb="FFC7B7D9"/>
        <bgColor indexed="64"/>
      </patternFill>
    </fill>
    <fill>
      <patternFill patternType="solid">
        <fgColor rgb="FFB8C2E6"/>
        <bgColor indexed="64"/>
      </patternFill>
    </fill>
    <fill>
      <patternFill patternType="solid">
        <fgColor rgb="FFC4CCD4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/>
      <bottom style="thick">
        <color rgb="FFC0C0C0"/>
      </bottom>
      <diagonal/>
    </border>
    <border>
      <left/>
      <right/>
      <top/>
      <bottom style="thick">
        <color rgb="FFC0C0C0"/>
      </bottom>
      <diagonal/>
    </border>
    <border>
      <left/>
      <right style="thin">
        <color rgb="FFC0C0C0"/>
      </right>
      <top/>
      <bottom style="thick">
        <color rgb="FFC0C0C0"/>
      </bottom>
      <diagonal/>
    </border>
    <border>
      <left style="thick">
        <color rgb="FFC0C0C0"/>
      </left>
      <right style="thick">
        <color rgb="FFC0C0C0"/>
      </right>
      <top style="thick">
        <color rgb="FFC0C0C0"/>
      </top>
      <bottom style="thick">
        <color rgb="FFC0C0C0"/>
      </bottom>
      <diagonal/>
    </border>
    <border>
      <left style="thin">
        <color theme="3" tint="0.499984740745262"/>
      </left>
      <right style="thin">
        <color theme="3" tint="0.499984740745262"/>
      </right>
      <top style="thin">
        <color theme="3" tint="0.499984740745262"/>
      </top>
      <bottom style="thin">
        <color theme="3" tint="0.499984740745262"/>
      </bottom>
      <diagonal/>
    </border>
    <border>
      <left style="thin">
        <color theme="5" tint="0.39991454817346722"/>
      </left>
      <right style="thin">
        <color theme="5" tint="0.39991454817346722"/>
      </right>
      <top style="thin">
        <color theme="5" tint="0.39991454817346722"/>
      </top>
      <bottom style="thin">
        <color theme="5" tint="0.39991454817346722"/>
      </bottom>
      <diagonal/>
    </border>
    <border>
      <left style="thin">
        <color theme="6" tint="0.59996337778862885"/>
      </left>
      <right style="thin">
        <color theme="6" tint="0.59996337778862885"/>
      </right>
      <top style="thin">
        <color theme="6" tint="0.59996337778862885"/>
      </top>
      <bottom style="thin">
        <color theme="6" tint="0.59996337778862885"/>
      </bottom>
      <diagonal/>
    </border>
    <border>
      <left style="thick">
        <color rgb="FFC0C0C0"/>
      </left>
      <right style="thin">
        <color rgb="FFC0C0C0"/>
      </right>
      <top style="thick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ck">
        <color rgb="FFC0C0C0"/>
      </top>
      <bottom style="thin">
        <color rgb="FFC0C0C0"/>
      </bottom>
      <diagonal/>
    </border>
    <border>
      <left style="thin">
        <color rgb="FFC0C0C0"/>
      </left>
      <right style="thick">
        <color rgb="FFC0C0C0"/>
      </right>
      <top style="thick">
        <color rgb="FFC0C0C0"/>
      </top>
      <bottom style="thin">
        <color rgb="FFC0C0C0"/>
      </bottom>
      <diagonal/>
    </border>
    <border>
      <left style="thick">
        <color rgb="FFC0C0C0"/>
      </left>
      <right style="thin">
        <color rgb="FFC0C0C0"/>
      </right>
      <top style="thin">
        <color rgb="FFC0C0C0"/>
      </top>
      <bottom style="thick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ck">
        <color rgb="FFC0C0C0"/>
      </bottom>
      <diagonal/>
    </border>
    <border>
      <left style="thin">
        <color rgb="FFC0C0C0"/>
      </left>
      <right style="thick">
        <color rgb="FFC0C0C0"/>
      </right>
      <top style="thin">
        <color rgb="FFC0C0C0"/>
      </top>
      <bottom style="thick">
        <color rgb="FFC0C0C0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rgb="FFC0C0C0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19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wrapText="1"/>
    </xf>
    <xf numFmtId="0" fontId="1" fillId="0" borderId="0" xfId="0" applyFont="1" applyAlignment="1">
      <alignment horizontal="center"/>
    </xf>
    <xf numFmtId="0" fontId="8" fillId="0" borderId="0" xfId="0" applyFont="1"/>
    <xf numFmtId="0" fontId="8" fillId="0" borderId="1" xfId="0" applyFont="1" applyBorder="1" applyAlignment="1">
      <alignment horizontal="center"/>
    </xf>
    <xf numFmtId="0" fontId="2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5" fillId="0" borderId="6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3" xfId="0" applyBorder="1"/>
    <xf numFmtId="0" fontId="9" fillId="0" borderId="0" xfId="0" applyFont="1"/>
    <xf numFmtId="0" fontId="7" fillId="0" borderId="0" xfId="0" applyFont="1"/>
    <xf numFmtId="0" fontId="6" fillId="0" borderId="0" xfId="0" quotePrefix="1" applyFont="1"/>
    <xf numFmtId="0" fontId="8" fillId="0" borderId="0" xfId="0" applyFont="1" applyAlignment="1">
      <alignment horizontal="center"/>
    </xf>
    <xf numFmtId="0" fontId="5" fillId="0" borderId="0" xfId="0" applyFont="1"/>
    <xf numFmtId="0" fontId="0" fillId="0" borderId="12" xfId="0" applyBorder="1"/>
    <xf numFmtId="0" fontId="0" fillId="0" borderId="0" xfId="0" quotePrefix="1"/>
    <xf numFmtId="0" fontId="6" fillId="0" borderId="0" xfId="0" applyFont="1"/>
    <xf numFmtId="0" fontId="7" fillId="0" borderId="4" xfId="0" applyFont="1" applyBorder="1"/>
    <xf numFmtId="0" fontId="9" fillId="0" borderId="4" xfId="0" applyFont="1" applyBorder="1"/>
    <xf numFmtId="0" fontId="4" fillId="0" borderId="3" xfId="0" applyFont="1" applyBorder="1"/>
    <xf numFmtId="0" fontId="7" fillId="0" borderId="8" xfId="0" applyFont="1" applyBorder="1"/>
    <xf numFmtId="0" fontId="8" fillId="0" borderId="1" xfId="0" applyFont="1" applyBorder="1"/>
    <xf numFmtId="0" fontId="8" fillId="6" borderId="1" xfId="0" applyFont="1" applyFill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0" fontId="8" fillId="9" borderId="1" xfId="0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0" fontId="8" fillId="10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8" fillId="0" borderId="3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6" fillId="0" borderId="9" xfId="0" quotePrefix="1" applyFont="1" applyBorder="1"/>
    <xf numFmtId="0" fontId="8" fillId="0" borderId="18" xfId="0" applyFont="1" applyBorder="1" applyAlignment="1">
      <alignment horizontal="center"/>
    </xf>
    <xf numFmtId="0" fontId="8" fillId="0" borderId="19" xfId="0" applyFont="1" applyBorder="1" applyAlignment="1">
      <alignment horizontal="center"/>
    </xf>
    <xf numFmtId="0" fontId="8" fillId="0" borderId="20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18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0" borderId="4" xfId="0" applyFont="1" applyBorder="1"/>
    <xf numFmtId="0" fontId="11" fillId="0" borderId="0" xfId="0" applyFont="1"/>
    <xf numFmtId="0" fontId="8" fillId="0" borderId="9" xfId="0" applyFont="1" applyBorder="1"/>
    <xf numFmtId="0" fontId="7" fillId="0" borderId="6" xfId="0" applyFont="1" applyBorder="1" applyAlignment="1">
      <alignment horizontal="right"/>
    </xf>
    <xf numFmtId="0" fontId="8" fillId="0" borderId="11" xfId="0" applyFont="1" applyBorder="1"/>
    <xf numFmtId="0" fontId="8" fillId="0" borderId="13" xfId="0" applyFont="1" applyBorder="1"/>
    <xf numFmtId="0" fontId="7" fillId="0" borderId="0" xfId="0" applyFont="1" applyAlignment="1">
      <alignment horizontal="center"/>
    </xf>
    <xf numFmtId="0" fontId="8" fillId="3" borderId="1" xfId="0" applyFont="1" applyFill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12" fillId="0" borderId="0" xfId="0" applyFont="1"/>
    <xf numFmtId="14" fontId="8" fillId="0" borderId="1" xfId="0" applyNumberFormat="1" applyFont="1" applyBorder="1"/>
    <xf numFmtId="164" fontId="8" fillId="0" borderId="1" xfId="0" applyNumberFormat="1" applyFont="1" applyBorder="1"/>
    <xf numFmtId="165" fontId="8" fillId="0" borderId="1" xfId="0" applyNumberFormat="1" applyFont="1" applyBorder="1"/>
    <xf numFmtId="19" fontId="8" fillId="0" borderId="1" xfId="0" applyNumberFormat="1" applyFont="1" applyBorder="1"/>
    <xf numFmtId="0" fontId="0" fillId="0" borderId="4" xfId="0" applyBorder="1" applyAlignment="1">
      <alignment horizontal="center"/>
    </xf>
    <xf numFmtId="14" fontId="8" fillId="0" borderId="9" xfId="0" applyNumberFormat="1" applyFont="1" applyBorder="1"/>
    <xf numFmtId="14" fontId="8" fillId="0" borderId="4" xfId="0" applyNumberFormat="1" applyFont="1" applyBorder="1"/>
    <xf numFmtId="0" fontId="8" fillId="0" borderId="6" xfId="0" applyFont="1" applyBorder="1"/>
    <xf numFmtId="0" fontId="9" fillId="0" borderId="0" xfId="0" quotePrefix="1" applyFont="1"/>
    <xf numFmtId="0" fontId="8" fillId="14" borderId="1" xfId="0" applyFont="1" applyFill="1" applyBorder="1" applyAlignment="1">
      <alignment horizontal="center"/>
    </xf>
    <xf numFmtId="0" fontId="8" fillId="15" borderId="1" xfId="0" applyFont="1" applyFill="1" applyBorder="1" applyAlignment="1">
      <alignment horizontal="center"/>
    </xf>
    <xf numFmtId="0" fontId="8" fillId="4" borderId="22" xfId="0" applyFont="1" applyFill="1" applyBorder="1" applyAlignment="1">
      <alignment horizontal="center" vertical="center"/>
    </xf>
    <xf numFmtId="0" fontId="8" fillId="4" borderId="23" xfId="0" applyFont="1" applyFill="1" applyBorder="1" applyAlignment="1">
      <alignment horizontal="center" vertical="center"/>
    </xf>
    <xf numFmtId="0" fontId="8" fillId="4" borderId="24" xfId="0" applyFont="1" applyFill="1" applyBorder="1" applyAlignment="1">
      <alignment horizontal="center" vertical="center"/>
    </xf>
    <xf numFmtId="0" fontId="8" fillId="17" borderId="22" xfId="0" applyFont="1" applyFill="1" applyBorder="1" applyAlignment="1">
      <alignment horizontal="center" vertical="center"/>
    </xf>
    <xf numFmtId="0" fontId="8" fillId="17" borderId="23" xfId="0" applyFont="1" applyFill="1" applyBorder="1" applyAlignment="1">
      <alignment horizontal="center" vertical="center"/>
    </xf>
    <xf numFmtId="0" fontId="8" fillId="17" borderId="24" xfId="0" applyFont="1" applyFill="1" applyBorder="1" applyAlignment="1">
      <alignment horizontal="center" vertical="center"/>
    </xf>
    <xf numFmtId="0" fontId="8" fillId="4" borderId="25" xfId="0" applyFont="1" applyFill="1" applyBorder="1" applyAlignment="1">
      <alignment horizontal="center" vertical="center"/>
    </xf>
    <xf numFmtId="0" fontId="8" fillId="4" borderId="26" xfId="0" applyFont="1" applyFill="1" applyBorder="1" applyAlignment="1">
      <alignment horizontal="center" vertical="center"/>
    </xf>
    <xf numFmtId="0" fontId="8" fillId="4" borderId="27" xfId="0" applyFont="1" applyFill="1" applyBorder="1" applyAlignment="1">
      <alignment horizontal="center" vertical="center"/>
    </xf>
    <xf numFmtId="0" fontId="8" fillId="17" borderId="25" xfId="0" applyFont="1" applyFill="1" applyBorder="1" applyAlignment="1">
      <alignment horizontal="center" vertical="center"/>
    </xf>
    <xf numFmtId="0" fontId="8" fillId="17" borderId="26" xfId="0" applyFont="1" applyFill="1" applyBorder="1" applyAlignment="1">
      <alignment horizontal="center" vertical="center"/>
    </xf>
    <xf numFmtId="0" fontId="8" fillId="17" borderId="27" xfId="0" applyFont="1" applyFill="1" applyBorder="1" applyAlignment="1">
      <alignment horizontal="center" vertical="center"/>
    </xf>
    <xf numFmtId="0" fontId="8" fillId="14" borderId="22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24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0" fontId="8" fillId="14" borderId="27" xfId="0" applyFont="1" applyFill="1" applyBorder="1" applyAlignment="1">
      <alignment horizontal="center" vertical="center"/>
    </xf>
    <xf numFmtId="0" fontId="8" fillId="5" borderId="25" xfId="0" applyFont="1" applyFill="1" applyBorder="1" applyAlignment="1">
      <alignment horizontal="center" vertical="center"/>
    </xf>
    <xf numFmtId="0" fontId="8" fillId="5" borderId="26" xfId="0" applyFont="1" applyFill="1" applyBorder="1" applyAlignment="1">
      <alignment horizontal="center" vertical="center"/>
    </xf>
    <xf numFmtId="0" fontId="8" fillId="5" borderId="27" xfId="0" applyFont="1" applyFill="1" applyBorder="1" applyAlignment="1">
      <alignment horizontal="center" vertical="center"/>
    </xf>
    <xf numFmtId="0" fontId="8" fillId="6" borderId="22" xfId="0" applyFont="1" applyFill="1" applyBorder="1" applyAlignment="1">
      <alignment horizontal="center" vertical="center"/>
    </xf>
    <xf numFmtId="0" fontId="8" fillId="6" borderId="23" xfId="0" applyFont="1" applyFill="1" applyBorder="1" applyAlignment="1">
      <alignment horizontal="center" vertical="center"/>
    </xf>
    <xf numFmtId="0" fontId="8" fillId="6" borderId="24" xfId="0" applyFont="1" applyFill="1" applyBorder="1" applyAlignment="1">
      <alignment horizontal="center" vertical="center"/>
    </xf>
    <xf numFmtId="0" fontId="8" fillId="16" borderId="22" xfId="0" applyFont="1" applyFill="1" applyBorder="1" applyAlignment="1">
      <alignment horizontal="center" vertical="center"/>
    </xf>
    <xf numFmtId="0" fontId="8" fillId="16" borderId="23" xfId="0" applyFont="1" applyFill="1" applyBorder="1" applyAlignment="1">
      <alignment horizontal="center" vertical="center"/>
    </xf>
    <xf numFmtId="0" fontId="8" fillId="16" borderId="24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0" fontId="8" fillId="6" borderId="26" xfId="0" applyFont="1" applyFill="1" applyBorder="1" applyAlignment="1">
      <alignment horizontal="center" vertical="center"/>
    </xf>
    <xf numFmtId="0" fontId="8" fillId="6" borderId="27" xfId="0" applyFont="1" applyFill="1" applyBorder="1" applyAlignment="1">
      <alignment horizontal="center" vertical="center"/>
    </xf>
    <xf numFmtId="0" fontId="8" fillId="16" borderId="25" xfId="0" applyFont="1" applyFill="1" applyBorder="1" applyAlignment="1">
      <alignment horizontal="center" vertical="center"/>
    </xf>
    <xf numFmtId="0" fontId="8" fillId="16" borderId="26" xfId="0" applyFont="1" applyFill="1" applyBorder="1" applyAlignment="1">
      <alignment horizontal="center" vertical="center"/>
    </xf>
    <xf numFmtId="0" fontId="8" fillId="16" borderId="27" xfId="0" applyFont="1" applyFill="1" applyBorder="1" applyAlignment="1">
      <alignment horizontal="center" vertical="center"/>
    </xf>
    <xf numFmtId="0" fontId="8" fillId="15" borderId="22" xfId="0" applyFont="1" applyFill="1" applyBorder="1" applyAlignment="1">
      <alignment horizontal="center" vertical="center"/>
    </xf>
    <xf numFmtId="0" fontId="8" fillId="15" borderId="23" xfId="0" applyFont="1" applyFill="1" applyBorder="1" applyAlignment="1">
      <alignment horizontal="center" vertical="center"/>
    </xf>
    <xf numFmtId="0" fontId="8" fillId="15" borderId="24" xfId="0" applyFont="1" applyFill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15" borderId="25" xfId="0" applyFont="1" applyFill="1" applyBorder="1" applyAlignment="1">
      <alignment horizontal="center" vertical="center"/>
    </xf>
    <xf numFmtId="0" fontId="8" fillId="15" borderId="26" xfId="0" applyFont="1" applyFill="1" applyBorder="1" applyAlignment="1">
      <alignment horizontal="center" vertical="center"/>
    </xf>
    <xf numFmtId="0" fontId="8" fillId="15" borderId="27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center"/>
    </xf>
    <xf numFmtId="0" fontId="8" fillId="19" borderId="1" xfId="0" applyFont="1" applyFill="1" applyBorder="1" applyAlignment="1">
      <alignment horizontal="center"/>
    </xf>
    <xf numFmtId="0" fontId="8" fillId="20" borderId="1" xfId="0" applyFont="1" applyFill="1" applyBorder="1" applyAlignment="1">
      <alignment horizontal="center"/>
    </xf>
    <xf numFmtId="0" fontId="8" fillId="21" borderId="1" xfId="0" applyFont="1" applyFill="1" applyBorder="1" applyAlignment="1">
      <alignment horizontal="center"/>
    </xf>
    <xf numFmtId="0" fontId="8" fillId="22" borderId="1" xfId="0" applyFont="1" applyFill="1" applyBorder="1" applyAlignment="1">
      <alignment horizontal="center"/>
    </xf>
    <xf numFmtId="0" fontId="8" fillId="23" borderId="1" xfId="0" applyFont="1" applyFill="1" applyBorder="1" applyAlignment="1">
      <alignment horizontal="center"/>
    </xf>
    <xf numFmtId="0" fontId="8" fillId="24" borderId="1" xfId="0" applyFont="1" applyFill="1" applyBorder="1" applyAlignment="1">
      <alignment horizontal="center"/>
    </xf>
    <xf numFmtId="0" fontId="8" fillId="25" borderId="1" xfId="0" applyFont="1" applyFill="1" applyBorder="1" applyAlignment="1">
      <alignment horizontal="center"/>
    </xf>
    <xf numFmtId="0" fontId="8" fillId="26" borderId="1" xfId="0" applyFont="1" applyFill="1" applyBorder="1" applyAlignment="1">
      <alignment horizontal="center"/>
    </xf>
    <xf numFmtId="0" fontId="8" fillId="27" borderId="1" xfId="0" applyFont="1" applyFill="1" applyBorder="1" applyAlignment="1">
      <alignment horizontal="center"/>
    </xf>
    <xf numFmtId="0" fontId="8" fillId="28" borderId="1" xfId="0" applyFont="1" applyFill="1" applyBorder="1" applyAlignment="1">
      <alignment horizontal="center"/>
    </xf>
    <xf numFmtId="0" fontId="8" fillId="2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9" fontId="8" fillId="0" borderId="1" xfId="1" applyFont="1" applyBorder="1" applyAlignment="1">
      <alignment horizontal="center"/>
    </xf>
    <xf numFmtId="1" fontId="8" fillId="0" borderId="1" xfId="0" applyNumberFormat="1" applyFont="1" applyBorder="1"/>
    <xf numFmtId="2" fontId="8" fillId="0" borderId="0" xfId="0" applyNumberFormat="1" applyFont="1" applyAlignment="1">
      <alignment horizontal="center"/>
    </xf>
    <xf numFmtId="2" fontId="8" fillId="0" borderId="2" xfId="0" applyNumberFormat="1" applyFont="1" applyBorder="1" applyAlignment="1">
      <alignment horizontal="center"/>
    </xf>
    <xf numFmtId="9" fontId="8" fillId="0" borderId="1" xfId="1" applyFont="1" applyBorder="1"/>
    <xf numFmtId="2" fontId="8" fillId="0" borderId="12" xfId="0" applyNumberFormat="1" applyFont="1" applyBorder="1" applyAlignment="1">
      <alignment horizontal="center"/>
    </xf>
    <xf numFmtId="0" fontId="8" fillId="0" borderId="12" xfId="0" applyFont="1" applyBorder="1"/>
    <xf numFmtId="0" fontId="5" fillId="0" borderId="4" xfId="0" applyFont="1" applyBorder="1"/>
    <xf numFmtId="0" fontId="8" fillId="8" borderId="1" xfId="0" applyFont="1" applyFill="1" applyBorder="1" applyAlignment="1">
      <alignment horizontal="center" vertical="center"/>
    </xf>
    <xf numFmtId="0" fontId="8" fillId="30" borderId="1" xfId="0" applyFont="1" applyFill="1" applyBorder="1" applyAlignment="1">
      <alignment horizontal="center" vertical="center"/>
    </xf>
    <xf numFmtId="0" fontId="10" fillId="0" borderId="0" xfId="0" quotePrefix="1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7" fillId="0" borderId="9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32" borderId="1" xfId="0" applyFont="1" applyFill="1" applyBorder="1" applyAlignment="1">
      <alignment horizontal="center"/>
    </xf>
    <xf numFmtId="0" fontId="8" fillId="31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12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3" borderId="1" xfId="0" applyFont="1" applyFill="1" applyBorder="1"/>
    <xf numFmtId="0" fontId="8" fillId="3" borderId="14" xfId="0" applyFont="1" applyFill="1" applyBorder="1" applyAlignment="1">
      <alignment horizontal="center"/>
    </xf>
    <xf numFmtId="0" fontId="9" fillId="3" borderId="1" xfId="0" applyFont="1" applyFill="1" applyBorder="1"/>
    <xf numFmtId="0" fontId="9" fillId="3" borderId="1" xfId="0" applyFont="1" applyFill="1" applyBorder="1" applyAlignment="1">
      <alignment horizontal="center"/>
    </xf>
    <xf numFmtId="0" fontId="10" fillId="0" borderId="1" xfId="0" applyFont="1" applyBorder="1"/>
    <xf numFmtId="0" fontId="10" fillId="0" borderId="1" xfId="0" applyFont="1" applyBorder="1" applyAlignment="1">
      <alignment horizontal="center"/>
    </xf>
    <xf numFmtId="0" fontId="13" fillId="0" borderId="0" xfId="0" applyFont="1"/>
    <xf numFmtId="0" fontId="10" fillId="0" borderId="0" xfId="0" applyFont="1"/>
    <xf numFmtId="0" fontId="10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1" fontId="8" fillId="5" borderId="1" xfId="0" applyNumberFormat="1" applyFont="1" applyFill="1" applyBorder="1" applyAlignment="1">
      <alignment horizontal="center"/>
    </xf>
    <xf numFmtId="166" fontId="8" fillId="5" borderId="1" xfId="0" applyNumberFormat="1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7" fillId="0" borderId="0" xfId="0" applyFont="1" applyAlignment="1">
      <alignment horizontal="left"/>
    </xf>
    <xf numFmtId="0" fontId="2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9" xfId="0" applyFont="1" applyBorder="1"/>
    <xf numFmtId="0" fontId="9" fillId="0" borderId="0" xfId="0" applyFont="1" applyAlignment="1">
      <alignment horizontal="center"/>
    </xf>
    <xf numFmtId="0" fontId="8" fillId="33" borderId="1" xfId="0" applyFont="1" applyFill="1" applyBorder="1" applyAlignment="1">
      <alignment horizontal="center"/>
    </xf>
    <xf numFmtId="0" fontId="10" fillId="0" borderId="0" xfId="0" quotePrefix="1" applyFont="1" applyAlignment="1">
      <alignment horizontal="left"/>
    </xf>
    <xf numFmtId="0" fontId="8" fillId="0" borderId="7" xfId="0" applyFont="1" applyBorder="1"/>
    <xf numFmtId="0" fontId="8" fillId="0" borderId="8" xfId="0" applyFont="1" applyBorder="1"/>
    <xf numFmtId="0" fontId="8" fillId="0" borderId="10" xfId="0" applyFont="1" applyBorder="1"/>
    <xf numFmtId="0" fontId="9" fillId="0" borderId="4" xfId="0" applyFont="1" applyBorder="1" applyAlignment="1">
      <alignment horizontal="center"/>
    </xf>
    <xf numFmtId="0" fontId="7" fillId="0" borderId="6" xfId="0" applyFont="1" applyBorder="1"/>
    <xf numFmtId="0" fontId="6" fillId="0" borderId="0" xfId="0" quotePrefix="1" applyFont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9" xfId="0" applyFont="1" applyFill="1" applyBorder="1"/>
    <xf numFmtId="0" fontId="8" fillId="0" borderId="1" xfId="0" quotePrefix="1" applyFont="1" applyBorder="1" applyAlignment="1">
      <alignment horizontal="center"/>
    </xf>
    <xf numFmtId="0" fontId="8" fillId="2" borderId="1" xfId="0" applyFont="1" applyFill="1" applyBorder="1" applyAlignment="1">
      <alignment horizontal="left"/>
    </xf>
    <xf numFmtId="0" fontId="9" fillId="0" borderId="6" xfId="0" applyFont="1" applyBorder="1"/>
    <xf numFmtId="0" fontId="6" fillId="0" borderId="6" xfId="0" quotePrefix="1" applyFont="1" applyBorder="1"/>
    <xf numFmtId="0" fontId="7" fillId="0" borderId="6" xfId="0" applyFont="1" applyBorder="1" applyAlignment="1">
      <alignment horizontal="left" indent="2"/>
    </xf>
    <xf numFmtId="0" fontId="7" fillId="0" borderId="0" xfId="0" applyFont="1" applyAlignment="1">
      <alignment horizontal="left" indent="2"/>
    </xf>
    <xf numFmtId="0" fontId="8" fillId="0" borderId="1" xfId="0" quotePrefix="1" applyFont="1" applyBorder="1"/>
    <xf numFmtId="0" fontId="8" fillId="3" borderId="1" xfId="0" quotePrefix="1" applyFont="1" applyFill="1" applyBorder="1"/>
    <xf numFmtId="0" fontId="8" fillId="2" borderId="1" xfId="0" applyFont="1" applyFill="1" applyBorder="1"/>
    <xf numFmtId="0" fontId="15" fillId="0" borderId="0" xfId="0" applyFont="1"/>
    <xf numFmtId="0" fontId="8" fillId="2" borderId="1" xfId="0" quotePrefix="1" applyFont="1" applyFill="1" applyBorder="1" applyAlignment="1">
      <alignment horizontal="right"/>
    </xf>
    <xf numFmtId="0" fontId="8" fillId="2" borderId="1" xfId="0" applyFont="1" applyFill="1" applyBorder="1" applyAlignment="1">
      <alignment horizontal="right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5F23C96F-10B0-479F-9972-449CE9CC6F28}"/>
  </tableStyles>
  <colors>
    <mruColors>
      <color rgb="FFB8DAD2"/>
      <color rgb="FFD7CDEB"/>
      <color rgb="FFF4D9A6"/>
      <color rgb="FFC7D4E5"/>
      <color rgb="FFC0C0C0"/>
      <color rgb="FFFFFF9F"/>
      <color rgb="FFE8D7A1"/>
      <color rgb="FFC4CCD4"/>
      <color rgb="FFB8C2E6"/>
      <color rgb="FFC7B7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19050</xdr:colOff>
      <xdr:row>0</xdr:row>
      <xdr:rowOff>168275</xdr:rowOff>
    </xdr:from>
    <xdr:to>
      <xdr:col>3</xdr:col>
      <xdr:colOff>1364190</xdr:colOff>
      <xdr:row>5</xdr:row>
      <xdr:rowOff>34925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7948262-A8AE-47CA-B998-5ABE6EAAE2BA}"/>
            </a:ext>
          </a:extLst>
        </xdr:cNvPr>
        <xdr:cNvSpPr>
          <a:spLocks noChangeAspect="1"/>
        </xdr:cNvSpPr>
      </xdr:nvSpPr>
      <xdr:spPr>
        <a:xfrm>
          <a:off x="2143125" y="168275"/>
          <a:ext cx="2608790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9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4CA6698-4DF8-46FB-87EF-51EA75EACD0E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8FA26BC6-5067-4B70-B09C-C0F38F71BFD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C7667-ECDB-4AB5-8270-D3108DB81FAD}">
  <sheetPr>
    <tabColor theme="0"/>
  </sheetPr>
  <dimension ref="A2:F48"/>
  <sheetViews>
    <sheetView showGridLines="0" showRowColHeaders="0" tabSelected="1" workbookViewId="0"/>
  </sheetViews>
  <sheetFormatPr defaultColWidth="0" defaultRowHeight="16.5" x14ac:dyDescent="0.45"/>
  <cols>
    <col min="1" max="1" width="8.6640625" customWidth="1"/>
    <col min="2" max="2" width="19.25" bestFit="1" customWidth="1"/>
    <col min="3" max="3" width="16.6640625" customWidth="1"/>
    <col min="4" max="4" width="77.9140625" customWidth="1"/>
    <col min="5" max="5" width="8.6640625" customWidth="1"/>
    <col min="6" max="6" width="17.58203125" bestFit="1" customWidth="1"/>
    <col min="7" max="16384" width="8.6640625" hidden="1"/>
  </cols>
  <sheetData>
    <row r="2" spans="2:4" x14ac:dyDescent="0.45">
      <c r="B2" s="1"/>
      <c r="C2" s="1"/>
      <c r="D2" s="2"/>
    </row>
    <row r="3" spans="2:4" x14ac:dyDescent="0.45">
      <c r="B3" s="1"/>
      <c r="C3" s="1"/>
      <c r="D3" s="2"/>
    </row>
    <row r="4" spans="2:4" x14ac:dyDescent="0.45">
      <c r="B4" s="1"/>
      <c r="C4" s="1"/>
      <c r="D4" s="2"/>
    </row>
    <row r="5" spans="2:4" x14ac:dyDescent="0.45">
      <c r="B5" s="1"/>
      <c r="C5" s="1"/>
      <c r="D5" s="2"/>
    </row>
    <row r="6" spans="2:4" x14ac:dyDescent="0.45">
      <c r="B6" s="1"/>
      <c r="C6" s="1"/>
      <c r="D6" s="2"/>
    </row>
    <row r="7" spans="2:4" x14ac:dyDescent="0.45">
      <c r="B7" s="1"/>
      <c r="C7" s="1"/>
      <c r="D7" s="2"/>
    </row>
    <row r="8" spans="2:4" x14ac:dyDescent="0.45">
      <c r="B8" s="1"/>
      <c r="C8" s="3" t="s">
        <v>5</v>
      </c>
      <c r="D8" s="2"/>
    </row>
    <row r="9" spans="2:4" x14ac:dyDescent="0.45">
      <c r="B9" s="1"/>
      <c r="C9" s="1" t="s">
        <v>25</v>
      </c>
      <c r="D9" s="2"/>
    </row>
    <row r="10" spans="2:4" x14ac:dyDescent="0.45">
      <c r="B10" s="1"/>
      <c r="C10" s="1"/>
      <c r="D10" s="2"/>
    </row>
    <row r="11" spans="2:4" x14ac:dyDescent="0.45">
      <c r="B11" s="1"/>
      <c r="C11" s="3" t="s">
        <v>0</v>
      </c>
      <c r="D11" s="2"/>
    </row>
    <row r="12" spans="2:4" x14ac:dyDescent="0.45">
      <c r="B12" s="1"/>
      <c r="C12" s="1" t="s">
        <v>1</v>
      </c>
      <c r="D12" s="2"/>
    </row>
    <row r="13" spans="2:4" x14ac:dyDescent="0.45">
      <c r="B13" s="1"/>
      <c r="C13" s="1" t="s">
        <v>2</v>
      </c>
      <c r="D13" s="2"/>
    </row>
    <row r="14" spans="2:4" x14ac:dyDescent="0.45">
      <c r="B14" s="1"/>
      <c r="C14" s="1"/>
      <c r="D14" s="2"/>
    </row>
    <row r="15" spans="2:4" x14ac:dyDescent="0.45">
      <c r="B15" s="1"/>
      <c r="C15" s="1"/>
      <c r="D15" s="2"/>
    </row>
    <row r="16" spans="2:4" x14ac:dyDescent="0.45">
      <c r="B16" s="1"/>
      <c r="C16" s="5" t="s">
        <v>3</v>
      </c>
      <c r="D16" s="6" t="s">
        <v>4</v>
      </c>
    </row>
    <row r="17" spans="2:4" ht="24" customHeight="1" x14ac:dyDescent="0.45">
      <c r="B17" s="3" t="s">
        <v>6</v>
      </c>
      <c r="C17" s="174" t="s">
        <v>7</v>
      </c>
      <c r="D17" s="165" t="s">
        <v>26</v>
      </c>
    </row>
    <row r="18" spans="2:4" ht="25" customHeight="1" x14ac:dyDescent="0.45">
      <c r="B18" s="4"/>
      <c r="C18" s="174" t="s">
        <v>8</v>
      </c>
      <c r="D18" s="165" t="s">
        <v>27</v>
      </c>
    </row>
    <row r="19" spans="2:4" ht="25" customHeight="1" x14ac:dyDescent="0.45">
      <c r="B19" s="4"/>
      <c r="C19" s="174" t="s">
        <v>566</v>
      </c>
      <c r="D19" s="165" t="s">
        <v>571</v>
      </c>
    </row>
    <row r="20" spans="2:4" ht="25" customHeight="1" x14ac:dyDescent="0.45">
      <c r="B20" s="4"/>
      <c r="C20" s="174" t="s">
        <v>567</v>
      </c>
      <c r="D20" s="165" t="s">
        <v>572</v>
      </c>
    </row>
    <row r="21" spans="2:4" x14ac:dyDescent="0.45">
      <c r="B21" s="4"/>
      <c r="C21" s="7"/>
      <c r="D21" s="2"/>
    </row>
    <row r="22" spans="2:4" ht="30" customHeight="1" x14ac:dyDescent="0.45">
      <c r="B22" s="3" t="s">
        <v>9</v>
      </c>
      <c r="C22" s="173" t="s">
        <v>10</v>
      </c>
      <c r="D22" s="163" t="s">
        <v>28</v>
      </c>
    </row>
    <row r="23" spans="2:4" ht="30" customHeight="1" x14ac:dyDescent="0.45">
      <c r="B23" s="4"/>
      <c r="C23" s="173" t="s">
        <v>11</v>
      </c>
      <c r="D23" s="163" t="s">
        <v>29</v>
      </c>
    </row>
    <row r="24" spans="2:4" ht="30" customHeight="1" x14ac:dyDescent="0.45">
      <c r="B24" s="4"/>
      <c r="C24" s="173" t="s">
        <v>12</v>
      </c>
      <c r="D24" s="163" t="s">
        <v>30</v>
      </c>
    </row>
    <row r="25" spans="2:4" ht="30" customHeight="1" x14ac:dyDescent="0.45">
      <c r="B25" s="4"/>
      <c r="C25" s="173" t="s">
        <v>13</v>
      </c>
      <c r="D25" s="163" t="s">
        <v>31</v>
      </c>
    </row>
    <row r="26" spans="2:4" ht="30" customHeight="1" x14ac:dyDescent="0.45">
      <c r="B26" s="4"/>
      <c r="C26" s="173" t="s">
        <v>352</v>
      </c>
      <c r="D26" s="163" t="s">
        <v>354</v>
      </c>
    </row>
    <row r="27" spans="2:4" ht="30" customHeight="1" x14ac:dyDescent="0.45">
      <c r="B27" s="4"/>
      <c r="C27" s="173" t="s">
        <v>353</v>
      </c>
      <c r="D27" s="163" t="s">
        <v>355</v>
      </c>
    </row>
    <row r="28" spans="2:4" ht="30" customHeight="1" x14ac:dyDescent="0.45">
      <c r="B28" s="4"/>
      <c r="C28" s="173" t="s">
        <v>14</v>
      </c>
      <c r="D28" s="163" t="s">
        <v>32</v>
      </c>
    </row>
    <row r="29" spans="2:4" ht="30" customHeight="1" x14ac:dyDescent="0.45">
      <c r="B29" s="4"/>
      <c r="C29" s="173" t="s">
        <v>15</v>
      </c>
      <c r="D29" s="163" t="s">
        <v>33</v>
      </c>
    </row>
    <row r="30" spans="2:4" ht="31.5" customHeight="1" x14ac:dyDescent="0.45">
      <c r="B30" s="4"/>
      <c r="C30" s="173" t="s">
        <v>16</v>
      </c>
      <c r="D30" s="163" t="s">
        <v>34</v>
      </c>
    </row>
    <row r="31" spans="2:4" ht="37" customHeight="1" x14ac:dyDescent="0.45">
      <c r="C31" s="173" t="s">
        <v>568</v>
      </c>
      <c r="D31" s="163" t="s">
        <v>573</v>
      </c>
    </row>
    <row r="32" spans="2:4" ht="37" customHeight="1" x14ac:dyDescent="0.45">
      <c r="C32" s="173" t="s">
        <v>569</v>
      </c>
      <c r="D32" s="163" t="s">
        <v>574</v>
      </c>
    </row>
    <row r="33" spans="2:4" ht="37" customHeight="1" x14ac:dyDescent="0.45">
      <c r="C33" s="173" t="s">
        <v>570</v>
      </c>
      <c r="D33" s="163" t="s">
        <v>575</v>
      </c>
    </row>
    <row r="34" spans="2:4" ht="37" customHeight="1" x14ac:dyDescent="0.45">
      <c r="C34" s="173" t="s">
        <v>18</v>
      </c>
      <c r="D34" s="163" t="s">
        <v>35</v>
      </c>
    </row>
    <row r="35" spans="2:4" ht="32.5" customHeight="1" x14ac:dyDescent="0.45">
      <c r="B35" s="4"/>
      <c r="C35" s="147"/>
      <c r="D35" s="2"/>
    </row>
    <row r="36" spans="2:4" ht="33" x14ac:dyDescent="0.45">
      <c r="B36" s="3" t="s">
        <v>17</v>
      </c>
      <c r="C36" s="172" t="s">
        <v>19</v>
      </c>
      <c r="D36" s="164" t="s">
        <v>36</v>
      </c>
    </row>
    <row r="37" spans="2:4" x14ac:dyDescent="0.45">
      <c r="C37" s="172" t="s">
        <v>20</v>
      </c>
      <c r="D37" s="164" t="s">
        <v>37</v>
      </c>
    </row>
    <row r="38" spans="2:4" ht="26.5" customHeight="1" x14ac:dyDescent="0.45">
      <c r="B38" s="4"/>
      <c r="C38" s="162"/>
      <c r="D38" s="2"/>
    </row>
    <row r="39" spans="2:4" ht="34.5" customHeight="1" x14ac:dyDescent="0.45">
      <c r="B39" s="3" t="s">
        <v>21</v>
      </c>
      <c r="C39" s="171" t="s">
        <v>22</v>
      </c>
      <c r="D39" s="170" t="s">
        <v>38</v>
      </c>
    </row>
    <row r="40" spans="2:4" x14ac:dyDescent="0.45">
      <c r="B40" s="4"/>
      <c r="C40" s="171" t="s">
        <v>23</v>
      </c>
      <c r="D40" s="170" t="s">
        <v>39</v>
      </c>
    </row>
    <row r="41" spans="2:4" x14ac:dyDescent="0.45">
      <c r="B41" s="4"/>
      <c r="C41" s="171" t="s">
        <v>24</v>
      </c>
      <c r="D41" s="170" t="s">
        <v>40</v>
      </c>
    </row>
    <row r="42" spans="2:4" x14ac:dyDescent="0.45">
      <c r="B42" s="4"/>
      <c r="C42" s="7"/>
      <c r="D42" s="2"/>
    </row>
    <row r="43" spans="2:4" x14ac:dyDescent="0.45">
      <c r="B43" s="4"/>
      <c r="C43" s="7"/>
      <c r="D43" s="2"/>
    </row>
    <row r="44" spans="2:4" x14ac:dyDescent="0.45">
      <c r="B44" s="1"/>
      <c r="C44" s="7"/>
      <c r="D44" s="2"/>
    </row>
    <row r="45" spans="2:4" x14ac:dyDescent="0.45">
      <c r="B45" s="1"/>
      <c r="C45" s="7"/>
      <c r="D45" s="2"/>
    </row>
    <row r="46" spans="2:4" x14ac:dyDescent="0.45">
      <c r="B46" s="1"/>
      <c r="C46" s="7"/>
      <c r="D46" s="2"/>
    </row>
    <row r="47" spans="2:4" x14ac:dyDescent="0.45">
      <c r="C47" s="7"/>
      <c r="D47" s="2"/>
    </row>
    <row r="48" spans="2:4" x14ac:dyDescent="0.45">
      <c r="C48" s="7"/>
      <c r="D48" s="2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136A0-CF46-45A9-805C-FCAF166A2C3C}">
  <sheetPr>
    <tabColor rgb="FFC7D4E5"/>
  </sheetPr>
  <dimension ref="B2:W36"/>
  <sheetViews>
    <sheetView workbookViewId="0"/>
  </sheetViews>
  <sheetFormatPr defaultRowHeight="16.5" x14ac:dyDescent="0.45"/>
  <cols>
    <col min="1" max="1" width="5" customWidth="1"/>
    <col min="2" max="2" width="6.5" customWidth="1"/>
    <col min="3" max="11" width="3.58203125" customWidth="1"/>
    <col min="12" max="12" width="5.25" customWidth="1"/>
    <col min="23" max="23" width="3.6640625" customWidth="1"/>
  </cols>
  <sheetData>
    <row r="2" spans="2:23" x14ac:dyDescent="0.45">
      <c r="B2" s="10" t="s">
        <v>41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2"/>
    </row>
    <row r="3" spans="2:23" x14ac:dyDescent="0.45">
      <c r="B3" s="13" t="s">
        <v>42</v>
      </c>
      <c r="W3" s="14"/>
    </row>
    <row r="4" spans="2:23" x14ac:dyDescent="0.45">
      <c r="B4" s="15" t="s">
        <v>43</v>
      </c>
      <c r="W4" s="14"/>
    </row>
    <row r="5" spans="2:23" x14ac:dyDescent="0.45">
      <c r="B5" s="13" t="s">
        <v>44</v>
      </c>
      <c r="W5" s="14"/>
    </row>
    <row r="6" spans="2:23" x14ac:dyDescent="0.45">
      <c r="B6" s="13" t="s">
        <v>45</v>
      </c>
      <c r="W6" s="14"/>
    </row>
    <row r="7" spans="2:23" x14ac:dyDescent="0.45">
      <c r="B7" s="16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W7" s="14"/>
    </row>
    <row r="8" spans="2:23" ht="8" customHeight="1" x14ac:dyDescent="0.45">
      <c r="B8" s="19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2"/>
    </row>
    <row r="9" spans="2:23" x14ac:dyDescent="0.45">
      <c r="B9" s="13"/>
      <c r="M9" s="20" t="s">
        <v>50</v>
      </c>
      <c r="O9" s="20" t="s">
        <v>52</v>
      </c>
      <c r="W9" s="14"/>
    </row>
    <row r="10" spans="2:23" x14ac:dyDescent="0.45">
      <c r="B10" s="13"/>
      <c r="F10" s="21" t="s">
        <v>48</v>
      </c>
      <c r="M10" s="22" t="s">
        <v>49</v>
      </c>
      <c r="O10" s="22" t="s">
        <v>51</v>
      </c>
      <c r="W10" s="14"/>
    </row>
    <row r="11" spans="2:23" x14ac:dyDescent="0.45">
      <c r="B11" s="13"/>
      <c r="F11" s="175" t="s">
        <v>46</v>
      </c>
      <c r="M11" s="9" cm="1">
        <f t="array" ref="M11:M19">Streakλ(Result)</f>
        <v>1</v>
      </c>
      <c r="O11" s="9" t="str" cm="1">
        <f t="array" ref="O11:O19">Streakλ(Result,,TRUE)</f>
        <v>W·1</v>
      </c>
      <c r="W11" s="14"/>
    </row>
    <row r="12" spans="2:23" x14ac:dyDescent="0.45">
      <c r="B12" s="13"/>
      <c r="F12" s="175" t="s">
        <v>46</v>
      </c>
      <c r="M12" s="9">
        <v>2</v>
      </c>
      <c r="O12" s="9" t="str">
        <v>W·2</v>
      </c>
      <c r="W12" s="14"/>
    </row>
    <row r="13" spans="2:23" x14ac:dyDescent="0.45">
      <c r="B13" s="13"/>
      <c r="F13" s="175" t="s">
        <v>47</v>
      </c>
      <c r="M13" s="9">
        <v>1</v>
      </c>
      <c r="O13" s="9" t="str">
        <v>L·1</v>
      </c>
      <c r="W13" s="14"/>
    </row>
    <row r="14" spans="2:23" x14ac:dyDescent="0.45">
      <c r="B14" s="13"/>
      <c r="F14" s="175" t="s">
        <v>46</v>
      </c>
      <c r="M14" s="9">
        <v>1</v>
      </c>
      <c r="O14" s="9" t="str">
        <v>W·1</v>
      </c>
      <c r="W14" s="14"/>
    </row>
    <row r="15" spans="2:23" x14ac:dyDescent="0.45">
      <c r="B15" s="13"/>
      <c r="F15" s="175" t="s">
        <v>46</v>
      </c>
      <c r="M15" s="9">
        <v>2</v>
      </c>
      <c r="O15" s="9" t="str">
        <v>W·2</v>
      </c>
      <c r="W15" s="14"/>
    </row>
    <row r="16" spans="2:23" x14ac:dyDescent="0.45">
      <c r="B16" s="13"/>
      <c r="F16" s="175" t="s">
        <v>46</v>
      </c>
      <c r="M16" s="9">
        <v>3</v>
      </c>
      <c r="O16" s="9" t="str">
        <v>W·3</v>
      </c>
      <c r="W16" s="14"/>
    </row>
    <row r="17" spans="2:23" x14ac:dyDescent="0.45">
      <c r="B17" s="13"/>
      <c r="F17" s="175" t="s">
        <v>46</v>
      </c>
      <c r="M17" s="9">
        <v>4</v>
      </c>
      <c r="O17" s="9" t="str">
        <v>W·4</v>
      </c>
      <c r="W17" s="14"/>
    </row>
    <row r="18" spans="2:23" x14ac:dyDescent="0.45">
      <c r="B18" s="13"/>
      <c r="F18" s="175" t="s">
        <v>47</v>
      </c>
      <c r="M18" s="9">
        <v>1</v>
      </c>
      <c r="O18" s="9" t="str">
        <v>L·1</v>
      </c>
      <c r="W18" s="14"/>
    </row>
    <row r="19" spans="2:23" x14ac:dyDescent="0.45">
      <c r="B19" s="13"/>
      <c r="F19" s="175" t="s">
        <v>46</v>
      </c>
      <c r="M19" s="9">
        <v>1</v>
      </c>
      <c r="O19" s="9" t="str">
        <v>W·1</v>
      </c>
      <c r="W19" s="14"/>
    </row>
    <row r="20" spans="2:23" x14ac:dyDescent="0.45">
      <c r="B20" s="16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W20" s="14"/>
    </row>
    <row r="21" spans="2:23" ht="9" customHeight="1" x14ac:dyDescent="0.45">
      <c r="B21" s="13"/>
      <c r="V21" s="11"/>
      <c r="W21" s="12"/>
    </row>
    <row r="22" spans="2:23" x14ac:dyDescent="0.45">
      <c r="B22" s="13"/>
      <c r="C22" s="21" t="s">
        <v>53</v>
      </c>
      <c r="M22" s="20" t="s">
        <v>55</v>
      </c>
      <c r="W22" s="14"/>
    </row>
    <row r="23" spans="2:23" x14ac:dyDescent="0.45">
      <c r="B23" s="13"/>
      <c r="C23" s="176" t="s">
        <v>46</v>
      </c>
      <c r="D23" s="177" t="s">
        <v>46</v>
      </c>
      <c r="E23" s="177" t="s">
        <v>47</v>
      </c>
      <c r="F23" s="177" t="s">
        <v>46</v>
      </c>
      <c r="G23" s="177" t="s">
        <v>46</v>
      </c>
      <c r="H23" s="177" t="s">
        <v>46</v>
      </c>
      <c r="I23" s="177" t="s">
        <v>46</v>
      </c>
      <c r="J23" s="177" t="s">
        <v>47</v>
      </c>
      <c r="K23" s="178" t="s">
        <v>46</v>
      </c>
      <c r="M23" s="22" t="s">
        <v>54</v>
      </c>
      <c r="W23" s="14"/>
    </row>
    <row r="24" spans="2:23" x14ac:dyDescent="0.45">
      <c r="B24" s="13"/>
      <c r="M24" s="9" cm="1">
        <f t="array" ref="M24:U24">Streakλ(ResultH,TRUE)</f>
        <v>1</v>
      </c>
      <c r="N24" s="9">
        <v>2</v>
      </c>
      <c r="O24" s="9">
        <v>1</v>
      </c>
      <c r="P24" s="9">
        <v>1</v>
      </c>
      <c r="Q24" s="9">
        <v>2</v>
      </c>
      <c r="R24" s="9">
        <v>3</v>
      </c>
      <c r="S24" s="9">
        <v>4</v>
      </c>
      <c r="T24" s="9">
        <v>1</v>
      </c>
      <c r="U24" s="9">
        <v>1</v>
      </c>
      <c r="W24" s="14"/>
    </row>
    <row r="25" spans="2:23" x14ac:dyDescent="0.45">
      <c r="B25" s="13"/>
      <c r="W25" s="14"/>
    </row>
    <row r="26" spans="2:23" x14ac:dyDescent="0.45">
      <c r="B26" s="13"/>
      <c r="M26" s="20" t="s">
        <v>56</v>
      </c>
      <c r="W26" s="14"/>
    </row>
    <row r="27" spans="2:23" x14ac:dyDescent="0.45">
      <c r="B27" s="13"/>
      <c r="M27" s="22" t="s">
        <v>57</v>
      </c>
      <c r="W27" s="14"/>
    </row>
    <row r="28" spans="2:23" x14ac:dyDescent="0.45">
      <c r="B28" s="13"/>
      <c r="M28" s="9" t="str" cm="1">
        <f t="array" ref="M28:U28">Streakλ(ResultH,TRUE,TRUE)</f>
        <v>W·1</v>
      </c>
      <c r="N28" s="9" t="str">
        <v>W·2</v>
      </c>
      <c r="O28" s="9" t="str">
        <v>L·1</v>
      </c>
      <c r="P28" s="9" t="str">
        <v>W·1</v>
      </c>
      <c r="Q28" s="9" t="str">
        <v>W·2</v>
      </c>
      <c r="R28" s="9" t="str">
        <v>W·3</v>
      </c>
      <c r="S28" s="9" t="str">
        <v>W·4</v>
      </c>
      <c r="T28" s="9" t="str">
        <v>L·1</v>
      </c>
      <c r="U28" s="9" t="str">
        <v>W·1</v>
      </c>
      <c r="W28" s="14"/>
    </row>
    <row r="29" spans="2:23" x14ac:dyDescent="0.45">
      <c r="B29" s="13"/>
      <c r="W29" s="14"/>
    </row>
    <row r="30" spans="2:23" x14ac:dyDescent="0.45">
      <c r="B30" s="19"/>
      <c r="C30" s="28" t="s">
        <v>61</v>
      </c>
      <c r="D30" s="11"/>
      <c r="E30" s="11"/>
      <c r="F30" s="11"/>
      <c r="G30" s="11"/>
      <c r="H30" s="11"/>
      <c r="I30" s="11"/>
      <c r="J30" s="11"/>
      <c r="K30" s="11"/>
      <c r="L30" s="11"/>
      <c r="M30" s="29" t="s">
        <v>63</v>
      </c>
      <c r="N30" s="11"/>
      <c r="O30" s="11"/>
      <c r="P30" s="11"/>
      <c r="Q30" s="11"/>
      <c r="R30" s="11"/>
      <c r="S30" s="11"/>
      <c r="T30" s="11"/>
      <c r="U30" s="11"/>
      <c r="V30" s="11"/>
      <c r="W30" s="12"/>
    </row>
    <row r="31" spans="2:23" x14ac:dyDescent="0.45">
      <c r="B31" s="13"/>
      <c r="C31" s="175" t="s">
        <v>58</v>
      </c>
      <c r="D31" s="175" t="s">
        <v>58</v>
      </c>
      <c r="E31" s="175" t="s">
        <v>59</v>
      </c>
      <c r="F31" s="175" t="s">
        <v>59</v>
      </c>
      <c r="G31" s="175" t="s">
        <v>59</v>
      </c>
      <c r="H31" s="175" t="s">
        <v>58</v>
      </c>
      <c r="I31" s="175" t="s">
        <v>60</v>
      </c>
      <c r="J31" s="175" t="s">
        <v>60</v>
      </c>
      <c r="M31" s="22" t="s">
        <v>62</v>
      </c>
      <c r="W31" s="14"/>
    </row>
    <row r="32" spans="2:23" x14ac:dyDescent="0.45">
      <c r="B32" s="13"/>
      <c r="C32" s="175" t="s">
        <v>58</v>
      </c>
      <c r="D32" s="175" t="s">
        <v>58</v>
      </c>
      <c r="E32" s="175" t="s">
        <v>58</v>
      </c>
      <c r="F32" s="175" t="s">
        <v>58</v>
      </c>
      <c r="G32" s="175" t="s">
        <v>58</v>
      </c>
      <c r="H32" s="175" t="s">
        <v>58</v>
      </c>
      <c r="I32" s="175" t="s">
        <v>58</v>
      </c>
      <c r="J32" s="175" t="s">
        <v>58</v>
      </c>
      <c r="M32" s="9" t="str" cm="1">
        <f t="array" ref="M32:T34">Streakλ(Schedule,,TRUE)</f>
        <v>JP·1</v>
      </c>
      <c r="N32" s="9" t="str">
        <v>JP·2</v>
      </c>
      <c r="O32" s="9" t="str">
        <v>DH·1</v>
      </c>
      <c r="P32" s="9" t="str">
        <v>DH·2</v>
      </c>
      <c r="Q32" s="9" t="str">
        <v>DH·3</v>
      </c>
      <c r="R32" s="9" t="str">
        <v>JP·1</v>
      </c>
      <c r="S32" s="9" t="str">
        <v>AB·1</v>
      </c>
      <c r="T32" s="9" t="str">
        <v>AB·2</v>
      </c>
      <c r="W32" s="14"/>
    </row>
    <row r="33" spans="2:23" x14ac:dyDescent="0.45">
      <c r="B33" s="13"/>
      <c r="C33" s="175" t="s">
        <v>60</v>
      </c>
      <c r="D33" s="175" t="s">
        <v>60</v>
      </c>
      <c r="E33" s="175" t="s">
        <v>60</v>
      </c>
      <c r="F33" s="175" t="s">
        <v>60</v>
      </c>
      <c r="G33" s="175" t="s">
        <v>60</v>
      </c>
      <c r="H33" s="175" t="s">
        <v>59</v>
      </c>
      <c r="I33" s="175" t="s">
        <v>59</v>
      </c>
      <c r="J33" s="175" t="s">
        <v>59</v>
      </c>
      <c r="M33" s="9" t="str">
        <v>JP·1</v>
      </c>
      <c r="N33" s="9" t="str">
        <v>JP·2</v>
      </c>
      <c r="O33" s="9" t="str">
        <v>JP·3</v>
      </c>
      <c r="P33" s="9" t="str">
        <v>JP·4</v>
      </c>
      <c r="Q33" s="9" t="str">
        <v>JP·5</v>
      </c>
      <c r="R33" s="9" t="str">
        <v>JP·6</v>
      </c>
      <c r="S33" s="9" t="str">
        <v>JP·7</v>
      </c>
      <c r="T33" s="9" t="str">
        <v>JP·8</v>
      </c>
      <c r="W33" s="14"/>
    </row>
    <row r="34" spans="2:23" x14ac:dyDescent="0.45">
      <c r="B34" s="13"/>
      <c r="M34" s="9" t="str">
        <v>AB·1</v>
      </c>
      <c r="N34" s="9" t="str">
        <v>AB·2</v>
      </c>
      <c r="O34" s="9" t="str">
        <v>AB·3</v>
      </c>
      <c r="P34" s="9" t="str">
        <v>AB·4</v>
      </c>
      <c r="Q34" s="9" t="str">
        <v>AB·5</v>
      </c>
      <c r="R34" s="9" t="str">
        <v>DH·1</v>
      </c>
      <c r="S34" s="9" t="str">
        <v>DH·2</v>
      </c>
      <c r="T34" s="9" t="str">
        <v>DH·3</v>
      </c>
      <c r="W34" s="14"/>
    </row>
    <row r="35" spans="2:23" x14ac:dyDescent="0.45">
      <c r="B35" s="13"/>
      <c r="W35" s="14"/>
    </row>
    <row r="36" spans="2:23" x14ac:dyDescent="0.45">
      <c r="B36" s="16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66" t="s">
        <v>64</v>
      </c>
      <c r="N36" s="17"/>
      <c r="O36" s="17"/>
      <c r="P36" s="17"/>
      <c r="Q36" s="17"/>
      <c r="R36" s="17"/>
      <c r="S36" s="17"/>
      <c r="T36" s="17"/>
      <c r="U36" s="17"/>
      <c r="V36" s="17"/>
      <c r="W36" s="1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F1FE8-405D-4629-B81A-34DD46407940}">
  <sheetPr>
    <tabColor rgb="FFC7D4E5"/>
  </sheetPr>
  <dimension ref="B2:S22"/>
  <sheetViews>
    <sheetView workbookViewId="0"/>
  </sheetViews>
  <sheetFormatPr defaultRowHeight="16.5" x14ac:dyDescent="0.45"/>
  <cols>
    <col min="1" max="1" width="5" customWidth="1"/>
    <col min="6" max="6" width="11.33203125" customWidth="1"/>
    <col min="7" max="7" width="6.25" customWidth="1"/>
    <col min="8" max="18" width="5.58203125" customWidth="1"/>
    <col min="19" max="19" width="5" customWidth="1"/>
  </cols>
  <sheetData>
    <row r="2" spans="2:19" x14ac:dyDescent="0.45">
      <c r="B2" s="30" t="s">
        <v>65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2"/>
    </row>
    <row r="3" spans="2:19" x14ac:dyDescent="0.45">
      <c r="B3" s="13" t="s">
        <v>66</v>
      </c>
      <c r="S3" s="14"/>
    </row>
    <row r="4" spans="2:19" x14ac:dyDescent="0.45">
      <c r="B4" s="15" t="s">
        <v>43</v>
      </c>
      <c r="S4" s="14"/>
    </row>
    <row r="5" spans="2:19" x14ac:dyDescent="0.45">
      <c r="B5" s="13" t="s">
        <v>67</v>
      </c>
      <c r="S5" s="14"/>
    </row>
    <row r="6" spans="2:19" x14ac:dyDescent="0.45">
      <c r="B6" s="13"/>
      <c r="S6" s="14"/>
    </row>
    <row r="7" spans="2:19" x14ac:dyDescent="0.45">
      <c r="B7" s="31" t="s">
        <v>72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8"/>
    </row>
    <row r="8" spans="2:19" x14ac:dyDescent="0.45">
      <c r="B8" s="19"/>
      <c r="C8" s="11"/>
      <c r="D8" s="11"/>
      <c r="E8" s="11"/>
      <c r="F8" s="12"/>
      <c r="G8" s="19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2"/>
    </row>
    <row r="9" spans="2:19" x14ac:dyDescent="0.45">
      <c r="B9" s="13"/>
      <c r="E9" s="20" t="s">
        <v>74</v>
      </c>
      <c r="F9" s="14"/>
      <c r="G9" s="13"/>
      <c r="S9" s="14"/>
    </row>
    <row r="10" spans="2:19" x14ac:dyDescent="0.45">
      <c r="B10" s="13"/>
      <c r="C10" s="21" t="s">
        <v>68</v>
      </c>
      <c r="E10" s="22" t="s">
        <v>73</v>
      </c>
      <c r="F10" s="14"/>
      <c r="G10" s="13"/>
      <c r="H10" s="21" t="s">
        <v>75</v>
      </c>
      <c r="S10" s="14"/>
    </row>
    <row r="11" spans="2:19" x14ac:dyDescent="0.45">
      <c r="B11" s="13"/>
      <c r="C11" s="175" t="s">
        <v>69</v>
      </c>
      <c r="E11" s="9" cm="1">
        <f t="array" ref="E11:E21">Countdownλ(Outcome)</f>
        <v>3</v>
      </c>
      <c r="F11" s="14"/>
      <c r="G11" s="13"/>
      <c r="H11" s="175" t="s">
        <v>69</v>
      </c>
      <c r="I11" s="175" t="s">
        <v>69</v>
      </c>
      <c r="J11" s="175" t="s">
        <v>69</v>
      </c>
      <c r="K11" s="175" t="s">
        <v>71</v>
      </c>
      <c r="L11" s="175" t="s">
        <v>70</v>
      </c>
      <c r="M11" s="175" t="s">
        <v>70</v>
      </c>
      <c r="N11" s="175" t="s">
        <v>71</v>
      </c>
      <c r="O11" s="175" t="s">
        <v>71</v>
      </c>
      <c r="P11" s="175" t="s">
        <v>69</v>
      </c>
      <c r="Q11" s="175" t="s">
        <v>69</v>
      </c>
      <c r="R11" s="175" t="s">
        <v>69</v>
      </c>
      <c r="S11" s="14"/>
    </row>
    <row r="12" spans="2:19" x14ac:dyDescent="0.45">
      <c r="B12" s="13"/>
      <c r="C12" s="175" t="s">
        <v>69</v>
      </c>
      <c r="E12" s="9">
        <v>2</v>
      </c>
      <c r="F12" s="14"/>
      <c r="G12" s="13"/>
      <c r="S12" s="14"/>
    </row>
    <row r="13" spans="2:19" x14ac:dyDescent="0.45">
      <c r="B13" s="13"/>
      <c r="C13" s="175" t="s">
        <v>69</v>
      </c>
      <c r="E13" s="9">
        <v>1</v>
      </c>
      <c r="F13" s="14"/>
      <c r="G13" s="13"/>
      <c r="H13" s="20" t="s">
        <v>77</v>
      </c>
      <c r="S13" s="14"/>
    </row>
    <row r="14" spans="2:19" x14ac:dyDescent="0.45">
      <c r="B14" s="13"/>
      <c r="C14" s="175" t="s">
        <v>71</v>
      </c>
      <c r="E14" s="9">
        <v>1</v>
      </c>
      <c r="F14" s="14"/>
      <c r="G14" s="13"/>
      <c r="H14" s="22" t="s">
        <v>76</v>
      </c>
      <c r="S14" s="14"/>
    </row>
    <row r="15" spans="2:19" x14ac:dyDescent="0.45">
      <c r="B15" s="13"/>
      <c r="C15" s="175" t="s">
        <v>70</v>
      </c>
      <c r="E15" s="9">
        <v>2</v>
      </c>
      <c r="F15" s="14"/>
      <c r="G15" s="13"/>
      <c r="H15" s="9" cm="1">
        <f t="array" ref="H15:R15">Countdownλ(OutcomeH,TRUE)</f>
        <v>3</v>
      </c>
      <c r="I15" s="9">
        <v>2</v>
      </c>
      <c r="J15" s="9">
        <v>1</v>
      </c>
      <c r="K15" s="9">
        <v>1</v>
      </c>
      <c r="L15" s="9">
        <v>2</v>
      </c>
      <c r="M15" s="9">
        <v>1</v>
      </c>
      <c r="N15" s="9">
        <v>2</v>
      </c>
      <c r="O15" s="9">
        <v>1</v>
      </c>
      <c r="P15" s="9">
        <v>3</v>
      </c>
      <c r="Q15" s="9">
        <v>2</v>
      </c>
      <c r="R15" s="9">
        <v>1</v>
      </c>
      <c r="S15" s="14"/>
    </row>
    <row r="16" spans="2:19" x14ac:dyDescent="0.45">
      <c r="B16" s="13"/>
      <c r="C16" s="175" t="s">
        <v>70</v>
      </c>
      <c r="E16" s="9">
        <v>1</v>
      </c>
      <c r="F16" s="14"/>
      <c r="G16" s="13"/>
      <c r="S16" s="14"/>
    </row>
    <row r="17" spans="2:19" x14ac:dyDescent="0.45">
      <c r="B17" s="13"/>
      <c r="C17" s="175" t="s">
        <v>71</v>
      </c>
      <c r="E17" s="9">
        <v>2</v>
      </c>
      <c r="F17" s="14"/>
      <c r="G17" s="13"/>
      <c r="S17" s="14"/>
    </row>
    <row r="18" spans="2:19" x14ac:dyDescent="0.45">
      <c r="B18" s="13"/>
      <c r="C18" s="175" t="s">
        <v>71</v>
      </c>
      <c r="E18" s="9">
        <v>1</v>
      </c>
      <c r="F18" s="14"/>
      <c r="G18" s="13"/>
      <c r="S18" s="14"/>
    </row>
    <row r="19" spans="2:19" x14ac:dyDescent="0.45">
      <c r="B19" s="13"/>
      <c r="C19" s="175" t="s">
        <v>69</v>
      </c>
      <c r="E19" s="9">
        <v>3</v>
      </c>
      <c r="F19" s="14"/>
      <c r="G19" s="13"/>
      <c r="S19" s="14"/>
    </row>
    <row r="20" spans="2:19" x14ac:dyDescent="0.45">
      <c r="B20" s="13"/>
      <c r="C20" s="175" t="s">
        <v>69</v>
      </c>
      <c r="E20" s="9">
        <v>2</v>
      </c>
      <c r="F20" s="14"/>
      <c r="G20" s="13"/>
      <c r="S20" s="14"/>
    </row>
    <row r="21" spans="2:19" x14ac:dyDescent="0.45">
      <c r="B21" s="13"/>
      <c r="C21" s="175" t="s">
        <v>69</v>
      </c>
      <c r="E21" s="9">
        <v>1</v>
      </c>
      <c r="F21" s="14"/>
      <c r="G21" s="13"/>
      <c r="S21" s="14"/>
    </row>
    <row r="22" spans="2:19" x14ac:dyDescent="0.45">
      <c r="B22" s="16"/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32E5C-9BD0-4C26-96A0-51A5C56A3F8B}">
  <sheetPr>
    <tabColor rgb="FFC7D4E5"/>
  </sheetPr>
  <dimension ref="B2:Q32"/>
  <sheetViews>
    <sheetView workbookViewId="0"/>
  </sheetViews>
  <sheetFormatPr defaultRowHeight="16.5" x14ac:dyDescent="0.45"/>
  <cols>
    <col min="1" max="1" width="5" customWidth="1"/>
    <col min="2" max="2" width="12.9140625" customWidth="1"/>
    <col min="3" max="3" width="5.4140625" customWidth="1"/>
    <col min="4" max="4" width="17.6640625" customWidth="1"/>
    <col min="5" max="5" width="18.1640625" customWidth="1"/>
    <col min="7" max="7" width="11.4140625" customWidth="1"/>
  </cols>
  <sheetData>
    <row r="2" spans="2:17" x14ac:dyDescent="0.45">
      <c r="B2" s="10" t="s">
        <v>373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2"/>
    </row>
    <row r="3" spans="2:17" x14ac:dyDescent="0.45">
      <c r="B3" s="13" t="s">
        <v>374</v>
      </c>
      <c r="Q3" s="14"/>
    </row>
    <row r="4" spans="2:17" x14ac:dyDescent="0.45">
      <c r="B4" s="13" t="s">
        <v>375</v>
      </c>
      <c r="Q4" s="14"/>
    </row>
    <row r="5" spans="2:17" x14ac:dyDescent="0.45">
      <c r="B5" s="13" t="s">
        <v>376</v>
      </c>
      <c r="Q5" s="14"/>
    </row>
    <row r="6" spans="2:17" x14ac:dyDescent="0.45">
      <c r="B6" s="16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8"/>
    </row>
    <row r="7" spans="2:17" x14ac:dyDescent="0.45">
      <c r="B7" s="19"/>
      <c r="C7" s="11"/>
      <c r="D7" s="202" t="s">
        <v>377</v>
      </c>
      <c r="E7" s="202" t="s">
        <v>378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2"/>
    </row>
    <row r="8" spans="2:17" x14ac:dyDescent="0.45">
      <c r="B8" s="203" t="s">
        <v>379</v>
      </c>
      <c r="D8" s="22" t="s">
        <v>380</v>
      </c>
      <c r="E8" s="204" t="s">
        <v>381</v>
      </c>
      <c r="G8" s="21" t="s">
        <v>382</v>
      </c>
      <c r="H8" s="205" t="s">
        <v>383</v>
      </c>
      <c r="I8" s="205" t="s">
        <v>384</v>
      </c>
      <c r="J8" s="205" t="s">
        <v>385</v>
      </c>
      <c r="K8" s="205" t="s">
        <v>386</v>
      </c>
      <c r="L8" s="205" t="s">
        <v>383</v>
      </c>
      <c r="M8" s="205" t="s">
        <v>384</v>
      </c>
      <c r="N8" s="205" t="s">
        <v>383</v>
      </c>
      <c r="O8" s="205" t="s">
        <v>384</v>
      </c>
      <c r="Q8" s="14"/>
    </row>
    <row r="9" spans="2:17" x14ac:dyDescent="0.45">
      <c r="B9" s="206" t="s">
        <v>387</v>
      </c>
      <c r="D9" s="207" cm="1">
        <f t="array" ref="D9:D15">Instanceλ(Status)</f>
        <v>1</v>
      </c>
      <c r="E9" s="207" cm="1">
        <f t="array" ref="E9:E15">Instanceλ(Status,,TRUE)</f>
        <v>1</v>
      </c>
      <c r="Q9" s="14"/>
    </row>
    <row r="10" spans="2:17" x14ac:dyDescent="0.45">
      <c r="B10" s="206" t="s">
        <v>383</v>
      </c>
      <c r="D10" s="9">
        <v>1</v>
      </c>
      <c r="E10" s="9">
        <v>3</v>
      </c>
      <c r="F10" s="8"/>
      <c r="G10" s="20" t="s">
        <v>388</v>
      </c>
      <c r="H10" s="22" t="s">
        <v>389</v>
      </c>
      <c r="Q10" s="14"/>
    </row>
    <row r="11" spans="2:17" x14ac:dyDescent="0.45">
      <c r="B11" s="206" t="s">
        <v>390</v>
      </c>
      <c r="D11" s="9">
        <v>1</v>
      </c>
      <c r="E11" s="9">
        <v>2</v>
      </c>
      <c r="G11" s="8"/>
      <c r="H11" s="207" cm="1">
        <f t="array" ref="H11:O11">Instanceλ(Activity,TRUE)</f>
        <v>1</v>
      </c>
      <c r="I11" s="9">
        <v>1</v>
      </c>
      <c r="J11" s="9">
        <v>1</v>
      </c>
      <c r="K11" s="9">
        <v>1</v>
      </c>
      <c r="L11" s="9">
        <v>2</v>
      </c>
      <c r="M11" s="9">
        <v>2</v>
      </c>
      <c r="N11" s="9">
        <v>3</v>
      </c>
      <c r="O11" s="9">
        <v>3</v>
      </c>
      <c r="Q11" s="14"/>
    </row>
    <row r="12" spans="2:17" x14ac:dyDescent="0.45">
      <c r="B12" s="206" t="s">
        <v>383</v>
      </c>
      <c r="D12" s="9">
        <v>2</v>
      </c>
      <c r="E12" s="9">
        <v>2</v>
      </c>
      <c r="Q12" s="14"/>
    </row>
    <row r="13" spans="2:17" x14ac:dyDescent="0.45">
      <c r="B13" s="206" t="s">
        <v>390</v>
      </c>
      <c r="D13" s="9">
        <v>2</v>
      </c>
      <c r="E13" s="9">
        <v>1</v>
      </c>
      <c r="Q13" s="14"/>
    </row>
    <row r="14" spans="2:17" x14ac:dyDescent="0.45">
      <c r="B14" s="206" t="s">
        <v>383</v>
      </c>
      <c r="D14" s="9">
        <v>3</v>
      </c>
      <c r="E14" s="9">
        <v>1</v>
      </c>
      <c r="Q14" s="14"/>
    </row>
    <row r="15" spans="2:17" x14ac:dyDescent="0.45">
      <c r="B15" s="206" t="s">
        <v>391</v>
      </c>
      <c r="D15" s="9">
        <v>1</v>
      </c>
      <c r="E15" s="9">
        <v>1</v>
      </c>
      <c r="Q15" s="14"/>
    </row>
    <row r="16" spans="2:17" x14ac:dyDescent="0.45">
      <c r="B16" s="13"/>
      <c r="Q16" s="14"/>
    </row>
    <row r="17" spans="2:17" x14ac:dyDescent="0.45">
      <c r="B17" s="13"/>
      <c r="Q17" s="14"/>
    </row>
    <row r="18" spans="2:17" x14ac:dyDescent="0.45">
      <c r="B18" s="13"/>
      <c r="K18" s="20" t="s">
        <v>392</v>
      </c>
      <c r="Q18" s="14"/>
    </row>
    <row r="19" spans="2:17" x14ac:dyDescent="0.45">
      <c r="B19" s="203" t="s">
        <v>393</v>
      </c>
      <c r="D19" s="22" t="s">
        <v>394</v>
      </c>
      <c r="G19" s="21" t="s">
        <v>561</v>
      </c>
      <c r="K19" s="22" t="s">
        <v>562</v>
      </c>
      <c r="Q19" s="14"/>
    </row>
    <row r="20" spans="2:17" x14ac:dyDescent="0.45">
      <c r="B20" s="208" t="s">
        <v>395</v>
      </c>
      <c r="D20" s="207" cm="1">
        <f t="array" ref="D20:D31">Instanceλ(Weather)</f>
        <v>1</v>
      </c>
      <c r="E20" s="8"/>
      <c r="F20" s="8"/>
      <c r="G20" s="175" t="s">
        <v>69</v>
      </c>
      <c r="H20" s="175" t="s">
        <v>396</v>
      </c>
      <c r="I20" s="175" t="s">
        <v>69</v>
      </c>
      <c r="K20" s="207" cm="1">
        <f t="array" ref="K20:K31">Instanceλ(Decision)</f>
        <v>1</v>
      </c>
      <c r="Q20" s="14"/>
    </row>
    <row r="21" spans="2:17" x14ac:dyDescent="0.45">
      <c r="B21" s="208" t="s">
        <v>395</v>
      </c>
      <c r="D21" s="9">
        <v>2</v>
      </c>
      <c r="E21" s="8"/>
      <c r="F21" s="8"/>
      <c r="G21" s="175" t="s">
        <v>69</v>
      </c>
      <c r="H21" s="175" t="s">
        <v>396</v>
      </c>
      <c r="I21" s="175" t="s">
        <v>70</v>
      </c>
      <c r="K21" s="9">
        <v>1</v>
      </c>
      <c r="Q21" s="14"/>
    </row>
    <row r="22" spans="2:17" x14ac:dyDescent="0.45">
      <c r="B22" s="208" t="s">
        <v>397</v>
      </c>
      <c r="D22" s="9">
        <v>1</v>
      </c>
      <c r="E22" s="8"/>
      <c r="F22" s="8"/>
      <c r="G22" s="175" t="s">
        <v>69</v>
      </c>
      <c r="H22" s="175" t="s">
        <v>69</v>
      </c>
      <c r="I22" s="175" t="s">
        <v>69</v>
      </c>
      <c r="K22" s="9">
        <v>2</v>
      </c>
      <c r="Q22" s="14"/>
    </row>
    <row r="23" spans="2:17" x14ac:dyDescent="0.45">
      <c r="B23" s="208" t="s">
        <v>397</v>
      </c>
      <c r="D23" s="9">
        <v>2</v>
      </c>
      <c r="E23" s="8"/>
      <c r="F23" s="8"/>
      <c r="G23" s="175" t="s">
        <v>396</v>
      </c>
      <c r="H23" s="175" t="s">
        <v>398</v>
      </c>
      <c r="I23" s="175" t="s">
        <v>69</v>
      </c>
      <c r="K23" s="9">
        <v>3</v>
      </c>
      <c r="Q23" s="14"/>
    </row>
    <row r="24" spans="2:17" x14ac:dyDescent="0.45">
      <c r="B24" s="208" t="s">
        <v>399</v>
      </c>
      <c r="D24" s="9">
        <v>1</v>
      </c>
      <c r="K24" s="9">
        <v>2</v>
      </c>
      <c r="Q24" s="14"/>
    </row>
    <row r="25" spans="2:17" x14ac:dyDescent="0.45">
      <c r="B25" s="208" t="s">
        <v>395</v>
      </c>
      <c r="D25" s="9">
        <v>3</v>
      </c>
      <c r="K25" s="9">
        <v>1</v>
      </c>
      <c r="Q25" s="14"/>
    </row>
    <row r="26" spans="2:17" x14ac:dyDescent="0.45">
      <c r="B26" s="208" t="s">
        <v>400</v>
      </c>
      <c r="D26" s="9">
        <v>1</v>
      </c>
      <c r="K26" s="9">
        <v>4</v>
      </c>
      <c r="Q26" s="14"/>
    </row>
    <row r="27" spans="2:17" x14ac:dyDescent="0.45">
      <c r="B27" s="208" t="s">
        <v>395</v>
      </c>
      <c r="D27" s="9">
        <v>4</v>
      </c>
      <c r="K27" s="9">
        <v>5</v>
      </c>
      <c r="Q27" s="14"/>
    </row>
    <row r="28" spans="2:17" x14ac:dyDescent="0.45">
      <c r="B28" s="208" t="s">
        <v>395</v>
      </c>
      <c r="D28" s="9">
        <v>5</v>
      </c>
      <c r="K28" s="9">
        <v>6</v>
      </c>
      <c r="Q28" s="14"/>
    </row>
    <row r="29" spans="2:17" x14ac:dyDescent="0.45">
      <c r="B29" s="208" t="s">
        <v>399</v>
      </c>
      <c r="D29" s="9">
        <v>2</v>
      </c>
      <c r="K29" s="9">
        <v>3</v>
      </c>
      <c r="Q29" s="14"/>
    </row>
    <row r="30" spans="2:17" x14ac:dyDescent="0.45">
      <c r="B30" s="208" t="s">
        <v>400</v>
      </c>
      <c r="D30" s="9">
        <v>2</v>
      </c>
      <c r="K30" s="9">
        <v>1</v>
      </c>
      <c r="Q30" s="14"/>
    </row>
    <row r="31" spans="2:17" x14ac:dyDescent="0.45">
      <c r="B31" s="208" t="s">
        <v>397</v>
      </c>
      <c r="D31" s="9">
        <v>3</v>
      </c>
      <c r="K31" s="9">
        <v>7</v>
      </c>
      <c r="Q31" s="14"/>
    </row>
    <row r="32" spans="2:17" x14ac:dyDescent="0.45">
      <c r="B32" s="16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DCCD-D1A4-44A5-8436-7A2BC6CDE5F2}">
  <sheetPr>
    <tabColor rgb="FFC7D4E5"/>
  </sheetPr>
  <dimension ref="B2:K35"/>
  <sheetViews>
    <sheetView workbookViewId="0"/>
  </sheetViews>
  <sheetFormatPr defaultRowHeight="16.5" x14ac:dyDescent="0.45"/>
  <cols>
    <col min="1" max="1" width="5" customWidth="1"/>
    <col min="5" max="5" width="11.6640625" customWidth="1"/>
    <col min="9" max="9" width="11.6640625" bestFit="1" customWidth="1"/>
  </cols>
  <sheetData>
    <row r="2" spans="2:11" x14ac:dyDescent="0.45">
      <c r="B2" s="10" t="s">
        <v>401</v>
      </c>
      <c r="C2" s="11"/>
      <c r="D2" s="11"/>
      <c r="E2" s="11"/>
      <c r="F2" s="11"/>
      <c r="G2" s="11"/>
      <c r="H2" s="11"/>
      <c r="I2" s="11"/>
      <c r="J2" s="11"/>
      <c r="K2" s="12"/>
    </row>
    <row r="3" spans="2:11" x14ac:dyDescent="0.45">
      <c r="B3" s="13" t="s">
        <v>402</v>
      </c>
      <c r="K3" s="14"/>
    </row>
    <row r="4" spans="2:11" x14ac:dyDescent="0.45">
      <c r="B4" s="15" t="s">
        <v>43</v>
      </c>
      <c r="K4" s="14"/>
    </row>
    <row r="5" spans="2:11" x14ac:dyDescent="0.45">
      <c r="B5" s="16" t="s">
        <v>403</v>
      </c>
      <c r="C5" s="17"/>
      <c r="D5" s="17"/>
      <c r="E5" s="17"/>
      <c r="F5" s="17"/>
      <c r="G5" s="17"/>
      <c r="H5" s="17"/>
      <c r="I5" s="17"/>
      <c r="J5" s="17"/>
      <c r="K5" s="18"/>
    </row>
    <row r="6" spans="2:11" x14ac:dyDescent="0.45">
      <c r="B6" s="19"/>
      <c r="C6" s="11"/>
      <c r="D6" s="11"/>
      <c r="E6" s="11"/>
      <c r="F6" s="11"/>
      <c r="G6" s="11"/>
      <c r="H6" s="11"/>
      <c r="I6" s="11"/>
      <c r="J6" s="11"/>
      <c r="K6" s="12"/>
    </row>
    <row r="7" spans="2:11" x14ac:dyDescent="0.45">
      <c r="B7" s="13"/>
      <c r="D7" s="20" t="s">
        <v>404</v>
      </c>
      <c r="H7" s="20" t="s">
        <v>405</v>
      </c>
      <c r="J7" s="20" t="s">
        <v>406</v>
      </c>
      <c r="K7" s="14"/>
    </row>
    <row r="8" spans="2:11" x14ac:dyDescent="0.45">
      <c r="B8" s="209" t="s">
        <v>404</v>
      </c>
      <c r="D8" s="20" t="s">
        <v>407</v>
      </c>
      <c r="F8" s="20" t="s">
        <v>408</v>
      </c>
      <c r="H8" s="20" t="s">
        <v>409</v>
      </c>
      <c r="J8" s="20" t="s">
        <v>410</v>
      </c>
      <c r="K8" s="14"/>
    </row>
    <row r="9" spans="2:11" x14ac:dyDescent="0.45">
      <c r="B9" s="210" t="s">
        <v>411</v>
      </c>
      <c r="D9" s="159" t="s">
        <v>412</v>
      </c>
      <c r="F9" s="22" t="s">
        <v>413</v>
      </c>
      <c r="H9" s="22" t="s">
        <v>414</v>
      </c>
      <c r="J9" s="22" t="s">
        <v>415</v>
      </c>
      <c r="K9" s="14"/>
    </row>
    <row r="10" spans="2:11" x14ac:dyDescent="0.45">
      <c r="B10" s="9" cm="1">
        <f t="array" ref="B10:B14">Waveλ(3)</f>
        <v>1</v>
      </c>
      <c r="C10" s="8"/>
      <c r="D10" s="9" cm="1">
        <f t="array" ref="D10:D24">Waveλ(3,3)</f>
        <v>1</v>
      </c>
      <c r="E10" s="8"/>
      <c r="F10" s="9" cm="1">
        <f t="array" ref="F10:F28">Waveλ(10)</f>
        <v>1</v>
      </c>
      <c r="H10" s="9" cm="1">
        <f t="array" ref="H10:H33">Waveλ(2,8)</f>
        <v>1</v>
      </c>
      <c r="J10" s="9" cm="1">
        <f t="array" ref="J10:J31">Waveλ(6,2)</f>
        <v>1</v>
      </c>
      <c r="K10" s="14"/>
    </row>
    <row r="11" spans="2:11" x14ac:dyDescent="0.45">
      <c r="B11" s="9">
        <v>2</v>
      </c>
      <c r="C11" s="8"/>
      <c r="D11" s="9">
        <v>1</v>
      </c>
      <c r="E11" s="8"/>
      <c r="F11" s="9">
        <v>2</v>
      </c>
      <c r="H11" s="9">
        <v>1</v>
      </c>
      <c r="J11" s="9">
        <v>1</v>
      </c>
      <c r="K11" s="14"/>
    </row>
    <row r="12" spans="2:11" x14ac:dyDescent="0.45">
      <c r="B12" s="9">
        <v>3</v>
      </c>
      <c r="C12" s="8"/>
      <c r="D12" s="9">
        <v>1</v>
      </c>
      <c r="E12" s="8"/>
      <c r="F12" s="9">
        <v>3</v>
      </c>
      <c r="H12" s="9">
        <v>1</v>
      </c>
      <c r="J12" s="9">
        <v>2</v>
      </c>
      <c r="K12" s="14"/>
    </row>
    <row r="13" spans="2:11" x14ac:dyDescent="0.45">
      <c r="B13" s="9">
        <v>2</v>
      </c>
      <c r="C13" s="8"/>
      <c r="D13" s="9">
        <v>2</v>
      </c>
      <c r="E13" s="8"/>
      <c r="F13" s="9">
        <v>4</v>
      </c>
      <c r="H13" s="9">
        <v>1</v>
      </c>
      <c r="J13" s="9">
        <v>2</v>
      </c>
      <c r="K13" s="14"/>
    </row>
    <row r="14" spans="2:11" x14ac:dyDescent="0.45">
      <c r="B14" s="9">
        <v>1</v>
      </c>
      <c r="C14" s="8"/>
      <c r="D14" s="9">
        <v>2</v>
      </c>
      <c r="E14" s="8"/>
      <c r="F14" s="9">
        <v>5</v>
      </c>
      <c r="H14" s="9">
        <v>1</v>
      </c>
      <c r="J14" s="9">
        <v>3</v>
      </c>
      <c r="K14" s="14"/>
    </row>
    <row r="15" spans="2:11" x14ac:dyDescent="0.45">
      <c r="B15" s="76"/>
      <c r="C15" s="8"/>
      <c r="D15" s="9">
        <v>2</v>
      </c>
      <c r="E15" s="8"/>
      <c r="F15" s="9">
        <v>6</v>
      </c>
      <c r="H15" s="9">
        <v>1</v>
      </c>
      <c r="J15" s="9">
        <v>3</v>
      </c>
      <c r="K15" s="14"/>
    </row>
    <row r="16" spans="2:11" x14ac:dyDescent="0.45">
      <c r="B16" s="76"/>
      <c r="C16" s="8"/>
      <c r="D16" s="9">
        <v>3</v>
      </c>
      <c r="E16" s="8"/>
      <c r="F16" s="9">
        <v>7</v>
      </c>
      <c r="H16" s="9">
        <v>1</v>
      </c>
      <c r="J16" s="9">
        <v>4</v>
      </c>
      <c r="K16" s="14"/>
    </row>
    <row r="17" spans="2:11" x14ac:dyDescent="0.45">
      <c r="B17" s="76"/>
      <c r="C17" s="8"/>
      <c r="D17" s="9">
        <v>3</v>
      </c>
      <c r="E17" s="8"/>
      <c r="F17" s="9">
        <v>8</v>
      </c>
      <c r="H17" s="9">
        <v>1</v>
      </c>
      <c r="J17" s="9">
        <v>4</v>
      </c>
      <c r="K17" s="14"/>
    </row>
    <row r="18" spans="2:11" x14ac:dyDescent="0.45">
      <c r="B18" s="76"/>
      <c r="C18" s="8"/>
      <c r="D18" s="9">
        <v>3</v>
      </c>
      <c r="E18" s="8"/>
      <c r="F18" s="9">
        <v>9</v>
      </c>
      <c r="H18" s="9">
        <v>2</v>
      </c>
      <c r="J18" s="9">
        <v>5</v>
      </c>
      <c r="K18" s="14"/>
    </row>
    <row r="19" spans="2:11" x14ac:dyDescent="0.45">
      <c r="B19" s="76"/>
      <c r="C19" s="8"/>
      <c r="D19" s="9">
        <v>2</v>
      </c>
      <c r="E19" s="8"/>
      <c r="F19" s="9">
        <v>10</v>
      </c>
      <c r="H19" s="9">
        <v>2</v>
      </c>
      <c r="J19" s="9">
        <v>5</v>
      </c>
      <c r="K19" s="14"/>
    </row>
    <row r="20" spans="2:11" x14ac:dyDescent="0.45">
      <c r="B20" s="76"/>
      <c r="C20" s="8"/>
      <c r="D20" s="9">
        <v>2</v>
      </c>
      <c r="E20" s="8"/>
      <c r="F20" s="9">
        <v>9</v>
      </c>
      <c r="H20" s="9">
        <v>2</v>
      </c>
      <c r="J20" s="9">
        <v>6</v>
      </c>
      <c r="K20" s="14"/>
    </row>
    <row r="21" spans="2:11" x14ac:dyDescent="0.45">
      <c r="B21" s="76"/>
      <c r="C21" s="8"/>
      <c r="D21" s="9">
        <v>2</v>
      </c>
      <c r="E21" s="8"/>
      <c r="F21" s="9">
        <v>8</v>
      </c>
      <c r="H21" s="9">
        <v>2</v>
      </c>
      <c r="J21" s="9">
        <v>6</v>
      </c>
      <c r="K21" s="14"/>
    </row>
    <row r="22" spans="2:11" x14ac:dyDescent="0.45">
      <c r="B22" s="76"/>
      <c r="C22" s="8"/>
      <c r="D22" s="9">
        <v>1</v>
      </c>
      <c r="E22" s="8"/>
      <c r="F22" s="9">
        <v>7</v>
      </c>
      <c r="H22" s="9">
        <v>2</v>
      </c>
      <c r="J22" s="9">
        <v>5</v>
      </c>
      <c r="K22" s="14"/>
    </row>
    <row r="23" spans="2:11" x14ac:dyDescent="0.45">
      <c r="B23" s="76"/>
      <c r="C23" s="8"/>
      <c r="D23" s="9">
        <v>1</v>
      </c>
      <c r="E23" s="8"/>
      <c r="F23" s="9">
        <v>6</v>
      </c>
      <c r="H23" s="9">
        <v>2</v>
      </c>
      <c r="J23" s="9">
        <v>5</v>
      </c>
      <c r="K23" s="14"/>
    </row>
    <row r="24" spans="2:11" x14ac:dyDescent="0.45">
      <c r="B24" s="76"/>
      <c r="C24" s="8"/>
      <c r="D24" s="9">
        <v>1</v>
      </c>
      <c r="E24" s="8"/>
      <c r="F24" s="9">
        <v>5</v>
      </c>
      <c r="H24" s="9">
        <v>2</v>
      </c>
      <c r="J24" s="9">
        <v>4</v>
      </c>
      <c r="K24" s="14"/>
    </row>
    <row r="25" spans="2:11" x14ac:dyDescent="0.45">
      <c r="B25" s="13"/>
      <c r="D25" s="8"/>
      <c r="E25" s="8"/>
      <c r="F25" s="9">
        <v>4</v>
      </c>
      <c r="H25" s="9">
        <v>2</v>
      </c>
      <c r="J25" s="9">
        <v>4</v>
      </c>
      <c r="K25" s="14"/>
    </row>
    <row r="26" spans="2:11" x14ac:dyDescent="0.45">
      <c r="B26" s="13"/>
      <c r="D26" s="8"/>
      <c r="E26" s="8"/>
      <c r="F26" s="9">
        <v>3</v>
      </c>
      <c r="H26" s="9">
        <v>1</v>
      </c>
      <c r="J26" s="9">
        <v>3</v>
      </c>
      <c r="K26" s="14"/>
    </row>
    <row r="27" spans="2:11" x14ac:dyDescent="0.45">
      <c r="B27" s="13"/>
      <c r="D27" s="8"/>
      <c r="E27" s="8"/>
      <c r="F27" s="9">
        <v>2</v>
      </c>
      <c r="H27" s="9">
        <v>1</v>
      </c>
      <c r="J27" s="9">
        <v>3</v>
      </c>
      <c r="K27" s="14"/>
    </row>
    <row r="28" spans="2:11" x14ac:dyDescent="0.45">
      <c r="B28" s="13"/>
      <c r="D28" s="8"/>
      <c r="E28" s="8"/>
      <c r="F28" s="9">
        <v>1</v>
      </c>
      <c r="H28" s="9">
        <v>1</v>
      </c>
      <c r="J28" s="9">
        <v>2</v>
      </c>
      <c r="K28" s="14"/>
    </row>
    <row r="29" spans="2:11" x14ac:dyDescent="0.45">
      <c r="B29" s="13"/>
      <c r="H29" s="9">
        <v>1</v>
      </c>
      <c r="J29" s="9">
        <v>2</v>
      </c>
      <c r="K29" s="14"/>
    </row>
    <row r="30" spans="2:11" x14ac:dyDescent="0.45">
      <c r="B30" s="13"/>
      <c r="H30" s="9">
        <v>1</v>
      </c>
      <c r="J30" s="9">
        <v>1</v>
      </c>
      <c r="K30" s="14"/>
    </row>
    <row r="31" spans="2:11" x14ac:dyDescent="0.45">
      <c r="B31" s="13"/>
      <c r="H31" s="9">
        <v>1</v>
      </c>
      <c r="J31" s="9">
        <v>1</v>
      </c>
      <c r="K31" s="14"/>
    </row>
    <row r="32" spans="2:11" x14ac:dyDescent="0.45">
      <c r="B32" s="13"/>
      <c r="H32" s="9">
        <v>1</v>
      </c>
      <c r="K32" s="14"/>
    </row>
    <row r="33" spans="2:11" x14ac:dyDescent="0.45">
      <c r="B33" s="13"/>
      <c r="H33" s="9">
        <v>1</v>
      </c>
      <c r="K33" s="14"/>
    </row>
    <row r="34" spans="2:11" x14ac:dyDescent="0.45">
      <c r="B34" s="13"/>
      <c r="K34" s="14"/>
    </row>
    <row r="35" spans="2:11" x14ac:dyDescent="0.45">
      <c r="B35" s="16"/>
      <c r="C35" s="17"/>
      <c r="D35" s="17"/>
      <c r="E35" s="17"/>
      <c r="F35" s="17"/>
      <c r="G35" s="17"/>
      <c r="H35" s="17"/>
      <c r="I35" s="17"/>
      <c r="J35" s="17"/>
      <c r="K35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30975-708F-48E9-880A-5063ED2FE894}">
  <sheetPr>
    <tabColor rgb="FFB8DAD2"/>
  </sheetPr>
  <dimension ref="B2:P43"/>
  <sheetViews>
    <sheetView workbookViewId="0"/>
  </sheetViews>
  <sheetFormatPr defaultRowHeight="16.5" x14ac:dyDescent="0.45"/>
  <cols>
    <col min="1" max="1" width="5" customWidth="1"/>
    <col min="2" max="16" width="6.58203125" customWidth="1"/>
  </cols>
  <sheetData>
    <row r="2" spans="2:16" x14ac:dyDescent="0.45">
      <c r="B2" s="30" t="s">
        <v>78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2"/>
    </row>
    <row r="3" spans="2:16" x14ac:dyDescent="0.45">
      <c r="B3" s="13" t="s">
        <v>79</v>
      </c>
      <c r="P3" s="14"/>
    </row>
    <row r="4" spans="2:16" x14ac:dyDescent="0.45">
      <c r="B4" s="15" t="s">
        <v>43</v>
      </c>
      <c r="P4" s="14"/>
    </row>
    <row r="5" spans="2:16" x14ac:dyDescent="0.45">
      <c r="B5" s="13" t="s">
        <v>80</v>
      </c>
      <c r="P5" s="14"/>
    </row>
    <row r="6" spans="2:16" x14ac:dyDescent="0.45">
      <c r="B6" s="16" t="s">
        <v>81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8"/>
    </row>
    <row r="7" spans="2:16" x14ac:dyDescent="0.45">
      <c r="B7" s="13"/>
      <c r="P7" s="14"/>
    </row>
    <row r="8" spans="2:16" x14ac:dyDescent="0.45">
      <c r="B8" s="13"/>
      <c r="D8" s="21" t="s">
        <v>82</v>
      </c>
      <c r="P8" s="14"/>
    </row>
    <row r="9" spans="2:16" x14ac:dyDescent="0.45">
      <c r="B9" s="13"/>
      <c r="D9" s="33">
        <v>1</v>
      </c>
      <c r="E9" s="34">
        <v>2</v>
      </c>
      <c r="F9" s="35">
        <v>3</v>
      </c>
      <c r="G9" s="36">
        <v>4</v>
      </c>
      <c r="H9" s="37">
        <v>5</v>
      </c>
      <c r="I9" s="38">
        <v>6</v>
      </c>
      <c r="P9" s="14"/>
    </row>
    <row r="10" spans="2:16" x14ac:dyDescent="0.45">
      <c r="B10" s="13"/>
      <c r="D10" s="9">
        <v>7</v>
      </c>
      <c r="E10" s="33">
        <v>8</v>
      </c>
      <c r="F10" s="34">
        <v>9</v>
      </c>
      <c r="G10" s="35">
        <v>10</v>
      </c>
      <c r="H10" s="36">
        <v>11</v>
      </c>
      <c r="I10" s="37">
        <v>12</v>
      </c>
      <c r="P10" s="14"/>
    </row>
    <row r="11" spans="2:16" x14ac:dyDescent="0.45">
      <c r="B11" s="13"/>
      <c r="D11" s="9">
        <v>13</v>
      </c>
      <c r="E11" s="9">
        <v>14</v>
      </c>
      <c r="F11" s="33">
        <v>15</v>
      </c>
      <c r="G11" s="34">
        <v>16</v>
      </c>
      <c r="H11" s="35">
        <v>17</v>
      </c>
      <c r="I11" s="36">
        <v>18</v>
      </c>
      <c r="P11" s="14"/>
    </row>
    <row r="12" spans="2:16" x14ac:dyDescent="0.45">
      <c r="B12" s="13"/>
      <c r="D12" s="9">
        <v>19</v>
      </c>
      <c r="E12" s="9">
        <v>20</v>
      </c>
      <c r="F12" s="9">
        <v>21</v>
      </c>
      <c r="G12" s="33">
        <v>22</v>
      </c>
      <c r="H12" s="34">
        <v>23</v>
      </c>
      <c r="I12" s="35">
        <v>24</v>
      </c>
      <c r="P12" s="14"/>
    </row>
    <row r="13" spans="2:16" x14ac:dyDescent="0.45">
      <c r="B13" s="13"/>
      <c r="D13" s="9">
        <v>25</v>
      </c>
      <c r="E13" s="9">
        <v>26</v>
      </c>
      <c r="F13" s="9">
        <v>27</v>
      </c>
      <c r="G13" s="9">
        <v>28</v>
      </c>
      <c r="H13" s="33">
        <v>29</v>
      </c>
      <c r="I13" s="34">
        <v>30</v>
      </c>
      <c r="P13" s="14"/>
    </row>
    <row r="14" spans="2:16" x14ac:dyDescent="0.45">
      <c r="B14" s="13"/>
      <c r="D14" s="9">
        <v>31</v>
      </c>
      <c r="E14" s="9">
        <v>32</v>
      </c>
      <c r="F14" s="9">
        <v>33</v>
      </c>
      <c r="G14" s="9">
        <v>34</v>
      </c>
      <c r="H14" s="9">
        <v>35</v>
      </c>
      <c r="I14" s="33">
        <v>36</v>
      </c>
      <c r="P14" s="14"/>
    </row>
    <row r="15" spans="2:16" ht="17" thickBot="1" x14ac:dyDescent="0.5">
      <c r="B15" s="39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1"/>
    </row>
    <row r="16" spans="2:16" ht="17" thickTop="1" x14ac:dyDescent="0.45">
      <c r="B16" s="13"/>
      <c r="C16" s="20" t="s">
        <v>85</v>
      </c>
      <c r="J16" s="20" t="s">
        <v>92</v>
      </c>
      <c r="P16" s="14"/>
    </row>
    <row r="17" spans="2:16" x14ac:dyDescent="0.45">
      <c r="B17" s="13"/>
      <c r="C17" s="22" t="s">
        <v>83</v>
      </c>
      <c r="J17" s="22" t="s">
        <v>91</v>
      </c>
      <c r="P17" s="14"/>
    </row>
    <row r="18" spans="2:16" x14ac:dyDescent="0.45">
      <c r="B18" s="13"/>
      <c r="C18" s="9" cm="1">
        <f t="array" ref="C18:H18">ByDiagλ(Grid,_xleta.SUM)</f>
        <v>111</v>
      </c>
      <c r="D18" s="9">
        <v>80</v>
      </c>
      <c r="E18" s="9">
        <v>54</v>
      </c>
      <c r="F18" s="9">
        <v>33</v>
      </c>
      <c r="G18" s="9">
        <v>17</v>
      </c>
      <c r="H18" s="9">
        <v>6</v>
      </c>
      <c r="J18" s="9" cm="1">
        <f t="array" ref="J18:J23">ByDiagλ(Grid,_xleta.SUM,TRUE)</f>
        <v>111</v>
      </c>
      <c r="P18" s="14"/>
    </row>
    <row r="19" spans="2:16" x14ac:dyDescent="0.45">
      <c r="B19" s="13"/>
      <c r="J19" s="9">
        <v>80</v>
      </c>
      <c r="P19" s="14"/>
    </row>
    <row r="20" spans="2:16" x14ac:dyDescent="0.45">
      <c r="B20" s="13"/>
      <c r="C20" s="20" t="s">
        <v>84</v>
      </c>
      <c r="J20" s="9">
        <v>54</v>
      </c>
      <c r="P20" s="14"/>
    </row>
    <row r="21" spans="2:16" x14ac:dyDescent="0.45">
      <c r="B21" s="13"/>
      <c r="C21" s="22" t="s">
        <v>86</v>
      </c>
      <c r="J21" s="9">
        <v>33</v>
      </c>
      <c r="P21" s="14"/>
    </row>
    <row r="22" spans="2:16" x14ac:dyDescent="0.45">
      <c r="B22" s="13"/>
      <c r="C22" s="9" cm="1">
        <f t="array" ref="C22:H22">ByDiagλ(Grid,_xleta.COUNT)</f>
        <v>6</v>
      </c>
      <c r="D22" s="9">
        <v>5</v>
      </c>
      <c r="E22" s="9">
        <v>4</v>
      </c>
      <c r="F22" s="9">
        <v>3</v>
      </c>
      <c r="G22" s="9">
        <v>2</v>
      </c>
      <c r="H22" s="9">
        <v>1</v>
      </c>
      <c r="J22" s="9">
        <v>17</v>
      </c>
      <c r="P22" s="14"/>
    </row>
    <row r="23" spans="2:16" x14ac:dyDescent="0.45">
      <c r="B23" s="13"/>
      <c r="J23" s="9">
        <v>6</v>
      </c>
      <c r="P23" s="14"/>
    </row>
    <row r="24" spans="2:16" x14ac:dyDescent="0.45">
      <c r="B24" s="13"/>
      <c r="P24" s="14"/>
    </row>
    <row r="25" spans="2:16" x14ac:dyDescent="0.45">
      <c r="B25" s="13"/>
      <c r="C25" s="20" t="s">
        <v>88</v>
      </c>
      <c r="J25" s="20" t="s">
        <v>94</v>
      </c>
      <c r="P25" s="14"/>
    </row>
    <row r="26" spans="2:16" x14ac:dyDescent="0.45">
      <c r="B26" s="13"/>
      <c r="C26" s="22" t="s">
        <v>87</v>
      </c>
      <c r="J26" s="22" t="s">
        <v>93</v>
      </c>
      <c r="P26" s="14"/>
    </row>
    <row r="27" spans="2:16" x14ac:dyDescent="0.45">
      <c r="B27" s="13"/>
      <c r="C27" s="9" cm="1">
        <f t="array" ref="C27:H27">ByDiagλ(Grid,_xleta.AVERAGE)</f>
        <v>18.5</v>
      </c>
      <c r="D27" s="9">
        <v>16</v>
      </c>
      <c r="E27" s="9">
        <v>13.5</v>
      </c>
      <c r="F27" s="9">
        <v>11</v>
      </c>
      <c r="G27" s="9">
        <v>8.5</v>
      </c>
      <c r="H27" s="9">
        <v>6</v>
      </c>
      <c r="J27" s="9" cm="1">
        <f t="array" ref="J27:O32">DiagMapλ(Grid)</f>
        <v>1</v>
      </c>
      <c r="K27" s="9">
        <v>2</v>
      </c>
      <c r="L27" s="9">
        <v>3</v>
      </c>
      <c r="M27" s="9">
        <v>4</v>
      </c>
      <c r="N27" s="9">
        <v>5</v>
      </c>
      <c r="O27" s="9">
        <v>6</v>
      </c>
      <c r="P27" s="14"/>
    </row>
    <row r="28" spans="2:16" x14ac:dyDescent="0.45">
      <c r="B28" s="13"/>
      <c r="J28" s="9">
        <v>8</v>
      </c>
      <c r="K28" s="9">
        <v>9</v>
      </c>
      <c r="L28" s="9">
        <v>10</v>
      </c>
      <c r="M28" s="9">
        <v>11</v>
      </c>
      <c r="N28" s="9">
        <v>12</v>
      </c>
      <c r="O28" s="23" t="str">
        <v/>
      </c>
      <c r="P28" s="14"/>
    </row>
    <row r="29" spans="2:16" x14ac:dyDescent="0.45">
      <c r="B29" s="13"/>
      <c r="C29" s="20" t="s">
        <v>90</v>
      </c>
      <c r="J29" s="9">
        <v>15</v>
      </c>
      <c r="K29" s="9">
        <v>16</v>
      </c>
      <c r="L29" s="9">
        <v>17</v>
      </c>
      <c r="M29" s="9">
        <v>18</v>
      </c>
      <c r="N29" s="42" t="str">
        <v/>
      </c>
      <c r="O29" s="23" t="str">
        <v/>
      </c>
      <c r="P29" s="14"/>
    </row>
    <row r="30" spans="2:16" x14ac:dyDescent="0.45">
      <c r="B30" s="13"/>
      <c r="C30" s="22" t="s">
        <v>89</v>
      </c>
      <c r="J30" s="9">
        <v>22</v>
      </c>
      <c r="K30" s="9">
        <v>23</v>
      </c>
      <c r="L30" s="9">
        <v>24</v>
      </c>
      <c r="M30" s="42" t="str">
        <v/>
      </c>
      <c r="N30" s="23" t="str">
        <v/>
      </c>
      <c r="O30" s="23" t="str">
        <v/>
      </c>
      <c r="P30" s="14"/>
    </row>
    <row r="31" spans="2:16" x14ac:dyDescent="0.45">
      <c r="B31" s="13"/>
      <c r="C31" s="9" cm="1">
        <f t="array" ref="C31:H31">ByDiagλ(Grid,_xlfn.LAMBDA(_xlpm.v,MAX(_xlpm.v)-MIN(_xlpm.v)))</f>
        <v>35</v>
      </c>
      <c r="D31" s="9">
        <v>28</v>
      </c>
      <c r="E31" s="9">
        <v>21</v>
      </c>
      <c r="F31" s="9">
        <v>14</v>
      </c>
      <c r="G31" s="9">
        <v>7</v>
      </c>
      <c r="H31" s="9">
        <v>0</v>
      </c>
      <c r="J31" s="9">
        <v>29</v>
      </c>
      <c r="K31" s="9">
        <v>30</v>
      </c>
      <c r="L31" s="42" t="str">
        <v/>
      </c>
      <c r="M31" s="23" t="str">
        <v/>
      </c>
      <c r="N31" s="23" t="str">
        <v/>
      </c>
      <c r="O31" s="23" t="str">
        <v/>
      </c>
      <c r="P31" s="14"/>
    </row>
    <row r="32" spans="2:16" x14ac:dyDescent="0.45">
      <c r="B32" s="13"/>
      <c r="J32" s="9">
        <v>36</v>
      </c>
      <c r="K32" s="42" t="str">
        <v/>
      </c>
      <c r="L32" s="23" t="str">
        <v/>
      </c>
      <c r="M32" s="23" t="str">
        <v/>
      </c>
      <c r="N32" s="23" t="str">
        <v/>
      </c>
      <c r="O32" s="23" t="str">
        <v/>
      </c>
      <c r="P32" s="14"/>
    </row>
    <row r="33" spans="2:16" x14ac:dyDescent="0.45">
      <c r="B33" s="13"/>
      <c r="P33" s="14"/>
    </row>
    <row r="34" spans="2:16" x14ac:dyDescent="0.45">
      <c r="B34" s="13"/>
      <c r="J34" s="20" t="s">
        <v>96</v>
      </c>
      <c r="P34" s="14"/>
    </row>
    <row r="35" spans="2:16" x14ac:dyDescent="0.45">
      <c r="B35" s="13"/>
      <c r="J35" s="45" t="s">
        <v>95</v>
      </c>
      <c r="K35" s="17"/>
      <c r="L35" s="17"/>
      <c r="M35" s="17"/>
      <c r="N35" s="17"/>
      <c r="O35" s="17"/>
      <c r="P35" s="14"/>
    </row>
    <row r="36" spans="2:16" x14ac:dyDescent="0.45">
      <c r="B36" s="13"/>
      <c r="J36" s="9" cm="1">
        <f t="array" ref="J36:O41">DiagMapλ(Grid,TRUE)</f>
        <v>1</v>
      </c>
      <c r="K36" s="9">
        <v>8</v>
      </c>
      <c r="L36" s="9">
        <v>15</v>
      </c>
      <c r="M36" s="9">
        <v>22</v>
      </c>
      <c r="N36" s="9">
        <v>29</v>
      </c>
      <c r="O36" s="9">
        <v>36</v>
      </c>
      <c r="P36" s="14"/>
    </row>
    <row r="37" spans="2:16" x14ac:dyDescent="0.45">
      <c r="B37" s="13"/>
      <c r="J37" s="9">
        <v>2</v>
      </c>
      <c r="K37" s="9">
        <v>9</v>
      </c>
      <c r="L37" s="9">
        <v>16</v>
      </c>
      <c r="M37" s="9">
        <v>23</v>
      </c>
      <c r="N37" s="9">
        <v>30</v>
      </c>
      <c r="O37" t="str">
        <v/>
      </c>
      <c r="P37" s="14"/>
    </row>
    <row r="38" spans="2:16" x14ac:dyDescent="0.45">
      <c r="B38" s="13"/>
      <c r="J38" s="9">
        <v>3</v>
      </c>
      <c r="K38" s="9">
        <v>10</v>
      </c>
      <c r="L38" s="9">
        <v>17</v>
      </c>
      <c r="M38" s="9">
        <v>24</v>
      </c>
      <c r="N38" t="str">
        <v/>
      </c>
      <c r="O38" t="str">
        <v/>
      </c>
      <c r="P38" s="14"/>
    </row>
    <row r="39" spans="2:16" x14ac:dyDescent="0.45">
      <c r="B39" s="13"/>
      <c r="J39" s="9">
        <v>4</v>
      </c>
      <c r="K39" s="9">
        <v>11</v>
      </c>
      <c r="L39" s="9">
        <v>18</v>
      </c>
      <c r="M39" t="str">
        <v/>
      </c>
      <c r="N39" t="str">
        <v/>
      </c>
      <c r="O39" t="str">
        <v/>
      </c>
      <c r="P39" s="14"/>
    </row>
    <row r="40" spans="2:16" x14ac:dyDescent="0.45">
      <c r="B40" s="13"/>
      <c r="J40" s="9">
        <v>5</v>
      </c>
      <c r="K40" s="9">
        <v>12</v>
      </c>
      <c r="L40" t="str">
        <v/>
      </c>
      <c r="M40" t="str">
        <v/>
      </c>
      <c r="N40" t="str">
        <v/>
      </c>
      <c r="O40" t="str">
        <v/>
      </c>
      <c r="P40" s="14"/>
    </row>
    <row r="41" spans="2:16" x14ac:dyDescent="0.45">
      <c r="B41" s="13"/>
      <c r="J41" s="9">
        <v>6</v>
      </c>
      <c r="K41" t="str">
        <v/>
      </c>
      <c r="L41" t="str">
        <v/>
      </c>
      <c r="M41" t="str">
        <v/>
      </c>
      <c r="N41" t="str">
        <v/>
      </c>
      <c r="O41" t="str">
        <v/>
      </c>
      <c r="P41" s="14"/>
    </row>
    <row r="42" spans="2:16" x14ac:dyDescent="0.45">
      <c r="B42" s="13"/>
      <c r="P42" s="14"/>
    </row>
    <row r="43" spans="2:16" x14ac:dyDescent="0.45">
      <c r="B43" s="16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8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FA356-E2AB-497C-8BFE-1303C0177002}">
  <sheetPr>
    <tabColor rgb="FFB8DAD2"/>
  </sheetPr>
  <dimension ref="B2:L34"/>
  <sheetViews>
    <sheetView zoomScaleNormal="100" workbookViewId="0"/>
  </sheetViews>
  <sheetFormatPr defaultRowHeight="16.5" x14ac:dyDescent="0.45"/>
  <cols>
    <col min="1" max="1" width="5" customWidth="1"/>
    <col min="3" max="10" width="6.58203125" customWidth="1"/>
  </cols>
  <sheetData>
    <row r="2" spans="2:12" x14ac:dyDescent="0.45">
      <c r="B2" s="30" t="s">
        <v>97</v>
      </c>
      <c r="C2" s="11"/>
      <c r="D2" s="11"/>
      <c r="E2" s="11"/>
      <c r="F2" s="11"/>
      <c r="G2" s="11"/>
      <c r="H2" s="11"/>
      <c r="I2" s="11"/>
      <c r="J2" s="11"/>
      <c r="K2" s="11"/>
      <c r="L2" s="12"/>
    </row>
    <row r="3" spans="2:12" x14ac:dyDescent="0.45">
      <c r="B3" s="13" t="s">
        <v>98</v>
      </c>
      <c r="L3" s="14"/>
    </row>
    <row r="4" spans="2:12" x14ac:dyDescent="0.45">
      <c r="B4" s="16" t="s">
        <v>99</v>
      </c>
      <c r="C4" s="17"/>
      <c r="D4" s="17"/>
      <c r="E4" s="17"/>
      <c r="F4" s="17"/>
      <c r="G4" s="17"/>
      <c r="H4" s="17"/>
      <c r="I4" s="17"/>
      <c r="J4" s="17"/>
      <c r="K4" s="17"/>
      <c r="L4" s="18"/>
    </row>
    <row r="5" spans="2:12" ht="5" customHeight="1" x14ac:dyDescent="0.45">
      <c r="B5" s="13"/>
      <c r="L5" s="14"/>
    </row>
    <row r="6" spans="2:12" ht="17" thickBot="1" x14ac:dyDescent="0.5">
      <c r="B6" s="13"/>
      <c r="C6" s="21" t="s">
        <v>100</v>
      </c>
      <c r="L6" s="14"/>
    </row>
    <row r="7" spans="2:12" ht="20" customHeight="1" thickTop="1" thickBot="1" x14ac:dyDescent="0.5">
      <c r="B7" s="13"/>
      <c r="C7" s="50">
        <v>1</v>
      </c>
      <c r="D7" s="51">
        <v>2</v>
      </c>
      <c r="E7" s="52">
        <v>3</v>
      </c>
      <c r="F7" s="50">
        <v>4</v>
      </c>
      <c r="G7" s="51">
        <v>5</v>
      </c>
      <c r="H7" s="53">
        <v>6</v>
      </c>
      <c r="I7" s="53">
        <v>7</v>
      </c>
      <c r="J7" s="53">
        <v>8</v>
      </c>
      <c r="L7" s="14"/>
    </row>
    <row r="8" spans="2:12" ht="20" customHeight="1" thickTop="1" x14ac:dyDescent="0.45">
      <c r="B8" s="13"/>
      <c r="C8" s="54">
        <v>9</v>
      </c>
      <c r="D8" s="55">
        <v>10</v>
      </c>
      <c r="E8" s="56">
        <v>11</v>
      </c>
      <c r="F8" s="54">
        <v>12</v>
      </c>
      <c r="G8" s="57">
        <v>13</v>
      </c>
      <c r="H8" s="53">
        <v>14</v>
      </c>
      <c r="I8" s="53">
        <v>15</v>
      </c>
      <c r="J8" s="53">
        <v>16</v>
      </c>
      <c r="L8" s="14"/>
    </row>
    <row r="9" spans="2:12" ht="20" customHeight="1" x14ac:dyDescent="0.45">
      <c r="B9" s="13"/>
      <c r="C9" s="53">
        <v>17</v>
      </c>
      <c r="D9" s="56">
        <v>18</v>
      </c>
      <c r="E9" s="55">
        <v>19</v>
      </c>
      <c r="F9" s="53">
        <v>20</v>
      </c>
      <c r="G9" s="53">
        <v>21</v>
      </c>
      <c r="H9" s="57">
        <v>22</v>
      </c>
      <c r="I9" s="53">
        <v>23</v>
      </c>
      <c r="J9" s="53">
        <v>24</v>
      </c>
      <c r="L9" s="14"/>
    </row>
    <row r="10" spans="2:12" ht="20" customHeight="1" x14ac:dyDescent="0.45">
      <c r="B10" s="13"/>
      <c r="C10" s="56">
        <v>25</v>
      </c>
      <c r="D10" s="53">
        <v>26</v>
      </c>
      <c r="E10" s="53">
        <v>27</v>
      </c>
      <c r="F10" s="55">
        <v>28</v>
      </c>
      <c r="G10" s="53">
        <v>29</v>
      </c>
      <c r="H10" s="53">
        <v>30</v>
      </c>
      <c r="I10" s="57">
        <v>31</v>
      </c>
      <c r="J10" s="53">
        <v>32</v>
      </c>
      <c r="L10" s="14"/>
    </row>
    <row r="11" spans="2:12" ht="20" customHeight="1" x14ac:dyDescent="0.45">
      <c r="B11" s="13"/>
      <c r="C11" s="53">
        <v>33</v>
      </c>
      <c r="D11" s="53">
        <v>34</v>
      </c>
      <c r="E11" s="53">
        <v>35</v>
      </c>
      <c r="F11" s="53">
        <v>36</v>
      </c>
      <c r="G11" s="55">
        <v>37</v>
      </c>
      <c r="H11" s="53">
        <v>38</v>
      </c>
      <c r="I11" s="53">
        <v>39</v>
      </c>
      <c r="J11" s="57">
        <v>40</v>
      </c>
      <c r="L11" s="14"/>
    </row>
    <row r="12" spans="2:12" ht="20" customHeight="1" x14ac:dyDescent="0.45">
      <c r="B12" s="13"/>
      <c r="C12" s="53">
        <v>41</v>
      </c>
      <c r="D12" s="53">
        <v>42</v>
      </c>
      <c r="E12" s="53">
        <v>43</v>
      </c>
      <c r="F12" s="53">
        <v>44</v>
      </c>
      <c r="G12" s="53">
        <v>45</v>
      </c>
      <c r="H12" s="55">
        <v>46</v>
      </c>
      <c r="I12" s="53">
        <v>47</v>
      </c>
      <c r="J12" s="53">
        <v>48</v>
      </c>
      <c r="L12" s="14"/>
    </row>
    <row r="13" spans="2:12" ht="20" customHeight="1" x14ac:dyDescent="0.45">
      <c r="B13" s="13"/>
      <c r="C13" s="53">
        <v>49</v>
      </c>
      <c r="D13" s="53">
        <v>50</v>
      </c>
      <c r="E13" s="53">
        <v>51</v>
      </c>
      <c r="F13" s="53">
        <v>52</v>
      </c>
      <c r="G13" s="53">
        <v>53</v>
      </c>
      <c r="H13" s="53">
        <v>54</v>
      </c>
      <c r="I13" s="55">
        <v>55</v>
      </c>
      <c r="J13" s="53">
        <v>56</v>
      </c>
      <c r="L13" s="14"/>
    </row>
    <row r="14" spans="2:12" ht="20" customHeight="1" x14ac:dyDescent="0.45">
      <c r="B14" s="13"/>
      <c r="C14" s="53">
        <v>57</v>
      </c>
      <c r="D14" s="53">
        <v>58</v>
      </c>
      <c r="E14" s="53">
        <v>59</v>
      </c>
      <c r="F14" s="53">
        <v>60</v>
      </c>
      <c r="G14" s="53">
        <v>61</v>
      </c>
      <c r="H14" s="53">
        <v>62</v>
      </c>
      <c r="I14" s="53">
        <v>63</v>
      </c>
      <c r="J14" s="55">
        <v>64</v>
      </c>
      <c r="L14" s="14"/>
    </row>
    <row r="15" spans="2:12" ht="15.5" customHeight="1" x14ac:dyDescent="0.45">
      <c r="B15" s="13"/>
      <c r="L15" s="14"/>
    </row>
    <row r="16" spans="2:12" x14ac:dyDescent="0.45">
      <c r="B16" s="13"/>
      <c r="C16" s="20" t="s">
        <v>102</v>
      </c>
      <c r="H16" s="20" t="s">
        <v>104</v>
      </c>
      <c r="L16" s="14"/>
    </row>
    <row r="17" spans="2:12" x14ac:dyDescent="0.45">
      <c r="B17" s="13"/>
      <c r="C17" s="22" t="s">
        <v>101</v>
      </c>
      <c r="H17" s="22" t="s">
        <v>103</v>
      </c>
      <c r="L17" s="14"/>
    </row>
    <row r="18" spans="2:12" x14ac:dyDescent="0.45">
      <c r="B18" s="13"/>
      <c r="C18" s="47" cm="1">
        <f t="array" ref="C18:C22">DiagIndexλ(GridB,4)</f>
        <v>4</v>
      </c>
      <c r="H18" s="49" cm="1">
        <f t="array" ref="H18:H21">DiagIndexλ(GridB,-4)</f>
        <v>4</v>
      </c>
      <c r="L18" s="14"/>
    </row>
    <row r="19" spans="2:12" x14ac:dyDescent="0.45">
      <c r="B19" s="13"/>
      <c r="C19" s="47">
        <v>13</v>
      </c>
      <c r="H19" s="49">
        <v>11</v>
      </c>
      <c r="L19" s="14"/>
    </row>
    <row r="20" spans="2:12" x14ac:dyDescent="0.45">
      <c r="B20" s="13"/>
      <c r="C20" s="47">
        <v>22</v>
      </c>
      <c r="H20" s="49">
        <v>18</v>
      </c>
      <c r="L20" s="14"/>
    </row>
    <row r="21" spans="2:12" x14ac:dyDescent="0.45">
      <c r="B21" s="13"/>
      <c r="C21" s="47">
        <v>31</v>
      </c>
      <c r="H21" s="49">
        <v>25</v>
      </c>
      <c r="L21" s="14"/>
    </row>
    <row r="22" spans="2:12" x14ac:dyDescent="0.45">
      <c r="B22" s="13"/>
      <c r="C22" s="47">
        <v>40</v>
      </c>
      <c r="L22" s="14"/>
    </row>
    <row r="23" spans="2:12" x14ac:dyDescent="0.45">
      <c r="B23" s="13"/>
      <c r="L23" s="14"/>
    </row>
    <row r="24" spans="2:12" x14ac:dyDescent="0.45">
      <c r="B24" s="13"/>
      <c r="C24" s="20" t="s">
        <v>106</v>
      </c>
      <c r="H24" s="20" t="s">
        <v>108</v>
      </c>
      <c r="L24" s="14"/>
    </row>
    <row r="25" spans="2:12" ht="17" thickBot="1" x14ac:dyDescent="0.5">
      <c r="B25" s="13"/>
      <c r="C25" s="22" t="s">
        <v>105</v>
      </c>
      <c r="H25" s="22" t="s">
        <v>107</v>
      </c>
      <c r="L25" s="14"/>
    </row>
    <row r="26" spans="2:12" ht="17.5" thickTop="1" thickBot="1" x14ac:dyDescent="0.5">
      <c r="B26" s="13"/>
      <c r="C26" s="48" cm="1">
        <f t="array" ref="C26:C33">DiagIndexλ(GridB,1)</f>
        <v>1</v>
      </c>
      <c r="H26" s="46" cm="1">
        <f t="array" ref="H26">DiagIndexλ(GridB,-1)</f>
        <v>1</v>
      </c>
      <c r="L26" s="14"/>
    </row>
    <row r="27" spans="2:12" ht="17" thickTop="1" x14ac:dyDescent="0.45">
      <c r="B27" s="13"/>
      <c r="C27" s="48">
        <v>10</v>
      </c>
      <c r="L27" s="14"/>
    </row>
    <row r="28" spans="2:12" x14ac:dyDescent="0.45">
      <c r="B28" s="13"/>
      <c r="C28" s="48">
        <v>19</v>
      </c>
      <c r="L28" s="14"/>
    </row>
    <row r="29" spans="2:12" x14ac:dyDescent="0.45">
      <c r="B29" s="13"/>
      <c r="C29" s="48">
        <v>28</v>
      </c>
      <c r="L29" s="14"/>
    </row>
    <row r="30" spans="2:12" x14ac:dyDescent="0.45">
      <c r="B30" s="13"/>
      <c r="C30" s="48">
        <v>37</v>
      </c>
      <c r="L30" s="14"/>
    </row>
    <row r="31" spans="2:12" x14ac:dyDescent="0.45">
      <c r="B31" s="13"/>
      <c r="C31" s="48">
        <v>46</v>
      </c>
      <c r="L31" s="14"/>
    </row>
    <row r="32" spans="2:12" x14ac:dyDescent="0.45">
      <c r="B32" s="13"/>
      <c r="C32" s="48">
        <v>55</v>
      </c>
      <c r="L32" s="14"/>
    </row>
    <row r="33" spans="2:12" x14ac:dyDescent="0.45">
      <c r="B33" s="13"/>
      <c r="C33" s="48">
        <v>64</v>
      </c>
      <c r="L33" s="14"/>
    </row>
    <row r="34" spans="2:12" x14ac:dyDescent="0.45">
      <c r="B34" s="16"/>
      <c r="C34" s="17"/>
      <c r="D34" s="17"/>
      <c r="E34" s="17"/>
      <c r="F34" s="17"/>
      <c r="G34" s="17"/>
      <c r="H34" s="17"/>
      <c r="I34" s="17"/>
      <c r="J34" s="17"/>
      <c r="K34" s="17"/>
      <c r="L34" s="18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A7277-EBDE-4040-A5F9-75B5D2960995}">
  <sheetPr>
    <tabColor rgb="FFB8DAD2"/>
  </sheetPr>
  <dimension ref="B2:O36"/>
  <sheetViews>
    <sheetView workbookViewId="0"/>
  </sheetViews>
  <sheetFormatPr defaultRowHeight="16.5" x14ac:dyDescent="0.45"/>
  <cols>
    <col min="1" max="1" width="5" customWidth="1"/>
    <col min="3" max="3" width="14.58203125" bestFit="1" customWidth="1"/>
    <col min="4" max="4" width="9.1640625" customWidth="1"/>
    <col min="5" max="5" width="15.83203125" bestFit="1" customWidth="1"/>
    <col min="6" max="6" width="4.5" customWidth="1"/>
    <col min="7" max="7" width="14.58203125" bestFit="1" customWidth="1"/>
    <col min="8" max="8" width="19" customWidth="1"/>
    <col min="9" max="9" width="6.4140625" customWidth="1"/>
    <col min="10" max="10" width="6.6640625" customWidth="1"/>
    <col min="11" max="11" width="4.75" customWidth="1"/>
    <col min="15" max="15" width="9.83203125" customWidth="1"/>
  </cols>
  <sheetData>
    <row r="2" spans="2:15" x14ac:dyDescent="0.45">
      <c r="B2" s="30" t="s">
        <v>109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2"/>
    </row>
    <row r="3" spans="2:15" x14ac:dyDescent="0.45">
      <c r="B3" s="15" t="s">
        <v>165</v>
      </c>
      <c r="O3" s="14"/>
    </row>
    <row r="4" spans="2:15" x14ac:dyDescent="0.45">
      <c r="B4" s="13" t="s">
        <v>110</v>
      </c>
      <c r="O4" s="14"/>
    </row>
    <row r="5" spans="2:15" x14ac:dyDescent="0.45">
      <c r="B5" s="13" t="s">
        <v>111</v>
      </c>
      <c r="O5" s="14"/>
    </row>
    <row r="6" spans="2:15" ht="10.5" customHeight="1" x14ac:dyDescent="0.45">
      <c r="B6" s="16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8"/>
    </row>
    <row r="7" spans="2:15" x14ac:dyDescent="0.45">
      <c r="B7" s="19"/>
      <c r="C7" s="11"/>
      <c r="D7" s="11"/>
      <c r="E7" s="11"/>
      <c r="F7" s="11"/>
      <c r="G7" s="11"/>
      <c r="H7" s="12"/>
      <c r="I7" s="11"/>
      <c r="J7" s="11"/>
      <c r="K7" s="11"/>
      <c r="L7" s="11"/>
      <c r="M7" s="11"/>
      <c r="N7" s="11"/>
      <c r="O7" s="12"/>
    </row>
    <row r="8" spans="2:15" x14ac:dyDescent="0.45">
      <c r="B8" s="13"/>
      <c r="C8" s="21" t="s">
        <v>112</v>
      </c>
      <c r="E8" s="21" t="s">
        <v>113</v>
      </c>
      <c r="G8" s="20" t="s">
        <v>120</v>
      </c>
      <c r="H8" s="14"/>
      <c r="J8" s="21" t="s">
        <v>121</v>
      </c>
      <c r="L8" s="20" t="s">
        <v>127</v>
      </c>
      <c r="O8" s="14"/>
    </row>
    <row r="9" spans="2:15" x14ac:dyDescent="0.45">
      <c r="B9" s="13"/>
      <c r="C9" s="179" t="s">
        <v>114</v>
      </c>
      <c r="E9" s="179" t="s">
        <v>117</v>
      </c>
      <c r="G9" s="22" t="s">
        <v>119</v>
      </c>
      <c r="H9" s="14"/>
      <c r="J9" s="179" t="s">
        <v>122</v>
      </c>
      <c r="L9" s="22" t="s">
        <v>126</v>
      </c>
      <c r="O9" s="14"/>
    </row>
    <row r="10" spans="2:15" x14ac:dyDescent="0.45">
      <c r="B10" s="13"/>
      <c r="C10" s="179" t="s">
        <v>115</v>
      </c>
      <c r="E10" s="179" t="s">
        <v>118</v>
      </c>
      <c r="G10" s="62" t="str" cm="1">
        <f t="array" ref="G10:H15">Pairwiseλ(GroupA,GroupB)</f>
        <v>Crimson Falcons</v>
      </c>
      <c r="H10" s="63" t="str">
        <v>Shadow Panthers</v>
      </c>
      <c r="J10" s="179" t="s">
        <v>124</v>
      </c>
      <c r="L10" s="62" t="str" cm="1">
        <f t="array" ref="L10:M14">Pairwiseλ("Gail",Team)</f>
        <v>Gail</v>
      </c>
      <c r="M10" s="63" t="str">
        <v>Deb</v>
      </c>
      <c r="O10" s="14"/>
    </row>
    <row r="11" spans="2:15" x14ac:dyDescent="0.45">
      <c r="B11" s="13"/>
      <c r="C11" s="179" t="s">
        <v>116</v>
      </c>
      <c r="E11" s="8"/>
      <c r="G11" s="62" t="str">
        <v>Crimson Falcons</v>
      </c>
      <c r="H11" s="63" t="str">
        <v>Iron Rhinos</v>
      </c>
      <c r="J11" s="179" t="s">
        <v>125</v>
      </c>
      <c r="L11" s="62" t="str">
        <v>Gail</v>
      </c>
      <c r="M11" s="63" t="str">
        <v>Jack</v>
      </c>
      <c r="O11" s="14"/>
    </row>
    <row r="12" spans="2:15" x14ac:dyDescent="0.45">
      <c r="B12" s="13"/>
      <c r="G12" s="62" t="str">
        <v>Silver Wolves</v>
      </c>
      <c r="H12" s="63" t="str">
        <v>Shadow Panthers</v>
      </c>
      <c r="J12" s="179" t="s">
        <v>128</v>
      </c>
      <c r="L12" s="62" t="str">
        <v>Gail</v>
      </c>
      <c r="M12" s="63" t="str">
        <v>Suzy</v>
      </c>
      <c r="O12" s="14"/>
    </row>
    <row r="13" spans="2:15" x14ac:dyDescent="0.45">
      <c r="B13" s="13"/>
      <c r="G13" s="62" t="str">
        <v>Silver Wolves</v>
      </c>
      <c r="H13" s="63" t="str">
        <v>Iron Rhinos</v>
      </c>
      <c r="J13" s="179" t="s">
        <v>129</v>
      </c>
      <c r="L13" s="62" t="str">
        <v>Gail</v>
      </c>
      <c r="M13" s="63" t="str">
        <v>Gus</v>
      </c>
      <c r="O13" s="14"/>
    </row>
    <row r="14" spans="2:15" x14ac:dyDescent="0.45">
      <c r="B14" s="13"/>
      <c r="G14" s="62" t="str">
        <v>Golden Tigers</v>
      </c>
      <c r="H14" s="63" t="str">
        <v>Shadow Panthers</v>
      </c>
      <c r="L14" s="62" t="str">
        <v>Gail</v>
      </c>
      <c r="M14" s="63" t="str">
        <v>Rusty</v>
      </c>
      <c r="O14" s="14"/>
    </row>
    <row r="15" spans="2:15" x14ac:dyDescent="0.45">
      <c r="B15" s="16"/>
      <c r="C15" s="17"/>
      <c r="D15" s="17"/>
      <c r="E15" s="17"/>
      <c r="F15" s="17"/>
      <c r="G15" s="62" t="str">
        <v>Golden Tigers</v>
      </c>
      <c r="H15" s="63" t="str">
        <v>Iron Rhinos</v>
      </c>
      <c r="I15" s="17"/>
      <c r="J15" s="17"/>
      <c r="K15" s="17"/>
      <c r="L15" s="17"/>
      <c r="M15" s="17"/>
      <c r="N15" s="17"/>
      <c r="O15" s="18"/>
    </row>
    <row r="16" spans="2:15" x14ac:dyDescent="0.45">
      <c r="B16" s="13"/>
      <c r="C16" s="17"/>
      <c r="D16" s="17"/>
      <c r="E16" s="25"/>
      <c r="G16" s="8"/>
      <c r="H16" s="8"/>
      <c r="O16" s="14"/>
    </row>
    <row r="17" spans="2:15" x14ac:dyDescent="0.45">
      <c r="B17" s="61" t="s">
        <v>134</v>
      </c>
      <c r="C17" s="180" t="s">
        <v>135</v>
      </c>
      <c r="D17" s="180" t="s">
        <v>136</v>
      </c>
      <c r="E17" s="180" t="s">
        <v>137</v>
      </c>
      <c r="G17" s="59" t="s">
        <v>140</v>
      </c>
      <c r="H17" s="8"/>
      <c r="L17" s="20" t="s">
        <v>141</v>
      </c>
      <c r="O17" s="14"/>
    </row>
    <row r="18" spans="2:15" x14ac:dyDescent="0.45">
      <c r="B18" s="13"/>
      <c r="E18" s="27"/>
      <c r="G18" s="22" t="s">
        <v>139</v>
      </c>
      <c r="J18" s="21" t="s">
        <v>348</v>
      </c>
      <c r="L18" s="22" t="s">
        <v>349</v>
      </c>
      <c r="O18" s="14"/>
    </row>
    <row r="19" spans="2:15" x14ac:dyDescent="0.45">
      <c r="B19" s="13"/>
      <c r="C19" s="64" t="s">
        <v>138</v>
      </c>
      <c r="G19" s="32" t="str" cm="1">
        <f t="array" ref="G19:H30">Pairwiseλ(Item,Sizes)</f>
        <v>Shirt</v>
      </c>
      <c r="H19" s="32" t="str">
        <v>Small</v>
      </c>
      <c r="J19" s="65" cm="1">
        <f t="array" ref="J19:J22">_xlfn.SEQUENCE(4)</f>
        <v>1</v>
      </c>
      <c r="L19" s="9" cm="1">
        <f t="array" ref="L19:M34">Pairwiseλ(_xlfn.ANCHORARRAY(J19),_xlfn.ANCHORARRAY(J19))</f>
        <v>1</v>
      </c>
      <c r="M19" s="9">
        <v>1</v>
      </c>
      <c r="O19" s="14"/>
    </row>
    <row r="20" spans="2:15" x14ac:dyDescent="0.45">
      <c r="B20" s="13"/>
      <c r="C20" s="65" t="s">
        <v>130</v>
      </c>
      <c r="G20" s="32" t="str">
        <v>Shirt</v>
      </c>
      <c r="H20" s="32" t="str">
        <v>Medium</v>
      </c>
      <c r="J20" s="65">
        <v>2</v>
      </c>
      <c r="L20" s="9">
        <v>1</v>
      </c>
      <c r="M20" s="9">
        <v>2</v>
      </c>
      <c r="O20" s="14"/>
    </row>
    <row r="21" spans="2:15" x14ac:dyDescent="0.45">
      <c r="B21" s="13"/>
      <c r="C21" s="65" t="s">
        <v>131</v>
      </c>
      <c r="G21" s="32" t="str">
        <v>Shirt</v>
      </c>
      <c r="H21" s="32" t="str">
        <v>Large</v>
      </c>
      <c r="J21" s="65">
        <v>3</v>
      </c>
      <c r="L21" s="9">
        <v>1</v>
      </c>
      <c r="M21" s="9">
        <v>3</v>
      </c>
      <c r="O21" s="14"/>
    </row>
    <row r="22" spans="2:15" x14ac:dyDescent="0.45">
      <c r="B22" s="13"/>
      <c r="C22" s="65" t="s">
        <v>132</v>
      </c>
      <c r="G22" s="32" t="str">
        <v>Slacks</v>
      </c>
      <c r="H22" s="32" t="str">
        <v>Small</v>
      </c>
      <c r="J22" s="65">
        <v>4</v>
      </c>
      <c r="L22" s="9">
        <v>1</v>
      </c>
      <c r="M22" s="9">
        <v>4</v>
      </c>
      <c r="O22" s="14"/>
    </row>
    <row r="23" spans="2:15" x14ac:dyDescent="0.45">
      <c r="B23" s="13"/>
      <c r="C23" s="65" t="s">
        <v>133</v>
      </c>
      <c r="G23" s="32" t="str">
        <v>Slacks</v>
      </c>
      <c r="H23" s="32" t="str">
        <v>Medium</v>
      </c>
      <c r="J23" s="167"/>
      <c r="L23" s="9">
        <v>2</v>
      </c>
      <c r="M23" s="9">
        <v>1</v>
      </c>
      <c r="O23" s="14"/>
    </row>
    <row r="24" spans="2:15" x14ac:dyDescent="0.45">
      <c r="B24" s="13"/>
      <c r="G24" s="32" t="str">
        <v>Slacks</v>
      </c>
      <c r="H24" s="32" t="str">
        <v>Large</v>
      </c>
      <c r="J24" s="23"/>
      <c r="L24" s="9">
        <v>2</v>
      </c>
      <c r="M24" s="9">
        <v>2</v>
      </c>
      <c r="O24" s="14"/>
    </row>
    <row r="25" spans="2:15" x14ac:dyDescent="0.45">
      <c r="B25" s="13"/>
      <c r="G25" s="32" t="str">
        <v>Shorts</v>
      </c>
      <c r="H25" s="32" t="str">
        <v>Small</v>
      </c>
      <c r="L25" s="9">
        <v>2</v>
      </c>
      <c r="M25" s="9">
        <v>3</v>
      </c>
      <c r="O25" s="14"/>
    </row>
    <row r="26" spans="2:15" x14ac:dyDescent="0.45">
      <c r="B26" s="13"/>
      <c r="G26" s="32" t="str">
        <v>Shorts</v>
      </c>
      <c r="H26" s="32" t="str">
        <v>Medium</v>
      </c>
      <c r="L26" s="9">
        <v>2</v>
      </c>
      <c r="M26" s="9">
        <v>4</v>
      </c>
      <c r="O26" s="14"/>
    </row>
    <row r="27" spans="2:15" x14ac:dyDescent="0.45">
      <c r="B27" s="13"/>
      <c r="G27" s="32" t="str">
        <v>Shorts</v>
      </c>
      <c r="H27" s="32" t="str">
        <v>Large</v>
      </c>
      <c r="L27" s="9">
        <v>3</v>
      </c>
      <c r="M27" s="9">
        <v>1</v>
      </c>
      <c r="O27" s="14"/>
    </row>
    <row r="28" spans="2:15" x14ac:dyDescent="0.45">
      <c r="B28" s="13"/>
      <c r="G28" s="32" t="str">
        <v>Jacket</v>
      </c>
      <c r="H28" s="32" t="str">
        <v>Small</v>
      </c>
      <c r="L28" s="9">
        <v>3</v>
      </c>
      <c r="M28" s="9">
        <v>2</v>
      </c>
      <c r="O28" s="14"/>
    </row>
    <row r="29" spans="2:15" x14ac:dyDescent="0.45">
      <c r="B29" s="13"/>
      <c r="G29" s="32" t="str">
        <v>Jacket</v>
      </c>
      <c r="H29" s="32" t="str">
        <v>Medium</v>
      </c>
      <c r="L29" s="9">
        <v>3</v>
      </c>
      <c r="M29" s="9">
        <v>3</v>
      </c>
      <c r="O29" s="14"/>
    </row>
    <row r="30" spans="2:15" x14ac:dyDescent="0.45">
      <c r="B30" s="13"/>
      <c r="G30" s="32" t="str">
        <v>Jacket</v>
      </c>
      <c r="H30" s="32" t="str">
        <v>Large</v>
      </c>
      <c r="L30" s="9">
        <v>3</v>
      </c>
      <c r="M30" s="9">
        <v>4</v>
      </c>
      <c r="O30" s="14"/>
    </row>
    <row r="31" spans="2:15" x14ac:dyDescent="0.45">
      <c r="B31" s="13"/>
      <c r="L31" s="9">
        <v>4</v>
      </c>
      <c r="M31" s="9">
        <v>1</v>
      </c>
      <c r="O31" s="14"/>
    </row>
    <row r="32" spans="2:15" x14ac:dyDescent="0.45">
      <c r="B32" s="13"/>
      <c r="L32" s="9">
        <v>4</v>
      </c>
      <c r="M32" s="9">
        <v>2</v>
      </c>
      <c r="O32" s="14"/>
    </row>
    <row r="33" spans="2:15" x14ac:dyDescent="0.45">
      <c r="B33" s="13"/>
      <c r="L33" s="9">
        <v>4</v>
      </c>
      <c r="M33" s="9">
        <v>3</v>
      </c>
      <c r="O33" s="14"/>
    </row>
    <row r="34" spans="2:15" x14ac:dyDescent="0.45">
      <c r="B34" s="13"/>
      <c r="L34" s="9">
        <v>4</v>
      </c>
      <c r="M34" s="9">
        <v>4</v>
      </c>
      <c r="O34" s="14"/>
    </row>
    <row r="35" spans="2:15" x14ac:dyDescent="0.45">
      <c r="B35" s="13"/>
      <c r="O35" s="14"/>
    </row>
    <row r="36" spans="2:15" x14ac:dyDescent="0.45">
      <c r="B36" s="16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8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4FC37-F848-4D8E-99A5-EC08416EDC07}">
  <sheetPr>
    <tabColor rgb="FFB8DAD2"/>
  </sheetPr>
  <dimension ref="B1:L55"/>
  <sheetViews>
    <sheetView workbookViewId="0"/>
  </sheetViews>
  <sheetFormatPr defaultRowHeight="14" x14ac:dyDescent="0.3"/>
  <cols>
    <col min="1" max="1" width="12.83203125" style="8" customWidth="1"/>
    <col min="2" max="2" width="4.5" style="8" customWidth="1"/>
    <col min="3" max="3" width="16.1640625" style="8" customWidth="1"/>
    <col min="4" max="4" width="5.9140625" style="8" customWidth="1"/>
    <col min="5" max="5" width="8.6640625" style="8"/>
    <col min="6" max="6" width="3.9140625" style="8" customWidth="1"/>
    <col min="7" max="7" width="8.6640625" style="8"/>
    <col min="8" max="8" width="7.58203125" style="8" customWidth="1"/>
    <col min="9" max="9" width="11.58203125" style="8" customWidth="1"/>
    <col min="10" max="16384" width="8.6640625" style="8"/>
  </cols>
  <sheetData>
    <row r="1" spans="2:12" customFormat="1" ht="16.5" x14ac:dyDescent="0.45"/>
    <row r="2" spans="2:12" customFormat="1" ht="16.5" x14ac:dyDescent="0.45">
      <c r="B2" s="19"/>
      <c r="C2" s="11"/>
      <c r="D2" s="11"/>
      <c r="E2" s="11"/>
      <c r="F2" s="11"/>
      <c r="G2" s="11"/>
      <c r="H2" s="11"/>
      <c r="I2" s="11"/>
      <c r="J2" s="11"/>
      <c r="K2" s="11"/>
      <c r="L2" s="12"/>
    </row>
    <row r="3" spans="2:12" customFormat="1" ht="16.5" x14ac:dyDescent="0.45">
      <c r="B3" s="13"/>
      <c r="D3" s="24" t="s">
        <v>356</v>
      </c>
      <c r="L3" s="14"/>
    </row>
    <row r="4" spans="2:12" customFormat="1" ht="16.5" x14ac:dyDescent="0.45">
      <c r="B4" s="13"/>
      <c r="D4" s="24" t="s">
        <v>357</v>
      </c>
      <c r="L4" s="14"/>
    </row>
    <row r="5" spans="2:12" customFormat="1" ht="16.5" x14ac:dyDescent="0.45">
      <c r="B5" s="13"/>
      <c r="D5" s="24"/>
      <c r="L5" s="14"/>
    </row>
    <row r="6" spans="2:12" customFormat="1" ht="16.5" x14ac:dyDescent="0.45">
      <c r="B6" s="16"/>
      <c r="C6" s="193" t="s">
        <v>352</v>
      </c>
      <c r="D6" s="194" t="s">
        <v>358</v>
      </c>
      <c r="E6" s="17"/>
      <c r="F6" s="17"/>
      <c r="G6" s="17"/>
      <c r="H6" s="17"/>
      <c r="I6" s="195" t="s">
        <v>353</v>
      </c>
      <c r="J6" s="194" t="s">
        <v>359</v>
      </c>
      <c r="K6" s="17"/>
      <c r="L6" s="18"/>
    </row>
    <row r="7" spans="2:12" customFormat="1" ht="16.5" x14ac:dyDescent="0.45">
      <c r="B7" s="19"/>
      <c r="C7" s="11"/>
      <c r="D7" s="11"/>
      <c r="E7" s="11"/>
      <c r="F7" s="11"/>
      <c r="G7" s="11"/>
      <c r="H7" s="11"/>
      <c r="I7" s="11"/>
      <c r="J7" s="11"/>
      <c r="K7" s="11"/>
      <c r="L7" s="12"/>
    </row>
    <row r="8" spans="2:12" customFormat="1" ht="16.5" x14ac:dyDescent="0.45">
      <c r="B8" s="13"/>
      <c r="C8" s="196" t="s">
        <v>360</v>
      </c>
      <c r="E8" s="196" t="s">
        <v>361</v>
      </c>
      <c r="G8" s="20" t="s">
        <v>362</v>
      </c>
      <c r="I8" s="196" t="s">
        <v>363</v>
      </c>
      <c r="L8" s="14"/>
    </row>
    <row r="9" spans="2:12" customFormat="1" ht="16.5" x14ac:dyDescent="0.45">
      <c r="B9" s="13"/>
      <c r="C9" s="34" t="s">
        <v>364</v>
      </c>
      <c r="D9" s="148"/>
      <c r="E9" s="36" t="s">
        <v>365</v>
      </c>
      <c r="F9" s="148"/>
      <c r="G9" s="197">
        <v>1</v>
      </c>
      <c r="H9" s="148"/>
      <c r="I9" s="33" t="s">
        <v>366</v>
      </c>
      <c r="L9" s="14"/>
    </row>
    <row r="10" spans="2:12" customFormat="1" ht="16.5" x14ac:dyDescent="0.45">
      <c r="B10" s="13"/>
      <c r="C10" s="34" t="s">
        <v>367</v>
      </c>
      <c r="D10" s="148"/>
      <c r="E10" s="36" t="s">
        <v>368</v>
      </c>
      <c r="F10" s="148"/>
      <c r="G10" s="197">
        <v>2</v>
      </c>
      <c r="H10" s="148"/>
      <c r="I10" s="33" t="s">
        <v>369</v>
      </c>
      <c r="L10" s="14"/>
    </row>
    <row r="11" spans="2:12" customFormat="1" ht="16.5" x14ac:dyDescent="0.45">
      <c r="B11" s="13"/>
      <c r="C11" s="34" t="s">
        <v>370</v>
      </c>
      <c r="D11" s="148"/>
      <c r="E11" s="148"/>
      <c r="F11" s="148"/>
      <c r="G11" s="197">
        <v>3</v>
      </c>
      <c r="H11" s="148"/>
      <c r="I11" s="148"/>
      <c r="L11" s="14"/>
    </row>
    <row r="12" spans="2:12" customFormat="1" ht="16.5" x14ac:dyDescent="0.45">
      <c r="B12" s="13"/>
      <c r="L12" s="14"/>
    </row>
    <row r="13" spans="2:12" customFormat="1" ht="16.5" x14ac:dyDescent="0.45">
      <c r="B13" s="13"/>
      <c r="L13" s="14"/>
    </row>
    <row r="14" spans="2:12" customFormat="1" ht="16.5" x14ac:dyDescent="0.45">
      <c r="B14" s="13"/>
      <c r="C14" s="198" t="s">
        <v>371</v>
      </c>
      <c r="H14" s="22" t="s">
        <v>372</v>
      </c>
      <c r="L14" s="14"/>
    </row>
    <row r="15" spans="2:12" x14ac:dyDescent="0.3">
      <c r="B15" s="76"/>
      <c r="C15" s="9" t="str" cm="1">
        <f t="array" ref="C15:E32">Triplewiseλ(Colors,Letters,Numbers)</f>
        <v>Red</v>
      </c>
      <c r="D15" s="9" t="str">
        <v>A</v>
      </c>
      <c r="E15" s="9">
        <v>1</v>
      </c>
      <c r="H15" s="9" t="str" cm="1">
        <f t="array" ref="H15:K50">Quadwiseλ(Animals,Letters,Colors,Numbers)</f>
        <v>Lion</v>
      </c>
      <c r="I15" s="9" t="str">
        <v>A</v>
      </c>
      <c r="J15" s="9" t="str">
        <v>Red</v>
      </c>
      <c r="K15" s="9">
        <v>1</v>
      </c>
      <c r="L15" s="199"/>
    </row>
    <row r="16" spans="2:12" x14ac:dyDescent="0.3">
      <c r="B16" s="76"/>
      <c r="C16" s="9" t="str">
        <v>Red</v>
      </c>
      <c r="D16" s="9" t="str">
        <v>A</v>
      </c>
      <c r="E16" s="9">
        <v>2</v>
      </c>
      <c r="H16" s="9" t="str">
        <v>Lion</v>
      </c>
      <c r="I16" s="9" t="str">
        <v>A</v>
      </c>
      <c r="J16" s="9" t="str">
        <v>Red</v>
      </c>
      <c r="K16" s="9">
        <v>2</v>
      </c>
      <c r="L16" s="199"/>
    </row>
    <row r="17" spans="2:12" x14ac:dyDescent="0.3">
      <c r="B17" s="76"/>
      <c r="C17" s="9" t="str">
        <v>Red</v>
      </c>
      <c r="D17" s="9" t="str">
        <v>A</v>
      </c>
      <c r="E17" s="9">
        <v>3</v>
      </c>
      <c r="H17" s="9" t="str">
        <v>Lion</v>
      </c>
      <c r="I17" s="9" t="str">
        <v>A</v>
      </c>
      <c r="J17" s="9" t="str">
        <v>Red</v>
      </c>
      <c r="K17" s="9">
        <v>3</v>
      </c>
      <c r="L17" s="199"/>
    </row>
    <row r="18" spans="2:12" x14ac:dyDescent="0.3">
      <c r="B18" s="76"/>
      <c r="C18" s="9" t="str">
        <v>Red</v>
      </c>
      <c r="D18" s="9" t="str">
        <v>B</v>
      </c>
      <c r="E18" s="9">
        <v>1</v>
      </c>
      <c r="H18" s="9" t="str">
        <v>Lion</v>
      </c>
      <c r="I18" s="9" t="str">
        <v>A</v>
      </c>
      <c r="J18" s="9" t="str">
        <v>Green</v>
      </c>
      <c r="K18" s="9">
        <v>1</v>
      </c>
      <c r="L18" s="199"/>
    </row>
    <row r="19" spans="2:12" x14ac:dyDescent="0.3">
      <c r="B19" s="76"/>
      <c r="C19" s="9" t="str">
        <v>Red</v>
      </c>
      <c r="D19" s="9" t="str">
        <v>B</v>
      </c>
      <c r="E19" s="9">
        <v>2</v>
      </c>
      <c r="H19" s="9" t="str">
        <v>Lion</v>
      </c>
      <c r="I19" s="9" t="str">
        <v>A</v>
      </c>
      <c r="J19" s="9" t="str">
        <v>Green</v>
      </c>
      <c r="K19" s="9">
        <v>2</v>
      </c>
      <c r="L19" s="199"/>
    </row>
    <row r="20" spans="2:12" x14ac:dyDescent="0.3">
      <c r="B20" s="76"/>
      <c r="C20" s="9" t="str">
        <v>Red</v>
      </c>
      <c r="D20" s="9" t="str">
        <v>B</v>
      </c>
      <c r="E20" s="9">
        <v>3</v>
      </c>
      <c r="H20" s="9" t="str">
        <v>Lion</v>
      </c>
      <c r="I20" s="9" t="str">
        <v>A</v>
      </c>
      <c r="J20" s="9" t="str">
        <v>Green</v>
      </c>
      <c r="K20" s="9">
        <v>3</v>
      </c>
      <c r="L20" s="199"/>
    </row>
    <row r="21" spans="2:12" x14ac:dyDescent="0.3">
      <c r="B21" s="76"/>
      <c r="C21" s="9" t="str">
        <v>Green</v>
      </c>
      <c r="D21" s="9" t="str">
        <v>A</v>
      </c>
      <c r="E21" s="9">
        <v>1</v>
      </c>
      <c r="H21" s="9" t="str">
        <v>Lion</v>
      </c>
      <c r="I21" s="9" t="str">
        <v>A</v>
      </c>
      <c r="J21" s="9" t="str">
        <v>Blue</v>
      </c>
      <c r="K21" s="9">
        <v>1</v>
      </c>
      <c r="L21" s="199"/>
    </row>
    <row r="22" spans="2:12" x14ac:dyDescent="0.3">
      <c r="B22" s="76"/>
      <c r="C22" s="9" t="str">
        <v>Green</v>
      </c>
      <c r="D22" s="9" t="str">
        <v>A</v>
      </c>
      <c r="E22" s="9">
        <v>2</v>
      </c>
      <c r="H22" s="9" t="str">
        <v>Lion</v>
      </c>
      <c r="I22" s="9" t="str">
        <v>A</v>
      </c>
      <c r="J22" s="9" t="str">
        <v>Blue</v>
      </c>
      <c r="K22" s="9">
        <v>2</v>
      </c>
      <c r="L22" s="199"/>
    </row>
    <row r="23" spans="2:12" x14ac:dyDescent="0.3">
      <c r="B23" s="76"/>
      <c r="C23" s="9" t="str">
        <v>Green</v>
      </c>
      <c r="D23" s="9" t="str">
        <v>A</v>
      </c>
      <c r="E23" s="9">
        <v>3</v>
      </c>
      <c r="H23" s="9" t="str">
        <v>Lion</v>
      </c>
      <c r="I23" s="9" t="str">
        <v>A</v>
      </c>
      <c r="J23" s="9" t="str">
        <v>Blue</v>
      </c>
      <c r="K23" s="9">
        <v>3</v>
      </c>
      <c r="L23" s="199"/>
    </row>
    <row r="24" spans="2:12" x14ac:dyDescent="0.3">
      <c r="B24" s="76"/>
      <c r="C24" s="9" t="str">
        <v>Green</v>
      </c>
      <c r="D24" s="9" t="str">
        <v>B</v>
      </c>
      <c r="E24" s="9">
        <v>1</v>
      </c>
      <c r="H24" s="9" t="str">
        <v>Lion</v>
      </c>
      <c r="I24" s="9" t="str">
        <v>B</v>
      </c>
      <c r="J24" s="9" t="str">
        <v>Red</v>
      </c>
      <c r="K24" s="9">
        <v>1</v>
      </c>
      <c r="L24" s="199"/>
    </row>
    <row r="25" spans="2:12" x14ac:dyDescent="0.3">
      <c r="B25" s="76"/>
      <c r="C25" s="9" t="str">
        <v>Green</v>
      </c>
      <c r="D25" s="9" t="str">
        <v>B</v>
      </c>
      <c r="E25" s="9">
        <v>2</v>
      </c>
      <c r="H25" s="9" t="str">
        <v>Lion</v>
      </c>
      <c r="I25" s="9" t="str">
        <v>B</v>
      </c>
      <c r="J25" s="9" t="str">
        <v>Red</v>
      </c>
      <c r="K25" s="9">
        <v>2</v>
      </c>
      <c r="L25" s="199"/>
    </row>
    <row r="26" spans="2:12" x14ac:dyDescent="0.3">
      <c r="B26" s="76"/>
      <c r="C26" s="9" t="str">
        <v>Green</v>
      </c>
      <c r="D26" s="9" t="str">
        <v>B</v>
      </c>
      <c r="E26" s="9">
        <v>3</v>
      </c>
      <c r="H26" s="9" t="str">
        <v>Lion</v>
      </c>
      <c r="I26" s="9" t="str">
        <v>B</v>
      </c>
      <c r="J26" s="9" t="str">
        <v>Red</v>
      </c>
      <c r="K26" s="9">
        <v>3</v>
      </c>
      <c r="L26" s="199"/>
    </row>
    <row r="27" spans="2:12" x14ac:dyDescent="0.3">
      <c r="B27" s="76"/>
      <c r="C27" s="9" t="str">
        <v>Blue</v>
      </c>
      <c r="D27" s="9" t="str">
        <v>A</v>
      </c>
      <c r="E27" s="9">
        <v>1</v>
      </c>
      <c r="H27" s="9" t="str">
        <v>Lion</v>
      </c>
      <c r="I27" s="9" t="str">
        <v>B</v>
      </c>
      <c r="J27" s="9" t="str">
        <v>Green</v>
      </c>
      <c r="K27" s="9">
        <v>1</v>
      </c>
      <c r="L27" s="199"/>
    </row>
    <row r="28" spans="2:12" x14ac:dyDescent="0.3">
      <c r="B28" s="76"/>
      <c r="C28" s="9" t="str">
        <v>Blue</v>
      </c>
      <c r="D28" s="9" t="str">
        <v>A</v>
      </c>
      <c r="E28" s="9">
        <v>2</v>
      </c>
      <c r="H28" s="9" t="str">
        <v>Lion</v>
      </c>
      <c r="I28" s="9" t="str">
        <v>B</v>
      </c>
      <c r="J28" s="9" t="str">
        <v>Green</v>
      </c>
      <c r="K28" s="9">
        <v>2</v>
      </c>
      <c r="L28" s="199"/>
    </row>
    <row r="29" spans="2:12" x14ac:dyDescent="0.3">
      <c r="B29" s="76"/>
      <c r="C29" s="9" t="str">
        <v>Blue</v>
      </c>
      <c r="D29" s="9" t="str">
        <v>A</v>
      </c>
      <c r="E29" s="9">
        <v>3</v>
      </c>
      <c r="H29" s="9" t="str">
        <v>Lion</v>
      </c>
      <c r="I29" s="9" t="str">
        <v>B</v>
      </c>
      <c r="J29" s="9" t="str">
        <v>Green</v>
      </c>
      <c r="K29" s="9">
        <v>3</v>
      </c>
      <c r="L29" s="199"/>
    </row>
    <row r="30" spans="2:12" x14ac:dyDescent="0.3">
      <c r="B30" s="76"/>
      <c r="C30" s="9" t="str">
        <v>Blue</v>
      </c>
      <c r="D30" s="9" t="str">
        <v>B</v>
      </c>
      <c r="E30" s="9">
        <v>1</v>
      </c>
      <c r="H30" s="9" t="str">
        <v>Lion</v>
      </c>
      <c r="I30" s="9" t="str">
        <v>B</v>
      </c>
      <c r="J30" s="9" t="str">
        <v>Blue</v>
      </c>
      <c r="K30" s="9">
        <v>1</v>
      </c>
      <c r="L30" s="199"/>
    </row>
    <row r="31" spans="2:12" x14ac:dyDescent="0.3">
      <c r="B31" s="76"/>
      <c r="C31" s="9" t="str">
        <v>Blue</v>
      </c>
      <c r="D31" s="9" t="str">
        <v>B</v>
      </c>
      <c r="E31" s="9">
        <v>2</v>
      </c>
      <c r="H31" s="9" t="str">
        <v>Lion</v>
      </c>
      <c r="I31" s="9" t="str">
        <v>B</v>
      </c>
      <c r="J31" s="9" t="str">
        <v>Blue</v>
      </c>
      <c r="K31" s="9">
        <v>2</v>
      </c>
      <c r="L31" s="199"/>
    </row>
    <row r="32" spans="2:12" x14ac:dyDescent="0.3">
      <c r="B32" s="76"/>
      <c r="C32" s="9" t="str">
        <v>Blue</v>
      </c>
      <c r="D32" s="9" t="str">
        <v>B</v>
      </c>
      <c r="E32" s="9">
        <v>3</v>
      </c>
      <c r="H32" s="9" t="str">
        <v>Lion</v>
      </c>
      <c r="I32" s="9" t="str">
        <v>B</v>
      </c>
      <c r="J32" s="9" t="str">
        <v>Blue</v>
      </c>
      <c r="K32" s="9">
        <v>3</v>
      </c>
      <c r="L32" s="199"/>
    </row>
    <row r="33" spans="2:12" x14ac:dyDescent="0.3">
      <c r="B33" s="76"/>
      <c r="H33" s="9" t="str">
        <v>Bear</v>
      </c>
      <c r="I33" s="9" t="str">
        <v>A</v>
      </c>
      <c r="J33" s="9" t="str">
        <v>Red</v>
      </c>
      <c r="K33" s="9">
        <v>1</v>
      </c>
      <c r="L33" s="199"/>
    </row>
    <row r="34" spans="2:12" x14ac:dyDescent="0.3">
      <c r="B34" s="76"/>
      <c r="H34" s="9" t="str">
        <v>Bear</v>
      </c>
      <c r="I34" s="9" t="str">
        <v>A</v>
      </c>
      <c r="J34" s="9" t="str">
        <v>Red</v>
      </c>
      <c r="K34" s="9">
        <v>2</v>
      </c>
      <c r="L34" s="199"/>
    </row>
    <row r="35" spans="2:12" x14ac:dyDescent="0.3">
      <c r="B35" s="76"/>
      <c r="H35" s="9" t="str">
        <v>Bear</v>
      </c>
      <c r="I35" s="9" t="str">
        <v>A</v>
      </c>
      <c r="J35" s="9" t="str">
        <v>Red</v>
      </c>
      <c r="K35" s="9">
        <v>3</v>
      </c>
      <c r="L35" s="199"/>
    </row>
    <row r="36" spans="2:12" x14ac:dyDescent="0.3">
      <c r="B36" s="76"/>
      <c r="H36" s="9" t="str">
        <v>Bear</v>
      </c>
      <c r="I36" s="9" t="str">
        <v>A</v>
      </c>
      <c r="J36" s="9" t="str">
        <v>Green</v>
      </c>
      <c r="K36" s="9">
        <v>1</v>
      </c>
      <c r="L36" s="199"/>
    </row>
    <row r="37" spans="2:12" x14ac:dyDescent="0.3">
      <c r="B37" s="76"/>
      <c r="H37" s="9" t="str">
        <v>Bear</v>
      </c>
      <c r="I37" s="9" t="str">
        <v>A</v>
      </c>
      <c r="J37" s="9" t="str">
        <v>Green</v>
      </c>
      <c r="K37" s="9">
        <v>2</v>
      </c>
      <c r="L37" s="199"/>
    </row>
    <row r="38" spans="2:12" x14ac:dyDescent="0.3">
      <c r="B38" s="76"/>
      <c r="H38" s="9" t="str">
        <v>Bear</v>
      </c>
      <c r="I38" s="9" t="str">
        <v>A</v>
      </c>
      <c r="J38" s="9" t="str">
        <v>Green</v>
      </c>
      <c r="K38" s="9">
        <v>3</v>
      </c>
      <c r="L38" s="199"/>
    </row>
    <row r="39" spans="2:12" x14ac:dyDescent="0.3">
      <c r="B39" s="76"/>
      <c r="H39" s="9" t="str">
        <v>Bear</v>
      </c>
      <c r="I39" s="9" t="str">
        <v>A</v>
      </c>
      <c r="J39" s="9" t="str">
        <v>Blue</v>
      </c>
      <c r="K39" s="9">
        <v>1</v>
      </c>
      <c r="L39" s="199"/>
    </row>
    <row r="40" spans="2:12" x14ac:dyDescent="0.3">
      <c r="B40" s="76"/>
      <c r="H40" s="9" t="str">
        <v>Bear</v>
      </c>
      <c r="I40" s="9" t="str">
        <v>A</v>
      </c>
      <c r="J40" s="9" t="str">
        <v>Blue</v>
      </c>
      <c r="K40" s="9">
        <v>2</v>
      </c>
      <c r="L40" s="199"/>
    </row>
    <row r="41" spans="2:12" x14ac:dyDescent="0.3">
      <c r="B41" s="76"/>
      <c r="H41" s="9" t="str">
        <v>Bear</v>
      </c>
      <c r="I41" s="9" t="str">
        <v>A</v>
      </c>
      <c r="J41" s="9" t="str">
        <v>Blue</v>
      </c>
      <c r="K41" s="9">
        <v>3</v>
      </c>
      <c r="L41" s="199"/>
    </row>
    <row r="42" spans="2:12" x14ac:dyDescent="0.3">
      <c r="B42" s="76"/>
      <c r="H42" s="9" t="str">
        <v>Bear</v>
      </c>
      <c r="I42" s="9" t="str">
        <v>B</v>
      </c>
      <c r="J42" s="9" t="str">
        <v>Red</v>
      </c>
      <c r="K42" s="9">
        <v>1</v>
      </c>
      <c r="L42" s="199"/>
    </row>
    <row r="43" spans="2:12" x14ac:dyDescent="0.3">
      <c r="B43" s="76"/>
      <c r="H43" s="9" t="str">
        <v>Bear</v>
      </c>
      <c r="I43" s="9" t="str">
        <v>B</v>
      </c>
      <c r="J43" s="9" t="str">
        <v>Red</v>
      </c>
      <c r="K43" s="9">
        <v>2</v>
      </c>
      <c r="L43" s="199"/>
    </row>
    <row r="44" spans="2:12" x14ac:dyDescent="0.3">
      <c r="B44" s="76"/>
      <c r="H44" s="9" t="str">
        <v>Bear</v>
      </c>
      <c r="I44" s="9" t="str">
        <v>B</v>
      </c>
      <c r="J44" s="9" t="str">
        <v>Red</v>
      </c>
      <c r="K44" s="9">
        <v>3</v>
      </c>
      <c r="L44" s="199"/>
    </row>
    <row r="45" spans="2:12" x14ac:dyDescent="0.3">
      <c r="B45" s="76"/>
      <c r="H45" s="9" t="str">
        <v>Bear</v>
      </c>
      <c r="I45" s="9" t="str">
        <v>B</v>
      </c>
      <c r="J45" s="9" t="str">
        <v>Green</v>
      </c>
      <c r="K45" s="9">
        <v>1</v>
      </c>
      <c r="L45" s="199"/>
    </row>
    <row r="46" spans="2:12" x14ac:dyDescent="0.3">
      <c r="B46" s="76"/>
      <c r="H46" s="9" t="str">
        <v>Bear</v>
      </c>
      <c r="I46" s="9" t="str">
        <v>B</v>
      </c>
      <c r="J46" s="9" t="str">
        <v>Green</v>
      </c>
      <c r="K46" s="9">
        <v>2</v>
      </c>
      <c r="L46" s="199"/>
    </row>
    <row r="47" spans="2:12" x14ac:dyDescent="0.3">
      <c r="B47" s="76"/>
      <c r="H47" s="9" t="str">
        <v>Bear</v>
      </c>
      <c r="I47" s="9" t="str">
        <v>B</v>
      </c>
      <c r="J47" s="9" t="str">
        <v>Green</v>
      </c>
      <c r="K47" s="9">
        <v>3</v>
      </c>
      <c r="L47" s="199"/>
    </row>
    <row r="48" spans="2:12" x14ac:dyDescent="0.3">
      <c r="B48" s="76"/>
      <c r="H48" s="9" t="str">
        <v>Bear</v>
      </c>
      <c r="I48" s="9" t="str">
        <v>B</v>
      </c>
      <c r="J48" s="9" t="str">
        <v>Blue</v>
      </c>
      <c r="K48" s="9">
        <v>1</v>
      </c>
      <c r="L48" s="199"/>
    </row>
    <row r="49" spans="2:12" x14ac:dyDescent="0.3">
      <c r="B49" s="76"/>
      <c r="H49" s="9" t="str">
        <v>Bear</v>
      </c>
      <c r="I49" s="9" t="str">
        <v>B</v>
      </c>
      <c r="J49" s="9" t="str">
        <v>Blue</v>
      </c>
      <c r="K49" s="9">
        <v>2</v>
      </c>
      <c r="L49" s="199"/>
    </row>
    <row r="50" spans="2:12" x14ac:dyDescent="0.3">
      <c r="B50" s="76"/>
      <c r="H50" s="9" t="str">
        <v>Bear</v>
      </c>
      <c r="I50" s="9" t="str">
        <v>B</v>
      </c>
      <c r="J50" s="9" t="str">
        <v>Blue</v>
      </c>
      <c r="K50" s="9">
        <v>3</v>
      </c>
      <c r="L50" s="199"/>
    </row>
    <row r="51" spans="2:12" x14ac:dyDescent="0.3">
      <c r="B51" s="76"/>
      <c r="L51" s="199"/>
    </row>
    <row r="52" spans="2:12" x14ac:dyDescent="0.3">
      <c r="B52" s="76"/>
      <c r="L52" s="199"/>
    </row>
    <row r="53" spans="2:12" x14ac:dyDescent="0.3">
      <c r="B53" s="76"/>
      <c r="L53" s="199"/>
    </row>
    <row r="54" spans="2:12" x14ac:dyDescent="0.3">
      <c r="B54" s="76"/>
      <c r="L54" s="199"/>
    </row>
    <row r="55" spans="2:12" x14ac:dyDescent="0.3">
      <c r="B55" s="200"/>
      <c r="C55" s="60"/>
      <c r="D55" s="60"/>
      <c r="E55" s="60"/>
      <c r="F55" s="60"/>
      <c r="G55" s="60"/>
      <c r="H55" s="60"/>
      <c r="I55" s="60"/>
      <c r="J55" s="60"/>
      <c r="K55" s="60"/>
      <c r="L55" s="20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2909-D8D6-4C95-9D85-FEBA28CFEE33}">
  <sheetPr>
    <tabColor rgb="FFB8DAD2"/>
  </sheetPr>
  <dimension ref="B2:M45"/>
  <sheetViews>
    <sheetView workbookViewId="0"/>
  </sheetViews>
  <sheetFormatPr defaultRowHeight="16.5" x14ac:dyDescent="0.45"/>
  <cols>
    <col min="1" max="1" width="5" customWidth="1"/>
    <col min="4" max="4" width="15.9140625" customWidth="1"/>
    <col min="6" max="6" width="17.33203125" customWidth="1"/>
    <col min="7" max="7" width="7.5" bestFit="1" customWidth="1"/>
    <col min="8" max="8" width="13.25" bestFit="1" customWidth="1"/>
    <col min="9" max="9" width="10.83203125" customWidth="1"/>
    <col min="10" max="10" width="13.83203125" customWidth="1"/>
    <col min="11" max="11" width="11.83203125" bestFit="1" customWidth="1"/>
  </cols>
  <sheetData>
    <row r="2" spans="2:13" x14ac:dyDescent="0.45">
      <c r="B2" s="30" t="s">
        <v>142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2"/>
    </row>
    <row r="3" spans="2:13" x14ac:dyDescent="0.45">
      <c r="B3" s="15" t="s">
        <v>147</v>
      </c>
      <c r="M3" s="14"/>
    </row>
    <row r="4" spans="2:13" x14ac:dyDescent="0.45">
      <c r="B4" s="13" t="s">
        <v>146</v>
      </c>
      <c r="M4" s="14"/>
    </row>
    <row r="5" spans="2:13" x14ac:dyDescent="0.45">
      <c r="B5" s="13" t="s">
        <v>143</v>
      </c>
      <c r="M5" s="14"/>
    </row>
    <row r="6" spans="2:13" x14ac:dyDescent="0.45">
      <c r="B6" s="13" t="s">
        <v>144</v>
      </c>
      <c r="M6" s="14"/>
    </row>
    <row r="7" spans="2:13" x14ac:dyDescent="0.45">
      <c r="B7" s="13" t="s">
        <v>145</v>
      </c>
      <c r="M7" s="14"/>
    </row>
    <row r="8" spans="2:13" x14ac:dyDescent="0.45">
      <c r="B8" s="15" t="s">
        <v>43</v>
      </c>
      <c r="M8" s="14"/>
    </row>
    <row r="9" spans="2:13" x14ac:dyDescent="0.45">
      <c r="B9" s="13" t="s">
        <v>148</v>
      </c>
      <c r="M9" s="14"/>
    </row>
    <row r="10" spans="2:13" x14ac:dyDescent="0.45">
      <c r="B10" s="13" t="s">
        <v>149</v>
      </c>
      <c r="M10" s="14"/>
    </row>
    <row r="11" spans="2:13" ht="9" customHeight="1" x14ac:dyDescent="0.45">
      <c r="B11" s="16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8"/>
    </row>
    <row r="12" spans="2:13" x14ac:dyDescent="0.45">
      <c r="B12" s="13"/>
      <c r="C12" s="68"/>
      <c r="D12" s="68"/>
      <c r="E12" s="21"/>
      <c r="M12" s="14"/>
    </row>
    <row r="13" spans="2:13" x14ac:dyDescent="0.45">
      <c r="B13" s="13"/>
      <c r="C13" s="65" t="s">
        <v>150</v>
      </c>
      <c r="D13" s="65" t="s">
        <v>151</v>
      </c>
      <c r="E13" s="21"/>
      <c r="F13" s="20" t="s">
        <v>153</v>
      </c>
      <c r="J13" s="20" t="s">
        <v>158</v>
      </c>
      <c r="M13" s="14"/>
    </row>
    <row r="14" spans="2:13" x14ac:dyDescent="0.45">
      <c r="B14" s="13"/>
      <c r="C14" s="9">
        <v>50</v>
      </c>
      <c r="D14" s="9">
        <v>55</v>
      </c>
      <c r="F14" s="22" t="s">
        <v>152</v>
      </c>
      <c r="J14" s="22" t="s">
        <v>154</v>
      </c>
      <c r="M14" s="14"/>
    </row>
    <row r="15" spans="2:13" x14ac:dyDescent="0.45">
      <c r="B15" s="13"/>
      <c r="C15" s="9">
        <v>98</v>
      </c>
      <c r="D15" s="9">
        <v>42</v>
      </c>
      <c r="F15" s="9" t="str" cm="1">
        <f t="array" ref="F15:H25">GroupbyBinλ(Age,Height,10,_xleta.AVERAGE)</f>
        <v>Bin Start  Value</v>
      </c>
      <c r="G15" s="9" t="str">
        <v>Bin End</v>
      </c>
      <c r="H15" s="9" t="str">
        <v>Total</v>
      </c>
      <c r="J15" s="9" t="str" cm="1">
        <f t="array" ref="J15:K25">GroupbyBinλ(Age,Height,10,_xleta.AVERAGE,,TRUE)</f>
        <v>Bin</v>
      </c>
      <c r="K15" s="9" t="str">
        <v>Aggregate</v>
      </c>
      <c r="M15" s="14"/>
    </row>
    <row r="16" spans="2:13" x14ac:dyDescent="0.45">
      <c r="B16" s="13"/>
      <c r="C16" s="9">
        <v>54</v>
      </c>
      <c r="D16" s="9">
        <v>40</v>
      </c>
      <c r="F16" s="9">
        <v>0</v>
      </c>
      <c r="G16" s="9">
        <v>10</v>
      </c>
      <c r="H16" s="66">
        <v>57</v>
      </c>
      <c r="J16" s="9" t="str">
        <v>0 - &lt;10</v>
      </c>
      <c r="K16" s="66">
        <v>57</v>
      </c>
      <c r="M16" s="14"/>
    </row>
    <row r="17" spans="2:13" x14ac:dyDescent="0.45">
      <c r="B17" s="13"/>
      <c r="C17" s="9">
        <v>6</v>
      </c>
      <c r="D17" s="9">
        <v>57</v>
      </c>
      <c r="F17" s="9">
        <v>10</v>
      </c>
      <c r="G17" s="9">
        <v>20</v>
      </c>
      <c r="H17" s="66">
        <v>62.5</v>
      </c>
      <c r="J17" s="9" t="str">
        <v>10 - &lt;20</v>
      </c>
      <c r="K17" s="66">
        <v>62.5</v>
      </c>
      <c r="M17" s="14"/>
    </row>
    <row r="18" spans="2:13" x14ac:dyDescent="0.45">
      <c r="B18" s="13"/>
      <c r="C18" s="9">
        <v>34</v>
      </c>
      <c r="D18" s="9">
        <v>66</v>
      </c>
      <c r="F18" s="9">
        <v>20</v>
      </c>
      <c r="G18" s="9">
        <v>30</v>
      </c>
      <c r="H18" s="66">
        <v>49</v>
      </c>
      <c r="J18" s="9" t="str">
        <v>20 - &lt;30</v>
      </c>
      <c r="K18" s="66">
        <v>49</v>
      </c>
      <c r="M18" s="14"/>
    </row>
    <row r="19" spans="2:13" x14ac:dyDescent="0.45">
      <c r="B19" s="13"/>
      <c r="C19" s="9">
        <v>66</v>
      </c>
      <c r="D19" s="9">
        <v>71</v>
      </c>
      <c r="F19" s="9">
        <v>30</v>
      </c>
      <c r="G19" s="9">
        <v>40</v>
      </c>
      <c r="H19" s="66">
        <v>57.25</v>
      </c>
      <c r="J19" s="9" t="str">
        <v>30 - &lt;40</v>
      </c>
      <c r="K19" s="66">
        <v>57.25</v>
      </c>
      <c r="M19" s="14"/>
    </row>
    <row r="20" spans="2:13" x14ac:dyDescent="0.45">
      <c r="B20" s="13"/>
      <c r="C20" s="9">
        <v>63</v>
      </c>
      <c r="D20" s="9">
        <v>42</v>
      </c>
      <c r="F20" s="9">
        <v>40</v>
      </c>
      <c r="G20" s="9">
        <v>50</v>
      </c>
      <c r="H20" s="66">
        <v>75</v>
      </c>
      <c r="J20" s="9" t="str">
        <v>40 - &lt;50</v>
      </c>
      <c r="K20" s="66">
        <v>75</v>
      </c>
      <c r="M20" s="14"/>
    </row>
    <row r="21" spans="2:13" x14ac:dyDescent="0.45">
      <c r="B21" s="13"/>
      <c r="C21" s="9">
        <v>52</v>
      </c>
      <c r="D21" s="9">
        <v>58</v>
      </c>
      <c r="F21" s="9">
        <v>50</v>
      </c>
      <c r="G21" s="9">
        <v>60</v>
      </c>
      <c r="H21" s="66">
        <v>51</v>
      </c>
      <c r="J21" s="9" t="str">
        <v>50 - &lt;60</v>
      </c>
      <c r="K21" s="66">
        <v>51</v>
      </c>
      <c r="M21" s="14"/>
    </row>
    <row r="22" spans="2:13" x14ac:dyDescent="0.45">
      <c r="B22" s="13"/>
      <c r="C22" s="9">
        <v>39</v>
      </c>
      <c r="D22" s="9">
        <v>63</v>
      </c>
      <c r="F22" s="9">
        <v>60</v>
      </c>
      <c r="G22" s="9">
        <v>70</v>
      </c>
      <c r="H22" s="66">
        <v>56.2</v>
      </c>
      <c r="J22" s="9" t="str">
        <v>60 - &lt;70</v>
      </c>
      <c r="K22" s="66">
        <v>56.2</v>
      </c>
      <c r="M22" s="14"/>
    </row>
    <row r="23" spans="2:13" x14ac:dyDescent="0.45">
      <c r="B23" s="13"/>
      <c r="C23" s="9">
        <v>62</v>
      </c>
      <c r="D23" s="9">
        <v>56</v>
      </c>
      <c r="F23" s="9">
        <v>70</v>
      </c>
      <c r="G23" s="9">
        <v>80</v>
      </c>
      <c r="H23" s="66">
        <v>77</v>
      </c>
      <c r="J23" s="9" t="str">
        <v>70 - &lt;80</v>
      </c>
      <c r="K23" s="66">
        <v>77</v>
      </c>
      <c r="M23" s="14"/>
    </row>
    <row r="24" spans="2:13" x14ac:dyDescent="0.45">
      <c r="B24" s="13"/>
      <c r="C24" s="9">
        <v>46</v>
      </c>
      <c r="D24" s="9">
        <v>75</v>
      </c>
      <c r="F24" s="9">
        <v>80</v>
      </c>
      <c r="G24" s="9">
        <v>90</v>
      </c>
      <c r="H24" s="66">
        <v>71</v>
      </c>
      <c r="J24" s="9" t="str">
        <v>80 - &lt;90</v>
      </c>
      <c r="K24" s="66">
        <v>71</v>
      </c>
      <c r="M24" s="14"/>
    </row>
    <row r="25" spans="2:13" x14ac:dyDescent="0.45">
      <c r="B25" s="13"/>
      <c r="C25" s="9">
        <v>75</v>
      </c>
      <c r="D25" s="9">
        <v>76</v>
      </c>
      <c r="F25" s="9">
        <v>90</v>
      </c>
      <c r="G25" s="9">
        <v>100</v>
      </c>
      <c r="H25" s="66">
        <v>51.666666666666664</v>
      </c>
      <c r="J25" s="9" t="str">
        <v>90 - &lt;100</v>
      </c>
      <c r="K25" s="66">
        <v>51.666666666666664</v>
      </c>
      <c r="M25" s="14"/>
    </row>
    <row r="26" spans="2:13" x14ac:dyDescent="0.45">
      <c r="B26" s="13"/>
      <c r="C26" s="9">
        <v>28</v>
      </c>
      <c r="D26" s="9">
        <v>49</v>
      </c>
      <c r="M26" s="14"/>
    </row>
    <row r="27" spans="2:13" x14ac:dyDescent="0.45">
      <c r="B27" s="13"/>
      <c r="C27" s="9">
        <v>65</v>
      </c>
      <c r="D27" s="9">
        <v>71</v>
      </c>
      <c r="F27" s="20" t="s">
        <v>156</v>
      </c>
      <c r="J27" s="20" t="s">
        <v>157</v>
      </c>
      <c r="M27" s="14"/>
    </row>
    <row r="28" spans="2:13" x14ac:dyDescent="0.45">
      <c r="B28" s="13"/>
      <c r="C28" s="9">
        <v>18</v>
      </c>
      <c r="D28" s="9">
        <v>66</v>
      </c>
      <c r="F28" s="22" t="s">
        <v>155</v>
      </c>
      <c r="J28" s="22" t="s">
        <v>159</v>
      </c>
      <c r="M28" s="14"/>
    </row>
    <row r="29" spans="2:13" x14ac:dyDescent="0.45">
      <c r="B29" s="13"/>
      <c r="C29" s="9">
        <v>37</v>
      </c>
      <c r="D29" s="9">
        <v>64</v>
      </c>
      <c r="F29" s="9" t="str" cm="1">
        <f t="array" ref="F29:H39">GroupbyBinλ(Age_,Height_,10,_xleta.AVERAGE,TRUE)</f>
        <v>Bin Start Age Value</v>
      </c>
      <c r="G29" s="9" t="str">
        <v>Bin End</v>
      </c>
      <c r="H29" s="9" t="str">
        <v>Height (inches)</v>
      </c>
      <c r="J29" s="9" t="str" cm="1">
        <f t="array" ref="J29:L34">GroupbyBinλ(Age,Height,20,_xleta.MAX)</f>
        <v>Bin Start  Value</v>
      </c>
      <c r="K29" s="9" t="str">
        <v>Bin End</v>
      </c>
      <c r="L29" s="9" t="str">
        <v>Total</v>
      </c>
      <c r="M29" s="14"/>
    </row>
    <row r="30" spans="2:13" x14ac:dyDescent="0.45">
      <c r="B30" s="13"/>
      <c r="C30" s="9">
        <v>18</v>
      </c>
      <c r="D30" s="9">
        <v>69</v>
      </c>
      <c r="F30" s="9">
        <v>0</v>
      </c>
      <c r="G30" s="9">
        <v>10</v>
      </c>
      <c r="H30" s="66">
        <v>57</v>
      </c>
      <c r="J30" s="9">
        <v>0</v>
      </c>
      <c r="K30" s="9">
        <v>20</v>
      </c>
      <c r="L30" s="9">
        <v>76</v>
      </c>
      <c r="M30" s="14"/>
    </row>
    <row r="31" spans="2:13" x14ac:dyDescent="0.45">
      <c r="B31" s="13"/>
      <c r="C31" s="9">
        <v>97</v>
      </c>
      <c r="D31" s="9">
        <v>52</v>
      </c>
      <c r="F31" s="9">
        <v>10</v>
      </c>
      <c r="G31" s="9">
        <v>20</v>
      </c>
      <c r="H31" s="66">
        <v>62.5</v>
      </c>
      <c r="J31" s="9">
        <v>20</v>
      </c>
      <c r="K31" s="9">
        <v>40</v>
      </c>
      <c r="L31" s="9">
        <v>66</v>
      </c>
      <c r="M31" s="14"/>
    </row>
    <row r="32" spans="2:13" x14ac:dyDescent="0.45">
      <c r="B32" s="13"/>
      <c r="C32" s="9">
        <v>13</v>
      </c>
      <c r="D32" s="9">
        <v>39</v>
      </c>
      <c r="F32" s="9">
        <v>20</v>
      </c>
      <c r="G32" s="9">
        <v>30</v>
      </c>
      <c r="H32" s="66">
        <v>49</v>
      </c>
      <c r="J32" s="9">
        <v>40</v>
      </c>
      <c r="K32" s="9">
        <v>60</v>
      </c>
      <c r="L32" s="9">
        <v>75</v>
      </c>
      <c r="M32" s="14"/>
    </row>
    <row r="33" spans="2:13" x14ac:dyDescent="0.45">
      <c r="B33" s="13"/>
      <c r="C33" s="9">
        <v>80</v>
      </c>
      <c r="D33" s="9">
        <v>71</v>
      </c>
      <c r="F33" s="9">
        <v>30</v>
      </c>
      <c r="G33" s="9">
        <v>40</v>
      </c>
      <c r="H33" s="66">
        <v>57.25</v>
      </c>
      <c r="J33" s="9">
        <v>60</v>
      </c>
      <c r="K33" s="9">
        <v>80</v>
      </c>
      <c r="L33" s="9">
        <v>78</v>
      </c>
      <c r="M33" s="14"/>
    </row>
    <row r="34" spans="2:13" x14ac:dyDescent="0.45">
      <c r="B34" s="13"/>
      <c r="C34" s="9">
        <v>33</v>
      </c>
      <c r="D34" s="9">
        <v>36</v>
      </c>
      <c r="F34" s="9">
        <v>40</v>
      </c>
      <c r="G34" s="9">
        <v>50</v>
      </c>
      <c r="H34" s="66">
        <v>75</v>
      </c>
      <c r="J34" s="9">
        <v>80</v>
      </c>
      <c r="K34" s="9">
        <v>100</v>
      </c>
      <c r="L34" s="9">
        <v>71</v>
      </c>
      <c r="M34" s="14"/>
    </row>
    <row r="35" spans="2:13" x14ac:dyDescent="0.45">
      <c r="B35" s="13"/>
      <c r="C35" s="9">
        <v>69</v>
      </c>
      <c r="D35" s="9">
        <v>41</v>
      </c>
      <c r="F35" s="9">
        <v>50</v>
      </c>
      <c r="G35" s="9">
        <v>60</v>
      </c>
      <c r="H35" s="66">
        <v>49</v>
      </c>
      <c r="M35" s="14"/>
    </row>
    <row r="36" spans="2:13" x14ac:dyDescent="0.45">
      <c r="B36" s="13"/>
      <c r="C36" s="9">
        <v>91</v>
      </c>
      <c r="D36" s="9">
        <v>61</v>
      </c>
      <c r="F36" s="9">
        <v>60</v>
      </c>
      <c r="G36" s="9">
        <v>70</v>
      </c>
      <c r="H36" s="66">
        <v>56.2</v>
      </c>
      <c r="J36" s="20" t="s">
        <v>161</v>
      </c>
      <c r="M36" s="14"/>
    </row>
    <row r="37" spans="2:13" x14ac:dyDescent="0.45">
      <c r="B37" s="13"/>
      <c r="C37" s="9">
        <v>78</v>
      </c>
      <c r="D37" s="9">
        <v>78</v>
      </c>
      <c r="F37" s="9">
        <v>70</v>
      </c>
      <c r="G37" s="9">
        <v>80</v>
      </c>
      <c r="H37" s="66">
        <v>77</v>
      </c>
      <c r="J37" s="22" t="s">
        <v>160</v>
      </c>
      <c r="M37" s="14"/>
    </row>
    <row r="38" spans="2:13" x14ac:dyDescent="0.45">
      <c r="B38" s="13"/>
      <c r="C38" s="9">
        <v>19</v>
      </c>
      <c r="D38" s="9">
        <v>76</v>
      </c>
      <c r="F38" s="9">
        <v>80</v>
      </c>
      <c r="G38" s="9">
        <v>90</v>
      </c>
      <c r="H38" s="66">
        <v>71</v>
      </c>
      <c r="J38" s="9" t="str" cm="1">
        <f t="array" ref="J38:L43">GroupbyBinλ(Age,Height,20,_xleta.MIN)</f>
        <v>Bin Start  Value</v>
      </c>
      <c r="K38" s="9" t="str">
        <v>Bin End</v>
      </c>
      <c r="L38" s="9" t="str">
        <v>Total</v>
      </c>
      <c r="M38" s="14"/>
    </row>
    <row r="39" spans="2:13" x14ac:dyDescent="0.45">
      <c r="B39" s="13"/>
      <c r="F39" s="9">
        <v>90</v>
      </c>
      <c r="G39" s="9">
        <v>100</v>
      </c>
      <c r="H39" s="66">
        <v>51.666666666666664</v>
      </c>
      <c r="J39" s="9">
        <v>0</v>
      </c>
      <c r="K39" s="9">
        <v>20</v>
      </c>
      <c r="L39" s="9">
        <v>39</v>
      </c>
      <c r="M39" s="14"/>
    </row>
    <row r="40" spans="2:13" x14ac:dyDescent="0.45">
      <c r="B40" s="13"/>
      <c r="J40" s="9">
        <v>20</v>
      </c>
      <c r="K40" s="9">
        <v>40</v>
      </c>
      <c r="L40" s="9">
        <v>36</v>
      </c>
      <c r="M40" s="14"/>
    </row>
    <row r="41" spans="2:13" x14ac:dyDescent="0.45">
      <c r="B41" s="13"/>
      <c r="J41" s="9">
        <v>40</v>
      </c>
      <c r="K41" s="9">
        <v>60</v>
      </c>
      <c r="L41" s="9">
        <v>40</v>
      </c>
      <c r="M41" s="14"/>
    </row>
    <row r="42" spans="2:13" x14ac:dyDescent="0.45">
      <c r="B42" s="13"/>
      <c r="J42" s="9">
        <v>60</v>
      </c>
      <c r="K42" s="9">
        <v>80</v>
      </c>
      <c r="L42" s="9">
        <v>41</v>
      </c>
      <c r="M42" s="14"/>
    </row>
    <row r="43" spans="2:13" x14ac:dyDescent="0.45">
      <c r="B43" s="13"/>
      <c r="J43" s="9">
        <v>80</v>
      </c>
      <c r="K43" s="9">
        <v>100</v>
      </c>
      <c r="L43" s="9">
        <v>42</v>
      </c>
      <c r="M43" s="14"/>
    </row>
    <row r="44" spans="2:13" x14ac:dyDescent="0.45">
      <c r="B44" s="13"/>
      <c r="M44" s="14"/>
    </row>
    <row r="45" spans="2:13" x14ac:dyDescent="0.45">
      <c r="B45" s="16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8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7E1B-EE02-4D58-B7F3-2A2022BE91ED}">
  <sheetPr>
    <tabColor rgb="FFB8DAD2"/>
  </sheetPr>
  <dimension ref="B2:O45"/>
  <sheetViews>
    <sheetView workbookViewId="0"/>
  </sheetViews>
  <sheetFormatPr defaultRowHeight="16.5" x14ac:dyDescent="0.45"/>
  <cols>
    <col min="1" max="1" width="5" customWidth="1"/>
    <col min="3" max="3" width="12" bestFit="1" customWidth="1"/>
    <col min="4" max="4" width="10.58203125" customWidth="1"/>
    <col min="6" max="6" width="14.25" customWidth="1"/>
    <col min="7" max="7" width="12.08203125" customWidth="1"/>
    <col min="8" max="8" width="11.83203125" customWidth="1"/>
    <col min="9" max="9" width="18.33203125" customWidth="1"/>
    <col min="10" max="10" width="14.83203125" bestFit="1" customWidth="1"/>
    <col min="11" max="11" width="7.83203125" bestFit="1" customWidth="1"/>
    <col min="12" max="12" width="14" bestFit="1" customWidth="1"/>
  </cols>
  <sheetData>
    <row r="2" spans="2:15" x14ac:dyDescent="0.45">
      <c r="B2" s="30" t="s">
        <v>192</v>
      </c>
      <c r="C2" s="11"/>
      <c r="D2" s="11"/>
      <c r="E2" s="11"/>
      <c r="F2" s="11"/>
      <c r="G2" s="11"/>
      <c r="H2" s="11"/>
      <c r="I2" s="11"/>
      <c r="J2" s="11"/>
      <c r="K2" s="11"/>
      <c r="L2" s="29" t="s">
        <v>193</v>
      </c>
      <c r="M2" s="11"/>
      <c r="N2" s="11"/>
      <c r="O2" s="12"/>
    </row>
    <row r="3" spans="2:15" x14ac:dyDescent="0.45">
      <c r="B3" s="15" t="s">
        <v>165</v>
      </c>
      <c r="L3" s="181" t="s">
        <v>175</v>
      </c>
      <c r="M3" s="182" t="s">
        <v>173</v>
      </c>
      <c r="N3" s="182" t="s">
        <v>174</v>
      </c>
      <c r="O3" s="14"/>
    </row>
    <row r="4" spans="2:15" x14ac:dyDescent="0.45">
      <c r="B4" s="13" t="s">
        <v>162</v>
      </c>
      <c r="L4" s="183" t="s">
        <v>176</v>
      </c>
      <c r="M4" s="184">
        <v>1</v>
      </c>
      <c r="N4" s="184" t="s">
        <v>185</v>
      </c>
      <c r="O4" s="14"/>
    </row>
    <row r="5" spans="2:15" x14ac:dyDescent="0.45">
      <c r="B5" s="13" t="s">
        <v>163</v>
      </c>
      <c r="L5" s="183" t="s">
        <v>177</v>
      </c>
      <c r="M5" s="184">
        <v>2</v>
      </c>
      <c r="N5" s="184" t="s">
        <v>186</v>
      </c>
      <c r="O5" s="14"/>
    </row>
    <row r="6" spans="2:15" x14ac:dyDescent="0.45">
      <c r="B6" s="13" t="s">
        <v>164</v>
      </c>
      <c r="L6" s="183" t="s">
        <v>178</v>
      </c>
      <c r="M6" s="184">
        <v>3</v>
      </c>
      <c r="N6" s="184" t="s">
        <v>187</v>
      </c>
      <c r="O6" s="14"/>
    </row>
    <row r="7" spans="2:15" x14ac:dyDescent="0.45">
      <c r="B7" s="13" t="s">
        <v>145</v>
      </c>
      <c r="L7" s="183" t="s">
        <v>179</v>
      </c>
      <c r="M7" s="184">
        <v>4</v>
      </c>
      <c r="N7" s="184" t="s">
        <v>188</v>
      </c>
      <c r="O7" s="14"/>
    </row>
    <row r="8" spans="2:15" x14ac:dyDescent="0.45">
      <c r="B8" s="15" t="s">
        <v>43</v>
      </c>
      <c r="L8" s="183" t="s">
        <v>180</v>
      </c>
      <c r="M8" s="184">
        <v>5</v>
      </c>
      <c r="N8" s="184" t="s">
        <v>191</v>
      </c>
      <c r="O8" s="14"/>
    </row>
    <row r="9" spans="2:15" x14ac:dyDescent="0.45">
      <c r="B9" s="13" t="s">
        <v>166</v>
      </c>
      <c r="L9" s="183" t="s">
        <v>181</v>
      </c>
      <c r="M9" s="184">
        <v>6</v>
      </c>
      <c r="N9" s="184" t="s">
        <v>184</v>
      </c>
      <c r="O9" s="14"/>
    </row>
    <row r="10" spans="2:15" x14ac:dyDescent="0.45">
      <c r="B10" s="13" t="s">
        <v>167</v>
      </c>
      <c r="L10" s="183" t="s">
        <v>182</v>
      </c>
      <c r="M10" s="184">
        <v>7</v>
      </c>
      <c r="N10" s="184" t="s">
        <v>189</v>
      </c>
      <c r="O10" s="14"/>
    </row>
    <row r="11" spans="2:15" x14ac:dyDescent="0.45">
      <c r="B11" s="13" t="s">
        <v>168</v>
      </c>
      <c r="L11" s="183" t="s">
        <v>183</v>
      </c>
      <c r="M11" s="184">
        <v>8</v>
      </c>
      <c r="N11" s="184" t="s">
        <v>190</v>
      </c>
      <c r="O11" s="14"/>
    </row>
    <row r="12" spans="2:15" x14ac:dyDescent="0.45">
      <c r="B12" s="16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8"/>
    </row>
    <row r="13" spans="2:15" x14ac:dyDescent="0.45">
      <c r="B13" s="19"/>
      <c r="C13" s="11"/>
      <c r="D13" s="11"/>
      <c r="E13" s="11"/>
      <c r="F13" s="11"/>
      <c r="G13" s="11"/>
      <c r="H13" s="11"/>
      <c r="I13" s="11"/>
      <c r="J13" s="73"/>
      <c r="K13" s="73"/>
      <c r="L13" s="11"/>
      <c r="M13" s="11"/>
      <c r="N13" s="11"/>
      <c r="O13" s="12"/>
    </row>
    <row r="14" spans="2:15" x14ac:dyDescent="0.45">
      <c r="B14" s="13"/>
      <c r="C14" s="79" t="s">
        <v>169</v>
      </c>
      <c r="D14" s="79" t="s">
        <v>170</v>
      </c>
      <c r="F14" s="20" t="s">
        <v>172</v>
      </c>
      <c r="I14" s="20" t="s">
        <v>195</v>
      </c>
      <c r="L14" s="20" t="s">
        <v>203</v>
      </c>
      <c r="O14" s="14"/>
    </row>
    <row r="15" spans="2:15" x14ac:dyDescent="0.45">
      <c r="B15" s="13"/>
      <c r="C15" s="69">
        <v>46174</v>
      </c>
      <c r="D15" s="32">
        <v>10</v>
      </c>
      <c r="F15" s="22" t="s">
        <v>171</v>
      </c>
      <c r="I15" s="22" t="s">
        <v>194</v>
      </c>
      <c r="L15" s="22" t="s">
        <v>202</v>
      </c>
      <c r="O15" s="14"/>
    </row>
    <row r="16" spans="2:15" x14ac:dyDescent="0.45">
      <c r="B16" s="13"/>
      <c r="C16" s="69">
        <v>46188</v>
      </c>
      <c r="D16" s="32">
        <v>8</v>
      </c>
      <c r="F16" s="32" t="str" cm="1">
        <f t="array" ref="F16:G20">GroupbyDateλ(Date,Amount,"month",_xleta.SUM)</f>
        <v>Monthly Totals</v>
      </c>
      <c r="G16" s="32" t="str">
        <v/>
      </c>
      <c r="I16" s="32" t="str" cm="1">
        <f t="array" ref="I16:J20">GroupbyDateλ(Date,Amount,6,_xleta.SUM)</f>
        <v>Monthly Totals</v>
      </c>
      <c r="J16" s="9" t="str">
        <v/>
      </c>
      <c r="L16" s="32" t="str" cm="1">
        <f t="array" ref="L16:M20">GroupbyDateλ(Date,Amount,6,_xleta.SUM,"m/y")</f>
        <v>Monthly Totals</v>
      </c>
      <c r="M16" s="9" t="str">
        <v/>
      </c>
      <c r="O16" s="14"/>
    </row>
    <row r="17" spans="2:15" x14ac:dyDescent="0.45">
      <c r="B17" s="13"/>
      <c r="C17" s="69">
        <v>46202</v>
      </c>
      <c r="D17" s="32">
        <v>4</v>
      </c>
      <c r="F17" s="32" t="str">
        <v>June 2026</v>
      </c>
      <c r="G17" s="32">
        <v>22</v>
      </c>
      <c r="I17" s="32" t="str">
        <v>June 2026</v>
      </c>
      <c r="J17" s="9">
        <v>22</v>
      </c>
      <c r="L17" s="32" t="str">
        <v>6/26</v>
      </c>
      <c r="M17" s="9">
        <v>22</v>
      </c>
      <c r="O17" s="14"/>
    </row>
    <row r="18" spans="2:15" x14ac:dyDescent="0.45">
      <c r="B18" s="13"/>
      <c r="C18" s="69">
        <v>46216</v>
      </c>
      <c r="D18" s="32">
        <v>11</v>
      </c>
      <c r="F18" s="32" t="str">
        <v>July 2026</v>
      </c>
      <c r="G18" s="32">
        <v>18</v>
      </c>
      <c r="I18" s="32" t="str">
        <v>July 2026</v>
      </c>
      <c r="J18" s="9">
        <v>18</v>
      </c>
      <c r="L18" s="32" t="str">
        <v>7/26</v>
      </c>
      <c r="M18" s="9">
        <v>18</v>
      </c>
      <c r="O18" s="14"/>
    </row>
    <row r="19" spans="2:15" x14ac:dyDescent="0.45">
      <c r="B19" s="13"/>
      <c r="C19" s="69">
        <v>46230</v>
      </c>
      <c r="D19" s="32">
        <v>7</v>
      </c>
      <c r="F19" s="32" t="str">
        <v>August 2026</v>
      </c>
      <c r="G19" s="32">
        <v>8</v>
      </c>
      <c r="I19" s="32" t="str">
        <v>August 2026</v>
      </c>
      <c r="J19" s="9">
        <v>8</v>
      </c>
      <c r="L19" s="32" t="str">
        <v>8/26</v>
      </c>
      <c r="M19" s="9">
        <v>8</v>
      </c>
      <c r="O19" s="14"/>
    </row>
    <row r="20" spans="2:15" x14ac:dyDescent="0.45">
      <c r="B20" s="13"/>
      <c r="C20" s="69">
        <v>46244</v>
      </c>
      <c r="D20" s="32">
        <v>5</v>
      </c>
      <c r="F20" s="32" t="str">
        <v>Total</v>
      </c>
      <c r="G20" s="32">
        <v>48</v>
      </c>
      <c r="I20" s="32" t="str">
        <v>Total</v>
      </c>
      <c r="J20" s="9">
        <v>48</v>
      </c>
      <c r="L20" s="32" t="str">
        <v>Total</v>
      </c>
      <c r="M20" s="9">
        <v>48</v>
      </c>
      <c r="O20" s="14"/>
    </row>
    <row r="21" spans="2:15" x14ac:dyDescent="0.45">
      <c r="B21" s="13"/>
      <c r="C21" s="69">
        <v>46258</v>
      </c>
      <c r="D21" s="32">
        <v>3</v>
      </c>
      <c r="O21" s="14"/>
    </row>
    <row r="22" spans="2:15" ht="9" customHeight="1" x14ac:dyDescent="0.45">
      <c r="B22" s="16"/>
      <c r="C22" s="74"/>
      <c r="D22" s="60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8"/>
    </row>
    <row r="23" spans="2:15" ht="9" customHeight="1" x14ac:dyDescent="0.45">
      <c r="B23" s="19"/>
      <c r="C23" s="75"/>
      <c r="D23" s="58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2"/>
    </row>
    <row r="24" spans="2:15" x14ac:dyDescent="0.45">
      <c r="B24" s="13"/>
      <c r="C24" s="168" t="s">
        <v>196</v>
      </c>
      <c r="D24" s="168" t="s">
        <v>197</v>
      </c>
      <c r="F24" s="20" t="s">
        <v>199</v>
      </c>
      <c r="J24" s="20" t="s">
        <v>201</v>
      </c>
      <c r="O24" s="14"/>
    </row>
    <row r="25" spans="2:15" x14ac:dyDescent="0.45">
      <c r="B25" s="13"/>
      <c r="C25" s="70">
        <v>0.63969907407407411</v>
      </c>
      <c r="D25" s="71">
        <v>0.62825396613865703</v>
      </c>
      <c r="F25" s="22" t="s">
        <v>198</v>
      </c>
      <c r="J25" s="22" t="s">
        <v>200</v>
      </c>
      <c r="O25" s="14"/>
    </row>
    <row r="26" spans="2:15" x14ac:dyDescent="0.45">
      <c r="B26" s="13"/>
      <c r="C26" s="70">
        <v>0.63975694444444442</v>
      </c>
      <c r="D26" s="71">
        <v>0.36646942139833971</v>
      </c>
      <c r="F26" s="32" t="str" cm="1">
        <f t="array" ref="F26:G31">GroupbyDateλ(Time,Reading,1,_xleta.AVERAGE,,TRUE)</f>
        <v>Totals by minute</v>
      </c>
      <c r="G26" s="32" t="str">
        <v>Reading</v>
      </c>
      <c r="J26" s="32" t="str" cm="1">
        <f t="array" ref="J26:K31">GroupbyDateλ(Time,Reading,1,_xleta.MIN,,TRUE)</f>
        <v>Totals by minute</v>
      </c>
      <c r="K26" s="32" t="str">
        <v>Reading</v>
      </c>
      <c r="O26" s="14"/>
    </row>
    <row r="27" spans="2:15" x14ac:dyDescent="0.45">
      <c r="B27" s="13"/>
      <c r="C27" s="70">
        <v>0.64050925925925928</v>
      </c>
      <c r="D27" s="71">
        <v>0.53612089947349362</v>
      </c>
      <c r="F27" s="32" t="str">
        <v>3:21 PM</v>
      </c>
      <c r="G27" s="71">
        <v>0.36646942139833971</v>
      </c>
      <c r="J27" s="32" t="str">
        <v>3:21 PM</v>
      </c>
      <c r="K27" s="71">
        <v>0.36646942139833971</v>
      </c>
      <c r="O27" s="14"/>
    </row>
    <row r="28" spans="2:15" x14ac:dyDescent="0.45">
      <c r="B28" s="13"/>
      <c r="C28" s="70">
        <v>0.64083333333333337</v>
      </c>
      <c r="D28" s="71">
        <v>0.7143385416044683</v>
      </c>
      <c r="F28" s="32" t="str">
        <v>3:22 PM</v>
      </c>
      <c r="G28" s="71">
        <v>0.53612089947349362</v>
      </c>
      <c r="J28" s="32" t="str">
        <v>3:22 PM</v>
      </c>
      <c r="K28" s="71">
        <v>0.53612089947349362</v>
      </c>
      <c r="O28" s="14"/>
    </row>
    <row r="29" spans="2:15" x14ac:dyDescent="0.45">
      <c r="B29" s="13"/>
      <c r="C29" s="70">
        <v>0.64096064814814813</v>
      </c>
      <c r="D29" s="71">
        <v>0.31988404390972502</v>
      </c>
      <c r="F29" s="32" t="str">
        <v>3:23 PM</v>
      </c>
      <c r="G29" s="71">
        <v>0.51711129275709666</v>
      </c>
      <c r="J29" s="32" t="str">
        <v>3:23 PM</v>
      </c>
      <c r="K29" s="71">
        <v>0.31988404390972502</v>
      </c>
      <c r="O29" s="14"/>
    </row>
    <row r="30" spans="2:15" x14ac:dyDescent="0.45">
      <c r="B30" s="13"/>
      <c r="C30" s="70">
        <v>0.64143518518518516</v>
      </c>
      <c r="D30" s="71">
        <v>0.1734951787079213</v>
      </c>
      <c r="F30" s="32" t="str">
        <v>3:24 PM</v>
      </c>
      <c r="G30" s="71">
        <v>0.42410462410353683</v>
      </c>
      <c r="J30" s="32" t="str">
        <v>3:24 PM</v>
      </c>
      <c r="K30" s="71">
        <v>0.1734951787079213</v>
      </c>
      <c r="O30" s="14"/>
    </row>
    <row r="31" spans="2:15" x14ac:dyDescent="0.45">
      <c r="B31" s="13"/>
      <c r="C31" s="70">
        <v>0.64145833333333335</v>
      </c>
      <c r="D31" s="71">
        <v>0.488580927</v>
      </c>
      <c r="F31" s="32" t="str">
        <v>Total</v>
      </c>
      <c r="G31" s="71">
        <v>0.45844668267094812</v>
      </c>
      <c r="J31" s="32" t="str">
        <v>Total</v>
      </c>
      <c r="K31" s="71">
        <v>0.1734951787079213</v>
      </c>
      <c r="O31" s="14"/>
    </row>
    <row r="32" spans="2:15" x14ac:dyDescent="0.45">
      <c r="B32" s="13"/>
      <c r="C32" s="72">
        <v>0.64167824074074076</v>
      </c>
      <c r="D32" s="71">
        <v>0.61023776660268914</v>
      </c>
      <c r="O32" s="14"/>
    </row>
    <row r="33" spans="2:15" ht="12" customHeight="1" x14ac:dyDescent="0.45">
      <c r="B33" s="16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8"/>
    </row>
    <row r="34" spans="2:15" ht="7.5" customHeight="1" x14ac:dyDescent="0.45">
      <c r="B34" s="19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2"/>
    </row>
    <row r="35" spans="2:15" x14ac:dyDescent="0.45">
      <c r="B35" s="13"/>
      <c r="C35" s="33" t="s">
        <v>205</v>
      </c>
      <c r="D35" s="33" t="s">
        <v>204</v>
      </c>
      <c r="E35" s="33" t="s">
        <v>206</v>
      </c>
      <c r="F35" s="44"/>
      <c r="G35" s="77" t="s">
        <v>211</v>
      </c>
      <c r="O35" s="14"/>
    </row>
    <row r="36" spans="2:15" x14ac:dyDescent="0.45">
      <c r="B36" s="13"/>
      <c r="C36" s="69">
        <v>40179</v>
      </c>
      <c r="D36" s="32" t="s">
        <v>207</v>
      </c>
      <c r="E36" s="32">
        <v>2500</v>
      </c>
      <c r="F36" s="76"/>
      <c r="G36" s="22" t="s">
        <v>210</v>
      </c>
      <c r="O36" s="14"/>
    </row>
    <row r="37" spans="2:15" x14ac:dyDescent="0.45">
      <c r="B37" s="13"/>
      <c r="C37" s="69">
        <v>40182</v>
      </c>
      <c r="D37" s="32" t="s">
        <v>208</v>
      </c>
      <c r="E37" s="32">
        <v>2000</v>
      </c>
      <c r="F37" s="76"/>
      <c r="G37" s="32" t="str" cm="1">
        <f t="array" ref="G37:H41">GroupbyDateλ(EnteredDate,Bonus,"y",_xleta.MAX,,,Department&lt;&gt;"Unknown")</f>
        <v>Yearly Totals</v>
      </c>
      <c r="H37" s="32" t="str">
        <v/>
      </c>
      <c r="O37" s="14"/>
    </row>
    <row r="38" spans="2:15" x14ac:dyDescent="0.45">
      <c r="B38" s="13"/>
      <c r="C38" s="69">
        <v>40269</v>
      </c>
      <c r="D38" s="32" t="s">
        <v>209</v>
      </c>
      <c r="E38" s="32">
        <v>10000</v>
      </c>
      <c r="F38" s="76"/>
      <c r="G38" s="32" t="str">
        <v>2010</v>
      </c>
      <c r="H38" s="32">
        <v>2500</v>
      </c>
      <c r="O38" s="14"/>
    </row>
    <row r="39" spans="2:15" x14ac:dyDescent="0.45">
      <c r="B39" s="13"/>
      <c r="C39" s="69">
        <v>40668</v>
      </c>
      <c r="D39" s="32" t="s">
        <v>207</v>
      </c>
      <c r="E39" s="32">
        <v>2750</v>
      </c>
      <c r="F39" s="76"/>
      <c r="G39" s="32" t="str">
        <v>2011</v>
      </c>
      <c r="H39" s="32">
        <v>3000</v>
      </c>
      <c r="O39" s="14"/>
    </row>
    <row r="40" spans="2:15" x14ac:dyDescent="0.45">
      <c r="B40" s="13"/>
      <c r="C40" s="69">
        <v>40577</v>
      </c>
      <c r="D40" s="32" t="s">
        <v>208</v>
      </c>
      <c r="E40" s="32">
        <v>3000</v>
      </c>
      <c r="F40" s="76"/>
      <c r="G40" s="32" t="str">
        <v>2012</v>
      </c>
      <c r="H40" s="32">
        <v>5500</v>
      </c>
      <c r="O40" s="14"/>
    </row>
    <row r="41" spans="2:15" x14ac:dyDescent="0.45">
      <c r="B41" s="13"/>
      <c r="C41" s="69">
        <v>41092</v>
      </c>
      <c r="D41" s="32" t="s">
        <v>209</v>
      </c>
      <c r="E41" s="32">
        <v>9000</v>
      </c>
      <c r="F41" s="76"/>
      <c r="G41" s="32" t="str">
        <v>Total</v>
      </c>
      <c r="H41" s="32">
        <v>5500</v>
      </c>
      <c r="O41" s="14"/>
    </row>
    <row r="42" spans="2:15" x14ac:dyDescent="0.45">
      <c r="B42" s="13"/>
      <c r="C42" s="69">
        <v>40923</v>
      </c>
      <c r="D42" s="32" t="s">
        <v>207</v>
      </c>
      <c r="E42" s="32">
        <v>3250</v>
      </c>
      <c r="F42" s="76"/>
      <c r="O42" s="14"/>
    </row>
    <row r="43" spans="2:15" x14ac:dyDescent="0.45">
      <c r="B43" s="13"/>
      <c r="C43" s="69">
        <v>40942</v>
      </c>
      <c r="D43" s="32" t="s">
        <v>208</v>
      </c>
      <c r="E43" s="32">
        <v>5500</v>
      </c>
      <c r="F43" s="76"/>
      <c r="O43" s="14"/>
    </row>
    <row r="44" spans="2:15" x14ac:dyDescent="0.45">
      <c r="B44" s="13"/>
      <c r="O44" s="14"/>
    </row>
    <row r="45" spans="2:15" x14ac:dyDescent="0.45">
      <c r="B45" s="16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8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FCB96-D4C3-44E4-8EB1-DD2965C1EB0B}">
  <sheetPr>
    <tabColor rgb="FFB8DAD2"/>
  </sheetPr>
  <dimension ref="B2:W31"/>
  <sheetViews>
    <sheetView workbookViewId="0"/>
  </sheetViews>
  <sheetFormatPr defaultRowHeight="16.5" x14ac:dyDescent="0.45"/>
  <cols>
    <col min="1" max="1" width="5" customWidth="1"/>
    <col min="2" max="2" width="5.75" customWidth="1"/>
    <col min="3" max="3" width="9.58203125" bestFit="1" customWidth="1"/>
    <col min="6" max="6" width="10.75" bestFit="1" customWidth="1"/>
    <col min="8" max="8" width="5.83203125" bestFit="1" customWidth="1"/>
    <col min="9" max="9" width="6.58203125" bestFit="1" customWidth="1"/>
    <col min="10" max="13" width="5.58203125" customWidth="1"/>
    <col min="14" max="15" width="3.83203125" bestFit="1" customWidth="1"/>
    <col min="16" max="16" width="5.5" customWidth="1"/>
    <col min="17" max="17" width="5.58203125" customWidth="1"/>
    <col min="18" max="18" width="7.33203125" customWidth="1"/>
    <col min="19" max="22" width="5.58203125" customWidth="1"/>
    <col min="23" max="23" width="15.6640625" customWidth="1"/>
  </cols>
  <sheetData>
    <row r="2" spans="2:23" x14ac:dyDescent="0.45">
      <c r="B2" s="30" t="s">
        <v>212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2"/>
    </row>
    <row r="3" spans="2:23" x14ac:dyDescent="0.45">
      <c r="B3" s="15" t="s">
        <v>213</v>
      </c>
      <c r="W3" s="14"/>
    </row>
    <row r="4" spans="2:23" x14ac:dyDescent="0.45">
      <c r="B4" s="15" t="s">
        <v>165</v>
      </c>
      <c r="W4" s="14"/>
    </row>
    <row r="5" spans="2:23" x14ac:dyDescent="0.45">
      <c r="B5" s="13" t="s">
        <v>214</v>
      </c>
      <c r="W5" s="14"/>
    </row>
    <row r="6" spans="2:23" x14ac:dyDescent="0.45">
      <c r="B6" s="13" t="s">
        <v>215</v>
      </c>
      <c r="W6" s="14"/>
    </row>
    <row r="7" spans="2:23" x14ac:dyDescent="0.45">
      <c r="B7" s="13" t="s">
        <v>216</v>
      </c>
      <c r="W7" s="14"/>
    </row>
    <row r="8" spans="2:23" x14ac:dyDescent="0.45">
      <c r="B8" s="13" t="s">
        <v>217</v>
      </c>
      <c r="W8" s="14"/>
    </row>
    <row r="9" spans="2:23" x14ac:dyDescent="0.45">
      <c r="B9" s="13" t="s">
        <v>218</v>
      </c>
      <c r="W9" s="14"/>
    </row>
    <row r="10" spans="2:23" x14ac:dyDescent="0.45">
      <c r="B10" s="15" t="s">
        <v>43</v>
      </c>
      <c r="W10" s="14"/>
    </row>
    <row r="11" spans="2:23" x14ac:dyDescent="0.45">
      <c r="B11" s="13" t="s">
        <v>219</v>
      </c>
      <c r="W11" s="14"/>
    </row>
    <row r="12" spans="2:23" x14ac:dyDescent="0.45">
      <c r="B12" s="13" t="s">
        <v>220</v>
      </c>
      <c r="W12" s="14"/>
    </row>
    <row r="13" spans="2:23" x14ac:dyDescent="0.45"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8"/>
    </row>
    <row r="14" spans="2:23" x14ac:dyDescent="0.45">
      <c r="B14" s="13"/>
      <c r="H14" s="20"/>
      <c r="W14" s="14"/>
    </row>
    <row r="15" spans="2:23" x14ac:dyDescent="0.45">
      <c r="B15" s="13"/>
      <c r="H15" s="20"/>
      <c r="W15" s="14"/>
    </row>
    <row r="16" spans="2:23" x14ac:dyDescent="0.45">
      <c r="B16" s="13"/>
      <c r="H16" s="20"/>
      <c r="W16" s="14"/>
    </row>
    <row r="17" spans="2:23" x14ac:dyDescent="0.45">
      <c r="B17" s="13"/>
      <c r="H17" s="20" t="s">
        <v>274</v>
      </c>
      <c r="Q17" s="20" t="s">
        <v>242</v>
      </c>
      <c r="W17" s="14"/>
    </row>
    <row r="18" spans="2:23" x14ac:dyDescent="0.45">
      <c r="B18" s="13"/>
      <c r="H18" s="22" t="s">
        <v>351</v>
      </c>
      <c r="Q18" s="22" t="s">
        <v>234</v>
      </c>
      <c r="W18" s="14"/>
    </row>
    <row r="19" spans="2:23" x14ac:dyDescent="0.45">
      <c r="B19" s="13"/>
      <c r="C19" s="79" t="s">
        <v>230</v>
      </c>
      <c r="D19" s="79" t="s">
        <v>228</v>
      </c>
      <c r="E19" s="79" t="s">
        <v>229</v>
      </c>
      <c r="F19" s="79" t="s">
        <v>231</v>
      </c>
      <c r="H19" s="9" t="str" cm="1">
        <f t="array" ref="H19:M27">PivotbyCatλ(Worker,Processed,Sites,Hours,", ","mmm y",_xleta.SUM)</f>
        <v/>
      </c>
      <c r="I19" s="9" t="str">
        <v/>
      </c>
      <c r="J19" s="9" t="str">
        <v>A</v>
      </c>
      <c r="K19" s="9" t="str">
        <v>B</v>
      </c>
      <c r="L19" s="9" t="str">
        <v>C</v>
      </c>
      <c r="M19" s="9" t="str">
        <v>D</v>
      </c>
      <c r="Q19" s="9" t="str" cm="1">
        <f t="array" ref="Q19:V27">PivotbyCatλ(Worker,Processed,Sites,Hours,", ","mmm y",_xleta.COUNT)</f>
        <v/>
      </c>
      <c r="R19" s="9" t="str">
        <v/>
      </c>
      <c r="S19" s="9" t="str">
        <v>A</v>
      </c>
      <c r="T19" s="9" t="str">
        <v>B</v>
      </c>
      <c r="U19" s="9" t="str">
        <v>C</v>
      </c>
      <c r="V19" s="9" t="str">
        <v>D</v>
      </c>
      <c r="W19" s="14"/>
    </row>
    <row r="20" spans="2:23" x14ac:dyDescent="0.45">
      <c r="B20" s="13"/>
      <c r="C20" s="69">
        <v>46198</v>
      </c>
      <c r="D20" s="32" t="s">
        <v>123</v>
      </c>
      <c r="E20" s="32">
        <v>24</v>
      </c>
      <c r="F20" s="32" t="s">
        <v>235</v>
      </c>
      <c r="H20" s="9" t="str">
        <v>Bob</v>
      </c>
      <c r="I20" s="9" t="str">
        <v>Jun 26</v>
      </c>
      <c r="J20" s="9">
        <v>8</v>
      </c>
      <c r="K20" s="9">
        <v>16</v>
      </c>
      <c r="L20" s="9" t="str">
        <v/>
      </c>
      <c r="M20" s="9" t="str">
        <v/>
      </c>
      <c r="Q20" s="9" t="str">
        <v>Bob</v>
      </c>
      <c r="R20" s="9" t="str">
        <v>Jun 26</v>
      </c>
      <c r="S20" s="9">
        <v>1</v>
      </c>
      <c r="T20" s="9">
        <v>2</v>
      </c>
      <c r="U20" s="9" t="str">
        <v/>
      </c>
      <c r="V20" s="9" t="str">
        <v/>
      </c>
      <c r="W20" s="14"/>
    </row>
    <row r="21" spans="2:23" x14ac:dyDescent="0.45">
      <c r="B21" s="13"/>
      <c r="C21" s="69">
        <v>46198</v>
      </c>
      <c r="D21" s="32" t="s">
        <v>221</v>
      </c>
      <c r="E21" s="32">
        <v>24</v>
      </c>
      <c r="F21" s="32" t="s">
        <v>236</v>
      </c>
      <c r="H21" s="9" t="str">
        <v>Henry</v>
      </c>
      <c r="I21" s="9" t="str">
        <v>Jun 26</v>
      </c>
      <c r="J21" s="9">
        <v>8</v>
      </c>
      <c r="K21" s="9">
        <v>8</v>
      </c>
      <c r="L21" s="9" t="str">
        <v/>
      </c>
      <c r="M21" s="9" t="str">
        <v/>
      </c>
      <c r="Q21" s="9" t="str">
        <v>Henry</v>
      </c>
      <c r="R21" s="9" t="str">
        <v>Jun 26</v>
      </c>
      <c r="S21" s="9">
        <v>2</v>
      </c>
      <c r="T21" s="9">
        <v>2</v>
      </c>
      <c r="U21" s="9" t="str">
        <v/>
      </c>
      <c r="V21" s="9" t="str">
        <v/>
      </c>
      <c r="W21" s="14"/>
    </row>
    <row r="22" spans="2:23" x14ac:dyDescent="0.45">
      <c r="B22" s="13"/>
      <c r="C22" s="69">
        <v>46198</v>
      </c>
      <c r="D22" s="32" t="s">
        <v>222</v>
      </c>
      <c r="E22" s="32">
        <v>36</v>
      </c>
      <c r="F22" s="32" t="s">
        <v>237</v>
      </c>
      <c r="H22" s="9" t="str">
        <v>Liz</v>
      </c>
      <c r="I22" s="9" t="str">
        <v>Jun 26</v>
      </c>
      <c r="J22" s="9">
        <v>20</v>
      </c>
      <c r="K22" s="9">
        <v>10</v>
      </c>
      <c r="L22" s="9">
        <v>10</v>
      </c>
      <c r="M22" s="9">
        <v>10</v>
      </c>
      <c r="Q22" s="9" t="str">
        <v>Liz</v>
      </c>
      <c r="R22" s="9" t="str">
        <v>Jun 26</v>
      </c>
      <c r="S22" s="9">
        <v>2</v>
      </c>
      <c r="T22" s="9">
        <v>1</v>
      </c>
      <c r="U22" s="9">
        <v>1</v>
      </c>
      <c r="V22" s="9">
        <v>1</v>
      </c>
      <c r="W22" s="14"/>
    </row>
    <row r="23" spans="2:23" x14ac:dyDescent="0.45">
      <c r="B23" s="13"/>
      <c r="C23" s="69">
        <v>46198</v>
      </c>
      <c r="D23" s="32" t="s">
        <v>223</v>
      </c>
      <c r="E23" s="32">
        <v>24</v>
      </c>
      <c r="F23" s="32" t="s">
        <v>238</v>
      </c>
      <c r="H23" s="9" t="str">
        <v>Lucy</v>
      </c>
      <c r="I23" s="9" t="str">
        <v>Jun 26</v>
      </c>
      <c r="J23" s="9">
        <v>9</v>
      </c>
      <c r="K23" s="9">
        <v>18</v>
      </c>
      <c r="L23" s="9">
        <v>9</v>
      </c>
      <c r="M23" s="9" t="str">
        <v/>
      </c>
      <c r="Q23" s="9" t="str">
        <v>Lucy</v>
      </c>
      <c r="R23" s="9" t="str">
        <v>Jun 26</v>
      </c>
      <c r="S23" s="9">
        <v>1</v>
      </c>
      <c r="T23" s="9">
        <v>2</v>
      </c>
      <c r="U23" s="9">
        <v>1</v>
      </c>
      <c r="V23" s="9" t="str">
        <v/>
      </c>
      <c r="W23" s="14"/>
    </row>
    <row r="24" spans="2:23" x14ac:dyDescent="0.45">
      <c r="B24" s="13"/>
      <c r="C24" s="69">
        <v>46198</v>
      </c>
      <c r="D24" s="32" t="s">
        <v>224</v>
      </c>
      <c r="E24" s="32">
        <v>24</v>
      </c>
      <c r="F24" s="32" t="s">
        <v>239</v>
      </c>
      <c r="H24" s="9" t="str">
        <v>Peg</v>
      </c>
      <c r="I24" s="9" t="str">
        <v>Jun 26</v>
      </c>
      <c r="J24" s="9" t="str">
        <v/>
      </c>
      <c r="K24" s="9">
        <v>8</v>
      </c>
      <c r="L24" s="9">
        <v>16</v>
      </c>
      <c r="M24" s="9" t="str">
        <v/>
      </c>
      <c r="Q24" s="9" t="str">
        <v>Peg</v>
      </c>
      <c r="R24" s="9" t="str">
        <v>Jun 26</v>
      </c>
      <c r="S24" s="9" t="str">
        <v/>
      </c>
      <c r="T24" s="9">
        <v>1</v>
      </c>
      <c r="U24" s="9">
        <v>2</v>
      </c>
      <c r="V24" s="9" t="str">
        <v/>
      </c>
      <c r="W24" s="14"/>
    </row>
    <row r="25" spans="2:23" x14ac:dyDescent="0.45">
      <c r="B25" s="13"/>
      <c r="C25" s="69">
        <v>46198</v>
      </c>
      <c r="D25" s="32" t="s">
        <v>225</v>
      </c>
      <c r="E25" s="32">
        <v>36</v>
      </c>
      <c r="F25" s="32" t="s">
        <v>240</v>
      </c>
      <c r="H25" s="9" t="str">
        <v>Sue</v>
      </c>
      <c r="I25" s="9" t="str">
        <v>Jun 26</v>
      </c>
      <c r="J25" s="9" t="str">
        <v/>
      </c>
      <c r="K25" s="9">
        <v>9</v>
      </c>
      <c r="L25" s="9">
        <v>9</v>
      </c>
      <c r="M25" s="9">
        <v>18</v>
      </c>
      <c r="Q25" s="9" t="str">
        <v>Sue</v>
      </c>
      <c r="R25" s="9" t="str">
        <v>Jun 26</v>
      </c>
      <c r="S25" s="9" t="str">
        <v/>
      </c>
      <c r="T25" s="9">
        <v>1</v>
      </c>
      <c r="U25" s="9">
        <v>1</v>
      </c>
      <c r="V25" s="9">
        <v>2</v>
      </c>
      <c r="W25" s="14"/>
    </row>
    <row r="26" spans="2:23" x14ac:dyDescent="0.45">
      <c r="B26" s="13"/>
      <c r="C26" s="69">
        <v>46198</v>
      </c>
      <c r="D26" s="32" t="s">
        <v>226</v>
      </c>
      <c r="E26" s="32">
        <v>16</v>
      </c>
      <c r="F26" s="32" t="s">
        <v>241</v>
      </c>
      <c r="H26" s="9" t="str">
        <v>Walt</v>
      </c>
      <c r="I26" s="9" t="str">
        <v>Jun 26</v>
      </c>
      <c r="J26" s="9">
        <v>6</v>
      </c>
      <c r="K26" s="9">
        <v>12</v>
      </c>
      <c r="L26" s="9" t="str">
        <v/>
      </c>
      <c r="M26" s="9">
        <v>6</v>
      </c>
      <c r="Q26" s="9" t="str">
        <v>Walt</v>
      </c>
      <c r="R26" s="9" t="str">
        <v>Jun 26</v>
      </c>
      <c r="S26" s="9">
        <v>1</v>
      </c>
      <c r="T26" s="9">
        <v>2</v>
      </c>
      <c r="U26" s="9" t="str">
        <v/>
      </c>
      <c r="V26" s="9">
        <v>1</v>
      </c>
      <c r="W26" s="14"/>
    </row>
    <row r="27" spans="2:23" x14ac:dyDescent="0.45">
      <c r="B27" s="13"/>
      <c r="C27" s="69">
        <v>46198</v>
      </c>
      <c r="D27" s="32" t="s">
        <v>227</v>
      </c>
      <c r="E27" s="32">
        <v>50</v>
      </c>
      <c r="F27" s="32" t="s">
        <v>243</v>
      </c>
      <c r="H27" s="9" t="str">
        <v>Willy</v>
      </c>
      <c r="I27" s="9" t="str">
        <v>Jun 26</v>
      </c>
      <c r="J27" s="9">
        <v>12</v>
      </c>
      <c r="K27" s="9">
        <v>6</v>
      </c>
      <c r="L27" s="9">
        <v>6</v>
      </c>
      <c r="M27" s="9" t="str">
        <v/>
      </c>
      <c r="Q27" s="9" t="str">
        <v>Willy</v>
      </c>
      <c r="R27" s="9" t="str">
        <v>Jun 26</v>
      </c>
      <c r="S27" s="9">
        <v>2</v>
      </c>
      <c r="T27" s="9">
        <v>1</v>
      </c>
      <c r="U27" s="9">
        <v>1</v>
      </c>
      <c r="V27" s="9" t="str">
        <v/>
      </c>
      <c r="W27" s="14"/>
    </row>
    <row r="28" spans="2:23" x14ac:dyDescent="0.45">
      <c r="B28" s="13"/>
      <c r="W28" s="14"/>
    </row>
    <row r="29" spans="2:23" x14ac:dyDescent="0.45">
      <c r="B29" s="13"/>
      <c r="W29" s="14"/>
    </row>
    <row r="30" spans="2:23" x14ac:dyDescent="0.45">
      <c r="B30" s="13"/>
      <c r="C30" s="21" t="s">
        <v>244</v>
      </c>
      <c r="L30" s="21" t="s">
        <v>233</v>
      </c>
      <c r="W30" s="14"/>
    </row>
    <row r="31" spans="2:23" x14ac:dyDescent="0.45">
      <c r="B31" s="16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8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8A7E4-9961-435C-8932-66661A8BFAEB}">
  <sheetPr>
    <tabColor rgb="FFB8DAD2"/>
  </sheetPr>
  <dimension ref="B2:Q22"/>
  <sheetViews>
    <sheetView workbookViewId="0"/>
  </sheetViews>
  <sheetFormatPr defaultRowHeight="16.5" x14ac:dyDescent="0.45"/>
  <cols>
    <col min="1" max="1" width="5" customWidth="1"/>
    <col min="3" max="3" width="4.9140625" customWidth="1"/>
    <col min="6" max="6" width="3.6640625" customWidth="1"/>
    <col min="8" max="16" width="10.08203125" customWidth="1"/>
    <col min="17" max="17" width="4" customWidth="1"/>
  </cols>
  <sheetData>
    <row r="2" spans="2:17" x14ac:dyDescent="0.45">
      <c r="B2" s="10" t="s">
        <v>416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2"/>
    </row>
    <row r="3" spans="2:17" x14ac:dyDescent="0.45">
      <c r="B3" s="13" t="s">
        <v>417</v>
      </c>
      <c r="Q3" s="14"/>
    </row>
    <row r="4" spans="2:17" x14ac:dyDescent="0.45">
      <c r="B4" s="15" t="s">
        <v>43</v>
      </c>
      <c r="Q4" s="14"/>
    </row>
    <row r="5" spans="2:17" x14ac:dyDescent="0.45">
      <c r="B5" s="13" t="s">
        <v>418</v>
      </c>
      <c r="Q5" s="14"/>
    </row>
    <row r="6" spans="2:17" x14ac:dyDescent="0.45">
      <c r="B6" s="16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8"/>
    </row>
    <row r="7" spans="2:17" x14ac:dyDescent="0.45">
      <c r="B7" s="13"/>
      <c r="Q7" s="14"/>
    </row>
    <row r="8" spans="2:17" x14ac:dyDescent="0.45">
      <c r="B8" s="203" t="s">
        <v>419</v>
      </c>
      <c r="D8" s="22" t="s">
        <v>420</v>
      </c>
      <c r="G8" s="21" t="s">
        <v>421</v>
      </c>
      <c r="H8" s="65" t="s">
        <v>422</v>
      </c>
      <c r="I8" s="65" t="s">
        <v>423</v>
      </c>
      <c r="J8" s="65" t="s">
        <v>424</v>
      </c>
      <c r="K8" s="65" t="s">
        <v>424</v>
      </c>
      <c r="L8" s="65" t="s">
        <v>422</v>
      </c>
      <c r="M8" s="65" t="s">
        <v>425</v>
      </c>
      <c r="N8" s="65" t="s">
        <v>423</v>
      </c>
      <c r="O8" s="65" t="s">
        <v>426</v>
      </c>
      <c r="P8" s="65" t="s">
        <v>422</v>
      </c>
      <c r="Q8" s="14"/>
    </row>
    <row r="9" spans="2:17" x14ac:dyDescent="0.45">
      <c r="B9" s="65" t="s">
        <v>368</v>
      </c>
      <c r="C9" s="8"/>
      <c r="D9" s="207" cm="1">
        <f t="array" ref="D9:D18">GroupIndexλ(Groups)</f>
        <v>1</v>
      </c>
      <c r="Q9" s="14"/>
    </row>
    <row r="10" spans="2:17" x14ac:dyDescent="0.45">
      <c r="B10" s="65" t="s">
        <v>365</v>
      </c>
      <c r="C10" s="8"/>
      <c r="D10" s="9">
        <v>2</v>
      </c>
      <c r="H10" s="22" t="s">
        <v>427</v>
      </c>
      <c r="Q10" s="14"/>
    </row>
    <row r="11" spans="2:17" x14ac:dyDescent="0.45">
      <c r="B11" s="65" t="s">
        <v>232</v>
      </c>
      <c r="C11" s="8"/>
      <c r="D11" s="9">
        <v>3</v>
      </c>
      <c r="H11" s="207" cm="1">
        <f t="array" ref="H11:P11">GroupIndexλ(Vehicles,TRUE)</f>
        <v>1</v>
      </c>
      <c r="I11" s="9">
        <v>2</v>
      </c>
      <c r="J11" s="9">
        <v>3</v>
      </c>
      <c r="K11" s="9">
        <v>3</v>
      </c>
      <c r="L11" s="9">
        <v>1</v>
      </c>
      <c r="M11" s="9">
        <v>4</v>
      </c>
      <c r="N11" s="9">
        <v>2</v>
      </c>
      <c r="O11" s="9">
        <v>5</v>
      </c>
      <c r="P11" s="9">
        <v>1</v>
      </c>
      <c r="Q11" s="14"/>
    </row>
    <row r="12" spans="2:17" x14ac:dyDescent="0.45">
      <c r="B12" s="65" t="s">
        <v>365</v>
      </c>
      <c r="C12" s="8"/>
      <c r="D12" s="9">
        <v>2</v>
      </c>
      <c r="Q12" s="14"/>
    </row>
    <row r="13" spans="2:17" x14ac:dyDescent="0.45">
      <c r="B13" s="65" t="s">
        <v>368</v>
      </c>
      <c r="C13" s="8"/>
      <c r="D13" s="9">
        <v>1</v>
      </c>
      <c r="Q13" s="14"/>
    </row>
    <row r="14" spans="2:17" x14ac:dyDescent="0.45">
      <c r="B14" s="65" t="s">
        <v>232</v>
      </c>
      <c r="C14" s="8"/>
      <c r="D14" s="9">
        <v>3</v>
      </c>
      <c r="Q14" s="14"/>
    </row>
    <row r="15" spans="2:17" x14ac:dyDescent="0.45">
      <c r="B15" s="65" t="s">
        <v>365</v>
      </c>
      <c r="C15" s="8"/>
      <c r="D15" s="9">
        <v>2</v>
      </c>
      <c r="Q15" s="14"/>
    </row>
    <row r="16" spans="2:17" x14ac:dyDescent="0.45">
      <c r="B16" s="65" t="s">
        <v>428</v>
      </c>
      <c r="C16" s="8"/>
      <c r="D16" s="9">
        <v>4</v>
      </c>
      <c r="Q16" s="14"/>
    </row>
    <row r="17" spans="2:17" x14ac:dyDescent="0.45">
      <c r="B17" s="65" t="s">
        <v>365</v>
      </c>
      <c r="C17" s="8"/>
      <c r="D17" s="9">
        <v>2</v>
      </c>
      <c r="Q17" s="14"/>
    </row>
    <row r="18" spans="2:17" x14ac:dyDescent="0.45">
      <c r="B18" s="65" t="s">
        <v>365</v>
      </c>
      <c r="C18" s="8"/>
      <c r="D18" s="9">
        <v>2</v>
      </c>
      <c r="Q18" s="14"/>
    </row>
    <row r="19" spans="2:17" x14ac:dyDescent="0.45">
      <c r="B19" s="13"/>
      <c r="Q19" s="14"/>
    </row>
    <row r="20" spans="2:17" x14ac:dyDescent="0.45">
      <c r="B20" s="13"/>
      <c r="Q20" s="14"/>
    </row>
    <row r="21" spans="2:17" x14ac:dyDescent="0.45">
      <c r="B21" s="13"/>
      <c r="Q21" s="14"/>
    </row>
    <row r="22" spans="2:17" x14ac:dyDescent="0.45">
      <c r="B22" s="16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772E8-CBD2-4A10-B1A9-2FA572F2FD57}">
  <sheetPr>
    <tabColor rgb="FFB8DAD2"/>
  </sheetPr>
  <dimension ref="B2:P22"/>
  <sheetViews>
    <sheetView workbookViewId="0"/>
  </sheetViews>
  <sheetFormatPr defaultRowHeight="16.5" x14ac:dyDescent="0.45"/>
  <cols>
    <col min="1" max="1" width="5" customWidth="1"/>
    <col min="9" max="9" width="12.25" bestFit="1" customWidth="1"/>
    <col min="10" max="10" width="9.4140625" customWidth="1"/>
    <col min="12" max="12" width="9.08203125" bestFit="1" customWidth="1"/>
    <col min="13" max="13" width="9.58203125" bestFit="1" customWidth="1"/>
  </cols>
  <sheetData>
    <row r="2" spans="2:16" x14ac:dyDescent="0.45">
      <c r="B2" s="10" t="s">
        <v>429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2"/>
    </row>
    <row r="3" spans="2:16" x14ac:dyDescent="0.45">
      <c r="B3" s="13" t="s">
        <v>430</v>
      </c>
      <c r="P3" s="14"/>
    </row>
    <row r="4" spans="2:16" x14ac:dyDescent="0.45">
      <c r="B4" s="13" t="s">
        <v>431</v>
      </c>
      <c r="P4" s="14"/>
    </row>
    <row r="5" spans="2:16" x14ac:dyDescent="0.45">
      <c r="B5" s="13" t="s">
        <v>432</v>
      </c>
      <c r="P5" s="14"/>
    </row>
    <row r="6" spans="2:16" x14ac:dyDescent="0.45">
      <c r="B6" s="203" t="s">
        <v>433</v>
      </c>
      <c r="P6" s="14"/>
    </row>
    <row r="7" spans="2:16" x14ac:dyDescent="0.45">
      <c r="B7" s="16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8"/>
    </row>
    <row r="8" spans="2:16" x14ac:dyDescent="0.45">
      <c r="B8" s="13"/>
      <c r="P8" s="14"/>
    </row>
    <row r="9" spans="2:16" x14ac:dyDescent="0.45">
      <c r="B9" s="211" t="s">
        <v>434</v>
      </c>
      <c r="C9" s="21"/>
      <c r="E9" s="20" t="s">
        <v>435</v>
      </c>
      <c r="I9" s="212" t="s">
        <v>436</v>
      </c>
      <c r="J9" s="21"/>
      <c r="L9" s="20" t="s">
        <v>437</v>
      </c>
      <c r="P9" s="14"/>
    </row>
    <row r="10" spans="2:16" x14ac:dyDescent="0.45">
      <c r="B10" s="32" t="s">
        <v>438</v>
      </c>
      <c r="C10" s="32" t="s">
        <v>439</v>
      </c>
      <c r="E10" s="22" t="s">
        <v>440</v>
      </c>
      <c r="I10" s="32" t="s">
        <v>563</v>
      </c>
      <c r="J10" s="32" t="s">
        <v>441</v>
      </c>
      <c r="L10" s="22" t="s">
        <v>564</v>
      </c>
      <c r="P10" s="14"/>
    </row>
    <row r="11" spans="2:16" x14ac:dyDescent="0.45">
      <c r="B11" s="32" t="s">
        <v>301</v>
      </c>
      <c r="C11" s="32" t="s">
        <v>442</v>
      </c>
      <c r="D11" s="8"/>
      <c r="E11" s="213" t="str" cm="1">
        <f t="array" ref="E11:F14">Occurrenceλ(RegionData,Region,2)</f>
        <v>East</v>
      </c>
      <c r="F11" s="32" t="str">
        <v>Bailey</v>
      </c>
      <c r="G11" s="8"/>
      <c r="H11" s="8"/>
      <c r="I11" s="32" t="s">
        <v>443</v>
      </c>
      <c r="J11" s="32" t="s">
        <v>442</v>
      </c>
      <c r="L11" s="213" t="str" cm="1">
        <f t="array" ref="L11:M12">Occurrenceλ(TeamData,Club,3)</f>
        <v>Buffalos</v>
      </c>
      <c r="M11" s="32" t="str">
        <v>Phipps</v>
      </c>
      <c r="P11" s="14"/>
    </row>
    <row r="12" spans="2:16" x14ac:dyDescent="0.45">
      <c r="B12" s="32" t="s">
        <v>300</v>
      </c>
      <c r="C12" s="32" t="s">
        <v>444</v>
      </c>
      <c r="D12" s="8"/>
      <c r="E12" s="32" t="str">
        <v>West</v>
      </c>
      <c r="F12" s="32" t="str">
        <v>Shaw</v>
      </c>
      <c r="G12" s="8"/>
      <c r="H12" s="8"/>
      <c r="I12" s="32" t="s">
        <v>443</v>
      </c>
      <c r="J12" s="32" t="s">
        <v>445</v>
      </c>
      <c r="L12" s="32" t="str">
        <v>Scorpions</v>
      </c>
      <c r="M12" s="32" t="str">
        <v>Chambers</v>
      </c>
      <c r="P12" s="14"/>
    </row>
    <row r="13" spans="2:16" x14ac:dyDescent="0.45">
      <c r="B13" s="179" t="s">
        <v>301</v>
      </c>
      <c r="C13" s="179" t="s">
        <v>446</v>
      </c>
      <c r="D13" s="8"/>
      <c r="E13" s="32" t="str">
        <v>South</v>
      </c>
      <c r="F13" s="32" t="str">
        <v>Cruz</v>
      </c>
      <c r="G13" s="8"/>
      <c r="H13" s="8"/>
      <c r="I13" s="32" t="s">
        <v>447</v>
      </c>
      <c r="J13" s="32" t="s">
        <v>448</v>
      </c>
      <c r="P13" s="14"/>
    </row>
    <row r="14" spans="2:16" x14ac:dyDescent="0.45">
      <c r="B14" s="179" t="s">
        <v>300</v>
      </c>
      <c r="C14" s="179" t="s">
        <v>449</v>
      </c>
      <c r="E14" s="32" t="str">
        <v>North</v>
      </c>
      <c r="F14" s="32" t="str">
        <v>Thomas</v>
      </c>
      <c r="G14" s="8"/>
      <c r="H14" s="8"/>
      <c r="I14" s="179" t="s">
        <v>443</v>
      </c>
      <c r="J14" s="179" t="s">
        <v>450</v>
      </c>
      <c r="P14" s="14"/>
    </row>
    <row r="15" spans="2:16" x14ac:dyDescent="0.45">
      <c r="B15" s="32" t="s">
        <v>303</v>
      </c>
      <c r="C15" s="32" t="s">
        <v>451</v>
      </c>
      <c r="F15" s="8"/>
      <c r="G15" s="8"/>
      <c r="H15" s="8"/>
      <c r="I15" s="32" t="s">
        <v>447</v>
      </c>
      <c r="J15" s="32" t="s">
        <v>451</v>
      </c>
      <c r="L15" s="20" t="s">
        <v>452</v>
      </c>
      <c r="P15" s="14"/>
    </row>
    <row r="16" spans="2:16" x14ac:dyDescent="0.45">
      <c r="B16" s="179" t="s">
        <v>303</v>
      </c>
      <c r="C16" s="179" t="s">
        <v>453</v>
      </c>
      <c r="F16" s="8"/>
      <c r="G16" s="8"/>
      <c r="H16" s="8"/>
      <c r="I16" s="32" t="s">
        <v>454</v>
      </c>
      <c r="J16" s="32" t="s">
        <v>455</v>
      </c>
      <c r="L16" s="22" t="s">
        <v>565</v>
      </c>
      <c r="P16" s="14"/>
    </row>
    <row r="17" spans="2:16" x14ac:dyDescent="0.45">
      <c r="B17" s="32" t="s">
        <v>298</v>
      </c>
      <c r="C17" s="32" t="s">
        <v>456</v>
      </c>
      <c r="F17" s="8"/>
      <c r="G17" s="8"/>
      <c r="H17" s="8"/>
      <c r="I17" s="179" t="s">
        <v>447</v>
      </c>
      <c r="J17" s="179" t="s">
        <v>457</v>
      </c>
      <c r="L17" s="213" t="str" cm="1">
        <f t="array" ref="L17:M20">Occurrenceλ(TeamData,Club,-1)</f>
        <v>Scorpions</v>
      </c>
      <c r="M17" s="32" t="str">
        <v>Chambers</v>
      </c>
      <c r="P17" s="14"/>
    </row>
    <row r="18" spans="2:16" x14ac:dyDescent="0.45">
      <c r="B18" s="179" t="s">
        <v>298</v>
      </c>
      <c r="C18" s="179" t="s">
        <v>458</v>
      </c>
      <c r="F18" s="8"/>
      <c r="G18" s="8"/>
      <c r="H18" s="8"/>
      <c r="I18" s="32" t="s">
        <v>454</v>
      </c>
      <c r="J18" s="32" t="s">
        <v>459</v>
      </c>
      <c r="L18" s="32" t="str">
        <v>Frogs</v>
      </c>
      <c r="M18" s="32" t="str">
        <v>Jamison</v>
      </c>
      <c r="P18" s="14"/>
    </row>
    <row r="19" spans="2:16" x14ac:dyDescent="0.45">
      <c r="B19" s="13"/>
      <c r="I19" s="179" t="s">
        <v>460</v>
      </c>
      <c r="J19" s="179" t="s">
        <v>461</v>
      </c>
      <c r="L19" s="32" t="str">
        <v>Mustangs</v>
      </c>
      <c r="M19" s="32" t="str">
        <v>Murphy</v>
      </c>
      <c r="P19" s="14"/>
    </row>
    <row r="20" spans="2:16" x14ac:dyDescent="0.45">
      <c r="B20" s="13"/>
      <c r="I20" s="179" t="s">
        <v>443</v>
      </c>
      <c r="J20" s="179" t="s">
        <v>462</v>
      </c>
      <c r="L20" s="32" t="str">
        <v>Buffalos</v>
      </c>
      <c r="M20" s="32" t="str">
        <v>Reed</v>
      </c>
      <c r="P20" s="14"/>
    </row>
    <row r="21" spans="2:16" x14ac:dyDescent="0.45">
      <c r="B21" s="13"/>
      <c r="P21" s="14"/>
    </row>
    <row r="22" spans="2:16" x14ac:dyDescent="0.45">
      <c r="B22" s="16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8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89CC7-F459-4F99-B776-379C2E01C336}">
  <sheetPr>
    <tabColor rgb="FFB8DAD2"/>
  </sheetPr>
  <dimension ref="B2:N87"/>
  <sheetViews>
    <sheetView workbookViewId="0"/>
  </sheetViews>
  <sheetFormatPr defaultRowHeight="16.5" x14ac:dyDescent="0.45"/>
  <cols>
    <col min="1" max="1" width="5" customWidth="1"/>
    <col min="3" max="3" width="5.58203125" bestFit="1" customWidth="1"/>
    <col min="4" max="4" width="7.83203125" bestFit="1" customWidth="1"/>
    <col min="5" max="5" width="18.75" bestFit="1" customWidth="1"/>
    <col min="6" max="6" width="19.5" bestFit="1" customWidth="1"/>
    <col min="7" max="7" width="8.1640625" customWidth="1"/>
    <col min="8" max="8" width="7.9140625" customWidth="1"/>
    <col min="9" max="9" width="6" bestFit="1" customWidth="1"/>
    <col min="10" max="10" width="15" bestFit="1" customWidth="1"/>
    <col min="11" max="11" width="19.5" bestFit="1" customWidth="1"/>
  </cols>
  <sheetData>
    <row r="2" spans="2:14" x14ac:dyDescent="0.45">
      <c r="B2" s="10" t="s">
        <v>463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</row>
    <row r="3" spans="2:14" x14ac:dyDescent="0.45">
      <c r="B3" s="13" t="s">
        <v>430</v>
      </c>
      <c r="N3" s="14"/>
    </row>
    <row r="4" spans="2:14" x14ac:dyDescent="0.45">
      <c r="B4" s="13" t="s">
        <v>431</v>
      </c>
      <c r="N4" s="14"/>
    </row>
    <row r="5" spans="2:14" x14ac:dyDescent="0.45">
      <c r="B5" s="13" t="s">
        <v>464</v>
      </c>
      <c r="N5" s="14"/>
    </row>
    <row r="6" spans="2:14" x14ac:dyDescent="0.45">
      <c r="B6" s="15" t="s">
        <v>43</v>
      </c>
      <c r="N6" s="14"/>
    </row>
    <row r="7" spans="2:14" x14ac:dyDescent="0.45">
      <c r="B7" s="13" t="s">
        <v>465</v>
      </c>
      <c r="N7" s="14"/>
    </row>
    <row r="8" spans="2:14" x14ac:dyDescent="0.45">
      <c r="B8" s="13" t="s">
        <v>466</v>
      </c>
      <c r="N8" s="14"/>
    </row>
    <row r="9" spans="2:14" x14ac:dyDescent="0.45">
      <c r="B9" s="15" t="s">
        <v>467</v>
      </c>
      <c r="N9" s="14"/>
    </row>
    <row r="10" spans="2:14" x14ac:dyDescent="0.45">
      <c r="B10" s="16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8"/>
    </row>
    <row r="11" spans="2:14" x14ac:dyDescent="0.45">
      <c r="B11" s="19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2"/>
    </row>
    <row r="12" spans="2:14" x14ac:dyDescent="0.45">
      <c r="B12" s="13"/>
      <c r="D12" s="21" t="s">
        <v>468</v>
      </c>
      <c r="N12" s="14"/>
    </row>
    <row r="13" spans="2:14" x14ac:dyDescent="0.45">
      <c r="B13" s="13"/>
      <c r="H13" s="20" t="s">
        <v>469</v>
      </c>
      <c r="N13" s="14"/>
    </row>
    <row r="14" spans="2:14" x14ac:dyDescent="0.45">
      <c r="B14" s="13"/>
      <c r="C14" s="9" t="s">
        <v>470</v>
      </c>
      <c r="D14" s="9" t="s">
        <v>471</v>
      </c>
      <c r="E14" s="9" t="s">
        <v>441</v>
      </c>
      <c r="F14" s="9" t="s">
        <v>121</v>
      </c>
      <c r="H14" s="186" t="s">
        <v>472</v>
      </c>
      <c r="N14" s="14"/>
    </row>
    <row r="15" spans="2:14" x14ac:dyDescent="0.45">
      <c r="B15" s="13"/>
      <c r="C15" s="179">
        <v>1957</v>
      </c>
      <c r="D15" s="179" t="s">
        <v>473</v>
      </c>
      <c r="E15" s="179" t="s">
        <v>474</v>
      </c>
      <c r="F15" s="179" t="s">
        <v>475</v>
      </c>
      <c r="G15" s="8"/>
      <c r="H15" s="214" cm="1">
        <f t="array" ref="H15:K27">OccurrenceRangeλ(MVP,Position,1,3)</f>
        <v>1957</v>
      </c>
      <c r="I15" s="179" t="str">
        <v>FB</v>
      </c>
      <c r="J15" s="179" t="str">
        <v>Jim Brown</v>
      </c>
      <c r="K15" s="179" t="str">
        <v>Cleveland Browns</v>
      </c>
      <c r="N15" s="14"/>
    </row>
    <row r="16" spans="2:14" x14ac:dyDescent="0.45">
      <c r="B16" s="13"/>
      <c r="C16" s="179">
        <v>1958</v>
      </c>
      <c r="D16" s="179" t="s">
        <v>473</v>
      </c>
      <c r="E16" s="179" t="s">
        <v>474</v>
      </c>
      <c r="F16" s="179" t="s">
        <v>475</v>
      </c>
      <c r="G16" s="8"/>
      <c r="H16" s="179">
        <v>1958</v>
      </c>
      <c r="I16" s="179" t="str">
        <v>FB</v>
      </c>
      <c r="J16" s="179" t="str">
        <v>Jim Brown</v>
      </c>
      <c r="K16" s="179" t="str">
        <v>Cleveland Browns</v>
      </c>
      <c r="N16" s="14"/>
    </row>
    <row r="17" spans="2:14" x14ac:dyDescent="0.45">
      <c r="B17" s="13"/>
      <c r="C17" s="179">
        <v>1959</v>
      </c>
      <c r="D17" s="179" t="s">
        <v>476</v>
      </c>
      <c r="E17" s="179" t="s">
        <v>477</v>
      </c>
      <c r="F17" s="179" t="s">
        <v>478</v>
      </c>
      <c r="G17" s="8"/>
      <c r="H17" s="179">
        <v>1959</v>
      </c>
      <c r="I17" s="179" t="str">
        <v>QB</v>
      </c>
      <c r="J17" s="179" t="str">
        <v>Johnny Unitas</v>
      </c>
      <c r="K17" s="179" t="str">
        <v>Baltimore Colts</v>
      </c>
      <c r="N17" s="14"/>
    </row>
    <row r="18" spans="2:14" x14ac:dyDescent="0.45">
      <c r="B18" s="13"/>
      <c r="C18" s="179">
        <v>1961</v>
      </c>
      <c r="D18" s="179" t="s">
        <v>479</v>
      </c>
      <c r="E18" s="179" t="s">
        <v>480</v>
      </c>
      <c r="F18" s="179" t="s">
        <v>481</v>
      </c>
      <c r="G18" s="8"/>
      <c r="H18" s="179">
        <v>1961</v>
      </c>
      <c r="I18" s="179" t="str">
        <v>HB</v>
      </c>
      <c r="J18" s="179" t="str">
        <v>Paul Hornung</v>
      </c>
      <c r="K18" s="179" t="str">
        <v>Green Bay Packers</v>
      </c>
      <c r="N18" s="14"/>
    </row>
    <row r="19" spans="2:14" x14ac:dyDescent="0.45">
      <c r="B19" s="13"/>
      <c r="C19" s="179">
        <v>1962</v>
      </c>
      <c r="D19" s="179" t="s">
        <v>473</v>
      </c>
      <c r="E19" s="179" t="s">
        <v>482</v>
      </c>
      <c r="F19" s="179" t="s">
        <v>481</v>
      </c>
      <c r="G19" s="8"/>
      <c r="H19" s="179">
        <v>1962</v>
      </c>
      <c r="I19" s="179" t="str">
        <v>FB</v>
      </c>
      <c r="J19" s="179" t="str">
        <v>Jim Taylor</v>
      </c>
      <c r="K19" s="179" t="str">
        <v>Green Bay Packers</v>
      </c>
      <c r="N19" s="14"/>
    </row>
    <row r="20" spans="2:14" x14ac:dyDescent="0.45">
      <c r="B20" s="13"/>
      <c r="C20" s="179">
        <v>1963</v>
      </c>
      <c r="D20" s="179" t="s">
        <v>476</v>
      </c>
      <c r="E20" s="179" t="s">
        <v>483</v>
      </c>
      <c r="F20" s="179" t="s">
        <v>484</v>
      </c>
      <c r="G20" s="8"/>
      <c r="H20" s="179">
        <v>1963</v>
      </c>
      <c r="I20" s="179" t="str">
        <v>QB</v>
      </c>
      <c r="J20" s="179" t="str">
        <v>Y.A. Tittle</v>
      </c>
      <c r="K20" s="179" t="str">
        <v>New York Giants</v>
      </c>
      <c r="N20" s="14"/>
    </row>
    <row r="21" spans="2:14" x14ac:dyDescent="0.45">
      <c r="B21" s="13"/>
      <c r="C21" s="179">
        <v>1964</v>
      </c>
      <c r="D21" s="179" t="s">
        <v>476</v>
      </c>
      <c r="E21" s="179" t="s">
        <v>477</v>
      </c>
      <c r="F21" s="179" t="s">
        <v>478</v>
      </c>
      <c r="G21" s="8"/>
      <c r="H21" s="179">
        <v>1964</v>
      </c>
      <c r="I21" s="179" t="str">
        <v>QB</v>
      </c>
      <c r="J21" s="179" t="str">
        <v>Johnny Unitas</v>
      </c>
      <c r="K21" s="179" t="str">
        <v>Baltimore Colts</v>
      </c>
      <c r="N21" s="14"/>
    </row>
    <row r="22" spans="2:14" x14ac:dyDescent="0.45">
      <c r="B22" s="13"/>
      <c r="C22" s="215">
        <v>1965</v>
      </c>
      <c r="D22" s="215" t="s">
        <v>473</v>
      </c>
      <c r="E22" s="215" t="s">
        <v>474</v>
      </c>
      <c r="F22" s="215" t="s">
        <v>475</v>
      </c>
      <c r="G22" s="8"/>
      <c r="H22" s="179">
        <v>1971</v>
      </c>
      <c r="I22" s="179" t="str">
        <v>RDT</v>
      </c>
      <c r="J22" s="179" t="str">
        <v>Alan Page</v>
      </c>
      <c r="K22" s="179" t="str">
        <v>Minnesota Vikings</v>
      </c>
      <c r="N22" s="14"/>
    </row>
    <row r="23" spans="2:14" x14ac:dyDescent="0.45">
      <c r="B23" s="13"/>
      <c r="C23" s="32">
        <v>1966</v>
      </c>
      <c r="D23" s="32" t="s">
        <v>476</v>
      </c>
      <c r="E23" s="32" t="s">
        <v>485</v>
      </c>
      <c r="F23" s="32" t="s">
        <v>481</v>
      </c>
      <c r="G23" s="8"/>
      <c r="H23" s="179">
        <v>1972</v>
      </c>
      <c r="I23" s="179" t="str">
        <v>RB</v>
      </c>
      <c r="J23" s="179" t="str">
        <v>Larry Brown</v>
      </c>
      <c r="K23" s="179" t="str">
        <v>Washington Redskins</v>
      </c>
      <c r="N23" s="14"/>
    </row>
    <row r="24" spans="2:14" x14ac:dyDescent="0.45">
      <c r="B24" s="13"/>
      <c r="C24" s="215">
        <v>1967</v>
      </c>
      <c r="D24" s="215" t="s">
        <v>476</v>
      </c>
      <c r="E24" s="215" t="s">
        <v>477</v>
      </c>
      <c r="F24" s="215" t="s">
        <v>478</v>
      </c>
      <c r="G24" s="8"/>
      <c r="H24" s="179">
        <v>1973</v>
      </c>
      <c r="I24" s="179" t="str">
        <v>RB</v>
      </c>
      <c r="J24" s="179" t="str">
        <v>O.J. Simpson</v>
      </c>
      <c r="K24" s="179" t="str">
        <v>Buffalo Bills</v>
      </c>
      <c r="N24" s="14"/>
    </row>
    <row r="25" spans="2:14" x14ac:dyDescent="0.45">
      <c r="B25" s="13"/>
      <c r="C25" s="32">
        <v>1968</v>
      </c>
      <c r="D25" s="32" t="s">
        <v>476</v>
      </c>
      <c r="E25" s="32" t="s">
        <v>486</v>
      </c>
      <c r="F25" s="32" t="s">
        <v>478</v>
      </c>
      <c r="G25" s="8"/>
      <c r="H25" s="179">
        <v>1977</v>
      </c>
      <c r="I25" s="179" t="str">
        <v>RB</v>
      </c>
      <c r="J25" s="179" t="str">
        <v>Walter Payton</v>
      </c>
      <c r="K25" s="179" t="str">
        <v>Chicago Bears</v>
      </c>
      <c r="N25" s="14"/>
    </row>
    <row r="26" spans="2:14" x14ac:dyDescent="0.45">
      <c r="B26" s="13"/>
      <c r="C26" s="32">
        <v>1969</v>
      </c>
      <c r="D26" s="32" t="s">
        <v>476</v>
      </c>
      <c r="E26" s="32" t="s">
        <v>487</v>
      </c>
      <c r="F26" s="32" t="s">
        <v>488</v>
      </c>
      <c r="G26" s="8"/>
      <c r="H26" s="179">
        <v>1982</v>
      </c>
      <c r="I26" s="179" t="str">
        <v>K</v>
      </c>
      <c r="J26" s="179" t="str">
        <v>Mark Moseley</v>
      </c>
      <c r="K26" s="179" t="str">
        <v>Washington Redskins</v>
      </c>
      <c r="N26" s="14"/>
    </row>
    <row r="27" spans="2:14" x14ac:dyDescent="0.45">
      <c r="B27" s="13"/>
      <c r="C27" s="32">
        <v>1970</v>
      </c>
      <c r="D27" s="32" t="s">
        <v>476</v>
      </c>
      <c r="E27" s="32" t="s">
        <v>489</v>
      </c>
      <c r="F27" s="32" t="s">
        <v>490</v>
      </c>
      <c r="G27" s="8"/>
      <c r="H27" s="179">
        <v>1986</v>
      </c>
      <c r="I27" s="179" t="str">
        <v>ROLB</v>
      </c>
      <c r="J27" s="179" t="str">
        <v>Lawrence Taylor</v>
      </c>
      <c r="K27" s="179" t="str">
        <v>New York Giants</v>
      </c>
      <c r="N27" s="14"/>
    </row>
    <row r="28" spans="2:14" x14ac:dyDescent="0.45">
      <c r="B28" s="13"/>
      <c r="C28" s="179">
        <v>1971</v>
      </c>
      <c r="D28" s="179" t="s">
        <v>491</v>
      </c>
      <c r="E28" s="179" t="s">
        <v>492</v>
      </c>
      <c r="F28" s="179" t="s">
        <v>493</v>
      </c>
      <c r="N28" s="14"/>
    </row>
    <row r="29" spans="2:14" x14ac:dyDescent="0.45">
      <c r="B29" s="13"/>
      <c r="C29" s="179">
        <v>1972</v>
      </c>
      <c r="D29" s="179" t="s">
        <v>494</v>
      </c>
      <c r="E29" s="179" t="s">
        <v>495</v>
      </c>
      <c r="F29" s="179" t="s">
        <v>496</v>
      </c>
      <c r="H29" s="20" t="s">
        <v>497</v>
      </c>
      <c r="N29" s="14"/>
    </row>
    <row r="30" spans="2:14" x14ac:dyDescent="0.45">
      <c r="B30" s="13"/>
      <c r="C30" s="179">
        <v>1973</v>
      </c>
      <c r="D30" s="179" t="s">
        <v>494</v>
      </c>
      <c r="E30" s="179" t="s">
        <v>498</v>
      </c>
      <c r="F30" s="179" t="s">
        <v>499</v>
      </c>
      <c r="H30" s="216" t="s">
        <v>500</v>
      </c>
      <c r="N30" s="14"/>
    </row>
    <row r="31" spans="2:14" x14ac:dyDescent="0.45">
      <c r="B31" s="13"/>
      <c r="C31" s="32">
        <v>1974</v>
      </c>
      <c r="D31" s="32" t="s">
        <v>476</v>
      </c>
      <c r="E31" s="32" t="s">
        <v>501</v>
      </c>
      <c r="F31" s="32" t="s">
        <v>502</v>
      </c>
      <c r="H31" s="217" cm="1">
        <f t="array" ref="H31:K39">OccurrenceRangeλ(MVP,Player,3)</f>
        <v>1965</v>
      </c>
      <c r="I31" s="215" t="str">
        <v>FB</v>
      </c>
      <c r="J31" s="215" t="str">
        <v>Jim Brown</v>
      </c>
      <c r="K31" s="215" t="str">
        <v>Cleveland Browns</v>
      </c>
      <c r="N31" s="14"/>
    </row>
    <row r="32" spans="2:14" x14ac:dyDescent="0.45">
      <c r="B32" s="13"/>
      <c r="C32" s="32">
        <v>1975</v>
      </c>
      <c r="D32" s="32" t="s">
        <v>476</v>
      </c>
      <c r="E32" s="32" t="s">
        <v>503</v>
      </c>
      <c r="F32" s="32" t="s">
        <v>493</v>
      </c>
      <c r="H32" s="218">
        <v>1967</v>
      </c>
      <c r="I32" s="215" t="str">
        <v>QB</v>
      </c>
      <c r="J32" s="215" t="str">
        <v>Johnny Unitas</v>
      </c>
      <c r="K32" s="215" t="str">
        <v>Baltimore Colts</v>
      </c>
      <c r="N32" s="14"/>
    </row>
    <row r="33" spans="2:14" x14ac:dyDescent="0.45">
      <c r="B33" s="13"/>
      <c r="C33" s="32">
        <v>1976</v>
      </c>
      <c r="D33" s="32" t="s">
        <v>476</v>
      </c>
      <c r="E33" s="32" t="s">
        <v>504</v>
      </c>
      <c r="F33" s="32" t="s">
        <v>478</v>
      </c>
      <c r="H33" s="218">
        <v>1997</v>
      </c>
      <c r="I33" s="215" t="str">
        <v>QB</v>
      </c>
      <c r="J33" s="215" t="str">
        <v>Brett Favre</v>
      </c>
      <c r="K33" s="215" t="str">
        <v>Green Bay Packers</v>
      </c>
      <c r="N33" s="14"/>
    </row>
    <row r="34" spans="2:14" x14ac:dyDescent="0.45">
      <c r="B34" s="13"/>
      <c r="C34" s="179">
        <v>1977</v>
      </c>
      <c r="D34" s="179" t="s">
        <v>494</v>
      </c>
      <c r="E34" s="179" t="s">
        <v>505</v>
      </c>
      <c r="F34" s="179" t="s">
        <v>506</v>
      </c>
      <c r="H34" s="218">
        <v>2008</v>
      </c>
      <c r="I34" s="215" t="str">
        <v>QB</v>
      </c>
      <c r="J34" s="215" t="str">
        <v>Peyton Manning</v>
      </c>
      <c r="K34" s="215" t="str">
        <v>Indianapolis Colts</v>
      </c>
      <c r="N34" s="14"/>
    </row>
    <row r="35" spans="2:14" x14ac:dyDescent="0.45">
      <c r="B35" s="13"/>
      <c r="C35" s="32">
        <v>1978</v>
      </c>
      <c r="D35" s="32" t="s">
        <v>476</v>
      </c>
      <c r="E35" s="32" t="s">
        <v>507</v>
      </c>
      <c r="F35" s="32" t="s">
        <v>508</v>
      </c>
      <c r="H35" s="218">
        <v>2009</v>
      </c>
      <c r="I35" s="215" t="str">
        <v>QB</v>
      </c>
      <c r="J35" s="215" t="str">
        <v>Peyton Manning</v>
      </c>
      <c r="K35" s="215" t="str">
        <v>Indianapolis Colts</v>
      </c>
      <c r="N35" s="14"/>
    </row>
    <row r="36" spans="2:14" x14ac:dyDescent="0.45">
      <c r="B36" s="13"/>
      <c r="C36" s="32">
        <v>1979</v>
      </c>
      <c r="D36" s="32" t="s">
        <v>494</v>
      </c>
      <c r="E36" s="32" t="s">
        <v>509</v>
      </c>
      <c r="F36" s="32" t="s">
        <v>510</v>
      </c>
      <c r="H36" s="218">
        <v>2013</v>
      </c>
      <c r="I36" s="215" t="str">
        <v>QB</v>
      </c>
      <c r="J36" s="215" t="str">
        <v>Peyton Manning</v>
      </c>
      <c r="K36" s="215" t="str">
        <v>Denver Broncos</v>
      </c>
      <c r="N36" s="14"/>
    </row>
    <row r="37" spans="2:14" x14ac:dyDescent="0.45">
      <c r="B37" s="13"/>
      <c r="C37" s="32">
        <v>1980</v>
      </c>
      <c r="D37" s="32" t="s">
        <v>476</v>
      </c>
      <c r="E37" s="32" t="s">
        <v>511</v>
      </c>
      <c r="F37" s="32" t="s">
        <v>475</v>
      </c>
      <c r="H37" s="218">
        <v>2017</v>
      </c>
      <c r="I37" s="215" t="str">
        <v>QB</v>
      </c>
      <c r="J37" s="215" t="str">
        <v>Tom Brady</v>
      </c>
      <c r="K37" s="215" t="str">
        <v>New England Patriots</v>
      </c>
      <c r="N37" s="14"/>
    </row>
    <row r="38" spans="2:14" x14ac:dyDescent="0.45">
      <c r="B38" s="13"/>
      <c r="C38" s="32">
        <v>1981</v>
      </c>
      <c r="D38" s="32" t="s">
        <v>476</v>
      </c>
      <c r="E38" s="32" t="s">
        <v>512</v>
      </c>
      <c r="F38" s="32" t="s">
        <v>513</v>
      </c>
      <c r="H38" s="218">
        <v>2020</v>
      </c>
      <c r="I38" s="215" t="str">
        <v>QB</v>
      </c>
      <c r="J38" s="215" t="str">
        <v>Aaron Rodgers</v>
      </c>
      <c r="K38" s="215" t="str">
        <v>Green Bay Packers</v>
      </c>
      <c r="N38" s="14"/>
    </row>
    <row r="39" spans="2:14" x14ac:dyDescent="0.45">
      <c r="B39" s="13"/>
      <c r="C39" s="179">
        <v>1982</v>
      </c>
      <c r="D39" s="179" t="s">
        <v>514</v>
      </c>
      <c r="E39" s="179" t="s">
        <v>515</v>
      </c>
      <c r="F39" s="179" t="s">
        <v>496</v>
      </c>
      <c r="H39" s="218">
        <v>2021</v>
      </c>
      <c r="I39" s="215" t="str">
        <v>QB</v>
      </c>
      <c r="J39" s="215" t="str">
        <v>Aaron Rodgers</v>
      </c>
      <c r="K39" s="215" t="str">
        <v>Green Bay Packers</v>
      </c>
      <c r="N39" s="14"/>
    </row>
    <row r="40" spans="2:14" x14ac:dyDescent="0.45">
      <c r="B40" s="13"/>
      <c r="C40" s="32">
        <v>1983</v>
      </c>
      <c r="D40" s="32" t="s">
        <v>476</v>
      </c>
      <c r="E40" s="32" t="s">
        <v>516</v>
      </c>
      <c r="F40" s="32" t="s">
        <v>496</v>
      </c>
      <c r="N40" s="14"/>
    </row>
    <row r="41" spans="2:14" x14ac:dyDescent="0.45">
      <c r="B41" s="13"/>
      <c r="C41" s="32">
        <v>1984</v>
      </c>
      <c r="D41" s="32" t="s">
        <v>476</v>
      </c>
      <c r="E41" s="32" t="s">
        <v>517</v>
      </c>
      <c r="F41" s="32" t="s">
        <v>518</v>
      </c>
      <c r="N41" s="14"/>
    </row>
    <row r="42" spans="2:14" x14ac:dyDescent="0.45">
      <c r="B42" s="13"/>
      <c r="C42" s="32">
        <v>1985</v>
      </c>
      <c r="D42" s="32" t="s">
        <v>494</v>
      </c>
      <c r="E42" s="32" t="s">
        <v>519</v>
      </c>
      <c r="F42" s="32" t="s">
        <v>520</v>
      </c>
      <c r="N42" s="14"/>
    </row>
    <row r="43" spans="2:14" x14ac:dyDescent="0.45">
      <c r="B43" s="13"/>
      <c r="C43" s="179">
        <v>1986</v>
      </c>
      <c r="D43" s="179" t="s">
        <v>521</v>
      </c>
      <c r="E43" s="179" t="s">
        <v>522</v>
      </c>
      <c r="F43" s="179" t="s">
        <v>484</v>
      </c>
      <c r="N43" s="14"/>
    </row>
    <row r="44" spans="2:14" x14ac:dyDescent="0.45">
      <c r="B44" s="13"/>
      <c r="C44" s="32">
        <v>1987</v>
      </c>
      <c r="D44" s="32" t="s">
        <v>476</v>
      </c>
      <c r="E44" s="32" t="s">
        <v>523</v>
      </c>
      <c r="F44" s="32" t="s">
        <v>524</v>
      </c>
      <c r="N44" s="14"/>
    </row>
    <row r="45" spans="2:14" x14ac:dyDescent="0.45">
      <c r="B45" s="13"/>
      <c r="C45" s="32">
        <v>1988</v>
      </c>
      <c r="D45" s="32" t="s">
        <v>476</v>
      </c>
      <c r="E45" s="32" t="s">
        <v>525</v>
      </c>
      <c r="F45" s="32" t="s">
        <v>513</v>
      </c>
      <c r="N45" s="14"/>
    </row>
    <row r="46" spans="2:14" x14ac:dyDescent="0.45">
      <c r="B46" s="13"/>
      <c r="C46" s="32">
        <v>1989</v>
      </c>
      <c r="D46" s="32" t="s">
        <v>476</v>
      </c>
      <c r="E46" s="32" t="s">
        <v>526</v>
      </c>
      <c r="F46" s="32" t="s">
        <v>490</v>
      </c>
      <c r="N46" s="14"/>
    </row>
    <row r="47" spans="2:14" x14ac:dyDescent="0.45">
      <c r="B47" s="13"/>
      <c r="C47" s="32">
        <v>1990</v>
      </c>
      <c r="D47" s="32" t="s">
        <v>476</v>
      </c>
      <c r="E47" s="32" t="s">
        <v>526</v>
      </c>
      <c r="F47" s="32" t="s">
        <v>490</v>
      </c>
      <c r="N47" s="14"/>
    </row>
    <row r="48" spans="2:14" x14ac:dyDescent="0.45">
      <c r="B48" s="13"/>
      <c r="C48" s="32">
        <v>1991</v>
      </c>
      <c r="D48" s="32" t="s">
        <v>494</v>
      </c>
      <c r="E48" s="32" t="s">
        <v>527</v>
      </c>
      <c r="F48" s="32" t="s">
        <v>499</v>
      </c>
      <c r="N48" s="14"/>
    </row>
    <row r="49" spans="2:14" x14ac:dyDescent="0.45">
      <c r="B49" s="13"/>
      <c r="C49" s="32">
        <v>1992</v>
      </c>
      <c r="D49" s="32" t="s">
        <v>476</v>
      </c>
      <c r="E49" s="32" t="s">
        <v>528</v>
      </c>
      <c r="F49" s="32" t="s">
        <v>490</v>
      </c>
      <c r="N49" s="14"/>
    </row>
    <row r="50" spans="2:14" x14ac:dyDescent="0.45">
      <c r="B50" s="13"/>
      <c r="C50" s="32">
        <v>1993</v>
      </c>
      <c r="D50" s="32" t="s">
        <v>494</v>
      </c>
      <c r="E50" s="32" t="s">
        <v>529</v>
      </c>
      <c r="F50" s="32" t="s">
        <v>530</v>
      </c>
      <c r="N50" s="14"/>
    </row>
    <row r="51" spans="2:14" x14ac:dyDescent="0.45">
      <c r="B51" s="13"/>
      <c r="C51" s="32">
        <v>1994</v>
      </c>
      <c r="D51" s="32" t="s">
        <v>476</v>
      </c>
      <c r="E51" s="32" t="s">
        <v>528</v>
      </c>
      <c r="F51" s="32" t="s">
        <v>490</v>
      </c>
      <c r="N51" s="14"/>
    </row>
    <row r="52" spans="2:14" x14ac:dyDescent="0.45">
      <c r="B52" s="13"/>
      <c r="C52" s="32">
        <v>1995</v>
      </c>
      <c r="D52" s="32" t="s">
        <v>476</v>
      </c>
      <c r="E52" s="32" t="s">
        <v>531</v>
      </c>
      <c r="F52" s="32" t="s">
        <v>481</v>
      </c>
      <c r="N52" s="14"/>
    </row>
    <row r="53" spans="2:14" x14ac:dyDescent="0.45">
      <c r="B53" s="13"/>
      <c r="C53" s="32">
        <v>1996</v>
      </c>
      <c r="D53" s="32" t="s">
        <v>476</v>
      </c>
      <c r="E53" s="32" t="s">
        <v>531</v>
      </c>
      <c r="F53" s="32" t="s">
        <v>481</v>
      </c>
      <c r="N53" s="14"/>
    </row>
    <row r="54" spans="2:14" x14ac:dyDescent="0.45">
      <c r="B54" s="13"/>
      <c r="C54" s="215">
        <v>1997</v>
      </c>
      <c r="D54" s="215" t="s">
        <v>494</v>
      </c>
      <c r="E54" s="215" t="s">
        <v>532</v>
      </c>
      <c r="F54" s="215" t="s">
        <v>533</v>
      </c>
      <c r="N54" s="14"/>
    </row>
    <row r="55" spans="2:14" x14ac:dyDescent="0.45">
      <c r="B55" s="13"/>
      <c r="C55" s="32">
        <v>1997</v>
      </c>
      <c r="D55" s="32" t="s">
        <v>476</v>
      </c>
      <c r="E55" s="32" t="s">
        <v>531</v>
      </c>
      <c r="F55" s="32" t="s">
        <v>481</v>
      </c>
      <c r="N55" s="14"/>
    </row>
    <row r="56" spans="2:14" x14ac:dyDescent="0.45">
      <c r="B56" s="13"/>
      <c r="C56" s="32">
        <v>1998</v>
      </c>
      <c r="D56" s="32" t="s">
        <v>494</v>
      </c>
      <c r="E56" s="32" t="s">
        <v>534</v>
      </c>
      <c r="F56" s="32" t="s">
        <v>524</v>
      </c>
      <c r="N56" s="14"/>
    </row>
    <row r="57" spans="2:14" x14ac:dyDescent="0.45">
      <c r="B57" s="13"/>
      <c r="C57" s="32">
        <v>1999</v>
      </c>
      <c r="D57" s="32" t="s">
        <v>476</v>
      </c>
      <c r="E57" s="32" t="s">
        <v>535</v>
      </c>
      <c r="F57" s="32" t="s">
        <v>536</v>
      </c>
      <c r="N57" s="14"/>
    </row>
    <row r="58" spans="2:14" x14ac:dyDescent="0.45">
      <c r="B58" s="13"/>
      <c r="C58" s="32">
        <v>2000</v>
      </c>
      <c r="D58" s="32" t="s">
        <v>494</v>
      </c>
      <c r="E58" s="32" t="s">
        <v>537</v>
      </c>
      <c r="F58" s="32" t="s">
        <v>536</v>
      </c>
      <c r="N58" s="14"/>
    </row>
    <row r="59" spans="2:14" x14ac:dyDescent="0.45">
      <c r="B59" s="13"/>
      <c r="C59" s="32">
        <v>2001</v>
      </c>
      <c r="D59" s="32" t="s">
        <v>476</v>
      </c>
      <c r="E59" s="32" t="s">
        <v>535</v>
      </c>
      <c r="F59" s="32" t="s">
        <v>536</v>
      </c>
      <c r="N59" s="14"/>
    </row>
    <row r="60" spans="2:14" x14ac:dyDescent="0.45">
      <c r="B60" s="13"/>
      <c r="C60" s="32">
        <v>2002</v>
      </c>
      <c r="D60" s="32" t="s">
        <v>476</v>
      </c>
      <c r="E60" s="32" t="s">
        <v>538</v>
      </c>
      <c r="F60" s="32" t="s">
        <v>502</v>
      </c>
      <c r="N60" s="14"/>
    </row>
    <row r="61" spans="2:14" x14ac:dyDescent="0.45">
      <c r="B61" s="13"/>
      <c r="C61" s="32">
        <v>2003</v>
      </c>
      <c r="D61" s="32" t="s">
        <v>476</v>
      </c>
      <c r="E61" s="32" t="s">
        <v>539</v>
      </c>
      <c r="F61" s="32" t="s">
        <v>540</v>
      </c>
      <c r="N61" s="14"/>
    </row>
    <row r="62" spans="2:14" x14ac:dyDescent="0.45">
      <c r="B62" s="13"/>
      <c r="C62" s="32">
        <v>2003</v>
      </c>
      <c r="D62" s="32" t="s">
        <v>476</v>
      </c>
      <c r="E62" s="32" t="s">
        <v>541</v>
      </c>
      <c r="F62" s="32" t="s">
        <v>542</v>
      </c>
      <c r="N62" s="14"/>
    </row>
    <row r="63" spans="2:14" x14ac:dyDescent="0.45">
      <c r="B63" s="13"/>
      <c r="C63" s="32">
        <v>2004</v>
      </c>
      <c r="D63" s="32" t="s">
        <v>476</v>
      </c>
      <c r="E63" s="32" t="s">
        <v>541</v>
      </c>
      <c r="F63" s="32" t="s">
        <v>542</v>
      </c>
      <c r="N63" s="14"/>
    </row>
    <row r="64" spans="2:14" x14ac:dyDescent="0.45">
      <c r="B64" s="13"/>
      <c r="C64" s="32">
        <v>2005</v>
      </c>
      <c r="D64" s="32" t="s">
        <v>494</v>
      </c>
      <c r="E64" s="32" t="s">
        <v>543</v>
      </c>
      <c r="F64" s="32" t="s">
        <v>544</v>
      </c>
      <c r="N64" s="14"/>
    </row>
    <row r="65" spans="2:14" x14ac:dyDescent="0.45">
      <c r="B65" s="13"/>
      <c r="C65" s="32">
        <v>2006</v>
      </c>
      <c r="D65" s="32" t="s">
        <v>494</v>
      </c>
      <c r="E65" s="32" t="s">
        <v>545</v>
      </c>
      <c r="F65" s="32" t="s">
        <v>546</v>
      </c>
      <c r="N65" s="14"/>
    </row>
    <row r="66" spans="2:14" x14ac:dyDescent="0.45">
      <c r="B66" s="13"/>
      <c r="C66" s="32">
        <v>2007</v>
      </c>
      <c r="D66" s="32" t="s">
        <v>476</v>
      </c>
      <c r="E66" s="32" t="s">
        <v>547</v>
      </c>
      <c r="F66" s="32" t="s">
        <v>548</v>
      </c>
      <c r="N66" s="14"/>
    </row>
    <row r="67" spans="2:14" x14ac:dyDescent="0.45">
      <c r="B67" s="13"/>
      <c r="C67" s="215">
        <v>2008</v>
      </c>
      <c r="D67" s="215" t="s">
        <v>476</v>
      </c>
      <c r="E67" s="215" t="s">
        <v>541</v>
      </c>
      <c r="F67" s="215" t="s">
        <v>542</v>
      </c>
      <c r="N67" s="14"/>
    </row>
    <row r="68" spans="2:14" x14ac:dyDescent="0.45">
      <c r="B68" s="13"/>
      <c r="C68" s="215">
        <v>2009</v>
      </c>
      <c r="D68" s="215" t="s">
        <v>476</v>
      </c>
      <c r="E68" s="215" t="s">
        <v>541</v>
      </c>
      <c r="F68" s="215" t="s">
        <v>542</v>
      </c>
      <c r="N68" s="14"/>
    </row>
    <row r="69" spans="2:14" x14ac:dyDescent="0.45">
      <c r="B69" s="13"/>
      <c r="C69" s="32">
        <v>2010</v>
      </c>
      <c r="D69" s="32" t="s">
        <v>476</v>
      </c>
      <c r="E69" s="32" t="s">
        <v>547</v>
      </c>
      <c r="F69" s="32" t="s">
        <v>548</v>
      </c>
      <c r="N69" s="14"/>
    </row>
    <row r="70" spans="2:14" x14ac:dyDescent="0.45">
      <c r="B70" s="13"/>
      <c r="C70" s="32">
        <v>2011</v>
      </c>
      <c r="D70" s="32" t="s">
        <v>476</v>
      </c>
      <c r="E70" s="32" t="s">
        <v>549</v>
      </c>
      <c r="F70" s="32" t="s">
        <v>481</v>
      </c>
      <c r="N70" s="14"/>
    </row>
    <row r="71" spans="2:14" x14ac:dyDescent="0.45">
      <c r="B71" s="13"/>
      <c r="C71" s="32">
        <v>2012</v>
      </c>
      <c r="D71" s="32" t="s">
        <v>494</v>
      </c>
      <c r="E71" s="32" t="s">
        <v>550</v>
      </c>
      <c r="F71" s="32" t="s">
        <v>493</v>
      </c>
      <c r="N71" s="14"/>
    </row>
    <row r="72" spans="2:14" x14ac:dyDescent="0.45">
      <c r="B72" s="13"/>
      <c r="C72" s="215">
        <v>2013</v>
      </c>
      <c r="D72" s="215" t="s">
        <v>476</v>
      </c>
      <c r="E72" s="215" t="s">
        <v>541</v>
      </c>
      <c r="F72" s="215" t="s">
        <v>524</v>
      </c>
      <c r="N72" s="14"/>
    </row>
    <row r="73" spans="2:14" x14ac:dyDescent="0.45">
      <c r="B73" s="13"/>
      <c r="C73" s="32">
        <v>2014</v>
      </c>
      <c r="D73" s="32" t="s">
        <v>476</v>
      </c>
      <c r="E73" s="32" t="s">
        <v>549</v>
      </c>
      <c r="F73" s="32" t="s">
        <v>481</v>
      </c>
      <c r="N73" s="14"/>
    </row>
    <row r="74" spans="2:14" x14ac:dyDescent="0.45">
      <c r="B74" s="13"/>
      <c r="C74" s="32">
        <v>2015</v>
      </c>
      <c r="D74" s="32" t="s">
        <v>476</v>
      </c>
      <c r="E74" s="32" t="s">
        <v>551</v>
      </c>
      <c r="F74" s="32" t="s">
        <v>552</v>
      </c>
      <c r="N74" s="14"/>
    </row>
    <row r="75" spans="2:14" x14ac:dyDescent="0.45">
      <c r="B75" s="13"/>
      <c r="C75" s="32">
        <v>2016</v>
      </c>
      <c r="D75" s="32" t="s">
        <v>476</v>
      </c>
      <c r="E75" s="32" t="s">
        <v>553</v>
      </c>
      <c r="F75" s="32" t="s">
        <v>554</v>
      </c>
      <c r="N75" s="14"/>
    </row>
    <row r="76" spans="2:14" x14ac:dyDescent="0.45">
      <c r="B76" s="13"/>
      <c r="C76" s="215">
        <v>2017</v>
      </c>
      <c r="D76" s="215" t="s">
        <v>476</v>
      </c>
      <c r="E76" s="215" t="s">
        <v>547</v>
      </c>
      <c r="F76" s="215" t="s">
        <v>548</v>
      </c>
      <c r="N76" s="14"/>
    </row>
    <row r="77" spans="2:14" x14ac:dyDescent="0.45">
      <c r="B77" s="13"/>
      <c r="C77" s="32">
        <v>2018</v>
      </c>
      <c r="D77" s="32" t="s">
        <v>476</v>
      </c>
      <c r="E77" s="32" t="s">
        <v>555</v>
      </c>
      <c r="F77" s="32" t="s">
        <v>556</v>
      </c>
      <c r="N77" s="14"/>
    </row>
    <row r="78" spans="2:14" x14ac:dyDescent="0.45">
      <c r="B78" s="13"/>
      <c r="C78" s="32">
        <v>2019</v>
      </c>
      <c r="D78" s="32" t="s">
        <v>476</v>
      </c>
      <c r="E78" s="32" t="s">
        <v>557</v>
      </c>
      <c r="F78" s="32" t="s">
        <v>558</v>
      </c>
      <c r="N78" s="14"/>
    </row>
    <row r="79" spans="2:14" x14ac:dyDescent="0.45">
      <c r="B79" s="13"/>
      <c r="C79" s="215">
        <v>2020</v>
      </c>
      <c r="D79" s="215" t="s">
        <v>476</v>
      </c>
      <c r="E79" s="215" t="s">
        <v>549</v>
      </c>
      <c r="F79" s="215" t="s">
        <v>481</v>
      </c>
      <c r="N79" s="14"/>
    </row>
    <row r="80" spans="2:14" x14ac:dyDescent="0.45">
      <c r="B80" s="13"/>
      <c r="C80" s="215">
        <v>2021</v>
      </c>
      <c r="D80" s="215" t="s">
        <v>476</v>
      </c>
      <c r="E80" s="215" t="s">
        <v>549</v>
      </c>
      <c r="F80" s="215" t="s">
        <v>481</v>
      </c>
      <c r="N80" s="14"/>
    </row>
    <row r="81" spans="2:14" x14ac:dyDescent="0.45">
      <c r="B81" s="13"/>
      <c r="C81" s="32">
        <v>2022</v>
      </c>
      <c r="D81" s="32" t="s">
        <v>476</v>
      </c>
      <c r="E81" s="32" t="s">
        <v>555</v>
      </c>
      <c r="F81" s="32" t="s">
        <v>556</v>
      </c>
      <c r="N81" s="14"/>
    </row>
    <row r="82" spans="2:14" x14ac:dyDescent="0.45">
      <c r="B82" s="13"/>
      <c r="C82" s="32">
        <v>2023</v>
      </c>
      <c r="D82" s="32" t="s">
        <v>476</v>
      </c>
      <c r="E82" s="32" t="s">
        <v>557</v>
      </c>
      <c r="F82" s="32" t="s">
        <v>558</v>
      </c>
      <c r="N82" s="14"/>
    </row>
    <row r="83" spans="2:14" x14ac:dyDescent="0.45">
      <c r="B83" s="13"/>
      <c r="C83" s="32">
        <v>2024</v>
      </c>
      <c r="D83" s="32" t="s">
        <v>476</v>
      </c>
      <c r="E83" s="32" t="s">
        <v>559</v>
      </c>
      <c r="F83" s="32" t="s">
        <v>499</v>
      </c>
      <c r="N83" s="14"/>
    </row>
    <row r="84" spans="2:14" x14ac:dyDescent="0.45">
      <c r="B84" s="13"/>
      <c r="C84" s="32">
        <v>2025</v>
      </c>
      <c r="D84" s="32" t="s">
        <v>476</v>
      </c>
      <c r="E84" s="32" t="s">
        <v>560</v>
      </c>
      <c r="F84" s="32" t="s">
        <v>488</v>
      </c>
      <c r="N84" s="14"/>
    </row>
    <row r="85" spans="2:14" x14ac:dyDescent="0.45">
      <c r="B85" s="13"/>
      <c r="C85" s="8"/>
      <c r="D85" s="8"/>
      <c r="E85" s="8"/>
      <c r="F85" s="8"/>
      <c r="N85" s="14"/>
    </row>
    <row r="86" spans="2:14" x14ac:dyDescent="0.45">
      <c r="B86" s="13"/>
      <c r="C86" s="8"/>
      <c r="D86" s="8"/>
      <c r="E86" s="8"/>
      <c r="F86" s="8"/>
      <c r="N86" s="14"/>
    </row>
    <row r="87" spans="2:14" x14ac:dyDescent="0.45">
      <c r="B87" s="16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8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018A0-CB08-4CDC-9FE6-F16FB82D3EF8}">
  <sheetPr>
    <tabColor rgb="FFB8DAD2"/>
  </sheetPr>
  <dimension ref="B2:T35"/>
  <sheetViews>
    <sheetView workbookViewId="0"/>
  </sheetViews>
  <sheetFormatPr defaultRowHeight="16.5" x14ac:dyDescent="0.45"/>
  <cols>
    <col min="1" max="1" width="5" customWidth="1"/>
    <col min="2" max="2" width="8.6640625" customWidth="1"/>
    <col min="3" max="9" width="5.58203125" customWidth="1"/>
    <col min="10" max="10" width="5.58203125" bestFit="1" customWidth="1"/>
    <col min="11" max="13" width="6.58203125" customWidth="1"/>
    <col min="14" max="14" width="7.83203125" bestFit="1" customWidth="1"/>
    <col min="15" max="16" width="6.58203125" customWidth="1"/>
    <col min="18" max="18" width="8.6640625" customWidth="1"/>
  </cols>
  <sheetData>
    <row r="2" spans="2:20" x14ac:dyDescent="0.45">
      <c r="B2" s="30" t="s">
        <v>245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2"/>
    </row>
    <row r="3" spans="2:20" x14ac:dyDescent="0.45">
      <c r="B3" s="13" t="s">
        <v>246</v>
      </c>
      <c r="T3" s="14"/>
    </row>
    <row r="4" spans="2:20" x14ac:dyDescent="0.45">
      <c r="B4" s="13" t="s">
        <v>247</v>
      </c>
      <c r="T4" s="14"/>
    </row>
    <row r="5" spans="2:20" x14ac:dyDescent="0.45">
      <c r="B5" s="13" t="s">
        <v>248</v>
      </c>
      <c r="T5" s="14"/>
    </row>
    <row r="6" spans="2:20" x14ac:dyDescent="0.45">
      <c r="B6" s="16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8"/>
    </row>
    <row r="7" spans="2:20" ht="17" thickBot="1" x14ac:dyDescent="0.5">
      <c r="B7" s="19"/>
      <c r="C7" s="28" t="s">
        <v>249</v>
      </c>
      <c r="D7" s="11"/>
      <c r="E7" s="11"/>
      <c r="F7" s="11"/>
      <c r="G7" s="11"/>
      <c r="H7" s="11"/>
      <c r="I7" s="11"/>
      <c r="J7" s="11"/>
      <c r="K7" s="11"/>
      <c r="L7" s="29" t="s">
        <v>252</v>
      </c>
      <c r="M7" s="11"/>
      <c r="N7" s="11"/>
      <c r="O7" s="11"/>
      <c r="P7" s="29" t="s">
        <v>253</v>
      </c>
      <c r="Q7" s="11"/>
      <c r="R7" s="11"/>
      <c r="S7" s="11"/>
      <c r="T7" s="12"/>
    </row>
    <row r="8" spans="2:20" ht="25" customHeight="1" thickTop="1" x14ac:dyDescent="0.45">
      <c r="B8" s="13"/>
      <c r="C8" s="80">
        <v>60</v>
      </c>
      <c r="D8" s="81">
        <v>40</v>
      </c>
      <c r="E8" s="81">
        <v>42</v>
      </c>
      <c r="F8" s="82">
        <v>58</v>
      </c>
      <c r="G8" s="83">
        <v>15</v>
      </c>
      <c r="H8" s="84">
        <v>78</v>
      </c>
      <c r="I8" s="84">
        <v>35</v>
      </c>
      <c r="J8" s="85">
        <v>25</v>
      </c>
      <c r="L8" s="22" t="s">
        <v>250</v>
      </c>
      <c r="P8" s="22" t="s">
        <v>251</v>
      </c>
      <c r="T8" s="14"/>
    </row>
    <row r="9" spans="2:20" ht="25" customHeight="1" thickBot="1" x14ac:dyDescent="0.5">
      <c r="B9" s="13"/>
      <c r="C9" s="86">
        <v>7</v>
      </c>
      <c r="D9" s="87">
        <v>35</v>
      </c>
      <c r="E9" s="87">
        <v>67</v>
      </c>
      <c r="F9" s="88">
        <v>42</v>
      </c>
      <c r="G9" s="89">
        <v>86</v>
      </c>
      <c r="H9" s="90">
        <v>68</v>
      </c>
      <c r="I9" s="90">
        <v>54</v>
      </c>
      <c r="J9" s="91">
        <v>29</v>
      </c>
      <c r="L9" s="128" cm="1">
        <f t="array" ref="L9:M12">Grainλ(MatrixDemo,2,4,_xleta.SUM)</f>
        <v>351</v>
      </c>
      <c r="M9" s="129">
        <v>390</v>
      </c>
      <c r="P9" s="128" cm="1">
        <f t="array" ref="P9:Q12">Grainλ(MatrixDemo,2,4,_xleta.MAX)</f>
        <v>67</v>
      </c>
      <c r="Q9" s="129">
        <v>86</v>
      </c>
      <c r="T9" s="14"/>
    </row>
    <row r="10" spans="2:20" ht="25" customHeight="1" thickTop="1" x14ac:dyDescent="0.45">
      <c r="B10" s="13"/>
      <c r="C10" s="92">
        <v>58</v>
      </c>
      <c r="D10" s="93">
        <v>71</v>
      </c>
      <c r="E10" s="93">
        <v>44</v>
      </c>
      <c r="F10" s="94">
        <v>15</v>
      </c>
      <c r="G10" s="95">
        <v>48</v>
      </c>
      <c r="H10" s="96">
        <v>7</v>
      </c>
      <c r="I10" s="96">
        <v>5</v>
      </c>
      <c r="J10" s="97">
        <v>79</v>
      </c>
      <c r="L10" s="130">
        <v>456</v>
      </c>
      <c r="M10" s="131">
        <v>257</v>
      </c>
      <c r="P10" s="130">
        <v>86</v>
      </c>
      <c r="Q10" s="131">
        <v>79</v>
      </c>
      <c r="T10" s="14"/>
    </row>
    <row r="11" spans="2:20" ht="25" customHeight="1" thickBot="1" x14ac:dyDescent="0.5">
      <c r="B11" s="13"/>
      <c r="C11" s="98">
        <v>52</v>
      </c>
      <c r="D11" s="99">
        <v>60</v>
      </c>
      <c r="E11" s="99">
        <v>70</v>
      </c>
      <c r="F11" s="100">
        <v>86</v>
      </c>
      <c r="G11" s="101">
        <v>79</v>
      </c>
      <c r="H11" s="102">
        <v>10</v>
      </c>
      <c r="I11" s="102">
        <v>18</v>
      </c>
      <c r="J11" s="103">
        <v>11</v>
      </c>
      <c r="L11" s="132">
        <v>397</v>
      </c>
      <c r="M11" s="133">
        <v>369</v>
      </c>
      <c r="P11" s="132">
        <v>93</v>
      </c>
      <c r="Q11" s="133">
        <v>89</v>
      </c>
      <c r="T11" s="14"/>
    </row>
    <row r="12" spans="2:20" ht="25" customHeight="1" thickTop="1" x14ac:dyDescent="0.45">
      <c r="B12" s="13"/>
      <c r="C12" s="104">
        <v>77</v>
      </c>
      <c r="D12" s="105">
        <v>12</v>
      </c>
      <c r="E12" s="105">
        <v>75</v>
      </c>
      <c r="F12" s="106">
        <v>90</v>
      </c>
      <c r="G12" s="107">
        <v>32</v>
      </c>
      <c r="H12" s="108">
        <v>89</v>
      </c>
      <c r="I12" s="108">
        <v>48</v>
      </c>
      <c r="J12" s="109">
        <v>77</v>
      </c>
      <c r="L12" s="134">
        <v>257</v>
      </c>
      <c r="M12" s="53">
        <v>347</v>
      </c>
      <c r="P12" s="134">
        <v>97</v>
      </c>
      <c r="Q12" s="53">
        <v>74</v>
      </c>
      <c r="T12" s="14"/>
    </row>
    <row r="13" spans="2:20" ht="25" customHeight="1" thickBot="1" x14ac:dyDescent="0.5">
      <c r="B13" s="13"/>
      <c r="C13" s="110">
        <v>35</v>
      </c>
      <c r="D13" s="111">
        <v>12</v>
      </c>
      <c r="E13" s="111">
        <v>3</v>
      </c>
      <c r="F13" s="112">
        <v>93</v>
      </c>
      <c r="G13" s="113">
        <v>69</v>
      </c>
      <c r="H13" s="114">
        <v>14</v>
      </c>
      <c r="I13" s="114">
        <v>24</v>
      </c>
      <c r="J13" s="115">
        <v>16</v>
      </c>
      <c r="T13" s="14"/>
    </row>
    <row r="14" spans="2:20" ht="25" customHeight="1" thickTop="1" x14ac:dyDescent="0.45">
      <c r="B14" s="13"/>
      <c r="C14" s="116">
        <v>20</v>
      </c>
      <c r="D14" s="117">
        <v>10</v>
      </c>
      <c r="E14" s="117">
        <v>10</v>
      </c>
      <c r="F14" s="118">
        <v>21</v>
      </c>
      <c r="G14" s="119">
        <v>50</v>
      </c>
      <c r="H14" s="120">
        <v>30</v>
      </c>
      <c r="I14" s="120">
        <v>74</v>
      </c>
      <c r="J14" s="121">
        <v>21</v>
      </c>
      <c r="T14" s="14"/>
    </row>
    <row r="15" spans="2:20" ht="25" customHeight="1" thickBot="1" x14ac:dyDescent="0.5">
      <c r="B15" s="13"/>
      <c r="C15" s="122">
        <v>17</v>
      </c>
      <c r="D15" s="123">
        <v>56</v>
      </c>
      <c r="E15" s="123">
        <v>26</v>
      </c>
      <c r="F15" s="124">
        <v>97</v>
      </c>
      <c r="G15" s="125">
        <v>70</v>
      </c>
      <c r="H15" s="126">
        <v>21</v>
      </c>
      <c r="I15" s="126">
        <v>48</v>
      </c>
      <c r="J15" s="127">
        <v>33</v>
      </c>
      <c r="T15" s="14"/>
    </row>
    <row r="16" spans="2:20" ht="17" thickTop="1" x14ac:dyDescent="0.45">
      <c r="B16" s="16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8"/>
    </row>
    <row r="17" spans="2:20" x14ac:dyDescent="0.45">
      <c r="B17" s="13"/>
      <c r="C17" s="21" t="s">
        <v>254</v>
      </c>
      <c r="L17" s="20" t="s">
        <v>256</v>
      </c>
      <c r="P17" s="20" t="s">
        <v>258</v>
      </c>
      <c r="T17" s="14"/>
    </row>
    <row r="18" spans="2:20" x14ac:dyDescent="0.45">
      <c r="B18" s="13"/>
      <c r="C18" s="135">
        <v>1598</v>
      </c>
      <c r="D18" s="135">
        <v>1614</v>
      </c>
      <c r="E18" s="135">
        <v>1633</v>
      </c>
      <c r="F18" s="136">
        <v>1649</v>
      </c>
      <c r="G18" s="136">
        <v>1662</v>
      </c>
      <c r="H18" s="136">
        <v>1661</v>
      </c>
      <c r="I18" s="137">
        <v>1652</v>
      </c>
      <c r="J18" s="137">
        <v>1643</v>
      </c>
      <c r="L18" s="22" t="s">
        <v>255</v>
      </c>
      <c r="P18" s="22" t="s">
        <v>257</v>
      </c>
      <c r="T18" s="14"/>
    </row>
    <row r="19" spans="2:20" x14ac:dyDescent="0.45">
      <c r="B19" s="13"/>
      <c r="C19" s="135">
        <v>1586</v>
      </c>
      <c r="D19" s="135">
        <v>1606</v>
      </c>
      <c r="E19" s="135">
        <v>1627</v>
      </c>
      <c r="F19" s="136">
        <v>1638</v>
      </c>
      <c r="G19" s="136">
        <v>1649</v>
      </c>
      <c r="H19" s="136">
        <v>1650</v>
      </c>
      <c r="I19" s="137">
        <v>1642</v>
      </c>
      <c r="J19" s="137">
        <v>1634</v>
      </c>
      <c r="L19" s="135" cm="1">
        <f t="array" ref="L19:N22">Grainλ(ElevationGrid,5,3,_xleta.AVERAGE)</f>
        <v>1594.8666666666666</v>
      </c>
      <c r="M19" s="136">
        <v>1632.3333333333333</v>
      </c>
      <c r="N19" s="137">
        <v>1627.8</v>
      </c>
      <c r="P19" s="135" cm="1">
        <f t="array" ref="P19:R22">Grainλ(ElevationGrid,5,3,_xleta.COUNT)</f>
        <v>15</v>
      </c>
      <c r="Q19" s="136">
        <v>15</v>
      </c>
      <c r="R19" s="137">
        <v>10</v>
      </c>
      <c r="T19" s="14"/>
    </row>
    <row r="20" spans="2:20" x14ac:dyDescent="0.45">
      <c r="B20" s="13"/>
      <c r="C20" s="135">
        <v>1580</v>
      </c>
      <c r="D20" s="135">
        <v>1601</v>
      </c>
      <c r="E20" s="135">
        <v>1612</v>
      </c>
      <c r="F20" s="136">
        <v>1623</v>
      </c>
      <c r="G20" s="136">
        <v>1636</v>
      </c>
      <c r="H20" s="136">
        <v>1638</v>
      </c>
      <c r="I20" s="137">
        <v>1631</v>
      </c>
      <c r="J20" s="137">
        <v>1623</v>
      </c>
      <c r="L20" s="138">
        <v>1538.4666666666667</v>
      </c>
      <c r="M20" s="139">
        <v>1557.5333333333333</v>
      </c>
      <c r="N20" s="140">
        <v>1574.7</v>
      </c>
      <c r="P20" s="138">
        <v>15</v>
      </c>
      <c r="Q20" s="139">
        <v>15</v>
      </c>
      <c r="R20" s="140">
        <v>10</v>
      </c>
      <c r="T20" s="14"/>
    </row>
    <row r="21" spans="2:20" x14ac:dyDescent="0.45">
      <c r="B21" s="13"/>
      <c r="C21" s="135">
        <v>1578</v>
      </c>
      <c r="D21" s="135">
        <v>1583</v>
      </c>
      <c r="E21" s="135">
        <v>1596</v>
      </c>
      <c r="F21" s="136">
        <v>1611</v>
      </c>
      <c r="G21" s="136">
        <v>1624</v>
      </c>
      <c r="H21" s="136">
        <v>1625</v>
      </c>
      <c r="I21" s="137">
        <v>1621</v>
      </c>
      <c r="J21" s="137">
        <v>1613</v>
      </c>
      <c r="L21" s="141">
        <v>1478.7333333333333</v>
      </c>
      <c r="M21" s="142">
        <v>1492.5333333333333</v>
      </c>
      <c r="N21" s="143">
        <v>1496.7</v>
      </c>
      <c r="P21" s="141">
        <v>15</v>
      </c>
      <c r="Q21" s="142">
        <v>15</v>
      </c>
      <c r="R21" s="143">
        <v>10</v>
      </c>
      <c r="T21" s="14"/>
    </row>
    <row r="22" spans="2:20" x14ac:dyDescent="0.45">
      <c r="B22" s="13"/>
      <c r="C22" s="135">
        <v>1558</v>
      </c>
      <c r="D22" s="135">
        <v>1569</v>
      </c>
      <c r="E22" s="135">
        <v>1582</v>
      </c>
      <c r="F22" s="136">
        <v>1601</v>
      </c>
      <c r="G22" s="136">
        <v>1606</v>
      </c>
      <c r="H22" s="136">
        <v>1612</v>
      </c>
      <c r="I22" s="137">
        <v>1612</v>
      </c>
      <c r="J22" s="137">
        <v>1607</v>
      </c>
      <c r="L22" s="144">
        <v>1446</v>
      </c>
      <c r="M22" s="145">
        <v>1458.6666666666667</v>
      </c>
      <c r="N22" s="146">
        <v>1457.5</v>
      </c>
      <c r="P22" s="144">
        <v>3</v>
      </c>
      <c r="Q22" s="145">
        <v>3</v>
      </c>
      <c r="R22" s="146">
        <v>2</v>
      </c>
      <c r="T22" s="14"/>
    </row>
    <row r="23" spans="2:20" x14ac:dyDescent="0.45">
      <c r="B23" s="13"/>
      <c r="C23" s="138">
        <v>1545</v>
      </c>
      <c r="D23" s="138">
        <v>1556</v>
      </c>
      <c r="E23" s="138">
        <v>1574</v>
      </c>
      <c r="F23" s="139">
        <v>1588</v>
      </c>
      <c r="G23" s="139">
        <v>1588</v>
      </c>
      <c r="H23" s="139">
        <v>1595</v>
      </c>
      <c r="I23" s="140">
        <v>1603</v>
      </c>
      <c r="J23" s="140">
        <v>1601</v>
      </c>
      <c r="T23" s="14"/>
    </row>
    <row r="24" spans="2:20" x14ac:dyDescent="0.45">
      <c r="B24" s="13"/>
      <c r="C24" s="138">
        <v>1533</v>
      </c>
      <c r="D24" s="138">
        <v>1548</v>
      </c>
      <c r="E24" s="138">
        <v>1568</v>
      </c>
      <c r="F24" s="139">
        <v>1567</v>
      </c>
      <c r="G24" s="139">
        <v>1571</v>
      </c>
      <c r="H24" s="139">
        <v>1579</v>
      </c>
      <c r="I24" s="140">
        <v>1590</v>
      </c>
      <c r="J24" s="140">
        <v>1591</v>
      </c>
      <c r="N24" s="21" t="s">
        <v>259</v>
      </c>
      <c r="T24" s="14"/>
    </row>
    <row r="25" spans="2:20" x14ac:dyDescent="0.45">
      <c r="B25" s="13"/>
      <c r="C25" s="138">
        <v>1521</v>
      </c>
      <c r="D25" s="138">
        <v>1543</v>
      </c>
      <c r="E25" s="138">
        <v>1552</v>
      </c>
      <c r="F25" s="139">
        <v>1550</v>
      </c>
      <c r="G25" s="139">
        <v>1555</v>
      </c>
      <c r="H25" s="139">
        <v>1566</v>
      </c>
      <c r="I25" s="140">
        <v>1577</v>
      </c>
      <c r="J25" s="140">
        <v>1575</v>
      </c>
      <c r="T25" s="14"/>
    </row>
    <row r="26" spans="2:20" x14ac:dyDescent="0.45">
      <c r="B26" s="13"/>
      <c r="C26" s="138">
        <v>1521</v>
      </c>
      <c r="D26" s="138">
        <v>1535</v>
      </c>
      <c r="E26" s="138">
        <v>1529</v>
      </c>
      <c r="F26" s="139">
        <v>1533</v>
      </c>
      <c r="G26" s="139">
        <v>1539</v>
      </c>
      <c r="H26" s="139">
        <v>1553</v>
      </c>
      <c r="I26" s="140">
        <v>1563</v>
      </c>
      <c r="J26" s="140">
        <v>1559</v>
      </c>
      <c r="T26" s="14"/>
    </row>
    <row r="27" spans="2:20" x14ac:dyDescent="0.45">
      <c r="B27" s="13"/>
      <c r="C27" s="138">
        <v>1523</v>
      </c>
      <c r="D27" s="138">
        <v>1517</v>
      </c>
      <c r="E27" s="138">
        <v>1512</v>
      </c>
      <c r="F27" s="139">
        <v>1516</v>
      </c>
      <c r="G27" s="139">
        <v>1524</v>
      </c>
      <c r="H27" s="139">
        <v>1539</v>
      </c>
      <c r="I27" s="140">
        <v>1547</v>
      </c>
      <c r="J27" s="140">
        <v>1541</v>
      </c>
      <c r="L27" s="20" t="s">
        <v>261</v>
      </c>
      <c r="T27" s="14"/>
    </row>
    <row r="28" spans="2:20" x14ac:dyDescent="0.45">
      <c r="B28" s="13"/>
      <c r="C28" s="141">
        <v>1514</v>
      </c>
      <c r="D28" s="141">
        <v>1502</v>
      </c>
      <c r="E28" s="141">
        <v>1496</v>
      </c>
      <c r="F28" s="142">
        <v>1501</v>
      </c>
      <c r="G28" s="142">
        <v>1512</v>
      </c>
      <c r="H28" s="142">
        <v>1528</v>
      </c>
      <c r="I28" s="143">
        <v>1527</v>
      </c>
      <c r="J28" s="143">
        <v>1526</v>
      </c>
      <c r="L28" s="22" t="s">
        <v>260</v>
      </c>
      <c r="T28" s="14"/>
    </row>
    <row r="29" spans="2:20" x14ac:dyDescent="0.45">
      <c r="B29" s="13"/>
      <c r="C29" s="141">
        <v>1499</v>
      </c>
      <c r="D29" s="141">
        <v>1487</v>
      </c>
      <c r="E29" s="141">
        <v>1482</v>
      </c>
      <c r="F29" s="142">
        <v>1489</v>
      </c>
      <c r="G29" s="142">
        <v>1504</v>
      </c>
      <c r="H29" s="142">
        <v>1521</v>
      </c>
      <c r="I29" s="143">
        <v>1513</v>
      </c>
      <c r="J29" s="143">
        <v>1509</v>
      </c>
      <c r="N29" s="135" t="b" cm="1">
        <f t="array" ref="N29:P32">Grainλ(ElevationGrid,5,3,_xlfn.LAMBDA(_xlpm.v,AVERAGE(_xlpm.v)&gt;AVERAGE(ElevationGrid)))</f>
        <v>1</v>
      </c>
      <c r="O29" s="136" t="b">
        <v>1</v>
      </c>
      <c r="P29" s="137" t="b">
        <v>1</v>
      </c>
      <c r="T29" s="14"/>
    </row>
    <row r="30" spans="2:20" x14ac:dyDescent="0.45">
      <c r="B30" s="13"/>
      <c r="C30" s="141">
        <v>1486</v>
      </c>
      <c r="D30" s="141">
        <v>1474</v>
      </c>
      <c r="E30" s="141">
        <v>1469</v>
      </c>
      <c r="F30" s="142">
        <v>1477</v>
      </c>
      <c r="G30" s="142">
        <v>1495</v>
      </c>
      <c r="H30" s="142">
        <v>1510</v>
      </c>
      <c r="I30" s="143">
        <v>1499</v>
      </c>
      <c r="J30" s="143">
        <v>1493</v>
      </c>
      <c r="N30" s="138" t="b">
        <v>0</v>
      </c>
      <c r="O30" s="139" t="b">
        <v>1</v>
      </c>
      <c r="P30" s="140" t="b">
        <v>1</v>
      </c>
      <c r="T30" s="14"/>
    </row>
    <row r="31" spans="2:20" x14ac:dyDescent="0.45">
      <c r="B31" s="13"/>
      <c r="C31" s="141">
        <v>1478</v>
      </c>
      <c r="D31" s="141">
        <v>1465</v>
      </c>
      <c r="E31" s="141">
        <v>1458</v>
      </c>
      <c r="F31" s="142">
        <v>1465</v>
      </c>
      <c r="G31" s="142">
        <v>1480</v>
      </c>
      <c r="H31" s="142">
        <v>1498</v>
      </c>
      <c r="I31" s="143">
        <v>1485</v>
      </c>
      <c r="J31" s="143">
        <v>1478</v>
      </c>
      <c r="N31" s="141" t="b">
        <v>0</v>
      </c>
      <c r="O31" s="142" t="b">
        <v>0</v>
      </c>
      <c r="P31" s="143" t="b">
        <v>0</v>
      </c>
      <c r="T31" s="14"/>
    </row>
    <row r="32" spans="2:20" x14ac:dyDescent="0.45">
      <c r="B32" s="13"/>
      <c r="C32" s="141">
        <v>1470</v>
      </c>
      <c r="D32" s="141">
        <v>1454</v>
      </c>
      <c r="E32" s="141">
        <v>1447</v>
      </c>
      <c r="F32" s="142">
        <v>1456</v>
      </c>
      <c r="G32" s="142">
        <v>1468</v>
      </c>
      <c r="H32" s="142">
        <v>1484</v>
      </c>
      <c r="I32" s="143">
        <v>1473</v>
      </c>
      <c r="J32" s="143">
        <v>1464</v>
      </c>
      <c r="N32" s="144" t="b">
        <v>0</v>
      </c>
      <c r="O32" s="145" t="b">
        <v>0</v>
      </c>
      <c r="P32" s="146" t="b">
        <v>0</v>
      </c>
      <c r="T32" s="14"/>
    </row>
    <row r="33" spans="2:20" x14ac:dyDescent="0.45">
      <c r="B33" s="13"/>
      <c r="C33" s="144">
        <v>1458</v>
      </c>
      <c r="D33" s="144">
        <v>1445</v>
      </c>
      <c r="E33" s="144">
        <v>1435</v>
      </c>
      <c r="F33" s="145">
        <v>1447</v>
      </c>
      <c r="G33" s="145">
        <v>1460</v>
      </c>
      <c r="H33" s="145">
        <v>1469</v>
      </c>
      <c r="I33" s="146">
        <v>1463</v>
      </c>
      <c r="J33" s="146">
        <v>1452</v>
      </c>
      <c r="T33" s="14"/>
    </row>
    <row r="34" spans="2:20" x14ac:dyDescent="0.45">
      <c r="B34" s="13"/>
      <c r="T34" s="14"/>
    </row>
    <row r="35" spans="2:20" x14ac:dyDescent="0.45">
      <c r="B35" s="16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8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50531-3546-438A-9188-568D6C2D95BC}">
  <sheetPr>
    <tabColor rgb="FFF4D9A6"/>
  </sheetPr>
  <dimension ref="B2:AA38"/>
  <sheetViews>
    <sheetView workbookViewId="0"/>
  </sheetViews>
  <sheetFormatPr defaultRowHeight="16.5" x14ac:dyDescent="0.45"/>
  <cols>
    <col min="1" max="1" width="5" customWidth="1"/>
    <col min="2" max="4" width="4.58203125" customWidth="1"/>
    <col min="5" max="5" width="4.6640625" customWidth="1"/>
    <col min="6" max="20" width="4.58203125" customWidth="1"/>
    <col min="21" max="21" width="4.4140625" customWidth="1"/>
    <col min="22" max="26" width="4.58203125" customWidth="1"/>
  </cols>
  <sheetData>
    <row r="2" spans="2:27" x14ac:dyDescent="0.45">
      <c r="B2" s="30" t="s">
        <v>268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</row>
    <row r="3" spans="2:27" x14ac:dyDescent="0.45">
      <c r="B3" s="13"/>
      <c r="D3" s="185" t="s">
        <v>269</v>
      </c>
      <c r="AA3" s="14"/>
    </row>
    <row r="4" spans="2:27" x14ac:dyDescent="0.45">
      <c r="B4" s="13" t="s">
        <v>246</v>
      </c>
      <c r="AA4" s="14"/>
    </row>
    <row r="5" spans="2:27" x14ac:dyDescent="0.45">
      <c r="B5" s="13" t="s">
        <v>262</v>
      </c>
      <c r="N5" s="186"/>
      <c r="O5" s="186"/>
      <c r="P5" s="21" t="s">
        <v>17</v>
      </c>
      <c r="Q5" s="186"/>
      <c r="R5" s="186"/>
      <c r="S5" s="186"/>
      <c r="T5" s="186"/>
      <c r="AA5" s="14"/>
    </row>
    <row r="6" spans="2:27" x14ac:dyDescent="0.45">
      <c r="B6" s="15" t="s">
        <v>43</v>
      </c>
      <c r="N6" s="187"/>
      <c r="O6" s="187" t="s">
        <v>265</v>
      </c>
      <c r="P6" s="187"/>
      <c r="Q6" s="187"/>
      <c r="R6" s="186" t="s">
        <v>266</v>
      </c>
      <c r="S6" s="186"/>
      <c r="T6" s="186"/>
      <c r="AA6" s="14"/>
    </row>
    <row r="7" spans="2:27" x14ac:dyDescent="0.45">
      <c r="B7" s="13" t="s">
        <v>263</v>
      </c>
      <c r="N7" s="184">
        <v>1</v>
      </c>
      <c r="O7" s="184">
        <v>2</v>
      </c>
      <c r="P7" s="184">
        <v>3</v>
      </c>
      <c r="Q7" s="187"/>
      <c r="R7" s="186"/>
      <c r="S7" s="184">
        <v>1</v>
      </c>
      <c r="T7" s="186"/>
      <c r="AA7" s="14"/>
    </row>
    <row r="8" spans="2:27" x14ac:dyDescent="0.45">
      <c r="B8" s="13" t="s">
        <v>264</v>
      </c>
      <c r="N8" s="184">
        <v>4</v>
      </c>
      <c r="O8" s="184" t="s">
        <v>232</v>
      </c>
      <c r="P8" s="184">
        <v>6</v>
      </c>
      <c r="Q8" s="187"/>
      <c r="R8" s="184">
        <v>2</v>
      </c>
      <c r="S8" s="184" t="s">
        <v>232</v>
      </c>
      <c r="T8" s="184">
        <v>3</v>
      </c>
      <c r="AA8" s="14"/>
    </row>
    <row r="9" spans="2:27" x14ac:dyDescent="0.45">
      <c r="B9" s="13"/>
      <c r="N9" s="184">
        <v>7</v>
      </c>
      <c r="O9" s="184">
        <v>8</v>
      </c>
      <c r="P9" s="184">
        <v>9</v>
      </c>
      <c r="Q9" s="187"/>
      <c r="R9" s="186"/>
      <c r="S9" s="184">
        <v>4</v>
      </c>
      <c r="T9" s="186"/>
      <c r="AA9" s="14"/>
    </row>
    <row r="10" spans="2:27" x14ac:dyDescent="0.45">
      <c r="B10" s="16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8"/>
    </row>
    <row r="11" spans="2:27" x14ac:dyDescent="0.45">
      <c r="B11" s="19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2"/>
    </row>
    <row r="12" spans="2:27" x14ac:dyDescent="0.45">
      <c r="B12" s="13"/>
      <c r="C12" s="20" t="s">
        <v>267</v>
      </c>
      <c r="J12" s="20" t="s">
        <v>274</v>
      </c>
      <c r="P12" s="20" t="s">
        <v>275</v>
      </c>
      <c r="V12" s="20" t="s">
        <v>279</v>
      </c>
      <c r="AA12" s="14"/>
    </row>
    <row r="13" spans="2:27" x14ac:dyDescent="0.45">
      <c r="B13" s="13"/>
      <c r="C13" s="21" t="s">
        <v>271</v>
      </c>
      <c r="J13" s="22" t="s">
        <v>272</v>
      </c>
      <c r="P13" s="22" t="s">
        <v>270</v>
      </c>
      <c r="V13" s="22" t="s">
        <v>280</v>
      </c>
      <c r="AA13" s="14"/>
    </row>
    <row r="14" spans="2:27" x14ac:dyDescent="0.45">
      <c r="B14" s="13"/>
      <c r="C14" s="169" cm="1">
        <f t="array" ref="C14:G18">_xlfn.SEQUENCE(5,5)</f>
        <v>1</v>
      </c>
      <c r="D14" s="169">
        <v>2</v>
      </c>
      <c r="E14" s="169">
        <v>3</v>
      </c>
      <c r="F14" s="169">
        <v>4</v>
      </c>
      <c r="G14" s="169">
        <v>5</v>
      </c>
      <c r="J14" s="9" cm="1">
        <f t="array" ref="J14:N18">MooreAggλ(_xlfn.ANCHORARRAY(C14),_xleta.SUM)</f>
        <v>16</v>
      </c>
      <c r="K14" s="9">
        <v>27</v>
      </c>
      <c r="L14" s="9">
        <v>33</v>
      </c>
      <c r="M14" s="9">
        <v>39</v>
      </c>
      <c r="N14" s="9">
        <v>28</v>
      </c>
      <c r="P14" s="9" cm="1">
        <f t="array" ref="P14:T18">MooreAggλ(_xlfn.ANCHORARRAY(C14),_xleta.COUNT)</f>
        <v>4</v>
      </c>
      <c r="Q14" s="9">
        <v>6</v>
      </c>
      <c r="R14" s="9">
        <v>6</v>
      </c>
      <c r="S14" s="9">
        <v>6</v>
      </c>
      <c r="T14" s="9">
        <v>4</v>
      </c>
      <c r="V14" s="9" cm="1">
        <f t="array" ref="V14:Z18">MooreAggλ(_xlfn.ANCHORARRAY(C14),_xleta.SUM,,TRUE)</f>
        <v>15</v>
      </c>
      <c r="W14" s="9">
        <v>25</v>
      </c>
      <c r="X14" s="9">
        <v>30</v>
      </c>
      <c r="Y14" s="9">
        <v>35</v>
      </c>
      <c r="Z14" s="9">
        <v>23</v>
      </c>
      <c r="AA14" s="14"/>
    </row>
    <row r="15" spans="2:27" x14ac:dyDescent="0.45">
      <c r="B15" s="13"/>
      <c r="C15" s="169">
        <v>6</v>
      </c>
      <c r="D15" s="169">
        <v>7</v>
      </c>
      <c r="E15" s="169">
        <v>8</v>
      </c>
      <c r="F15" s="169">
        <v>9</v>
      </c>
      <c r="G15" s="169">
        <v>10</v>
      </c>
      <c r="J15" s="9">
        <v>39</v>
      </c>
      <c r="K15" s="9">
        <v>63</v>
      </c>
      <c r="L15" s="9">
        <v>72</v>
      </c>
      <c r="M15" s="9">
        <v>81</v>
      </c>
      <c r="N15" s="9">
        <v>57</v>
      </c>
      <c r="P15" s="9">
        <v>6</v>
      </c>
      <c r="Q15" s="9">
        <v>9</v>
      </c>
      <c r="R15" s="9">
        <v>9</v>
      </c>
      <c r="S15" s="9">
        <v>9</v>
      </c>
      <c r="T15" s="9">
        <v>6</v>
      </c>
      <c r="V15" s="9">
        <v>33</v>
      </c>
      <c r="W15" s="9">
        <v>56</v>
      </c>
      <c r="X15" s="9">
        <v>64</v>
      </c>
      <c r="Y15" s="9">
        <v>72</v>
      </c>
      <c r="Z15" s="9">
        <v>47</v>
      </c>
      <c r="AA15" s="14"/>
    </row>
    <row r="16" spans="2:27" x14ac:dyDescent="0.45">
      <c r="B16" s="13"/>
      <c r="C16" s="169">
        <v>11</v>
      </c>
      <c r="D16" s="169">
        <v>12</v>
      </c>
      <c r="E16" s="169">
        <v>13</v>
      </c>
      <c r="F16" s="169">
        <v>14</v>
      </c>
      <c r="G16" s="169">
        <v>15</v>
      </c>
      <c r="J16" s="9">
        <v>69</v>
      </c>
      <c r="K16" s="9">
        <v>108</v>
      </c>
      <c r="L16" s="9">
        <v>117</v>
      </c>
      <c r="M16" s="9">
        <v>126</v>
      </c>
      <c r="N16" s="9">
        <v>87</v>
      </c>
      <c r="P16" s="9">
        <v>6</v>
      </c>
      <c r="Q16" s="9">
        <v>9</v>
      </c>
      <c r="R16" s="9">
        <v>9</v>
      </c>
      <c r="S16" s="9">
        <v>9</v>
      </c>
      <c r="T16" s="9">
        <v>6</v>
      </c>
      <c r="V16" s="9">
        <v>58</v>
      </c>
      <c r="W16" s="9">
        <v>96</v>
      </c>
      <c r="X16" s="9">
        <v>104</v>
      </c>
      <c r="Y16" s="9">
        <v>112</v>
      </c>
      <c r="Z16" s="9">
        <v>72</v>
      </c>
      <c r="AA16" s="14"/>
    </row>
    <row r="17" spans="2:27" x14ac:dyDescent="0.45">
      <c r="B17" s="13"/>
      <c r="C17" s="169">
        <v>16</v>
      </c>
      <c r="D17" s="169">
        <v>17</v>
      </c>
      <c r="E17" s="169">
        <v>18</v>
      </c>
      <c r="F17" s="169">
        <v>19</v>
      </c>
      <c r="G17" s="169">
        <v>20</v>
      </c>
      <c r="J17" s="9">
        <v>99</v>
      </c>
      <c r="K17" s="9">
        <v>153</v>
      </c>
      <c r="L17" s="9">
        <v>162</v>
      </c>
      <c r="M17" s="9">
        <v>171</v>
      </c>
      <c r="N17" s="9">
        <v>117</v>
      </c>
      <c r="P17" s="9">
        <v>6</v>
      </c>
      <c r="Q17" s="9">
        <v>9</v>
      </c>
      <c r="R17" s="9">
        <v>9</v>
      </c>
      <c r="S17" s="9">
        <v>9</v>
      </c>
      <c r="T17" s="9">
        <v>6</v>
      </c>
      <c r="V17" s="9">
        <v>83</v>
      </c>
      <c r="W17" s="9">
        <v>136</v>
      </c>
      <c r="X17" s="9">
        <v>144</v>
      </c>
      <c r="Y17" s="9">
        <v>152</v>
      </c>
      <c r="Z17" s="9">
        <v>97</v>
      </c>
      <c r="AA17" s="14"/>
    </row>
    <row r="18" spans="2:27" x14ac:dyDescent="0.45">
      <c r="B18" s="13"/>
      <c r="C18" s="169">
        <v>21</v>
      </c>
      <c r="D18" s="169">
        <v>22</v>
      </c>
      <c r="E18" s="169">
        <v>23</v>
      </c>
      <c r="F18" s="169">
        <v>24</v>
      </c>
      <c r="G18" s="169">
        <v>25</v>
      </c>
      <c r="J18" s="9">
        <v>76</v>
      </c>
      <c r="K18" s="9">
        <v>117</v>
      </c>
      <c r="L18" s="9">
        <v>123</v>
      </c>
      <c r="M18" s="9">
        <v>129</v>
      </c>
      <c r="N18" s="9">
        <v>88</v>
      </c>
      <c r="P18" s="9">
        <v>4</v>
      </c>
      <c r="Q18" s="9">
        <v>6</v>
      </c>
      <c r="R18" s="9">
        <v>6</v>
      </c>
      <c r="S18" s="9">
        <v>6</v>
      </c>
      <c r="T18" s="9">
        <v>4</v>
      </c>
      <c r="V18" s="9">
        <v>55</v>
      </c>
      <c r="W18" s="9">
        <v>95</v>
      </c>
      <c r="X18" s="9">
        <v>100</v>
      </c>
      <c r="Y18" s="9">
        <v>105</v>
      </c>
      <c r="Z18" s="9">
        <v>63</v>
      </c>
      <c r="AA18" s="14"/>
    </row>
    <row r="19" spans="2:27" x14ac:dyDescent="0.45">
      <c r="B19" s="13"/>
      <c r="AA19" s="14"/>
    </row>
    <row r="20" spans="2:27" x14ac:dyDescent="0.45">
      <c r="B20" s="13"/>
      <c r="C20" s="21" t="s">
        <v>283</v>
      </c>
      <c r="J20" s="20" t="s">
        <v>276</v>
      </c>
      <c r="P20" s="20" t="s">
        <v>278</v>
      </c>
      <c r="AA20" s="14"/>
    </row>
    <row r="21" spans="2:27" x14ac:dyDescent="0.45">
      <c r="B21" s="13"/>
      <c r="C21" s="21" t="s">
        <v>284</v>
      </c>
      <c r="J21" s="22" t="s">
        <v>273</v>
      </c>
      <c r="P21" s="22" t="s">
        <v>277</v>
      </c>
      <c r="AA21" s="14"/>
    </row>
    <row r="22" spans="2:27" x14ac:dyDescent="0.45">
      <c r="B22" s="13"/>
      <c r="C22" s="21" t="s">
        <v>285</v>
      </c>
      <c r="J22" s="9" cm="1">
        <f t="array" ref="J22:N26">MooreAggλ(_xlfn.ANCHORARRAY(C14),_xleta.SUM,TRUE)</f>
        <v>9</v>
      </c>
      <c r="K22" s="9">
        <v>13</v>
      </c>
      <c r="L22" s="9">
        <v>17</v>
      </c>
      <c r="M22" s="9">
        <v>21</v>
      </c>
      <c r="N22" s="9">
        <v>19</v>
      </c>
      <c r="P22" s="9" cm="1">
        <f t="array" ref="P22:T26">MooreAggλ(_xlfn.ANCHORARRAY(C14),_xleta.COUNT,TRUE)</f>
        <v>3</v>
      </c>
      <c r="Q22" s="9">
        <v>4</v>
      </c>
      <c r="R22" s="9">
        <v>4</v>
      </c>
      <c r="S22" s="9">
        <v>4</v>
      </c>
      <c r="T22" s="9">
        <v>3</v>
      </c>
      <c r="AA22" s="14"/>
    </row>
    <row r="23" spans="2:27" x14ac:dyDescent="0.45">
      <c r="B23" s="13"/>
      <c r="J23" s="9">
        <v>25</v>
      </c>
      <c r="K23" s="9">
        <v>35</v>
      </c>
      <c r="L23" s="9">
        <v>40</v>
      </c>
      <c r="M23" s="9">
        <v>45</v>
      </c>
      <c r="N23" s="9">
        <v>39</v>
      </c>
      <c r="P23" s="9">
        <v>4</v>
      </c>
      <c r="Q23" s="9">
        <v>5</v>
      </c>
      <c r="R23" s="9">
        <v>5</v>
      </c>
      <c r="S23" s="9">
        <v>5</v>
      </c>
      <c r="T23" s="9">
        <v>4</v>
      </c>
      <c r="AA23" s="14"/>
    </row>
    <row r="24" spans="2:27" x14ac:dyDescent="0.45">
      <c r="B24" s="13"/>
      <c r="J24" s="9">
        <v>45</v>
      </c>
      <c r="K24" s="9">
        <v>60</v>
      </c>
      <c r="L24" s="9">
        <v>65</v>
      </c>
      <c r="M24" s="9">
        <v>70</v>
      </c>
      <c r="N24" s="9">
        <v>59</v>
      </c>
      <c r="P24" s="9">
        <v>4</v>
      </c>
      <c r="Q24" s="9">
        <v>5</v>
      </c>
      <c r="R24" s="9">
        <v>5</v>
      </c>
      <c r="S24" s="9">
        <v>5</v>
      </c>
      <c r="T24" s="9">
        <v>4</v>
      </c>
      <c r="AA24" s="14"/>
    </row>
    <row r="25" spans="2:27" x14ac:dyDescent="0.45">
      <c r="B25" s="13"/>
      <c r="J25" s="9">
        <v>65</v>
      </c>
      <c r="K25" s="9">
        <v>85</v>
      </c>
      <c r="L25" s="9">
        <v>90</v>
      </c>
      <c r="M25" s="9">
        <v>95</v>
      </c>
      <c r="N25" s="9">
        <v>79</v>
      </c>
      <c r="P25" s="9">
        <v>4</v>
      </c>
      <c r="Q25" s="9">
        <v>5</v>
      </c>
      <c r="R25" s="9">
        <v>5</v>
      </c>
      <c r="S25" s="9">
        <v>5</v>
      </c>
      <c r="T25" s="9">
        <v>4</v>
      </c>
      <c r="AA25" s="14"/>
    </row>
    <row r="26" spans="2:27" x14ac:dyDescent="0.45">
      <c r="B26" s="13"/>
      <c r="J26" s="9">
        <v>59</v>
      </c>
      <c r="K26" s="9">
        <v>83</v>
      </c>
      <c r="L26" s="9">
        <v>87</v>
      </c>
      <c r="M26" s="9">
        <v>91</v>
      </c>
      <c r="N26" s="9">
        <v>69</v>
      </c>
      <c r="P26" s="9">
        <v>3</v>
      </c>
      <c r="Q26" s="9">
        <v>4</v>
      </c>
      <c r="R26" s="9">
        <v>4</v>
      </c>
      <c r="S26" s="9">
        <v>4</v>
      </c>
      <c r="T26" s="9">
        <v>3</v>
      </c>
      <c r="AA26" s="14"/>
    </row>
    <row r="27" spans="2:27" x14ac:dyDescent="0.45">
      <c r="B27" s="16"/>
      <c r="C27" s="17"/>
      <c r="D27" s="17"/>
      <c r="E27" s="17"/>
      <c r="F27" s="17"/>
      <c r="G27" s="17"/>
      <c r="H27" s="17"/>
      <c r="I27" s="17"/>
      <c r="J27" s="43"/>
      <c r="K27" s="43"/>
      <c r="L27" s="43"/>
      <c r="M27" s="43"/>
      <c r="N27" s="43"/>
      <c r="O27" s="17"/>
      <c r="P27" s="43"/>
      <c r="Q27" s="43"/>
      <c r="R27" s="43"/>
      <c r="S27" s="43"/>
      <c r="T27" s="43"/>
      <c r="U27" s="17"/>
      <c r="V27" s="17"/>
      <c r="W27" s="17"/>
      <c r="X27" s="17"/>
      <c r="Y27" s="17"/>
      <c r="Z27" s="17"/>
      <c r="AA27" s="18"/>
    </row>
    <row r="28" spans="2:27" x14ac:dyDescent="0.45">
      <c r="B28" s="13"/>
      <c r="J28" s="20" t="s">
        <v>279</v>
      </c>
      <c r="AA28" s="14"/>
    </row>
    <row r="29" spans="2:27" x14ac:dyDescent="0.45">
      <c r="B29" s="13"/>
      <c r="C29" s="24" t="s">
        <v>281</v>
      </c>
      <c r="J29" s="22" t="s">
        <v>282</v>
      </c>
      <c r="AA29" s="14"/>
    </row>
    <row r="30" spans="2:27" x14ac:dyDescent="0.45">
      <c r="B30" s="13"/>
      <c r="C30" s="78">
        <v>0</v>
      </c>
      <c r="D30" s="78">
        <v>0</v>
      </c>
      <c r="E30" s="78">
        <v>1</v>
      </c>
      <c r="F30" s="78">
        <v>1</v>
      </c>
      <c r="G30" s="78">
        <v>0</v>
      </c>
      <c r="J30" s="9" cm="1">
        <f t="array" ref="J30:N37">MooreAggλ(Board,_xleta.SUM,,TRUE)</f>
        <v>1</v>
      </c>
      <c r="K30" s="9">
        <v>2</v>
      </c>
      <c r="L30" s="9">
        <v>2</v>
      </c>
      <c r="M30" s="9">
        <v>1</v>
      </c>
      <c r="N30" s="9">
        <v>1</v>
      </c>
      <c r="AA30" s="14"/>
    </row>
    <row r="31" spans="2:27" x14ac:dyDescent="0.45">
      <c r="B31" s="13"/>
      <c r="C31" s="78">
        <v>0</v>
      </c>
      <c r="D31" s="78">
        <v>1</v>
      </c>
      <c r="E31" s="78">
        <v>0</v>
      </c>
      <c r="F31" s="78">
        <v>0</v>
      </c>
      <c r="G31" s="78">
        <v>0</v>
      </c>
      <c r="J31" s="9">
        <v>2</v>
      </c>
      <c r="K31" s="9">
        <v>2</v>
      </c>
      <c r="L31" s="9">
        <v>4</v>
      </c>
      <c r="M31" s="9">
        <v>2</v>
      </c>
      <c r="N31" s="9">
        <v>1</v>
      </c>
      <c r="AA31" s="14"/>
    </row>
    <row r="32" spans="2:27" x14ac:dyDescent="0.45">
      <c r="B32" s="13"/>
      <c r="C32" s="78">
        <v>0</v>
      </c>
      <c r="D32" s="78">
        <v>1</v>
      </c>
      <c r="E32" s="78">
        <v>0</v>
      </c>
      <c r="F32" s="78">
        <v>0</v>
      </c>
      <c r="G32" s="78">
        <v>0</v>
      </c>
      <c r="J32" s="9">
        <v>3</v>
      </c>
      <c r="K32" s="9">
        <v>3</v>
      </c>
      <c r="L32" s="9">
        <v>4</v>
      </c>
      <c r="M32" s="9">
        <v>1</v>
      </c>
      <c r="N32" s="9">
        <v>0</v>
      </c>
      <c r="AA32" s="14"/>
    </row>
    <row r="33" spans="2:27" x14ac:dyDescent="0.45">
      <c r="B33" s="13"/>
      <c r="C33" s="78">
        <v>0</v>
      </c>
      <c r="D33" s="78">
        <v>1</v>
      </c>
      <c r="E33" s="78">
        <v>1</v>
      </c>
      <c r="F33" s="78">
        <v>0</v>
      </c>
      <c r="G33" s="78">
        <v>0</v>
      </c>
      <c r="J33" s="9">
        <v>3</v>
      </c>
      <c r="K33" s="9">
        <v>3</v>
      </c>
      <c r="L33" s="9">
        <v>3</v>
      </c>
      <c r="M33" s="9">
        <v>1</v>
      </c>
      <c r="N33" s="9">
        <v>0</v>
      </c>
      <c r="AA33" s="14"/>
    </row>
    <row r="34" spans="2:27" x14ac:dyDescent="0.45">
      <c r="B34" s="13"/>
      <c r="C34" s="78">
        <v>0</v>
      </c>
      <c r="D34" s="78">
        <v>1</v>
      </c>
      <c r="E34" s="78">
        <v>0</v>
      </c>
      <c r="F34" s="78">
        <v>0</v>
      </c>
      <c r="G34" s="78">
        <v>0</v>
      </c>
      <c r="J34" s="9">
        <v>4</v>
      </c>
      <c r="K34" s="9">
        <v>4</v>
      </c>
      <c r="L34" s="9">
        <v>4</v>
      </c>
      <c r="M34" s="9">
        <v>2</v>
      </c>
      <c r="N34" s="9">
        <v>1</v>
      </c>
      <c r="AA34" s="14"/>
    </row>
    <row r="35" spans="2:27" x14ac:dyDescent="0.45">
      <c r="B35" s="13"/>
      <c r="C35" s="78">
        <v>1</v>
      </c>
      <c r="D35" s="78">
        <v>1</v>
      </c>
      <c r="E35" s="78">
        <v>0</v>
      </c>
      <c r="F35" s="78">
        <v>0</v>
      </c>
      <c r="G35" s="78">
        <v>1</v>
      </c>
      <c r="J35" s="9">
        <v>3</v>
      </c>
      <c r="K35" s="9">
        <v>4</v>
      </c>
      <c r="L35" s="9">
        <v>5</v>
      </c>
      <c r="M35" s="9">
        <v>4</v>
      </c>
      <c r="N35" s="9">
        <v>2</v>
      </c>
      <c r="AA35" s="14"/>
    </row>
    <row r="36" spans="2:27" x14ac:dyDescent="0.45">
      <c r="B36" s="13"/>
      <c r="C36" s="78">
        <v>0</v>
      </c>
      <c r="D36" s="78">
        <v>1</v>
      </c>
      <c r="E36" s="78">
        <v>1</v>
      </c>
      <c r="F36" s="78">
        <v>1</v>
      </c>
      <c r="G36" s="78">
        <v>1</v>
      </c>
      <c r="J36" s="9">
        <v>4</v>
      </c>
      <c r="K36" s="9">
        <v>5</v>
      </c>
      <c r="L36" s="9">
        <v>5</v>
      </c>
      <c r="M36" s="9">
        <v>5</v>
      </c>
      <c r="N36" s="9">
        <v>3</v>
      </c>
      <c r="AA36" s="14"/>
    </row>
    <row r="37" spans="2:27" x14ac:dyDescent="0.45">
      <c r="B37" s="13"/>
      <c r="C37" s="78">
        <v>1</v>
      </c>
      <c r="D37" s="78">
        <v>0</v>
      </c>
      <c r="E37" s="78">
        <v>1</v>
      </c>
      <c r="F37" s="78">
        <v>1</v>
      </c>
      <c r="G37" s="78">
        <v>0</v>
      </c>
      <c r="J37" s="9">
        <v>1</v>
      </c>
      <c r="K37" s="9">
        <v>4</v>
      </c>
      <c r="L37" s="9">
        <v>4</v>
      </c>
      <c r="M37" s="9">
        <v>4</v>
      </c>
      <c r="N37" s="9">
        <v>3</v>
      </c>
      <c r="AA37" s="14"/>
    </row>
    <row r="38" spans="2:27" x14ac:dyDescent="0.45">
      <c r="B38" s="16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8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4B4DA-8A87-4346-AA33-208B84F342C7}">
  <sheetPr>
    <tabColor rgb="FFF4D9A6"/>
  </sheetPr>
  <dimension ref="B2:W39"/>
  <sheetViews>
    <sheetView workbookViewId="0"/>
  </sheetViews>
  <sheetFormatPr defaultRowHeight="16.5" x14ac:dyDescent="0.45"/>
  <cols>
    <col min="1" max="1" width="5" customWidth="1"/>
    <col min="3" max="23" width="4.58203125" customWidth="1"/>
  </cols>
  <sheetData>
    <row r="2" spans="2:23" x14ac:dyDescent="0.45">
      <c r="B2" s="30" t="s">
        <v>286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2"/>
    </row>
    <row r="3" spans="2:23" x14ac:dyDescent="0.45">
      <c r="B3" s="13" t="s">
        <v>246</v>
      </c>
      <c r="W3" s="14"/>
    </row>
    <row r="4" spans="2:23" x14ac:dyDescent="0.45">
      <c r="B4" s="13" t="s">
        <v>287</v>
      </c>
      <c r="W4" s="14"/>
    </row>
    <row r="5" spans="2:23" x14ac:dyDescent="0.45">
      <c r="B5" s="13"/>
      <c r="W5" s="14"/>
    </row>
    <row r="6" spans="2:23" x14ac:dyDescent="0.45">
      <c r="B6" s="13"/>
      <c r="D6" s="21" t="s">
        <v>288</v>
      </c>
      <c r="N6" s="27"/>
      <c r="O6" s="192" t="s">
        <v>306</v>
      </c>
      <c r="Q6" s="148"/>
      <c r="W6" s="14"/>
    </row>
    <row r="7" spans="2:23" x14ac:dyDescent="0.45">
      <c r="B7" s="13"/>
      <c r="D7" s="38">
        <v>1</v>
      </c>
      <c r="E7" s="38">
        <v>2</v>
      </c>
      <c r="F7" s="38">
        <v>3</v>
      </c>
      <c r="G7" s="38">
        <v>4</v>
      </c>
      <c r="H7" s="38">
        <v>5</v>
      </c>
      <c r="I7" s="38">
        <v>6</v>
      </c>
      <c r="J7" s="8"/>
      <c r="K7" s="8"/>
      <c r="L7" s="8"/>
      <c r="M7" s="8"/>
      <c r="N7" s="8"/>
      <c r="O7" s="188">
        <v>1</v>
      </c>
      <c r="P7" s="188">
        <v>2</v>
      </c>
      <c r="Q7" s="188">
        <v>3</v>
      </c>
      <c r="W7" s="14"/>
    </row>
    <row r="8" spans="2:23" x14ac:dyDescent="0.45">
      <c r="B8" s="13"/>
      <c r="D8" s="38">
        <v>7</v>
      </c>
      <c r="E8" s="38">
        <v>8</v>
      </c>
      <c r="F8" s="38">
        <v>9</v>
      </c>
      <c r="G8" s="38">
        <v>10</v>
      </c>
      <c r="H8" s="38">
        <v>11</v>
      </c>
      <c r="I8" s="38">
        <v>12</v>
      </c>
      <c r="J8" s="8"/>
      <c r="K8" s="8"/>
      <c r="L8" s="8"/>
      <c r="M8" s="8"/>
      <c r="N8" s="8"/>
      <c r="O8" s="188">
        <v>4</v>
      </c>
      <c r="P8" s="188" t="s">
        <v>232</v>
      </c>
      <c r="Q8" s="188">
        <v>6</v>
      </c>
      <c r="W8" s="14"/>
    </row>
    <row r="9" spans="2:23" x14ac:dyDescent="0.45">
      <c r="B9" s="13"/>
      <c r="D9" s="38">
        <v>13</v>
      </c>
      <c r="E9" s="38">
        <v>14</v>
      </c>
      <c r="F9" s="38">
        <v>15</v>
      </c>
      <c r="G9" s="38">
        <v>16</v>
      </c>
      <c r="H9" s="38">
        <v>17</v>
      </c>
      <c r="I9" s="38">
        <v>18</v>
      </c>
      <c r="J9" s="8"/>
      <c r="K9" s="8"/>
      <c r="L9" s="8"/>
      <c r="M9" s="8"/>
      <c r="N9" s="8"/>
      <c r="O9" s="188">
        <v>7</v>
      </c>
      <c r="P9" s="188">
        <v>8</v>
      </c>
      <c r="Q9" s="188">
        <v>9</v>
      </c>
      <c r="W9" s="14"/>
    </row>
    <row r="10" spans="2:23" x14ac:dyDescent="0.45">
      <c r="B10" s="13"/>
      <c r="D10" s="38">
        <v>19</v>
      </c>
      <c r="E10" s="38">
        <v>20</v>
      </c>
      <c r="F10" s="38">
        <v>21</v>
      </c>
      <c r="G10" s="38">
        <v>22</v>
      </c>
      <c r="H10" s="38">
        <v>23</v>
      </c>
      <c r="I10" s="38">
        <v>24</v>
      </c>
      <c r="W10" s="14"/>
    </row>
    <row r="11" spans="2:23" x14ac:dyDescent="0.45">
      <c r="B11" s="13"/>
      <c r="D11" s="38">
        <v>25</v>
      </c>
      <c r="E11" s="38">
        <v>26</v>
      </c>
      <c r="F11" s="38">
        <v>27</v>
      </c>
      <c r="G11" s="38">
        <v>28</v>
      </c>
      <c r="H11" s="38">
        <v>29</v>
      </c>
      <c r="I11" s="38">
        <v>30</v>
      </c>
      <c r="W11" s="14"/>
    </row>
    <row r="12" spans="2:23" x14ac:dyDescent="0.45">
      <c r="B12" s="13"/>
      <c r="D12" s="38">
        <v>31</v>
      </c>
      <c r="E12" s="38">
        <v>32</v>
      </c>
      <c r="F12" s="38">
        <v>33</v>
      </c>
      <c r="G12" s="38">
        <v>34</v>
      </c>
      <c r="H12" s="38">
        <v>35</v>
      </c>
      <c r="I12" s="38">
        <v>36</v>
      </c>
      <c r="W12" s="14"/>
    </row>
    <row r="13" spans="2:23" ht="10.5" customHeight="1" x14ac:dyDescent="0.45"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8"/>
    </row>
    <row r="14" spans="2:23" x14ac:dyDescent="0.45">
      <c r="B14" s="13"/>
      <c r="C14" s="20" t="s">
        <v>299</v>
      </c>
      <c r="J14" s="20" t="s">
        <v>298</v>
      </c>
      <c r="Q14" s="20" t="s">
        <v>297</v>
      </c>
      <c r="W14" s="14"/>
    </row>
    <row r="15" spans="2:23" x14ac:dyDescent="0.45">
      <c r="B15" s="13"/>
      <c r="C15" s="22" t="s">
        <v>289</v>
      </c>
      <c r="J15" s="22" t="s">
        <v>290</v>
      </c>
      <c r="Q15" s="22" t="s">
        <v>291</v>
      </c>
      <c r="W15" s="14"/>
    </row>
    <row r="16" spans="2:23" x14ac:dyDescent="0.45">
      <c r="B16" s="13"/>
      <c r="C16" s="9" cm="1">
        <f t="array" ref="C16:H21">MooreSelectλ(Neighborhood,1)</f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J16" s="9" cm="1">
        <f t="array" ref="J16:O21">MooreSelectλ(Neighborhood,2)</f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Q16" s="9" cm="1">
        <f t="array" ref="Q16:V21">MooreSelectλ(Neighborhood,3)</f>
        <v>0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14"/>
    </row>
    <row r="17" spans="2:23" x14ac:dyDescent="0.45">
      <c r="B17" s="13"/>
      <c r="C17" s="9">
        <v>0</v>
      </c>
      <c r="D17" s="9">
        <v>1</v>
      </c>
      <c r="E17" s="9">
        <v>2</v>
      </c>
      <c r="F17" s="9">
        <v>3</v>
      </c>
      <c r="G17" s="9">
        <v>4</v>
      </c>
      <c r="H17" s="9">
        <v>5</v>
      </c>
      <c r="J17" s="9">
        <v>1</v>
      </c>
      <c r="K17" s="9">
        <v>2</v>
      </c>
      <c r="L17" s="9">
        <v>3</v>
      </c>
      <c r="M17" s="9">
        <v>4</v>
      </c>
      <c r="N17" s="9">
        <v>5</v>
      </c>
      <c r="O17" s="9">
        <v>6</v>
      </c>
      <c r="Q17" s="9">
        <v>2</v>
      </c>
      <c r="R17" s="9">
        <v>3</v>
      </c>
      <c r="S17" s="9">
        <v>4</v>
      </c>
      <c r="T17" s="9">
        <v>5</v>
      </c>
      <c r="U17" s="9">
        <v>6</v>
      </c>
      <c r="V17" s="9">
        <v>0</v>
      </c>
      <c r="W17" s="14"/>
    </row>
    <row r="18" spans="2:23" x14ac:dyDescent="0.45">
      <c r="B18" s="13"/>
      <c r="C18" s="9">
        <v>0</v>
      </c>
      <c r="D18" s="9">
        <v>7</v>
      </c>
      <c r="E18" s="9">
        <v>8</v>
      </c>
      <c r="F18" s="9">
        <v>9</v>
      </c>
      <c r="G18" s="9">
        <v>10</v>
      </c>
      <c r="H18" s="9">
        <v>11</v>
      </c>
      <c r="J18" s="9">
        <v>7</v>
      </c>
      <c r="K18" s="9">
        <v>8</v>
      </c>
      <c r="L18" s="9">
        <v>9</v>
      </c>
      <c r="M18" s="9">
        <v>10</v>
      </c>
      <c r="N18" s="9">
        <v>11</v>
      </c>
      <c r="O18" s="9">
        <v>12</v>
      </c>
      <c r="Q18" s="9">
        <v>8</v>
      </c>
      <c r="R18" s="9">
        <v>9</v>
      </c>
      <c r="S18" s="9">
        <v>10</v>
      </c>
      <c r="T18" s="9">
        <v>11</v>
      </c>
      <c r="U18" s="9">
        <v>12</v>
      </c>
      <c r="V18" s="9">
        <v>0</v>
      </c>
      <c r="W18" s="14"/>
    </row>
    <row r="19" spans="2:23" x14ac:dyDescent="0.45">
      <c r="B19" s="13"/>
      <c r="C19" s="9">
        <v>0</v>
      </c>
      <c r="D19" s="9">
        <v>13</v>
      </c>
      <c r="E19" s="9">
        <v>14</v>
      </c>
      <c r="F19" s="9">
        <v>15</v>
      </c>
      <c r="G19" s="9">
        <v>16</v>
      </c>
      <c r="H19" s="9">
        <v>17</v>
      </c>
      <c r="J19" s="9">
        <v>13</v>
      </c>
      <c r="K19" s="9">
        <v>14</v>
      </c>
      <c r="L19" s="9">
        <v>15</v>
      </c>
      <c r="M19" s="9">
        <v>16</v>
      </c>
      <c r="N19" s="9">
        <v>17</v>
      </c>
      <c r="O19" s="9">
        <v>18</v>
      </c>
      <c r="Q19" s="9">
        <v>14</v>
      </c>
      <c r="R19" s="9">
        <v>15</v>
      </c>
      <c r="S19" s="9">
        <v>16</v>
      </c>
      <c r="T19" s="9">
        <v>17</v>
      </c>
      <c r="U19" s="9">
        <v>18</v>
      </c>
      <c r="V19" s="9">
        <v>0</v>
      </c>
      <c r="W19" s="14"/>
    </row>
    <row r="20" spans="2:23" x14ac:dyDescent="0.45">
      <c r="B20" s="13"/>
      <c r="C20" s="9">
        <v>0</v>
      </c>
      <c r="D20" s="9">
        <v>19</v>
      </c>
      <c r="E20" s="9">
        <v>20</v>
      </c>
      <c r="F20" s="9">
        <v>21</v>
      </c>
      <c r="G20" s="9">
        <v>22</v>
      </c>
      <c r="H20" s="9">
        <v>23</v>
      </c>
      <c r="J20" s="9">
        <v>19</v>
      </c>
      <c r="K20" s="9">
        <v>20</v>
      </c>
      <c r="L20" s="9">
        <v>21</v>
      </c>
      <c r="M20" s="9">
        <v>22</v>
      </c>
      <c r="N20" s="9">
        <v>23</v>
      </c>
      <c r="O20" s="9">
        <v>24</v>
      </c>
      <c r="Q20" s="9">
        <v>20</v>
      </c>
      <c r="R20" s="9">
        <v>21</v>
      </c>
      <c r="S20" s="9">
        <v>22</v>
      </c>
      <c r="T20" s="9">
        <v>23</v>
      </c>
      <c r="U20" s="9">
        <v>24</v>
      </c>
      <c r="V20" s="9">
        <v>0</v>
      </c>
      <c r="W20" s="14"/>
    </row>
    <row r="21" spans="2:23" x14ac:dyDescent="0.45">
      <c r="B21" s="13"/>
      <c r="C21" s="9">
        <v>0</v>
      </c>
      <c r="D21" s="9">
        <v>25</v>
      </c>
      <c r="E21" s="9">
        <v>26</v>
      </c>
      <c r="F21" s="9">
        <v>27</v>
      </c>
      <c r="G21" s="9">
        <v>28</v>
      </c>
      <c r="H21" s="9">
        <v>29</v>
      </c>
      <c r="J21" s="9">
        <v>25</v>
      </c>
      <c r="K21" s="9">
        <v>26</v>
      </c>
      <c r="L21" s="9">
        <v>27</v>
      </c>
      <c r="M21" s="9">
        <v>28</v>
      </c>
      <c r="N21" s="9">
        <v>29</v>
      </c>
      <c r="O21" s="9">
        <v>30</v>
      </c>
      <c r="Q21" s="9">
        <v>26</v>
      </c>
      <c r="R21" s="9">
        <v>27</v>
      </c>
      <c r="S21" s="9">
        <v>28</v>
      </c>
      <c r="T21" s="9">
        <v>29</v>
      </c>
      <c r="U21" s="9">
        <v>30</v>
      </c>
      <c r="V21" s="9">
        <v>0</v>
      </c>
      <c r="W21" s="14"/>
    </row>
    <row r="22" spans="2:23" x14ac:dyDescent="0.45">
      <c r="B22" s="13"/>
      <c r="C22" s="20" t="s">
        <v>300</v>
      </c>
      <c r="Q22" s="20" t="s">
        <v>301</v>
      </c>
      <c r="W22" s="14"/>
    </row>
    <row r="23" spans="2:23" x14ac:dyDescent="0.45">
      <c r="B23" s="13"/>
      <c r="C23" s="22" t="s">
        <v>292</v>
      </c>
      <c r="Q23" s="26" t="s">
        <v>293</v>
      </c>
      <c r="W23" s="14"/>
    </row>
    <row r="24" spans="2:23" x14ac:dyDescent="0.45">
      <c r="B24" s="13"/>
      <c r="C24" s="9" cm="1">
        <f t="array" ref="C24:H29">MooreSelectλ(Neighborhood,4)</f>
        <v>0</v>
      </c>
      <c r="D24" s="9">
        <v>1</v>
      </c>
      <c r="E24" s="9">
        <v>2</v>
      </c>
      <c r="F24" s="9">
        <v>3</v>
      </c>
      <c r="G24" s="9">
        <v>4</v>
      </c>
      <c r="H24" s="9">
        <v>5</v>
      </c>
      <c r="Q24" s="9" cm="1">
        <f t="array" ref="Q24:V29">MooreSelectλ(Neighborhood,6)</f>
        <v>2</v>
      </c>
      <c r="R24" s="9">
        <v>3</v>
      </c>
      <c r="S24" s="9">
        <v>4</v>
      </c>
      <c r="T24" s="9">
        <v>5</v>
      </c>
      <c r="U24" s="9">
        <v>6</v>
      </c>
      <c r="V24" s="9">
        <v>0</v>
      </c>
      <c r="W24" s="14"/>
    </row>
    <row r="25" spans="2:23" x14ac:dyDescent="0.45">
      <c r="B25" s="13"/>
      <c r="C25" s="9">
        <v>0</v>
      </c>
      <c r="D25" s="9">
        <v>7</v>
      </c>
      <c r="E25" s="9">
        <v>8</v>
      </c>
      <c r="F25" s="9">
        <v>9</v>
      </c>
      <c r="G25" s="9">
        <v>10</v>
      </c>
      <c r="H25" s="9">
        <v>11</v>
      </c>
      <c r="Q25" s="9">
        <v>8</v>
      </c>
      <c r="R25" s="9">
        <v>9</v>
      </c>
      <c r="S25" s="9">
        <v>10</v>
      </c>
      <c r="T25" s="9">
        <v>11</v>
      </c>
      <c r="U25" s="9">
        <v>12</v>
      </c>
      <c r="V25" s="9">
        <v>0</v>
      </c>
      <c r="W25" s="14"/>
    </row>
    <row r="26" spans="2:23" x14ac:dyDescent="0.45">
      <c r="B26" s="13"/>
      <c r="C26" s="9">
        <v>0</v>
      </c>
      <c r="D26" s="9">
        <v>13</v>
      </c>
      <c r="E26" s="9">
        <v>14</v>
      </c>
      <c r="F26" s="9">
        <v>15</v>
      </c>
      <c r="G26" s="9">
        <v>16</v>
      </c>
      <c r="H26" s="9">
        <v>17</v>
      </c>
      <c r="J26" s="21" t="s">
        <v>305</v>
      </c>
      <c r="Q26" s="9">
        <v>14</v>
      </c>
      <c r="R26" s="9">
        <v>15</v>
      </c>
      <c r="S26" s="9">
        <v>16</v>
      </c>
      <c r="T26" s="9">
        <v>17</v>
      </c>
      <c r="U26" s="9">
        <v>18</v>
      </c>
      <c r="V26" s="9">
        <v>0</v>
      </c>
      <c r="W26" s="14"/>
    </row>
    <row r="27" spans="2:23" x14ac:dyDescent="0.45">
      <c r="B27" s="13"/>
      <c r="C27" s="9">
        <v>0</v>
      </c>
      <c r="D27" s="9">
        <v>19</v>
      </c>
      <c r="E27" s="9">
        <v>20</v>
      </c>
      <c r="F27" s="9">
        <v>21</v>
      </c>
      <c r="G27" s="9">
        <v>22</v>
      </c>
      <c r="H27" s="9">
        <v>23</v>
      </c>
      <c r="Q27" s="9">
        <v>20</v>
      </c>
      <c r="R27" s="9">
        <v>21</v>
      </c>
      <c r="S27" s="9">
        <v>22</v>
      </c>
      <c r="T27" s="9">
        <v>23</v>
      </c>
      <c r="U27" s="9">
        <v>24</v>
      </c>
      <c r="V27" s="9">
        <v>0</v>
      </c>
      <c r="W27" s="14"/>
    </row>
    <row r="28" spans="2:23" x14ac:dyDescent="0.45">
      <c r="B28" s="13"/>
      <c r="C28" s="9">
        <v>0</v>
      </c>
      <c r="D28" s="9">
        <v>25</v>
      </c>
      <c r="E28" s="9">
        <v>26</v>
      </c>
      <c r="F28" s="9">
        <v>27</v>
      </c>
      <c r="G28" s="9">
        <v>28</v>
      </c>
      <c r="H28" s="9">
        <v>29</v>
      </c>
      <c r="Q28" s="9">
        <v>26</v>
      </c>
      <c r="R28" s="9">
        <v>27</v>
      </c>
      <c r="S28" s="9">
        <v>28</v>
      </c>
      <c r="T28" s="9">
        <v>29</v>
      </c>
      <c r="U28" s="9">
        <v>30</v>
      </c>
      <c r="V28" s="9">
        <v>0</v>
      </c>
      <c r="W28" s="14"/>
    </row>
    <row r="29" spans="2:23" x14ac:dyDescent="0.45">
      <c r="B29" s="13"/>
      <c r="C29" s="9">
        <v>0</v>
      </c>
      <c r="D29" s="9">
        <v>31</v>
      </c>
      <c r="E29" s="9">
        <v>32</v>
      </c>
      <c r="F29" s="9">
        <v>33</v>
      </c>
      <c r="G29" s="9">
        <v>34</v>
      </c>
      <c r="H29" s="9">
        <v>35</v>
      </c>
      <c r="Q29" s="9">
        <v>32</v>
      </c>
      <c r="R29" s="9">
        <v>33</v>
      </c>
      <c r="S29" s="9">
        <v>34</v>
      </c>
      <c r="T29" s="9">
        <v>35</v>
      </c>
      <c r="U29" s="9">
        <v>36</v>
      </c>
      <c r="V29" s="9">
        <v>0</v>
      </c>
      <c r="W29" s="14"/>
    </row>
    <row r="30" spans="2:23" x14ac:dyDescent="0.45">
      <c r="B30" s="13"/>
      <c r="C30" s="20" t="s">
        <v>302</v>
      </c>
      <c r="J30" s="20" t="s">
        <v>303</v>
      </c>
      <c r="Q30" s="20" t="s">
        <v>304</v>
      </c>
      <c r="W30" s="14"/>
    </row>
    <row r="31" spans="2:23" x14ac:dyDescent="0.45">
      <c r="B31" s="13"/>
      <c r="C31" s="22" t="s">
        <v>294</v>
      </c>
      <c r="J31" s="22" t="s">
        <v>295</v>
      </c>
      <c r="Q31" s="22" t="s">
        <v>296</v>
      </c>
      <c r="W31" s="14"/>
    </row>
    <row r="32" spans="2:23" x14ac:dyDescent="0.45">
      <c r="B32" s="13"/>
      <c r="C32" s="9" cm="1">
        <f t="array" ref="C32:H37">MooreSelectλ(Neighborhood,7)</f>
        <v>0</v>
      </c>
      <c r="D32" s="9">
        <v>7</v>
      </c>
      <c r="E32" s="9">
        <v>8</v>
      </c>
      <c r="F32" s="9">
        <v>9</v>
      </c>
      <c r="G32" s="9">
        <v>10</v>
      </c>
      <c r="H32" s="9">
        <v>11</v>
      </c>
      <c r="J32" s="9" cm="1">
        <f t="array" ref="J32:O37">MooreSelectλ(Neighborhood,8)</f>
        <v>7</v>
      </c>
      <c r="K32" s="9">
        <v>8</v>
      </c>
      <c r="L32" s="9">
        <v>9</v>
      </c>
      <c r="M32" s="9">
        <v>10</v>
      </c>
      <c r="N32" s="9">
        <v>11</v>
      </c>
      <c r="O32" s="9">
        <v>12</v>
      </c>
      <c r="Q32" s="9" cm="1">
        <f t="array" ref="Q32:V37">MooreSelectλ(Neighborhood,9)</f>
        <v>8</v>
      </c>
      <c r="R32" s="9">
        <v>9</v>
      </c>
      <c r="S32" s="9">
        <v>10</v>
      </c>
      <c r="T32" s="9">
        <v>11</v>
      </c>
      <c r="U32" s="9">
        <v>12</v>
      </c>
      <c r="V32" s="9">
        <v>0</v>
      </c>
      <c r="W32" s="14"/>
    </row>
    <row r="33" spans="2:23" x14ac:dyDescent="0.45">
      <c r="B33" s="13"/>
      <c r="C33" s="9">
        <v>0</v>
      </c>
      <c r="D33" s="9">
        <v>13</v>
      </c>
      <c r="E33" s="9">
        <v>14</v>
      </c>
      <c r="F33" s="9">
        <v>15</v>
      </c>
      <c r="G33" s="9">
        <v>16</v>
      </c>
      <c r="H33" s="9">
        <v>17</v>
      </c>
      <c r="J33" s="9">
        <v>13</v>
      </c>
      <c r="K33" s="9">
        <v>14</v>
      </c>
      <c r="L33" s="9">
        <v>15</v>
      </c>
      <c r="M33" s="9">
        <v>16</v>
      </c>
      <c r="N33" s="9">
        <v>17</v>
      </c>
      <c r="O33" s="9">
        <v>18</v>
      </c>
      <c r="Q33" s="9">
        <v>14</v>
      </c>
      <c r="R33" s="9">
        <v>15</v>
      </c>
      <c r="S33" s="9">
        <v>16</v>
      </c>
      <c r="T33" s="9">
        <v>17</v>
      </c>
      <c r="U33" s="9">
        <v>18</v>
      </c>
      <c r="V33" s="9">
        <v>0</v>
      </c>
      <c r="W33" s="14"/>
    </row>
    <row r="34" spans="2:23" x14ac:dyDescent="0.45">
      <c r="B34" s="13"/>
      <c r="C34" s="9">
        <v>0</v>
      </c>
      <c r="D34" s="9">
        <v>19</v>
      </c>
      <c r="E34" s="9">
        <v>20</v>
      </c>
      <c r="F34" s="9">
        <v>21</v>
      </c>
      <c r="G34" s="9">
        <v>22</v>
      </c>
      <c r="H34" s="9">
        <v>23</v>
      </c>
      <c r="J34" s="9">
        <v>19</v>
      </c>
      <c r="K34" s="9">
        <v>20</v>
      </c>
      <c r="L34" s="9">
        <v>21</v>
      </c>
      <c r="M34" s="9">
        <v>22</v>
      </c>
      <c r="N34" s="9">
        <v>23</v>
      </c>
      <c r="O34" s="9">
        <v>24</v>
      </c>
      <c r="Q34" s="9">
        <v>20</v>
      </c>
      <c r="R34" s="9">
        <v>21</v>
      </c>
      <c r="S34" s="9">
        <v>22</v>
      </c>
      <c r="T34" s="9">
        <v>23</v>
      </c>
      <c r="U34" s="9">
        <v>24</v>
      </c>
      <c r="V34" s="9">
        <v>0</v>
      </c>
      <c r="W34" s="14"/>
    </row>
    <row r="35" spans="2:23" x14ac:dyDescent="0.45">
      <c r="B35" s="13"/>
      <c r="C35" s="9">
        <v>0</v>
      </c>
      <c r="D35" s="9">
        <v>25</v>
      </c>
      <c r="E35" s="9">
        <v>26</v>
      </c>
      <c r="F35" s="9">
        <v>27</v>
      </c>
      <c r="G35" s="9">
        <v>28</v>
      </c>
      <c r="H35" s="9">
        <v>29</v>
      </c>
      <c r="J35" s="9">
        <v>25</v>
      </c>
      <c r="K35" s="9">
        <v>26</v>
      </c>
      <c r="L35" s="9">
        <v>27</v>
      </c>
      <c r="M35" s="9">
        <v>28</v>
      </c>
      <c r="N35" s="9">
        <v>29</v>
      </c>
      <c r="O35" s="9">
        <v>30</v>
      </c>
      <c r="Q35" s="9">
        <v>26</v>
      </c>
      <c r="R35" s="9">
        <v>27</v>
      </c>
      <c r="S35" s="9">
        <v>28</v>
      </c>
      <c r="T35" s="9">
        <v>29</v>
      </c>
      <c r="U35" s="9">
        <v>30</v>
      </c>
      <c r="V35" s="9">
        <v>0</v>
      </c>
      <c r="W35" s="14"/>
    </row>
    <row r="36" spans="2:23" x14ac:dyDescent="0.45">
      <c r="B36" s="13"/>
      <c r="C36" s="9">
        <v>0</v>
      </c>
      <c r="D36" s="9">
        <v>31</v>
      </c>
      <c r="E36" s="9">
        <v>32</v>
      </c>
      <c r="F36" s="9">
        <v>33</v>
      </c>
      <c r="G36" s="9">
        <v>34</v>
      </c>
      <c r="H36" s="9">
        <v>35</v>
      </c>
      <c r="J36" s="9">
        <v>31</v>
      </c>
      <c r="K36" s="9">
        <v>32</v>
      </c>
      <c r="L36" s="9">
        <v>33</v>
      </c>
      <c r="M36" s="9">
        <v>34</v>
      </c>
      <c r="N36" s="9">
        <v>35</v>
      </c>
      <c r="O36" s="9">
        <v>36</v>
      </c>
      <c r="Q36" s="9">
        <v>32</v>
      </c>
      <c r="R36" s="9">
        <v>33</v>
      </c>
      <c r="S36" s="9">
        <v>34</v>
      </c>
      <c r="T36" s="9">
        <v>35</v>
      </c>
      <c r="U36" s="9">
        <v>36</v>
      </c>
      <c r="V36" s="9">
        <v>0</v>
      </c>
      <c r="W36" s="14"/>
    </row>
    <row r="37" spans="2:23" x14ac:dyDescent="0.45">
      <c r="B37" s="13"/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Q37" s="9">
        <v>0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14"/>
    </row>
    <row r="38" spans="2:23" x14ac:dyDescent="0.45">
      <c r="B38" s="13"/>
      <c r="W38" s="14"/>
    </row>
    <row r="39" spans="2:23" x14ac:dyDescent="0.45">
      <c r="B39" s="16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8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B9A03-3CBB-42BC-BBA2-E1A06326B7A3}">
  <sheetPr>
    <tabColor rgb="FFD7CDEB"/>
  </sheetPr>
  <dimension ref="B2:R38"/>
  <sheetViews>
    <sheetView workbookViewId="0"/>
  </sheetViews>
  <sheetFormatPr defaultRowHeight="16.5" x14ac:dyDescent="0.45"/>
  <cols>
    <col min="1" max="1" width="5" customWidth="1"/>
    <col min="2" max="2" width="6" customWidth="1"/>
    <col min="3" max="3" width="6.9140625" customWidth="1"/>
    <col min="5" max="5" width="13.08203125" customWidth="1"/>
    <col min="6" max="8" width="4.58203125" customWidth="1"/>
    <col min="9" max="9" width="7.4140625" customWidth="1"/>
    <col min="10" max="10" width="4.58203125" customWidth="1"/>
    <col min="11" max="11" width="5.33203125" customWidth="1"/>
    <col min="12" max="12" width="4.58203125" customWidth="1"/>
    <col min="14" max="14" width="12.08203125" customWidth="1"/>
    <col min="15" max="16" width="8.58203125" customWidth="1"/>
    <col min="17" max="17" width="12.25" bestFit="1" customWidth="1"/>
  </cols>
  <sheetData>
    <row r="2" spans="2:18" x14ac:dyDescent="0.45">
      <c r="B2" s="30" t="s">
        <v>307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2"/>
    </row>
    <row r="3" spans="2:18" x14ac:dyDescent="0.45">
      <c r="B3" s="13" t="s">
        <v>308</v>
      </c>
      <c r="R3" s="14"/>
    </row>
    <row r="4" spans="2:18" x14ac:dyDescent="0.45">
      <c r="B4" s="15" t="s">
        <v>43</v>
      </c>
      <c r="R4" s="14"/>
    </row>
    <row r="5" spans="2:18" x14ac:dyDescent="0.45">
      <c r="B5" s="13" t="s">
        <v>309</v>
      </c>
      <c r="R5" s="14"/>
    </row>
    <row r="6" spans="2:18" x14ac:dyDescent="0.45">
      <c r="B6" s="13" t="s">
        <v>310</v>
      </c>
      <c r="R6" s="14"/>
    </row>
    <row r="7" spans="2:18" x14ac:dyDescent="0.45">
      <c r="B7" s="16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8"/>
    </row>
    <row r="8" spans="2:18" x14ac:dyDescent="0.45">
      <c r="B8" s="13"/>
      <c r="C8" s="27" t="s">
        <v>311</v>
      </c>
      <c r="F8" s="20" t="s">
        <v>313</v>
      </c>
      <c r="J8" s="20" t="s">
        <v>315</v>
      </c>
      <c r="N8" s="20" t="s">
        <v>317</v>
      </c>
      <c r="R8" s="14"/>
    </row>
    <row r="9" spans="2:18" x14ac:dyDescent="0.45">
      <c r="B9" s="13"/>
      <c r="C9" s="189">
        <v>26</v>
      </c>
      <c r="F9" s="22" t="s">
        <v>312</v>
      </c>
      <c r="J9" s="22" t="s">
        <v>314</v>
      </c>
      <c r="N9" s="22" t="s">
        <v>316</v>
      </c>
      <c r="R9" s="14"/>
    </row>
    <row r="10" spans="2:18" x14ac:dyDescent="0.45">
      <c r="B10" s="13"/>
      <c r="C10" s="189">
        <v>30</v>
      </c>
      <c r="F10" s="9" t="str" cm="1">
        <f t="array" ref="F10:H18">Histogramλ(WillowTrees)</f>
        <v>Start</v>
      </c>
      <c r="G10" s="9" t="str">
        <v>End</v>
      </c>
      <c r="H10" s="9" t="str">
        <v>Total</v>
      </c>
      <c r="J10" s="66" t="str" cm="1">
        <f t="array" ref="J10:L15">Histogramλ(WillowTrees,10)</f>
        <v>Start</v>
      </c>
      <c r="K10" s="66" t="str">
        <v>End</v>
      </c>
      <c r="L10" s="66" t="str">
        <v>Total</v>
      </c>
      <c r="N10" s="66" t="str" cm="1">
        <f t="array" ref="N10:Q18">Histogramλ(WillowTrees,,TRUE)</f>
        <v>Start</v>
      </c>
      <c r="O10" s="66" t="str">
        <v>End</v>
      </c>
      <c r="P10" s="66" t="str">
        <v>Total</v>
      </c>
      <c r="Q10" s="66" t="str">
        <v>Cumulative %</v>
      </c>
      <c r="R10" s="14"/>
    </row>
    <row r="11" spans="2:18" x14ac:dyDescent="0.45">
      <c r="B11" s="13"/>
      <c r="C11" s="189">
        <v>47</v>
      </c>
      <c r="F11" s="66" t="str">
        <v>&lt;</v>
      </c>
      <c r="G11" s="66">
        <v>15.5</v>
      </c>
      <c r="H11" s="9">
        <v>0</v>
      </c>
      <c r="J11" s="66" t="str">
        <v>&lt;</v>
      </c>
      <c r="K11" s="66">
        <v>10</v>
      </c>
      <c r="L11" s="66">
        <v>0</v>
      </c>
      <c r="N11" s="66">
        <v>25.833333333333336</v>
      </c>
      <c r="O11" s="66">
        <v>31.000000000000004</v>
      </c>
      <c r="P11" s="66">
        <v>4</v>
      </c>
      <c r="Q11" s="149">
        <v>0.25</v>
      </c>
      <c r="R11" s="14"/>
    </row>
    <row r="12" spans="2:18" x14ac:dyDescent="0.45">
      <c r="B12" s="13"/>
      <c r="C12" s="189">
        <v>40</v>
      </c>
      <c r="F12" s="66">
        <v>15.5</v>
      </c>
      <c r="G12" s="66">
        <v>20.666666666666668</v>
      </c>
      <c r="H12" s="9">
        <v>1</v>
      </c>
      <c r="J12" s="66">
        <v>10</v>
      </c>
      <c r="K12" s="66">
        <v>20</v>
      </c>
      <c r="L12" s="66">
        <v>1</v>
      </c>
      <c r="N12" s="66">
        <v>31.000000000000004</v>
      </c>
      <c r="O12" s="66">
        <v>36.166666666666671</v>
      </c>
      <c r="P12" s="66">
        <v>3</v>
      </c>
      <c r="Q12" s="149">
        <v>0.1875</v>
      </c>
      <c r="R12" s="14"/>
    </row>
    <row r="13" spans="2:18" x14ac:dyDescent="0.45">
      <c r="B13" s="13"/>
      <c r="C13" s="189">
        <v>40</v>
      </c>
      <c r="F13" s="66">
        <v>20.666666666666668</v>
      </c>
      <c r="G13" s="66">
        <v>25.833333333333336</v>
      </c>
      <c r="H13" s="9">
        <v>1</v>
      </c>
      <c r="J13" s="66">
        <v>20</v>
      </c>
      <c r="K13" s="66">
        <v>30</v>
      </c>
      <c r="L13" s="66">
        <v>5</v>
      </c>
      <c r="N13" s="66">
        <v>36.166666666666671</v>
      </c>
      <c r="O13" s="66">
        <v>41.333333333333336</v>
      </c>
      <c r="P13" s="66">
        <v>3</v>
      </c>
      <c r="Q13" s="149">
        <v>0.1875</v>
      </c>
      <c r="R13" s="14"/>
    </row>
    <row r="14" spans="2:18" x14ac:dyDescent="0.45">
      <c r="B14" s="13"/>
      <c r="C14" s="189">
        <v>37</v>
      </c>
      <c r="F14" s="66">
        <v>25.833333333333336</v>
      </c>
      <c r="G14" s="66">
        <v>31.000000000000004</v>
      </c>
      <c r="H14" s="9">
        <v>4</v>
      </c>
      <c r="J14" s="66">
        <v>30</v>
      </c>
      <c r="K14" s="66">
        <v>40</v>
      </c>
      <c r="L14" s="66">
        <v>6</v>
      </c>
      <c r="N14" s="66">
        <v>41.333333333333336</v>
      </c>
      <c r="O14" s="66">
        <v>46.5</v>
      </c>
      <c r="P14" s="66">
        <v>2</v>
      </c>
      <c r="Q14" s="149">
        <v>0.125</v>
      </c>
      <c r="R14" s="14"/>
    </row>
    <row r="15" spans="2:18" x14ac:dyDescent="0.45">
      <c r="B15" s="13"/>
      <c r="C15" s="189">
        <v>30</v>
      </c>
      <c r="F15" s="66">
        <v>31.000000000000004</v>
      </c>
      <c r="G15" s="66">
        <v>36.166666666666671</v>
      </c>
      <c r="H15" s="9">
        <v>3</v>
      </c>
      <c r="J15" s="66">
        <v>40</v>
      </c>
      <c r="K15" s="66">
        <v>50</v>
      </c>
      <c r="L15" s="66">
        <v>4</v>
      </c>
      <c r="N15" s="66">
        <v>46.5</v>
      </c>
      <c r="O15" s="66">
        <v>51.666666666666664</v>
      </c>
      <c r="P15" s="66">
        <v>2</v>
      </c>
      <c r="Q15" s="149">
        <v>0.125</v>
      </c>
      <c r="R15" s="14"/>
    </row>
    <row r="16" spans="2:18" x14ac:dyDescent="0.45">
      <c r="B16" s="13"/>
      <c r="C16" s="189">
        <v>42</v>
      </c>
      <c r="F16" s="66">
        <v>36.166666666666671</v>
      </c>
      <c r="G16" s="66">
        <v>41.333333333333336</v>
      </c>
      <c r="H16" s="9">
        <v>3</v>
      </c>
      <c r="N16" s="66">
        <v>15.5</v>
      </c>
      <c r="O16" s="66">
        <v>20.666666666666668</v>
      </c>
      <c r="P16" s="66">
        <v>1</v>
      </c>
      <c r="Q16" s="149">
        <v>6.25E-2</v>
      </c>
      <c r="R16" s="14"/>
    </row>
    <row r="17" spans="2:18" x14ac:dyDescent="0.45">
      <c r="B17" s="13"/>
      <c r="C17" s="189">
        <v>22</v>
      </c>
      <c r="F17" s="66">
        <v>41.333333333333336</v>
      </c>
      <c r="G17" s="66">
        <v>46.5</v>
      </c>
      <c r="H17" s="9">
        <v>2</v>
      </c>
      <c r="N17" s="66">
        <v>20.666666666666668</v>
      </c>
      <c r="O17" s="66">
        <v>25.833333333333336</v>
      </c>
      <c r="P17" s="66">
        <v>1</v>
      </c>
      <c r="Q17" s="149">
        <v>6.25E-2</v>
      </c>
      <c r="R17" s="14"/>
    </row>
    <row r="18" spans="2:18" x14ac:dyDescent="0.45">
      <c r="B18" s="13"/>
      <c r="C18" s="189">
        <v>30</v>
      </c>
      <c r="F18" s="66">
        <v>46.5</v>
      </c>
      <c r="G18" s="66">
        <v>51.666666666666664</v>
      </c>
      <c r="H18" s="9">
        <v>2</v>
      </c>
      <c r="N18" s="66" t="str">
        <v>&lt;</v>
      </c>
      <c r="O18" s="66">
        <v>15.5</v>
      </c>
      <c r="P18" s="66">
        <v>0</v>
      </c>
      <c r="Q18" s="149">
        <v>0</v>
      </c>
      <c r="R18" s="14"/>
    </row>
    <row r="19" spans="2:18" x14ac:dyDescent="0.45">
      <c r="B19" s="13"/>
      <c r="C19" s="189">
        <v>16</v>
      </c>
      <c r="R19" s="14"/>
    </row>
    <row r="20" spans="2:18" x14ac:dyDescent="0.45">
      <c r="B20" s="13"/>
      <c r="C20" s="189">
        <v>36</v>
      </c>
      <c r="R20" s="14"/>
    </row>
    <row r="21" spans="2:18" x14ac:dyDescent="0.45">
      <c r="B21" s="13"/>
      <c r="C21" s="189">
        <v>47</v>
      </c>
      <c r="R21" s="14"/>
    </row>
    <row r="22" spans="2:18" x14ac:dyDescent="0.45">
      <c r="B22" s="13"/>
      <c r="C22" s="189">
        <v>46</v>
      </c>
      <c r="R22" s="14"/>
    </row>
    <row r="23" spans="2:18" x14ac:dyDescent="0.45">
      <c r="B23" s="13"/>
      <c r="C23" s="189">
        <v>33</v>
      </c>
      <c r="R23" s="14"/>
    </row>
    <row r="24" spans="2:18" x14ac:dyDescent="0.45">
      <c r="B24" s="13"/>
      <c r="C24" s="189">
        <v>34</v>
      </c>
      <c r="R24" s="14"/>
    </row>
    <row r="25" spans="2:18" x14ac:dyDescent="0.45"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8"/>
    </row>
    <row r="26" spans="2:18" x14ac:dyDescent="0.45">
      <c r="B26" s="13"/>
      <c r="C26" s="21" t="s">
        <v>319</v>
      </c>
      <c r="F26" s="20" t="s">
        <v>313</v>
      </c>
      <c r="K26" s="20" t="s">
        <v>317</v>
      </c>
      <c r="R26" s="14"/>
    </row>
    <row r="27" spans="2:18" x14ac:dyDescent="0.45">
      <c r="B27" s="190">
        <v>0.8</v>
      </c>
      <c r="C27" s="190">
        <v>1.7</v>
      </c>
      <c r="D27" s="190">
        <v>2.2000000000000002</v>
      </c>
      <c r="F27" s="22" t="s">
        <v>318</v>
      </c>
      <c r="K27" s="22" t="s">
        <v>320</v>
      </c>
      <c r="R27" s="14"/>
    </row>
    <row r="28" spans="2:18" x14ac:dyDescent="0.45">
      <c r="B28" s="190">
        <v>1.8</v>
      </c>
      <c r="C28" s="190">
        <v>0.9</v>
      </c>
      <c r="D28" s="190">
        <v>0.8</v>
      </c>
      <c r="F28" s="150" t="str" cm="1">
        <f t="array" ref="F28:H36">Histogramλ(Snowfall)</f>
        <v>Start</v>
      </c>
      <c r="G28" s="150" t="str">
        <v>End</v>
      </c>
      <c r="H28" s="32" t="str">
        <v>Total</v>
      </c>
      <c r="I28" s="8"/>
      <c r="J28" s="8"/>
      <c r="K28" s="32" t="str" cm="1">
        <f t="array" ref="K28:N36">Histogramλ(Snowfall,,TRUE)</f>
        <v>Start</v>
      </c>
      <c r="L28" s="32" t="str">
        <v>End</v>
      </c>
      <c r="M28" s="9" t="str">
        <v>Total</v>
      </c>
      <c r="N28" s="32" t="str">
        <v>Cumulative %</v>
      </c>
      <c r="R28" s="14"/>
    </row>
    <row r="29" spans="2:18" x14ac:dyDescent="0.45">
      <c r="B29" s="190">
        <v>3</v>
      </c>
      <c r="C29" s="190">
        <v>0.2</v>
      </c>
      <c r="D29" s="190">
        <v>0.9</v>
      </c>
      <c r="F29" s="67" t="str">
        <v>&lt;</v>
      </c>
      <c r="G29" s="67">
        <v>0</v>
      </c>
      <c r="H29" s="32">
        <v>1</v>
      </c>
      <c r="I29" s="8"/>
      <c r="J29" s="8"/>
      <c r="K29" s="32">
        <v>1.6714285714285715</v>
      </c>
      <c r="L29" s="32">
        <v>2.2285714285714286</v>
      </c>
      <c r="M29" s="9">
        <v>8</v>
      </c>
      <c r="N29" s="153">
        <v>0.27586206896551724</v>
      </c>
      <c r="R29" s="14"/>
    </row>
    <row r="30" spans="2:18" x14ac:dyDescent="0.45">
      <c r="B30" s="190">
        <v>2.1</v>
      </c>
      <c r="C30" s="190">
        <v>0.7</v>
      </c>
      <c r="D30" s="190">
        <v>1.3</v>
      </c>
      <c r="F30" s="67">
        <v>0</v>
      </c>
      <c r="G30" s="67">
        <v>0.55714285714285716</v>
      </c>
      <c r="H30" s="32">
        <v>4</v>
      </c>
      <c r="I30" s="8"/>
      <c r="J30" s="8"/>
      <c r="K30" s="32">
        <v>0.55714285714285716</v>
      </c>
      <c r="L30" s="32">
        <v>1.1142857142857143</v>
      </c>
      <c r="M30" s="9">
        <v>7</v>
      </c>
      <c r="N30" s="153">
        <v>0.2413793103448276</v>
      </c>
      <c r="R30" s="14"/>
    </row>
    <row r="31" spans="2:18" x14ac:dyDescent="0.45">
      <c r="B31" s="190">
        <v>3</v>
      </c>
      <c r="C31" s="190">
        <v>1.5</v>
      </c>
      <c r="D31" s="190">
        <v>2.5</v>
      </c>
      <c r="F31" s="67">
        <v>0.55714285714285716</v>
      </c>
      <c r="G31" s="67">
        <v>1.1142857142857143</v>
      </c>
      <c r="H31" s="32">
        <v>7</v>
      </c>
      <c r="I31" s="8"/>
      <c r="J31" s="8"/>
      <c r="K31" s="32">
        <v>0</v>
      </c>
      <c r="L31" s="32">
        <v>0.55714285714285716</v>
      </c>
      <c r="M31" s="9">
        <v>4</v>
      </c>
      <c r="N31" s="153">
        <v>0.13793103448275862</v>
      </c>
      <c r="R31" s="14"/>
    </row>
    <row r="32" spans="2:18" x14ac:dyDescent="0.45">
      <c r="B32" s="190">
        <v>1.7</v>
      </c>
      <c r="C32" s="190">
        <v>0.8</v>
      </c>
      <c r="D32" s="190">
        <v>0.1</v>
      </c>
      <c r="F32" s="67">
        <v>1.1142857142857143</v>
      </c>
      <c r="G32" s="67">
        <v>1.6714285714285715</v>
      </c>
      <c r="H32" s="32">
        <v>2</v>
      </c>
      <c r="I32" s="8"/>
      <c r="J32" s="8"/>
      <c r="K32" s="32">
        <v>2.2285714285714286</v>
      </c>
      <c r="L32" s="32">
        <v>2.7857142857142856</v>
      </c>
      <c r="M32" s="9">
        <v>4</v>
      </c>
      <c r="N32" s="153">
        <v>0.13793103448275862</v>
      </c>
      <c r="R32" s="14"/>
    </row>
    <row r="33" spans="2:18" x14ac:dyDescent="0.45">
      <c r="B33" s="190">
        <v>3.9</v>
      </c>
      <c r="C33" s="190">
        <v>2.6</v>
      </c>
      <c r="D33" s="190">
        <v>1.8</v>
      </c>
      <c r="F33" s="67">
        <v>1.6714285714285715</v>
      </c>
      <c r="G33" s="67">
        <v>2.2285714285714286</v>
      </c>
      <c r="H33" s="32">
        <v>8</v>
      </c>
      <c r="I33" s="8"/>
      <c r="J33" s="8"/>
      <c r="K33" s="32">
        <v>2.7857142857142856</v>
      </c>
      <c r="L33" s="32">
        <v>3.3428571428571425</v>
      </c>
      <c r="M33" s="9">
        <v>3</v>
      </c>
      <c r="N33" s="153">
        <v>0.10344827586206896</v>
      </c>
      <c r="R33" s="14"/>
    </row>
    <row r="34" spans="2:18" x14ac:dyDescent="0.45">
      <c r="B34" s="190">
        <v>2.4</v>
      </c>
      <c r="C34" s="190">
        <v>3</v>
      </c>
      <c r="D34" s="190">
        <v>0.9</v>
      </c>
      <c r="F34" s="67">
        <v>2.2285714285714286</v>
      </c>
      <c r="G34" s="67">
        <v>2.7857142857142856</v>
      </c>
      <c r="H34" s="32">
        <v>4</v>
      </c>
      <c r="I34" s="8"/>
      <c r="J34" s="8"/>
      <c r="K34" s="32">
        <v>1.1142857142857143</v>
      </c>
      <c r="L34" s="32">
        <v>1.6714285714285715</v>
      </c>
      <c r="M34" s="9">
        <v>2</v>
      </c>
      <c r="N34" s="153">
        <v>6.8965517241379309E-2</v>
      </c>
      <c r="R34" s="14"/>
    </row>
    <row r="35" spans="2:18" x14ac:dyDescent="0.45">
      <c r="B35" s="190">
        <v>0.5</v>
      </c>
      <c r="C35" s="190">
        <v>0.3</v>
      </c>
      <c r="D35" s="190">
        <v>0</v>
      </c>
      <c r="F35" s="67">
        <v>2.7857142857142856</v>
      </c>
      <c r="G35" s="67">
        <v>3.3428571428571425</v>
      </c>
      <c r="H35" s="32">
        <v>3</v>
      </c>
      <c r="I35" s="8"/>
      <c r="J35" s="8"/>
      <c r="K35" s="9" t="str">
        <v>&lt;</v>
      </c>
      <c r="L35" s="32">
        <v>0</v>
      </c>
      <c r="M35" s="9">
        <v>1</v>
      </c>
      <c r="N35" s="153">
        <v>3.4482758620689655E-2</v>
      </c>
      <c r="R35" s="14"/>
    </row>
    <row r="36" spans="2:18" x14ac:dyDescent="0.45">
      <c r="B36" s="190">
        <v>1.7</v>
      </c>
      <c r="C36" s="190">
        <v>2.4</v>
      </c>
      <c r="D36" s="190">
        <v>2.1</v>
      </c>
      <c r="F36" s="152">
        <v>3.3428571428571425</v>
      </c>
      <c r="G36" s="152">
        <v>3.8999999999999995</v>
      </c>
      <c r="H36" s="32">
        <v>0</v>
      </c>
      <c r="I36" s="8"/>
      <c r="J36" s="8"/>
      <c r="K36" s="32">
        <v>3.3428571428571425</v>
      </c>
      <c r="L36" s="32">
        <v>3.8999999999999995</v>
      </c>
      <c r="M36" s="9">
        <v>0</v>
      </c>
      <c r="N36" s="153">
        <v>0</v>
      </c>
      <c r="R36" s="14"/>
    </row>
    <row r="37" spans="2:18" x14ac:dyDescent="0.45">
      <c r="B37" s="16"/>
      <c r="C37" s="154"/>
      <c r="D37" s="17"/>
      <c r="E37" s="17"/>
      <c r="F37" s="154"/>
      <c r="G37" s="154"/>
      <c r="H37" s="155"/>
      <c r="I37" s="17"/>
      <c r="J37" s="17"/>
      <c r="K37" s="17"/>
      <c r="L37" s="17"/>
      <c r="M37" s="17"/>
      <c r="N37" s="17"/>
      <c r="O37" s="17"/>
      <c r="P37" s="17"/>
      <c r="Q37" s="17"/>
      <c r="R37" s="18"/>
    </row>
    <row r="38" spans="2:18" x14ac:dyDescent="0.45">
      <c r="C38" s="151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EF0B-5B80-4A77-A3AE-D22EEF6B5FE6}">
  <sheetPr>
    <tabColor rgb="FFD7CDEB"/>
  </sheetPr>
  <dimension ref="B2:L27"/>
  <sheetViews>
    <sheetView workbookViewId="0"/>
  </sheetViews>
  <sheetFormatPr defaultRowHeight="16.5" x14ac:dyDescent="0.45"/>
  <cols>
    <col min="1" max="1" width="5" customWidth="1"/>
    <col min="9" max="9" width="11.08203125" customWidth="1"/>
  </cols>
  <sheetData>
    <row r="2" spans="2:12" x14ac:dyDescent="0.45">
      <c r="B2" s="30" t="s">
        <v>321</v>
      </c>
      <c r="C2" s="11"/>
      <c r="D2" s="11"/>
      <c r="E2" s="11"/>
      <c r="F2" s="11"/>
      <c r="G2" s="11"/>
      <c r="H2" s="11"/>
      <c r="I2" s="11"/>
      <c r="J2" s="11"/>
      <c r="K2" s="11"/>
      <c r="L2" s="12"/>
    </row>
    <row r="3" spans="2:12" x14ac:dyDescent="0.45">
      <c r="B3" s="13" t="s">
        <v>42</v>
      </c>
      <c r="L3" s="14"/>
    </row>
    <row r="4" spans="2:12" x14ac:dyDescent="0.45">
      <c r="B4" s="15" t="s">
        <v>43</v>
      </c>
      <c r="L4" s="14"/>
    </row>
    <row r="5" spans="2:12" x14ac:dyDescent="0.45">
      <c r="B5" s="13" t="s">
        <v>322</v>
      </c>
      <c r="L5" s="14"/>
    </row>
    <row r="6" spans="2:12" x14ac:dyDescent="0.45">
      <c r="B6" s="16"/>
      <c r="C6" s="17"/>
      <c r="D6" s="17"/>
      <c r="E6" s="17"/>
      <c r="F6" s="17"/>
      <c r="G6" s="17"/>
      <c r="H6" s="17"/>
      <c r="I6" s="17"/>
      <c r="J6" s="17"/>
      <c r="K6" s="17"/>
      <c r="L6" s="18"/>
    </row>
    <row r="7" spans="2:12" x14ac:dyDescent="0.45">
      <c r="B7" s="13"/>
      <c r="C7" s="21" t="s">
        <v>323</v>
      </c>
      <c r="H7" s="20" t="s">
        <v>326</v>
      </c>
      <c r="J7" s="20" t="s">
        <v>328</v>
      </c>
      <c r="L7" s="14"/>
    </row>
    <row r="8" spans="2:12" x14ac:dyDescent="0.45">
      <c r="B8" s="13"/>
      <c r="C8" s="191">
        <v>100</v>
      </c>
      <c r="D8" s="191">
        <v>86</v>
      </c>
      <c r="E8" s="191">
        <v>53</v>
      </c>
      <c r="F8" s="191">
        <v>82</v>
      </c>
      <c r="H8" s="22" t="s">
        <v>325</v>
      </c>
      <c r="J8" s="22" t="s">
        <v>327</v>
      </c>
      <c r="L8" s="14"/>
    </row>
    <row r="9" spans="2:12" x14ac:dyDescent="0.45">
      <c r="B9" s="13"/>
      <c r="C9" s="191">
        <v>84</v>
      </c>
      <c r="D9" s="191">
        <v>79</v>
      </c>
      <c r="E9" s="191" t="s">
        <v>324</v>
      </c>
      <c r="F9" s="191">
        <v>51</v>
      </c>
      <c r="G9" s="8"/>
      <c r="H9" s="9" cm="1">
        <f t="array" ref="H9:H10">Modeλ(MixedData)</f>
        <v>90</v>
      </c>
      <c r="I9" s="8"/>
      <c r="J9" s="9" cm="1">
        <f t="array" ref="J9:K10">Modeλ(MixedData,TRUE)</f>
        <v>90</v>
      </c>
      <c r="K9" s="9">
        <v>3</v>
      </c>
      <c r="L9" s="14"/>
    </row>
    <row r="10" spans="2:12" x14ac:dyDescent="0.45">
      <c r="B10" s="13"/>
      <c r="C10" s="191">
        <v>45</v>
      </c>
      <c r="D10" s="191">
        <v>70</v>
      </c>
      <c r="E10" s="191">
        <v>39</v>
      </c>
      <c r="F10" s="191">
        <v>75</v>
      </c>
      <c r="G10" s="8"/>
      <c r="H10" s="9" t="str">
        <v>Waldo</v>
      </c>
      <c r="I10" s="8"/>
      <c r="J10" s="9" t="str">
        <v>Waldo</v>
      </c>
      <c r="K10" s="9">
        <v>3</v>
      </c>
      <c r="L10" s="14"/>
    </row>
    <row r="11" spans="2:12" x14ac:dyDescent="0.45">
      <c r="B11" s="13"/>
      <c r="C11" s="191">
        <v>63</v>
      </c>
      <c r="D11" s="191" t="s">
        <v>324</v>
      </c>
      <c r="E11" s="191">
        <v>35</v>
      </c>
      <c r="F11" s="191">
        <v>39</v>
      </c>
      <c r="L11" s="14"/>
    </row>
    <row r="12" spans="2:12" x14ac:dyDescent="0.45">
      <c r="B12" s="13"/>
      <c r="C12" s="191">
        <v>41</v>
      </c>
      <c r="D12" s="191">
        <v>45</v>
      </c>
      <c r="E12" s="191" t="s">
        <v>324</v>
      </c>
      <c r="F12" s="191">
        <v>44</v>
      </c>
      <c r="L12" s="14"/>
    </row>
    <row r="13" spans="2:12" x14ac:dyDescent="0.45">
      <c r="B13" s="13"/>
      <c r="C13" s="191">
        <v>56</v>
      </c>
      <c r="D13" s="191">
        <v>91</v>
      </c>
      <c r="E13" s="191">
        <v>46</v>
      </c>
      <c r="F13" s="191">
        <v>84</v>
      </c>
      <c r="L13" s="14"/>
    </row>
    <row r="14" spans="2:12" x14ac:dyDescent="0.45">
      <c r="B14" s="13"/>
      <c r="C14" s="191">
        <v>90</v>
      </c>
      <c r="D14" s="191">
        <v>90</v>
      </c>
      <c r="E14" s="191">
        <v>90</v>
      </c>
      <c r="F14" s="191">
        <v>34</v>
      </c>
      <c r="L14" s="14"/>
    </row>
    <row r="15" spans="2:12" x14ac:dyDescent="0.45">
      <c r="B15" s="13"/>
      <c r="C15" s="191">
        <v>48</v>
      </c>
      <c r="D15" s="191">
        <v>36</v>
      </c>
      <c r="E15" s="191">
        <v>64</v>
      </c>
      <c r="F15" s="191">
        <v>74</v>
      </c>
      <c r="L15" s="14"/>
    </row>
    <row r="16" spans="2:12" x14ac:dyDescent="0.45">
      <c r="B16" s="13"/>
      <c r="L16" s="14"/>
    </row>
    <row r="17" spans="2:12" x14ac:dyDescent="0.45">
      <c r="B17" s="19"/>
      <c r="C17" s="11"/>
      <c r="D17" s="156" t="s">
        <v>331</v>
      </c>
      <c r="E17" s="11"/>
      <c r="F17" s="11"/>
      <c r="G17" s="11"/>
      <c r="H17" s="29" t="s">
        <v>335</v>
      </c>
      <c r="I17" s="11"/>
      <c r="J17" s="29" t="s">
        <v>328</v>
      </c>
      <c r="K17" s="11"/>
      <c r="L17" s="12"/>
    </row>
    <row r="18" spans="2:12" x14ac:dyDescent="0.45">
      <c r="B18" s="13"/>
      <c r="D18" s="191" t="s">
        <v>329</v>
      </c>
      <c r="E18" s="191" t="s">
        <v>329</v>
      </c>
      <c r="H18" s="22" t="s">
        <v>334</v>
      </c>
      <c r="J18" s="22" t="s">
        <v>336</v>
      </c>
      <c r="L18" s="14"/>
    </row>
    <row r="19" spans="2:12" x14ac:dyDescent="0.45">
      <c r="B19" s="13"/>
      <c r="D19" s="191">
        <v>10</v>
      </c>
      <c r="E19" s="191" t="s">
        <v>332</v>
      </c>
      <c r="H19" s="9" t="str" cm="1">
        <f t="array" ref="H19">Modeλ(Rating)</f>
        <v>Good</v>
      </c>
      <c r="J19" s="9" t="str" cm="1">
        <f t="array" ref="J19:K19">Modeλ(Rating,TRUE)</f>
        <v>Good</v>
      </c>
      <c r="K19" s="9">
        <v>7</v>
      </c>
      <c r="L19" s="14"/>
    </row>
    <row r="20" spans="2:12" x14ac:dyDescent="0.45">
      <c r="B20" s="13"/>
      <c r="D20" s="191">
        <v>8</v>
      </c>
      <c r="E20" s="191">
        <v>9</v>
      </c>
      <c r="L20" s="14"/>
    </row>
    <row r="21" spans="2:12" x14ac:dyDescent="0.45">
      <c r="B21" s="13"/>
      <c r="D21" s="191" t="s">
        <v>329</v>
      </c>
      <c r="E21" s="191" t="s">
        <v>329</v>
      </c>
      <c r="L21" s="14"/>
    </row>
    <row r="22" spans="2:12" x14ac:dyDescent="0.45">
      <c r="B22" s="13"/>
      <c r="D22" s="191" t="s">
        <v>330</v>
      </c>
      <c r="E22" s="191" t="s">
        <v>329</v>
      </c>
      <c r="L22" s="14"/>
    </row>
    <row r="23" spans="2:12" x14ac:dyDescent="0.45">
      <c r="B23" s="13"/>
      <c r="D23" s="191">
        <v>3</v>
      </c>
      <c r="E23" s="191">
        <v>9</v>
      </c>
      <c r="L23" s="14"/>
    </row>
    <row r="24" spans="2:12" x14ac:dyDescent="0.45">
      <c r="B24" s="13"/>
      <c r="D24" s="191" t="s">
        <v>333</v>
      </c>
      <c r="E24" s="191">
        <v>7</v>
      </c>
      <c r="L24" s="14"/>
    </row>
    <row r="25" spans="2:12" x14ac:dyDescent="0.45">
      <c r="B25" s="13"/>
      <c r="D25" s="191" t="s">
        <v>329</v>
      </c>
      <c r="E25" s="191" t="s">
        <v>329</v>
      </c>
      <c r="L25" s="14"/>
    </row>
    <row r="26" spans="2:12" x14ac:dyDescent="0.45">
      <c r="B26" s="13"/>
      <c r="L26" s="14"/>
    </row>
    <row r="27" spans="2:12" x14ac:dyDescent="0.45">
      <c r="B27" s="16"/>
      <c r="C27" s="17"/>
      <c r="D27" s="17"/>
      <c r="E27" s="17"/>
      <c r="F27" s="17"/>
      <c r="G27" s="17"/>
      <c r="H27" s="17"/>
      <c r="I27" s="17"/>
      <c r="J27" s="17"/>
      <c r="K27" s="17"/>
      <c r="L27" s="18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8735B-EDBB-405B-A332-ED96A720ECAB}">
  <sheetPr>
    <tabColor rgb="FFD7CDEB"/>
  </sheetPr>
  <dimension ref="B2:Q27"/>
  <sheetViews>
    <sheetView workbookViewId="0"/>
  </sheetViews>
  <sheetFormatPr defaultRowHeight="16.5" x14ac:dyDescent="0.45"/>
  <cols>
    <col min="1" max="1" width="5" customWidth="1"/>
    <col min="3" max="16" width="7.58203125" customWidth="1"/>
    <col min="17" max="17" width="4" customWidth="1"/>
  </cols>
  <sheetData>
    <row r="2" spans="2:17" x14ac:dyDescent="0.45">
      <c r="B2" s="30" t="s">
        <v>337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2"/>
    </row>
    <row r="3" spans="2:17" x14ac:dyDescent="0.45">
      <c r="B3" s="13" t="s">
        <v>338</v>
      </c>
      <c r="Q3" s="14"/>
    </row>
    <row r="4" spans="2:17" x14ac:dyDescent="0.45">
      <c r="B4" s="15" t="s">
        <v>43</v>
      </c>
      <c r="Q4" s="14"/>
    </row>
    <row r="5" spans="2:17" x14ac:dyDescent="0.45">
      <c r="B5" s="13" t="s">
        <v>339</v>
      </c>
      <c r="Q5" s="14"/>
    </row>
    <row r="6" spans="2:17" x14ac:dyDescent="0.45">
      <c r="B6" s="16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8"/>
    </row>
    <row r="7" spans="2:17" x14ac:dyDescent="0.45">
      <c r="B7" s="13"/>
      <c r="H7" s="20" t="s">
        <v>274</v>
      </c>
      <c r="M7" s="20" t="s">
        <v>275</v>
      </c>
      <c r="Q7" s="14"/>
    </row>
    <row r="8" spans="2:17" x14ac:dyDescent="0.45">
      <c r="B8" s="13"/>
      <c r="C8" s="21" t="s">
        <v>340</v>
      </c>
      <c r="H8" s="22" t="s">
        <v>341</v>
      </c>
      <c r="M8" s="159" t="s">
        <v>342</v>
      </c>
      <c r="Q8" s="14"/>
    </row>
    <row r="9" spans="2:17" s="147" customFormat="1" ht="30" customHeight="1" x14ac:dyDescent="0.45">
      <c r="B9" s="160"/>
      <c r="C9" s="157">
        <v>8</v>
      </c>
      <c r="D9" s="158">
        <v>1</v>
      </c>
      <c r="E9" s="130">
        <v>2</v>
      </c>
      <c r="F9" s="130">
        <v>3</v>
      </c>
      <c r="H9" s="157" cm="1">
        <f t="array" ref="H9:K12">ZoneStatλ(ZoneGrid)</f>
        <v>55</v>
      </c>
      <c r="I9" s="158">
        <v>2</v>
      </c>
      <c r="J9" s="130">
        <v>11</v>
      </c>
      <c r="K9" s="130">
        <v>11</v>
      </c>
      <c r="M9" s="157" cm="1">
        <f t="array" ref="M9:P12">ZoneStatλ(ZoneGrid,_xleta.COUNT)</f>
        <v>6</v>
      </c>
      <c r="N9" s="158">
        <v>3</v>
      </c>
      <c r="O9" s="130">
        <v>4</v>
      </c>
      <c r="P9" s="130">
        <v>4</v>
      </c>
      <c r="Q9" s="161"/>
    </row>
    <row r="10" spans="2:17" s="147" customFormat="1" ht="30" customHeight="1" x14ac:dyDescent="0.45">
      <c r="B10" s="160"/>
      <c r="C10" s="130">
        <v>3</v>
      </c>
      <c r="D10" s="132">
        <v>4</v>
      </c>
      <c r="E10" s="157">
        <v>8</v>
      </c>
      <c r="F10" s="157">
        <v>10</v>
      </c>
      <c r="H10" s="130">
        <v>11</v>
      </c>
      <c r="I10" s="132">
        <v>9</v>
      </c>
      <c r="J10" s="157">
        <v>55</v>
      </c>
      <c r="K10" s="157">
        <v>55</v>
      </c>
      <c r="M10" s="130">
        <v>4</v>
      </c>
      <c r="N10" s="132">
        <v>2</v>
      </c>
      <c r="O10" s="157">
        <v>6</v>
      </c>
      <c r="P10" s="157">
        <v>6</v>
      </c>
      <c r="Q10" s="161"/>
    </row>
    <row r="11" spans="2:17" s="147" customFormat="1" ht="30" customHeight="1" x14ac:dyDescent="0.45">
      <c r="B11" s="160"/>
      <c r="C11" s="157">
        <v>10</v>
      </c>
      <c r="D11" s="158">
        <v>1</v>
      </c>
      <c r="E11" s="132">
        <v>5</v>
      </c>
      <c r="F11" s="130">
        <v>3</v>
      </c>
      <c r="H11" s="157">
        <v>55</v>
      </c>
      <c r="I11" s="158">
        <v>2</v>
      </c>
      <c r="J11" s="132">
        <v>9</v>
      </c>
      <c r="K11" s="130">
        <v>11</v>
      </c>
      <c r="M11" s="157">
        <v>6</v>
      </c>
      <c r="N11" s="158">
        <v>3</v>
      </c>
      <c r="O11" s="132">
        <v>2</v>
      </c>
      <c r="P11" s="130">
        <v>4</v>
      </c>
      <c r="Q11" s="161"/>
    </row>
    <row r="12" spans="2:17" s="147" customFormat="1" ht="30" customHeight="1" x14ac:dyDescent="0.45">
      <c r="B12" s="160"/>
      <c r="C12" s="157">
        <v>9</v>
      </c>
      <c r="D12" s="53">
        <v>7</v>
      </c>
      <c r="E12" s="157">
        <v>10</v>
      </c>
      <c r="F12" s="158">
        <v>0</v>
      </c>
      <c r="H12" s="157">
        <v>55</v>
      </c>
      <c r="I12" s="53">
        <v>7</v>
      </c>
      <c r="J12" s="157">
        <v>55</v>
      </c>
      <c r="K12" s="158">
        <v>2</v>
      </c>
      <c r="M12" s="157">
        <v>6</v>
      </c>
      <c r="N12" s="53">
        <v>1</v>
      </c>
      <c r="O12" s="157">
        <v>6</v>
      </c>
      <c r="P12" s="158">
        <v>3</v>
      </c>
      <c r="Q12" s="161"/>
    </row>
    <row r="13" spans="2:17" x14ac:dyDescent="0.45">
      <c r="B13" s="13"/>
      <c r="Q13" s="14"/>
    </row>
    <row r="14" spans="2:17" x14ac:dyDescent="0.45">
      <c r="B14" s="13"/>
      <c r="C14" s="21" t="s">
        <v>350</v>
      </c>
      <c r="H14" s="20" t="s">
        <v>345</v>
      </c>
      <c r="M14" s="20" t="s">
        <v>201</v>
      </c>
      <c r="Q14" s="14"/>
    </row>
    <row r="15" spans="2:17" x14ac:dyDescent="0.45">
      <c r="B15" s="13"/>
      <c r="H15" s="22" t="s">
        <v>343</v>
      </c>
      <c r="M15" s="22" t="s">
        <v>344</v>
      </c>
      <c r="Q15" s="14"/>
    </row>
    <row r="16" spans="2:17" ht="30" customHeight="1" x14ac:dyDescent="0.45">
      <c r="B16" s="13"/>
      <c r="H16" s="157" cm="1">
        <f t="array" ref="H16:K19">ZoneStatλ(ZoneGrid,_xleta.MAX)</f>
        <v>10</v>
      </c>
      <c r="I16" s="158">
        <v>1</v>
      </c>
      <c r="J16" s="130">
        <v>3</v>
      </c>
      <c r="K16" s="130">
        <v>3</v>
      </c>
      <c r="M16" s="157" cm="1">
        <f t="array" ref="M16:P19">ZoneStatλ(ZoneGrid,_xleta.MIN)</f>
        <v>8</v>
      </c>
      <c r="N16" s="158">
        <v>0</v>
      </c>
      <c r="O16" s="130">
        <v>2</v>
      </c>
      <c r="P16" s="130">
        <v>2</v>
      </c>
      <c r="Q16" s="14"/>
    </row>
    <row r="17" spans="2:17" ht="30" customHeight="1" x14ac:dyDescent="0.45">
      <c r="B17" s="13"/>
      <c r="H17" s="130">
        <v>3</v>
      </c>
      <c r="I17" s="132">
        <v>5</v>
      </c>
      <c r="J17" s="157">
        <v>10</v>
      </c>
      <c r="K17" s="157">
        <v>10</v>
      </c>
      <c r="M17" s="130">
        <v>2</v>
      </c>
      <c r="N17" s="132">
        <v>4</v>
      </c>
      <c r="O17" s="157">
        <v>8</v>
      </c>
      <c r="P17" s="157">
        <v>8</v>
      </c>
      <c r="Q17" s="14"/>
    </row>
    <row r="18" spans="2:17" ht="30" customHeight="1" x14ac:dyDescent="0.45">
      <c r="B18" s="13"/>
      <c r="H18" s="157">
        <v>10</v>
      </c>
      <c r="I18" s="158">
        <v>1</v>
      </c>
      <c r="J18" s="132">
        <v>5</v>
      </c>
      <c r="K18" s="130">
        <v>3</v>
      </c>
      <c r="M18" s="157">
        <v>8</v>
      </c>
      <c r="N18" s="158">
        <v>0</v>
      </c>
      <c r="O18" s="132">
        <v>4</v>
      </c>
      <c r="P18" s="130">
        <v>2</v>
      </c>
      <c r="Q18" s="14"/>
    </row>
    <row r="19" spans="2:17" ht="30" customHeight="1" x14ac:dyDescent="0.45">
      <c r="B19" s="13"/>
      <c r="H19" s="157">
        <v>10</v>
      </c>
      <c r="I19" s="53">
        <v>7</v>
      </c>
      <c r="J19" s="157">
        <v>10</v>
      </c>
      <c r="K19" s="158">
        <v>1</v>
      </c>
      <c r="M19" s="157">
        <v>8</v>
      </c>
      <c r="N19" s="53">
        <v>7</v>
      </c>
      <c r="O19" s="157">
        <v>8</v>
      </c>
      <c r="P19" s="158">
        <v>0</v>
      </c>
      <c r="Q19" s="14"/>
    </row>
    <row r="20" spans="2:17" x14ac:dyDescent="0.45">
      <c r="B20" s="13"/>
      <c r="Q20" s="14"/>
    </row>
    <row r="21" spans="2:17" x14ac:dyDescent="0.45">
      <c r="B21" s="13"/>
      <c r="H21" s="20" t="s">
        <v>347</v>
      </c>
      <c r="Q21" s="14"/>
    </row>
    <row r="22" spans="2:17" x14ac:dyDescent="0.45">
      <c r="B22" s="13"/>
      <c r="H22" s="22" t="s">
        <v>346</v>
      </c>
      <c r="Q22" s="14"/>
    </row>
    <row r="23" spans="2:17" ht="30" customHeight="1" x14ac:dyDescent="0.45">
      <c r="B23" s="13"/>
      <c r="H23" s="157" cm="1">
        <f t="array" ref="H23:K26">ZoneStatλ(ZoneGrid,_xlfn.LAMBDA(_xlpm.v,MAX(_xlpm.v)-MIN(_xlpm.v)))</f>
        <v>2</v>
      </c>
      <c r="I23" s="158">
        <v>1</v>
      </c>
      <c r="J23" s="130">
        <v>1</v>
      </c>
      <c r="K23" s="130">
        <v>1</v>
      </c>
      <c r="Q23" s="14"/>
    </row>
    <row r="24" spans="2:17" ht="30" customHeight="1" x14ac:dyDescent="0.45">
      <c r="B24" s="13"/>
      <c r="H24" s="130">
        <v>1</v>
      </c>
      <c r="I24" s="132">
        <v>1</v>
      </c>
      <c r="J24" s="157">
        <v>2</v>
      </c>
      <c r="K24" s="157">
        <v>2</v>
      </c>
      <c r="Q24" s="14"/>
    </row>
    <row r="25" spans="2:17" ht="30" customHeight="1" x14ac:dyDescent="0.45">
      <c r="B25" s="13"/>
      <c r="H25" s="157">
        <v>2</v>
      </c>
      <c r="I25" s="158">
        <v>1</v>
      </c>
      <c r="J25" s="132">
        <v>1</v>
      </c>
      <c r="K25" s="130">
        <v>1</v>
      </c>
      <c r="Q25" s="14"/>
    </row>
    <row r="26" spans="2:17" ht="30" customHeight="1" x14ac:dyDescent="0.45">
      <c r="B26" s="13"/>
      <c r="H26" s="157">
        <v>2</v>
      </c>
      <c r="I26" s="53">
        <v>0</v>
      </c>
      <c r="J26" s="157">
        <v>2</v>
      </c>
      <c r="K26" s="158">
        <v>1</v>
      </c>
      <c r="Q26" s="14"/>
    </row>
    <row r="27" spans="2:17" x14ac:dyDescent="0.45">
      <c r="B27" s="16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8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AgACAAXwAgACAAIAAgACAAIAAgACAAIAAgACAAIABfAF8AXwBfAF8AIAAgACAAIAAgACAAIAAgACAAIAAgAF8AIAAgACAAXwAgACAAIABfACAAXABuACAAfAAgACAAXwAgAFwAXAAgACAAKABfACkAIAAgACAAIAAgACAAIAAgACAAIAAvACAAXwBfAF8AXwB8ACAAIAAgACAAIAAgACAAIAAgACgAXwApACAAfAAgAHwAIAB8ACAAfABcAG4AIAB8ACAAfABfACkAIAB8ACAAIABfACAAIAAgACAAXwBfACAAXwAgACAAfAAgACgAXwBfAF8AIAAgACAAIABfACAAXwBfACAAIAAgACAAXwAgACAAfAAgAHwAIAB8ACAAfABcAG4AIAB8ACAAIABfACAAPAAgACAAfAAgAHwAIAAgAC8AIABfAGAAIAB8ACAAIABcAFwAXwBfAF8AIABcAFwAIAAgAHwAIAAnAF8AIABcAFwAIAAgAHwAIAB8ACAAfAAgAHwAIAB8ACAAfABcAG4AIAB8ACAAfABfACkAIAB8ACAAfAAgAHwAIAB8ACAAKABfAHwAIAB8ACAAIABfAF8AXwBfACkAIAB8ACAAfAAgAHwAXwApACAAfAAgAHwAIAB8ACAAfAAgAHwAIAB8ACAAfABcAG4AIAB8AF8AXwBfAF8ALwAgACAAfABfAHwAIAAgAFwAXABfAF8ALAAgAHwAIAB8AF8AXwBfAF8AXwAvACAAIAB8ACAALgBfAF8ALwAgACAAfABfAHwAIAB8AF8AfAAgAHwAXwB8AFwAbgAgACAAIAAgACAAIAAgACAAIAAgACAAIAAgACAAIABfAF8ALwAgAHwAIAAgACAAIAAgACAAIAAgACAAIAB8ACAAfAAgACAAIAAgACAAIAAgACAAIAAgACAAIAAgACAAIAAgAFwAbgAgACAAIAAgACAAIAAgACAAIAAgACAAIAAgACAAfABfAF8AXwAvACAAIAAgACAAIAAgACAAIAAgACAAIAB8AF8AfAAgACAAIAAgACAAIAAgACAAIAAgACAAIAAgACAAIAAgAFwAbgBcAG4AdgAgADEALgAyAC4AMABcAG4AXABuAE0AbwBkAHUAbABlADoAIAAgAEIAaQBnAFMAcABpAGwAbABcAG4AUgBlAHAAbwA6ACAAIAAgACAAaAB0AHQAcABzADoALwAvAGcAaQB0AGgAdQBiAC4AYwBvAG0ALwBQAGEAdAByAGkAYwBrADIANwA4ADgALwBCAGkAZwBTAHAAaQBsAGwALQBFAHgAYwBlAGwALQBMAGEAbQBiAGQAYQAtAEwAaQBiAHIAYQByAHkAXABuAEwAaQBjAGUAbgBzAGUAOgAgAE0ASQBUACAAKABzAGUAZQAgAEwASQBDAEUATgBTAEUAIABmAGkAbABlACkAXABuAEEAdQB0AGgAbwByADoAIAAgAFAAYQB0AHIAaQBjAGsAIABIAC4AXABuAEQAYQB0AGUAOgAgACAAIAAgADkALwAxADcALwAyADAAMgA2AFwAbgBcAG4AVgBlAHIAcwBpAG8AbgAgAGgAaQBzAHQAbwByAHkAOgBcAG4AIAAgACAAIAA3AC8ANgAvADIAMAAyADYAIAATICAAIABJAG4AaQB0AGkAYQBsACAAcgBlAGwAZQBhAHMAZQBcAG4AXABuACAAIAAgACAAOQAvADMALwAyADAAMgA2ACAAEyAgACAAQQBkAGQAZQBkACAAVAByAGkAcABsAGUAdwBpAHMAZQC7AyAAYQBuAGQAIABRAHUAYQBkAHcAaQBzAGUAuwMgAHQAbwAgAEcAcgBpAGQAIABBAG4AYQBsAHkAdABpAGMAcwBcAG4AIAAgACAAIAAgACAAIAAgACAAIAAgACAAIAAgACAAIABVAHAAZABhAHQAZQBkACAARwByAGkAZAAgAEEAbgBhAGwAeQB0AGkAYwBzACAAYwBhAHQAZQBnAG8AcgB5ACAAYgBsAG8AYwBrAFwAbgAgACAAIAAgACAAIAAgACAAIAAgACAAIAAgACAAIAAgAFUAcABkAGEAdABlAGQAIABUAGUAcwBzAGUAbABsAGEAdABlALsDIAB0AG8AIABhAGMAYwBlAHAAdAAgADEARAAgAGEAcgByAGEAeQBzAFwAbgBcAG4AIAAgACAAIAA5AC8AMQA3AC8AMgAwADIANgAgABMgIABBAGQAZABlAGQAIABJAG4AcwB0AGEAbgBjAGUAuwMsACAAVwBhAHYAZQC7AywAIABHAHIAbwB1AHAASQBuAGQAZQB4ALsDLAAgAE8AYwBjAHUAcgByAGUAbgBjAGUAuwMsAFwAbgAgACAAIAAgACAAIAAgACAAIAAgACAAIAAgACAAIAAgAGEAbgBkACAATwBjAGMAdQByAHIAZQBuAGMAZQBSAGEAbgBnAGUAuwMgAHQAbwAgAEcAcgBpAGQAIABBAG4AYQBsAHkAdABpAGMAcwBcAG4AIAAgACAAIAAgACAAIAAgACAAIAAgACAAIAAgACAAIABGAGkAeABlAGQAIAB2AHUAbABuAGUAcgBhAGIAaQBsAGkAdAB5ACAAaQBuACAAQwBvAG4AdgBvAGwAdgBlALsDIAB3AGkAdABoACAAMQBEACAAawBlAHIAbgBlAGwAcwBcAG4AXABuAEQAZQBwAGUAbgBkAGUAbgBjAGkAZQBzADoAXABuACAAIAAgACAATgBvAG4AZQBcAG4AXABuAEQAZQBzAGMAcgBpAHAAdABpAG8AbgA6AFwAbgAgACAAIAAgAEMAbwByAGUAIABtAG8AZAB1AGwAZQAgAGEAZwBnAHIAZQBnAGEAdABvAHIAIABmAG8AcgAgAGEAbABsACAAQgBpAGcAUwBwAGkAbABsACAAZgB1AG4AYwB0AGkAbwBuAHMALgBcAG4AXABuAFAAdQByAHAAbwBzAGUAOgBcAG4AIAAgACAAIABQAHIAbwB2AGkAZABlAHMAIABhACAAcwBpAG4AZwBsAGUAIABpAG0AcABvAHIAdAAgAHAAbwBpAG4AdAAgAGYAbwByACAAdABoAGUAIABlAG4AdABpAHIAZQAgAGwAaQBiAHIAYQByAHkALgBcAG4AXABuAEMAbwBuAHQAZQBuAHQAcwA6AFwAbgAgACAAIAAgAEcAcgBpAGQAdwBvAHIAawAsACAARwByAGkAZAAgAEcAZQBvAG0AZQB0AHIAeQAsACAAMgBEACAAQQByAHIAYQB5ACAAUwBoAGEAcABpAG4AZwAsACAARwByAGkAZAAgAEEAbABnAGUAYgByAGEALABcAG4AIAAgACAAIABSAGUAcABlAHQAaQB0AGkAbwBuACwAIABHAHIAaQBkACAAQQBuAGEAbAB5AHQAaQBjAHMALAAgAFQAZQB4AHQALAAgAEUAbgBnAGkAbgBlAGUAcgBpAG4AZwAsAFwAbgAgACAAIAAgAEMAbwBtAGIAaQBuAGEAdABvAHIAaQBjAHMALAAgAEQAaQBhAGcAbgBvAHMAdABpAGMAcwBcAG4AXABuAFwAbgBcAG4AXABuAFwAbgBcAG4ALQAtAC0AVABhAGIAbABlACAAbwBmACAAQwBvAG4AdABlAG4AdABzAC0ALQAtAFwAbgBcAG4AIwAjACAAMAAxACAALQAgAFsARwBXAF0AIABHAHIAaQBkAHcAbwByAGsAXABuAFwAbgAgACAAIAAgACAAIAAgACAAIAAgACAAIABbAEcAVwAwADEAXQAgACAARABHAHIAaQBkALsDXABuACAAIAAgACAAIAAgACAAIAAgACAAIAAgAFsARwBXADAAMgBdACAAIABDAEcAcgBpAGQAuwNcAG4AIAAgACAAIAAgACAAIAAgACAAIAAgACAAWwBHAFcAMAAzAF0AIAAgAE0ARwByAGkAZAC7A1wAbgAgACAAIAAgACAAIAAgACAAIAAgACAAIABbAEcAVwAwADQAXQAgACAAVABHAHIAaQBkALsDXABuACAAIAAgACAAIAAgACAAIAAgACAAIAAgAFsARwBXADAANQBdACAAIABQAG8AbABhAHIARwByAGkAZAC7A1wAbgBcAG4AIwAjACAAMAAyACAALQAgAFsARwBHAF0AIAAgAEcAcgBpAGQAIABHAGUAbwBtAGUAdAByAHkAXABuAFwAbgAgACAAIAAgACAAIAAgACAAIAAgACAAIABbAEcARwAwADEAXQAgACAAQwBpAHIAYwBsAGUAuwNcAG4AIAAgACAAIAAgACAAIAAgACAAIAAgACAAWwBHAEcAMAAyAF0AIAAgAEQAaQBhAG0AbwBuAGQAuwNcAG4AIAAgACAAIAAgACAAIAAgACAAIAAgACAAWwBHAEcAMAAzAF0AIAAgAFAAbAB1AHMAuwNcAG4AIAAgACAAIAAgACAAIAAgACAAIAAgACAAWwBHAEcAMAA0AF0AIAAgAFAAeQByAGEAbQBpAGQAuwNcAG4AIAAgACAAIAAgACAAIAAgACAAIAAgACAAWwBHAEcAMAA1AF0AIAAgAFIAaQBuAGcAuwNcAG4AIAAgACAAIAAgACAAIAAgACAAIAAgACAAWwBHAEcAMAA2AF0AIAAgAFMAcQB1AGEAcgBlALsDXABuACAAIAAgACAAIAAgACAAIAAgACAAIAAgAFsARwBHADAANwBdACAAIABUAHIAaQBhAG4AZwBsAGUAuwNcAG4AXABuACMAIwAgADAAMwAgAC0AIABbAFMAQQBdACAAIAAyAEQAIABBAHIAcgBhAHkAIABTAGgAYQBwAGkAbgBnAFwAbgBcAG4AIAAgACAAIAAgACAAIAAgACAAIAAgACAAQwBvAHIAZQAgAFMAaABhAHAAaQBuAGcAIABQAHIAaQBtAGkAdABpAHYAZQBzAFwAbgAgACAAIAAgACAAIAAgACAAIAAgACAAIABbAFMAQQAwADEAXQBcAHQAUgBlAFMAaABhAHAAZQAyAEQAuwNcAG4AIAAgACAAIAAgACAAIAAgACAAIAAgACAAWwBTAEEAMAAyAF0AXAB0AFIAZQBTAGkAegBlALsDXABuACAAIAAgACAAIAAgACAAIAAgACAAIAAgAFsAUwBBADAAMwBdAFwAdABTAGMAYQBuADIARAC7A1wAbgAgACAAIAAgACAAIAAgACAAIAAgACAAIABbAFMAQQAwADQAXQBcAHQAVAByAGEAdgBlAHIAcwBlALsDXABuACAAIAAgACAAIAAgACAAIAAgACAAIAAgAFsAUwBBADAANQBdAFwAdABUAGEAawBlAEIAbABvAGMAawC7A1wAbgAgACAAIAAgACAAIAAgACAAIAAgACAAIABbAFMAQQAwADYAXQBcAHQARABTAHQAYQBjAGsAuwNcAG4AXABuACAAIAAgACAAIAAgACAAIAAgACAAIAAgAFIAZQBmAGwAbwB3AFwAbgAgACAAIAAgACAAIAAgACAAIAAgACAAIABbAFMAQQAwADcAXQBcAHQAVwByAGEAcABSAG8AdwBzADIARAC7A1wAbgAgACAAIAAgACAAIAAgACAAIAAgACAAIABbAFMAQQAwADgAXQBcAHQAVwByAGEAcABDAG8AbABzADIARAC7A1wAbgAgACAAIAAgACAAIAAgACAAIAAgACAAIABbAFMAQQAwADkAXQBcAHQAUwB0AGEAaQByAGMAYQBzAGUAuwNcAG4AIAAgACAAIAAgACAAIAAgACAAIAAgACAAWwBTAEEAMQAwAF0AXAB0AFUAbgBQAGkAdgBvAHQAuwNcAG4AIAAgACAAIAAgACAAIAAgACAAIAAgACAAWwBTAEEAMQAxAF0AXAB0AFoAaQBwALsDXABuACAAIAAgACAAIAAgACAAIAAgACAAIAAgAFsAUwBBADEAMwBdAFwAdABTAGwAaQBjAGUAQgB5AEQAZQBnALsDXABuAFwAbgAgACAAIAAgACAAIAAgACAAIAAgACAAIABQAGEAZABkAGkAbgBnAFwAbgAgACAAIAAgACAAIAAgACAAIAAgACAAIABbAFMAQQAxADQAXQBcAHQAUABhAGQAuwNcAG4AIAAgACAAIAAgACAAIAAgACAAIAAgACAAWwBTAEEAMQA1AF0AXAB0AEkAbgBzAHUAbABhAHQAZQBSAG8AdwBzALsDXABuACAAIAAgACAAIAAgACAAIAAgACAAIAAgAFsAUwBBADEANgBdAFwAdABJAG4AcwB1AGwAYQB0AGUAQwBvAGwAcwC7A1wAbgBcAG4AIAAgACAAIAAgACAAIAAgACAAIAAgACAASQBuAHQAZQByAHAAbwBsAGEAdABpAG8AbgBcAG4AIAAgACAAIAAgACAAIAAgACAAIAAgACAAWwBTAEEAMQA3AF0AXAB0AE0AYQBnAG4AaQBmAHkAuwNcAG4AIAAgACAAIAAgACAAIAAgACAAIAAgACAAWwBTAEEAMQA4AF0AXAB0AFoAbwBvAG0AuwNcAG4AXABuACMAIwAgADAANAAgAC0AIABbAEcAQQBdACAAIABHAHIAaQBkACAAQQBsAGcAZQBiAHIAYQBcAG4AIAAgACAAIAAgACAAIAAgACAAIAAgACAARABlAGwAZQB0AGkAbwBuAFwAbgAgACAAIAAgACAAIAAgACAAIAAgACAAIABbAEcAQQAwADEAXQBcAHQARABlAGwAZQB0AGUAUgBvAHcAcwC7A1wAbgAgACAAIAAgACAAIAAgACAAIAAgACAAIABbAEcAQQAwADIAXQBcAHQARABlAGwAZQB0AGUAQwBvAGwAcwC7A1wAbgAgACAAIAAgACAAIAAgACAAIAAgACAAIABbAEcAQQAwADMAXQBcAHQARABlAGwAZQB0AGUAVwBoAGUAcgBlALsDXABuACAAIAAgACAAIAAgACAAIAAgACAAIAAgAFsARwBBADAANABdAFwAdABQAGkAbgBjAGgAuwNcAG4AIAAgACAAIAAgACAAIAAgACAAIAAgACAAWwBHAEEAMAA1AF0AXAB0AFIAZQBtAG8AdgBlALsDXABuACAAIAAgACAAIAAgACAAIAAgACAAIAAgAFsARwBBADAANgBdAFwAdABTAHEAdQBlAGUAegBlALsDXABuAFwAbgAgACAAIAAgACAAIAAgACAAIAAgACAAIABFAHgAcABhAG4AcwBpAG8AbgBcAG4AIAAgACAAIAAgACAAIAAgACAAIAAgACAAWwBHAEEAMAA3AF0AXAB0AEsAcgBvAG4AZQBjAGsAZQByAFAAcgBvAGQAuwNcAG4AXABuACAAIAAgACAAIAAgACAAIAAgACAAIAAgAEYAaQBsAHQAZQByAGkAbgBnAFwAbgAgACAAIAAgACAAIAAgACAAIAAgACAAIABbAEcAQQAwADgAXQBcAHQARQB4AGMAbAB1AGQAZQC7A1wAbgAgACAAIAAgACAAIAAgACAAIAAgACAAIABbAEcAQQAwADkAXQBcAHQAUwBuAGEAcAC7A1wAbgBcAG4AIAAgACAAIAAgACAAIAAgACAAIAAgACAAUgBvAGwAbABpAG4AZwBcAG4AIAAgACAAIAAgACAAIAAgACAAIAAgACAAWwBHAEEAMQAwAF0AXAB0AFMAaABpAGYAdAC7A1wAbgAgACAAIAAgACAAIAAgACAAIAAgACAAIABbAEcAQQAxADEAXQBcAHQAUwBoAGkAZgB0AFIAbwB3AHMAuwNcAG4AIAAgACAAIAAgACAAIAAgACAAIAAgACAAWwBHAEEAMQAyAF0AXAB0AFMAaABpAGYAdABDAG8AbABzALsDXABuAFwAbgAgACAAIAAgACAAIAAgACAAIAAgACAAIABTAGUAbABlAGMAdABpAG8AbgBcAG4AIAAgACAAIAAgACAAIAAgACAAIAAgACAAWwBHAEEAMQAzAF0AXAB0AEUAbQBiAGUAZAC7A1wAbgAgACAAIAAgACAAIAAgACAAIAAgACAAIABbAEcAQQAxADQAXQBcAHQASwBlAGUAcABSAG8AdwBzALsDXABuACAAIAAgACAAIAAgACAAIAAgACAAIAAgAFsARwBBADEANQBdAFwAdABLAGUAZQBwAEMAbwBsAHMAuwNcAG4AXABuACAAIAAgACAAIAAgACAAIAAgACAAIAAgAFMAdAByAHUAYwB0AHUAcgBhAGwAIABNAGEAcABwAGkAbgBnAFwAbgAgACAAIAAgACAAIAAgACAAIAAgACAAIABbAEcAQQAxADYAXQBcAHQAQgBsAG8AYwBrAE0AYQBwALsDXABuACAAIAAgACAAIAAgACAAIAAgACAAIAAgAFsARwBBADEANwBdAFwAdABDAG8AbgB2AG8AbAB2AGUAuwNcAG4AIAAgACAAIAAgACAAIAAgACAAIAAgACAAWwBHAEEAMQA4AF0AXAB0AEYAbwBsAGQAuwNcAG4AIAAgACAAIAAgACAAIAAgACAAIAAgACAAWwBHAEEAMQA5AF0AXAB0AEoAbwBpAG4AMgBEALsDXABuAFwAbgAjACMAIAAwADUAIAAtACAAWwBSAFAAXQAgACAAUgBlAHAAZQB0AGkAdABpAG8AbgBcAG4AIAAgACAAIAAgACAAIAAgACAAIAAgACAAWwBSAFAAMAAxAF0AXAB0AEUAYwBoAG8AuwNcAG4AIAAgACAAIAAgACAAIAAgACAAIAAgACAAWwBSAFAAMAAyAF0AXAB0AFIAZQBwAGUAYQB0AFIAbwB3AHMAuwNcAG4AIAAgACAAIAAgACAAIAAgACAAIAAgACAAWwBSAFAAMAAzAF0AXAB0AFIAZQBwAGUAYQB0AEMAbwBsAHMAuwNcAG4AIAAgACAAIAAgACAAIAAgACAAIAAgACAAWwBSAFAAMAA0AF0AXAB0AFQAZQBzAHMAZQBsAGwAYQB0AGUAuwNcAG4AXABuACMAIwAgADAANgAgAC0AIABbAEcAUgBdACAAIABHAHIAaQBkACAAQQBuAGEAbAB5AHQAaQBjAHMAXABuACAAIAAgACAAIAAgACAAIAAgACAAIAAgAFMAZQBxAHUAZQBuAGMAaQBuAGcAXABuACAAIAAgACAAIAAgACAAIAAgACAAIAAgAFsARwBSADAAMQBdAFwAdABTAHQAcgBlAGEAawC7A1wAbgAgACAAIAAgACAAIAAgACAAIAAgACAAIABbAEcAUgAwADIAXQBcAHQAQwBvAHUAbgB0AGQAbwB3AG4AuwNcAG4AXAB0AFwAdABcAHQAWwBHAFIAMQA2AF0AIAAgAEkAbgBzAHQAYQBuAGMAZQC7A1wAbgBcAHQAXAB0AFwAdABbAEcAUgAxADcAXQBcAHQAVwBhAHYAZQ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HQAXAB0AFwAdABbAEcAUgAxADgAXQBcAHQARwByAG8AdQBwAEkAbgBkAGUAeAC7A1wAbgBcAHQAXAB0AFwAdABbAEcAUgAxADkAXQBcAHQATwBjAGMAdQByAHIAZQBuAGMAZQC7A1wAbgBcAHQAXAB0AFwAdABbAEcAUgAyADAAXQBcAHQATwBjAGMAdQByAHIAZQBuAGMAZQBSAGEAbgBnAGUAuwNcAG4AXABuACAAIAAgACAAIAAgACAAIAAgACAAIAAgAE4AZQBpAGcAaABiAG8AcgBoAG8AbwBkAHMAXABuACAAIAAgACAAIAAgACAAIAAgACAAIAAgAFsARwBSADEAMABdAFwAdABHAHIAYQBpAG4AuwNcAG4AIAAgACAAIAAgACAAIAAgACAAIAAgACAAWwBHAFIAMQAxAF0AXAB0AE0AbwBvAHIAZQBBAGcAZwC7A1wAbgAgACAAIAAgACAAIAAgACAAIAAgACAAIABbAEcAUgAxADIAXQBcAHQATQBvAG8AcgBlAFMAZQBsAGUAYwB0ALsDXABuAFwAbgAgACAAIAAgACAAIAAgACAAIAAgACAAIABTAHQAYQB0AGkAcwB0AGkAYwBzAFwAbgAgACAAIAAgACAAIAAgACAAIAAgACAAIABbAEcAUgAxADMAXQBcAHQASABpAHMAdABvAGcAcgBhAG0AuwNcAG4AIAAgACAAIAAgACAAIAAgACAAIAAgACAAWwBHAFIAMQA0AF0AXAB0AE0AbwBkAGUAuwNcAG4AIAAgACAAIAAgACAAIAAgACAAIAAgACAAWwBHAFIAMQA1AF0AXAB0AFoAbwBuAGUAUwB0AGEAdAC7A1wAbgBcAG4AIwAjACAAMAA3ACAALQAgAFsAVABYAF0AIAAgAFQAZQB4AHQAXABuACAAIAAgACAAIAAgACAAIAAgACAAIAAgAFsAVABYADAAMQBdAFwAdABBAGwAaQBnAG4AuwNcAG4AIAAgACAAIAAgACAAIAAgACAAIAAgACAAWwBUAFgAMAAyAF0AXAB0AEEAbABpAGcAbgBEAGkAcwB0AGkAbgBjAHQAuwNcAG4AIAAgACAAIAAgACAAIAAgACAAIAAgACAAWwBUAFgAMAAzAF0AXAB0AEEAbABpAGcAbgBVAG4AaQBxAHUAZQC7A1wAbgAgACAAIAAgACAAIAAgACAAIAAgACAAIABbAFQAWAAwADQAXQBcAHQAQwBvAGEAbABlAHMAYwBlALsDXABuACAAIAAgACAAIAAgACAAIAAgACAAIAAgAFsAVABYADAANQBdAFwAdABFAHgAcABsAG8AZABlALsDXABuACAAIAAgACAAIAAgACAAIAAgACAAIAAgAFsAVABYADAANgBdAFwAdABOAHUAbQBiAGUAcgBzAE8AbgBsAHkAuwNcAG4AIAAgACAAIAAgACAAIAAgACAAIAAgACAAWwBUAFgAMAA3AF0AXAB0AFQAZQB4AHQATwBuAGwAeQC7A1wAbgAgACAAIAAgACAAIAAgACAAIAAgACAAIABbAFQAWAAwADgAXQBcAHQAUwBwAGwAaQB0ALsDXABuAFwAbgAjACMAIAAwADgAIAAtACAAWwBFAE4AXQAgACAARQBuAGcAaQBuAGUAZQByAGkAbgBnAFwAbgAgACAAIAAgACAAIAAgACAAIAAgACAAIABbAEUATgAwADEAXQBcAHQAQgBpAG4AMgBEAGUAYwC7A1wAbgAgACAAIAAgACAAIAAgACAAIAAgACAAIABbAEUATgAwADIAXQBcAHQAQgBpAG4AMgBHAHIAYQB5ALsDXABuACAAIAAgACAAIAAgACAAIAAgACAAIAAgAFsARQBOADAAMwBdAFwAdABCAGkAdABDAG8AdQBuAHQAuwNcAG4AIAAgACAAIAAgACAAIAAgACAAIAAgACAAWwBFAE4AMAA0AF0AXAB0AEQAZQBjADIAQgBpAG4AuwNcAG4AIAAgACAAIAAgACAAIAAgACAAIAAgACAAWwBFAE4AMAA1AF0AXAB0AEQAZQBjADIARwByAGEAeQC7A1wAbgBcAG4AIwAjACAAMAA5ACAALQAgAFsAQwBCAF0AIAAgAEMAbwBtAGIAaQBuAGEAdABvAHIAaQBjAHMAXABuACAAIAAgACAAIAAgACAAIAAgACAAIAAgAFsAQwBCADAAMQBdAFwAdABQAGUAcgBtAFIAuwNcAG4AIAAgACAAIAAgACAAIAAgACAAIAAgACAAWwBDAEIAMAAyAF0AXAB0AFAAZQByAG0AuwNcAG4AIAAgACAAIAAgACAAIAAgACAAIAAgACAAWwBDAEIAMAAzAF0AXAB0AEMAbwBtAGIAaQBuAGEAdABpAG8AbgBzAFIAuwNcAG4AIAAgACAAIAAgACAAIAAgACAAIAAgACAAWwBDAEIAMAA0AF0AXAB0AEMAbwBtAGIAaQBuAGEAdABpAG8AbgBzALsDXABuACAAIAAgACAAIAAgACAAIAAgACAAIAAgAFsAQwBCADAANQBdAFwAdABEAGUAcgBhAG4AZwBlAG0AZQBuAHQAcwC7A1wAbgAgACAAIAAgACAAIAAgACAAIAAgACAAIABbAEMAQgAwADYAXQBcAHQASwBuAGEAcABTAGEAYwBrALsDXABuACAAIAAgACAAIAAgACAAIAAgACAAIAAgAFsAQwBCADAANwBdAFwAdABTAHUAYgBzAGUAdABHAGUAbgC7A1wAbgAgACAAIAAgACAAIAAgACAAIAAgACAAIABbAEMAQgAwADgAXQBcAHQAUwB1AGIAcwBlAHQAUwB1AG0AuwNcAG4AXABuACMAIwAgADEAMAAgAC0AIABbAEcARABdACAAIABHAHIAaQBkACAARABpAGEAZwBuAG8AcwB0AGkAYwBzAFwAbgAgACAAIAAgACAAIAAgACAAIAAgACAAIABbAEcARAAwADEAXQAgACAAUgBlAHYAZQBhAGwAuwNcAG4AXABuAFwAbgBcAG4AKgAvAFwAbgBcAG4AXABuAFwAbgAvAC8AIABbAEcAVwBdACAALQAtAC0ALQAtAC0ALQAtAC0ALQAtAC0ALQAtAC0ALQAtAC0ALQAtAC0ALQAtAC0ALQAtAC0ALQAtAC0ALQAtAC0ALQAtAC0ALQAtAC0ALQAtAC0ALQAtAC0ALQAtAC0ALQAtAC0ALQAtAC0ALQAtAC0ALQAtAC0ALQAtAC0ALQAtAC0ALQAtAC0ALQAtAC0ALQAtAC0ALQAtAFwAbgAvAC8AIAAtAC0ALQAjACMAIAAwADEAIAAtACAARwByAGkAZAB3AG8AcgBr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EcAcgBpAGQAdwBvAHIAawAgAGQAZQBmAGkAbgBlAHMAIAB0AGgAZQAgAGYAbwB1AG4AZABhAHQAaQBvAG4AYQBsACAAYwBvAG8AcgBkAGkAbgBhAHQAZQAgAHMAeQBzAHQAZQBtAHMAIABmAG8AcgAgADIARAAgAGEAcgByAGEAeQBzAC4AIABFAGEAYwBoAFwAbgAgACAAIAAgAGYAdQBuAGMAdABpAG8AbgAgAHAAcgBvAGQAdQBjAGUAcwAgAGEAIABjAGUAbgB0AGUAcgBlAGQALAAgAHMAeQBtAG0AZQB0AHIAaQBjAGEAbAAgAGcAZQBvAG0AZQB0AHIAaQBjACAAZABlAHMAYwByAGkAcAB0AGkAbwBuACAAbwBmACAAdABoAGUAIABnAHIAaQBkAC4AXABuAFwAbgBGAHUAbgBjAHQAaQBvAG4AcwA6AFwAbgAgACAAIAAgACIgIABEAEcAcgBpAGQAuwMgACAAIAAgACAAIAAtACAARABpAHIAZQBjAHQAaQBvAG4AIABnAHIAaQBkACAAKAAwALAALQAzADYAMACwACkAIAB1AHMAaQBuAGcAIABjAGUAbgB0AGUAcgBlAGQAIABDAGEAcgB0AGUAcwBpAGEAbgAgAGEAeABlAHMAXABuAFwAbgAgACAAIAAgACIgIABDAEcAcgBpAGQAuwMgACAAIAAgACAAIAAtACAAQwBhAHIAdABlAHMAaQBhAG4AIABnAHIAaQBkACAAKAByAG8AdwAgAG8AcgAgAGMAbwBsAHUAbQBuACAAYwBvAG8AcgBkAGkAbgBhAHQAZQBzACwAIABjAGUAbgB0AGUAcgBlAGQAKQBcAG4AXABuACAAIAAgACAAIiAgAE0ARwByAGkAZAC7AyAAIAAgACAAIAAgAC0AIABNAGUAcwBoACAAZwByAGkAZAAgACgAMQARIGIAYQBzAGUAZAAgAHIAbwB3ACAAbwByACAAYwBvAGwAdQBtAG4AIABpAG4AZABpAGMAZQBzACkAXABuAFwAbgAgACAAIAAgACIgIABUAEcAcgBpAGQAuwMgACAAIAAgACAAIAAtACAAVABoAHIAZQBzAGgAbwBsAGQAZQBkACAAbQBlAHMAaAAgAGcAcgBpAGQAIAAoAGkAbgBkAGkAYwBlAHMAIAB3AHIAYQBwACAAYQBmAHQAZQByACAAYQAgAGwAaQBtAGkAdAApAFwAbgBcAG4AIAAgACAAIAAiICAAUABvAGwAYQByAEcAcgBpAGQAuwMgACAALQAgAFAAbwBsAGEAcgAgAGMAbwBvAHIAZABpAG4AYQB0AGUAcwA6AFwAbgAgACAAIAAgACAAIAAgACAAIAAgACAAIAAgACAAIAAgACAAIAAgACAAIAAgAHIAIAAgACAAEyAgAHIAYQBkAGkAYQBsACAAZABpAHMAdABhAG4AYwBlACAAZgByAG8AbQAgAGcAcgBpAGQAIABjAGUAbgB0AGUAcgBcAG4AIAAgACAAIAAgACAAIAAgACAAIAAgACAAIAAgACAAIAAgACAAIAAgACAAIABwAGgAaQAgABMgIABhAG4AZwBsAGUAIABpAG4AIAByAGEAZABpAGEAbgBzACAAdQBzAGkAbgBnACAAQQBUAEEATgAyACgAeQAsACAAeAApAFwAbgBcAG4AIAAgACAAIAAiICAAUgBlAHMAaQB6AGUAuwMgACAAIAAgACAALQAgAFUAdABpAGwAaQB0AHkAIABmAG8AcgAgAGIAcgBvAGEAZABjAGEAcwB0AGkAbgBnACAAYwBvAG8AcgBkAGkAbgBhAHQAZQAgAHYAZQBjAHQAbwByAHMAIAB0AG8AIABnAHIAaQBkACAAcwBoAGEAcABlAFwAbgBcAG4ATgBvAHQAZQBzADoAXABuACAAIAAgACAAQQBsAGwAIABmAHUAbgBjAHQAaQBvAG4AcwAgAGEAcgBlACAAcwBoAGEAcABlAC0AZAByAGkAdgBlAG4AOgAgAHQAaABlACAAZABpAG0AZQBuAHMAaQBvAG4AcwAgAG8AZgAgAHQAaABlACAAcwB1AHAAcABsAGkAZQBkACAAZwByAGkAZAAgAGQAZQB0AGUAcgBtAGkAbgBlAFwAbgAgACAAIAAgAHQAaABlACAAYwBvAG8AcgBkAGkAbgBhAHQAZQAgAGUAeAB0AGUAbgB0AHMALgBcAG4AXABuAEUAeABhAG0AcABsAGUAcwA6AFwAbgAgACAAIAAgAEcAcgBpAGQAOgBcAG4AIAAgACAAIAAgACAAIAAgADEAIAAgACAAMgAgACAAIAAzACAAIAAgADQAIAAgACAANQBcAG4AIAAgACAAIAAgACAAIAAgADYAIAAgACAANwAgACAAIAA4ACAAIAAgADkAIAAgACAAMQAwAFwAbgAgACAAIAAgACAAIAAgACAAMQAxACAAIAAxADIAIAAgADEAMwAgACAAMQA0ACAAIAAxADUAXABuACAAIAAgACAAIAAgACAAIAAxADYAIAAgADEANwAgACAAMQA4ACAAIAAxADkAIAAgADIAMABcAG4AIAAgACAAIAAgACAAIAAgADIAMQAgACAAMgAyACAAIAAyADMAIAAgADIANAAgACAAMgA1AFwAbgBcAG4AIAAgACAAIABEAEcAcgBpAGQAuwMoAGcAcgBpAGQAKQA6AFwAbgAgACAAIAAgACAAIAAgACAAMgAyADUALgAwADAAIAAyADAANgAuADUANwAgADEAOAAwAC4AMAAwACAAMQA1ADMALgA0ADMAIAAxADMANQAuADAAMABcAG4AIAAgACAAIAAgACAAIAAgADIANAAzAC4ANAAzACAAMgAyADUALgAwADAAIAAxADgAMAAuADAAMAAgADEAMwA1AC4AMAAwACAAMQAxADYALgA1ADcAXABuACAAIAAgACAAIAAgACAAIAAyADcAMAAuADAAMAAgADIANwAwAC4AMAAwACAAIAAgADAALgAwADAAIAAgADkAMAAuADAAMAAgACAAOQAwAC4AMAAwAFwAbgAgACAAIAAgACAAIAAgACAAMgA5ADYALgA1ADcAIAAzADEANQAuADAAMAAgACAAIAAwAC4AMAAwACAAIAA0ADUALgAwADAAIAAgADYAMwAuADQAMwBcAG4AIAAgACAAIAAgACAAIAAgADMAMQA1AC4AMAAwACAAMwAzADMALgA0ADMAIAAgACAAMAAuADAAMAAgACAAMgA2AC4ANQA3ACAAIAA0ADUALgAwADAAXABuAFwAbgAgACAAIAAgAEMARwByAGkAZAC7AygAZwByAGkAZAApACAALQAgAHIAbwB3ACAAYwBvAG8AcgBkAGkAbgBhAHQAZQBzADoAXABuACAAIAAgACAAIAAgACAAIAAtADIAIAAtADIAIAAtADIAIAAtADIAIAAtADIAXABuACAAIAAgACAAIAAgACAAIAAtADEAIAAtADEAIAAtADEAIAAtADEAIAAtADEAXABuACAAIAAgACAAIAAgACAAIAAgADAAIAAgADAAIAAgADAAIAAgADAAIAAgADAAXABuACAAIAAgACAAIAAgACAAIAAgADEAIAAgADEAIAAgADEAIAAgADEAIAAgADEAXABuACAAIAAgACAAIAAgACAAIAAgADIAIAAgADIAIAAgADIAIAAgADIAIAAgADIAXABuAFwAbgAgACAAIAAgAEMARwByAGkAZAC7AygAZwByAGkAZAAsADEAKQAgAC0AIABjAG8AbAB1AG0AbgAgAGMAbwBvAHIAZABpAG4AYQB0AGUAcwA6AFwAbgAgACAAIAAgACAAIAAgACAALQAyACAALQAxACAAIAAwACAAIAAxACAAIAAyAFwAbgAgACAAIAAgACAAIAAgACAALQAyACAALQAxACAAIAAwACAAIAAxACAAIAAyAFwAbgAgACAAIAAgACAAIAAgACAALQAyACAALQAxACAAIAAwACAAIAAxACAAIAAyAFwAbgAgACAAIAAgACAAIAAgACAALQAyACAALQAxACAAIAAwACAAIAAxACAAIAAyAFwAbgAgACAAIAAgACAAIAAgACAALQAyACAALQAxACAAIAAwACAAIAAxACAAIAAyAFwAbgBcAG4AIAAgACAAIABNAEcAcgBpAGQAuwMoAGcAcgBpAGQAKQAgAC0AIAByAG8AdwAgAGkAbgBkAGkAYwBlAHMAOgBcAG4AIAAgACAAIAAgACAAIAAgADEAIAAxACAAMQAgADEAIAAxAFwAbgAgACAAIAAgACAAIAAgACAAMgAgADIAIAAyACAAMgAgADIAXABuACAAIAAgACAAIAAgACAAIAAzACAAMwAgADMAIAAzACAAMwBcAG4AIAAgACAAIAAgACAAIAAgADQAIAA0ACAANAAgADQAIAA0AFwAbgAgACAAIAAgACAAIAAgACAANQAgADUAIAA1ACAANQAgADUAXABuAFwAbgAgACAAIAAgAE0ARwByAGkAZAC7AygAZwByAGkAZAAsADEAKQAgAC0AIABjAG8AbAB1AG0AbgAgAGkAbgBkAGkAYwBlAHMAOgBcAG4AIAAgACAAIAAgACAAIAAgADEAIAAyACAAMwAgADQAIAA1AFwAbgAgACAAIAAgACAAIAAgACAAMQAgADIAIAAzACAANAAgADUAXABuACAAIAAgACAAIAAgACAAIAAxACAAMgAgADMAIAA0ACAANQBcAG4AIAAgACAAIAAgACAAIAAgADEAIAAyACAAMwAgADQAIAA1AFwAbgAgACAAIAAgACAAIAAgACAAMQAgADIAIAAzACAANAAgADUAXABuAFwAbgAgACAAIAAgAFQARwByAGkAZAC7AygAZwByAGkAZAAsADMAKQAgAC0AIAByAG8AdwAgAGkAbgBkAGkAYwBlAHMALAAgAHQAaAByAGUAcwBoAG8AbABkACAAMwA6AFwAbgAgACAAIAAgACAAIAAgACAAMQAgADEAIAAxACAAMQAgADEAXABuACAAIAAgACAAIAAgACAAIAAyACAAMgAgADIAIAAyACAAMgBcAG4AIAAgACAAIAAgACAAIAAgADMAIAAzACAAMwAgADMAIAAzAFwAbgAgACAAIAAgACAAIAAgACAAMQAgADEAIAAxACAAMQAgADEAXABuACAAIAAgACAAIAAgACAAIAAyACAAMgAgADIAIAAyACAAMgBcAG4AXABuACAAIAAgACAAVABHAHIAaQBkALsDKABnAHIAaQBkACwAMwAsADEAKQAgAC0AIABjAG8AbAB1AG0AbgAgAGkAbgBkAGkAYwBlAHMALAAgAHQAaAByAGUAcwBoAG8AbABkACAAMwA6AFwAbgAgACAAIAAgACAAIAAgACAAMQAgADIAIAAzACAAMQAgADIAXABuACAAIAAgACAAIAAgACAAIAAxACAAMgAgADMAIAAxACAAMgBcAG4AIAAgACAAIAAgACAAIAAgADEAIAAyACAAMwAgADEAIAAyAFwAbgAgACAAIAAgACAAIAAgACAAMQAgADIAIAAzACAAMQAgADIAXABuACAAIAAgACAAIAAgACAAIAAxACAAMgAgADMAIAAxACAAMgBcAG4AXABuACAAIAAgACAAUABvAGwAYQByAEcAcgBpAGQAuwMoAGcAcgBpAGQAKQAgAC0AIAByADoAXABuACAAIAAgACAAIAAgACAAIAAyAC4AOAAzACAAMgAuADIANAAgADIALgAwADAAIAAyAC4AMgA0ACAAMgAuADgAMwBcAG4AIAAgACAAIAAgACAAIAAgADIALgAyADQAIAAxAC4ANAAxACAAMQAuADAAMAAgADEALgA0ADEAIAAyAC4AMgA0AFwAbgAgACAAIAAgACAAIAAgACAAMgAuADAAMAAgADEALgAwADAAIAAwAC4AMAAwACAAMQAuADAAMAAgADIALgAwADAAXABuACAAIAAgACAAIAAgACAAIAAyAC4AMgA0ACAAMQAuADQAMQAgADEALgAwADAAIAAxAC4ANAAxACAAMgAuADIANABcAG4AIAAgACAAIAAgACAAIAAgADIALgA4ADMAIAAyAC4AMgA0ACAAMgAuADAAMAAgADIALgAyADQAIAAyAC4AOAAzAFwAbgBcAG4AIAAgACAAIABQAG8AbABhAHIARwByAGkAZAC7AygAZwByAGkAZAAsADEAKQAgAC0AIABwAGgAaQA6AFwAbgAgACAAIAAgACAAIAAgACAALQAyAC4AMwA2ACAALQAyAC4AMAAzACAALQAxAC4ANQA3ACAALQAxAC4AMQAxACAALQAwAC4ANwA5AFwAbgAgACAAIAAgACAAIAAgACAALQAyAC4ANgA4ACAALQAyAC4AMwA2ACAALQAxAC4ANQA3ACAALQAwAC4ANwA5ACAALQAwAC4ANAA2AFwAbgAgACAAIAAgACAAIAAgACAAIAAzAC4AMQA0ACAAIAAzAC4AMQA0ACAAIAAwAC4AMAAwACAAIAAwAC4AMAAwACAAIAAwAC4AMAAwAFwAbgAgACAAIAAgACAAIAAgACAAIAAyAC4ANgA4ACAAIAAyAC4AMwA2ACAAIAAxAC4ANQA3ACAAIAAwAC4ANwA5ACAAIAAwAC4ANAA2AFwAbgAgACAAIAAgACAAIAAgACAAIAAyAC4AMwA2ACAAIAAyAC4AMAAzACAAIAAxAC4ANQA3ACAAIAAxAC4AMQAxACAAIAAwAC4ANwA5AFwAbgAqAC8AXABuAFwAbgBcAG4AXABuAC8AKgBbAEcAVwAwADEAXQAtAC0ALQAtAC0ALQAtAC0ALQAtAC0ALQAtAC0ALQAtAC0ALQAtAC0ALQAtAC0ALQAtAC0ALQAtAC0ALQAtAC0ALQAtAC0ALQAtAC0ALQAtAC0ALQAtAC0ALQAtAC0ALQAtAC0ALQAtAC0ALQAtAC0ALQAtAC0ALQAtAC0ALQAtAC0ALQAtAC0ALQAtAC0ALQAtAC0ALQAtAC0ALQBcAG4ARgB1AG4AYwB0AGkAbwBuADoAIAAgACAAIAAgAEQARwByAGkAZAC7A1wAbgBDAGEAdABlAGcAbwByAHkAOgAgACAAIAAgACAARwByAGkAZAB3AG8AcgBrAFwAbgBBAHUAdABoAG8AcgA6ACAAIAAgACAAIAAgACAAUABhAHQAcgBpAGMAawAgAEgALgBcAG4AVgBlAHIAcwBpAG8AbgA6ACAAIAAgACAAIAAgADEALgAxAFwAbgBEAGUAcABlAG4AZABlAG4AYwBpAGUAcwA6ACAAQwBHAHIAaQBkALsDXABuAFwAbgBEAGUAcwBjAHIAaQBwAHQAaQBvAG4AOgBcAG4AIAAgACAAIABHAGUAbgBlAHIAYQB0AGUAcwAgAGEAIABjAG8AdQBuAHQAZQByABEgYwBsAG8AYwBrAHcAaQBzAGUAIABkAGkAcgBlAGMAdABpAG8AbgAgAGcAcgBpAGQAIABpAG4AIABkAGUAZwByAGUAZQBzACAAKAAwALAAEyAzADYAMACwACkAIAB1AHMAaQBuAGcAXABuACAAIAAgACAAYwBlAG4AdABlAHIAZQBkACAAQwBhAHIAdABlAHMAaQBhAG4AIABjAG8AbwByAGQAaQBuAGEAdABlAHMAIABmAHIAbwBtACAAQwBHAHIAaQBkALsDLgBcAG4AXABuACAAIAAgACAAQQBuAGcAbABlACAAYwBvAG4AdgBlAG4AdABpAG8AbgA6AFwAbgAgACAAIAAgACAAIAAgACAAMACwACAAIAAgAD0AIAArAFgAIABkAGkAcgBlAGMAdABpAG8AbgAgACgAcgBpAGcAaAB0ACkAXABuACAAIAAgACAAIAAgACAAIAA5ADAAsAAgACAAPQAgACsAWQAgAGQAaQByAGUAYwB0AGkAbwBuACAAKAB1AHAAKQBcAG4AIAAgACAAIAAgACAAIAAgADEAOAAwALAAIAA9ACAAEyBYACAAZABpAHIAZQBjAHQAaQBvAG4AIAAoAGwAZQBmAHQAKQBcAG4AIAAgACAAIAAgACAAIAAgADIANwAwALAAIAA9ACAAEyBZACAAZABpAHIAZQBjAHQAaQBvAG4AIAAoAGQAbwB3AG4AKQBcAG4AXABuACAAIAAgACAAVABoAGUAIABjAGUAbgB0AGUAcgAgAGMAZQBsAGwAIAAoADAALAAwACkAIAByAGUAdAB1AHIAbgBzACAAMACwACAAdgBpAGEAIABJAEYARQBSAFIATwBSACAAZgBhAGwAbABiAGEAYwBrAC4AXABuAFwAbgBQAGEAcgBhAG0AZQB0AGUAcgA6AFwAbgAgACAAIAAgAGcAcgBpAGQAIAAtACAAQQAgADEARAAgAG8AcgAgADIARAAgAGEAcgByAGEAeQAgAHcAaABvAHMAZQAgAGQAaQBtAGUAbgBzAGkAbwBuAHMAIABkAGUAdABlAHIAbQBpAG4AZQAgAHQAaABlACAAbwB1AHQAcAB1AHQAIABzAGkAegBlAC4AIAAgACAAIABcAG4ALQAtAC0ALQAtAC0ALQAtAC0ALQAtAC0ALQAtAC0ALQAtAC0ALQAtAC0ALQAtAC0ALQAtAC0ALQAtAC0ALQAtAC0ALQAtAC0ALQAtAC0ALQAtAC0ALQAtAC0ALQAtAC0ALQAtAC0ALQAtAC0ALQAtAC0ALQAtAC0ALQAtAC0ALQAtAC0ALQAtAC0ALQAtAC0ALQAtAC0ALQAtAC0AKgAvAFwAbgBcAG4ARABHAHIAaQBkALsDIAA9AFwAbgBMAEEATQBCAEQAQQAoAFwAbgAgACAAIAAgAGcAcgBpAGQALABcAG4ATABFAFQAKABcAG4AIAAgACAAIAAvAC8AIABSAGEAdwAgAGEAbgBnAGwAZQAgAGkAbgAgAGQAZQBnAHIAZQBlAHMAIAAoAG0AYQB5ACAAYgBlACAAbgBlAGcAYQB0AGkAdgBlACkAXABuACAAIAAgACAAdABoAGUAdABhACwAIABJAEYARQBSAFIATwBSACgARABFAEcAUgBFAEUAUwAoAEEAVABBAE4AMgAoAEMARwByAGkAZAC7AygAZwByAGkAZAApACwAIABDAEcAcgBpAGQAuwMoAGcAcgBpAGQALAAxACkAKQApACwAMAApACwAXABuAFwAbgAgACAAIAAgAC8ALwAgAE4AbwByAG0AYQBsAGkAegBlACAAdABvACAAMACwABMgMwA2ADAAsABcAG4AIAAgACAAIABhAG4AZwBsAGUALAAgAE0ATwBEACgAdABoAGUAdABhACAAKwAgADMANgAwACwAIAAzADYAMAApACwAXABuAFwAbgAgACAAIAAgAGEAbgBnAGwAZQBcAG4AKQApADsAXABuAFwAbgBcAG4AXABuAC8AKgBbAEcAVwAwADIAXQAtAC0ALQAtAC0ALQAtAC0ALQAtAC0ALQAtAC0ALQAtAC0ALQAtAC0ALQAtAC0ALQAtAC0ALQAtAC0ALQAtAC0ALQAtAC0ALQAtAC0ALQAtAC0ALQAtAC0ALQAtAC0ALQAtAC0ALQAtAC0ALQAtAC0ALQAtAC0ALQAtAC0ALQAtAC0ALQAtAC0ALQAtAC0ALQAtAC0ALQAtAC0ALQBcAG4ARgB1AG4AYwB0AGkAbwBuADoAIAAgACAAIAAgAEM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YwBlAG4AdABlAHIAZQBkACAAQwBhAHIAdABlAHMAaQBhAG4AIABjAG8AbwByAGQAaQBuAGEAdABlACAAZwByAGkAZABzACAAYQBsAGkAZwBuAGUAZAAgAHQAbwAgAHQAaABlACAAcwBoAGEAcABlACAAbwBmACAAYQBcAG4AIAAgACAAIABzAHUAcABwAGwAaQBlAGQAIABhAHIAcgBhAHkALgAgAFIAZQB0AHUAcgBuAHMAIABlAGkAdABoAGUAcgAgAHIAbwB3ACAAYwBvAG8AcgBkAGkAbgBhAHQAZQBzACAAbwByACAAYwBvAGwAdQBtAG4AIABjAG8AbwByAGQAaQBuAGEAdABlAHMALgBcAG4AXABuACAAIAAgACAAQwBvAG8AcgBkAGkAbgBhAHQAZQAgAHIAYQBuAGcAZQBzACAAYQByAGUAIABjAGUAbgB0AGUAcgBlAGQAIABzAHUAYwBoACAAdABoAGEAdAA6AFwAbgAgACAAIAAgACAAIAAgACAAUgBvAHcAOgAgACAALQAoAGgAIAAtACAAMQApACAALwAgADIAIAAgAC4ALgAuACAAIAArACgAaAAgAC0AIAAxACkAIAAvACAAMgBcAG4AIAAgACAAIAAgACAAIAAgAEMAbwBsADoAIAAgAC0AKAB3ACAALQAgADEAKQAgAC8AIAAyACAAIAAuAC4ALgAgACAAKwAoAHcAIAAtACAAMQApACAALwAgADIAXABuAFwAbgAgACAAIAAgAFcAbwByAGsAcwAgAGYAbwByACAAYgBvAHQAaAAgADEARAAgAGEAbgBkACAAMgBEACAAYQByAHIAYQB5AHM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jAG8AbwByAGQAaQBuAGEAdABlAHMALgAgAEkAZgAgAG8AbQBpAHQAdABlAGQALAAgAHIAZQB0AHUAcgBuACAAcgBvAHcAXABuACAAIAAgACAAIAAgACAAIAAgACAAIAAgACAAIAAgACAAIAAgAGMAbwBvAHIAZABpAG4AYQB0AGUAcwAuAFwAbgAtAC0ALQAtAC0ALQAtAC0ALQAtAC0ALQAtAC0ALQAtAC0ALQAtAC0ALQAtAC0ALQAtAC0ALQAtAC0ALQAtAC0ALQAtAC0ALQAtAC0ALQAtAC0ALQAtAC0ALQAtAC0ALQAtAC0ALQAtAC0ALQAtAC0ALQAtAC0ALQAtAC0ALQAtAC0ALQAtAC0ALQAtAC0ALQAtAC0ALQAtAC0ALQAqAC8AXABuAFwAbgBD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UwB0AGEAcgB0AGkAbgBnACAAYwBvAG8AcgBkAGkAbgBhAHQAZQBzACAAKABjAGUAbgB0AGUAcgBlAGQAKQBcAG4AIAAgACAAIABpAF8AcwB0AGEAcgB0ACwAIAAtACAAKABoACAALQAgADEAKQAgAC8AIAAyACwAXABuACAAIAAgACAAagBfAHMAdABhAHIAdAAsACAALQAgACgAdwAgAC0AIAAxACkAIAAvACAAMgAsAFwAbgBcAG4AIAAgACAAIAAvAC8AIABEAGUAZgBlAHIAcgBlAGQAIABjAG8AbwByAGQAaQBuAGEAdABlACAAZwBlAG4AZQByAGEAdABvAHIAcwBcAG4AIAAgACAAIABpACwAIAAgACAAIAAgACAAIABMAEEATQBCAEQAQQAoAFIAZQBzAGkAegBlALsDKABTAEUAUQBVAEUATgBDAEUAKABoACwALABpAF8AcwB0AGEAcgB0ACkALAAsAHcAKQApACwAXABuACAAIAAgACAAagAsACAAIAAgACAAIAAgACAATABBAE0AQgBEAEEAKABSAGUAcwBpAHoAZQC7AygAUwBFAFEAVQBFAE4AQwBFACgALAB3ACwAagBfAHMAdABhAHIAdAApACwAaAApACkALABcAG4AXABuACAAIAAgACAALwAvACAAUwBlAGwAZQBjAHQAIAByAG8AdwAgAG8AcgAgAGMAbwBsAHUAbQBuACAAYwBvAG8AcgBkAGkAbgBhAHQAZQAgAGcAcgBpAGQAXABuACAAIAAgACAAcgBlAHMAdQBsAHQALAAgAEkARgAoAFIAbwB3AEkAZAB4AD8ALAAgAGkAKAApACwAIABqACgAKQApACwAXABuAFwAbgAgACAAIAAgAHIAZQBzAHUAbAB0AFwAbgApACkAOwBcAG4AXABuAFwAbgBcAG4ALwAqAFsARwBXADAAMwBdAC0ALQAtAC0ALQAtAC0ALQAtAC0ALQAtAC0ALQAtAC0ALQAtAC0ALQAtAC0ALQAtAC0ALQAtAC0ALQAtAC0ALQAtAC0ALQAtAC0ALQAtAC0ALQAtAC0ALQAtAC0ALQAtAC0ALQAtAC0ALQAtAC0ALQAtAC0ALQAtAC0ALQAtAC0ALQAtAC0ALQAtAC0ALQAtAC0ALQAtAC0ALQAtAFwAbgBGAHUAbgBjAHQAaQBvAG4AOgAgACAAIAAgACAATQ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yAG8AdwARIGkAbgBkAGUAeAAgAG8AcgAgAGMAbwBsAHUAbQBuABEgaQBuAGQAZQB4ACAAZwByAGkAZABzACAAbQBhAHQAYwBoAGkAbgBnACAAdABoAGUAIABzAGgAYQBwAGUAIABvAGYAIABhACAAcwB1AHAAcABsAGkAZQBkAFwAbgAgACAAIAAgAGEAcgByAGEAeQAuACAAVABoAGkAcwAgAGkAcwAgAHQAaABlACAARQB4AGMAZQBsACAAZQBxAHUAaQB2AGEAbABlAG4AdAAgAG8AZgAgAE0AQQBUAEwAQQBCABkgcwAgAG0AZQBzAGgAZwByAGkAZAAgAG8AcgAgAE4AdQBtAFAAeQAZIHMAIABpAG4AZABpAGMAZQBzAC4AXABuAFwAbgAgACAAIAAgAEIAeQAgAGQAZQBmAGEAdQBsAHQALAAgAE0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VwBvAHIAawBzACAAZgBvAHIAIABiAG8AdABoACAAMQBEACAAYQBuAGQAIAAyAEQAIABhAHIAcgBhAHkAcwAuACAATwB1AHQAcAB1AHQAIABhAGwAdwBhAHkAcwAgAG0AYQB0AGMAaABlAHMAIAB0AGgAZQAgAGcAZQBvAG0AZQB0AHIAeQAgAG8AZgAgAHQAaABlAFwAbgAgACAAIAAgAGkAbgBwAHUAdAAgAGcAcgBpAGQ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N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aQBuAGQAZQB4ACAAZwByAGkAZABzAFwAbgAgACAAIAAgAGkALAAgACAAIAAgACAAIAAgAEwAQQBNAEIARABBACgAUgBlAHMAaQB6AGUAuwMoAFMARQBRAFUARQBOAEMARQAoAGgAKQAsACwAdwApACkALABcAG4AIAAgACAAIABqACwAIAAgACAAIAAgACAAIABMAEEATQBCAEQAQQAoAFIAZQBzAGkAegBlALsDKABTAEUAUQBVAEUATgBDAEUAKAAsAHcAKQAsAGgAKQApACwAXABuAFwAbgAgACAAIAAgAC8ALwAgAFMAZQBsAGUAYwB0ACAAcgBvAHcAIABvAHIAIABjAG8AbAB1AG0AbgAgAGkAbgBkAGUAeAAgAGcAcgBpAGQAXABuACAAIAAgACAAcgBlAHMAdQBsAHQALAAgACAASQBGACgAUgBvAHcASQBkAHgAPwAsACAAaQAoACkALAAgAGoAKAApACkALABcAG4AXABuACAAIAAgACAAcgBlAHMAdQBsAHQAXABuACkAKQA7AFwAbgBcAG4AXABuAFwAbgAvACoAWwBHAFcAMAA0AF0ALQAtAC0ALQAtAC0ALQAtAC0ALQAtAC0ALQAtAC0ALQAtAC0ALQAtAC0ALQAtAC0ALQAtAC0ALQAtAC0ALQAtAC0ALQAtAC0ALQAtAC0ALQAtAC0ALQAtAC0ALQAtAC0ALQAtAC0ALQAtAC0ALQAtAC0ALQAtAC0ALQAtAC0ALQAtAC0ALQAtAC0ALQAtAC0ALQAtAC0ALQAtAC0AXABuAEYAdQBuAGMAdABpAG8AbgA6ACAAIAAgACAAIABU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3AGgAbwBzAGUAIAB2AGEAbAB1AGUAcwAgAHcAcgBhAHAAIAB3AGkAdABoAGkAbgAgAGEAIABzAHAAZQBjAGkAZgBpAGUAZABcAG4AIAAgACAAIAB0AGgAcgBlAHMAaABvAGwAZAAuACAASQBuAGQAaQBjAGUAcwAgAGMAeQBjAGwAZQAgAGYAcgBvAG0AIAAxACAAdABvACAAdABoAHIAZQBzAGgAbwBsAGQALAAgAHIAZQBwAGUAYQB0AGkAbgBnACAAYQBzACAAbgBlAGUAZABlAGQAIAB0AG8AIABtAGEAdABjAGgAIAB0AGgAZQBcAG4AIAAgACAAIABzAGgAYQBwAGUAIABvAGYAIAB0AGgAZQAgAHMAdQBwAHAAbABpAGUAZAAgAGEAcgByAGEAeQAuAFwAbgBcAG4AIAAgACAAIABCAHkAIABkAGUAZgBhAHUAbAB0ACwAIABUAEcAcgBpAGQAuwMgAHIAZQB0AHUAcgBuAHMAIAByAG8AdwAgAGkAbgBkAGkAYwBlAHMALgAgAFcAaABlAG4AIAB0AGgAZQAgAG8AcAB0AGkAbwBuAGEAbAAgAHAAYQByAGEAbQBlAHQAZQByACAAaQBzACAAVABSAFUARQAsAFwAbgAgACAAIAAgAGkAdAAgAHIAZQB0AHUAcgBuAHMAIABjAG8AbAB1AG0AbgAgAGkAbgBkAGkAYwBlAHMAIABpAG4AcwB0AGUAYQBkAC4AXABuAFwAbgAgACAAIAAgAE4AbwBuABEgaQBuAHQAZQBnAGUAcgAgAHQAaAByAGUAcwBoAG8AbABkAHMAIABhAHIAZQAgAG4AbwByAG0AYQBsAGkAegBlAGQAIAB1AHMAaQBuAGcAIABJAE4AVAAoAHQAaAByAGUAcwBoAG8AbABkACkALgAgAFQAaAByAGUAcwBoAG8AbABkAHMAIABtAHUAcwB0ACAAYgBlAFwAbgAgACAAIAAgAHAAbwBzAGkAdABpAHYAZQAgAGkAbgB0AGUAZwBlAHIAcwAuAFwAbgBcAG4AUABhAHIAYQBtAGUAdABlAHIAcwA6AFwAbgAgACAAIAAgAGcAcgBpAGQAIAAgACAAIAAgACAAIAAgAC0AIABBACAAMQBEACAAbwByACAAMgBEACAAYQByAHIAYQB5ACAAdwBoAG8AcwBlACAAZABpAG0AZQBuAHMAaQBvAG4AcwAgAGQAZQB0AGUAcgBtAGkAbgBlACAAdABoAGUAIABvAHUAdABwAHUAdAAgAHMAaQB6AGUALgBcAG4AIAAgACAAIAB0AGgAcgBlAHMAaABvAGwAZAAgACAAIAAtACAATQBhAHgAaQBtAHUAbQAgAGkAbgBkAGUAeAAgAHYAYQBsAHUAZQAgAGIAZQBmAG8AcgBlACAAdwByAGEAcABwAGkAbgBnACAAKABtAHUAcwB0ACAAYgBlACAAPgAgADAAKQAuAFwAbgAgACAAIAAgAFsAYwBvAGwAXwBpAG4AZABlAHgAXQAgAC0AIABJAGYAIABUAFIAVQBFACwAIAByAGUAdAB1AHIAbgAgAGMAbwBsAHUAbQBuACAAaQBuAGQAaQBjAGUAcwAuACAASQBmACAAbwBtAGkAdAB0AGUAZAAsACAAcgBlAHQAdQByAG4AIAByAG8AdwAgAGkAbgBkAGkAYwBlAHMALgBcAG4ALQAtAC0ALQAtAC0ALQAtAC0ALQAtAC0ALQAtAC0ALQAtAC0ALQAtAC0ALQAtAC0ALQAtAC0ALQAtAC0ALQAtAC0ALQAtAC0ALQAtAC0ALQAtAC0ALQAtAC0ALQAtAC0ALQAtAC0ALQAtAC0ALQAtAC0ALQAtAC0ALQAtAC0ALQAtAC0ALQAtAC0ALQAtAC0ALQAtAC0ALQAtAC0AKgAvAFwAbgBcAG4AVABHAHIAaQBkALsDIAA9AFwAbgBMAEEATQBCAEQAQQAoAFwAbgAgACAAIAAgAGcAcgBpAGQALABcAG4AIAAgACAAIAB0AGgAcgBlAHMAaABvAGwAZAAsAFwAbgAgACAAIAAgAFsAYwBvAGwAXwBpAG4AZABlAHgAXQAsAFwAbgBcAG4ASQBGACgATwBSACgASQBTAFQARQBYAFQAKAB0AGgAcgBlAHMAaABvAGwAZAApACwAIAB0AGgAcgBlAHMAaABvAGwAZAAgADwAPQAgADAAKQAsAFwAIgAjAFQASABSAEUAUwBIAE8ATABEACEAXAAiACwAXABuAFwAbgBMAEUAVAAoAFwAbgAgACAAIAAgAC8ALwAgAE4AbwByAG0AYQBsAGkAegBlACAAdABoAHIAZQBzAGgAbwBsAGQAXABuACAAIAAgACAAdAAsACAAIAAgACAAIAAgACAASQBOAFQAKAB0AGgAcgBlAHMAaABvAGwAZAApACwAXABu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dwByAGEAcABwAGUAZAAgAGkAbgBkAGUAeAAgAGcAcgBpAGQAcwBcAG4AIAAgACAAIABpACwAIAAgACAAIAAgACAAIABMAEEATQBCAEQAQQAoACAAMQAgACsAIABNAE8ARAAoAFIAZQBzAGkAegBlALsDKABTAEUAUQBVAEUATgBDAEUAKABoACwALAAwACkALAAsAHcAKQAsACAAdAApACkALABcAG4AIAAgACAAIABqACwAIAAgACAAIAAgACAAIABMAEEATQBCAEQAQQAoACAAMQAgACsAIABNAE8ARAAoAFIAZQBzAGkAegBlALsDKABTAEUAUQBVAEUATgBDAEUAKAAsAHcALAAwACkALABoACkALAAgAHQAKQApACwAXABuAFwAbgAgACAAIAAgAC8ALwAgAFMAZQBsAGUAYwB0ACAAcgBvAHcAIABvAHIAIABjAG8AbAB1AG0AbgAgAGkAbgBkAGUAeAAgAGcAcgBpAGQAXABuACAAIAAgACAAcgBlAHMAdQBsAHQALAAgACAASQBGACgAUgBvAHcASQBkAHgAPwAsACAAaQAoACkALAAgAGoAKAApACkALABcAG4AXABuACAAIAAgACAAcgBlAHMAdQBsAHQAXABuACkAKQApADsAXABuAFwAbgBcAG4AXABuAC8AKgBbAEcAVwAwADUAXQAtAC0ALQAtAC0ALQAtAC0ALQAtAC0ALQAtAC0ALQAtAC0ALQAtAC0ALQAtAC0ALQAtAC0ALQAtAC0ALQAtAC0ALQAtAC0ALQAtAC0ALQAtAC0ALQAtAC0ALQAtAC0ALQAtAC0ALQAtAC0ALQAtAC0ALQAtAC0ALQAtAC0ALQAtAC0ALQAtAC0ALQAtAC0ALQAtAC0ALQAtAC0ALQBcAG4ARgB1AG4AYwB0AGkAbwBuADoAIAAgACAAIAAgAFAAbwBsAGEAcg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cAcgBpAGQAIABvAGYAIABwAG8AbABhAHIAIABjAG8AbwByAGQAaQBuAGEAdABlAHMAIABhAGwAaQBnAG4AZQBkACAAdABvACAAdABoAGUAIABzAGgAYQBwAGUAIABvAGYAIABhACAAcwB1AHAAcABsAGkAZQBkAFwAbgAgACAAIAAgAGEAcgByAGEAeQAuACAAQwBvAG8AcgBkAGkAbgBhAHQAZQBzACAAYQByAGUAIABkAGUAcgBpAHYAZQBkACAAZgByAG8AbQAgAGMAZQBuAHQAZQByAGUAZAAgAEMAYQByAHQAZQBzAGkAYQBuACAAYwBvAG8AcgBkAGkAbgBhAHQAZQBzACAAcAByAG8AZAB1AGMAZQBkAFwAbgAgACAAIAAgAGIAeQAgAEMARwByAGkAZAC7Ay4AXABuAFwAbgAgACAAIAAgAFQAdwBvACAAYwBvAG8AcgBkAGkAbgBhAHQAZQAgAGYAaQBlAGwAZABzACAAYQByAGUAIABhAHYAYQBpAGwAYQBiAGwAZQA6AFwAbgAgACAAIAAgACAAIAAgACAAcgAgACAAIAAgAC0AIAByAGEAZABpAGEAbAAgAGQAaQBzAHQAYQBuAGMAZQAgAGYAcgBvAG0AIAB0AGgAZQAgAGMAZQBuAHQAZQByAFwAbgAgACAAIAAgACAAIAAgACAAcABoAGkAIAAgAC0AIABhAG4AZwBsAGUAIABpAG4AIAByAGEAZABpAGEAbgBzACwAIAB1AHMAaQBuAGcAIAB0AGgAZQAgAEEAVABBAE4AMgAoAHkALAAgAHgAKQAgAGMAbwBuAHYAZQBuAHQAaQBvAG4AXABuAFwAbgAgACAAIAAgAEkAZgAgAHAAaABpAF8AYwBvAG8AcgBkAGkAbgBhAHQAZQAgAGkAcwAgAG8AbQBpAHQAdABlAGQALAAgAHQAaABlACAAZgB1AG4AYwB0AGkAbwBuACAAcgBlAHQAdQByAG4AcwAgAHQAaABlACAAcgBhAGQAaQBhAGwAIABkAGkAcwB0AGEAbgBjAGUAIABnAHIAaQBkAC4AXABuACAAIAAgACAASQBmACAAVABSAFUARQAsACAAdABoAGUAIABmAHUAbgBjAHQAaQBvAG4AIAByAGUAdAB1AHIAbgBzACAAdABoAGUAIABhAG4AZwB1AGwAYQByACAAZwByAGkAZAAuAFwAbgBcAG4AIAAgACAAIABUAGgAZQAgAGMAZQBuAHQAZQByACAAYwBlAGwAbAAgACgAMAAsADAAKQAgAHIAZQB0AHUAcgBuAHMAIABwAGgAaQAgAD0AIAAwACAAdgBpAGEAIABJAEYARQBSAFIATwBSACAAZgBhAGwAbABiAGEAYwBrAC4AXABuAFwAbgBQAGEAcgBhAG0AZQB0AGUAcgBzADoAXABuACAAIAAgACAAZwByAGkAZAAgACAAIAAgACAAIAAgACAAIAAgACAAIAAgAC0AIAAyAEQAIABhAHIAcgBhAHkAIABmAHIAbwBtACAAdwBoAGkAYwBoACAAdABvACAAZwBlAG4AZQByAGEAdABlACAAcABvAGwAYQByACAAYwBvAG8AcgBkAGkAbgBhAHQAZQBzAC4AXABuACAAIAAgACAAWwBwAGgAaQBfAGMAbwBvAHIAZABpAG4AYQB0AGUAXQAgAC0AIABJAGYAIABUAFIAVQBFACwAIAByAGUAdAB1AHIAbgAgAHAAaABpADsAIABpAGYAIABvAG0AaQB0AHQAZQBkACwAIAByAGUAdAB1AHIAbgAgAHIALgBcAG4ALQAtAC0ALQAtAC0ALQAtAC0ALQAtAC0ALQAtAC0ALQAtAC0ALQAtAC0ALQAtAC0ALQAtAC0ALQAtAC0ALQAtAC0ALQAtAC0ALQAtAC0ALQAtAC0ALQAtAC0ALQAtAC0ALQAtAC0ALQAtAC0ALQAtAC0ALQAtAC0ALQAtAC0ALQAtAC0ALQAtAC0ALQAtAC0ALQAtAC0ALQAtAC0AKgAvAFwAbgBcAG4AUABvAGwAYQByAEcAcgBpAGQAuwMgAD0AXABuAEwAQQBNAEIARABBACgAXABuACAAIAAgACAAZwByAGkAZAAsAFwAbgAgACAAIAAgAFsAcABoAGkAXwBjAG8AbwByAGQAaQBuAGEAdABlAF0ALABcAG4ATABFAFQAKABcAG4AIAAgACAAIAAvAC8AIABSAGUAdAB1AHIAbgAgAG0AbwBkAGUAXABuACAAIAAgACAASQBzAFIAPwAsACAAIAAgAEkAUwBPAE0ASQBUAFQARQBEACgAcABoAGkAXwBjAG8AbwByAGQAaQBuAGEAdABlACkALABcAG4AXABuACAAIAAgACAALwAvACAAQwBhAHIAdABlAHMAaQBhAG4AIABjAG8AbwByAGQAaQBuAGEAdABlAHMAXABuACAAIAAgACAAeAAsACAAIAAgACAAIAAgAEMARwByAGkAZAC7AygAZwByAGkAZAApACwAXABuACAAIAAgACAAeQAsACAAIAAgACAAIAAgAEMARwByAGkAZAC7AygAZwByAGkAZAAsADEAKQAsAFwAbgBcAG4AIAAgACAAIAAvAC8AIABQAG8AbABhAHIAIABjAG8AbwByAGQAaQBuAGEAdABlAHMAXABuACAAIAAgACAAcgAsACAAIAAgACAAIAAgAFMAUQBSAFQAKAB4AF4AMgAgACsAIAB5AF4AMgApACwAXABuACAAIAAgACAAcABoAGkALAAgACAAIAAgAEkARgBFAFIAUgBPAFIAKABBAFQAQQBOADIAKAB5ACwAIAB4ACkALAAgADAAKQAsAFwAbgBcAG4AIAAgACAAIAAvAC8AIABTAGUAbABlAGMAdAAgAHIAIABvAHIAIABwAGgAaQBcAG4AIAAgACAAIAByAGUAcwB1AGwAdAAsACAASQBGACgASQBzAFIAPwAsACAAcgAsACAAcABoAGkAKQAsAFwAbgBcAG4AIAAgACAAIAByAGUAcwB1AGwAdABcAG4AKQApADsAXABuAFwAbgBcAG4AXABuAC8AKgAgAFsARwBHAF0AIAAtAC0ALQAtAC0ALQAtAC0ALQAtAC0ALQAtAC0ALQAtAC0ALQAtAC0ALQAtAC0ALQAtAC0ALQAtAC0ALQAtAC0ALQAtAC0ALQAtAC0ALQAtAC0ALQAtAC0ALQAtAC0ALQAtAC0ALQAtAC0ALQAtAC0ALQAtAC0ALQAtAC0ALQAtAC0ALQAtAC0ALQAtAC0ALQAtAC0ALQBcAG4AIwAjACAAMAAyACAALQAgAEcAcgBpAGQAIABHAGUAbwBtAGUAdAByAHk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QAaABpAHMAIABtAG8AZAB1AGwAZQAgAGQAZQBmAGkAbgBlAHMAIABhACAAZgBhAG0AaQBsAHkAIABvAGYAIABnAGUAbwBtAGUAdAByAGkAYwAgAGUAeAB0AHIAYQBjAHQAaQBvAG4AIABvAHAAZQByAGEAdABvAHIAcwAgAGYAbwByACAAMgBEACAAYQByAHIAYQB5AHMALgBcAG4AIAAgACAAIABFAGEAYwBoACAAZgB1AG4AYwB0AGkAbwBuACAAcgBlAHQAdQByAG4AcwAgAGEAIAByAGUAZwBpAG8AbgAgAG8AZgAgAHQAaABlACAAZwByAGkAZAAgAGQAZQBmAGkAbgBlAGQAIABiAHkAIABhACAAcwBwAGUAYwBpAGYAaQBjACAAcwBoAGEAcABlACwAXABuACAAIAAgACAAcAByAGUAcwBlAHIAdgBpAG4AZwAgAHQAaABlACAAZwBlAG8AbQBlAHQAcgB5ACAAbwBmACAAdABoAGUAIABlAHgAdAByAGEAYwB0AGUAZAAgAGEAcgBlAGEALgAgAEMAZQBuAHQAZQByAHMAIABtAGEAeQAgAGIAZQAgAHMAcABlAGMAaQBmAGkAZQBkACAAYgB5AFwAbgAgACAAIAAgAGMAcgBpAHQAZQByAGkAYQAgAG8AcgAgAGUAeABwAGwAaQBjAGkAdAAgAGMAbwBvAHIAZABpAG4AYQB0AGUAcwAsACAAYQBuAGQAIABvAHAAdABpAG8AbgBhAGwAIABmAGkAbABsACAAdgBhAGwAdQBlAHMAIABjAG8AbgB0AHIAbwBsACAAdwBoAGEAdABcAG4AIAAgACAAIABhAHAAcABlAGEAcgBzACAAbwB1AHQAcwBpAGQAZQAgAHQAaABlACAAZQB4AHQAcgBhAGMAdABlAGQAIAByAGUAZwBpAG8AbgAuAFwAbgBcAG4AIAAgACAAIABTAGgAYQBwAGUAcwA6AFwAbgAgACAAIAAgACAAIAAgACAAIiAgAEMAaQByAGMAbABlALsDIAAgACAALQAgACAAIABDAGkAcgBjAHUAbABhAHIAIAByAGUAZwBpAG8AbgAgAGIAeQAgAHQAYQByAGcAZQB0ACAAbwByACAAewByAG8AdwAsACAAYwBvAGwAfQAgAGMAZQBuAHQAZQByAC4AXABuAFwAbgAgACAAIAAgACAAIAAgACAAIiAgAEQAaQBhAG0AbwBuAGQAuwMgACAALQAgACAAIABNAGEAbgBoAGEAdAB0AGEAbgARIHIAYQBkAGkAdQBzACAAZABpAGEAbQBvAG4AZAAuAFwAbgBcAG4AIAAgACAAIAAgACAAIAAgACIgIABQAGwAdQBzALsDIAAgACAAIAAgAC0AIAAgACAAQwByAG8AcwBzABEgcwBoAGEAcABlAGQAIAByAGUAZwBpAG8AbgAgACgAdgBvAG4AIABOAGUAdQBtAGEAbgBuACAAbgBlAGkAZwBoAGIAbwByAGgAbwBvAGQAKQAuAFwAbgBcAG4AIAAgACAAIAAgACAAIAAgACIgIABQAHkAcgBhAG0AaQBkALsDIAAgAC0AIAAgACAARABpAHIAZQBjAHQAaQBvAG4AYQBsACAAaABhAGwAZgARIGQAaQBhAG0AbwBuAGQAIAAoAGYAbwB1AHIAIABwAGkAZQBjAGUAcwApAC4AXABuAFwAbgAgACAAIAAgACAAIAAgACAAIiAgAFIAaQBuAGcAuwMgACAAIAAgACAALQAgACAAIABMAGEAeQBlAHIAESBiAGEAcwBlAGQAIABwAGUAcgBpAG0AZQB0AGUAcgAgAGUAeAB0AHIAYQBjAHQAaQBvAG4ALgBcAG4AXABuACAAIAAgACAAIAAgACAAIAAiICAAUwBxAHUAYQByAGUAuwMgACAAIAAtACAAIAAgAEMAaABlAGIAeQBzAGgAZQB2ABEgcgBhAGQAaQB1AHMAIABzAHEAdQBhAHIAZQAuAFwAbgBcAG4AIAAgACAAIAAgACAAIAAgACIgIABUAHIAaQBhAG4AZwBsAGUAuwMgAC0AIAAgACAARABpAHIAZQBjAHQAaQBvAG4AYQBsACAAdAByAGkAYQBuAGcAdQBsAGEAcgAgAHIAZQBnAGkAbwBuACAAKABhAGIAbwB2AGUAIABvAHIAIABiAGUAbABvAHcAKQAuAFwAbgBcAG4AIAAgACAAIABVAHQAaQBsAGkAdABpAGUAcwA6AFwAbgAgACAAIAAgACAAIAAgACAAIiAgAEMARwByAGkAZAC7AywAIABNAEcAcgBpAGQAuwMsACAAUgBlAHMAaQB6AGUAuwMsACAAUwBxAHUAZQBlAHoAZQC7A1wAbgBcAG4AIAAgACAAIABBAGwAbAAgAGYAdQBuAGMAdABpAG8AbgBzACAAYQByAGUAIABzAGgAYQBwAGUAESBkAHIAaQB2AGUAbgA6ACAAdABoAGUAIABpAG4AcAB1AHQAIABnAHIAaQBkACAAZABlAHQAZQByAG0AaQBuAGUAcwAgAHQAaABlACAAYwBvAG8AcgBkAGkAbgBhAHQAZQBcAG4AIAAgACAAIABlAHgAdABlAG4AdABzACAAYQBuAGQAIAB0AGgAZQAgAGcAZQBvAG0AZQB0AHIAeQAgAG8AZgAgAHQAaABlACAAZQB4AHQAcgBhAGMAdABlAGQAIAByAGUAZwBpAG8AbgAuAFwAbgAvACoAXABuAFwAbgAgACAAIAAgAEUAeABhAG0AcABsAGUAcwA6AFwAbgBcAG4AXABuAEcAcgBpAGQAXAB0AFwAdABcAHQAXAB0AFwAdABcAHQAXAB0AFwAdABcAHQAXABuADEAXAB0ADIAXAB0ADMAXAB0ADQAXAB0ADUAXAB0ADYAXAB0ADcAXAB0ADgAXAB0ADkAXAB0ADEAMABcAG4AMQAxAFwAdAAxADIAXAB0ADEAMwBcAHQAMQA0AFwAdAAxADUAXAB0ADEANgBcAHQAMQA3AFwAdAAxADgAXAB0ADEAOQBcAHQAMgAwAFwAbgAyADEAXAB0ADIAMgBcAHQAMgAzAFwAdAAyADQAXAB0ADIANQBcAHQAMgA2AFwAdAAyADcAXAB0ADIAOABcAHQAMgA5AFwAdAAzADAAXABuADMAMQBcAHQAMwAyAFwAdAAzADMAXAB0ADMANABcAHQAMwA1AFwAdAAzADYAXAB0ADMANwBcAHQAMwA4AFwAdAAzADkAXAB0ADQAMABcAG4ANAAxAFwAdAA0ADIAXAB0ADQAMwBcAHQANAA0AFwAdAA0ADUAXAB0ADQANgBcAHQANAA3AFwAdAA0ADgAXAB0ADQAOQBcAHQANQAwAFwAbgA1ADEAXAB0ADUAMgBcAHQANQAzAFwAdAA1ADQAXAB0ADUANQBcAHQANQA2AFwAdAA1ADcAXAB0ADUAOABcAHQANQA5AFwAdAA2ADAAXABuADYAMQBcAHQANgAyAFwAdAA2ADMAXAB0ADYANABcAHQANgA1AFwAdAA2ADYAXAB0ADYANwBcAHQANgA4AFwAdAA2ADkAXAB0ADcAMABcAG4ANwAxAFwAdAA3ADIAXAB0ADcAMwBcAHQANwA0AFwAdAA3ADUAXAB0ADcANgBcAHQANwA3AFwAdAA3ADgAXAB0ADcAOQBcAHQAOAAwAFwAbgA4ADEAXAB0ADgAMgBcAHQAOAAzAFwAdAA4ADQAXAB0ADgANQBcAHQAOAA2AFwAdAA4ADcAXAB0ADgAOABcAHQAOAA5AFwAdAA5ADAAXABuADkAMQBcAHQAOQAyAFwAdAA5ADMAXAB0ADkANABcAHQAOQA1AFwAdAA5ADYAXAB0ADkANwBcAHQAOQA4AFwAdAA5ADkAXAB0ADEAMAAwAFwAbgBcAHQAXAB0AFwAdABcAHQAXAB0AFwAdABcAHQAXAB0AFwAdABcAG4AQwBpAHIAYwBsAGUAuwMoAGcAcgBpAGQALAA0ADUALAA1ACwAXAAiAFwAIgApAFwAdABcAHQAXAB0AFwAdABcAHQAXAB0AFwAdABcAHQAXAB0AFwAbgBcAHQAMgBcAHQAMwBcAHQANABcAHQANQBcAHQANgBcAHQANwBcAHQAOABcAHQAXAB0AFwAbgAxADEAXAB0ADEAMgBcAHQAMQAzAFwAdAAxADQAXAB0ADEANQBcAHQAMQA2AFwAdAAxADcAXAB0ADEAOABcAHQAMQA5AFwAdABcAG4AMgAxAFwAdAAyADIAXAB0ADIAMwBcAHQAMgA0AFwAdAAyADUAXAB0ADIANgBcAHQAMgA3AFwAdAAyADgAXAB0ADIAOQBcAHQAXABuADMAMQBcAHQAMwAyAFwAdAAzADMAXAB0ADMANABcAHQAMwA1AFwAdAAzADYAXAB0ADMANwBcAHQAMwA4AFwAdAAzADkAXAB0AFwAbgA0ADEAXAB0ADQAMgBcAHQANAAzAFwAdAA0ADQAXAB0ADQANQBcAHQANAA2AFwAdAA0ADcAXAB0ADQAOABcAHQANAA5AFwAdAA1ADAAXABuADUAMQBcAHQANQAyAFwAdAA1ADMAXAB0ADUANABcAHQANQA1AFwAdAA1ADYAXAB0ADUANwBcAHQANQA4AFwAdAA1ADkAXAB0AFwAbgA2ADEAXAB0ADYAMgBcAHQANgAzAFwAdAA2ADQAXAB0ADYANQBcAHQANgA2AFwAdAA2ADcAXAB0ADYAOABcAHQANgA5AFwAdABcAG4ANwAxAFwAdAA3ADIAXAB0ADcAMwBcAHQANwA0AFwAdAA3ADUAXAB0ADcANgBcAHQANwA3AFwAdAA3ADgAXAB0ADcAOQBcAHQAXABuAFwAdAA4ADIAXAB0ADgAMwBcAHQAOAA0AFwAdAA4ADUAXAB0ADgANgBcAHQAOAA3AFwAdAA4ADgAXAB0AFwAdABcAG4AXAB0AFwAdABcAHQAXAB0ADkANQBcAHQAXAB0AFwAdABcAHQAXAB0AFwAbgBcAHQAXAB0AFwAdABcAHQAXAB0AFwAdABcAHQAXAB0AFwAdABcAG4ARABpAGEAbQBvAG4AZAC7AygAZwByAGkAZAAsAHsANQAsADUAfQAsADMALABcACIAXAAiACkAXAB0AFwAdABcAHQAXAB0AFwAdABcAHQAXAB0AFwAdABcAHQAXABuAFwAdABcAHQAXAB0ADEANQBcAHQAXAB0AFwAdABcAHQAXAB0AFwAdABcAG4AXAB0AFwAdAAyADQAXAB0ADIANQBcAHQAMgA2AFwAdABcAHQAXAB0AFwAdABcAHQAXABuAFwAdAAzADMAXAB0ADMANABcAHQAMwA1AFwAdAAzADYAXAB0ADMANwBcAHQAXAB0AFwAdABcAHQAXABuADQAMgBcAHQANAAzAFwAdAA0ADQAXAB0ADQANQBcAHQANAA2AFwAdAA0ADcAXAB0ADQAOABcAHQAXAB0AFwAdABcAG4AXAB0ADUAMwBcAHQANQA0AFwAdAA1ADUAXAB0ADUANgBcAHQANQA3AFwAdABcAHQAXAB0AFwAdABcAG4AXAB0AFwAdAA2ADQAXAB0ADYANQBcAHQANgA2AFwAdABcAHQAXAB0AFwAdABcAHQAXABuAFwAdABcAHQAXAB0ADcANQBcAHQAXAB0AFwAdABcAHQAXAB0AFwAdABcAG4AXAB0AFwAdABcAHQAXAB0AFwAdABcAHQAXAB0AFwAdABcAHQAXABuAFAAbAB1AHMAuwMoAGcAcgBpAGQALAA1ADcALAAzACwAXAAiAFwAIgApAFwAdABcAHQAXAB0AFwAdABcAHQAXAB0AFwAdABcAHQAXAB0AFwAbgBcAHQAXAB0AFwAdAAyADcAXAB0AFwAdABcAHQAXAB0AFwAdABcAHQAXABuAFwAdABcAHQAXAB0ADMANwBcAHQAXAB0AFwAdABcAHQAXAB0AFwAdABcAG4AXAB0AFwAdABcAHQANAA3AFwAdABcAHQAXAB0AFwAdABcAHQAXAB0AFwAbgA1ADQAXAB0ADUANQBcAHQANQA2AFwAdAA1ADcAXAB0ADUAOABcAHQANQA5AFwAdAA2ADAAXAB0AFwAdABcAHQAXABuAFwAdABcAHQAXAB0ADYANwBcAHQAXAB0AFwAdABcAHQAXAB0AFwAdABcAG4AXAB0AFwAdABcAHQANwA3AFwAdABcAHQAXAB0AFwAdABcAHQAXAB0AFwAbgBcAHQAXAB0AFwAdAA4ADcAXAB0AFwAdABcAHQAXAB0AFwAdABcAHQAXABuAFwAdABcAHQAXAB0AFwAdABcAHQAXAB0AFwAdABcAHQAXAB0AFwAbgBQAHkAcgBhAG0AaQBkALsDKABnAHIAaQBkACwAMgAsAFwAIgB4AFwAIgApAFwAdABcAHQAXAB0AFwAdABcAHQAXAB0AFwAdABcAHQAXAB0AFwAbgB4AFwAdAB4AFwAdAB4AFwAdAB4AFwAdAB4AFwAdAB4AFwAdAB4AFwAdAB4AFwAdAB4AFwAdAAxADAAXABuAHgAXAB0AHgAXAB0AHgAXAB0AHgAXAB0AHgAXAB0AHgAXAB0AHgAXAB0AHgAXAB0ADEAOQBcAHQAMgAwAFwAbgB4AFwAdAB4AFwAdAB4AFwAdAB4AFwAdAB4AFwAdAB4AFwAdAB4AFwAdAAyADgAXAB0ADIAOQBcAHQAMwAwAFwAbgB4AFwAdAB4AFwAdAB4AFwAdAB4AFwAdAB4AFwAdAB4AFwAdAAzADcAXAB0ADMAOABcAHQAMwA5AFwAdAA0ADAAXABuAHgAXAB0AHgAXAB0AHgAXAB0AHgAXAB0AHgAXAB0ADQANgBcAHQANAA3AFwAdAA0ADgAXAB0ADQAOQBcAHQANQAwAFwAbgB4AFwAdAB4AFwAdAB4AFwAdAB4AFwAdAA1ADUAXAB0ADUANgBcAHQANQA3AFwAdAA1ADgAXAB0ADUAOQBcAHQANgAwAFwAbgB4AFwAdAB4AFwAdAB4AFwAdAA2ADQAXAB0ADYANQBcAHQANgA2AFwAdAA2ADcAXAB0ADYAOABcAHQANgA5AFwAdAA3ADAAXABuAHgAXAB0AHgAXAB0ADcAMwBcAHQANwA0AFwAdAA3ADUAXAB0ADcANgBcAHQANwA3AFwAdAA3ADgAXAB0ADcAOQBcAHQAOAAwAFwAbgB4AFwAdAA4ADIAXAB0ADgAMwBcAHQAOAA0AFwAdAA4ADUAXAB0ADgANgBcAHQAOAA3AFwAdAA4ADgAXAB0ADgAOQBcAHQAOQAwAFwAbgA5ADEAXAB0ADkAMgBcAHQAOQAzAFwAdAA5ADQAXAB0ADkANQBcAHQAOQA2AFwAdAA5ADcAXAB0ADkAOABcAHQAOQA5AFwAdAAxADAAMABcAG4AXAB0AFwAdABcAHQAXAB0AFwAdABcAHQAXAB0AFwAdABcAHQAXABuAFIAaQBuAGcAuwMoAGcAcgBpAGQALAAyACwAXAAiAC0AXAAiACkAXAB0AFwAdABcAHQAXAB0AFwAdABcAHQAXAB0AFwAdABcAHQAXABuAC0AXAB0AC0AXAB0AC0AXAB0AC0AXAB0AC0AXAB0AC0AXAB0AC0AXAB0AC0AXAB0AC0AXAB0AC0AXABuAC0AXAB0ADEAMgBcAHQAMQAzAFwAdAAxADQAXAB0ADEANQBcAHQAMQA2AFwAdAAxADcAXAB0ADEAOABcAHQAMQA5AFwAdAAtAFwAbgAtAFwAdAAyADIAXAB0AC0AXAB0AC0AXAB0AC0AXAB0AC0AXAB0AC0AXAB0AC0AXAB0ADIAOQBcAHQALQBcAG4ALQBcAHQAMwAyAFwAdAAtAFwAdAAtAFwAdAAtAFwAdAAtAFwAdAAtAFwAdAAtAFwAdAAzADkAXAB0AC0AXABuAC0AXAB0ADQAMgBcAHQALQBcAHQALQBcAHQALQBcAHQALQBcAHQALQBcAHQALQBcAHQANAA5AFwAdAAtAFwAbgAtAFwAdAA1ADIAXAB0AC0AXAB0AC0AXAB0AC0AXAB0AC0AXAB0AC0AXAB0AC0AXAB0ADUAOQBcAHQALQBcAG4ALQBcAHQANgAyAFwAdAAtAFwAdAAtAFwAdAAtAFwAdAAtAFwAdAAtAFwAdAAtAFwAdAA2ADkAXAB0AC0AXABuAC0AXAB0ADcAMgBcAHQALQBcAHQALQBcAHQALQBcAHQALQBcAHQALQBcAHQALQBcAHQANwA5AFwAdAAtAFwAbgAtAFwAdAA4ADIAXAB0ADgAMwBcAHQAOAA0AFwAdAA4ADUAXAB0ADgANgBcAHQAOAA3AFwAdAA4ADgAXAB0ADgAOQBcAHQALQBcAG4ALQBcAHQALQBcAHQALQBcAHQALQBcAHQALQBcAHQALQBcAHQALQBcAHQALQBcAHQALQBcAHQALQBcAG4AXAB0AFwAdABcAHQAXAB0AFwAdABcAHQAXAB0AFwAdABcAHQAXABuAFMAcQB1AGEAcgBlALsDKABnAHIAaQBkACwAMgA3ACwAMwAsAFwAIgBcACIAKQBcAHQAXAB0AFwAdABcAHQAXAB0AFwAdABcAHQAXAB0AFwAdABcAG4ANABcAHQANQBcAHQANgBcAHQANwBcAHQAOABcAHQAOQBcAHQAMQAwAFwAdABcAHQAXAB0AFwAbgAxADQAXAB0ADEANQBcAHQAMQA2AFwAdAAxADcAXAB0ADEAOABcAHQAMQA5AFwAdAAyADAAXAB0AFwAdABcAHQAXABuADIANABcAHQAMgA1AFwAdAAyADYAXAB0ADIANwBcAHQAMgA4AFwAdAAyADkAXAB0ADMAMABcAHQAXAB0AFwAdABcAG4AMwA0AFwAdAAzADUAXAB0ADMANgBcAHQAMwA3AFwAdAAzADgAXAB0ADMAOQBcAHQANAAwAFwAdABcAHQAXAB0AFwAbgA0ADQAXAB0ADQANQBcAHQANAA2AFwAdAA0ADcAXAB0ADQAOABcAHQANAA5AFwAdAA1ADAAXAB0AFwAdABcAHQAXABuADUANABcAHQANQA1AFwAdAA1ADYAXAB0ADUANwBcAHQANQA4AFwAdAA1ADkAXAB0ADYAMABcAHQAXAB0AFwAdABcAG4AXAB0AFwAdABcAHQAXAB0AFwAdABcAHQAXAB0AFwAdABcAHQAXABuAFQAcgBpAGEAbgBnAGwAZQC7AygAZwByAGkAZAAsADQANAAsADMALAAsAFwAIgBcACIAKQAgAC0AIABBAGIAbwB2AGUAXAB0AFwAdABcAHQAXAB0AFwAdABcAHQAXAB0AFwAdABcAHQAXABuAFwAdABcAHQAXAB0ADEANABcAHQAXAB0AFwAdABcAHQAXAB0AFwAdABcAG4AXAB0AFwAdAAyADMAXAB0ADIANABcAHQAMgA1AFwAdABcAHQAXAB0AFwAdABcAHQAXABuAFwAdAAzADIAXAB0ADMAMwBcAHQAMwA0AFwAdAAzADUAXAB0ADMANgBcAHQAXAB0AFwAdABcAHQAXABuADQAMQBcAHQANAAyAFwAdAA0ADMAXAB0ADQANABcAHQANAA1AFwAdAA0ADYAXAB0ADQANwBcAHQAXAB0AFwAdABcAG4AXAB0AFwAdABcAHQAXAB0AFwAdABcAHQAXAB0AFwAdABcAHQAXABuAFQAcgBpAGEAbgBnAGwAZQC7AygAZwByAGkAZAAsADQANAAsADMALAAxACwAXAAiAFwAIgApACAALQAgAEIAZQBsAG8AdwBcAHQAXAB0AFwAdABcAHQAXAB0AFwAdABcAHQAXAB0AFwAdABcAG4ANAAxAFwAdAA0ADIAXAB0ADQAMwBcAHQANAA0AFwAdAA0ADUAXAB0ADQANgBcAHQANAA3AFwAdABcAHQAXAB0AFwAbgBcAHQANQAyAFwAdAA1ADMAXAB0ADUANABcAHQANQA1AFwAdAA1ADYAXAB0AFwAdABcAHQAXAB0AFwAbgBcAHQAXAB0ADYAMwBcAHQANgA0AFwAdAA2ADUAXAB0AFwAdABcAHQAXAB0AFwAdABcAG4AXAB0AFwAdABcAHQANwA0AFwAdABcAHQAXAB0AFwAdABcAHQAXAB0AFwAbgBcAG4AKgAvAFwAbgBcAG4AXABuAFwAbgAvACoAIABbAEcARwAwADEAXQAgAC0ALQAtAC0ALQAtAC0ALQAtAC0ALQAtAC0ALQAtAC0ALQAtAC0ALQAtAC0ALQAtAC0ALQAtAC0ALQAtAC0ALQAtAC0ALQAtAC0ALQAtAC0ALQAtAC0ALQAtAC0ALQAtAC0ALQAtAC0ALQAtAC0ALQAtAC0ALQAtAC0ALQAtAC0ALQAtAC0ALQAtAC0ALQAtAC0AXABuAEYAdQBuAGMAdABpAG8AbgA6ACAAIAAgACAAIABDAGkAcgBjAGw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YwBpAHIAYwB1AGwAYQByACAAcgBlAGcAaQBvAG4AIABmAHIAbwBtACAAYQAgADIARAAgAGEAcgByAGEAeQAgAGIAeQAgAHMAcABlAGMAaQBmAHkAaQBuAGcAIAB0AGgAZQAgAGMAZQBuAHQAZQByACAAYQBuAGQAIABhAFwAbgAgACAAIAAgAHIAYQBkAGkAdQBzACAAKABlAHgAdABlAG4AZAApAC4AIABUAGgAZQAgAGMAZQBuAHQAZQByACAAbQBhAHkAIABiAGUAIABnAGkAdgBlAG4AIABhAHMAIABhACAAcwBjAGEAbABhAHIAIABjAHIAaQB0AGUAcgBpAG8AbgAgAG8AcgAgAGEAcwAgAGUAeABwAGwAaQBjAGkAdABcAG4AIAAgACAAIABjAG8AbwByAGQAaQBuAGEAdABlAHMAIAB7AHIAbwB3ACwAIABjAG8AbAB9AC4AIABUAGgAZQAgAGUAeAB0AHIAYQBjAHQAZQBkACAAcgBlAGcAaQBvAG4AIABwAHIAZQBzAGUAcgB2AGUAcwAgAGkAdABzACAAZwBlAG8AbQBlAHQAcgBpAGMAIABzAGgAYQBwAGUALABcAG4AIAAgACAAIABhAG4AZAAgAHIAbwB3AHMALwBjAG8AbAB1AG0AbgBzACAAYwBvAG4AdABhAGkAbgBpAG4AZwAgAG8AbgBsAHk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MAaQByAGMAbA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jAGkAcgBjAGwAZQAgACgAbQB1AHMAdAAgAGIAZQAgAGEAIABwAG8AcwBpAHQAaQB2AGUAIABpAG4AdABlAGcAZQByACkALgBcAG4AIAAgACAAIABbAGYAaQBsAGwAXwB2AGEAbAB1AGUAXQAtACAAUwBjAGEAbABhAHIAIAB1AHMAZQBkACAAbwB1AHQAcwBpAGQAZQAgAHQAaABlACAAYwBpAHIAYwBsAGUALgAgAEQAZQBmAGEAdQBsAHQAcwAgAHQAbwAgADAALgBcAG4ALQAtAC0ALQAtAC0ALQAtAC0ALQAtAC0ALQAtAC0ALQAtAC0ALQAtAC0ALQAtAC0ALQAtAC0ALQAtAC0ALQAtAC0ALQAtAC0ALQAtAC0ALQAtAC0ALQAtAC0ALQAtAC0ALQAtAC0ALQAtAC0ALQAtAC0ALQAtAC0ALQAtAC0ALQAtAC0ALQAtAC0ALQAtAC0ALQAtAC0ALQAtAC0AKgAvAFwAbgBcAG4AQwBpAHIAYwBs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EMARwByAGkAZAC7AygAZwByAGkAZAApACwAXABuACAAIAAgACAAagAsACAAIAAgACAAIAAgAEMARwByAGkAZAC7AygAZwByAGkAZAAsACAAMQApACwAXABuAFwAbgAgACAAIAAgAC8ALwAgAEMAZQBuAHQAZQByACAAYwBvAG8AcgBkAGkAbgBhAHQAZQBzAFwAbgAgACAAIAAgAHgALAAgACAAIAAgACAAIABJAEYAKABJAHMASQBfAEoAPwAsACAASQBOAEQARQBYACgAaQAsACAAcgAsACAAYwApACwAIABUAE8AQwBPAEwAKABJAEYAKABiAG8AbwBsACwAIABpACwAIABOAEEAKAApACkALAAgADIAKQApACwAXABuACAAIAAgACAAeQAsACAAIAAgACAAIAAgAEkARgAoAEkAcwBJAF8ASgA/ACwAIABJAE4ARABFAFgAKABqACwAIAByACwAIABjACkALAAgAFQATwBDAE8ATAAoAEkARgAoAGIAbwBvAGwALAAgAGoALAAgAE4AQQAoACkAKQAsACAAMgApACkALABcAG4AXABuACAAIAAgACAALwAvACAAQwBpAHIAYwBsAGUAIABtAGEAcwBrAFwAbgAgACAAIAAgAG0AYQBzAGsALAAgACAAIAAoAGkAIAAtACAAeAApAF4AMgAgACsAIAAoAGoAIAAtACAAeQApAF4AMgAgADwAPQAgAGUAeAB0AGUAbgBkAF4AMg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IAXQAgAC0ALQAtAC0ALQAtAC0ALQAtAC0ALQAtAC0ALQAtAC0ALQAtAC0ALQAtAC0ALQAtAC0ALQAtAC0ALQAtAC0ALQAtAC0ALQAtAC0ALQAtAC0ALQAtAC0ALQAtAC0ALQAtAC0ALQAtAC0ALQAtAC0ALQAtAC0ALQAtAC0ALQAtAC0ALQAtAC0ALQAtAC0ALQAtAC0AXABuAEYAdQBuAGMAdABpAG8AbgA6ACAAIAAgACAAIABEAGkAYQBtAG8AbgBk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YQBtAG8AbgBkABEgcwBoAGEAcABlAGQAIAByAGUAZwBpAG8AbgAgACgATQBhAG4AaABhAHQAdABhAG4AIAByAGEAZABpAHUAcwApACAAZgByAG8AbQAgAGEAIAAyAEQAIABhAHIAcgBhAHkAIABiAHkAXABuACAAIAAgACAAcwBwAGUAYwBpAGYAeQBpAG4AZwAgAHQAaABlACAAYwBlAG4AdABlAHIAIABhAG4AZAAgAGEAIABkAGkAcwB0AGEAbgBjAGUALgAgAFQAaABlACAAYwBlAG4AdABlAHIAIABtAGEAeQAgAGIAZQAgAGcAaQB2AGUAbgAgAGEAcwAgAGEAIABzAGMAYQBsAGEAcgBcAG4AIAAgACA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QAaQBhAG0AbwBuAGQALgAgAE0AYQB5ACAAYgBlACAAYQAgAHMAYwBhAGwAYQByACAAYwByAGkAdABlAHIAaQBvAG4AIABvAHIAIABjAG8AbwByAGQAaQBuAGEAdABlAHMAXABuACAAIAAgACAAIAAgACAAIAAgACAAIAAgACAAIAAgACAAIAAgAG8AZgAgAHQAaABlACAAZgBvAHIAbQAgAHsAcgBvAHcALAAgAGMAbwBsAH0ALgBcAG4AIAAgACAAIABkAGkAcwB0AGEAbgBjAGUAIAAgACAAIAAtACAATQBhAG4AaABhAHQAdABhAG4AIAByAGEAZABpAHUAcwAgAG8AZgAgAHQAaABlACAAZABpAGEAbQBvAG4AZAAgACgAbQB1AHMAdAAgAGIAZQAgAGEAIABwAG8AcwBpAHQAaQB2AGUAIABpAG4AdABlAGcAZQByACkALgBcAG4AIAAgACAAIABbAGYAaQBsAGwAXwB2AGEAbAB1AGUAXQAtACAAUwBjAGEAbABhAHIAIAB1AHMAZQBkACAAbwB1AHQAcwBpAGQAZQAgAHQAaABlACAAZABpAGEAbQBvAG4AZAAuACAARABlAGYAYQB1AGwAdABzACAAdABvACAAMAAuAFwAbgAtAC0ALQAtAC0ALQAtAC0ALQAtAC0ALQAtAC0ALQAtAC0ALQAtAC0ALQAtAC0ALQAtAC0ALQAtAC0ALQAtAC0ALQAtAC0ALQAtAC0ALQAtAC0ALQAtAC0ALQAtAC0ALQAtAC0ALQAtAC0ALQAtAC0ALQAtAC0ALQAtAC0ALQAtAC0ALQAtAC0ALQAtAC0ALQAtAC0ALQAtAC0ALQAqAC8AXABuAFwAbgBEAGkAYQBtAG8AbgBkALsDIAA9AFwAbgBMAEEATQBCAEQAQQAoAFwAbgAgACAAIAAgAGcAcgBpAGQALABcAG4AIAAgACAAIAB0AGEAcgBnAGUAdAAsAFwAbgAgACAAIAAgAGQAaQBzAHQAYQBuAGMAZQAsAFwAbgAgACAAIAAgAFsAZgBpAGwAbABfAHYAYQBsAHUAZQBdACwAXABuAEwARQBUACgAXABuACAAIAAgACAALwAvACAARABpAG0AZQBuAHMAaQBvAG4AcwBcAG4AIAAgACAAIABoACwAIAAgACAAIAAgACAAIAAgACAAIAAgACAAIAAgACAAIABSAE8AVwBTACgAZwByAGkAZAApACwAXABuACAAIAAgACAAdwAsACAAIAAgACAAIAAgACAAIAAgACAAIAAgACAAIAAgACAAQwBPAEwAVQBNAE4AUwAoAGcAcgBpAGQAKQAsAFwAbgBcAG4AIAAgACAAIAAvAC8AIABUAGEAcgBnAGUAdAAgAGkAbgB0AGUAcgBwAHIAZQB0AGEAdABpAG8AbgBcAG4AIAAgACAAIABJAHMASQBfAEoAPwAsACAAIAAgACAAIAAgACAAIAAgACAAIABDAE8AVQBOAFQAKAB0AGEAcgBnAGUAdAApACAAPQAgADIALABcAG4AIAAgACAAIAByACwAIAAgACAAIAAgACAAIAAgACAAIAAgACAAIAAgACAAIABJAEYAKABJAHMASQBfAEoAPwAsACAAVABBAEsARQAoAHQAYQByAGcAZQB0ACwAIAAxACwAIAAxACkALAAgADAAKQAsAFwAbgAgACAAIAAgAGMALAAgACAAIAAgACAAIAAgACAAIAAgACAAIAAgACAAIAAgAEkARgAoAEkAcwBJAF8ASgA/ACwAIABUAEEASwBFACgAdABhAHIAZwBlAHQALAAgAC0AMQAsACAALQAxACkALAAgADAAKQAsAFwAbgBcAG4AIAAgACAAIAAvAC8AIABCAG8AbwBsAGUAYQBuACAAbQBhAHQAYwBoACAAZgBvAHIAIABzAGMAYQBsAGEAcgAgAHQAYQByAGcAZQB0AFwAbgAgACAAIAAgAGIAbwBvAGwALAAgACAAIAAgACAAIAAgACAAIAAgACAAIAAgAEkARgAoAEkAcwBJAF8ASgA/ACwAIABGAEEATABTAEUALAAgAGcAcgBpAGQAIAA9ACAAdABhAHIAZwBlAHQAKQAsAFwAbgBcAG4AIAAgACAAIAAvAC8AIABJAG4AcAB1AHQAIAB2AGEAbABpAGQAYQB0AGkAbwBuAFwAbgAgACAAIAAgAEkAcwBTAGMAYQBsAGEAcgA/ACwAIAAgACAAIAAgACAAIAAgAEEATgBEACgAaAAgAD0AIAAxACwAIAB3ACAAPQAgADEAKQAsAFwAbgAgACAAIAAgAEkAcwAxAEQAPwAsACAAIAAgACAAIAAgACAAIAAgACAAIAAgAFgATwBSACgAaAAgAD0AIAAxACwAIAB3ACAAPQAgADEAKQAsAFwAbgAgACAAIAAgAEkAbgB2AGEAbABpAGQARABpAHMAdABhAG4AYwBlAD8ALAAgAE8AUgAoAEkAUwBUAEUAWABUACgAZABpAHMAdABhAG4AYwBlACkALAAgAGQAaQBzAHQAYQBuAGMAZQAgADwAIAAxACkALABcAG4AIAAgACAAIABOAG8AVABhAHIAZwBlAHQAPwAsACAAIAAgACAAIAAgACAAIABJAEYAKABJAHMASQBfAEoAPwAsACAARgBBAEwAUwBFACwAIABOAE8AVAAoAE8AUgAoAGIAbwBvAGwAKQApACkALABcAG4AXABuACAAIAAgACAALwAvACAATwBwAHQAaQBvAG4AYQBsACAAZgBpAGwAbABcAG4AIAAgACAAIABmAGkAbABsAF8AdgBhAGwAdQBlACwAIAAg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EAGkAcwB0AGEAbgBjAGUAPwAsACAAXAAiACMARABJAFMAVABBAE4AQwBF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EAGkAYQBtAG8AbgBkACAAbQBhAHMAawAgACgATQBhAG4AaABhAHQAdABhAG4AIABkAGkAcwB0AGEAbgBjAGUAKQBcAG4AIAAgACAAIABtAGEAcwBrACwAIAAgACAAQQBCAFMAKABpACAALQAgAHgAKQAgACsAIABBAEIAUwAoAGoAIAAtACAAeQApACAAPAA9ACAAZABpAHMAdABhAG4AYwBl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wBdACAALQAtAC0ALQAtAC0ALQAtAC0ALQAtAC0ALQAtAC0ALQAtAC0ALQAtAC0ALQAtAC0ALQAtAC0ALQAtAC0ALQAtAC0ALQAtAC0ALQAtAC0ALQAtAC0ALQAtAC0ALQAtAC0ALQAtAC0ALQAtAC0ALQAtAC0ALQAtAC0ALQAtAC0ALQAtAC0ALQAtAC0ALQAtAC0ALQBcAG4ARgB1AG4AYwB0AGkAbwBuADoAIAAgACAAIAAgAFAAbAB1AHM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AAbAB1AHMAESBzAGgAYQBwAGUAZAAgAHIAZQBnAGkAbwBuACAAKABlAHgAdABlAG4AZABlAGQAIAB2AG8AbgAgAE4AZQB1AG0AYQBuAG4AIABuAGUAaQBnAGgAYgBvAHIAaABvAG8AZAApACAAZgByAG8AbQAgAGEAIAAyAEQAXABuACAAIAAgACAAYQByAHIAYQB5ACAAYgB5ACAAcwBwAGUAYwBpAGYAeQBpAG4AZwAgAHQAaABlACAAYwBlAG4AdABlAHIAIABhAG4AZAAgAGEAbgAgAGUAeAB0AGUAbgBkACAAdgBhAGwAdQBlAC4AIABUAGgAZQAgAGMAZQBuAHQAZQByACAAbQBhAHkAIABiAGUAIABnAGkAdgBlAG4AXABuACAAIAAgACAAYQBzACAAYQAgAHMAYwBhAGwAYQByACAAYwByAGkAdABlAHIAaQBvAG4AIABvAHIAIABhAHMAIABlAHgAcABsAGkAYwBpAHQAIABjAG8AbwByAGQAaQBuAGEAdABlAHMAIAB7AHIAbwB3ACwAIABjAG8AbAB9AC4AIABUAGgAZQAgAGUAeAB0AHIAYQBjAHQAZQBkAFwAbgAgACAAIAAgAHIAZQBnAGkAbwBuACAAcAByAGUAcwBlAHIAdgBlAHMAIABpAHQAcwAgAGcAZQBvAG0AZQB0AHIAaQBjACAAcwBoAGEAcABlACwAIABhAG4AZAAgAHIAbwB3AHMALwBjAG8AbAB1AG0AbgBzACAAYwBvAG4AdABhAGkAbgBpAG4AZwAgAG8AbgBsAHkAXABuACAAIAAgACAAZgBpAGwAbABfAHYAYQBsAHUAZQ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wAGwAdQBz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wAGwAdQBzACAAYQByAG0AcwAgACgAbQB1AHMAdAAgAGIAZQAgAGEAIABwAG8AcwBpAHQAaQB2AGUAIABpAG4AdABlAGcAZQByACkALgBcAG4AIAAgACAAIABbAGYAaQBsAGwAXwB2AGEAbAB1AGUAXQAtACAAUwBjAGEAbABhAHIAIAB1AHMAZQBkACAAbwB1AHQAcwBpAGQAZQAgAHQAaABlACAAcABsAHUAcwAuACAARABlAGYAYQB1AGwAdABzACAAdABvACAAMAAuAFwAbgAtAC0ALQAtAC0ALQAtAC0ALQAtAC0ALQAtAC0ALQAtAC0ALQAtAC0ALQAtAC0ALQAtAC0ALQAtAC0ALQAtAC0ALQAtAC0ALQAtAC0ALQAtAC0ALQAtAC0ALQAtAC0ALQAtAC0ALQAtAC0ALQAtAC0ALQAtAC0ALQAtAC0ALQAtAC0ALQAtAC0ALQAtAC0ALQAtAC0ALQAtAC0ALQAqAC8AXABuAFwAbgBQAGwAdQBzALsDIAA9AFwAbgBMAEEATQBCAEQAQQAoAFwAbgAgACAAIAAgAGcAcgBpAGQALABcAG4AIAAgACAAIAB0AGEAcgBnAGUAdAAsAFwAbgAgACAAIAAgAGUAeAB0AGUAbgBkACwAXABuACAAIAAgACAAWwBmAGkAbABsAF8AdgBhAGwAdQBlAF0ALABcAG4ATABFAFQAKABcAG4AIAAgACAAIAAvAC8AIABEAGkAbQBlAG4AcwBpAG8AbgBzAFwAbgAgACAAIAAgAGgALAAgACAAIAAgACAAIAAgACAAIAAgACAAIAAgACAAUgBPAFcAUwAoAGcAcgBpAGQAKQAsAFwAbgAgACAAIAAgAHcALAAgACAAIAAgACAAIAAgACAAIAAgACAAIAAgACAAQwBPAEwAVQBNAE4AUwAoAGcAcgBpAGQAKQAsAFwAbgBcAG4AIAAgACAAIAAvAC8AIABUAGEAcgBnAGUAdAAgAGkAbgB0AGUAcgBwAHIAZQB0AGEAdABpAG8AbgBcAG4AIAAgACAAIABJAHMASQBfAEoAPwAsACAAIAAgACAAIAAgACAAIAAgAEMATwBVAE4AVAAoAHQAYQByAGcAZQB0ACkAIAA9ACAAMgAsAFwAbgAgACAAIAAgAHIALAAgAEkARgAoAEkAcwBJAF8ASgA/ACwAIAAgACAAVABBAEsARQAoAHQAYQByAGcAZQB0ACwAIAAxACwAIAAxACkALAAgADAAKQAsAFwAbgAgACAAIAAgAGMALAAgAEkARgAoAEkAcwBJAF8ASgA/ACwAIAAg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QAGwAdQBzACAAbQBhAHMAawAgACgAaABvAHIAaQB6AG8AbgB0AGEAbAAgACsAIAB2AGUAcgB0AGkAYwBhAGwAIABhAHIAbQBzACkAXABuACAAIAAgACAAbQBhAHMAawAsACAAIAAgACgAaQAgAD0AIAB4ACkAIAAqACAAKABBAEIAUwAoAGoAIAAtACAAeQApACAAPAA9ACAAZQB4AHQAZQBuAGQAKQAgACsAXABuACAAIAAgACAAIAAgACAAIAAgACAAIAAgACgAagAgAD0AIAB5ACkAIAAqACAAKABBAEIAUwAoAGkAIAAtACAAeAApACAAPAA9ACAAZQB4AHQAZQBuAGQAKQ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QAXQAgAC0ALQAtAC0ALQAtAC0ALQAtAC0ALQAtAC0ALQAtAC0ALQAtAC0ALQAtAC0ALQAtAC0ALQAtAC0ALQAtAC0ALQAtAC0ALQAtAC0ALQAtAC0ALQAtAC0ALQAtAC0ALQAtAC0ALQAtAC0ALQAtAC0ALQAtAC0ALQAtAC0ALQAtAC0ALQAtAC0ALQAtAC0ALQAtAC0AXABuAEYAdQBuAGMAdABpAG8AbgA6ACAAIAAgACAAIABQAHkAcgBhAG0AaQBk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vAG4AZQAgAG8AZgAgAGYAbwB1AHIAIAB0AHIAaQBhAG4AZwB1AGwAYQByACAAXAAiAHAAeQByAGEAbQBpAGQAXAAiACAAcgBlAGcAaQBvAG4AcwAgAGYAcgBvAG0AIABhACAAMgBEACAAYQByAHIAYQB5ACAAdwBoAGkAbABlAFwAbgAgACAAIAAgAHAAcgBlAHMAZQByAHYAaQBuAGcAIABzAGgAYQBwAGUALgAgAFAAeQByAGEAbQBpAGQAIAByAGUAZwBpAG8AbgBzACAAYQByAGUAIABkAGUAZgBpAG4AZQBkACAAdQBzAGkAbgBnACAAcgBvAHcALwBjAG8AbAB1AG0AbgAgAGkAbgBkAGUAeAAgAGcAcgBpAGQAcwBcAG4AIAAgACAAIABnAGUAbgBlAHIAYQB0AGUAZAAgAGIAeQAgAE0ARwByAGkAZAC7Ay4AIABBAG4AIABvAHAAdABpAG8AbgBhAGwAIABmAGkAbABsAF8AdgBhAGwAdQBlACAAYwBvAG4AdAByAG8AbABzACAAdwBoAGEAdAAgAGEAcABwAGUAYQByAHMAIABvAHUAdABzAGkAZABlACAAdABoAGUAXABuACAAIAAgACAAcwBlAGwAZQBjAHQAZQBkACAAcgBlAGcAaQBvAG4ALgBcAG4AXABuACAAIAAgACAAUAB5AHIAYQBtAGkAZAAgAHAAaQBlAGMAZQBzACAAKABjAGwAbwBjAGsAdwBpAHMAZQApADoAXABuACAAIAAgACAAIAAgACAAIAAxACAALQAgAFUAcABwAGUAcgAgAHIAaQBnAGgAdABcAG4AIAAgACAAIAAgACAAIAAgADIAIAAtACAATABvAHcAZQByACAAcgBpAGcAaAB0AFwAbgAgACAAIAAgACAAIAAgACAAMwAgAC0AIABMAG8AdwBlAHIAIABsAGUAZgB0AFwAbgAgACAAIAAgACAAIAAgACAANAAgAC0AIABVAHAAcABlAHIAIABsAGUAZgB0AFwAbgBcAG4AIAAgACAAIABQAHkAcgBhAG0AaQBkACAAZQB4AHQAcgBhAGMAdABpAG8AbgBzACAAYQByAGUAIABtAG8AcwB0ACAAbQBlAGEAbgBpAG4AZwBmAHUAbAAgAG8AbgAgAHMAcQB1AGEAcgBlACAAbwByACAAbgBlAGEAcgARIHMAcQB1AGEAcgBlACAAbQBhAHQAcgBpAGMAZQBzAC4AXABuACAAIAAgACAATwBuACAAdABhAGwAbAAgAG8AcgAgAG4AYQByAHIAbwB3ACAAbQBhAHQAcgBpAGMAZQBzACwAIAB0AGgAZQAgAHIAZQBzAHUAbAB0AGkAbgBnACAAcwBoAGEAcABlAHMAIABtAGEAeQAgAGIAZQAgAHYAaQBzAHUAYQBsAGwAeQAgAHMAawBlAHcAZQBkAC4AXABuAFwAbgBQAGEAcgBhAG0AZQB0AGUAcgBzADoAXABuACAAIAAgACAAYQByAHIAYQB5ACAAIAAgACAAIAAgACAAIAAtACAAMgBEACAAYQByAHIAYQB5ACAAZgByAG8AbQAgAHcAaABpAGMAaAAgAHQAbwAgAGUAeAB0AHIAYQBjAHQAIAB0AGgAZQAgAHIAZQBnAGkAbwBuAC4AXABuACAAIAAgACAAWwBwAGkAZQBjAGUAXQAgACAAIAAgACAAIAAtACAASQBuAHQAZQBnAGUAcgAgADEAEyA0ACAAcwBlAGwAZQBjAHQAaQBuAGcAIAB0AGgAZQAgAHAAeQByAGEAbQBpAGQAIAByAGUAZwBpAG8AbgAuACAARABlAGYAYQB1AGwAdABzACAAdABvACAAMQAuAFwAbgAgACAAIAAgAFsAZgBpAGwAbABfAHYAYQBsAHUAZQBdACAALQAgAFMAYwBhAGwAYQByACAAdQBzAGUAZAAgAG8AdQB0AHMAaQBkAGUAIAB0AGgAZQAgAHIAZQBnAGkAbwBuAC4AIABEAGUAZgBhAHUAbAB0AHMAIAB0AG8AIABcACIAXAAiAC4AXABuAC0ALQAtAC0ALQAtAC0ALQAtAC0ALQAtAC0ALQAtAC0ALQAtAC0ALQAtAC0ALQAtAC0ALQAtAC0ALQAtAC0ALQAtAC0ALQAtAC0ALQAtAC0ALQAtAC0ALQAtAC0ALQAtAC0ALQAtAC0ALQAtAC0ALQAtAC0ALQAtAC0ALQAtAC0ALQAtAC0ALQAtAC0ALQAtAC0ALQAtAC0ALQAtACoALwBcAG4AXABuAFAAeQByAGEAbQBpAGQAuwMgAD0AXABuAEwAQQBNAEIARABBACgAXABuACAAIAAgACAAYQByAHIAYQB5ACwAXABuACAAIAAgACAAWwBwAGkAZQBjAGUAXQAsAFwAbgAgACAAIAAgAFsAZgBpAGwAbABfAHYAYQBsAHUAZQBdACwAXABuAEwARQBUACgAXABuACAAIAAgACAALwAvACAAVgBhAGwAaQBkAGEAdABlACAAcABpAGUAYwBlAFwAbgAgACAAIAAgAHAAaQBlAGMAZQAsACAAIAAgACAAIAAgACAAIAAgAEkARgAoAEkAUwBPAE0ASQBUAFQARQBEACgAcABpAGUAYwBlACkALAAgADEALAAgAHAAaQBlAGMAZQApACwAXABuACAAIAAgACAASQBuAHYAYQBsAGkAZABQAGkAZQBjAGUAPwAsACAATwBSACgAcABpAGUAYwBlACAAPAAgADEALAAgAHAAaQBlAGMAZQAgAD4AIAA0ACwAIABJAFMAVABFAFgAVAAoAHAAaQBlAGMAZQApACkALABcAG4AXABuACAAIAAgACAALwAvACAATwBwAHQAaQBvAG4AYQBsACAAZgBpAGwAbABcAG4AIAAgACAAIABmAGkAbABsAF8AdgBhAGwAdQBlACwAIAAgACAAIABJAEYAKABJAFMATwBNAEkAVABUAEUARAAoAGYAaQBsAGwAXwB2AGEAbAB1AGUAKQAsACAAXAAiAFwAIgAsACAAZgBpAGwAbABfAHYAYQBsAHUAZQApACwAXABuAFwAbgAvAC8AIABMAG8AZwBpAGMAIABnAGEAdABlAFwAbgAgACAAIAAgAEkARgAoAEkAbgB2AGEAbABpAGQAUABpAGUAYwBlAD8ALAAgAFwAIgAjAFAASQBFAEMARQAhAFwAIgAsAFwAbgBcAG4ATABFAFQAKABcAG4AIAAgACAAIAAvAC8AIABEAGkAbQBlAG4AcwBpAG8AbgBzAFwAbgAgACAAIAAgAGgALAAgACAAIAAgACAAIAAgACAAIAAgACAAUgBPAFcAUwAoAGEAcgByAGEAeQApACwAXABuACAAIAAgACAAdwAsACAAIAAgACAAIAAgACAAIAAgACAAIABDAE8ATABVAE0ATgBTACgAYQByAHIAYQB5ACkALABcAG4AXABuACAAIAAgACAALwAvACAASQBuAGQAZQB4ACAAZwByAGkAZABzAFwAbgAgACAAIAAgAGkALAAgACAAIAAgACAAIAAgACAAIAAgACAATQBHAHIAaQBkALsDKABhAHIAcgBhAHkAKQAsAFwAbgAgACAAIAAgAGoALAAgACAAIAAgACAAIAAgACAAIAAgACAATQBHAHIAaQBkALsDKABhAHIAcgBhAHkALAAgADEAKQAsAFwAbgBcAG4AIAAgACAAIAAvAC8AIABQAHkAcgBhAG0AaQBkACAAbQBhAHMAawBzACAAKABjAGwAbwBjAGsAdwBpAHMAZQApAFwAbgAgACAAIAAgAHUAcABwAGUAcgBfAHIAaQBnAGgAdAAsACAAaQAgADwAPQAgAGoALAAgACAAIAAgACAAIAAgACAAIAAgAC8ALwAgADEAXABuACAAIAAgACAAbABvAHcAZQByAF8AcgBpAGcAaAB0ACwAIABpACAAKwAgAGoAIAA+AD0AIABoACAAKwAgADEALAAgACAALwAvACAAMgBcAG4AIAAgACAAIABsAG8AdwBlAHIAXwBsAGUAZgB0ACwAIAAgAGkAIAA+AD0AIABqACwAIAAgACAAIAAgACAAIAAgACAAIAAvAC8AIAAzAFwAbgAgACAAIAAgAHUAcABwAGUAcgBfAGwAZQBmAHQALAAgACAAaQAgACsAIABqACAAPAA9ACAAaAAgACsAIAAxACwAIAAgAC8ALwAgADQAXABuAFwAbgAgACAAIAAgAC8ALwAgAFMAZQBsAGUAYwB0ACAAcgBlAGcAaQBvAG4AXABuACAAIAAgACAAbQBhAHMAawAsACAAIAAgACAAIAAgACAAIABJAEYAKABwAGkAZQBjAGUAIAA9ACAAMQAsACAAdQBwAHAAZQByAF8AcgBpAGcAaAB0ACwAXABuACAAIAAgACAAIAAgACAAIAAgACAAIAAgACAAIAAgACAAIAAgACAAIABJAEYAKABwAGkAZQBjAGUAIAA9ACAAMgAsACAAbABvAHcAZQByAF8AcgBpAGcAaAB0ACwAXABuACAAIAAgACAAIAAgACAAIAAgACAAIAAgACAAIAAgACAAIAAgACAAIAAgACAAIAAgAEkARgAoAHAAaQBlAGMAZQAgAD0AIAAzACwAIABsAG8AdwBlAHIAXwBsAGUAZgB0ACwAXABuACAAIAAgACAAIAAgACAAIAAgACAAIAAgACAAIAAgACAAIAAgACAAIAAgACAAIAAgACAAIAAgACAAIAAgACAAIAAgACAAIAAgACAAIAB1AHAAcABlAHIAXwBsAGUAZgB0ACkAKQApACwAXABuAFwAbgAgACAAIAAgAC8ALwAgAEEAcABwAGwAeQAgAG0AYQBzAGsAXABuACAAIAAgACAAcgBlAHMAdQBsAHQALAAgACAAIAAgACAAIABJAEYAKABtAGEAcwBrACwAIABhAHIAcgBhAHkALAAgAGYAaQBsAGwAXwB2AGEAbAB1AGUAKQAsAFwAbgBcAG4AIAAgACAAIAByAGUAcwB1AGwAdABcAG4AKQApACkAKQA7AFwAbgBcAG4AXABuAFwAbgAvACoAIABbAEcARwAwADUAXQAgAC0ALQAtAC0ALQAtAC0ALQAtAC0ALQAtAC0ALQAtAC0ALQAtAC0ALQAtAC0ALQAtAC0ALQAtAC0ALQAtAC0ALQAtAC0ALQAtAC0ALQAtAC0ALQAtAC0ALQAtAC0ALQAtAC0ALQAtAC0ALQAtAC0ALQAtAC0ALQAtAC0ALQAtAC0ALQAtAC0ALQAtAC0ALQAtAC0AXABuAEYAdQBuAGMAdABpAG8AbgA6ACAAIAAgACAAIABSAGkAbgBn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hACAAcwBpAG4AZwBsAGUAIAByAGkAbgBnACAAKABsAGEAeQBlAHIAKQAgAGYAcgBvAG0AIABhACAAMgBEACAAZwByAGkAZAAgAHcAaABpAGwAZQAgAHAAcgBlAHMAZQByAHYAaQBuAGcAIAB0AGgAZQAgAG8AdgBlAHIAYQBsAGwAXABuACAAIAAgACAAcwBoAGEAcABlACAAbwBmACAAdABoAGUAIABnAHIAaQBkAC4AIABMAGEAeQBlAHIAIAAxACAAYwBvAHIAcgBlAHMAcABvAG4AZABzACAAdABvACAAdABoAGUAIABvAHUAdABlAHIAbQBvAHMAdAAgAHAAZQByAGkAbQBlAHQAZQByACwAIABhAG4AZAAgAGgAaQBnAGgAZQByAFwAbgAgACAAIAAgAGwAYQB5AGUAcgBzACAAbQBvAHYAZQAgAGkAbgB3AGEAcgBkAC4AIABUAGgAZQAgAG8AdQB0AHAAdQB0ACAAYQBsAHcAYQB5AHMAIABtAGEAdABjAGgAZQBzACAAdABoAGUAIABkAGkAbQBlAG4AcwBpAG8AbgBzACAAbwBmACAAdABoAGUAIABpAG4AcAB1AHQAXABuACAAIAAgACAAZwByAGkAZAAsACAAdwBpAHQAaAAgAGEAbABsACAAbgBvAG4AESByAGkAbgBnACAAYwBlAGwAbABzACAAZgBpAGwAbABlAGQAIAB1AHMAaQBuAGcAIABmAGkAbABsAF8AdgBhAGwAdQBlAC4AXABuAFwAbgBQAGEAcgBhAG0AZQB0AGUAcgBzADoAXABuACAAIAAgACAAZwByAGkAZAAgACAAIAAgACAAIAAgACAALQAgAFIAZQBxAHUAaQByAGUAZAAgADIARAAgAGEAcgByAGEAeQAgAHIAZQBwAHIAZQBzAGUAbgB0AGkAbgBnACAAdABoAGUAIABmAHUAbABsACAAZwByAGkAZAAuAFwAbgAgACAAIAAgAGwAYQB5AGUAcgAgACAAIAAgACAAIAAgAC0AIABJAG4AdABlAGcAZQByACAAZSIgADEAIABzAHAAZQBjAGkAZgB5AGkAbgBnACAAdwBoAGkAYwBoACAAcgBpAG4AZwAgAHQAbwAgAGUAeAB0AHIAYQBjAHQALgBcAG4AIAAgACAAIAAgACAAIAAgACAAIAAgACAAIAAgACAAIAAgACAATABhAHkAZQByAHMAIABlAHgAYwBlAGUAZABpAG4AZwAgAHQAaABlACAAaQBuAG4AZQByAG0AbwBzAHQAIAByAGkAbgBnACAAcgBlAHQAdQByAG4AIABcACIAIwBNAEEAWAAtAEwAQQBZAEUAUgA6ACAAbgBcACIALgBcAG4AIAAgACAAIABbAGYAaQBsAGwAXwB2AGEAbAB1AGUAXQAtACAAUwBjAGEAbABhAHIAIAB1AHMAZQBkACAAdABvACAAZgBpAGwAbAAgAG4AbwBuABEgcgBpAG4AZwAgAGMAZQBsAGwAcwAuACAARABlAGYAYQB1AGwAdABzACAAdABvACAAMAAuAFwAbgBcAG4ATgBvAHQAZQBzADoAXABuACAAIAAgACAAIiAgAFQAaABpAHMAIABmAHUAbgBjAHQAaQBvAG4AIABwAGUAcgBmAG8AcgBtAHMAIABuAG8AIAByAG8AdABhAHQAaQBvAG4AOwAgAGkAdAAgAG8AbgBsAHkAIABlAHgAdAByAGEAYwB0AHMAIAB0AGgAZQAgAHIAaQBuAGcAIABtAGEAcwBrAC4AXABuACAAIAAgACAAIiAgAEQAZQBnAGUAbgBlAHIAYQB0AGUAIAByAGkAbgBnAHMAIAAoADEA1wBOACwAIABOANcAMQAsACAAMgDXAE4ALAAgAGUAdABjAC4AKQAgAGEAcgBlACAAcAByAGUAcwBlAHIAdgBlAGQAIABlAHgAYQBjAHQAbAB5AC4AXABuACAAIAAgACAAIiAgAFIAaQBuAGcAUgBvAHQAYQB0AGUAuwMgAGEAbgBkACAAUgBpAG4AZwBSAG8AdABhAHQAZQBSAGUAdgC7AyAAcgBlAGwAeQAgAG8AbgAgAFIAaQBuAGcAuwMgAHQAbwAgAGkAZABlAG4AdABpAGYAeQAgAHIAaQBuAGcAIABiAG8AdQBuAGQAYQByAGkAZQBzAC4AXABuAC0ALQAtAC0ALQAtAC0ALQAtAC0ALQAtAC0ALQAtAC0ALQAtAC0ALQAtAC0ALQAtAC0ALQAtAC0ALQAtAC0ALQAtAC0ALQAtAC0ALQAtAC0ALQAtAC0ALQAtAC0ALQAtAC0ALQAtAC0ALQAtAC0ALQAtAC0ALQAtAC0ALQAtAC0ALQAtAC0ALQAtAC0ALQAtAC0ALQAtAC0ALQAtACoALwBcAG4AXABuAFIAaQBuAGcAuwMgAD0AXABuAEwAQQBNAEIARABBACgAXABuACAAIAAgACAAZwByAGkAZAAsAFwAbgAgACAAIAAgAGwAYQB5AGUAcgAsAFwAbgAgACAAIAAgAFsAZgBpAGwAbABfAHYAYQBsAHUAZQBdACwAXABuAEwARQBUACgAXABuACAAIAAgACAALwAvACAARABpAG0AZQBuAHMAaQBvAG4AcwBcAG4AIAAgACAAIABoACwAIAAgACAAIAAgACAAIAAgACAAIAAgACAAIABSAE8AVwBTACgAZwByAGkAZAApACwAXABuACAAIAAgACAAdwAsACAAIAAgACAAIAAgACAAIAAgACAAIAAgACAAQwBPAEwAVQBNAE4AUwAoAGcAcgBpAGQAKQAsAFwAbgBcAG4AIAAgACAAIAAvAC8AIABWAGEAbABpAGQAYQB0AGkAbwBuAFwAbgAgACAAIAAgAEkAcwBTAGMAYQBsAGEAcgA/ACwAIAAgACAAIAAgAEEATgBEACgAaAAgAD0AIAAxACwAIAB3ACAAPQAgADEAKQAsAFwAbgAgACAAIAAgAEkAcwAxAEQAPwAsACAAIAAgACAAIAAgACAAIAAgAE8AUgAoAGgAIAA9ACAAMQAsACAAdwAgAD0AIAAxACkALABcAG4AIAAgACAAIABJAG4AdgBhAGwAaQBkAEwAYQB5AGUAcgA/ACwAIABPAFIAKABJAFMAVABFAFgAVAAoAGwAYQB5AGUAcgApACwAIABsAGEAeQBlAHIAIAA8AD0AIAAwACkALABcAG4AIAAgACAAIABNAGEAeABMAGEAeQBlAHIALAAgACAAIAAgACAAIABJAE4AVAAoACgATQBJAE4AKABoACwAIAB3ACkAIAArACAAMQApACAALwAgADI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TABhAHkAZQByAD8ALAAgAFwAIgAjAEwAQQBZAEUAUgAhAFwAIgAsAFwAbgBcAG4AIAAgACAAIAAgACAAIAAgACAAIAAgACAAIAAgACAAIABJAEYAKABsAGEAeQBlAHIAIAA+ACAATQBhAHgATABhAHkAZQByACwAIABcACIAIwBNAEEAWAAtAEwAQQBZAEUAUgA6ACAAXAAiACAAJgAgAE0AYQB4AEwAYQB5AGUAcgAsAFwAbgBcAG4ATABFAFQAKABcAG4AIAAgACAAIAAvAC8AIABPAHAAdABpAG8AbgBhAGwAIABmAGkAbABsAFwAbgAgACAAIAAgAGYAaQBsAGwAXwB2AGEAbAB1AGUALAAgACAASQBGACgASQBTAE8ATQBJAFQAVABFAEQAKABmAGkAbABsAF8AdgBhAGwAdQBlACkALAAgADAALAAgAGYAaQBsAGwAXwB2AGEAbAB1AGUAKQAsAFwAbgBcAG4AIAAgACAAIAAvAC8AIABJAG4AZABlAHgAIABnAHIAaQBkAHMAXABuACAAIAAgACAAaQAsACAAIAAgACAAIAAgACAAIAAgACAAIABNAEcAcgBpAGQAuwMoAGcAcgBpAGQAKQAsAFwAbgAgACAAIAAgAGoALAAgACAAIAAgACAAIAAgACAAIAAgACAATQBHAHIAaQBkALsDKABnAHIAaQBkACwAIAAxACkALABcAG4AXABuACAAIAAgACAALwAvACAAUgBpAG4AZwAgAGUAZABnAGUAcwBcAG4AIAAgACAAIAB0AG8AcAAsACAAIAAgACAAIAAgACAAIAAgACgAKABpACAAPQAgAGwAYQB5AGUAcgApACAAKwAgACgAaQAgAD0AIAAxACAAKwAgAGgAIAAtACAAbABhAHkAZQByACkAKQAgACoAXABuACAAIAAgACAAIAAgACAAIAAgACAAIAAgACAAIAAgACAAIAAoACgAagAgAD4AIABsAGEAeQBlAHIAIAAtACAAMQApACAAKgAgACgAagAgADwAPQAgADEAIAArACAAdwAgAC0AIABsAGEAeQBlAHIAKQApACwAXABuAFwAbgAgACAAIAAgAHMAaQBkAGUALAAgACAAIAAgACAAIAAgACAAKAAoAGoAIAA9ACAAbABhAHkAZQByACkAIAArACAAKABqACAAPQAgADEAIAArACAAdwAgAC0AIABsAGEAeQBlAHIAKQApACAAKgBcAG4AIAAgACAAIAAgACAAIAAgACAAIAAgACAAIAAgACAAIAAgACgAKABpACAAPgAgAGwAYQB5AGUAcgAgAC0AIAAxACkAIAAqACAAKABpACAAPAA9ACAAMQAgACsAIABoACAALQAgAGwAYQB5AGUAcgApACkALABcAG4AXABuACAAIAAgACAALwAvACAAQwBvAG0AYgBpAG4AZQBkACAAcgBpAG4AZwAgAG0AYQBzAGsAXABuACAAIAAgACAAbQBhAHMAawAsACAAIAAgACAAIAAgACAAIABTAEkARwBOACgAdABvAHAAIAArACAAcwBpAGQAZQApACwAXABuAFwAbgAgACAAIAAgAC8ALwAgAEEAcABwAGwAeQAgAG0AYQBzAGsAXABuACAAIAAgACAAcgBlAHMAdQBsAHQALAAgACAAIAAgACAAIABJAEYAKABtAGEAcwBrACwAIABnAHIAaQBkACwAIABmAGkAbABsAF8AdgBhAGwAdQBlACkALABcAG4AXABuACAAIAAgACAAcgBlAHMAdQBsAHQAXABuACkAKQApACkAKQApACkAOwBcAG4AXABuAFwAbgBcAG4ALwAqACAAWwBHAEcAMAA2AF0AIAAtAC0ALQAtAC0ALQAtAC0ALQAtAC0ALQAtAC0ALQAtAC0ALQAtAC0ALQAtAC0ALQAtAC0ALQAtAC0ALQAtAC0ALQAtAC0ALQAtAC0ALQAtAC0ALQAtAC0ALQAtAC0ALQAtAC0ALQAtAC0ALQAtAC0ALQAtAC0ALQAtAC0ALQAtAC0ALQAtAC0ALQAtAC0ALQAtAFwAbgBGAHUAbgBjAHQAaQBvAG4AOgAgACAAIAAgACAAUwBxAHUAYQBy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MAcQB1AGEAcgBlABEgcwBoAGEAcABlAGQAIAByAGUAZwBpAG8AbgAgACgAQwBoAGUAYgB5AHMAaABlAHYAIAByAGEAZABpAHUAcwApACAAZgByAG8AbQAgAGEAIAAyAEQAIABhAHIAcgBhAHkAIABiAHkAXABuACAAIAAgACAAcwBwAGUAYwBpAGYAeQBpAG4AZwAgAHQAaABlACAAYwBlAG4AdABlAHIAIABhAG4AZAAgAGEAbgAgAGUAeAB0AGUAbgBkACAAdgBhAGwAdQBl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zAHEAdQBhAHIAZQAuACAATQBhAHkAIABiAGUAIABhACAAcwBjAGEAbABhAHIAIABjAHIAaQB0AGUAcgBpAG8AbgAgAG8AcgAgAGMAbwBvAHIAZABpAG4AYQB0AGUAcwBcAG4AIAAgACAAIAAgACAAIAAgACAAIAAgACAAIAAgACAAIAAgACAAbwBmACAAdABoAGUAIABmAG8AcgBtACAAewByAG8AdwAsACAAYwBvAGwAfQAuAFwAbgAgACAAIAAgAGUAeAB0AGUAbgBkACAAIAAgACAAIAAgAC0AIABDAGgAZQBiAHkAcwBoAGUAdgAgAHIAYQBkAGkAdQBzACAAbwBmACAAdABoAGUAIABzAHEAdQBhAHIAZQAgACgAbQB1AHMAdAAgAGIAZQAgAGEAIABwAG8AcwBpAHQAaQB2AGUAIABpAG4AdABlAGcAZQByACkALgBcAG4AIAAgACAAIABbAGYAaQBsAGwAXwB2AGEAbAB1AGUAXQAtACAAUwBjAGEAbABhAHIAIAB1AHMAZQBkACAAbwB1AHQAcwBpAGQAZQAgAHQAaABlACAAcwBxAHUAYQByAGUALgAgAEQAZQBmAGEAdQBsAHQAcwAgAHQAbwAgADAALgBcAG4ALQAtAC0ALQAtAC0ALQAtAC0ALQAtAC0ALQAtAC0ALQAtAC0ALQAtAC0ALQAtAC0ALQAtAC0ALQAtAC0ALQAtAC0ALQAtAC0ALQAtAC0ALQAtAC0ALQAtAC0ALQAtAC0ALQAtAC0ALQAtAC0ALQAtAC0ALQAtAC0ALQAtAC0ALQAtAC0ALQAtAC0ALQAtAC0ALQAtAC0ALQAtAC0AKgAvAFwAbgBcAG4AUwBxAHUAYQBy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FMAcQB1AGEAcgBlACAAbQBhAHMAawAgACgAQwBoAGUAYgB5AHMAaABlAHYAIABkAGkAcwB0AGEAbgBjAGUAKQBcAG4AIAAgACAAIABtAGEAcwBrACwAIAAgACAAIAAgACAAIAAgACgAQQBCAFMAKABpACAALQAgAHgAKQAgADwAPQAgAGUAeAB0AGUAbgBkACkAIAAqACAAKABBAEIAUwAoAGoAIAAtACAAeQApACAAPAA9ACAAZQB4AHQAZQBuAGQAKQAsAFwAbgBcAG4AIAAgACAAIAAvAC8AIABFAHgAdAByAGEAYwB0ACAAYQBuAGQAIABzAHEAdQBlAGUAegBlAFwAbgAgACAAIAAgAHIAZQBzAHUAbAB0ACwAIAAgACAAIAAgACAAUwBxAHUAZQBlAHoAZQC7AygASQBGACgAbQBhAHMAawAsACAAZwByAGkAZAAsACAAZgBpAGwAbABfAHYAYQBsAHUAZQApACwAIABmAGkAbABsAF8AdgBhAGwAdQBlACkALABcAG4AXABuACAAIAAgACAAcgBlAHMAdQBsAHQAXABuACkAKQApACkAKQApACkAOwBcAG4AXABuAFwAbgBcAG4ALwAqACAAWwBHAEcAMAA3AF0AIAAtAC0ALQAtAC0ALQAtAC0ALQAtAC0ALQAtAC0ALQAtAC0ALQAtAC0ALQAtAC0ALQAtAC0ALQAtAC0ALQAtAC0ALQAtAC0ALQAtAC0ALQAtAC0ALQAtAC0ALQAtAC0ALQAtAC0ALQAtAC0ALQAtAC0ALQAtAC0ALQAtAC0ALQAtAC0ALQAtAC0ALQAtAC0ALQAtAFwAbgBGAHUAbgBjAHQAaQBvAG4AOgAgACAAIAAgACAAVAByAGkAYQBuAGc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cgBlAGMAdABpAG8AbgBhAGwAIAB0AHIAaQBhAG4AZwB1AGwAYQByACAAcgBlAGcAaQBvAG4AIAAoAHUAcABwAGUAcgAgAG8AcgAgAGwAbwB3AGUAcgApACAAZgByAG8AbQAgAGEAIAAyAEQAIABhAHIAcgBhAHkAIABiAHkAXABuACAAIAAgACAAcwBwAGUAYwBpAGYAeQBpAG4AZwAgAHQAaABlACAAYwBlAG4AdABlAHIAIABhAG4AZAAgAGEAIABNAGEAbgBoAGEAdAB0AGEAbgAgAHIAYQBkAGkAdQBz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0AHIAaQBhAG4AZwBsAGUALgAgAE0AYQB5ACAAYgBlACAAYQAgAHMAYwBhAGwAYQByACAAYwByAGkAdABlAHIAaQBvAG4AIABvAHIAIABjAG8AbwByAGQAaQBuAGEAdABlAHMAXABuACAAIAAgACAAIAAgACAAIAAgACAAIAAgACAAIAAgACAAIAAgAG8AZgAgAHQAaABlACAAZgBvAHIAbQAgAHsAcgBvAHcALAAgAGMAbwBsAH0ALgBcAG4AIAAgACAAIAByAGEAZABpAHUAcwAgACAAIAAgACAAIAAtACAATQBhAG4AaABhAHQAdABhAG4AIAByAGEAZABpAHUAcwAgAG8AZgAgAHQAaABlACAAdAByAGkAYQBuAGcAbABlACAAKABtAHUAcwB0ACAAYgBlACAAYQAgAHAAbwBzAGkAdABpAHYAZQAgAGkAbgB0AGUAZwBlAHIAKQAuAFwAbgAgACAAIAAgAFsAYgBlAGwAbwB3AF0AIAAgACAAIAAgAC0AIABJAGYAIABUAFIAVQBFACwAIAByAGUAdAB1AHIAbgBzACAAdABoAGUAIABsAG8AdwBlAHIAIAB0AHIAaQBhAG4AZwBsAGUAOwAgAGkAZgAgAG8AbQBpAHQAdABlAGQALAAgAHIAZQB0AHUAcgBuAHMAIAB1AHAAcABlAHIALgBcAG4AIAAgACAAIABbAGYAaQBsAGwAXwB2AGEAbAB1AGUAXQAtACAAUwBjAGEAbABhAHIAIAB1AHMAZQBkACAAbwB1AHQAcwBpAGQAZQAgAHQAaABlACAAdAByAGkAYQBuAGcAbABlAC4AIABEAGUAZgBhAHUAbAB0AHMAIAB0AG8AIAAwAC4AXABuAC0ALQAtAC0ALQAtAC0ALQAtAC0ALQAtAC0ALQAtAC0ALQAtAC0ALQAtAC0ALQAtAC0ALQAtAC0ALQAtAC0ALQAtAC0ALQAtAC0ALQAtAC0ALQAtAC0ALQAtAC0ALQAtAC0ALQAtAC0ALQAtAC0ALQAtAC0ALQAtAC0ALQAtAC0ALQAtAC0ALQAtAC0ALQAtAC0ALQAtAC0ALQAtACoALwBcAG4AXABuAFQAcgBpAGEAbgBnAGwAZQC7AyAAPQBcAG4ATABBAE0AQgBEAEEAKABcAG4AIAAgACAAIABnAHIAaQBkACwAXABuACAAIAAgACAAdABhAHIAZwBlAHQALABcAG4AIAAgACAAIAByAGEAZABpAHUAcwAsAFwAbgAgACAAIAAgAFsAYgBlAGwAbwB3AF0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SAGEAZABpAHUAcwA/ACwAIABPAFIAKABJAFMAVABFAFgAVAAoAHIAYQBkAGkAdQBzACkALAAgAHIAYQBkAGkAdQBzACAAPAAgADEAKQAsAFwAbgAgACAAIAAgAE4AbwBUAGEAcgBnAGUAdAA/ACwAIAAgACAAIAAgACAASQBGACgASQBzAEkAXwBKAD8ALAAgAEYAQQBMAFMARQAsACAATgBPAFQAKABPAFIAKABiAG8AbwBsACkAKQApACwAXABuAFwAbgAgACAAIAAgAC8ALwAgAE8AcAB0AGkAbwBuAGEAbAAgAHAAYQByAGEAbQBlAHQAZQByAHMAXABuACAAIAAgACAAZgBpAGwAbABfAHYAYQBsAHUAZQAsACAAIAAgACAAIABJAEYAKABJAFMATwBNAEkAVABUAEUARAAoAGYAaQBsAGwAXwB2AGEAbAB1AGUAKQAsACAAMAAsACAAZgBpAGwAbABfAHYAYQBsAHUAZQApACwAXABuACAAIAAgACAASQBzAEEAYgBvAHYAZQA/ACwAIAAgACAAIAAgACAAIABJAFMATwBNAEkAVABUAEUARAAoAGIAZQBsAG8Adw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SAGEAZABpAHUAcwA/ACwAIABcACIAIwBSAEEARABJAFUAUw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EQAaQByAGUAYwB0AGkAbwBuACAAbQBhAHMAawBcAG4AIAAgACAAIABkAGkAcgAsACAAIAAgACAAIAAgACAAIAAgAEkARgAoAEkAcwBBAGIAbwB2AGUAPwAsACAAKABpACAAPAA9ACAAeAApACwAIAAoAGkAIAA+AD0AIAB4ACkAKQAsAFwAbgBcAG4AIAAgACAAIAAvAC8AIABUAHIAaQBhAG4AZwBsAGUAIABtAGEAcwBrACAAKABNAGEAbgBoAGEAdAB0AGEAbgAgAGQAaQBzAHQAYQBuAGMAZQAgACsAIABkAGkAcgBlAGMAdABpAG8AbgApAFwAbgAgACAAIAAgAG0AYQBzAGsALAAgACAAIAAgACAAIAAgACAAKABBAEIAUwAoAGkAIAAtACAAeAApACAAKwAgAEEAQgBTACgAagAgAC0AIAB5ACkAIAA8AD0AIAByAGEAZABpAHUAcwApACAAKgAgAGQAaQBy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FMAQQBdACAALQAtAC0ALQAtAC0ALQAtAC0ALQAtAC0ALQAtAC0ALQAtAC0ALQAtAC0ALQAtAC0ALQAtAC0ALQAtAC0ALQAtAC0ALQAtAC0ALQAtAC0ALQAtAC0ALQAtAC0ALQAtAC0ALQAtAC0ALQAtAC0ALQAtAC0ALQAtAC0ALQAtAC0ALQAtAC0ALQAtAC0ALQAtAC0ALQAtAC0AXABuACMAIwAgADAAMwAgAC0AIAAyAEQAIABBAHIAcgBhAHkAIABTAGgAYQBwAGkAbgBn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TAGgAYQBwAGkAbgBnACAAZgB1AG4AYwB0AGkAbwBuAHMAIAByAGUAcwBoAGEAcABlACwAIAByAGUAcwBpAHoAZQAsACAAdwByAGEAcAAsACAAcABhAGQALAAgAHQAcgBhAHYAZQByAHMAZQAsACAAbwByACAAcgBlAGYAbABvAHcAIABnAHIAaQBkAHMAIAB3AGgAaQBsAGUAXABuACAAIAAgACAAcAByAGUAcwBlAHIAdgBpAG4AZwAgAHQAaABlACAAcwB0AHIAdQBjAHQAdQByAGUAIABvAGYAIAB0AGgAZQAgAHUAbgBkAGUAcgBsAHkAaQBuAGcAIABkAGEAdABhAC4AXABuAFwAbgAgACAAIAAgAFMAdQBiACAAYwBhAHQAZQBnAG8AcgBpAGUAcwA6AFwAbgBcAG4AIAAgACAAIAAgACAAIAAgACIgIABDAG8AcgBlACAAUwBoAGEAcABpAG4AZwAgAFAAcgBpAG0AaQB0AGkAdgBlAHMAXABuACAAIAAgACAAIAAgACAAIAAgACAAIAAgACAAIABSAGUAUwBoAGEAcABlADIARAC7AywAIABSAGUAcwBpAHoAZQC7AywAIABTAGMAYQBuADIARAC7AywAIABUAHIAYQB2AGUAcgBzAGUAuwMsACAAVABhAGsAZQBCAGwAbwBjAGsAuwMsACAARABTAHQAYQBjAGsAuwNcAG4AXABuACAAIAAgACAAIAAgACAAIAAiICAAUgBlAGYAbABvAHcAXABuACAAIAAgACAAIAAgACAAIAAgACAAIAAgACAAIABXAHIAYQBwAFIAbwB3AHMAMgBEALsDLAAgAFcAcgBhAHAAQwBvAGwAcwAyAEQAuwMsACAAUwB0AGEAaQByAGMAYQBzAGUAuwMsACAAVQBuAFAAaQB2AG8AdAC7AywAIABaAGkAcAC7AywAIABTAGwAaQBjAGUAQgB5AEQAZQBnALsDXABuAFwAbgAgACAAIAAgACAAIAAgACAAIiAgAFAAYQBkAGQAaQBuAGcAXABuACAAIAAgACAAIAAgACAAIAAgACAAIAAgACAAIABQAGEAZAC7AywAIABJAG4AcwB1AGwAYQB0AGUAUgBvAHcAcwC7AywAIABJAG4AcwB1AGwAYQB0AGUAQwBvAGwAcwC7A1wAbgBcAG4AIAAgACAAIAAgACAAIAAgACIgIABJAG4AdABlAHIAcABvAGwAYQB0AGkAbwBuAFwAbgAgACAAIAAgACAAIAAgACAAIAAgACAAIAAgACAATQBhAGcAbgBpAGYAeQC7AywAIABaAG8AbwBtALsDXABuAFwAbgAgACAAIAAgAEEAbABsACAAcwBoAGEAcABpAG4AZwAgAGYAdQBuAGMAdABpAG8AbgBzACAAcAByAGUAcwBlAHIAdgBlACAAMgBEACAAZwBlAG8AbQBlAHQAcgB5ACAAYQBuAGQAIAByAGUAdAB1AHIAbgAgAGEAcgByAGEAeQBzACAAdwBoAG8AcwBlACAAcwB0AHIAdQBjAHQAdQByAGUAXABuACAAIAAgACAAaQBzACAAZQB4AHAAbABpAGMAaQB0AGwAeQAgAGQAZQBmAGkAbgBlAGQAIABiAHkAIAB0AGgAZQAgAHQAcgBhAG4AcwBmAG8AcgBtAGEAdABpAG8AbgAgAHIAdQBsAGUAcwAuAFwAbgAqAC8AXABuAFwAbgBcAG4AXABuAC8ALwAgACAAQwBvAHIAZQAgAFMAaABhAHAAaQBuAGcAIABQAHIAaQBtAGkAdABpAHYAZQBzAFwAbgBcAG4AXABuAFwAbgAvACoAIABbAFMAQQAwADEAXQAgAC0ALQAtAC0ALQAtAC0ALQAtAC0ALQAtAC0ALQAtAC0ALQAtAC0ALQAtAC0ALQAtAC0ALQAtAC0ALQAtAC0ALQAtAC0ALQAtAC0ALQAtAC0ALQAtAC0ALQAtAC0ALQAtAC0ALQAtAC0ALQAtAC0ALQAtAC0ALQAtAC0ALQAtAC0ALQAtAC0ALQAtAC0ALQAtAC0AXABuAEYAdQBuAGMAdABpAG8AbgA6ACAAIAAgACAAIABSAGUAUwBoAGEAcABlADIARAC7A1wAbgBDAGEAdABlAGcAbwByAHkAOgAgACAAIAAgACAAMgBEACAAQQByAHIAYQB5ACAAUwBoAGEAcABpAG4AZwBcAG4AQQB1AHQAaABvAHIAOgAgACAAIAAgACAAIAAgAFAAYQB0AHIAaQBjAGsAIABIAC4AXABuAFYAZQByAHMAaQBvAG4AOgAgACAAIAAgACAAIAAxAC4AMQBcAG4AXABuAEQAZQBzAGMAcgBpAHAAdABpAG8AbgA6AFwAbgAgACAAIAAgAFIAZQBzAGgAYQBwAGUAcwAgAGEAIAAyAEQAIABhAHIAcgBhAHkAIABpAG4AdABvACAAYQAgAG4AZQB3ACAAYwBvAGwAdQBtAG4AIAB3AGkAZAB0AGgAIAB1AHMAaQBuAGcAIAByAG8AdwARIG0AYQBqAG8AcgAgAG8AcgBkAGUAcgAuACAAQQBsAGwAIAB2AGEAbAB1AGUAcwBcAG4AIAAgACAAIABhAHIAZQAgAHAAcgBlAHMAZQByAHYAZQBkACAAaQBuACAAcgBlAGEAZABpAG4AZwAgAG8AcgBkAGUAcgAsACAAYQBuAGQAIAB0AGgAZQAgAGYAaQBuAGEAbAAgAGIAbABvAGMAawAgAGkAcwAgAHAAYQBkAGQAZQBkACAAaQBmACAAbgBlAGUAZABlAGQALgBcAG4AIAAgACAAIABPAG4AZQARIGQAaQBtAGUAbgBzAGkAbwBuAGEAbAAgAGEAcgByAGEAeQBzACAAYQByAGUAIAByAGUAagBlAGMAdABlAGQALgBcAG4AXABuAEUAeABhAG0AcABsAGUAOgBcAG4AIAAgACAAIABJAG4AcAB1AHQAOgBcAG4AIAAgACAAIAAgACAAIAAgAHsAMQAsADIALAAzACwANAA7AFwAbgAgACAAIAAgACAAIAAgACAAIAA1ACwANgAsADcALAA4ADsAXABuACAAIAAgACAAIAAgACAAIAAgADkALAAxADAALAAxADEALAAxADIAOwBcAG4AIAAgACAAIAAgACAAIAAgACAAMQAzACwAMQA0ACwAMQA1ACwAMQA2AH0AXABuAFwAbgAgACAAIAAgAD0AUgBlAFMAaABhAHAAZQAyAEQAuwMoAGEAcgByAGEAeQAsACAAMgApAFwAbgBcAG4AIAAgACAAIABPAHUAdABwAHUAdAA6AFwAbgAgACAAIAAgACAAIAAgACAAewAxACwAMgA7AFwAbgAgACAAIAAgACAAIAAgACAAIAAzACwANAA7AFwAbgAgACAAIAAgACAAIAAgACAAIAA1ACwANgA7AFwAbgAgACAAIAAgACAAIAAgACAAIAA3ACwAOAA7AFwAbgAgACAAIAAgACAAIAAgACAAIAA5ACwAMQAwADsAXABuACAAIAAgACAAIAAgACAAIAAgADEAMQAsADEAMgA7AFwAbgAgACAAIAAgACAAIAAgACAAIAAxADMALAAxADQAOwBcAG4AIAAgACAAIAAgACAAIAAgACAAMQA1ACwAMQA2AH0AXABuAFwAbgBQAGEAcgBhAG0AZQB0AGUAcgBzADoAXABuACAAIAAgACAAYQByAHIAYQB5ACAAIAAgACAAIAAgACAAIAAtACAAUgBlAHEAdQBpAHIAZQBkACAAMgBEACAAYQByAHIAYQB5ACAAdABvACAAcgBlAHMAaABhAHAAZQAuACAATwBuAGUAESBkAGkAbQBlAG4AcwBpAG8AbgBhAGwAIABhAHIAcgBhAHkAcwAgAGEAcgBlACAAcgBlAGoAZQBjAHQAZQBkAC4AXABuACAAIAAgACAAbgBlAHcAXwB3AGkAZAB0AGgAIAAgACAAIAAtACAAUgBlAHEAdQBpAHIAZQBkACAAbgB1AG0AYgBlAHIAIABvAGYAIABjAG8AbAB1AG0AbgBzACAAaQBuACAAdABoAGUAIAByAGUAcwBoAGEAcABlAGQAIABhAHIAcgBhAHkALgBcAG4AXABuAE8AcAB0AGkAbwBuAGEAbAA6AFwAbgAgACAAIAAgAFsAcABhAGQAXwB3AGkAdABoAF0AIAAgACAALQAgAFMAYwBhAGwAYQByACAAdQBzAGUAZAAgAHQAbwAgAGYAaQBsAGwAIABpAG4AYwBvAG0AcABsAGUAdABlACAAZgBpAG4AYQBsACAAcgBvAHcAcwAuACAARABlAGYAYQB1AGwAdABzACAAdABvACAATgBBACgAKQAuAFwAbgBcAG4ATgBvAHQAZQBzADoAXABuACAAIAAgACAAIiAgAFIAZQBzAGgAYQBwAGkAbgBnACAAaQBzACAAcABlAHIAZgBvAHIAbQBlAGQAIABzAHQAcgBpAGMAdABsAHkAIABpAG4AIAByAG8AdwARIG0AYQBqAG8AcgAgAG8AcgBkAGUAcgAuAFwAbgAgACAAIAAgACIgIABuAGUAdwBfAHcAaQBkAHQAaAAgAG0AdQBzAHQAIABiAGUAIABsAGUAcwBzACAAdABoAGEAbgAgAG8AcgAgAGUAcQB1AGEAbAAgAHQAbwAgAHQAaABlACAAbwByAGkAZwBpAG4AYQBsACAAdwBpAGQAdABoAC4AXABuACAAIAAgACAAIiAgAFQAaABpAHMAIABmAHUAbgBjAHQAaQBvAG4AIABkAG8AZQBzACAAbgBvAHQAIABmAGwAYQB0AHQAZQBuACAAbwByACAAcgBlABEgdwByAGEAcAAgADEARAAgAGEAcgByAGEAeQBzAC4AXABuAC0ALQAtAC0ALQAtAC0ALQAtAC0ALQAtAC0ALQAtAC0ALQAtAC0ALQAtAC0ALQAtAC0ALQAtAC0ALQAtAC0ALQAtAC0ALQAtAC0ALQAtAC0ALQAtAC0ALQAtAC0ALQAtAC0ALQAtAC0ALQAtAC0ALQAtAC0ALQAtAC0ALQAtAC0ALQAtAC0ALQAtAC0ALQAtAC0ALQAtAC0ALQAtACoALwBcAG4AXABuAFIAZQBTAGgAYQBwAGUAMgBEALsDIAA9AFwAbgBMAEEATQBCAEQAQQAoAFwAbgAgACAAIAAgAGEAcgByAGEAeQAsAFwAbgAgACAAIAAgAG4AZQB3AF8AdwBpAGQAdABoACwAXABuACAAIAAgACAAWwBwAGEAZABfAHcAaQB0AGgAXQAsAFwAbgBMAEUAVAAoAFwAbgAgACAAIAAgAC8ALwAgAEQAaQBtAGUAbgBzAGkAbwBuAHMAXABuACAAIAAgACAAaAAsACAAIAAgACAAIAAgACAAIAAgACAAIAAgACAAIABSAE8AVwBTACgAYQByAHIAYQB5ACkALABcAG4AIAAgACAAIAB3ACwAIAAgACAAIAAgACAAIAAgACAAIAAgACAAIAAgAEMATwBMAFUATQBOAFMAKABhAHIAcgBhAHkAKQAsAFwAbgBcAG4AIAAgACAAIABuAGUAdwBfAGgAZQBpAGcAaAB0ACwAIAAgACAAIAAgAEMARQBJAEwASQBOAEcAKABDAE8AVQBOAFQAQQAoAGEAcgByAGEAeQApACAALwAgAG4AZQB3AF8AdwBpAGQAdABoACwAIAAxACkALABcAG4AXABuACAAIAAgACAALwAvACAATwBwAHQAaQBvAG4AYQBsACAAcABhAGQAZABpAG4AZwBcAG4AIAAgACAAIABwAGEAZABfAHcAaQB0AGgALAAgACAAIAAgACAAIAAgAEkARgAoAEkAUwBPAE0ASQBUAFQARQBEACgAcABhAGQAXwB3AGkAdABoACkALAAgAE4AQQAoACkALAAgAHAAYQBkAF8AdwBpAHQAaAApACwAXABuAFwAbgAgACAAIAAgAC8ALwAgAFMAYwBlAG4AYQByAGkAbwBzAFwAbgAgACAAIAAgAEkAbgB2AGEAbABpAGQAVwBpAGQAdABoACwAIAAgACAAbgBlAHcAXwB3AGkAZAB0AGgAIAA+ACAAdwAsAFwAbgAgACAAIAAgAEkAcwBTAGMAYQBsAGEAcgA/ACwAIAAgACAAIAAgACAAQQBOAEQAKABoACAAPQAgADEALAAgAHcAIAA9ACAAMQApACwAXABuAFwAbgAgACAAIAAgAC8ALwAgAFYAZQBjAHQAbwByACAAaABhAG4AZABsAGkAbgBnAFwAbgAgACAAIAAgAEkAcwAxAEQAPwAsACAAIAAgACAAIAAgACAAIAAgACAAWABPAFIAKABoACAAPQAgADEALAAgAHcAIAA9ACAAMQApACwAXABuACAAIAAgACAASQBzAFYAZQByAHQAaQBjAGEAbAA/ACwAIAAgACAAIABoACAAPgAgAHcALABcAG4AXABuACAAIAAgACAALwAvACAATABvAGcAaQBjACAAZwBhAHQAZQBcAG4AIAAgACAAIABJAEYAKABJAHMAUwBjAGEAbABhAHIAPwAsACAAYQByAHIAYQB5ACwAXABuAFwAbgAgACAAIAAgACAAIAAgACAASQBGACgASQBzADEARAA/ACwAIABcACIAIwBWAEEATABVAEUAIQBcACIALABcAG4AXABuACAAIAAgACAAIAAgACAAIAAgACAAIAAgAEkARgAoAEkAbgB2AGEAbABpAGQAVwBpAGQAdABoACwAIABcACIAIwBXAEkARABUAEgAIQBcACIALABcAG4AXABuAEwARQBUACgAXABuACAAIAAgACAALwAvACAASQBuAGQAaQBjAGUAcwBcAG4AIAAgACAAIABpACwAIAAgACAAIAAgACAAIAAgACAAIAAgACAAIAAgAEwAQQBNAEIARABBACgAQwBFAEkATABJAE4ARwAoAFMARQBRAFUARQBOAEMARQAoAG4AZQB3AF8AaABlAGkAZwBoAHQALAAgAG4AZQB3AF8AdwBpAGQAdABoACkAIAAvACAAdwAsACAAMQApACkALABcAG4AXABuACAAIAAgACAAbQBvAGQAdQBsAG8ALAAgACAAIAAgACAAIAAgACAAIABMAEEATQBCAEQAQQAoAE0ATwBEACgAUwBFAFEAVQBFAE4AQwBFACgAbgBlAHcAXwBoAGUAaQBnAGgAdAAsACAAbgBlAHcAXwB3AGkAZAB0AGgAKQAsACAAdwApACkALABcAG4AXABuACAAIAAgACAAagAsACAAIAAgACAAIAAgACAAIAAgACAAIAAgACAAIABMAEEATQBCAEQAQQAoAEkARgAoAG0AbwBkAHUAbABvACgAKQAgAD0AIAAwACwAIAB3ACwAIABtAG8AZAB1AGwAbwAoACkAKQApACwAXABuAFwAbgAgACAAIAAgAC8ALwAgAFAAcgBlAHMAZQBuAHQAXABuACAAIAAgACAAcgBlAHMAaABhAHAAZQBkACwAIAAgACAAIAAgACAAIABJAEYARQBSAFIATwBSACgASQBOAEQARQBYACgAYQByAHIAYQB5ACwAIABpACgAKQAsACAAagAoACkAKQAsACAAcABhAGQAXwB3AGkAdABoACkALABcAG4AXABuACAAIAAgACAAcgBlAHMAaABhAHAAZQBkAFwAbgApACkAKQApACkAKQA7AFwAbgBcAG4AXABuAFwAbgAvACoAIABbAFMAQQAwADIAXQAgAC0ALQAtAC0ALQAtAC0ALQAtAC0ALQAtAC0ALQAtAC0ALQAtAC0ALQAtAC0ALQAtAC0ALQAtAC0ALQAtAC0ALQAtAC0ALQAtAC0ALQAtAC0ALQAtAC0ALQAtAC0ALQAtAC0ALQAtAC0ALQAtAC0ALQAtAC0ALQAtAC0ALQAtAC0ALQAtAC0ALQAtAC0ALQAtAC0AXABuAEYAdQBuAGMAdABpAG8AbgA6ACAAIAAgACAAIABSAGUAcwBpAHoAZQC7A1wAbgBDAGEAdABlAGcAbwByAHkAOgAgACAAIAAgACAAMgBEACAAQQByAHIAYQB5ACAAUwBoAGEAcABpAG4AZwBcAG4AQQB1AHQAaABvAHIAOgAgACAAIAAgACAAIAAgAFAAYQB0AHIAaQBjAGsAIABIAC4AXABuAFYAZQByAHMAaQBvAG4AOgAgACAAIAAgACAAIAAxAC4AMQBcAG4AXABuAEQAZQBzAGMAcgBpAHAAdABpAG8AbgA6AFwAbgAgACAAIAAgAFIAZQBwAGUAYQB0AHMAIABhACAAMgBEACAAYQByAHIAYQB5ACAAdgBlAHIAdABpAGMAYQBsAGwAeQAgAGEAbgBkAC8AbwByACAAaABvAHIAaQB6AG8AbgB0AGEAbABsAHkAIABiAHkAIABpAG4AdABlAGcAZQByACAAcgBlAHAAZQBhAHQAIABjAG8AdQBuAHQAcwAuAFwAbgAgACAAIAAgAFUAcwBlAHIAcwAgAG0AYQB5ACAAcwBwAGUAYwBpAGYAeQAgAGgAZQBpAGcAaAB0ACwAIAB3AGkAZAB0AGgALAAgAG8AcgAgAGIAbwB0AGgALgAgAEkAZgAgAGUAaQB0AGgAZQByACAAcABhAHIAYQBtAGUAdABlAHIAIABpAHMAIABvAG0AaQB0AHQAZQBkACwAXABuACAAIAAgACAAdABoAGUAIABvAG0AaQB0AHQAZQBkACAAZABpAG0AZQBuAHMAaQBvAG4AIABkAGUAZgBhAHUAbAB0AHMAIAB0AG8AIAAxAC4AIABHAGUAbwBtAGUAdAByAHkAIABpAHMAIABwAHIAZQBzAGUAcgB2AGUAZAA7ACAAbgBvACAAZgBsAGEAdAB0AGUAbgBpAG4AZwBcAG4AIAAgACAAIABvAGMAYwB1AHIAcwAuAFwAbgBcAG4ARQB4AGEAbQBwAGwAZQA6AFwAbgAgACAAIAAgAEkAbgBwAHUAdAA6AFwAbgAgACAAIAAgACAAIAAgACAAewAxACwAMgA7AFwAbgAgACAAIAAgACAAIAAgACAAIAAzACwANAB9AFwAbgBcAG4AIAAgACAAIAA9AFIAZQBzAGkAegBlALsDKABhAHIAcgBhAHkALAAgADIALAAgADMAKQBcAG4AXABuACAAIAAgACAATwB1AHQAcAB1AHQAOgBcAG4AIAAgACAAIAAgACAAIAAgAHsAMQAsADIALAAxACwAMgAsADEALAAyADsAXABuACAAIAAgACAAIAAgACAAIAAgADMALAA0ACwAMwAsADQALAAzACwANAA7AFwAbgAgACAAIAAgACAAIAAgACAAIAAxACwAMgAsADEALAAyACwAMQAsADIAOwBcAG4AIAAgACAAIAAgACAAIAAgACAAMwAsADQALAAzACwANAAsADMALAA0AH0AXABuAFwAbgBQAGEAcgBhAG0AZQB0AGUAcgBzADoAXABuACAAIAAgACAAYQByAHIAYQB5ACAAIAAgACAAIAAgACAAIAAtACAAUgBlAHEAdQBpAHIAZQBkACAAMgBEACAAYQByAHIAYQB5ACAAdABvACAAYgBlACAAcgBlAHAAZQBhAHQAZQBkAC4AXABuACAAIAAgACAAWwBoAGUAaQBnAGgAdABdACAAIAAgACAAIAAtACAATwBwAHQAaQBvAG4AYQBsACAAdgBlAHIAdABpAGMAYQBsACAAcgBlAHAAZQBhAHQAIABjAG8AdQBuAHQALgAgAEQAZQBmAGEAdQBsAHQAcwAgAHQAbwAgADEALgBcAG4AIAAgACAAIABbAHcAaQBkAHQAaABdACAAIAAgACAAIAAgAC0AIABPAHAAdABpAG8AbgBhAGwAIABoAG8AcgBpAHoAbwBuAHQAYQBsACAAcgBlAHAAZQBhAHQAIABjAG8AdQBuAHQALgAgAEQAZQBmAGEAdQBsAHQAcwAgAHQAbwAgADEALgBcAG4AXABuAE4AbwB0AGUAcwA6AFwAbgAgACAAIAAgACIgIABSAGUAcABlAHQAaQB0AGkAbwBuACAAaQBzACAAcABlAHIAZgBvAHIAbQBlAGQAIAB2AGkAYQAgAGkAbgBkAGUAeAAgAHIAZQBtAGEAcABwAGkAbgBnAC4AXABuACAAIAAgACAAIiAgAE8AdQB0AHAAdQB0ACAAZwBlAG8AbQBlAHQAcgB5ACAAaQBzACAAKABoACAA1wAgAGgAZQBpAGcAaAB0ACkAIABiAHkAIAAoAHcAIADXACAAdwBpAGQAdABoACkALgBcAG4ALQAtAC0ALQAtAC0ALQAtAC0ALQAtAC0ALQAtAC0ALQAtAC0ALQAtAC0ALQAtAC0ALQAtAC0ALQAtAC0ALQAtAC0ALQAtAC0ALQAtAC0ALQAtAC0ALQAtAC0ALQAtAC0ALQAtAC0ALQAtAC0ALQAtAC0ALQAtAC0ALQAtAC0ALQAtAC0ALQAtAC0ALQAtAC0ALQAtAC0ALQAtAC0AKgAvAFwAbgBcAG4AUgBlAHMAaQB6AGUAuwMgAD0AXABuAEwAQQBNAEIARABBACgAXABuACAAIAAgACAAYQByAHIAYQB5ACwAXABuACAAIAAgACAAWwBoAGUAaQBnAGgAdABdACwAXABuACAAIAAgACAAWwB3AGkAZAB0AGgAXQAsAFwAbgBMAEUAVAAoAFwAbgAgACAAIAAgAC8ALwAgAEQAaQBtAGUAbgBzAGkAbwBuAHMAXABuACAAIAAgACAAaAAsACAAIAAgACAAIAAgACAAIAAgACAAIAAgACAAIAAgAFIATwBXAFMAKABhAHIAcgBhAHkAKQAsAFwAbgAgACAAIAAgAHcALAAgACAAIAAgACAAIAAgACAAIAAgACAAIAAgACAAIABDAE8ATABVAE0ATgBTACgAYQByAHIAYQB5ACkALABcAG4AXABuACAAIAAgACAALwAvACAATwBtAGkAcwBzAGkAbwBuACAAYwBoAGUAYwBrAHMAXABuACAAIAAgACAASABlAGkAZwBoAHQATwBtAGkAdAB0AGUAZAA/ACwAIAAgAEkAUwBPAE0ASQBUAFQARQBEACgAaABlAGkAZwBoAHQAKQAsAFwAbgAgACAAIAAgAFcAaQBkAHQAaABPAG0AaQB0AHQAZQBkAD8ALAAgACAAIABJAFMATwBNAEkAVABUAEUARAAoAHcAaQBkAHQAaAApACwAXABuACAAIAAgACAATgBvAEgAVwBJAG4AcAB1AHQAPwAsACAAIAAgACAAIAAgAEgAZQBpAGcAaAB0AE8AbQBpAHQAdABlAGQAPwAgACsAIABXAGkAZAB0AGgATwBtAGkAdAB0AGUAZAA/ACAAPQAgADIALABcAG4AXABuACAAIAAgACAALwAvACAARABlAGYAYQB1AGwAdAAgAHIAZQBwAGUAYQB0ACAAYwBvAHUAbgB0AHMAXABuACAAIAAgACAAaABlAGkAZwBoAHQALAAgACAAIAAgACAAIAAgACAAIAAgAEkARgAoAE8AUgAoAE4AbwBIAFcASQBuAHAAdQB0AD8ALAAgAEgAZQBpAGcAaAB0AE8AbQBpAHQAdABlAGQAPwApACwAIAAxACwAIABoAGUAaQBnAGgAdAApACwAXABuACAAIAAgACAAdwBpAGQAdABoACwAIAAgACAAIAAgACAAIAAgACAAIAAgAEkARgAoAE8AUgAoAE4AbwBIAFcASQBuAHAAdQB0AD8ALAAgAFcAaQBkAHQAaABPAG0AaQB0AHQAZQBkAD8AKQAsACAAMQAsACAAdwBpAGQAdABoACkALABcAG4AXABuACAAIAAgACAALwAvACAAUwBjAGUAbgBhAHIAaQBvAHMAXABuACAAIAAgACAATgBvAFIAZQBwAGUAYQB0AD8ALAAgACAAIAAgACAAIAAgAEEATgBEACgAaABlAGkAZwBoAHQAIAA9ACAAMQAsACAAdwBpAGQAdABoACAAPQAgADEAKQAsAFwAbgAgACAAIAAgAEkAcwBTAGMAYQBsAGEAcgA/ACwAIAAgACAAIAAgACAAIABBAE4ARAAoAGgAIAA9ACAAMQAsACAAdwAgAD0AIAAxACkALABcAG4AIAAgACAAIABFAHgAcABhAG4AZABTAGMAYQBsAGEAcgAsACAAIAAgACAARQBYAFAAQQBOAEQAKABhAHIAcgBhAHkALAAgAGgAZQBpAGcAaAB0ACwAIAB3AGkAZAB0AGgALAAgAGEAcgByAGEAeQApACwAXABuAFwAbgAgACAAIAAgAEkAbgB2AGEAbABpAGQAUgBlAHAAZQBhAHQAPwAsACAAIABPAFIAKABJAFMAVABFAFgAVAAoAGgAZQBpAGcAaAB0ACkALABcAG4AIAAgACAAIAAgACAAIAAgACAAIAAgACAAIAAgACAAIAAgACAAIAAgACAAIAAgACAASQBTAFQARQBYAFQAKAB3AGkAZAB0AGgAKQAsAFwAbgAgACAAIAAgACAAIAAgACAAIAAgACAAIAAgACAAIAAgACAAIAAgACAAIAAgACAAIABPAFIAKABBAE4ARAAoAEkAUwBOAFUATQBCAEUAUgAoAGgAZQBpAGcAaAB0ACkALAAgAGgAZQBpAGcAaAB0ACAAPAA9ACAAMAApACwAXABuACAAIAAgACAAIAAgACAAIAAgACAAIAAgACAAIAAgACAAIAAgACAAIAAgACAAIAAgACAAIAAgAEEATgBEACgASQBTAE4AVQBNAEIARQBSACgAdwBpAGQAdABoACkALAAgACAAdwBpAGQAdABoACAAPAA9ACAAMAApACkAKQAsAFwAbgBcAG4AIAAgACAAIAAvAC8AIABMAG8AZwBpAGMAIABnAGEAdABlAFwAbgAgACAAIAAgAEkARgAoAE4AbwBSAGUAcABlAGEAdAA/ACwAIABhAHIAcgBhAHkALABcAG4AXABuACAAIAAgACAAIAAgACAAIABJAEYAKABJAHMAUwBjAGEAbABhAHIAPwAsACAARQB4AHAAYQBuAGQAUwBjAGEAbABhAHIALABcAG4AXABuACAAIAAgACAAIAAgACAAIAAgACAAIAAgAEkARgAoAEkAbgB2AGEAbABpAGQAUgBlAHAAZQBhAHQAPwAsACAAYQByAHIAYQB5ACwAXABuAFwAbgBMAEUAVAAoAFwAbgAgACAAIAAgAC8ALwAgAEUAeABwAGEAbgBkAGUAZAAgAGQAaQBtAGUAbgBzAGkAbwBuAHMAXABuACAAIAAgACAAawAsACAAIAAgACAAIAAgACAAIAAgACAAIAAgACAAIAAgAGgAIAAqACAAaABlAGkAZwBoAHQALABcAG4AIAAgACAAIABrAIIgLAAgACAAIAAgACAAIAAgACAAIAAgACAAIAAgACAAdwAgACoAIAB3AGkAZAB0AGgALABcAG4AXABuACAAIAAgACAALwAvACAASQBuAGQAaQBjAGUAcwAgACgAZABlAGYAZQByAHIAZQBkACkAXABuACAAIAAgACAAaQAsACAAIAAgACAAIAAgACAAIAAgACAAIAAgACAAIAAgAEwAQQBNAEIARABBACgAMQAgACsAIABNAE8ARAAoAFMARQBRAFUARQBOAEMARQAoAGsALAAsADAALAApACwAIABoACkAIAAqACAAUwBFAFEAVQBFAE4AQwBFACgALAAgAGsAgiAsACAAMQAsACAAMAApACkALABcAG4AIAAgACAAIABqACwAIAAgACAAIAAgACAAIAAgACAAIAAgACAAIAAgACAATABBAE0AQgBEAEEAKAAxACAAKwAgAE0ATwBEACgAUwBFAFEAVQBFAE4AQwBFACgALAAgAGsAgiAsACAAMAApACwAIAB3ACkAIAAqACAAUwBFAFEAVQBFAE4AQwBFACgAawAsACwAIAAxACwAIAAwACkAKQAsAFwAbgBcAG4AIAAgACAAIAAvAC8AIABDAG8AbgBzAHQAcgB1AGMAdAAgAHIAZQBwAGUAYQB0AGUAZAAgAGEAcgByAGEAeQBcAG4AIAAgACAAIAByAGUAcwB1AGwAdAAsACAAIAAgACAAIAAgACAAIAAgACAASQBOAEQARQBYACgAYQByAHIAYQB5ACwAIABpACgAKQAsACAAagAoACkAKQAsAFwAbgBcAG4AIAAgACAAIAByAGUAcwB1AGwAdABcAG4AKQApACkAKQApACkAOwBcAG4AXABuAFwAbgBcAG4ALwAqACAAWwBTAEEAMAAzAF0AIAAtAC0ALQAtAC0ALQAtAC0ALQAtAC0ALQAtAC0ALQAtAC0ALQAtAC0ALQAtAC0ALQAtAC0ALQAtAC0ALQAtAC0ALQAtAC0ALQAtAC0ALQAtAC0ALQAtAC0ALQAtAC0ALQAtAC0ALQAtAC0ALQAtAC0ALQAtAC0ALQAtAC0ALQAtAC0ALQAtAC0ALQAtAC0ALQAtAFwAbgBGAHUAbgBjAHQAaQBvAG4AOgAgACAAIAAgACAAUwBjAGEAbgAyAEQAuwNcAG4AQwBhAHQAZQBnAG8AcgB5ADoAIAAgACAAIAAgADIARAAgAEEAcgByAGEAeQAgAFMAaABhAHAAaQBuAGcAXABuAEEAdQB0AGgAbwByADoAIAAgACAAIAAgACAAIABQAGEAdAByAGkAYwBrACAASAAuAFwAbgBWAGUAcgBzAGkAbwBuADoAIAAgACAAIAAgACAAMQAuADEAXABuAEQAZQBwAGUAbgBkAGUAbgBjAGkAZQBzADoAIABSAGUAUwBoAGEAcABlADIARAC7AywAIABUAHIAYQB2AGUAcgBzAGUAuwNcAG4AXABuAEQAZQBzAGMAcgBpAHAAdABpAG8AbgA6AFwAbgAgACAAIAAgAEEAIAB0AHIAYQB2AGUAcgBzAGEAbAARIGEAdwBhAHIAZQAgADIARAAgAHMAYwBhAG4AbgBpAG4AZwAgAG8AcABlAHIAYQB0AG8AcgAgAHQAaABhAHQAIABlAHgAdABlAG4AZABzACAARQB4AGMAZQBsABkgcwAgAG4AYQB0AGkAdgBlACAAUwBDAEEATgBcAG4AIAAgACAAIABmAHUAbgBjAHQAaQBvAG4ALgAgAFMAYwBhAG4AMgBEALsDIABzAHUAcABwAG8AcgB0AHMAIABmAGkAdgBlACAAdAByAGEAdgBlAHIAcwBhAGwAIABtAG8AZABlAHMALAAgAGEAbABsAG8AdwBpAG4AZwAgAGEAYwBjAHUAbQB1AGwAYQB0AGkAbwBuACAAdABvAFwAbgAgACAAIAAgAGIAZQBnAGkAbgAgAGEAdAAgAGQAaQBmAGYAZQByAGUAbgB0ACAAYwBvAHIAbgBlAHIAcwAgAGEAbgBkACAAcAByAG8AYwBlAGUAZAAgAGkAbgAgAGQAaQBmAGYAZQByAGUAbgB0ACAAbwByAGQAZQByAHMALgAgAEYAbwByACAAMgBEACAAYQByAHIAYQB5AHMALABcAG4AIAAgACAAIABnAGUAbwBtAGUAdAByAHkAIABpAHMAIABwAHIAZQBzAGUAcgB2AGUAZAAuAFwAbgBcAG4AIAAgACAAIABGAG8AcgAgADEARAAgAGEAcgByAGEAeQBzACwAIABTAGMAYQBuADIARAC7AyAAYgBlAGgAYQB2AGUAcwAgAGwAaQBrAGUAIABuAGEAdABpAHYAZQAgAFMAQwBBAE4ALAAgAHcAaQB0AGgAIABvAHAAdABpAG8AbgBhAGwAIAByAGUAdgBlAHIAcwBlAFwAbgAgACAAIAAgAG8AcgBkAGUAcgAgAHcAaABlAG4AIABkAGkAcgBlAGMAdABpAG8AbgAgAD0AIAAtADEALgBcAG4AXABuAFAAYQByAGEAbQBlAHQAZQByAHMAOgBcAG4AIAAgACAAIABpAG4AaQB0AGkAYQBsAF8AdgBhAGwAdQBlACAAIAAtACAAUwBhAG0AZQAgAG0AZQBhAG4AaQBuAGcAIABhAHMAIABuAGEAdABpAHYAZQAgAFMAQwBBAE4ALgBcAG4AIAAgACAAIABhAHIAcgBhAHkAIAAgACAAIAAgACAAIAAgACAAIAAtACAASQBuAHAAdQB0ACAAYQByAHIAYQB5AC4AIABTAGMAYQBsAGEAcgBzACAAYQBuAGQAIAAxAEQAIAB2AGUAYwB0AG8AcgBzACAAYQByAGUAIABzAHUAcABwAG8AcgB0AGUAZAAgAHcAaQB0AGgAXABuACAAIAAgACAAIAAgACAAIAAgACAAIAAgACAAIAAgACAAIAAgACAAIAAgAHIAZQBzAHQAcgBpAGMAdABlAGQAIABkAGkAcgBlAGMAdABpAG8AbgAgAHMAZQBtAGEAbgB0AGkAYwBzAC4AXABuACAAIAAgACAAZgB1AG4AYwB0AGkAbwBuACAAIAAgACAAIAAgACAALQAgAFMAYQBtAGUAIABtAGUAYQBuAGkAbgBnACAAYQBzACAAbgBhAHQAaQB2AGUAIABTAEMAQQBOAC4AXABuAFwAbgBPAHAAdABpAG8AbgBhAGwAOgBcAG4AIAAgACAAIABbAGQAaQByAGUAYwB0AGkAbwBuAF0AIAAgACAAIAAtACAAVAByAGEAdgBlAHIAcwBhAGwAIABjAG8AZABlAC4AIABEAGUAZgBhAHUAbAB0AHMAIAB0AG8AIAAwACAAKABzAHQAYQBuAGQAYQByAGQAIAByAG8AdwARIG0AYQBqAG8AcgApAC4AXABuAFwAbgBEAGkAcgBlAGMAdABpAG8AbgAgAEMAbwBkAGUAcwA6AFwAbgAgACAAIAAgACAAIAAgACAAMAAgACAAIAAtACAAUwB0AGEAbgBkAGEAcgBkACAAcgBvAHcAESBtAGEAagBvAHIAIAAoAGwAZQBmAHQAIACSISAAcgBpAGcAaAB0ACwAIAB0AG8AcAAgAJIhIABiAG8AdAB0AG8AbQApAFwAbgAgACAAIAAgACAAIAAgAC0AMQAgACAAIAAtACAAQwBvAGwAdQBtAG4AESBtAGEAagBvAHIAIABmAHIAbwBtACAATgBXACAAYwBvAHIAbgBlAHIAIAAoAHQAbwBwACAAkiEgAGIAbwB0AHQAbwBtACwAIABsAGUAZgB0ACAAkiEgAHIAaQBnAGgAdAApAFwAbgAgACAAIAAgACAAIAAgACAAMQAgACAAIAAtACAATgBFACAAdAByAGEAdgBlAHIAcwBhAGwAIAAoAGMAbwBsAHUAbQBuABEgbQBhAGoAbwByACkAXABuACAAIAAgACAAIAAgACAAIAAyACAAIAAgAC0AIABTAEUAIAB0AHIAYQB2AGUAcgBzAGEAbAAgACgAYwBvAGwAdQBtAG4AESBtAGEAagBvAHIALAAgAGIAbwB0AHQAbwBtACAAkiEgAHQAbwBwACkAXABuACAAIAAgACAAIAAgACAAIAAzACAAIAAgAC0AIABTAFcAIAB0AHIAYQB2AGUAcgBzAGEAbAAgACgAcgBvAHcAESBtAGEAagBvAHIALAAgAHIAaQBnAGgAdAAgAJIhIABsAGUAZgB0ACkAXABuAFwAbgBFAHIAcgBvAHIAIABDAG8AbgBkAGkAdABpAG8AbgBzADoAXABuACAAIAAgACAAIiAgAFwAIgAjAGQAaQByAGUAYwB0AGkAbwBuACEAXAAiACAALQAgAEkAbgB2AGEAbABpAGQAIABkAGkAcgBlAGMAdABpAG8AbgAgAGYAbwByACAAMQBEACAAYQByAHIAYQB5AHMAIABvAHIAIAB1AG4AcgBlAGMAbwBnAG4AaQB6AGUAZAAgAGMAbwBkAGUALgBcAG4AIAAgACAAIAAiICAAMQBEACAAYQByAHIAYQB5AHMAIABvAG4AbAB5ACAAcwB1AHAAcABvAHIAdAAgAGQAaQByAGUAYwB0AGkAbwBuACAAPQAgADAAIAAoAGYAbwByAHcAYQByAGQAKQAgAG8AcgAgAC0AMQAgACgAcgBlAHYAZQByAHMAZQApAC4AXABuACAAIAAgACAAIiAgAFMAYwBhAGwAYQByAHMAIABiAHkAcABhAHMAcwAgAHQAcgBhAHYAZQByAHMAYQBsACAAYQBuAGQAIAB1AHMAZQAgAG4AYQB0AGkAdgBlACAAUwBDAEEATgAgAGQAaQByAGUAYwB0AGwAeQAuAFwAbgBcAG4ATgBvAHQAZQBzADoAXABuACAAIAAgACAAIiAgADIARAAgAHQAcgBhAHYAZQByAHMAYQBsACAAdQBzAGUAcwAgAFQAcgBhAHYAZQByAHMAZQC7AyAAdABvACAAcgBlAG8AcgBkAGUAcgAgAHQAaABlACAAYQByAHIAYQB5ACwAIABTAEMAQQBOACAAdABvACAAYQBjAGMAdQBtAHUAbABhAHQAZQAsAFwAbgAgACAAIAAgACAAIABhAG4AZAAgAFIAZQBTAGgAYQBwAGUAMgBEALsDIAB0AG8AIAByAGUAcwB0AG8AcgBlACAAbwByAGkAZwBpAG4AYQBsACAAZwBlAG8AbQBlAHQAcgB5AC4AXABuACAAIAAgACAAIiAgAE4AbwAgAGYAbABhAHQAdABlAG4AaQBuAGcAIABpAHMAIABwAGUAcgBmAG8AcgBtAGUAZAA7ACAAZwBlAG8AbQBlAHQAcgB5ACAAaQBzACAAcAByAGUAcwBlAHIAdgBlAGQALgBcAG4ALQAtAC0ALQAtAC0ALQAtAC0ALQAtAC0ALQAtAC0ALQAtAC0ALQAtAC0ALQAtAC0ALQAtAC0ALQAtAC0ALQAtAC0ALQAtAC0ALQAtAC0ALQAtAC0ALQAtAC0ALQAtAC0ALQAtAC0ALQAtAC0ALQAtAC0ALQAtAC0ALQAtAC0ALQAtAC0ALQAtAC0ALQAtAC0ALQAtAC0ALQAtAC0AKgAvAFwAbgBcAG4AUwBjAGEAbgAyAEQAuwMgAD0AXABuAEwAQQBNAEIARABBACgAXABuACAAIAAgACAAaQBuAGkAdABpAGEAbABfAHYAYQBsAHUAZQAsAFwAbgAgACAAIAAgAGEAcgByAGEAeQAsAFwAbgAgACAAIAAgAGYAdQBuAGMAdABpAG8AbgAsAFwAbgAgACAAIAAgAFsAZABpAHIAZQBjAHQAaQBvAG4AXQAsAFwAbgBMAEUAVAAoAFwAbgAgACAAIAAgAC8ALwAgAEQAaQByAGUAYwB0AGkAbwBuACAAKABkAGUAZgBhAHUAbAB0ACAAPQAgADAAKQBcAG4AIAAgACAAIABkAGkAcgBlAGMAdABpAG8AbgAsACAAIAAgACAAIAAgACAAIAAgAEkARgAoAEkAUwBPAE0ASQBUAFQARQBEACgAZABpAHIAZQBjAHQAaQBvAG4AKQAsACAAMAAsACAAZABpAHIAZQBjAHQAaQBvAG4AKQAsAFwAbgBcAG4AIAAgACAAIAAvAC8AIABEAGkAbQBlAG4AcwBpAG8AbgBzAFwAbgAgACAAIAAgAGgALAAgACAAIAAgACAAIAAgACAAIAAgACAAIAAgACAAIAAgACAAUgBPAFcAUwAoAGEAcgByAGEAeQApACwAXABuACAAIAAgACAAdwAsACAAIAAgACAAIAAgACAAIAAgACAAIAAgACAAIAAgACAAIABDAE8ATABVAE0ATgBTACgAYQByAHIAYQB5ACkALABcAG4AXABuACAAIAAgACAALwAvACAATgBvAG4AESAyAEQAIABzAGMAZQBuAGEAcgBpAG8AcwBcAG4AIAAgACAAIABJAHMAUwBjAGEAbABhAHIAPwAsACAAIAAgACAAIAAgACAAIAAgAEEATgBEACgAaAAgAD0AIAAxACwAIAB3ACAAPQAgADEAKQAsAFwAbgAgACAAIAAgAEkAcwAxAEQAPwAsACAAIAAgACAAIAAgACAAIAAgACAAIAAgACAAWABPAFIAKABoACAAPQAgADEALAAgAHcAIAA9ACAAMQApACwAXABuAFwAbgAgACAAIAAgAEkAbgB2AGEAbABpAGQAMQBEAEQAaQByAD8ALAAgACAAIAAgACAAQQBOAEQAKABJAHMAMQBEAD8ALAAgAGQAaQByAGUAYwB0AGkAbwBuACAAPAA+ACAAMAAsACAAZABpAHIAZQBjAHQAaQBvAG4AIAA8AD4AIAAtADEAKQAsAFwAbgAgACAAIAAgAEkAcwBSAGUAdgBlAHIAcwBlAD8ALAAgACAAIAAgACAAIAAgACAAZABpAHIAZQBjAHQAaQBvAG4AIAA9ACAALQAxACwAXABuACAAIAAgACAASQBzAFYAZQByAHQAaQBjAGEAbAA/ACwAIAAgACAAIAAgACAAIABBAE4ARAAoAEkAcwAxAEQAPwAsACAAaAAgAD4AIAB3ACkALABcAG4AXABuACAAIAAgACAALwAvACAAMQBEACAAaABhAG4AZABsAGkAbgBnAFwAbgAgACAAIAAgAGUALAAgACAAIAAgACAAIAAgACAAIAAgACAAIAAgACAAIAAgACAASQBGACgASQBzAFYAZQByAHQAaQBjAGEAbAA/ACwAIABoACwAIAB3ACkALABcAG4AIAAgACAAIABpAGQAeAAsACAAIAAgACAAIAAgACAAIAAgACAAIAAgACAAIAAgAFMARQBRAFUARQBOAEMARQAoAGUALAAsACAAZQAsACAALQAxACkALABcAG4AIAAgACAAIAByAGUAdgBfAGEAcgByAGEAeQAsACAAIAAgACAAIAAgACAAIAAgAEkARgAoAEkAcwBWAGUAcgB0AGkAYwBhAGwAPwAsACAASQBOAEQARQBYACgAYQByAHIAYQB5ACwAIABpAGQAeAApACwAIABJAE4ARABFAFgAKABhAHIAcgBhAHkALAAsACAAaQBkAHgAKQApACwAXABuACAAIAAgACAAdgBlAGMAdABvAHIALAAgACAAIAAgACAAIAAgACAAIAAgACAAIABJAEYAKABJAHMAUgBlAHYAZQByAHMAZQA/ACwAIAByAGUAdgBfAGEAcgByAGEAeQAsACAAYQByAHIAYQB5ACkALABcAG4AXABuACAAIAAgACAALwAvACAATABvAGcAaQBjACAAZwBhAHQAZQBcAG4AIAAgACAAIABJAEYAKABJAHMAUwBjAGEAbABhAHIAPwAsACAAUwBDAEEATgAoAGkAbgBpAHQAaQBhAGwAXwB2AGEAbAB1AGUALAAgAGEAcgByAGEAeQAsACAAZgB1AG4AYwB0AGkAbwBuACkALABcAG4AXABuACAAIAAgACAAIAAgACAAIABJAEYAKABJAG4AdgBhAGwAaQBkADEARABEAGkAcgA/ACwAIABcACIAIwBkAGkAcgBlAGMAdABpAG8AbgAhAFwAIgAsAFwAbgBcAG4AIAAgACAAIAAgACAAIAAgACAAIAAgACAASQBGACgASQBzADEARAA/ACwAIABTAEMAQQBOACgAaQBuAGkAdABpAGEAbABfAHYAYQBsAHUAZQAsACAAdgBlAGMAdABvAHIALAAgAGYAdQBuAGMAdABpAG8AbgApACwAXABuAFwAbgAgACAAIAAgACAAIAAgACAAIAAgACAAIAAgACAAIAAgAEkARgAoAEkAUwBOAEEAKABYAE0AQQBUAEMASAAoAGQAaQByAGUAYwB0AGkAbwBuACwAIAB7AC0AMQA7ADAAOwAxADsAMgA7ADMAOwBcACIATgBFAFwAIgA7AFwAIgBTAEUAXAAiADsAXAAiAFMAVwBcACIAfQApACkALABcAG4AIAAgACAAIAAgACAAIAAgACAAIAAgACAAIAAgACAAIAAgACAAIAAgAFwAIgAjAGQAaQByAGUAYwB0AGkAbwBuACEAXAAiACwAXABuAFwAbgBMAEUAVAAoAFwAbgAgACAAIAAgAC8ALwAgADIARAAgAHMAYwBhAG4AIABtAG8AZABlAHMAXABuACAAIAAgACAAcwB0AGEAbgBkAGEAcgBkACwAIAAgACAAIAAgACAAIAAgACAAIABMAEEATQBCAEQAQQAoAFMAQwBBAE4AKABpAG4AaQB0AGkAYQBsAF8AdgBhAGwAdQBlACwAIABhAHIAcgBhAHkALAAgAGYAdQBuAGMAdABpAG8AbgApACkALAAgAC8ALwAgADAAXABuAFwAbgAgACAAIAAgAHMAdABhAG4AZABhAHIAZABfAGIAeQBjAG8AbAAsACAAIAAgACAATABBAE0AQgBEAEEAKABUAFIAQQBOAFMAUABPAFMARQAoAFwAbgAgACAAIAAgACAAIAAgACAAIAAgACAAIAAgACAAIAAgACAAIAAgACAAIAAgACAAIAAgACAAIAAgACAAIAAgAFMAQwBBAE4AKABpAG4AaQB0AGkAYQBsAF8AdgBhAGwAdQBlACwAIABUAFIAQQBOAFMAUABPAFMARQAoAGEAcgByAGEAeQApACwAIABmAHUAbgBjAHQAaQBvAG4AKQApACkALAAgAC8ALwAgAC0AMQBcAG4AXABuACAAIAAgACAAdAByAGEAdgBlAHIAcwBhAGwALAAgACAAIAAgACAAIAAgACAAIABMAEEATQBCAEQAQQAoAFIAZQBTAGgAYQBwAGUAMgBEALsDKABcAG4AIAAgACAAIAAgACAAIAAgACAAIAAgACAAIAAgACAAIAAgACAAIAAgACAAIAAgACAAIAAgACAAIAAgACAAIABTAEMAQQBOACgAaQBuAGkAdABpAGEAbABfAHYAYQBsAHUAZQAsAFQAcgBhAHYAZQByAHMAZQC7AygAYQByAHIAYQB5ACwAIABkAGkAcgBlAGMAdABpAG8AbgApACwAZgB1AG4AYwB0AGkAbwBuACkALABcAG4AIAAgACAAIAAgACAAIAAgACAAIAAgACAAIAAgACAAIAAgACAAIAAgACAAIAAgACAAIAAgACAAIAAgACAAIAB3ACkAKQAsACAALwAvACAAMQAsACAAMgAsACAAMwBcAG4AXABuACAAIAAgACAALwAvACAAUwBlAGwAZQBjAHQAIABtAG8AZABlAFwAbgAgACAAIAAgAHIAZQBzAHUAbAB0ACwAIAAgACAAIAAgACAAIAAgACAAIAAgACAASQBGACgAZABpAHIAZQBjAHQAaQBvAG4AIAA9ACAAMAAsACAAIABzAHQAYQBuAGQAYQByAGQAKAApACwAXABuACAAIAAgACAAIAAgACAAIAAgACAAIAAgACAAIAAgACAAIAAgACAAIAAgACAAIAAgACAAIAAgAEkARgAoAGQAaQByAGUAYwB0AGkAbwBuACAAPQAgAC0AMQAsACAAcwB0AGEAbgBkAGEAcgBkAF8AYgB5AGMAbwBsACgAKQAsACAAdAByAGEAdgBlAHIAcwBhAGwAKAApACkAKQAsAFwAbgBcAG4AIAAgACAAIAByAGUAcwB1AGwAdABcAG4AKQApACkAKQApACkAKQA7AFwAbgBcAG4AXABuAFwAbgAvACoAIABbAFMAQQAwADQAXQAgAC0ALQAtAC0ALQAtAC0ALQAtAC0ALQAtAC0ALQAtAC0ALQAtAC0ALQAtAC0ALQAtAC0ALQAtAC0ALQAtAC0ALQAtAC0ALQAtAC0ALQAtAC0ALQAtAC0ALQAtAC0ALQAtAC0ALQAtAC0ALQAtAC0ALQAtAC0ALQAtAC0ALQAtAC0ALQAtAC0ALQAtAC0ALQAtAC0AXABuAEYAdQBuAGMAdABpAG8AbgA6ACAAIAAgACAAIABUAHIAYQB2AGUAcgBzAGUAuwNcAG4AQwBhAHQAZQBnAG8AcgB5ADoAIAAgACAAIAAgADIARAAgAEEAcgByAGEAeQAgAFMAaABhAHAAaQBuAGcAXABuAEEAdQB0AGgAbwByADoAIAAgACAAIAAgACAAIABQAGEAdAByAGkAYwBrACAASAAuAFwAbgBWAGUAcgBzAGkAbwBuADoAIAAgACAAIAAgACAAMQAuADEAXABuAFwAbgBEAGUAcwBjAHIAaQBwAHQAaQBvAG4AOgBcAG4AIAAgACAAIABSAGUAbQBhAHAAcwAgAGEAIAAyAEQAIABhAHIAcgBhAHkAIABpAG4AdABvACAAYQAgAG4AZQB3ACAAdAByAGEAdgBlAHIAcwBhAGwAIABvAHIAZABlAHIAIABiAHkAIAByAG8AdABhAHQAaQBuAGcAIAB0AGgAZQAgAHQAcgBhAHYAZQByAHMAYQBsACAAYQB4AGkAcwBcAG4AIAAgACAAIAB0AG8AIABvAG4AZQAgAG8AZgAgAHQAaAByAGUAZQAgAGQAaQBhAGcAbwBuAGEAbAAgAGQAaQByAGUAYwB0AGkAbwBuAHMALgAgAFQAaABlACAAcwBlAGwAZQBjAHQAZQBkACAAYQB4AGkAcwAgAGkAcwAgAHIAZQBtAGEAcABwAGUAZAAgAHQAbwAgAGEAXABuACAAIAAgACAAdABvAHAAESBsAGUAZgB0ABMgYQBuAGMAaABvAHIAZQBkACAAdAByAGEAdgBlAHIAcwBhAGwAIABvAHIAZABlAHIALgAgAFMAYwBhAGwAYQByAHMAIABhAG4AZAAgADEARAAgAGEAcgByAGEAeQBzACAAYQByAGUAIAByAGUAagBlAGMAdABlAGQALgBcAG4AXABuAEEAYwBjAGUAcAB0AGUAZAAgAEQAaQByAGUAYwB0AGkAbwBuAHMAOgBcAG4AIAAgACAAIAAgACAAXAAiAE4ARQBcACIAIABvAHIAIAAxACAAIACSISAATgBvAHIAdABoAGUAYQBzAHQAIAAgACgAlyEpAFwAbgAgACAAIAAgACAAIABcACIAUwBFAFwAIgAgAG8AcgAgADIAIAAgAJIhIABTAG8AdQB0AGgAZQBhAHMAdAAgACAAKACYISkAXABuACAAIAAgACAAIAAgAFwAIgBTAFcAXAAiACAAbwByACAAMwAgACAAkiEgAFMAbwB1AHQAaAB3AGUAcwB0ACAAIAAoAJkhKQBcAG4AXABuAFAAYQByAGEAbQBlAHQAZQByAHMAOgBcAG4AIAAgACAAIABhAHIAcgBhAHkAIAAgACAAIAAgACAALQAgAFIAZQBxAHUAaQByAGUAZAAgADIARAAgAGEAcgByAGEAeQAuAFwAbgAgACAAIAAgAG4AZQB3AF8AYQB4AGkAcwAgACAAIAAtACAARABpAHIAZQBjAHQAaQBvAG4AIABjAG8AZABlACAAKABcACIATgBFAFwAIgAsAFwAIgBTAEUAXAAiACwAXAAiAFMAVwBcACIAKQAgAG8AcgAgAGkAbgB0AGUAZwBlAHIAIAAxABMgMwAuAFwAbgBcAG4ATgBvAHQAZQBzADoAXABuACAAIAAgACAAIiAgAEcAZQBvAG0AZQB0AHIAeQAgAGkAcwAgAHAAcgBlAHMAZQByAHYAZQBkADsAIABvAG4AbAB5ACAAdAByAGEAdgBlAHIAcwBhAGwAIABvAHIAZABlAHIAIABjAGgAYQBuAGcAZQBzAC4AXABuACAAIAAgACAAIiAgAEkAbgB2AGEAbABpAGQAIABkAGkAcgBlAGMAdABpAG8AbgAgAGMAbwBkAGUAcwAgAHIAZQB0AHUAcgBuACAAXAAiACMAQQBYAEkAUwAhAFwAIgAuAFwAbgAgACAAIAAgACIgIAAxAEQAIABhAHIAcgBhAHkAcwAgAHIAZQB0AHUAcgBuACAAXAAiACMAMgBEAC0AQQBSAFIAQQBZACEAXAAiAC4AXABuAC0ALQAtAC0ALQAtAC0ALQAtAC0ALQAtAC0ALQAtAC0ALQAtAC0ALQAtAC0ALQAtAC0ALQAtAC0ALQAtAC0ALQAtAC0ALQAtAC0ALQAtAC0ALQAtAC0ALQAtAC0ALQAtAC0ALQAtAC0ALQAtAC0ALQAtAC0ALQAtAC0ALQAtAC0ALQAtAC0ALQAtAC0ALQAtAC0ALQAtAC0ALQAtACoALwBcAG4AXABuAFQAcgBhAHYAZQByAHMAZQC7AyAAPQBcAG4ATABBAE0AQgBEAEEAKABcAG4AIAAgACAAIABhAHIAcgBhAHkALABcAG4AIAAgACAAIABuAGUAdwBfAGEAeABpAHMALABcAG4AXABuAEkARgAoAE8AUgAoAFIATwBXAFMAKABhAHIAcgBhAHkAKQAgAD0AIAAxACwAIABDAE8ATABVAE0ATgBTACgAYQByAHIAYQB5ACkAIAA9ACAAMQApACwAXAAiACMAMgBEAC0AQQBSAFIAQQBZACEAXAAiACwAXABuAFwAbgAgACAAIAAgAEkARgAoAEEATgBEACgASQBTAE4AVQBNAEIARQBSACgAbgBlAHcAXwBhAHgAaQBzACkALAAgAE8AUgAoAG4AZQB3AF8AYQB4AGkAcwAgADwAPQAgADAALAAgAG4AZQB3AF8AYQB4AGkAcwAgAD4AIAAzACkAKQAsAFwAIgAjAEEAWABJAFMAIQBcACIALABcAG4AXABuAEwARQBUACgAXABuACAAIAAgACAALwAvACAARABpAG0AZQBuAHMAaQBvAG4AcwBcAG4AIAAgACAAIABoACwAIAAgACAAIAAgACAAIAAgACAAIABSAE8AVwBTACgAYQByAHIAYQB5ACkALABcAG4AIAAgACAAIAB3ACwAIAAgACAAIAAgACAAIAAgACAAIABDAE8ATABVAE0ATgBTACgAYQByAHIAYQB5ACkALABcAG4AXABuACAAIAAgACAALwAvACAAQQB4AGkAcwAgAHQAcgBhAHYAZQByAHMAYQBsACAAaQBuAGQAaQBjAGUAcwAgACgAZABlAGYAZQByAHIAZQBkACkAXABuACAAIAAgACAAeABfAE4ARQAsACAAIAAgACAAIAAgACAATABBAE0AQgBEAEEAKABTAEUAUQBVAEUATgBDAEUAKAB3ACwALAAxACwAMAApACAAKgAgAFMARQBRAFUARQBOAEMARQAoACwAaAApACkALABcAG4AIAAgACAAIAB5AF8ATgBFACwAIAAgACAAIAAgACAAIABMAEEATQBCAEQAQQAoAFMARQBRAFUARQBOAEMARQAoAHcALAAsAHcALAAtADEAKQAgACoAIABTAEUAUQBVAEUATgBDAEUAKAAsAGgALAAxACwAMAApACkALABcAG4AXABuACAAIAAgACAAeABfAFMARQAsACAAIAAgACAAIAAgACAATABBAE0AQgBEAEEAKABTAEUAUQBVAEUATgBDAEUAKABoACwALABoACwALQAxACkAIAAqACAAUwBFAFEAVQBFAE4AQwBFACgALAB3ACwAMQAsADAAKQApACwAXABuACAAIAAgACAAeQBfAFMARQAsACAAIAAgACAAIAAgACAATABBAE0AQgBEAEEAKABTAEUAUQBVAEUATgBDAEUAKABoACwALAB3ACwAMAApACAAKwAgAFMARQBRAFUARQBOAEMARQAoACwAdwAsADAALAAtADEAKQApACwAXABuAFwAbgAgACAAIAAgAHgAXwBTAFcALAAgACAAIAAgACAAIAAgAEwAQQBNAEIARABBACgAUwBFAFEAVQBFAE4AQwBFACgAdwAsACwAaAAsADAAKQAgACsAIABTAEUAUQBVAEUATgBDAEUAKAAsAGgALAAwACwALQAxACkAKQAsAFwAbgAgACAAIAAgAHkAXwBTAFcALAAgACAAIAAgACAAIAAgAEwAQQBNAEIARABBACgAUwBFAFEAVQBFAE4AQwBFACgAdwAsACwAMQApACAAKgAgAFMARQBRAFUARQBOAEMARQAoACwAaAAsADEALAAwACkAKQAsAFwAbgBcAG4AIAAgACAAIAAvAC8AIABBAHgAaQBzACAAbQBvAGQAZQAgAHMAZQBsAGUAYwB0AGkAbwBuAFwAbgAgACAAIAAgAG0AbwBkAGUALAAgACAAIAAgACAAIAAgAEkARgAoAEkAUwBOAFUATQBCAEUAUgAoAG4AZQB3AF8AYQB4AGkAcwApACwAbgBlAHcAXwBhAHgAaQBzACwAXABuACAAIAAgACAAIAAgACAAIAAgACAAIAAgACAAIAAgACAAIAAgACAAIABTAFcASQBUAEMASAAoAG4AZQB3AF8AYQB4AGkAcwAsACAAXAAiAE4ARQBcACIALAAxACwAIABcACIAUwBFAFwAIgAsADIALAAgAFwAIgBTAFcAXAAiACwAMwAsACAAMQApACkALABcAG4AXABuACAAIAAgACAALwAvACAASQBuAGQAZQB4ACAAcwBlAGwAZQBjAHQAaQBvAG4AXABuACAAIAAgACAAeAAsACAAIAAgACAAIAAgACAAIAAgACAAQwBIAE8ATwBTAEUAKABtAG8AZABlACwAIAB4AF8ATgBFACwAIAB4AF8AUwBFACwAIAB4AF8AUwBXACkALABcAG4AIAAgACAAIAB5ACwAIAAgACAAIAAgACAAIAAgACAAIABDAEgATwBPAFMARQAoAG0AbwBkAGUALAAgAHkAXwBOAEUALAAgAHkAXwBTAEUALAAgAHkAXwBTAFcAKQAsAFwAbgBcAG4AIAAgACAAIAAvAC8AIABSAGUAbQBhAHAAIABhAHIAcgBhAHkAXABuACAAIAAgACAAcgBlAHMAdQBsAHQALAAgACAAIAAgACAASQBOAEQARQBYACgAYQByAHIAYQB5ACwAIAB4ACgAKQAsACAAeQAoACkAKQAsAFwAbgBcAG4AIAAgACAAIAByAGUAcwB1AGwAdABcAG4AKQApACkAKQA7AFwAbgBcAG4AXABuAFwAbgAvACoAIABbAFMAQQAwADUAXQAgAC0ALQAtAC0ALQAtAC0ALQAtAC0ALQAtAC0ALQAtAC0ALQAtAC0ALQAtAC0ALQAtAC0ALQAtAC0ALQAtAC0ALQAtAC0ALQAtAC0ALQAtAC0ALQAtAC0ALQAtAC0ALQAtAC0ALQAtAC0ALQAtAC0ALQAtAC0ALQAtAC0ALQAtAC0ALQAtAC0ALQAtAC0ALQAtAC0AXABuAEYAdQBuAGMAdABpAG8AbgA6ACAAIAAgACAAIABUAGEAawBlAEIAbABvAGMAawC7A1wAbgBDAGEAdABlAGcAbwByAHkAOgAgACAAIAAgACAAMgBEACAAQQByAHIAYQB5ACAAUwBoAGEAcABpAG4AZwBcAG4AQQB1AHQAaABvAHIAOgAgACAAIAAgACAAIAAgAFAAYQB0AHIAaQBjAGsAIABIAC4AXABuAFYAZQByAHMAaQBvAG4AOgAgACAAIAAgACAAIAAxAC4AMQBcAG4ARABlAHAAZQBuAGQAZQBuAGMAaQBlAHMAOgAgAE0ARwByAGkAZAC7AywAIABSAGUAcwBpAHoAZQC7A1wAbgBcAG4ARABlAHMAYwByAGkAcAB0AGkAbwBuADoAXABuACAAIAAgACAARQB4AHQAcgBhAGMAdABzACAAYQAgAHIAZQBjAHQAYQBuAGcAdQBsAGEAcgAgAGIAbABvAGMAawAgAGYAcgBvAG0AIABhACAAMgBEACAAYQByAHIAYQB5ACAAYgB5ACAAcwBwAGUAYwBpAGYAeQBpAG4AZwAgAGEAbgAgAGEAbgBjAGgAbwByACAAdgBhAGwAdQBlAFwAbgAgACAAIAAgACgAcwB0AGEAcgB0AF8AYQB0ACkAIABhAG4AZAAgAGEAbgAgAG8AcAB0AGkAbwBuAGEAbAAgAHMAdABvAHAAcABpAG4AZwAgAHYAYQBsAHUAZQAgACgAcwB0AG8AcABfAHcAaABlAG4AKQAuACAAVABoAGUAIABmAHUAbgBjAHQAaQBvAG4AIABsAG8AYwBhAHQAZQBzAFwAbgAgACAAIAAgAHQAaABlACAAZgBpAHIAcwB0ACAAbwBjAGMAdQByAHIAZQBuAGMAZQAgAG8AZgAgAHMAdABhAHIAdABfAGEAdAAsACAAdABoAGUAbgAgAHIAZQB0AHUAcgBuAHMAIABhAGwAbAAgAHIAbwB3AHMAIABmAHIAbwBtACAAdABoAGEAdAAgAHAAbwBpAG4AdABcAG4AIAAgACAAIABkAG8AdwBuAHcAYQByAGQAIABhAG4AZAAgAGEAbABsACAAYwBvAGwAdQBtAG4AcwAgAHQAbwAgAHQAaABlACAAcgBpAGcAaAB0ACwAIABzAHQAbwBwAHAAaQBuAGcAIABlAGkAdABoAGUAcgAgAGEAdAAgAHQAaABlACAAZgBpAHIAcwB0AFwAbgAgACAAIAAgAG8AYwBjAHUAcgByAGUAbgBjAGUAIABvAGYAIABzAHQAbwBwAF8AdwBoAGUAbgAgAG8AcgAgAGEAdAAgAHQAaABlACAAZQBuAGQAIABvAGYAIAB0AGgAZQAgAGQAYQB0AGEALgBcAG4AXABuACAAIAAgACAAQgBvAHQAaAAgAHMAdABhAHIAdABfAGEAdAAgAGEAbgBkACAAcwB0AG8AcABfAHcAaABlAG4AIAByAGUAbAB5ACAAbwBuACAARQB4AGMAZQBsACcAcwAgAG4AYQB0AGkAdgBlACAAZQBxAHUAYQBsAGkAdAB5ACAAYwBvAG0AcABhAHIAaQBzAG8AbgBcAG4AIAAgACAAIAAoAGEAcgByAGEAeQAgAD0AIAB0AGUAcgBtACkALgAgAFQAaABpAHMAIABwAHIAbwB2AGkAZABlAHMAIABmAGEAcwB0ACwAIAB2AGUAYwB0AG8AcgBpAHoAZQBkACAAbQBhAHQAYwBoAGkAbgBnACAAYgB1AHQAIABkAG8AZQBzACAAbgBvAHQAIABzAHUAcABwAG8AcgB0AFwAbgAgACAAIAAgAHcAaQBsAGQAYwBhAHIAZABzACAAbwByACAAcgBlAGcAdQBsAGEAcgAgAGUAeABwAHIAZQBzAHMAaQBvAG4AcwAuACAASQBmACAAcwB0AG8AcABfAHcAaABlAG4AIABpAHMAIABvAG0AaQB0AHQAZQBkACwAIAB0AGgAZQAgAGIAbABvAGMAawAgAGUAeAB0AGUAbgBkAHMAXABuACAAIAAgACAAdABvACAAdABoAGUAIABiAG8AdAB0AG8AbQAgAG8AZgAgAHQAaABlACAAYQByAHIAYQB5AC4AXABuAFwAbgBQAGEAcgBhAG0AZQB0AGUAcgBzADoAXABuACAAIAAgACAAYQByAHIAYQB5ACAAIAAgACAAIAAgACAAIAAtACAAUgBlAHEAdQBpAHIAZQBkACAAMgBEACAAYQByAHIAYQB5AC4AXABuACAAIAAgACAAcwB0AGEAcgB0AF8AYQB0ACAAIAAgACAAIAAtACAAQQBuAGMAaABvAHIAIAB2AGEAbAB1AGUAIABtAGEAcgBrAGkAbgBnACAAdABoAGUAIABmAGkAcgBzAHQAIAByAG8AdwAgAG8AZgAgAHQAaABlACAAYgBsAG8AYwBrAC4AXABuACAAIAAgACAAWwBzAHQAbwBwAF8AdwBoAGUAbgBdACAAIAAtACAATwBwAHQAaQBvAG4AYQBsACAAcwB0AG8AcABwAGkAbgBnACAAdgBhAGwAdQBlAC4AIABJAGYAIABvAG0AaQB0AHQAZQBkACwAIAB0AGgAZQAgAGIAbABvAGMAawAgAGMAbwBuAHQAaQBuAHUAZQBzAFwAbgAgACAAIAAgACAAIAAgACAAIAAgACAAIAAgACAAIAAgACAAIAAgAHQAbwAgAHQAaABlACAAZQBuAGQAIABvAGYAIAB0AGgAZQAgAGEAcgByAGEAeQAuAFwAbgBcAG4ATgBvAHQAZQBzADoAXABuACAAIAAgACAAIiAgAEcAZQBvAG0AZQB0AHIAeQAgAGkAcwAgAHAAcgBlAHMAZQByAHYAZQBkADsAIABuAG8AIABmAGwAYQB0AHQAZQBuAGkAbgBnACAAbwBjAGMAdQByAHMALgBcAG4AIAAgACAAIAAiICAASQBmACAAcwB0AGEAcgB0AF8AYQB0ACAAaQBzACAAbgBvAHQAIABmAG8AdQBuAGQALAAgAHIAZQB0AHUAcgBuAHMAIABcACIAIwBOAE8ALQBBAE4AQwBIAE8AUgAhAFwAIgAuAFwAbgAgACAAIAAgACIgIABJAGYAIABzAHQAbwBwAF8AdwBoAGUAbgAgAG8AYwBjAHUAcgBzACAAYgBlAGYAbwByAGUAIABzAHQAYQByAHQAXwBhAHQALAAgAHIAZQB0AHUAcgBuAHMAIABcACIAIwBOAE8ALQBTAEwASQBDAEUAIQBcACIALgBcAG4ALQAtAC0ALQAtAC0ALQAtAC0ALQAtAC0ALQAtAC0ALQAtAC0ALQAtAC0ALQAtAC0ALQAtAC0ALQAtAC0ALQAtAC0ALQAtAC0ALQAtAC0ALQAtAC0ALQAtAC0ALQAtAC0ALQAtAC0ALQAtAC0ALQAtAC0ALQAtAC0ALQAtAC0ALQAtAC0ALQAtAC0ALQAtAC0ALQAtAC0ALQAtAC0AKgAvAFwAbgBcAG4AVABhAGsAZQBCAGwAbwBjAGsAuwMgAD0AXABuAEwAQQBNAEIARABBACgAXABuACAAIAAgACAAYQByAHIAYQB5ACwAXABuACAAIAAgACAAcwB0AGEAcgB0AF8AYQB0ACwAXABuACAAIAAgACAAWwBzAHQAbwBwAF8AdwBoAGUAbgBdACwAXABuAEwARQBUACgAXABuACAAIAAgACAALwAvACAATwBwAHQAaQBvAG4AYQBsACAAcwB0AG8AcABwAGkAbgBnACAAcABvAGkAbgB0AFwAbgAgACAAIAAgAEQAbwBOAG8AdABTAHQAbwBwAD8ALAAgACAAIAAgACAASQBTAE8ATQBJAFQAVABFAEQAKABzAHQAbwBwAF8AdwBoAGUAbgApACwAXABuAFwAbgAgACAAIAAgAC8ALwAgAEQAaQBtAGUAbgBzAGkAbwBuAHMAXABuACAAIAAgACAAaAAsACAAIAAgACAAIAAgACAAIAAgACAAIAAgACAAIABSAE8AVwBTACgAYQByAHIAYQB5ACkALABcAG4AIAAgACAAIAB3ACwAIAAgACAAIAAgACAAIAAgACAAIAAgACAAIAAgAEMATwBMAFUATQBOAFMAKABhAHIAcgBhAHkAKQAsAFwAbgBcAG4AIAAgACAAIAAvAC8AIABJAG4AZABpAGMAZQBzAFwAbgAgACAAIAAgAGkALAAgACAAIAAgACAAIAAgACAAIAAgACAAIAAgACAATQBHAHIAaQBkALsDKABhAHIAcgBhAHkAKQAsAFwAbgAgACAAIAAgAGoALAAgACAAIAAgACAAIAAgACAAIAAgACAAIAAgACAATQBHAHIAaQBkALsDKABhAHIAcgBhAHkALAAgADEAKQAsAFwAbgBcAG4AIAAgACAAIAAvAC8AIABMAG8AYwBhAGwAIABoAGUAbABwAGUAcgBzAFwAbgAgACAAIAAgAEEAbgBjAGgAbwByALsDLAAgACAAIAAgACAAIAAgACAATABBAE0AQgBEAEEAKABhAHIAcgAsACAAYwBvAG4AZABpAHQAaQBvAG4ALAAgAGkAZAB4ACwAIABOACgAYQByAHIAIAA9ACAAYwBvAG4AZABpAHQAaQBvAG4AKQAgACoAIABpAGQAeAApACwAXABuACAAIAAgACAASQBEAFgAuwMsACAAIAAgACAAIAAgACAAIAAgACAAIABMAEEATQBCAEQAQQAoAGEAcgByACwAIABNAEkATgAoAEkARgAoAGEAcgByACAAPAA+ACAAMAAsACAAYQByAHIAKQApACkALABcAG4AXABuACAAIAAgACAALwAvACAAQQBuAGMAaABvAHIAIABwAG8AcwBpAHQAaQBvAG4AcwBcAG4AIAAgACAAIAByAG8AdwBfAHMAdABhAHIAdAAsACAAIAAgACAAIAAgAEEAbgBjAGgAbwByALsDKABhAHIAcgBhAHkALAAgAHMAdABhAHIAdABfAGEAdAAsACAAaQApACwAXABuACAAIAAgACAAYwBvAGwAXwBzAHQAYQByAHQALAAgACAAIAAgACAAIABBAG4AYwBoAG8AcgC7AygAYQByAHIAYQB5ACwAIABzAHQAYQByAHQAXwBhAHQALAAgAGoAKQAsAFwAbgBcAG4AIAAgACAAIAByACwAIAAgACAAIAAgACAAIAAgACAAIAAgACAAIAAgAEkARABYALsDKAByAG8AdwBfAHMAdABhAHIAdAApACwAXABuACAAIAAgACAAYwAsACAAIAAgACAAIAAgACAAIAAgACAAIAAgACAAIABJAEQAWAC7AygAYwBvAGwAXwBzAHQAYQByAHQAKQAsAFwAbgBcAG4AIAAgACAAIAAvAC8AIABTAHQAbwBwAHAAaQBuAGcAIABwAG8AcwBpAHQAaQBvAG4AcwBcAG4AIAAgACAAIAByAG8AdwBfAHMAdABvAHAALAAgACAAIAAgACAAIAAgAEkARgAoAEQAbwBOAG8AdABTAHQAbwBwAD8ALAAgADAALAAgAEEAbgBjAGgAbwByALsDKABhAHIAcgBhAHkALAAgAHMAdABvAHAAXwB3AGgAZQBuACwAIABpACkAKQAsAFwAbgAgACAAIAAgAG4AbwBfAHIALAAgACAAIAAgACAAIAAgACAAIAAgACAAUwBVAE0AKAByAG8AdwBfAHMAdABvAHAAKQAgAD0AIAAwACwAXABuACAAIAAgACAAcgBfACwAIAAgACAAIAAgACAAIAAgACAAIAAgACAAIABJAEYAKABPAFIAKABEAG8ATgBvAHQAUwB0AG8AcAA/ACwAIABuAG8AXwByACkALAAgAGgALAAgAEkARABYALsDKAByAG8AdwBfAHMAdABvAHAAKQApACwAXABuAFwAbgAgACAAIAAgAC8ALwAgAEgAYQBsAHQAaQBuAGcAIABjAG8AbgBkAGkAdABpAG8AbgBzAFwAbgAgACAAIAAgAFcAaABlAHIAZQBOAG8AdABGAG8AdQBuAGQAPwAsACAAQQBOAEQAKAByACAAPQAgADAALAAgAGMAIAA9ACAAMAApACwAXABuACAAIAAgACAATgBvAFMAbABpAGMAZQA/ACwAIAAgACAAIAAgACAAIABBAE4ARAAoAE4ATwBUACgAbgBvAF8AcgApACwAIAByAF8AIAA8AD0AIAByACkALABcAG4AXABuACAAIAAgACAALwAvACAATABvAGcAaQBjACAAZwBhAHQAZQBcAG4AIAAgACAAIABJAEYAKABXAGgAZQByAGUATgBvAHQARgBvAHUAbgBkAD8ALAAgAFwAIgAjAE4ATwAtAEEATgBDAEgATwBSACEAXAAiACwAXABuAFwAbgAgACAAIAAgACAAIAAgACAASQBGACgATgBvAFMAbABpAGMAZQA/ACwAIABcACIAIwBOAE8ALQBTAEwASQBDAEUAIQBcACIALABcAG4AXABuAEwARQBUACgAXABuACAAIAAgACAALwAvACAATwB1AHQAcAB1AHQAIABnAGUAbwBtAGUAdAByAHkAXABuACAAIAAgACAAcgBvAHcAcwAsACAAIAAgACAAIAAgACAAIAAgACAAIABJAEYAKABuAG8AXwByACwAIABoACAALQAgAHIAIAArACAAMQAsACAAcgBfACAALQAgAHIAKQAsAFwAbgAgACAAIAAgAGMAbwBsAHMALAAgACAAIAAgACAAIAAgACAAIAAgACAAdwAgAC0AIABjACAAKwAgADEALABcAG4AXABuACAAIAAgACAALwAvACAAUgBvAHcAIABpAG4AZABpAGMAZQBzAFwAbgAgACAAIAAgAHgALAAgACAAIAAgACAAIAAgACAAIAAgACAAIAAgACAASQBGACgAcgBvAHcAcwAgAD0AIAAxACwAcgAgACoAIABTAEUAUQBVAEUATgBDAEUAKAAsACAAYwBvAGwAcwAsACAAMQAsACAAMAApACwAXABuACAAIAAgACAAIAAgACAAIAAgACAAIAAgACAAIAAgACAAIAAgACAAIAAgACAAIAAgAFIAZQBzAGkAegBlALsDKABTAEUAUQBVAEUATgBDAEUAKAByAG8AdwBzACwALAAgAHIAKQAsACwAIABjAG8AbABzACkAKQAsAFwAbgBcAG4AIAAgACAAIAAvAC8AIABDAG8AbAB1AG0AbgAgAGkAbgBkAGkAYwBlAHMAXABuACAAIAAgACAAeQAsACAAIAAgACAAIAAgACAAIAAgACAAIAAgACAAIABJAEYAKABjAG8AbABzACAAPQAgADEALABTAEUAUQBVAEUATgBDAEUAKAByAG8AdwBzACwALAAgAGMALAAgADAAKQAsAFwAbgAgACAAIAAgACAAIAAgACAAIAAgACAAIAAgACAAIAAgACAAIAAgACAAIAAgACAAIABSAGUAcwBpAHoAZQC7AygAUwBFAFEAVQBFAE4AQwBFACgALAAgAGMAbwBsAHMALAAgAGMAKQAsACAAcgBvAHcAcwApACkALABcAG4AXABuACAAIAAgACAALwAvACAARQB4AHQAcgBhAGMAdAAgAGIAbABvAGMAawBcAG4AIAAgACAAIAByAGUAcwB1AGwAdAAsACAAIAAgACAAIAAgACAAIAAgAEkATgBEAEUAWAAoAGEAcgByAGEAeQAsACAAeAAsACAAeQApACwAXABuAFwAbgAgACAAIAAgAHIAZQBzAHUAbAB0AFwAbgApACkAKQApACkAOwBcAG4AXABuAFwAbgBcAG4ALwAqACAAWwBTAEEAMAA2AF0AIAAtAC0ALQAtAC0ALQAtAC0ALQAtAC0ALQAtAC0ALQAtAC0ALQAtAC0ALQAtAC0ALQAtAC0ALQAtAC0ALQAtAC0ALQAtAC0ALQAtAC0ALQAtAC0ALQAtAC0ALQAtAC0ALQAtAC0ALQAtAC0ALQAtAC0ALQAtAC0ALQAtAC0ALQAtAC0ALQAtAC0ALQAtAC0ALQAtAFwAbgBGAHUAbgBjAHQAaQBvAG4AOgAgACAAIAAgACAARABTAHQAYQBjAGsAuwNcAG4AQwBhAHQAZQBnAG8AcgB5ADoAIAAgACAAIAAgADIARAAgAEEAcgByAGEAeQAgAFMAaABhAHAAaQBuAGcAXABuAEEAdQB0AGgAbwByADoAIAAgACAAIAAgACAAIABQAGEAdAByAGkAYwBrACAASAAuAFwAbgBWAGUAcgBzAGkAbwBuADoAIAAgACAAIAAgACAAMQAuADEAXABuAFwAbgBEAGUAcwBjAHIAaQBwAHQAaQBvAG4AOgBcAG4AIAAgACAAIABBAHAAcAByAG8AeABpAG0AYQB0AGUAcwAgAE4AdQBtAFAAeQAnAHMAIABkAHMAdABhAGMAawAgAGYAbwByACAARQB4AGMAZQBsACcAcwAgADIARAAgAGEAcgByAGEAeQAgAG0AbwBkAGUAbAAuACAARABTAHQAYQBjAGsAuwMgAHMAdABhAGMAawBzAFwAbgAgACAAIAAgAG0AdQBsAHQAaQBwAGwAZQAgADIARAAgAGEAcgByAGEAeQBzACAAYQBsAG8AbgBnACAAYQAgAFwAIgBkAGUAcAB0AGgAXAAiACAAZABpAG0AZQBuAHMAaQBvAG4AIABiAHkAIAB0AHIAYQBuAHMAcABvAHMAaQBuAGcAIABlAGEAYwBoACAAaQBuAHAAdQB0AFwAbgAgACAAIAAgAGEAbgBkACAAaABvAHIAaQB6AG8AbgB0AGEAbABsAHkAIABjAG8AbgBjAGEAdABlAG4AYQB0AGkAbgBnACAAdABoAGUAIABsAGEAeQBlAHIAcwAuACAAVQBwACAAdABvACAAZgBvAHUAcgAgAGEAcgByAGEAeQBzACAAbQBhAHkAIABiAGUAXABuACAAIAAgACAAcwB1AHAAcABsAGkAZQBkAC4AIABNAGkAcwBzAGkAbgBnACAAYQByAHIAYQB5AHMAIABhAHIAZQAgAGkAZwBuAG8AcgBlAGQALgBcAG4AXABuACAAIAAgACAAQQBsAGwAIABhAHIAcgBhAHkAcwAgAG0AdQBzAHQAIABiAGUAIABuAG8AbgARIHMAYwBhAGwAYQByACAAYQBuAGQAIABuAG8AbgARIGUAbQBwAHQAeQAuACAARwBlAG8AbQBlAHQAcgB5ACAAbQB1AHMAdAAgAG0AYQB0AGMAaAAgAGEAYwByAG8AcwBzAFwAbgAgACAAIAAgAGEAbABsACAAcwB1AHAAcABsAGkAZQBkACAAYQByAHIAYQB5AHMAIAAoAHMAYQBtAGUAIABoAGUAaQBnAGgAdAAgANcAIAB3AGkAZAB0AGgAKQAuACAATQBpAHMAbQBhAHQAYwBoAGUAZAAgAGUAbABlAG0AZQBuAHQAcwAgAGEAcgBlACAAcABhAGQAZABlAGQAXABuACAAIAAgACAAdQBzAGkAbgBnACAAcABhAGQAXwB3AGkAdABoAC4AXABuAFwAbgBQAGEAcgBhAG0AZQB0AGUAcgBzADoAXABuACAAIAAgACAAYQByAHIAYQB5AF8AMQAgACAAIAAgACAALQAgAFIAZQBxAHUAaQByAGUAZAAgAGIAYQBzAGUAIABhAHIAcgBhAHkALgBcAG4AIAAgACAAIABbAGEAcgByAGEAeQBfADIAXQAgACAAIAAtACAATwBwAHQAaQBvAG4AYQBsACAAcwBlAGMAbwBuAGQAIABhAHIAcgBhAHkALgBcAG4AIAAgACAAIABbAGEAcgByAGEAeQBfADMAXQAgACAAIAAtACAATwBwAHQAaQBvAG4AYQBsACAAdABoAGkAcgBkACAAYQByAHIAYQB5AC4AXABuACAAIAAgACAAWwBhAHIAcgBhAHkAXwA0AF0AIAAgACAALQAgAE8AcAB0AGkAbwBuAGEAbAAgAGYAbwB1AHIAdABoACAAYQByAHIAYQB5AC4AXABuACAAIAAgACAAWwBwAGEAZABfAHcAaQB0AGgAXQAgACAALQAgAEYAaQBsAGwAIAB2AGEAbAB1AGUAIABmAG8AcgAgAG0AaQBzAG0AYQB0AGMAaABlAGQAIABvAHIAIABtAGkAcwBzAGkAbgBnACAAZQBsAGUAbQBlAG4AdABzAC4AIABEAGUAZgBhAHUAbAB0AHMAIAB0AG8AIABOAEEAKAApAC4AXABuAFwAbgBCAGUAaABhAHYAaQBvAHIAOgBcAG4AIAAgACAAIAAiICAAVAB3AG8AIABhAHIAcgBhAHkAcwAgACAAkiEgAGQAZQBwAHQAaAAgAD0AIAAyAFwAbgAgACAAIAAgACIgIABUAGgAcgBlAGUAIABhAHIAcgBhAHkAcwAgAJIhIABkAGUAcAB0AGgAIAA9ACAAMwBcAG4AIAAgACAAIAAiICAARgBvAHUAcgAgAGEAcgByAGEAeQBzACAAIACSISAAZABlAHAAdABoACAAPQAgADQAXABuACAAIAAgACAAIiAgAEUAYQBjAGgAIABhAHIAcgBhAHkAIABpAHMAIAB0AHIAYQBuAHMAcABvAHMAZQBkACAAcwBvACAAZABlAHAAdABoACAAYgBlAGMAbwBtAGUAcwAgAHcAaQBkAHQAaAAsACAAdABoAGUAbgAgAEgAUwBUAEEAQwBLAGUAZAAuAFwAbgBcAG4ARQByAHIAbwByACAAQwBvAG4AZABpAHQAaQBvAG4AcwA6AFwAbgAgACAAIAAgACIgIABcACIAIwBFAE0AUABUAFkALQBBAFIAUgBBAFkAIQBcACIAIAAgACAALQAgAE8AbgBlACAAcgBlAHEAdQBpAHIAZQBkACAAYQByAHIAYQB5ACAAaQBzACAAZQBtAHAAdAB5ACAAdwBoAGkAbABlACAAdABoAGUAIABvAHQAaABlAHIAIABpAHMAIABuAG8AdAAuAFwAbgAgACAAIAAgACIgIABcACIAIwBTAEMAQQBMAEEAUgAtAEUAUgBSAE8AUgAhAFwAIgAgACAALQAgAEEAbgB5ACAAaQBuAHAAdQB0ACAAYQByAHIAYQB5ACAAaQBzACAAcwBjAGEAbABhAHIALgBcAG4AXABuAE4AbwB0AGUAcwA6AFwAbgAgACAAIAAgACIgIABUAGgAaQBzACAAaQBzACAAYQAgADIARAAgAGEAcABwAHIAbwB4AGkAbQBhAHQAaQBvAG4AIABvAGYAIABkAGUAcAB0AGgAIABzAHQAYQBjAGsAaQBuAGcALgBcAG4AIAAgACAAIAAiICAAQQBsAGwAIABhAHIAcgBhAHkAcwAgAG0AdQBzAHQAIABzAGgAYQByAGUAIABnAGUAbwBtAGUAdAByAHkAIABvAHIAIABwAGEAZABkAGkAbgBnACAAdwBpAGwAbAAgAGIAZQAgAGEAcABwAGwAaQBlAGQALgBcAG4ALQAtAC0ALQAtAC0ALQAtAC0ALQAtAC0ALQAtAC0ALQAtAC0ALQAtAC0ALQAtAC0ALQAtAC0ALQAtAC0ALQAtAC0ALQAtAC0ALQAtAC0ALQAtAC0ALQAtAC0ALQAtAC0ALQAtAC0ALQAtAC0ALQAtAC0ALQAtAC0ALQAtAC0ALQAtAC0ALQAtAC0ALQAtAC0ALQAtAC0ALQAtAC0AKgAvAFwAbgBcAG4ARABTAHQAYQBjAGsAuwMgAD0AXABuAEwAQQBNAEIARABBACgAXABuACAAIAAgACAAYQByAHIAYQB5AF8AMQAsAFwAbgAgACAAIAAgAFsAYQByAHIAYQB5AF8AMgBdACwAXABuACAAIAAgACAAWwBhAHIAcgBhAHkAXwAzAF0ALABcAG4AIAAgACAAIABbAGEAcgByAGEAeQBfADQAXQAsAFwAbgAgACAAIAAgAFsAcABhAGQAXwB3AGkAdABoAF0ALABcAG4ATABFAFQAKABcAG4AIAAgACAAIAAvAC8AIABSAGUAcQB1AGkAcgBlAGQAIABhAHIAcgBhAHkAIABjAG8AdQBuAHQAcwBcAG4AIAAgACAAIABhACwAIAAgACAAIAAgACAAIAAgACAAIAAgACAAIAAgAEMATwBVAE4AVABBACgAYQByAHIAYQB5AF8AMQApACwAXABuACAAIAAgACAAYgAsACAAIAAgACAAIAAgACAAIAAgACAAIAAgACAAIABJAEYAKABJAFMATwBNAEkAVABUAEUARAAoAGEAcgByAGEAeQBfADIAKQAsACAAMAAsACAAQwBPAFUATgBUAEEAKABhAHIAcgBhAHkAXwAyACkAKQAsAFwAbgBcAG4AIAAgACAAIAAvAC8AIABPAHAAdABpAG8AbgBhAGwAIABhAHIAcgBhAHkAIABjAG8AdQBuAHQAcwBcAG4AIAAgACAAIABjACwAIAAgACAAIAAgACAAIAAgACAAIAAgACAAIAAgAEkARgAoAEkAUwBPAE0ASQBUAFQARQBEACgAYQByAHIAYQB5AF8AMwApACwAIAAwACwAIABDAE8AVQBOAFQAQQAoAGEAcgByAGEAeQBfADMAKQApACwAXABuACAAIAAgACAAZAAsACAAIAAgACAAIAAgACAAIAAgACAAIAAgACAAIABJAEYAKABJAFMATwBNAEkAVABUAEUARAAoAGEAcgByAGEAeQBfADQAKQAsACAAMAAsACAAQwBPAFUATgBUAEEAKABhAHIAcgBhAHkAXwA0ACkAKQAsAFwAbgBcAG4AIAAgACAAIAAvAC8AIABTAHQAYQBjAGsAaQBuAGcAIABtAG8AZABlAHMAXABuACAAIAAgACAAcgBlAHEALAAgACAAIAAgACAAIAAgACAAIAAgACAAIABBAE4ARAAoAGMAIAA9ACAAMAAsACAAZAAgAD0AIAAwACkALABcAG4AIAAgACAAIABDAF8AbwBuAGwAeQAsACAAIAAgACAAIAAgACAAIAAgAEEATgBEACgAYwAgADwAPgAgADAALAAgAGQAIAA9ACAAMAApACwAXABuACAAIAAgACAARABfAG8AbgBsAHkALAAgACAAIAAgACAAIAAgACAAIABBAE4ARAAoAGMAIAA9ACAAMAAsACAAZAAgADwAPgAgADAAKQAsAFwAbgAgACAAIAAgAEEAbABsACwAIAAgACAAIAAgACAAIAAgACAAIAAgACAAQQBOAEQAKABjACAAPAA+ACAAMAAsACAAZAAgADwAPgAgADAAKQAsAFwAbgBcAG4AIAAgACAAIAAvAC8AIABIAGEAbAB0AGkAbgBnACAAcwBjAGUAbgBhAHIAaQBvAHMAXABuACAAIAAgACAARQBtAHAAdAB5AEEAcgByAD8ALAAgACAAIAAgACAAIABPAFIAKABhACAAPQAgADAALAAgAGIAIAA9ACAAMAApACwAXABuAFwAbgAgACAAIAAgAC8ALwAgAFMAYwBhAGwAYQByACAAdgBhAGwAaQBkAGEAdABpAG8AbgBcAG4AIAAgACAAIABDAGwAYQBtAHAAuwMsACAAIAAgACAAIAAgACAAIAAgAEwAQQBNAEIARABBACgAcABhAHIAYQBtACwAIABBAE4ARAAoAHAAYQByAGEAbQAgAD0AIAAxACwAIABJAFMARQBSAFIATwBSACgAcABhAHIAYQBtACkAKQApACwAXABuACAAIAAgACAAUwBjAGEAbABhAHIARQByAHIAPwAsACAAIAAgACAAIABPAFIAKABDAGwAYQBtAHAAuwMoAGEAKQAsACAAQwBsAGEAbQBwALsDKABiACkALAAgAEMAbABhAG0AcAC7AygAYwApACwAIABDAGwAYQBtAHAAuwMoAGQAKQApACwAXABuAFwAbgAgACAAIAAgAC8ALwAgAEwAbwBnAGkAYwAgAGcAYQB0AGUAXABuACAAIAAgACAASQBGACgARQBtAHAAdAB5AEEAcgByAD8ALAAgAFwAIgAjAEUATQBQAFQAWQAtAEEAUgBSAEEAWQAhAFwAIgAsAFwAbgBcAG4AIAAgACAAIAAgACAAIAAgAEkARgAoAFMAYwBhAGwAYQByAEUAcgByAD8ALAAgAFwAIgAjAFMAQwBBAEwAQQBSAC0ARQBSAFIATwBSACEAXAAiACwAXABuAFwAbgBMAEUAVAAoAFwAbgAgACAAIAAgAC8ALwAgAFAAYQBkAGQAaQBuAGcAXABuACAAIAAgACAAcABhAGQAXwB3AGkAdABoACwAIAAgACAAIAAgACAAIABJAEYAKABJAFMATwBNAEkAVABUAEUARAAoAHAAYQBkAF8AdwBpAHQAaAApACwAIABOAEEAKAApACwAIABwAGEAZABfAHcAaQB0AGgAKQAsAFwAbgBcAG4AIAAgACAAIAAvAC8AIABUAHIAYQBuAHMAcABvAHMAZQBkACAAbABhAHkAZQByAHMAXABuACAAIAAgACAAYQBAHSwAIAAgACAAIAAgACAAIAAgACAAIAAgACAAIABUAFIAQQBOAFMAUABPAFMARQAoAGEAcgByAGEAeQBfADEAKQAsAFwAbgAgACAAIAAgAGIAQB0sACAAIAAgACAAIAAgACAAIAAgACAAIAAgACAAVABSAEEATgBTAFAATwBTAEUAKABhAHIAcgBhAHkAXwAyACkALABcAG4AIAAgACAAIABjAEAdLAAgACAAIAAgACAAIAAgACAAIAAgACAAIAAgAEkARgAoAGMALAAgAFQAUgBBAE4AUwBQAE8AUwBFACgAYQByAHIAYQB5AF8AMwApACwAIAAwACkALABcAG4AIAAgACAAIABkAEAdLAAgACAAIAAgACAAIAAgACAAIAAgACAAIAAgAEkARgAoAGQALAAgAFQAUgBBAE4AUwBQAE8AUwBFACgAYQByAHIAYQB5AF8ANAApACwAIAAwACkALABcAG4AXABuACAAIAAgACAALwAvACAAUwB0AGEAYwBrACAAdgBhAHIAaQBhAG4AdABzAFwAbgAgACAAIAAgAHIAZQBxAF8AcwB0AGEAYwBrACwAIAAgACAAIAAgACAASABTAFQAQQBDAEsAKABhAEAdLAAgAGIAQB0pACwAXABuACAAIAAgACAAQwBfAG8AbgBsAHkAXwBzAHQAYQBjAGsALAAgACAAIABIAFMAVABBAEMASwAoAGEAQB0sACAAYgBAHSwAIABjAEAdKQAsAFwAbgAgACAAIAAgAEQAXwBvAG4AbAB5AF8AcwB0AGEAYwBrACwAIAAgACAASABTAFQAQQBDAEsAKABhAEAdLAAgAGIAQB0sACAAZABAHSkALABcAG4AIAAgACAAIABhAGwAbABfAHMAdABhAGMAawAsACAAIAAgACAAIAAgAEgAUwBUAEEAQwBLACgAYQBAHSwAIABiAEAdLAAgAGMAQB0sACAAZABAHSkALABcAG4AXABuACAAIAAgACAALwAvACAAUwBlAGwAZQBjAHQAIABmAGkAbgBhAGwAIABzAHQAYQBjAGsAXABuACAAIAAgACAAcgBlAHMAdQBsAHQALAAgACAAIAAgACAAIAAgACAAIABJAEYARQBSAFIATwBSACgAXABuACAAIAAgACAAIAAgACAAIAAgACAAIAAgACAAIAAgACAAIAAgACAAIAAgACAAIAAgAEkARgAoAHIAZQBxACwAcgBlAHEAXwBzAHQAYQBjAGsALABcAG4AIAAgACAAIAAgACAAIAAgACAAIAAgACAAIAAgACAAIAAgACAAIAAgACAAIAAgACAAIAAgACAAIABJAEYAKABDAF8AbwBuAGwAeQAsAEMAXwBvAG4AbAB5AF8AcwB0AGEAYwBrACwAXABuACAAIAAgACAAIAAgACAAIAAgACAAIAAgACAAIAAgACAAIAAgACAAIAAgACAAIAAgACAAIAAgACAAIAAgACAAIABJAEYAKABEAF8AbwBuAGwAeQAsAEQAXwBvAG4AbAB5AF8AcwB0AGEAYwBrACwAXABuACAAIAAgACAAIAAgACAAIAAgACAAIAAgACAAIAAgACAAIAAgACAAIAAgACAAIAAgACAAIAAgACAAIAAgACAAIAAgACAAIAAgAEkARgAoAEEAbABsACwAYQBsAGwAXwBzAHQAYQBjAGsALAAgAEYAQQBMAFMARQApACkAKQApACwAcABhAGQAXwB3AGkAdABoACkALABcAG4AXABuACAAIAAgACAAcgBlAHMAdQBsAHQAXABuACkAKQApACkAKQA7AFwAbgBcAG4AXABuAFwAbgAvACoAIABbAFMAQQAwADcAXQAgAC0ALQAtAC0ALQAtAC0ALQAtAC0ALQAtAC0ALQAtAC0ALQAtAC0ALQAtAC0ALQAtAC0ALQAtAC0ALQAtAC0ALQAtAC0ALQAtAC0ALQAtAC0ALQAtAC0ALQAtAC0ALQAtAC0ALQAtAC0ALQAtAC0ALQAtAC0ALQAtAC0ALQAtAC0ALQAtAC0ALQAtAC0ALQAtAC0AXABuAEYAdQBuAGMAdABpAG8AbgA6ACAAIAAgACAAIABXAHIAYQBwAFIAbwB3AHMAMgBEALsDXABuAEMAYQB0AGUAZwBvAHIAeQA6ACAAIAAgACAAIAAyAEQAIABBAHIAcgBhAHkAIABTAGgAYQBwAGkAbgBnAFwAbgBBAHUAdABoAG8AcgA6ACAAIAAgACAAIAAgACAAUABhAHQAcgBpAGMAawAgAEgALgBcAG4AVgBlAHIAcwBpAG8AbgA6ACAAIAAgACAAIAAgADEALgAxAFwAbgBEAGUAcABlAG4AZABlAG4AYwBpAGUAcwA6ACAARQBjAGgAbwC7A1wAbgBcAG4ARABlAHMAYwByAGkAcAB0AGkAbwBuADoAXABuACAAIAAgACAAVwByAGEAcABzACAAYQAgADIARAAgAGEAcgByAGEAeQAgAGkAbgB0AG8AIAByAG8AdwAgAGIAbABvAGMAawBzACAAbwBmACAAYQAgAHMAcABlAGMAaQBmAGkAZQBkACAAaABlAGkAZwBoAHQAIAB3AGgAaQBsAGUAIABwAHIAZQBzAGUAcgB2AGkAbgBnAFwAbgAgACAAIAAgAGMAbwBsAHUAbQBuACAAdwBpAGQAdABoAC4AIABUAGgAZQAgAHcAcgBhAHAAcABlAGQAIABiAGwAbwBjAGsAcwAgAGEAcgBlACAAcwB0AGEAYwBrAGUAZAAgAGgAbwByAGkAegBvAG4AdA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AALQAgAFIAZQBxAHUAaQByAGUAZAAgADIARAAgAGEAcgByAGEAeQAgACgAMQBEACAAYQByAHIAYQB5AHMAIABuAG8AdAAgAHMAdQBwAHAAbwByAHQAZQBkACkALgBcAG4AIAAgACAAIABuAGUAdwBfAGgAZQBpAGcAaAB0ACAAIAAgAC0AIABOAHUAbQBiAGUAcgAgAG8AZgAgAHIAbwB3AHMAIABpAG4AIABlAGEAYwBoACAAdwByAGEAcABwAGUAZAAgAGIAbABvAGMAawAuAFwAbgBcAG4ATwBwAHQAaQBvAG4AYQBsADoAXABuACAAIAAgACAAWwBwAGEAZABfAHcAaQB0AGgAXQAgACAAIAAtACAARgBpAGwAbAAgAHYAYQBsAHUAZQAgAHUAcwBlAGQAIAB0AG8AIABwAGEAZAAgAGkAbgBjAG8AbQBwAGwAZQB0AGUAIABiAGwAbwBjAGsAcwAuACAARABlAGYAYQB1AGwAdABzACAAdABvACAATgBBACgAKQAuAFwAbgBcAG4ATgBvAHQAZQBzADoAXABuACAAIAAgACAAIiAgAE8AdQB0AHAAdQB0ACAAdwBpAGQAdABoACAAPQAgAGIAbABvAGMAawBzACAA1wAgAG8AcgBpAGcAaQBuAGEAbAAgAHcAaQBkAHQAaAAuAFwAbgAgACAAIAAgACIgIABuAGUAdwBfAGgAZQBpAGcAaAB0ACAAbQB1AHMAdAAgAGIAZQAgAHMAdAByAGkAYwB0AGwAeQAgAGwAZQBzAHMAIAB0AGgAYQBuACAAdABoAGUAIABhAHIAcgBhAHkAIABoAGUAaQBnAGgAdAAuAFwAbgAgACAAIAAgACIgIABTAHAAaQBsAGwAIAByAGkAcwBrACAAaQBzACAAYwBoAGUAYwBrAGUAZAAgAGEAZwBhAGkAbgBzAHQAIABFAHgAYwBlAGwAGSBzACAAMQA2ACwAMwA4ADQAESBjAG8AbAB1AG0AbgAgAGwAaQBtAGkAdAAuAFwAbgAtAC0ALQAtAC0ALQAtAC0ALQAtAC0ALQAtAC0ALQAtAC0ALQAtAC0ALQAtAC0ALQAtAC0ALQAtAC0ALQAtAC0ALQAtAC0ALQAtAC0ALQAtAC0ALQAtAC0ALQAtAC0ALQAtAC0ALQAtAC0ALQAtAC0ALQAtAC0ALQAtAC0ALQAtAC0ALQAtAC0ALQAtAC0ALQAtAC0ALQAtAC0ALQAqAC8AXABuAFwAbgBXAHIAYQBwAFIAbwB3AHMAMgBEALsDIAA9AFwAbgBMAEEATQBCAEQAQQAoAFwAbgAgACAAIAAgAGEAcgByAGEAeQAsAFwAbgAgACAAIAAgAG4AZQB3AF8AaABlAGkAZwBoAHQALABcAG4AIAAgACAAIABbAHAAYQBkAF8AdwBpAHQAaABdACwAXABuAEwARQBUACgAXABuACAAIAAgACAALwAvACAAUwBoAGEAcABlAFwAbgAgACAAIAAgAGgALAAgACAAIAAgACAAIAAgACAAIAAgACAAIAAgACAAUgBPAFcAUwAoAGEAcgByAGEAeQApACwAXABuACAAIAAgACAAdwAsACAAIAAgACAAIAAgACAAIAAgACAAIAAgACAAIABDAE8ATABVAE0ATgBTACgAYQByAHIAYQB5ACkALABcAG4AIAAgACAAIABiAGwAbwBjAGsAcwAsACAAIAAgACAAIAAgACAAIAAgAEMARQBJAEwASQBOAEcAKABoACAALwAgAG4AZQB3AF8AaABlAGkAZwBoAHQ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3AGkAZAB0AGgAXABuACAAIAAgACAAYwAsACAAIAAgACAAIAAgACAAIAAgACAAIAAgACAAIABiAGwAbwBjAGsAcwAgACoAIAB3ACwAXABuAFwAbgAgACAAIAAgAC8ALwAgAFMAYwBlAG4AYQByAGkAbwBzAFwAbgAgACAAIAAgAEkAcwAxAEQAPwAsACAAIAAgACAAIAAgACAAIAAgACAATwBSACgAaAAgAD0AIAAxACwAIAB3ACAAPQAgADEAKQAsAFwAbgAgACAAIAAgAEkAcwBTAGMAYQBsAGEAcgA/ACwAIAAgACAAIAAgACAAQQBOAEQAKABoACAAPQAgADEALAAgAHcAIAA9ACAAMQApACwAXABuACAAIAAgACAASQBuAHYAYQBsAGkAZABEAGkAbQA/ACwAIAAgACAAIABuAGUAdwBfAGgAZQBpAGcAaAB0ACAAPgA9ACAAaAAsAFwAbgAgACAAIAAgAFMAcABpAGwAbABSAGkAcwBrAD8ALAAgACAAIAAgACAAYwAgAD4AIAAxADYAMwA4ADQ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SABFAEkARwBIAFQAIQBcACIALABcAG4AXABuACAAIAAgACAAIAAgACAAIAAgACAAIAAgACAAIAAgACAASQBGACgAUwBwAGkAbABsAFIAaQBzAGsAPwAsACAAXAAiACMATgBVAE0AIQBcACIALABcAG4AXABuAEwARQBUACgAXABuACAAIAAgACAALwAvACAASQBuAGQAaQBjAGUAcwAgACgAZABlAGYAZQByAHIAZQBkACkAXABuACAAIAAgACAAaQAsACAAIAAgACAAIAAgACAAIAAgACAAIAAgACAAIABMAEEATQBCAEQAQQAoAFQATwBSAE8AVwAoAEUAYwBoAG8AuwMoAFMARQBRAFUARQBOAEMARQAoACwAIABiAGwAbwBjAGsAcwAsACAAMQAsACAAbgBlAHcAXwBoAGUAaQBnAGgAdAApACwAIAB3ACkAKQAgAFwAbgAgACAAIAAgACAAIAAgACAAIAAgACAAIAAgACAAIAAgACAAIAAgACAAIAAgACAAIAAgACAAIAArACAAUwBFAFEAVQBFAE4AQwBFACgAbgBlAHcAXwBoAGUAaQBnAGgAdAAsACwAIAAwACwAIAAxACkAKQAsAFwAbgBcAG4AIAAgACAAIABtAG8AZAB1AGwAbwAsACAAIAAgACAAIAAgACAAIAAgAEwAQQBNAEIARABBACgATQBPAEQAKABTAEUAUQBVAEUATgBDAEUAKAAsACAAdwAgACoAIABiAGwAbwBjAGsAcwApACwAIAB3ACkAKQAsAFwAbgAgACAAIAAgAGoALAAgACAAIAAgACAAIAAgACAAIAAgACAAIAAgACAATABBAE0AQgBEAEEAKABJAEYAKABtAG8AZAB1AGwAbwAoACkAIAA9ACAAMAAsACAAdwAsACAAbQBvAGQAdQBsAG8AKAApACkAIAAqACAAUwBFAFEAVQBFAE4AQwBFACgAbgBlAHcAXwBoAGUAaQBnAGgAdAAsACwAIAAxACwAIAAw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ABdACAALQAtAC0ALQAtAC0ALQAtAC0ALQAtAC0ALQAtAC0ALQAtAC0ALQAtAC0ALQAtAC0ALQAtAC0ALQAtAC0ALQAtAC0ALQAtAC0ALQAtAC0ALQAtAC0ALQAtAC0ALQAtAC0ALQAtAC0ALQAtAC0ALQAtAC0ALQAtAC0ALQAtAC0ALQAtAC0ALQAtAC0ALQAtAC0ALQBcAG4ARgB1AG4AYwB0AGkAbwBuADoAIAAgACAAIAAgAFcAcgBhAHAAQwBvAGw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GMAbwBsAHUAbQBuACAAYgBsAG8AYwBrAHMAIABvAGYAIABhACAAcwBwAGUAYwBpAGYAaQBlAGQAIAB3AGkAZAB0AGgAIAB3AGgAaQBsAGUAIABwAHIAZQBzAGUAcgB2AGkAbgBnAFwAbgAgACAAIAAgAHIAbwB3ACAAaABlAGkAZwBoAHQALgAgAFQAaABlACAAdwByAGEAcABwAGUAZAAgAGIAbABvAGMAawBzACAAYQByAGUAIABzAHQAYQBjAGsAZQBkACAAdgBlAHIAdABpAGMAYQBsAGwAeQAgAGkAbgAgAHQAaABlACAAbwB1AHQAcAB1AHQALgBcAG4AIAAgACAAIABKAGEAZwBnAGUAZAAgAG8AcgAgAGkAbgBjAG8AbQBwAGwAZQB0AGUAIABmAGkAbgBhAGwAIABiAGwAbwBjAGsAcwAgAGEAcgBlACAAcABhAGQAZABlAGQAIAB3AGkAdABoACAATgBBACgAKQAgAHUAbgBsAGUAcwBzACAAYQAgAGYAaQBsAGwAXABuACAAIAAgACAAdgBhAGwAdQBlACAAaQBzACAAcwB1AHAAcABsAGkAZQBkACAAdgBpAGEAIABwAGEAZABfAHcAaQB0AGgALgBcAG4AXABuAFAAYQByAGEAbQBlAHQAZQByAHMAOgBcAG4AIAAgACAAIABhAHIAcgBhAHkAIAAgACAAIAAgACAAIAAtACAAUgBlAHEAdQBpAHIAZQBkACAAMgBEACAAYQByAHIAYQB5ACAAKAAxAEQAIABhAHIAcgBhAHkAcwAgAG4AbwB0ACAAcwB1AHAAcABvAHIAdABlAGQAKQAuAFwAbgAgACAAIAAgAG4AZQB3AF8AdwBpAGQAdABoACAAIAAgAC0AIABOAHUAbQBiAGUAcgAgAG8AZgAgAGMAbwBsAHUAbQBuAHMAIABpAG4AIABlAGEAYwBoACAAdwByAGEAcABwAGUAZAAgAGIAbABvAGMAawAuAFwAbgBcAG4ATwBwAHQAaQBvAG4AYQBsADoAXABuACAAIAAgACAAWwBwAGEAZABfAHcAaQB0AGgAXQAgACAALQAgAEYAaQBsAGwAIAB2AGEAbAB1AGUAIAB1AHMAZQBkACAAdABvACAAcABhAGQAIABpAG4AYwBvAG0AcABsAGUAdABlACAAYgBsAG8AYwBrAHMALgAgAEQAZQBmAGEAdQBsAHQAcwAgAHQAbwAgAE4AQQAoACkALgBcAG4AXABuAE4AbwB0AGUAcwA6AFwAbgAgACAAIAAgACIgIABPAHUAdABwAHUAdAAgAGgAZQBpAGcAaAB0ACAAPQAgAGIAbABvAGMAawBzACAA1wAgAG8AcgBpAGcAaQBuAGEAbAAgAGgAZQBpAGcAaAB0AC4AXABuACAAIAAgACAAIiAgAG4AZQB3AF8AdwBpAGQAdABoACAAbQB1AHMAdAAgAGIAZQAgAHMAdAByAGkAYwB0AGwAeQAgAGwAZQBzAHMAIAB0AGgAYQBuACAAdABoAGUAIABhAHIAcgBhAHkAIAB3AGkAZAB0AGgALgBcAG4AIAAgACAAIAAiICAAUwBwAGkAbABsACAAcgBpAHMAawAgAGkAcwAgAGMAaABlAGMAawBlAGQAIABhAGcAYQBpAG4AcwB0ACAARQB4AGMAZQBsABkgcwAgADEALAAwADQAOAAsADUANwA2ABEgcgBvAHcAIABsAGkAbQBpAHQALgBcAG4ALQAtAC0ALQAtAC0ALQAtAC0ALQAtAC0ALQAtAC0ALQAtAC0ALQAtAC0ALQAtAC0ALQAtAC0ALQAtAC0ALQAtAC0ALQAtAC0ALQAtAC0ALQAtAC0ALQAtAC0ALQAtAC0ALQAtAC0ALQAtAC0ALQAtAC0ALQAtAC0ALQAtAC0ALQAtAC0ALQAtAC0ALQAtAC0ALQAtAC0ALQAtAC0AKgAvAFwAbgBcAG4AVwByAGEAcABDAG8AbABzADIARAC7AyAAPQBcAG4ATABBAE0AQgBEAEEAKABcAG4AIAAgACAAIABhAHIAcgBhAHkALABcAG4AIAAgACAAIABuAGUAdwBfAHcAaQBkAHQAa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Hc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oAGUAaQBnAGgAdABcAG4AIAAgACAAIAByACwAIAAgACAAIAAgACAAIAAgACAAIAAgACAAIAAgAGIAbABvAGMAawBzACAAKgAgAGg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dwBpAGQAdABoACAAPgA9ACAAdwAsAFwAbgAgACAAIAAgAFMAcABpAGwAbABSAGkAcwBrAD8ALAAgACAAIAAgACAAcgAgAD4AIAAxADAANAA4ADUANwA2ACwAXABuAFwAbgAgACAAIAAgAC8ALwAgAEwAbwBnAGkAYwAgAGcAYQB0AGUAXABuACAAIAAgACAASQBGACgASQBzAFMAYwBhAGwAYQByAD8ALAAgAFwAIgAjAFYAQQBMAFUARQAhAFwAIgAsAFwAbgBcAG4AIAAgACAAIAAgACAAIAAgAEkARgAoAEkAcwAxAEQAPwAsACAAXAAiACMAVgBBAEwAVQBFACEAXAAiACwAXABuAFwAbgAgACAAIAAgACAAIAAgACAAIAAgACAAIABJAEYAKABJAG4AdgBhAGwAaQBkAEQAaQBtAD8ALAAgAFwAIgAjAFcASQBEAFQASAAhAFwAIgAsAFwAbgBcAG4AIAAgACAAIAAgACAAIAAgACAAIAAgACAAIAAgACAAIABJAEYAKABTAHAAaQBsAGwAUgBpAHMAawA/ACwAIABcACIAIwBOAFUATQAhAFwAIgAsAFwAbgBcAG4ATABFAFQAKABcAG4AIAAgACAAIAAvAC8AIABJAG4AZABpAGMAZQBzACAAKABkAGUAZgBlAHIAcgBlAGQAKQBcAG4AIAAgACAAIABtAG8AZAB1AGwAbwAsACAAIAAgACAAIAAgACAAIAAgAEwAQQBNAEIARABBACgATQBPAEQAKABTAEUAUQBVAEUATgBDAEUAKAByACkALAAgAGgAKQApACwAXABuAFwAbgAgACAAIAAgAGkALAAgACAAIAAgACAAIAAgACAAIAAgACAAIAAgACAATABBAE0AQgBEAEEAKABJAEYAKABtAG8AZAB1AGwAbwAoACkAIAA9ACAAMAAsACAAaAAsACAAbQBvAGQAdQBsAG8AKAApACkAIAAqACAAUwBFAFEAVQBFAE4AQwBFACgALAAgAG4AZQB3AF8AdwBpAGQAdABoACwAIAAxACwAIAAwACkAKQAsAFwAbgBcAG4AIAAgACAAIABqACwAIAAgACAAIAAgACAAIAAgACAAIAAgACAAIAAgAEwAQQBNAEIARABBACgARQBjAGgAbwC7AygAUwBFAFEAVQBFAE4AQwBFACgAcgAgAC8AIABoACwALAAgADEALAAgAG4AZQB3AF8AdwBpAGQAdABoACkALAAgAGgAKQBcAG4AIAAgACAAIAAgACAAIAAgACAAIAAgACAAIAAgACAAIAAgACAAIAAgACAAIAAgACAAIAAgACAAKwAgAFMARQBRAFUARQBOAEMARQAoACwAIABuAGUAdwBfAHcAaQBkAHQAaAAsACAAMAAsACAAMQApACkALABcAG4AXABuACAAIAAgACAALwAvACAAVwByAGEAcABwAGUAZAAgAGEAcgByAGEAeQBcAG4AIAAgACAAIAByAGUAcwB1AGwAdAAsACAAIAAgACAAIAAgACAAIAAgAEkARgBFAFIAUgBPAFIAKABJAE4ARABFAFgAKABhAHIAcgBhAHkALAAgAGkAKAApACwAIABqACgAKQApACwAIABwAGEAZABfAHcAaQB0AGgAKQAsAFwAbgBcAG4AIAAgACAAIAByAGUAcwB1AGwAdABcAG4AKQApACkAKQApACkAKQA7AFwAbgBcAG4AXABuAFwAbgAvACoAIABbAFMAQQAwADkAXQAgAC0ALQAtAC0ALQAtAC0ALQAtAC0ALQAtAC0ALQAtAC0ALQAtAC0ALQAtAC0ALQAtAC0ALQAtAC0ALQAtAC0ALQAtAC0ALQAtAC0ALQAtAC0ALQAtAC0ALQAtAC0ALQAtAC0ALQAtAC0ALQAtAC0ALQAtAC0ALQAtAC0ALQAtAC0ALQAtAC0ALQAtAC0ALQAtAC0AXABuAEYAdQBuAGMAdABpAG8AbgA6ACAAIAAgACAAIABTAHQAYQBpAHIAYwBhAHMAZQC7A1wAbgBDAGEAdABlAGcAbwByAHkAOgAgACAAIAAgACAAMgBEACAAQQByAHIAYQB5ACAAUwBoAGEAcABpAG4AZwBcAG4AQQB1AHQAaABvAHIAOgAgACAAIAAgACAAIAAgAFAAYQB0AHIAaQBjAGsAIABIAC4AXABuAFYAZQByAHMAaQBvAG4AOgAgACAAIAAgACAAIAAxAC4AMQBcAG4ARABlAHAAZQBuAGQAZQBuAGMAaQBlAHMAOgAgAFYAYQBsAGkAZABhAHQAZQBTAHQAYQBpAHIAYwBhAHMAZQC7A1wAbgBcAG4ARABlAHMAYwByAGkAcAB0AGkAbwBuADoAXABuACAAIAAgACAAQwBvAG4AcwB0AHIAdQBjAHQAcwAgAGQAaQBhAGcAbwBuAGEAbAAgAHMAdABhAGkAcgBjAGEAcwBlACAAcABhAHQAdABlAHIAbgBzACAAZgByAG8AbQAgAGEAIAB2AGUAYwB0AG8AcgAgAG8AcgAgADIARAAgAGEAcgByAGEAeQAuACAAVABoAGUAIABpAG4AcAB1AHQAXABuACAAIAAgACAAYQByAHIAYQB5ACAAaQBzACAAZgBsAGEAdAB0AGUAbgBlAGQAIAByAG8AdwARIHcAaQBzAGUALAAgAHAAYQByAHQAaQB0AGkAbwBuAGUAZAAgAGkAbgB0AG8AIABiAGwAbwBjAGsAcwAgAG8AZgAgAHMAaQB6AGUAIABiAGwAbwBjAGsAXwBzAGkAegBlACwAIABhAG4AZABcAG4AIAAgACAAIABhAHIAcgBhAG4AZwBlAGQAIABpAG4AdABvACAAZABpAGEAZwBvAG4AYQBsACAAXAAiAHMAdABlAHAAcwBcACIALgAgAE8AcAB0AGkAbwBuAGEAbAAgAHAAYQByAGEAbQBlAHQAZQByAHMAIABjAG8AbgB0AHIAbwBsACAAYgBsAG8AYwBrACAAcwBwAGEAYwBpAG4AZwAsAFwAbgAgACAAIAAgAGgAbwByAGkAegBvAG4AdABhAGwALwB2AGUAcgB0AGkAYwBhAGwAIABvAHIAaQBlAG4AdABhAHQAaQBvAG4ALAAgAGEAbgBkACAAYQBuAHQAaQARIGQAaQBhAGcAbwBuAGEAbAAgAGwAYQB5AG8AdQB0AC4AXABuAFwAbgBQAGEAcgBhAG0AZQB0AGUAcgBzADoAXABuACAAIAAgACAAYQByAHIAYQB5ACAAIAAgACAAIAAgACAAIAAgACAAIAAtACAASQBuAHAAdQB0ACAAYQByAHIAYQB5ACAAKABmAGwAYQB0AHQAZQBuAGUAZAAgAHIAbwB3ABEgdwBpAHMAZQApAC4AXABuACAAIAAgACAAYgBsAG8AYwBrAF8AcwBpAHoAZQAgACAAIAAgACAAIAAtACAAUgBvAHcAcwAvAGMAbwBsAHUAbQBuAHMAIABpAG4AIABlAGEAYwBoACAAcwB0AGEAaQByAGMAYQBzAGUAIABiAGwAbwBjAGsALgBcAG4AIAAgACAAIABbAGIAbABvAGMAawBfAG8AZgBmAHMAZQB0AF0AIAAgAC0AIABPAHAAdABpAG8AbgBhAGwAIABzAHAAYQBjAGkAbgBnACAAYgBlAHQAdwBlAGUAbgAgAHMAdABhAGkAcgBjAGEAcwBlACAAYgBsAG8AYwBrAHMALgBcAG4AIAAgACAAIABbAEkAcwBIAG8AcgBpAHoAbwBuAHQAYQBsAD8AXQAgAC0AIABPAHAAdABpAG8AbgBhAGwAIAB0AG8AZwBnAGwAZQAgAGYAbwByACAAYwBvAGwAdQBtAG4AESB3AGkAcwBlACAAbwByAGkAZQBuAHQAYQB0AGkAbwBuAC4AXABuACAAIAAgACAAWwBJAHMAQQBuAHQAaQBEAGkAYQBnAD8AXQAgACAAIAAtACAATwBwAHQAaQBvAG4AYQBsACAAdABvAGcAZwBsAGUAIABmAG8AcgAgAGEAbgB0AGkAESBkAGkAYQBnAG8AbgBhAGwAIABsAGEAeQBvAHUAdAAuAFwAbgBcAG4ATgBvAHQAZQBzADoAXABuACAAIAAgACAAIiAgAEkAbgBwAHUAdAAgAGkAcwAgAGYAbABhAHQAdABlAG4AZQBkACAAdQBzAGkAbgBnACAAVABPAEMATwBMAC4AXABuACAAIAAgACAAIiAgAGIAbABvAGMAawBfAG8AZgBmAHMAZQB0ACAAZABlAGYAYQB1AGwAdABzACAAdABvACAAMAAuAFwAbgAgACAAIAAgACIgIABPAHIAaQBlAG4AdABhAHQAaQBvAG4AIABkAGUAZgBhAHUAbAB0AHMAIAB0AG8AIAB2AGUAcgB0AGkAYwBhAGwAIAB1AG4AbABlAHMAcwAgAEkAcwBIAG8AcgBpAHoAbwBuAHQAYQBsAD8AIABpAHMAIABwAHIAbwB2AGkAZABlAGQALgBcAG4ALQAtAC0ALQAtAC0ALQAtAC0ALQAtAC0ALQAtAC0ALQAtAC0ALQAtAC0ALQAtAC0ALQAtAC0ALQAtAC0ALQAtAC0ALQAtAC0ALQAtAC0ALQAtAC0ALQAtAC0ALQAtAC0ALQAtAC0ALQAtAC0ALQAtAC0ALQAtAC0ALQAtAC0ALQAtAC0ALQAtAC0ALQAtAC0ALQAtAC0ALQAtAC0AKgAvAFwAbgBcAG4AUwB0AGEAaQByAGMAYQBzAGUAuwMgAD0AXABuAEwAQQBNAEIARABBACgAXABuACAAIAAgACAAYQByAHIAYQB5ACwAXABuACAAIAAgACAAYgBsAG8AYwBrAF8AcwBpAHoAZQAsAFwAbgAgACAAIAAgAFsAYgBsAG8AYwBrAF8AbwBmAGYAcwBlAHQAXQAsAFwAbgAgACAAIAAgAFsASQBzAEgAbwByAGkAegBvAG4AdABhAGwAPwBdACwAXABuACAAIAAgACAAWwBJAHMAQQBuAHQAaQBEAGkAYQBnAD8AXQAsAFwAbgBcAG4AVgBhAGwAaQBkAGEAdABlAFMAdABhAGkAcgBjAGEAcwBlALsDKABhAHIAcgBhAHkALAAgAGIAbABvAGMAawBfAHMAaQB6AGUALAAgAGIAbABvAGMAawBfAG8AZgBmAHMAZQB0ACwAXABuAFwAbgBMAEUAVAAoAFwAbgAgACAAIAAgAC8ALwAgAE8AcAB0AGkAbwBuAGEAbAAgAHAAYQByAGEAbQBlAHQAZQByAHMAXABuACAAIAAgACAATgBvAE8AZgBmAHMAZQB0AD8ALAAgACAAIAAgACAAIAAgACAAIAAgAEkAUwBPAE0ASQBUAFQARQBEACgAYgBsAG8AYwBrAF8AbwBmAGYAcwBlAHQAKQAsAFwAbgAgACAAIAAgAFoAZQByAG8ATwBmAGYAcwBlAHQAPwAsACAAIAAgACAAIAAgACAAIABiAGwAbwBjAGsAXwBvAGYAZgBzAGUAdAAgAD0AIAAwACwAXABuACAAIAAgACAAYwBvAGwAXwBvAGYAZgBzAGUAdAAsACAAIAAgACAAIAAgACAAIAAgAEkARgAoAE4AbwBPAGYAZgBzAGUAdAA/ACwAIAAwACwAIABiAGwAbwBjAGsAXwBvAGYAZgBzAGUAdAApACwAXABuAFwAbgAgACAAIAAgAEkAcwBWAGUAcgB0AGkAYwBhAGwAPwAsACAAIAAgACAAIAAgACAAIABJAFMATwBNAEkAVABUAEUARAAoAEkAcwBIAG8AcgBpAHoAbwBuAHQAYQBsAD8AKQAsAFwAbgAgACAAIAAgAE4AbwBBAG4AdABpAEQAaQBhAGcAPwAsACAAIAAgACAAIAAgACAAIABJAFMATwBNAEkAVABUAEUARAAoAEkAcwBBAG4AdABpAEQAaQBhAGcAPwApACwAXABuAFwAbgAgACAAIAAgAC8ALwAgAEYAbABhAHQAdABlAG4AIABpAG4AcAB1AHQAXABuACAAIAAgACAAZgBsAGEAdAAsACAAIAAgACAAIAAgACAAIAAgACAAIAAgACAAIAAgAFQATwBDAE8ATAAoAGEAcgByAGEAeQApACwAXABuACAAIAAgACAAawAsACAAIAAgACAAIAAgACAAIAAgACAAIAAgACAAIAAgACAAIAAgAEMATwBVAE4AVABBACgAZgBsAGEAdAApACwAXABuACAAIAAgACAAcwBlAHEALAAgACAAIAAgACAAIAAgACAAIAAgACAAIAAgACAAIAAgAEwAQQBNAEIARABBACgAUwBFAFEAVQBFAE4AQwBFACgAawApACkALABcAG4AXABuACAAIAAgACAALwAvACAAUABhAHIAdABpAHQAaQBvAG4AIABpAG4AdABvACAAYgBsAG8AYwBrAHMAXABuACAAIAAgACAAVgAsACAAIAAgACAAIAAgACAAIAAgACAAIAAgACAAIAAgACAAIAAgAFQATwBSAE8AVwAoAEUAWABQAEEATgBEACgAVwBSAEEAUABSAE8AVwBTACgAcwBlAHEAKAApACwAIABiAGwAbwBjAGsAXwBzAGkAegBlACkALAAsAGIAbABvAGMAawBfAHMAaQB6AGUAIAArACAAYgBsAG8AYwBrAF8AbwBmAGYAcwBlAHQALAAwACkAKQAsAFwAbgBcAG4AIAAgACAAIAB3AGkAZAB0AGgALAAgACAAIAAgACAAIAAgACAAIAAgACAAIAAgACAAQwBPAEwAVQBNAE4AUwAoAFYAKQAsAFwAbgBcAG4AIAAgACAAIAAvAC8AIABBAG4AYwBoAG8AcgBzACAAYQBuAGQAIABpAG4AZABpAGMAZQBzAFwAbgAgACAAIAAgAGkALAAgACAAIAAgACAAIAAgACAAIAAgACAAIAAgACAAIAAgACAAIABMAEEATQBCAEQAQQAoAFMARQBRAFUARQBOAEMARQAoAGIAbABvAGMAawBfAHMAaQB6AGUAKQAgACoAIABTAEUAUQBVAEUATgBDAEUAKAAsACAAdwBpAGQAdABoACwAIAAxACwAIAAwACkAKQAsAFwAbgBcAG4AIAAgACAAIABjAG8AbABfAGEAcgByACwAIAAgACAAIAAgACAAIAAgACAAIAAgACAATABBAE0AQgBEAEEAKABcAG4AIAAgACAAIAAgACAAIAAgACAAIAAgACAAIAAgACAAIAAgACAAIAAgACAAIAAgACAAIAAgACAAIABJAEYAKABOAG8AQQBuAHQAaQBEAGkAYQBnAD8ALABcAG4AIAAgACAAIAAgACAAIAAgACAAIAAgACAAIAAgACAAIAAgACAAIAAgACAAIAAgACAAIAAgACAAIAAgACAAIABTAEUAUQBVAEUATgBDAEUAKAAsACAAdwBpAGQAdABoACkALABcAG4AIAAgACAAIAAgACAAIAAgACAAIAAgACAAIAAgACAAIAAgACAAIAAgACAAIAAgACAAIAAgACAAIAAgACAAIABTAEUAUQBVAEUATgBDAEUAKAAsACAAdwBpAGQAdABoACwAIAB3AGkAZAB0AGgALAAgAC0AMQApACkAKQAsAFwAbgBcAG4AIAAgACAAIABqACwAIAAgACAAIAAgACAAIAAgACAAIAAgACAAIAAgACAAIAAgACAATABBAE0AQgBEAEEAKABNAE8ARAAoAGMAbwBsAF8AYQByAHIAKAApACwAIABiAGwAbwBjAGsAXwBzAGkAegBlACAAKwAgAGIAbABvAGMAawBfAG8AZgBmAHMAZQB0ACkAKQAsAFwAbgBcAG4AIAAgACAAIABqAF8ALAAgACAAIAAgACAAIAAgACAAIAAgACAAIAAgACAAIAAgACAATABBAE0AQgBEAEEAKABJAEYAKABPAFIAKABOAG8ATwBmAGYAcwBlAHQAPwAsACAAWgBlAHIAbwBPAGYAZgBzAGUAdAA/ACkALABcAG4AIAAgACAAIAAgACAAIAAgACAAIAAgACAAIAAgACAAIAAgACAAIAAgACAAIAAgACAAIAAgACAAIAAgACAAIAAgAEkARgAoAGoAKAApACAAPQAgADAALAAgAGIAbABvAGMAawBfAHMAaQB6AGUALAAgAGoAKAApACkALABcAG4AIAAgACAAIAAgACAAIAAgACAAIAAgACAAIAAgACAAIAAgACAAIAAgACAAIAAgACAAIAAgACAAIAAgACAAIAAgAGoAKAApACkAKQAsAFwAbgBcAG4AIAAgACAAIABpAGQAeAAsACAAIAAgACAAIAAgACAAIAAgACAAIAAgACAAIAAgACAATABBAE0AQgBEAEEAKABJAEYAKABpACgAKQAgAD0AIABqAF8AKAApACwAIABWACwAIABOAEEAKAApACkAKQAsAFwAbgBcAG4AIAAgACAAIAAvAC8AIABFAHgAdAByAGEAYwB0ACAAcwB0AGEAaQByAGMAYQBzAGUAXABuACAAIAAgACAAcgBlAHMAdQBsAHQALAAgACAAIAAgACAAIAAgACAAIAAgACAAIAAgAEQAUgBPAFAAKABJAEYATgBBACgASQBOAEQARQBYACgAZgBsAGEAdAAsACAAaQBkAHgAKAApACkALAAgAFwAIgBcACIAKQAsACwAIAAtAGMAbwBsAF8AbwBmAGYAcwBlAHQAKQAsAFwAbgBcAG4AIAAgACAAIABmAGkAbgBhAGwALAAgACAAIAAgACAAIAAgACAAIAAgACAAIAAgACAASQBGACgASQBzAFYAZQByAHQAaQBjAGEAbAA/ACwAIABUAFIAQQBOAFMAUABPAFMARQAoAHIAZQBzAHUAbAB0ACkALAAgAHIAZQBzAHUAbAB0ACkALABcAG4AXABuACAAIAAgACAAZgBpAG4AYQBsAFwAbgApACkAKQA7AFwAbgBcAG4AXABuAFwAbgAvACoAIABbAFMAQQAtAEMATwBSAEUAXQAgAC0ALQAtAC0ALQAtAC0ALQAtAC0ALQAtAC0ALQAtAC0ALQAtAC0ALQAtAC0ALQAtAC0ALQAtAC0ALQAtAC0ALQAtAC0ALQAtAC0ALQAtAC0ALQAtAC0ALQAtAC0ALQAtAC0ALQAtAC0ALQAtAC0ALQAtAC0ALQAtAC0ALQAtAC0ALQAtAC0ALQAtAC0ALQBcAG4ARgB1AG4AYwB0AGkAbwBuADoAIAAgACAAIAAgAFYAYQBsAGkAZABhAHQAZQBTAHQAYQBpAHIAYwBhAHMAZQC7A1wAbgBDAGEAdABlAGcAbwByAHkAOgAgACAAIAAgACAAMgBEACAAQQByAHIAYQB5ACAAUwBoAGEAcABpAG4AZwAgACgAVgBhAGwAaQBkAGEAdABpAG8AbgApAFwAbgBBAHUAdABoAG8AcgA6ACAAIAAgACAAIAAgACAAUABhAHQAcgBpAGMAawAgAEgALgBcAG4AVgBlAHIAcwBpAG8AbgA6ACAAIAAgACAAIAAgADEALgAxAFwAbgBcAG4ARABlAHMAYwByAGkAcAB0AGkAbwBuADoAXABuACAAIAAgACAAVgBhAGwAaQBkAGEAdABpAG8AbgAgAGgAZQBsAHAAZQByACAAZgBvAHIAIABTAHQAYQBpAHIAYwBhAHMAZQC7Ay4AIABFAG4AcwB1AHIAZQBzACAAYQByAHIAYQB5ACAAaQBzACAAdgBhAGwAaQBkACwAIABiAGwAbwBjAGsAXwBzAGkAegBlACAAaQBzAFwAbgAgACAAIAAgAHAAbwBzAGkAdABpAHYAZQAgAGEAbgBkACAAZABvAGUAcwAgAG4AbwB0ACAAZQB4AGMAZQBlAGQAIABhAHIAcgBhAHkAIABsAGUAbgBnAHQAaAAsACAAYQBuAGQAIABiAGwAbwBjAGsAXwBvAGYAZgBzAGUAdAAgAGkAcwAgAG4AbwBuABEgbgBlAGcAYQB0AGkAdgBlAC4AXABuAFwAbgBQAGEAcgBhAG0AZQB0AGUAcgBzADoAXABuACAAIAAgACAAYQByAHIAYQB5ACAAIAAgACAAIAAgACAAIAAgACAAIAAtACAASQBuAHAAdQB0ACAAYQByAHIAYQB5AC4AXABuACAAIAAgACAAYgBsAG8AYwBrAF8AcwBpAHoAZQAgACAAIAAgACAAIAAtACAAUgBlAHEAdQBpAHIAZQBkACAAYgBsAG8AYwBrACAAcwBpAHoAZQAuAFwAbgAgACAAIAAgAFsAYgBsAG8AYwBrAF8AbwBmAGYAcwBlAHQAXQAgACAALQAgAE8AcAB0AGkAbwBuAGEAbAAgAHMAcABhAGMAaQBuAGcAIABiAGUAdAB3AGUAZQBuACAAYgBsAG8AYwBrAHMALgBcAG4AIAAgACAAIABbAG8AbgBfAHYAYQBsAGkAZABdACAAIAAgACAAIAAgAC0AIABFAHgAcAByAGUAcwBzAGkAbwBuACAAdABvACAAZQB2AGEAbAB1AGEAdABlACAAdwBoAGUAbgAgAHYAYQBsAGkAZABhAHQAaQBvAG4AIABwAGEAcwBzAGUAcwAuAFwAbgAtAC0ALQAtAC0ALQAtAC0ALQAtAC0ALQAtAC0ALQAtAC0ALQAtAC0ALQAtAC0ALQAtAC0ALQAtAC0ALQAtAC0ALQAtAC0ALQAtAC0ALQAtAC0ALQAtAC0ALQAtAC0ALQAtAC0ALQAtAC0ALQAtAC0ALQAtAC0ALQAtAC0ALQAtAC0ALQAtAC0ALQAtAC0ALQAtAC0ALQAtAC0ALQAqAC8AXABuAFwAbgBWAGEAbABpAGQAYQB0AGUAUwB0AGEAaQByAGMAYQBzAGUAuwMgAD0AXABuAEwAQQBNAEIARABBACgAXABuACAAIAAgACAAYQByAHIAYQB5ACwAXABuACAAIAAgACAAYgBsAG8AYwBrAF8AcwBpAHoAZQAsAFwAbgAgACAAIAAgAFsAYgBsAG8AYwBrAF8AbwBmAGYAcwBlAHQAXQAsAFwAbgAgACAAIAAgAFsAbwBuAF8AdgBhAGwAaQBkAF0ALABcAG4ATABFAFQAKABcAG4AIAAgACAAIAAvAC8AIABDAGgAZQBjAGsAcwBcAG4AIAAgACAAIABOAG8AdABBAHIAcgBhAHkAPwAsACAAIAAgACAAIAAgACAAIAAgACAAIAAgACAAIABUAFkAUABFACgAYQByAHIAYQB5ACkAIAA8AD4AIAA2ADQALABcAG4AXABuACAAIAAgACAASQBuAHYAYQBsAGkAZABCAGwAbwBjAGsAUwBpAHoAZQA/ACwAIAAgACAAIAAgACAATwBSACgASQBTAFQARQBYAFQAKABiAGwAbwBjAGsAXwBzAGkAegBlACkALABcAG4AIAAgACAAIAAgACAAIAAgACAAIAAgACAAIAAgACAAIAAgACAAIAAgACAAIAAgACAAIAAgACAAIAAgACAAIABiAGwAbwBjAGsAXwBzAGkAegBlACAAPAA9ACAAMAAsAFwAbgAgACAAIAAgACAAIAAgACAAIAAgACAAIAAgACAAIAAgACAAIAAgACAAIAAgACAAIAAgACAAIAAgACAAIAAgAGIAbABvAGMAawBfAHMAaQB6AGUAIAA+ACAAQwBPAFUATgBUAEEAKABhAHIAcgBhAHkAKQApACwAXABuAFwAbgAgACAAIAAgAEkAbgB2AGEAbABpAGQAQgBsAG8AYwBrAE8AZgBmAHMAZQB0AD8ALAAgACAAIAAgAE8AUgAoAEkAUwBUAEUAWABUACgAYgBsAG8AYwBrAF8AbwBmAGYAcwBlAHQAKQAsAGIAbABvAGMAawBfAG8AZgBmAHMAZQB0ACAAPAAgADAAKQAsAFwAbgBcAG4AIAAgACAAIAAvAC8AIABMAG8AZwBpAGMAIABnAGEAdABlAFwAbgAgACAAIAAgAEkARgAoAE4AbwB0AEEAcgByAGEAeQA/ACwAIAAgACAAIAAgACAAIAAgACAAIAAgACAAIABcACIAIwBOAE8AVAAtAEEAUgBSAEEAWQAhAFwAIgAsAFwAbgBcAG4AIAAgACAAIAAgACAAIAAgAEkARgAoAEkAbgB2AGEAbABpAGQAQgBsAG8AYwBrAFMAaQB6AGUAPwAsACAAIABcACIAIwBCAEwATwBDAEsALQBTAEkAWgBFACEAXAAiACwAXABuAFwAbgAgACAAIAAgACAAIAAgACAAIAAgACAAIABJAEYAKABJAG4AdgBhAGwAaQBkAEIAbABvAGMAawBPAGYAZgBzAGUAdAA/ACwAIABcACIAIwBCAEwATwBDAEsALQBPAEYARgBTAEUAVAAhAFwAIgAsAFwAbgBcAG4AIAAgACAAIAAgACAAIAAgACAAIAAgACAAIAAgACAAIABvAG4AXwB2AGEAbABpAGQAXABuACAAIAAgACAAIAAgACAAIAAgACAAIAAgACkAKQApACkAKQA7AFwAbgBcAG4AXABuAFwAbgAvACoAIABbAFMAQQAxADAAXQAgAC0ALQAtAC0ALQAtAC0ALQAtAC0ALQAtAC0ALQAtAC0ALQAtAC0ALQAtAC0ALQAtAC0ALQAtAC0ALQAtAC0ALQAtAC0ALQAtAC0ALQAtAC0ALQAtAC0ALQAtAC0ALQAtAC0ALQAtAC0ALQAtAC0ALQAtAC0ALQAtAC0ALQAtAC0ALQAtAC0ALQAtAC0ALQAtAC0AXABuAEYAdQBuAGMAdABpAG8AbgA6ACAAIAAgACAAIABVAG4AUABpAHYAbwB0ALsDXABuAEMAYQB0AGUAZwBvAHIAeQA6ACAAIAAgACAAIAAyAEQAIABBAHIAcgBhAHkAIABTAGgAYQBwAGkAbgBnAFwAbgBBAHUAdABoAG8AcgA6ACAAIAAgACAAIAAgACAAUABhAHQAcgBpAGMAawAgAEgALgBcAG4AVgBlAHIAcwBpAG8AbgA6ACAAIAAgACAAIAAgADEALgAxAFwAbgBEAGUAcABlAG4AZABlAG4AYwBpAGUAcwA6ACAAUgBlAHAAZQBhAHQAUgBvAHcAcwC7AywAIABSAGUAcwBpAHoAZQC7AywAIABJAG4AcwB1AGwAYQB0AGUAUgBvAHcAcwC7A1wAbgBcAG4ARABlAHMAYwByAGkAcAB0AGkAbwBuADoAXABuACAAIAAgACAAQwBvAG4AdgBlAHIAdABzACAAYQAgAGEAcgByAGEAeQBfADIARAAgAGkAbgB0AG8AIABhACAAZgBsAGEAdAB0AGUAbgBlAGQAIAByAG8AdwARIHcAaQBzAGUAIAB0AGEAYgBsAGUAIABiAHkAIABwAHIAbwB2AGkAZABpAG4AZwAgAHIAbwB3ACAAbABhAGIAZQBsAHMALABcAG4AIAAgACAAIABjAG8AbAB1AG0AbgAgAGwAYQBiAGUAbABzACwAIABhAG4AZAAgAGEAIAB2AGEAbAB1AGUAIABhAHIAcgBhAHkAXwAyAEQALgAgAE8AcAB0AGkAbwBuAGEAbAAgAGYAaQBsAHQAZQByAGkAbgBnACAAcgBlAG0AbwB2AGUAcwAgAGIAbABhAG4AawBzACwAXABuACAAIAAgACAAZQByAHIAbwByAHMALAAgAGEAbgBkACAAegBlAHIAbwBzAC4AXABuAFwAbgBQAGEAcgBhAG0AZQB0AGUAcgBzADoAXABuACAAIAAgACAAcgBvAHcAcwAgACAAIAAgACAAIAAgACAALQAgAFYAZQByAHQAaQBjAGEAbAAgAGEAcgByAGEAeQAgAG8AZgAgAHIAbwB3ACAAbABhAGIAZQBsAHMALgBcAG4AIAAgACAAIABjAG8AbAB1AG0AbgBzACAAIAAgACAAIAAtACAASABvAHIAaQB6AG8AbgB0AGEAbAAgAGEAcgByAGEAeQAgAG8AZgAgAGMAbwBsAHUAbQBuACAAbABhAGIAZQBsAHMALgBcAG4AIAAgACAAIAB2AGEAbAB1AGUAcwAgACAAIAAgACAAIAAtACAAYQByAHIAYQB5AF8AMgBEACAAbwBmACAAdgBhAGwAdQBlAHMAIAB0AG8AIAB1AG4AcABpAHYAbwB0AC4AXABuACAAIAAgACAAWwBpAGcAbgBvAHIAZQBdACAAIAAgACAALQAgAE8AcAB0AGkAbwBuAGEAbAA6ACAAaQBmACAAVABSAFUARQAsACAAcgBlAG0AbwB2AGUAIABiAGwAYQBuAGsAcwAsACAAZQByAHIAbwByAHMALAAgAGEAbgBkACAAegBlAHIAbwBzAC4AXABuAFwAbgBOAG8AdABlAHMAOgBcAG4AIAAgACAAIAAiICAAcgBvAHcAcwAgAG0AdQBzAHQAIABtAGEAdABjAGgAIAB0AGgAZQAgAGgAZQBpAGcAaAB0ACAAbwBmACAAdgBhAGwAdQBlAHMALgBcAG4AIAAgACAAIAAiICAAYwBvAGwAdQBtAG4AcwAgAG0AdQBzAHQAIABtAGEAdABjAGgAIAB0AGgAZQAgAHcAaQBkAHQAaAAgAG8AZgAgAHYAYQBsAHUAZQBzAC4AXABuACAAIAAgACAAIiAgAE8AdQB0AHAAdQB0ACAAaQBzACAAYQAgADMAESBjAG8AbAB1AG0AbgAgAHQAYQBiAGwAZQA6ACAAewByAG8AdwBfAGwAYQBiAGUAbAAsACAAYwBvAGwAdQBtAG4AXwBsAGEAYgBlAGwALAAgAHYAYQBsAHUAZQB9AC4AXABuAC0ALQAtAC0ALQAtAC0ALQAtAC0ALQAtAC0ALQAtAC0ALQAtAC0ALQAtAC0ALQAtAC0ALQAtAC0ALQAtAC0ALQAtAC0ALQAtAC0ALQAtAC0ALQAtAC0ALQAtAC0ALQAtAC0ALQAtAC0ALQAtAC0ALQAtAC0ALQAtAC0ALQAtAC0ALQAtAC0ALQAtAC0ALQAtAC0ALQAtAC0ALQAtACoALwBcAG4AXABuAFUAbgBQAGkAdgBvAHQAuwMgAD0AXABuAEwAQQBNAEIARABBACgAXABuACAAIAAgACAAcgBvAHcAcwAsAFwAbgAgACAAIAAgAGMAbwBsAHUAbQBuAHMALABcAG4AIAAgACAAIAB2AGEAbAB1AGUAcwAsAFwAbgAgACAAIAAgAFsAaQBnAG4AbwByAGUAXQAsAFwAbgBMAEUAVAAoAFwAbgAgACAAIAAgAC8ALwAgAEQAaQBtAGUAbgBzAGkAbwBuAHMAXABuACAAIAAgACAAaAAsACAAIAAgACAAIAAgACAAIAAgACAAIAAgACAAIABSAE8AVwBTACgAcgBvAHcAcwApACwAXABuACAAIAAgACAAdwAsACAAIAAgACAAIAAgACAAIAAgACAAIAAgACAAIABDAE8ATABVAE0ATgBTACgAYwBvAGwAdQBtAG4AcwApACwAXABuAFwAbgAgACAAIAAgAGgAXwB2ACwAIAAgACAAIAAgACAAIAAgACAAIAAgACAAUgBPAFcAUwAoAHYAYQBsAHUAZQBzACkALABcAG4AIAAgACAAIAB3AF8AdgAsACAAIAAgACAAIAAgACAAIAAgACAAIAAgAEMATwBMAFUATQBOAFMAKAB2AGEAbAB1AGUAcwApACwAXABuAFwAbgAgACAAIAAgAC8ALwAgAFMAYwBlAG4AYQByAGkAbwBzAFwAbgAgACAAIAAgAEkAcwBTAGMAYQBsAGEAcgA/ACwAIAAgACAAIAAgACAAQQBOAEQAKABoACAAPQAgADEALAAgAHcAIAA9ACAAMQAsACAAaABfAHYAIAA9ACAAMQAsACAAdwBfAHYAIAA9ACAAMQApACwAXABuACAAIAAgACAATgBvAFAAaQB2AG8AdAA/ACwAIAAgACAAIAAgACAAIAB3AF8AdgAgAD0AIAAxACwAXABuAFwAbgAgACAAIAAgAFIAbwB3AE0AaQBzAG0AYQB0AGMAaAA/ACwAIAAgACAAaAAgADwAPgAgAGgAXwB2ACwAXABuACAAIAAgACAAQwBvAGwATQBpAHMAbQBhAHQAYwBoAD8ALAAgACAAIAB3ACAAPAA+ACAAdwBfAHYALABcAG4AXABuACAAIAAgACAAUwBwAGkAbABsAFIAaQBzAGsAPwAsACAAIAAgACAAIABoAF8AdgAgACoAIAB3AF8AdgAgAD4AIAAxADAANAA4ADUANwA2ACwAXABuAFwAbgAgACAAIAAgAC8ALwAgAFMAYwBhAGwAYQByACAAcABhAHMAcwB0AGgAcgBvAHUAZwBoAFwAbgAgACAAIAAgAE8AcgBpAGcARABhAHQAYQAsACAAIAAgACAAIAAgACAASABTAFQAQQBDAEsAKAByAG8AdwBzACwAIABjAG8AbAB1AG0AbgBzACwAIAB2AGEAbAB1AGUAcwApACwAXABuAFwAbgAgACAAIAAgAC8ALwAgADEAESBjAG8AbAB1AG0AbgAgAHAAYQBzAHMAdABoAHIAbwB1AGcAaABcAG4AIAAgACAAIABPAHIAaQBnAEQAYQB0AGEAUABhAGQALAAgACAAIAAgAEgAUwBUAEEAQwBLACgASQBuAHMAdQBsAGEAdABlAFIAbwB3AHMAuwMoAHIAbwB3AHMALAAgADEALAAgADAAKQAsAFYAUwBUAEEAQwBLACgAYwBvAGwAdQBtAG4AcwAsACAAdgBhAGwAdQBlAHMAKQApACwAXABuAFwAbgAgACAAIAAgAC8ALwAgAEwAbwBnAGkAYwAgAGcAYQB0AGUAXABuACAAIAAgACAASQBGACgASQBzAFMAYwBhAGwAYQByAD8ALAAgAE8AcgBpAGcARABhAHQAYQAsAFwAbgBcAG4AIAAgACAAIAAgACAAIAAgAEkARgAoAE4AbwBQAGkAdgBvAHQAPwAsACAATwByAGkAZwBEAGEAdABhAFAAYQBkACwAXABuAFwAbgAgACAAIAAgACAAIAAgACAAIAAgACAAIABJAEYAKABSAG8AdwBNAGkAcwBtAGEAdABjAGgAPwAsACAAXAAiACMARABJAE0ALQBSAE8AVwBTAC8AVgBBAEwAVQBFAFMAIQBcACIALABcAG4AXABuACAAIAAgACAAIAAgACAAIAAgACAAIAAgACAAIAAgACAASQBGACgAQwBvAGwATQBpAHMAbQBhAHQAYwBoAD8ALAAgAFwAIgAjAEQASQBNAC0AQwBPAEwALwBWAEEATABVAEUAUwAhAFwAIgAsAFwAbgBcAG4AIAAgACAAIAAgACAAIAAgACAAIAAgACAAIAAgACAAIAAgACAAIAAgAEkARgAoAFMAcABpAGwAbABSAGkAcwBrAD8ALAAgAFwAIgAjAFIATwBXAC0ATABJAE0ASQBUACEAXAAiACwAXABuAFwAbgBMAEUAVAAoAFwAbgAgACAAIAAgAC8ALwAgAEIAcgBvAGEAZABjAGEAcwB0ACAAcgBvAHcAIABsAGEAYgBlAGwAcwAgACgAcgBlAHAAZQBhAHQAIABlAGEAYwBoACAAcgBvAHcAIABsAGEAYgBlAGwAIABhAGMAcgBvAHMAcwAgAGEAbABsACAAYwBvAGwAdQBtAG4AcwApAFwAbgAgACAAIAAgAHIAbwB3AF8AbABhAGIAZQBsAHMALAAgACAAIAAgACAAUgBlAHAAZQBhAHQAUgBvAHcAcwC7AygAcgBvAHcAcwAsACAAdwApACwAXABuAFwAbgAgACAAIAAgAC8ALwAgAEIAcgBvAGEAZABjAGEAcwB0ACAAYwBvAGwAdQBtAG4AIABsAGEAYgBlAGwAcwAgACgAcgBlAHAAZQBhAHQAIABlAGEAYwBoACAAYwBvAGwAdQBtAG4AIABsAGEAYgBlAGwAIABkAG8AdwBuACAAYQBsAGwAIAByAG8AdwBzACkAXABuACAAIAAgACAAYQB0AHQAcgBpAGIAdQB0AGUALAAgACAAIAAgACAAIABSAGUAcwBpAHoAZQC7AygAVABSAEEATgBTAFAATwBTAEUAKABjAG8AbAB1AG0AbgBzACkALABoACkALABcAG4AXABuACAAIAAgACAALwAvACAARgBsAGEAdAB0AGUAbgAgAHYAYQBsAHUAZQBzAFwAbgAgACAAIAAgAGYAbABhAHQAXwB2AGEAbAB1AGUAcwAsACAAIAAgACAAVABPAEMATwBMACgAdgBhAGwAdQBlAHMAKQAsAFwAbgBcAG4AIAAgACAAIAAvAC8AIABTAHQAYQBjAGsAIABpAG4AdABvACAAMwARIGMAbwBsAHUAbQBuACAAdABhAGIAbABlAFwAbgAgACAAIAAgAHMAdABhAGMAawAsACAAIAAgACAAIAAgACAAIAAgACAASABTAFQAQQBDAEsAKAByAG8AdwBfAGwAYQBiAGUAbABzACwAIABhAHQAdAByAGkAYgB1AHQAZQAsACAAZgBsAGEAdABfAHYAYQBsAHUAZQBzACkALABcAG4AXABuACAAIAAgACAALwAvACAARgBpAGwAdABlAHIAaQBuAGcAXABuACAAIAAgACAAawBlAGUAcABfAG0AYQBzAGsALAAgACAAIAAgACAAIABOAE8AVAAoAEkAUwBCAEwAQQBOAEsAKABmAGwAYQB0AF8AdgBhAGwAdQBlAHMAKQAgACsAIAAoAEkARgBFAFIAUgBPAFIAKABmAGwAYQB0AF8AdgBhAGwAdQBlAHMALAAgADAAKQAgAD0AIAAwACkAKQAsAFwAbgBcAG4AIAAgACAAIABmAGkAbAB0AGUAcgBlAGQALAAgACAAIAAgACAAIAAgAEYASQBMAFQARQBSACgAcwB0AGEAYwBrACwAIABrAGUAZQBwAF8AbQBhAHMAawApACwAXABuAFwAbgAgACAAIAAgAHIAZQBzAHUAbAB0ACwAIAAgACAAIAAgACAAIAAgACAASQBGACgASQBTAE8ATQBJAFQAVABFAEQAKABpAGcAbgBvAHIAZQApACwAIABzAHQAYQBjAGsALAAgAGYAaQBsAHQAZQByAGUAZAApACwAXABuAFwAbgAgACAAIAAgAHIAZQBzAHUAbAB0AFwAbgApACkAKQApACkAKQApACkAOwBcAG4AXABuAFwAbgBcAG4ALwAqACAAWwBTAEEAMQAxAF0AIAAtAC0ALQAtAC0ALQAtAC0ALQAtAC0ALQAtAC0ALQAtAC0ALQAtAC0ALQAtAC0ALQAtAC0ALQAtAC0ALQAtAC0ALQAtAC0ALQAtAC0ALQAtAC0ALQAtAC0ALQAtAC0ALQAtAC0ALQAtAC0ALQAtAC0ALQAtAC0ALQAtAC0ALQAtAC0ALQAtAC0ALQAtAC0ALQAtAFwAbgBGAHUAbgBjAHQAaQBvAG4AOgAgACAAIAAgACAAWgBpAHAAuwNcAG4AQwBhAHQAZQBnAG8AcgB5ADoAIAAgACAAIAAgADIARAAgAEEAcgByAGEAeQAgAFMAaABhAHAAaQBuAGcAXABuAEEAdQB0AGgAbwByADoAIAAgACAAIAAgACAAIABQAGEAdAByAGkAYwBrACAASAAuAFwAbgBWAGUAcgBzAGkAbwBuADoAIAAgACAAIAAgACAAMQAuADEAXABuAFwAbgBEAGUAcwBjAHIAaQBwAHQAaQBvAG4AOgBcAG4AIAAgACAAIABaAGkAcABzACAAdABvAGcAZQB0AGgAZQByACAAMQATIDQAIABhAHIAcgBhAHkAcwAgAGIAeQAgAGYAbABhAHQAdABlAG4AaQBuAGcAIABlAGEAYwBoACAAaQBuAHAAdQB0ACAAdwBpAHQAaAAgAFQATwBDAE8ATAAgAGEAbgBkACAAYQBsAGkAZwBuAGkAbgBnAFwAbgAgACAAIAAgAHQAaABlAG0AIABiAHkAIABsAGUAbgBnAHQAaAAuACAAQgB5ACAAZABlAGYAYQB1AGwAdAAsACAAWgBpAHAAuwMgAHAAZQByAGYAbwByAG0AcwAgAGEAIABzAHQAcgBpAGMAdAAgAHoAaQBwACwAIABwAGEAaQByAGkAbgBnACAAZQBsAGUAbQBlAG4AdABzAFwAbgAgACAAIAAgAG8AbgBsAHkAIAB1AHAAIAB0AG8AIAB0AGgAZQAgAGwAZQBuAGcAdABoACAAbwBmACAAdABoAGUAIABzAGgAbwByAHQAZQBzAHQAIABhAHIAcgBhAHkALgAgAEkAZgAgAHoAaQBwAF8AbABvAG4AZwBlAHMAdAAgAD0AIABUAFIAVQBFACwAIABaAGkAcAC7A1wAbgAgACAAIAAgAGMAbwBuAHQAaQBuAHUAZQBzACAAdQBuAHQAaQBsACAAdABoAGUAIABsAG8AbgBnAGUAcwB0ACAAYQByAHIAYQB5ACAAaQBzACAAYwBvAG4AcwB1AG0AZQBkACwAIABwAGEAZABkAGkAbgBnACAAcwBoAG8AcgB0AGUAcgAgAGEAcgByAGEAeQBzACAAdwBpAHQAaABcAG4AIAAgACAAIABmAGkAbABsAF8AdgBhAGwAdQBlACAAKABkAGUAZgBhAHUAbAB0ADoAIAAjAE4ALwBBACkALgBcAG4AXABuACAAIAAgACAAVABoAGUAIAByAGUAcwB1AGwAdAAgAGkAcwAgAGEAIABoAG8AcgBpAHoAbwBuAHQAYQBsAGwAeQAgAHMAdABhAGMAawBlAGQAIAB0AGEAYgBsAGUAIAB3AGgAZQByAGUAIABlAGEAYwBoACAAYwBvAGwAdQBtAG4AIAByAGUAcAByAGUAcwBlAG4AdABzACAAbwBuAGUAXABuACAAIAAgACAAegBpAHAAcABlAGQAIABpAG4AcAB1AHQAIABhAHIAcgBhAHkALAAgAG4AbwByAG0AYQBsAGkAegBlAGQAIAB0AG8AIABhACAAYwBvAG0AbQBvAG4AIABsAGUAbgBnAHQAaAAuAFwAbgBcAG4AUABhAHIAYQBtAGUAdABlAHIAcwA6AFwAbgAgACAAIAAgAGEAcgByAGEAeQBfADEAIAAgACAAIAAgACAAIAAtACAARgBpAHIAcwB0ACAAaQBuAHAAdQB0ACAAYQByAHIAYQB5ACAAKABzAGMAYQBsAGEAcgAsACAAMQBEACwAIABvAHIAIAAyAEQAKQAuAFwAbgAgACAAIAAgAFsAYQByAHIAYQB5AF8AMgBdACAAIAAgACAAIAAtACAATwBwAHQAaQBvAG4AYQBsACAAcwBlAGMAbwBuAGQAIABhAHIAcgBhAHkALgBcAG4AIAAgACAAIABbAGEAcgByAGEAeQBfADMAXQAgACAAIAAgACAALQAgAE8AcAB0AGkAbwBuAGEAbAAgAHQAaABpAHIAZAAgAGEAcgByAGEAeQAuAFwAbgAgACAAIAAgAFsAYQByAHIAYQB5AF8ANABdACAAIAAgACAAIAAtACAATwBwAHQAaQBvAG4AYQBsACAAZgBvAHUAcgB0AGgAIABhAHIAcgBhAHkALgBcAG4AIAAgACAAIABbAHoAaQBwAF8AbABvAG4AZwBlAHMAdABdACAALQAgAFQAUgBVAEUAIAB0AG8AIAB6AGkAcAAgAHUAbgB0AGkAbAAgAHQAaABlACAAbABvAG4AZwBlAHMAdAAgAGEAcgByAGEAeQAgAGkAcwAgAGMAbwBuAHMAdQBtAGUAZAAuAFwAbgAgACAAIAAgACAAIAAgACAAIAAgACAAIAAgACAAIAAgACAAIAAgACAASQBmACAAbwBtAGkAdAB0AGUAZAAsACAAWgBpAHAAuwMgAHUAcwBlAHMAIABzAHQAcgBpAGMAdAAgAG0AbwBkAGUAIAAoAHMAaABvAHIAdABlAHMAdAAgAGEAcgByAGEAeQApAC4AXABuACAAIAAgACAAWwBmAGkAbABsAF8AdgBhAGwAdQBlAF0AIAAgAC0AIABWAGEAbAB1AGUAIAB1AHMAZQBkACAAdABvACAAcABhAGQAIABzAGgAbwByAHQAZQByACAAYQByAHIAYQB5AHMAIAB3AGgAZQBuACAAegBpAHAAXwBsAG8AbgBnAGUAcwB0ACAAPQAgAFQAUgBVAEUALgBcAG4ALQAtAC0ALQAtAC0ALQAtAC0ALQAtAC0ALQAtAC0ALQAtAC0ALQAtAC0ALQAtAC0ALQAtAC0ALQAtAC0ALQAtAC0ALQAtAC0ALQAtAC0ALQAtAC0ALQAtAC0ALQAtAC0ALQAtAC0ALQAtAC0ALQAtAC0ALQAtAC0ALQAtAC0ALQAtAC0ALQAtAC0ALQAtAC0ALQAtAC0ALQAtAC0AKgAvAFwAbgBcAG4AWgBpAHAAuwM9AFwAbgBMAEEATQBCAEQAQQAoAFwAbgAgACAAIAAgAGEAcgByAGEAeQBfADEALABcAG4AIAAgACAAIABbAGEAcgByAGEAeQBfADIAXQAsAFwAbgAgACAAIAAgAFsAYQByAHIAYQB5AF8AMwBdACwAXABuACAAIAAgACAAWwBhAHIAcgBhAHkAXwA0AF0ALABcAG4AIAAgACAAIABbAHoAaQBwAF8AbABvAG4AZwBlAHMAdABdACwAXABuACAAIAAgACAAWwBmAGkAbABsAF8AdgBhAGwAdQBlAF0ALABcAG4AXABuAEwARQBUACgAXABuACAAIAAgACAALwAvACAAUwBlAHQAIAB6AGkAcAAgAG0AbwBkAGUAXABuACAAIAAgACAAWgBpAHAATABvAG4AZwA/ACwAIAAgACAAIABJAEYAKABJAFMATwBNAEkAVABUAEUARAAoAHoAaQBwAF8AbABvAG4AZwBlAHMAdAApACwAIABGAEEATABTAEUALAAgAHoAaQBwAF8AbABvAG4AZwBlAHMAdAApACwAXABuAFwAbgAgACAAIAAgAC8ALwAgAFMAZQB0ACAAZgB1AG4AYwB0AGkAbwBuACAAZgBvAHIAIABkAGUAdABlAHIAbQBpAG4AaQBuAGcAIABsAGUAbgBnAHQAaAAgAG8AZgAgAHoAaQBwAFwAbgAgACAAIAAgAGYAbgC7AywAIAAgACAAIAAgACAAIAAgACAASQBGACgAWgBpAHAATABvAG4AZwA/ACwATQBBAFgALABNAEkATgApACwAXABuAFwAbgAgACAAIAAgAC8ALwAgAFMAZQB0ACAAZgBpAGwAbABfAHYAYQBsAHUAZQBcAG4AIAAgACAAIABmAGkAbABsAF8AdgBhAGwAdQBlACwAIAAgAEkARgAoAFoAaQBwAEwAbwBuAGcAPwAsACAASQBGACgASQBTAE8ATQBJAFQAVABFAEQAKABmAGkAbABsAF8AdgBhAGwAdQBlACkALAAgAE4AQQAoACkALAAgAGYAaQBsAGwAXwB2AGEAbAB1AGUAKQAsACAATgBBACgAKQApACwAXABuAFwAbgAgACAAIAAgAC8ALwAgAEEAcgByAGEAeQBzACAAcwB1AHAAcABsAGkAZQBkAFwAbgAgACAAIAAgAFQAdwBvACwAIAAgACAAIAAgACAAIAAgACAATgBPAFQAKABJAFMATwBNAEkAVABUAEUARAAoAGEAcgByAGEAeQBfADIAKQApACwAXABuACAAIAAgACAAVABoAHIAZQBlACwAIAAgACAAIAAgACAAIABOAE8AVAAoAEkAUwBPAE0ASQBUAFQARQBEACgAYQByAHIAYQB5AF8AMwApACkALABcAG4AIAAgACAAIABGAG8AdQByACwAIAAgACAAIAAgACAAIAAgAE4ATwBUACgASQBTAE8ATQBJAFQAVABFAEQAKABhAHIAcgBhAHkAXwA0ACkAKQAsAFwAbgBcAG4AIAAgACAAIAAvAC8AIABUAG8AdABhAGwAIABhAHIAcgBhAHkAcwAgAHMAdQBwAHAAbABpAGUAZABcAG4AIAAgACAAIABtACwAIAAgACAAIAAgACAAIAAgACAAIAAgAEkARgAoAEYAbwB1AHIALAAgADQALAAgAFwAbgAgACAAIAAgACAAIAAgACAAIAAgACAAIAAgACAAIAAgACAAIAAgACAASQBGACgAVABoAHIAZQBlACwAIAAzACwAIABcAG4AIAAgACAAIAAgACAAIAAgACAAIAAgACAAIAAgACAAIAAgACAAIAAgACAAIAAgACAASQBGACgAVAB3AG8ALAAgADIALAAxACkAKQApACwAXABuAFwAbgAgACAAIAAgAC8ALwAgAEYAbABhAHQAdABlAG4AIABpAG4AcAB1AHQAcwBcAG4AIAAgACAAIABhAHIAcgBhAHkAXwAxACwAIAAgACAAIAAgAFQATwBDAE8ATAAoAGEAcgByAGEAeQBfADEAKQAsAFwAbgAgACAAIAAgAGEAcgByAGEAeQBfADIALAAgACAAIAAgACAASQBGACgAbQAgAD4APQAgADIALABUAE8AQwBPAEwAKABhAHIAcgBhAHkAXwAyACkALABGAEEATABTAEUAKQAsAFwAbgAgACAAIAAgAGEAcgByAGEAeQBfADMALAAgACAAIAAgACAASQBGACgAbQAgAD4APQAgADMALABUAE8AQwBPAEwAKABhAHIAcgBhAHkAXwAzACkALABGAEEATABTAEUAKQAsAFwAbgAgACAAIAAgAGEAcgByAGEAeQBfADQALAAgACAAIAAgACAASQBGACgAbQAgAD0AIAAgADQALABUAE8AQwBPAEwAKABhAHIAcgBhAHkAXwA0ACkALABGAEEATABTAEUAKQAsAFwAbgBcAG4AIAAgACAAIAAvAC8AIABMAGUAbgBnAHQAaAAgAG8AZgAgAGkAbgBwAHUAdABzAFwAbgAgACAAIAAgAGsAgSAsACAAIAAgACAAIAAgACAAIAAgACAAUgBPAFcAUwAoAGEAcgByAGEAeQBfADEAKQAsACAAIAAgAGsAgiAsACAAIAAgAFIATwBXAFMAKABhAHIAcgBhAHkAXwAyACkALABcAG4AIAAgACAAIABrAIMgLAAgACAAIAAgACAAIAAgACAAIAAgAFIATwBXAFMAKABhAHIAcgBhAHkAXwAzACkALAAgACAAIABrAIQgLAAgACAAIABSAE8AVwBTACgAYQByAHIAYQB5AF8ANAApACwAXABuAFwAbgAgACAAIAAgAC8ALwAgAEwAZQBuAGcAdABoACAAbwBmACAAegBpAHAAXABuACAAIAAgACAATABaACwAIAAgACAAIAAgACAAIAAgACAAIABDAEgATwBPAFMARQAoAG0ALABrAIEgLABcAG4AIAAgACAAIAAgACAAIAAgACAAIAAgACAAIAAgACAAIAAgACAAIAAgACAAIAAgACAAIAAgAGYAbgC7AygAawCBICwAawCCICkALABcAG4AIAAgACAAIAAgACAAIAAgACAAIAAgACAAIAAgACAAIAAgACAAIAAgACAAIAAgACAAIAAgAGYAbgC7AygAawCBICwAawCCICwAawCDICkALABcAG4AIAAgACAAIAAgACAAIAAgACAAIAAgACAAIAAgACAAIAAgACAAIAAgACAAIAAgACAAIAAgAGYAbgC7AygAawCBICwAawCCICwAawCDICwAawCEICkAKQAsAFwAbgBcAG4AIAAgACAAIAAvAC8AIABBAHIAcgBhAHkAcwAgAC0AIABuAG8AcgBtAGEAbABpAHoAZQBkACAAZgBvAHIAIAB6AGkAcAAgAG0AbwBkAGUAXABuACAAIAAgACAATgBvAHIAbQBhAGwAaQB6AGUAuwMsACAAIABMAEEATQBCAEQAQQAoAGEAcgByAGEAeQAsAFwAbgAgACAAIAAgACAAIAAgACAAIAAgACAAIAAgACAAIAAgACAAIAAgACAAIAAgACAAIABJAEYAKABaAGkAcABMAG8AbgBnAD8ALABFAFgAUABBAE4ARAAoAGEAcgByAGEAeQAsAEwAWgAsACwAZgBpAGwAbABfAHYAYQBsAHUAZQApACwAXABuACAAIAAgACAAIAAgACAAIAAgACAAIAAgACAAIAAgACAAIAAgACAAIAAgACAAIAAgACAAIAAgACAAIAAgACAAIAAgACAAIABUAEEASwBFACgAYQByAHIAYQB5ACwATABaACkAKQApACwAXABuAFwAbgAgACAAIAAgAGEALAAgACAAIAAgACAAIAAgACAAIAAgACAATgBvAHIAbQBhAGwAaQB6AGUAuwMoAGEAcgByAGEAeQBfADEAKQAsAFwAbgAgACAAIAAgAGIALAAgACAAIAAgACAAIAAgACAAIAAgACAATgBvAHIAbQBhAGwAaQB6AGUAuwMoAGEAcgByAGEAeQBfADIAKQAsAFwAbgAgACAAIAAgAGMALAAgACAAIAAgACAAIAAgACAAIAAgACAATgBvAHIAbQBhAGwAaQB6AGUAuwMoAGEAcgByAGEAeQBfADMAKQAsAFwAbgAgACAAIAAgAGQALAAgACAAIAAgACAAIAAgACAAIAAgACAATgBvAHIAbQBhAGwAaQB6AGUAuwMoAGEAcgByAGEAeQBfADQAKQAsAFwAbgAgACAAIAAgAFwAbgAgACAAIAAgAC8ALwAgAEEAcgByAGEAbgBnAGUAbQBlAG4AdABcAG4AIAAgACAAIAB6AGkAcABwAGUAZAAsACAAIAAgACAAIAAgAEMASABPAE8AUwBFACgAbQAsAGEALABcAG4AIAAgACAAIAAgACAAIAAgACAAIAAgACAAIAAgACAAIAAgACAAIAAgACAAIAAgACAAIAAgACAASABTAFQAQQBDAEsAKABhACwAYgApACwAXABuACAAIAAgACAAIAAgACAAIAAgACAAIAAgACAAIAAgACAAIAAgACAAIAAgACAAIAAgACAAIAAgAEgAUwBUAEEAQwBLACgAYQAsAGIALABjACkALABcAG4AIAAgACAAIAAgACAAIAAgACAAIAAgACAAIAAgACAAIAAgACAAIAAgACAAIAAgACAAIAAgACAASABTAFQAQQBDAEsAKABhACwAYgAsAGMALABkACkAKQAsAFwAbgAgACAAIAAgAHoAaQBwAHAAZQBkAFwAbgApACkAOwBcAG4AXABuAFwAbgBcAG4ALwAqACAAWwBTAEEAMQAzAF0AIAAtAC0ALQAtAC0ALQAtAC0ALQAtAC0ALQAtAC0ALQAtAC0ALQAtAC0ALQAtAC0ALQAtAC0ALQAtAC0ALQAtAC0ALQAtAC0ALQAtAC0ALQAtAC0ALQAtAC0ALQAtAC0ALQAtAC0ALQAtAC0ALQAtAC0ALQAtAC0ALQAtAC0ALQAtAC0ALQAtAC0ALQAtAC0ALQAtAFwAbgBGAHUAbgBjAHQAaQBvAG4AOgAgACAAIAAgACAAUwBsAGkAYwBlAEIAeQBEAGUAZwC7A1wAbgBDAGEAdABlAGcAbwByAHkAOgAgACAAIAAgACAAMgBEACAAQQByAHIAYQB5ACAAUwBoAGEAcABpAG4AZwBcAG4AQQB1AHQAaABvAHIAOgAgACAAIAAgACAAIAAgAFAAYQB0AHIAaQBjAGsAIABIAC4AXABuAFYAZQByAHMAaQBvAG4AOgAgACAAIAAgACAAIAAxAC4AMQBcAG4ARABlAHAAZQBuAGQAZQBuAGMAaQBlAHMAOgAgAEQARwByAGkAZAC7AywAIABEAGUAbABlAHQAZQBXAGgAZQByAGUAuwNcAG4AXABuAEQAZQBzAGMAcgBpAHAAdABpAG8AbgA6AFwAbgAgACAAIAAgAEUAeAB0AHIAYQBjAHQAcwAgAGEAbgAgAGEAbgBnAHUAbABhAHIAIABzAGwAaQBjAGUAIABmAHIAbwBtACAAYQAgADIARAAgAGEAcgByAGEAeQAgAHUAcwBpAG4AZwAgAGQAZQBnAHIAZQBlACAAYgBvAHUAbgBkAHMAIABpAG4AIABhACAAMACwACAALQAgADMANgAwALAAXABuACAAIAAgACAAYwBpAHIAYwB1AGwAYQByACAAcwB5AHMAdABlAG0ALgAgAFQAaABlACAAcwBsAGkAYwBlACAAcAByAGUAcwBlAHIAdgBlAHMAIAB0AGgAZQAgAG8AcgBpAGcAaQBuAGEAbAAgAGcAZQBvAG0AZQB0AHIAeQAuACAASQBmACAAbQBhAHgAXwBkAGUAZwByAGUAZQAgAGkAcwBcAG4AIAAgACAAIABvAG0AaQB0AHQAZQBkACwAIABpAHQAIABkAGUAZgBhAHUAbAB0AHMAIAB0AG8AIAAzADYAMACwAC4AXABuAFwAbgAgACAAIAAgAFcAcgBhAHAAESBhAHIAbwB1AG4AZAAgAGkAcwAgAHMAdQBwAHAAbwByAHQAZQBkADoAXABuACAAIAAgACAAIAAgACAAIAAiICAASQBmACAAbQBpAG4AXwBkAGUAZwByAGUAZQAgADwAPQAgAG0AYQB4AF8AZABlAGcAcgBlAGUAOgBcAG4AIAAgACAAIAAgACAAIAAgACAAIAAgACAAIAAgAHMAbABpAGMAZQAgAD0AIABbAG0AaQBuAF8AZABlAGcAcgBlAGUALAAgAG0AYQB4AF8AZABlAGcAcgBlAGUAXQBcAG4AIAAgACAAIAAgACAAIAAgACIgIABJAGYAIABtAGkAbgBfAGQAZQBnAHIAZQBlACAAPgAgAG0AYQB4AF8AZABlAGcAcgBlAGUAOgBcAG4AIAAgACAAIAAgACAAIAAgACAAIAAgACAAIAAgAHMAbABpAGMAZQAgAGMAcgBvAHMAcwBlAHMAIAAzADYAMACwACAAkiEgADAAsAAgAGEAbgBkACAAaQBuAGMAbAB1AGQAZQBzADoAXABuACAAIAAgACAAIAAgACAAIAAgACAAIAAgACAAIAAgACAAIAAgAGEAbgBnAGwAZQBzACAAPgA9ACAAbQBpAG4AXwBkAGUAZwByAGUAZQAgACAATwBSACAAIABhAG4AZwBsAGUAcwAgADwAPQAgAG0AYQB4AF8AZABlAGcAcgBlAGUAXABuAFwAbgAgACAAIAAgAFYAYQBsAHUAZQBzACAAbwB1AHQAcwBpAGQAZQAgAHQAaABlACAAcwBsAGkAYwBlACAAYQByAGUAIAByAGUAcABsAGEAYwBlAGQAIAB3AGkAdABoACAAZgBpAGwAbABfAHYAYQBsAHUAZQAgACgAZABlAGYAYQB1AGwAdAAgAD0AIABcACIAXAAiACkALgBcAG4AXABuAFAAYQByAGEAbQBlAHQAZQByAHMAOgBcAG4AIAAgACAAIABnAHIAaQBkACAAIAAgACAAIAAgACAAIAAgACAALQAgADIARAAgAGEAcgByAGEAeQAgAHQAbwAgAHMAbABpAGMAZQAuAFwAbgAgACAAIAAgAG0AaQBuAF8AZABlAGcAcgBlAGUAIAAgACAAIAAtACAAUwB0AGEAcgB0AGkAbgBnACAAZABlAGcAcgBlAGUAIAAoADAALQAzADYAMAApAC4AXABuAFwAbgBPAHAAdABpAG8AbgBhAGwAOgBcAG4AIAAgACAAIABbAG0AYQB4AF8AZABlAGcAcgBlAGUAXQAgACAALQAgAEUAbgBkAGkAbgBnACAAZABlAGcAcgBlAGUAIAAoAGQAZQBmAGEAdQBsAHQAIAA9ACAAMwA2ADAAKQAuAFwAbgAgACAAIAAgAFsAZgBpAGwAbABfAHYAYQBsAHUAZQBdACAAIAAtACAARgBpAGwAbAAgAHYAYQBsAHUAZQAgAGYAbwByACAAbwB1AHQAESBvAGYAESBzAGwAaQBjAGUAIABjAGUAbABsAHMAIAAoAGQAZQBmAGEAdQBsAHQAIAA9ACAAXAAiAFwAIgApAC4AXABuAFwAbgBOAG8AdABlAHMAOgBcAG4AIAAgACAAIAAiICAAVQBzAGUAcwAgAEQARwByAGkAZAC7AyAAdABvACAAYwBvAG0AcAB1AHQAZQAgAHAAZQByABEgYwBlAGwAbAAgAGEAbgBnAGwAZQBzAC4AXABuACAAIAAgACAAIiAgAEQAZQBsAGUAdABlAFcAaABlAHIAZQC7AyAAcgBlAG0AbwB2AGUAcwAgAE4AQQAoACkAIAB3AGgAaQBsAGUAIABwAHIAZQBzAGUAcgB2AGkAbgBnACAAcwBoAGEAcABlAC4AXABuAC0ALQAtAC0ALQAtAC0ALQAtAC0ALQAtAC0ALQAtAC0ALQAtAC0ALQAtAC0ALQAtAC0ALQAtAC0ALQAtAC0ALQAtAC0ALQAtAC0ALQAtAC0ALQAtAC0ALQAtAC0ALQAtAC0ALQAtAC0ALQAtAC0ALQAtAC0ALQAtAC0ALQAtAC0ALQAtAC0ALQAtAC0ALQAtAC0ALQAtAC0ALQAtACoALwBcAG4AXABuAFMAbABpAGMAZQBCAHkARABlAGcAuwMgAD0AXABuAEwAQQBNAEIARABBACgAXABuACAAIAAgACAAZwByAGkAZAAsAFwAbgAgACAAIAAgAG0AaQBuAF8AZABlAGcAcgBlAGUALABcAG4AIAAgACAAIABbAG0AYQB4AF8AZABlAGcAcgBlAGUAXQAsAFwAbgAgACAAIAAgAFsAZgBpAGwAbABfAHYAYQBsAHUAZQBdACwAXABuAEwARQBUACgAXABuACAAIAAgACAALwAvACAATwBwAHQAaQBvAG4AYQBsACAAcABhAHIAYQBtAGUAdABlAHIAcwBcAG4AIAAgACAAIABtAGEAeABfAGQAZQBnAHIAZQBlACwAIAAgACAAIAAgAEkARgAoAEkAUwBPAE0ASQBUAFQARQBEACgAbQBhAHgAXwBkAGUAZwByAGUAZQApACwAIAAzADYAMAAsACAAbQBhAHgAXwBkAGUAZwByAGUAZQApACwAXABuACAAIAAgACAAZgBpAGwAbABfAHYAYQBsAHUAZQAsACAAIAAgACAAIABJAEYAKABJAFMATwBNAEkAVABUAEUARAAoAGYAaQBsAGwAXwB2AGEAbAB1AGUAKQAsACAAXAAiAFwAIgAsACAAZgBpAGwAbABfAHYAYQBsAHUAZQApACwAXABuAFwAbgAgACAAIAAgAC8ALwAgAFYAYQBsAGkAZABhAHQAaQBvAG4AXABuACAAIAAgACAASQBuAHYAYQBsAGkAZABEAGUAZwA/ACwAIAAgACAAIABPAFIAKABJAFMAVABFAFgAVAAoAG0AaQBuAF8AZABlAGcAcgBlAGUAKQAsAFwAbgAgACAAIAAgACAAIAAgACAAIAAgACAAIAAgACAAIAAgACAAIAAgACAAIAAgACAASQBTAFQARQBYAFQAKABtAGEAeABfAGQAZQBnAHIAZQBlACkALABcAG4AIAAgACAAIAAgACAAIAAgACAAIAAgACAAIAAgACAAIAAgACAAIAAgACAAIAAgAG0AaQBuAF8AZABlAGcAcgBlAGUAIAA8ACAAMAAsACAAbQBpAG4AXwBkAGUAZwByAGUAZQAgAD4AIAAzADYAMAAsAFwAbgAgACAAIAAgACAAIAAgACAAIAAgACAAIAAgACAAIAAgACAAIAAgACAAIAAgACAAbQBhAHgAXwBkAGUAZwByAGUAZQAgADwAIAAwACwAIABtAGEAeABfAGQAZQBnAHIAZQBlACAAPgAgADMANgAwACkALABcAG4AXABuACAAIAAgACAASQBGACgASQBuAHYAYQBsAGkAZABEAGUAZwA/ACwAIABcACIAIwBEAEUARwBSAEUARQAhAFwAIgAsAFwAbgBcAG4ATABFAFQAKABcAG4AIAAgACAAIAAvAC8AIABBAG4AZwBsAGUAIABmAGkAZQBsAGQAIAAoADAAEyAzADYAMAApAFwAbgAgACAAIAAgAGQALAAgACAAIAAgACAAIAAgACAAIAAgACAAIAAgACAARABHAHIAaQBkALsDKABnAHIAaQBkACkALABcAG4AXABuACAAIAAgACAALwAvACAAVwByAGEAcAARIGEAdwBhAHIAZQAgAG0AYQBzAGsAXABuACAAIAAgACAAbQBhAHMAawAsACAAIAAgACAAIAAgACAAIAAgACAAIABJAEYAKABtAGkAbgBfAGQAZQBnAHIAZQBlACAAPAA9ACAAbQBhAHgAXwBkAGUAZwByAGUAZQAsAFwAbgAgACAAIAAgACAAIAAgACAAIAAgACAAIAAgACAAIAAgACAAIAAgACAAIAAgACAAIAAoAGQAIAA+AD0AIABtAGkAbgBfAGQAZQBnAHIAZQBlACkAIAAqACAAKABkACAAPAA9ACAAbQBhAHgAXwBkAGUAZwByAGUAZQApACwAXABuACAAIAAgACAAIAAgACAAIAAgACAAIAAgACAAIAAgACAAIAAgACAAIAAgACAAIAAgACgAZAAgAD4APQAgAG0AaQBuAF8AZABlAGcAcgBlAGUAKQAgACsAIAAoAGQAIAA8AD0AIABtAGEAeABfAGQAZQBnAHIAZQBlACkAKQAsAFwAbgBcAG4AIAAgACAAIAAvAC8AIABBAHAAcABsAHkAIABtAGEAcwBrAFwAbgAgACAAIAAgAG0AYQBzAGsAZQBkACwAIAAgACAAIAAgACAAIAAgACAASQBGACgAbQBhAHMAawAsACAAZwByAGkAZAAsACAATgBBACgAKQApACwAXABuAFwAbgAgACAAIAAgAC8ALwAgAFIAZQBtAG8AdgBlACAATgBBACAAYgB1AHQAIABwAHIAZQBzAGUAcgB2AGUAIABzAGgAYQBwAGUAXABuACAAIAAgACAAYwBsAGUAYQBuAGUAZAAsACAAIAAgACAAIAAgACAAIABEAGUAbABlAHQAZQBXAGgAZQByAGUAuwMoAG0AYQBzAGsAZQBkACwAIABMAEEATQBCAEQAQQAoAHYALAAgAEEATgBEACgASQBTAE4AQQAoAHYAKQApACkAKQAsAFwAbgBcAG4AIAAgACAAIAAvAC8AIABSAGUAcABsAGEAYwBlACAAcgBlAG0AbwB2AGUAZAAgAHYAYQBsAHUAZQBzACAAdwBpAHQAaAAgAGYAaQBsAGwAXwB2AGEAbAB1AGUAXABuACAAIAAgACAAcgBlAHMAdQBsAHQALAAgACAAIAAgACAAIAAgACAAIABJAEYATgBBACgAYwBsAGUAYQBuAGUAZAAsACAAZgBpAGwAbABfAHYAYQBsAHUAZQApACwAXABuAFwAbgAgACAAIAAgAHIAZQBzAHUAbAB0AFwAbgApACkAKQApADsAXABuAFwAbgBcAG4AXABuAC8AKgAgAFsAUwBBADEANABdACAALQAtAC0ALQAtAC0ALQAtAC0ALQAtAC0ALQAtAC0ALQAtAC0ALQAtAC0ALQAtAC0ALQAtAC0ALQAtAC0ALQAtAC0ALQAtAC0ALQAtAC0ALQAtAC0ALQAtAC0ALQAtAC0ALQAtAC0ALQAtAC0ALQAtAC0ALQAtAC0ALQAtAC0ALQAtAC0ALQAtAC0ALQAtAC0ALQBcAG4ARgB1AG4AYwB0AGkAbwBuADoAIAAgACAAIAAgAFAAYQBkALsDXABuAEMAYQB0AGUAZwBvAHIAeQA6ACAAIAAgACAAIAAyAEQAIABBAHIAcgBhAHkAIABTAGgAYQBwAGkAbgBnAFwAbgBBAHUAdABoAG8AcgA6ACAAIAAgACAAIAAgACAAUABhAHQAcgBpAGMAawAgAEgALgBcAG4AVgBlAHIAcwBpAG8AbgA6ACAAIAAgACAAIAAgADEALgAxAFwAbgBEAGUAcABlAG4AZABlAG4AYwBpAGUAcwA6ACAASQBuAHMAdQBsAGEAdABlAFIAbwB3AHMAuwMsACAASQBuAHMAdQBsAGEAdABlAEMAbwBsAHMAuwNcAG4AXABuAEQAZQBzAGMAcgBpAHAAdABpAG8AbgA6AFwAbgAgACAAIAAgAEEAcABwAGwAaQBlAHMAIAByAG8AdwAgAGEAbgBkAC8AbwByACAAYwBvAGwAdQBtAG4AIABwAGEAZABkAGkAbgBnACAAdABvACAAYQBuAHkAIABhAHIAcgBhAHkALgAgAFAAYQBkALsDIABnAGUAbgBlAHIAYQBsAGkAegBlAHMAIAB0AGgAZQAgAGIAZQBoAGEAdgBpAG8AcgBcAG4AIAAgACAAIABvAGYAIABJAG4AcwB1AGwAYQB0AGUAUgBvAHcAcwC7AyAAYQBuAGQAIABJAG4AcwB1AGwAYQB0AGUAQwBvAGwAcwC7AyAAYgB5ACAAYQBsAGwAbwB3AGkAbgBnACAAYQBsAGwAIABmAG8AdQByACAAcwBpAGQAZQBzACAAbwBmACAAYQBuACAAYQByAHIAYQB5ACAAdABvAFwAbgAgACAAIAAgAGIAZQAgAHAAYQBkAGQAZQBkACAAaQBuACAAYQAgAHMAaQBuAGcAbABlACAAbwBwAGUAcgBhAHQAaQBvAG4ALgAgAFAAYQBkAGQAaQBuAGcAIABjAG8AdQBuAHQAcwAgAG0AYQB5ACAAYgBlACAAcwB1AHAAcABsAGkAZQBkACAAaQBuAGQAZQBwAGUAbgBkAGUAbgB0AGwAeQBcAG4AIAAgACAAIABvAHIAIABvAG0AaQB0AHQAZQBkACAAZgBvAHIAIABjAG8AbgB2AGUAbgBpAGUAbgBjAGUALgBcAG4AXABuAFAAYQByAGEAbQBlAHQAZQByAHMAOgBcAG4AIAAgACAAIABhAHIAcgBhAHkAIAAgACAAIAAgACAAIAAgACAAIAAtACAASQBuAHAAdQB0ACAAYQByAHIAYQB5ACAAKABzAGMAYQBsAGEAcgAsACAAMQBEACwAIABvAHIAIAAyAEQAKQAuAFwAbgAgACAAIAAgAHIAbwB3AHMAXwBiAGUAZgBvAHIAZQAgACAAIAAgAC0AIABSAG8AdwBzACAAdABvACAAcABhAGQAIABhAGIAbwB2AGUAIAB0AGgAZQAgAGEAcgByAGEAeQAuAFwAbgBcAG4ATwBwAHQAaQBvAG4AYQBsADoAXABuACAAIAAgACAAWwByAG8AdwBzAF8AYQBmAHQAZQByAF0AIAAgACAALQAgAFIAbwB3AHMAIAB0AG8AIABwAGEAZAAgAGIAZQBsAG8AdwAgACgAZABlAGYAYQB1AGwAdABzACAAdABvACAAcgBvAHcAcwBfAGIAZQBmAG8AcgBlACkALgBcAG4AIAAgACAAIABbAGMAbwBsAHMAXwBiAGUAZgBvAHIAZQBdACAAIAAtACAAQwBvAGwAdQBtAG4AcwAgAHQAbwAgAHAAYQBkACAAbABlAGYAdAAgACgAZABlAGYAYQB1AGwAdABzACAAdABvACAAcgBvAHcAcwBfAGIAZQBmAG8AcgBlACkALgBcAG4AIAAgACAAIABbAGMAbwBsAHMAXwBhAGYAdABlAHIAXQAgACAAIAAtACAAQwBvAGwAdQBtAG4AcwAgAHQAbwAgAHAAYQBkACAAcgBpAGcAaAB0ACAAKABkAGUAZgBhAHUAbAB0AHMAIAB0AG8AIAByAG8AdwBzAF8AYgBlAGYAbwByAGUAKQAuAFwAbgAgACAAIAAgAFsAcABhAGQAXwB3AGkAdABoAF0AIAAgACAAIAAgAC0AIABTAGMAYQBsAGEAcgAgAHAAYQBkAGQAaQBuAGcAIAB2AGEAbAB1AGUAIAAoAGQAZQBmAGEAdQBsAHQAIAA9ACAAXAAiAFwAIgApAC4AXABuAFwAbgBOAG8AdABlAHMAOgBcAG4AIAAgACAAIAAiICAAQQBuAHkAIABvAG0AaQB0AHQAZQBkACAAcABhAGQAZABpAG4AZwAgAGMAbwB1AG4AdAAgAGQAZQBmAGEAdQBsAHQAcwAgAHQAbwAgAHIAbwB3AHMAXwBiAGUAZgBvAHIAZQBcAG4AIAAgACAAIAAgACAAKABUAGgAaQBzACAAYQBsAGwAbwB3AHMAIABmAG8AcgAgAGUAYQBzAHkAIABwAGEAZABkAGkAbgBnADoAXABuACAAIAAgACAAIAAgACAAIAAgACAAIAAgACAAIAAgACAAIAAgACAAIAAgACAAIAAgACAAIAAgACAAIAAgACAAIAAgACAAIAAgAD0AUABhAGQAuwMoAGEAcgByAGEAeQAsADMAKQBcAG4AIAAgACAAIAAgACAAIAAgACAAIAAgACAAIAAgACAAIAAgACAAIAAgACAAIAAgACAAIAAgACAAIAAgACAAIAAgACAAIAAgACAAYQBkAGQAcwAgAHAAYQBkAGQAaQBuAGcAIABjAG8AdQBuAHQAIABvAGYAIAAzACAAYQBsAGwAIABhAHIAbwB1AG4AZAAgAHQAaABlACAAaQBuAHAAdQB0ACAAYQByAHIAYQB5ACkAXABuACAAIAAgACAAIiAgAE4AZQBnAGEAdABpAHYAZQAgAG8AcgAgAHQAZQB4AHQAIABwAGEAZABkAGkAbgBnACAAYwBvAHUAbgB0AHMAIAByAGUAdAB1AHIAbgAgAFwAIgAjAFQARQBYAFQALQBQAEEARAAhAFwAIgAuAFwAbgAgACAAIAAgACIgIABEAGUAbABlAGcAYQB0AGUAcwAgAHIAbwB3ACAAcABhAGQAZABpAG4AZwAgAHQAbwAgAEkAbgBzAHUAbABhAHQAZQBSAG8AdwBzALsDIABhAG4AZAAgAGMAbwBsAHUAbQBuACAAcABhAGQAZABpAG4AZwAgAHQAbwAgAEkAbgBzAHUAbABhAHQAZQBDAG8AbABzALsDLgBcAG4ALQAtAC0ALQAtAC0ALQAtAC0ALQAtAC0ALQAtAC0ALQAtAC0ALQAtAC0ALQAtAC0ALQAtAC0ALQAtAC0ALQAtAC0ALQAtAC0ALQAtAC0ALQAtAC0ALQAtAC0ALQAtAC0ALQAtAC0ALQAtAC0ALQAtAC0ALQAtAC0ALQAtAC0ALQAtAC0ALQAtAC0ALQAtAC0ALQAtAC0ALQAtAC0AKgAvAFwAbgBcAG4AUABhAGQAuwMgAD0AXABuAEwAQQBNAEIARABBACgAXABuACAAIAAgACAAYQByAHIAYQB5ACwAXABuACAAIAAgACAAcgBvAHcAcwBfAGIAZQBmAG8AcgBlACwAXABuACAAIAAgACAAWwByAG8AdwBzAF8AYQBmAHQAZQByAF0ALABcAG4AIAAgACAAIABbAGMAbwBsAHMAXwBiAGUAZgBvAHIAZQBdACwAXABuACAAIAAgACAAWwBjAG8AbABzAF8AYQBmAHQAZQByAF0ALABcAG4AIAAgACAAIABbAHAAYQBkAF8AdwBpAHQAaABdACwAXABuAEwARQBUACgAXABuACAAIAAgACAALwAvACAAUwBjAGEAbABhAHIAaQB6AGUAIABhAG4AeQAgAGEAcgByAGEAeQAgAGkAbgBwAHUAdABzAFwAbgAgACAAIAAgAEkAuwMsACAAIAAgACAAIAAgACAAIAAgACAAIAAgACAAIAAgACAAIABMAEEATQBCAEQAQQAoAHgALAAgAEkATgBEAEUAWAAoAHgALAAgADEALAAgADEAKQApACwAXABuAFwAbgAgACAAIAAgAC8ALwAgAFIAZQBzAG8AbAB2AGUAIABwAGEAZABkAGkAbgBnACAAYwBvAHUAbgB0AHMAIAAoAG8AbQBpAHQAdABlAGQAIACSISAAcgBvAHcAcwBfAGIAZQBmAG8AcgBlACkAXABuACAAIAAgACAAcgBvAHcAcwBfAGIAZQBmAG8AcgBlACwAIAAgACAAIAAgACAAIAAgAEkAuwMoAHIAbwB3AHMAXwBiAGUAZgBvAHIAZQApACwAXABuACAAIAAgACAAcgBvAHcAcwBfAGEAZgB0AGUAcgAsACAAIAAgACAAIAAgACAAIAAgAEkAuwMoAEkARgAoAEkAUwBPAE0ASQBUAFQARQBEACgAcgBvAHcAcwBfAGEAZgB0AGUAcgApACwAIAByAG8AdwBzAF8AYgBlAGYAbwByAGUALAAgAHIAbwB3AHMAXwBhAGYAdABlAHIAKQApACwAXABuACAAIAAgACAAYwBvAGwAcwBfAGIAZQBmAG8AcgBlACwAIAAgACAAIAAgACAAIAAgAEkAuwMoAEkARgAoAEkAUwBPAE0ASQBUAFQARQBEACgAYwBvAGwAcwBfAGIAZQBmAG8AcgBlACkALAAgAHIAbwB3AHMAXwBiAGUAZgBvAHIAZQAsACAAYwBvAGwAcwBfAGIAZQBmAG8AcgBlACkAKQAsAFwAbgAgACAAIAAgAGMAbwBsAHMAXwBhAGYAdABlAHIALAAgACAAIAAgACAAIAAgACAAIABJALsDKABJAEYAKABJAFMATwBNAEkAVABUAEUARAAoAGMAbwBsAHMAXwBhAGYAdABlAHIAKQAsACAAcgBvAHcAcwBfAGIAZQBmAG8AcgBlACwAIABjAG8AbABzAF8AYQBmAHQAZQByACkAKQAsAFwAbgBcAG4AIAAgACAAIAAvAC8AIABWAGEAbABpAGQAYQB0AGUAIABwAGEAZABkAGkAbgBnACAAYwBvAHUAbgB0AHMAXABuACAAIAAgACAASQBuAHYAYQBsAGkAZABJAG4AcwA/ACwAIAAgACAAIAAgACAAIAAgAE8AUgAoAEkAUwBUAEUAWABUACgAcgBvAHcAcwBfAGIAZQBmAG8AcgBlACkALABcAG4AIAAgACAAIAAgACAAIAAgACAAIAAgACAAIAAgACAAIAAgACAAIAAgACAAIAAgACAAIAAgACAASQBTAFQARQBYAFQAKAByAG8AdwBzAF8AYQBmAHQAZQByACkALABcAG4AIAAgACAAIAAgACAAIAAgACAAIAAgACAAIAAgACAAIAAgACAAIAAgACAAIAAgACAAIAAgACAASQBTAFQARQBYAFQAKABjAG8AbABzAF8AYgBlAGYAbwByAGUAKQAsAFwAbgAgACAAIAAgACAAIAAgACAAIAAgACAAIAAgACAAIAAgACAAIAAgACAAIAAgACAAIAAgACAAIABJAFMAVABFAFgAVAAoAGMAbwBsAHMAXwBhAGYAdABlAHIAKQApACwAXABuAFwAbgAgACAAIAAgAEkARgAoAEkAbgB2AGEAbABpAGQASQBuAHMAPwAsACAAXAAiACMAVABFAFgAVAAtAFAAQQBEACEAXAAiACwAXABuAFwAbgBMAEUAVAAoAFwAbgAgACAAIAAgAC8ALwAgAEEAcABwAGwAeQAgAHIAbwB3ACAAcABhAGQAZABpAG4AZwBcAG4AIAAgACAAIABwAGEAZABkAGUAZABfAHIAbwB3AHMALAAgACAAIAAgACAAIAAgACAASQBuAHMAdQBsAGEAdABlAFIAbwB3AHMAuwMoAGEAcgByAGEAeQAsACAAcgBvAHcAcwBfAGIAZQBmAG8AcgBlACwAIAByAG8AdwBzAF8AYQBmAHQAZQByACwAIABwAGEAZABfAHcAaQB0AGgAKQAsAFwAbgBcAG4AIAAgACAAIAAvAC8AIABBAHAAcABsAHkAIABjAG8AbAB1AG0AbgAgAHAAYQBkAGQAaQBuAGcAXABuACAAIAAgACAAcABhAGQAZABlAGQAXwBhAGwAbAAsACAAIAAgACAAIAAgACAAIAAgAEkAbgBzAHUAbABhAHQAZQBDAG8AbABzALsDKABwAGEAZABkAGUAZABfAHIAbwB3AHMALAAgAGMAbwBsAHMAXwBiAGUAZgBvAHIAZQAsACAAYwBvAGwAcwBfAGEAZgB0AGUAcgAsACAAcABhAGQAXwB3AGkAdABoACkALABcAG4AXABuACAAIAAgACAAcABhAGQAZABlAGQAXwBhAGwAbABcAG4AKQApACkAKQA7AFwAbgBcAG4AXABuAFwAbgAvACoAIABbAFMAQQAxADUAXQAgAC0ALQAtAC0ALQAtAC0ALQAtAC0ALQAtAC0ALQAtAC0ALQAtAC0ALQAtAC0ALQAtAC0ALQAtAC0ALQAtAC0ALQAtAC0ALQAtAC0ALQAtAC0ALQAtAC0ALQAtAC0ALQAtAC0ALQAtAC0ALQAtAC0ALQAtAC0ALQAtAC0ALQAtAC0ALQAtAC0ALQAtAC0ALQBcAG4ARgB1AG4AYwB0AGkAbwBuADoAIAAgACAAIAAgAEkAbgBzAHUAbABhAHQAZQBSAG8AdwBzALsDXABuAEMAYQB0AGUAZwBvAHIAeQA6ACAAIAAgACAAIAAyAEQAIABBAHIAcgBhAHkAIABTAGgAYQBwAGkAbgBnACAAKABQAGEAZABkAGkAbgBnACkAXABuAEEAdQB0AGgAbwByADoAIAAgACAAIAAgACAAIABQAGEAdAByAGkAYwBrACAASAAuAFwAbgBWAGUAcgBzAGkAbwBuADoAIAAgACAAIAAgACAAMQAuADEAXABuAFwAbgBEAGUAcwBjAHIAaQBwAHQAaQBvAG4AOgBcAG4AIAAgACAAIABBAGQAZABzACAAcgBvAHcAcwAgAG8AZgAgAHAAYQBkAGQAaQBuAGcAIABiAGUAZgBvAHIAZQAgAGEAbgBkAC8AbwByACAAYQBmAHQAZQByACAAYQBuACAAaQBuAHAAdQB0ACAAYQByAHIAYQB5AC4AIABJAG4AcwB1AGwAYQB0AGUAUgBvAHcAcwC7A1wAbgAgACAAIAAgAGcAZQBuAGUAcgBhAGwAaQB6AGUAcwAgAEUAWABQAEEATgBEACAAYgB5ACAAcwB1AHAAcABvAHIAdABpAG4AZwAgAHMAeQBtAG0AZQB0AHIAaQBjAGEAbAAgAHAAYQBkAGQAaQBuAGcALAAgAHoAZQByAG8AESBwAGEAZABkAGkAbgBnACAAbwBuACAAZQBpAHQAaABlAHIAXABuACAAIAAgACAAcwBpAGQAZQAsACAAYQBuAGQAIABzAGMAYQBsAGEAcgBpAHoAZQBkACAAcABhAGQAZABpAG4AZwAgAHYAYQBsAHUAZQBzAC4AXABuAFwAbgBQAGEAcgBhAG0AZQB0AGUAcgBzADoAXABuACAAIAAgACAAYQByAHIAYQB5ACAAIAAgACAAIAAgACAAIAAgAC0AIABJAG4AcAB1AHQAIABhAHIAcgBhAHkAIAAoAHMAYwBhAGwAYQByACwAIAAxAEQALAAgAG8AcgAgADIARAApAC4AXABuACAAIAAgACAAcgBvAHcAcwBfAGIAZQBmAG8AcgBlACAAIAAgAC0AIABSAG8AdwBzACAAdABvACAAcABhAGQAIABhAGIAbwB2AGUAIAB0AGgAZQAgAGEAcgByAGEAeQAuAFwAbgBcAG4ATwBwAHQAaQBvAG4AYQBsADoAXABuACAAIAAgACAAWwByAG8AdwBzAF8AYQBmAHQAZQByAF0AIAAgAC0AIABSAG8AdwBzACAAdABvACAAcABhAGQAIABiAGUAbABvAHcAIAAoAGQAZQBmAGEAdQBsAHQAcwAgAHQAbwAgAHIAbwB3AHMAXwBiAGUAZgBvAHIAZQApAC4AXABuACAAIAAgACAAWwBwAGEAZABfAHcAaQB0AGgAXQAgACAAIAAgAC0AIABTAGMAYQBsAGEAcgAgAHAAYQBkAGQAaQBuAGcAIAB2AGEAbAB1AGUAIAAoAGQAZQBmAGEAdQBsAHQAIAA9ACAAXAAiAFwAIgApAC4AXABuAFwAbgBOAG8AdABlAHMAOgBcAG4AIAAgACAAIAAiICAASQBmACAAYgBvAHQAaAAgAHIAbwB3AHMAXwBiAGUAZgBvAHIAZQAgAGEAbgBkACAAcgBvAHcAcwBfAGEAZgB0AGUAcgAgAD0AIAAwACwAIAB0AGgAZQAgAGkAbgBwAHUAdAAgAGEAcgByAGEAeQAgAGkAcwAgAHIAZQB0AHUAcgBuAGUAZAAuAFwAbgAgACAAIAAgACIgIAByAG8AdwBzAF8AYQBmAHQAZQByACAAZABlAGYAYQB1AGwAdABzACAAdABvACAAcgBvAHcAcwBfAGIAZQBmAG8AcgBlACAAdQBuAGwAZQBzAHMAIABlAHgAcABsAGkAYwBpAHQAbAB5ACAAcwBlAHQAIAB0AG8AIAAwAC4AXABuACAAIAAgACAAIiAgAHAAYQBkAF8AdwBpAHQAaAAgAGkAcwAgAHMAYwBhAGwAYQByAGkAegBlAGQAIAB0AG8AIABhACAAMQDXADEAIAB2AGEAbAB1AGUALgBcAG4AIAAgACAAIAAiICAATgBlAGcAYQB0AGkAdgBlACAAbwByACAAdABlAHgAdAAgAHAAYQBkAGQAaQBuAGcAIABjAG8AdQBuAHQAcwAgAHIAZQB0AHUAcgBuACAAXAAiACMAUgBPAFcAUwAtAEIARQBGAE8AUgBFAC8AQQBGAFQARQBSACEAXAAiAC4AXABuAC0ALQAtAC0ALQAtAC0ALQAtAC0ALQAtAC0ALQAtAC0ALQAtAC0ALQAtAC0ALQAtAC0ALQAtAC0ALQAtAC0ALQAtAC0ALQAtAC0ALQAtAC0ALQAtAC0ALQAtAC0ALQAtAC0ALQAtAC0ALQAtAC0ALQAtAC0ALQAtAC0ALQAtAC0ALQAtAC0ALQAtAC0ALQAtAC0ALQAtAC0ALQAtACoALwBcAG4AXABuAEkAbgBzAHUAbABhAHQAZQBSAG8AdwBzALsDIAA9AFwAbgBMAEEATQBCAEQAQQAoAFwAbgAgACAAIAAgAGEAcgByAGEAeQAsAFwAbgAgACAAIAAgAHIAbwB3AHMAXwBiAGUAZgBvAHIAZQAsAFwAbgAgACAAIAAgAFsAcgBvAHcAcwBfAGEAZgB0AGUAcgBdACwAXABuACAAIAAgACAAWwBwAGEAZABfAHcAaQB0AGgAXQAsAFwAbgBMAEUAVAAoAFwAbgAgACAAIAAgAC8ALwAgAEQAaQBtAGUAbgBzAGkAbwBuAHMAXABuACAAIAAgACAAaAAsACAAIAAgACAAIAAgACAAIAAgACAAIAAgACAAIAAgACAAIAAgAFIATwBXAFMAKABhAHIAcgBhAHkAKQAsAFwAbgAgACAAIAAgAHcALAAgACAAIAAgACAAIAAgACAAIAAgACAAIAAgACAAIAAgACAAIABDAE8ATABVAE0ATgBTACgAYQByAHIAYQB5ACkALABcAG4AXABuACAAIAAgACAALwAvACAATwBwAHQAaQBvAG4AYQBsACAAcABhAHIAYQBtAGUAdABlAHIAcwBcAG4AIAAgACAAIAByAG8AdwBzAF8AYQBmAHQAZQByACwAIAAgACAAIAAgACAAIAAgACAASQBGACgASQBTAE8ATQBJAFQAVABFAEQAKAByAG8AdwBzAF8AYQBmAHQAZQByACkALAAgAHIAbwB3AHMAXwBiAGUAZgBvAHIAZQAsACAAcgBvAHcAcwBfAGEAZgB0AGUAcgApACwAXABuACAAIAAgACAAcABhAGQAXwB3AGkAdABoACwAIAAgACAAIAAgACAAIAAgACAAIAAgAEkATgBEAEUAWAAoAEkARgAoAEkAUwBPAE0ASQBUAFQARQBEACgAcABhAGQAXwB3AGkAdABoACkALAAgAFwAIgBcACIALAAgAHAAYQBkAF8AdwBpAHQAaAApACwAIAAxACwAIAAxACkALABcAG4AXABuACAAIAAgACAALwAvACAAVgBhAGwAaQBkAGEAdABpAG8AbgBcAG4AIAAgACAAIABJAG4AdgBhAGwAaQBkAFAAYQBkAEMAbwB1AG4AdAA/ACwAIAAgACAATwBSACgASQBTAFQARQBYAFQAKAByAG8AdwBzAF8AYgBlAGYAbwByAGUAKQAsAFwAbgAgACAAIAAgACAAIAAgACAAIAAgACAAIAAgACAAIAAgACAAIAAgACAAIAAgACAAIAAgACAAIABJAFMAVABFAFgAVAAoAHIAbwB3AHMAXwBhAGYAdABlAHIAKQAsAFwAbgAgACAAIAAgACAAIAAgACAAIAAgACAAIAAgACAAIAAgACAAIAAgACAAIAAgACAAIAAgACAAIAByAG8AdwBzAF8AYgBlAGYAbwByAGUAIAA8ACAAMAAsAFwAbgAgACAAIAAgACAAIAAgACAAIAAgACAAIAAgACAAIAAgACAAIAAgACAAIAAgACAAIAAgACAAIAByAG8AdwBzAF8AYQBmAHQAZQByACAAPAAgADAAKQAsAFwAbgBcAG4AIAAgACAAIAAvAC8AIABOAG8AESBwAGEAZABkAGkAbgBnACAAcwBjAGUAbgBhAHIAaQBvAFwAbgAgACAAIAAgAE4AbwBQAGEAZABkAGkAbgBnAD8ALAAgACAAIAAgACAAIAAgACAAIABBAE4ARAAoAHIAbwB3AHMAXwBiAGUAZgBvAHIAZQAgAD0AIAAwACwAIAByAG8AdwBzAF8AYQBmAHQAZQByACAAPQAgADAAKQAsAFwAbgBcAG4ALwAvACAATABvAGcAaQBjACAAZwBhAHQAZQBcAG4AIAAgACAAIABJAEYAKABJAG4AdgBhAGwAaQBkAFAAYQBkAEMAbwB1AG4AdAA/ACwAIABcACIAIwBSAE8AVwBTAC0AQgBFAEYATwBSAEUALwBBAEYAVABFAFIAIQBcACIALABcAG4AXABuACAAIAAgACAAIAAgACAAIABJAEYAKABOAG8AUABhAGQAZABpAG4AZwA/ACwAIABhAHIAcgBhAHkALABcAG4AXABuAEwARQBUACgAXABuACAAIAAgACAALwAvACAAUABhAGQAZABpAG4AZwAgAGIAbABvAGMAawBzAFwAbgAgACAAIAAgAHAAYQBkAF8AYgBlAGYAbwByAGUALAAgACAAIAAgACAAIAAgACAAIABFAFgAUABBAE4ARAAoAHAAYQBkAF8AdwBpAHQAaAAsACAAcgBvAHcAcwBfAGIAZQBmAG8AcgBlACwAIAB3ACwAIABwAGEAZABfAHcAaQB0AGgAKQAsAFwAbgAgACAAIAAgAHAAYQBkAF8AYQBmAHQAZQByACwAIAAgACAAIAAgACAAIAAgACAAIABFAFgAUABBAE4ARAAoAHAAYQBkAF8AdwBpAHQAaAAsACAAcgBvAHcAcwBfAGEAZgB0AGUAcgAsACAAdwAsACAAcABhAGQAXwB3AGkAdABoACkALABcAG4AXABuACAAIAAgACAALwAvACAAUwBjAGUAbgBhAHIAaQBvAHMAXABuACAAIAAgACAAYgBlAGYAbwByAGUAXwBvAG4AbAB5AD8ALAAgACAAIAAgACAAIAAgAEEATgBEACgAcgBvAHcAcwBfAGIAZQBmAG8AcgBlACAAPAA+ACAAMAAsACAAcgBvAHcAcwBfAGEAZgB0AGUAcgAgAD0AIAAwACkALABcAG4AIAAgACAAIABhAGYAdABlAHIAXwBvAG4AbAB5AD8ALAAgACAAIAAgACAAIAAgACAAQQBOAEQAKAByAG8AdwBzAF8AYgBlAGYAbwByAGUAIAA9ACAAMAAsACAAcgBvAHcAcwBfAGEAZgB0AGUAcgAgADwAPgAgADAAKQAsAFwAbgAgACAAIAAgAGYAdQBsAGwAeQBfAGkAbgBzAHUAbABhAHQAZQBkAD8ALAAgACAAIABBAE4ARAAoAHIAbwB3AHMAXwBiAGUAZgBvAHIAZQAgADwAPgAgADAALAAgAHIAbwB3AHMAXwBhAGYAdABlAHIAIAA8AD4AIAAwACkALABcAG4AXABuACAAIAAgACAALwAvACAAUwB0AGEAbgBkAGEAcgBkACAARQBYAFAAQQBOAEQAIABmAG8AcgAgAGEAZgB0AGUAcgARIG8AbgBsAHkAIABjAGEAcwBlAFwAbgAgACAAIAAgAGsALAAgACAAIAAgACAAIAAgACAAIAAgACAAIAAgACAAIAAgACAAIAByAG8AdwBzAF8AYQBmAHQAZQByACAAKwAgAGgALABcAG4AIAAgACAAIABlAHgAcABhAG4AZABfAG8AbgBsAHkALAAgACAAIAAgACAAIAAgACAARQBYAFAAQQBOAEQAKABhAHIAcgBhAHkALAAgAGsALAAgAHcALAAgAHAAYQBkAF8AdwBpAHQAaAApACwAXABuAFwAbgAgACAAIAAgAC8ALwAgAEEAcgByAGEAbgBnAGUAbQBlAG4AdABzAFwAbgAgACAAIAAgAGkAbgBzAHUAbABhAHQAZQBfAGIAZQBmAG8AcgBlACwAIAAgACAAIABWAFMAVABBAEMASwAoAHAAYQBkAF8AYgBlAGYAbwByAGUALAAgAGEAcgByAGEAeQApACwAXABuACAAIAAgACAAaQBuAHMAdQBsAGEAdABlAF8AYQBsAGwALAAgACAAIAAgACAAIAAgAFYAUwBUAEEAQwBLACgAcABhAGQAXwBiAGUAZgBvAHIAZQAsACAAYQByAHIAYQB5ACwAIABwAGEAZABfAGEAZgB0AGUAcgApACwAXABuAFwAbgAgACAAIAAgAC8ALwAgAFMAZQBsAGUAYwB0AGkAbwBuAFwAbgAgACAAIAAgAHIAZQBzAHUAbAB0ACwAIAAgACAAIAAgACAAIAAgACAAIAAgACAAIABJAEYAKABmAHUAbABsAHkAXwBpAG4AcwB1AGwAYQB0AGUAZAA/ACwAIABpAG4AcwB1AGwAYQB0AGUAXwBhAGwAbAAsAFwAbgAgACAAIAAgACAAIAAgACAAIAAgACAAIAAgACAAIAAgACAAIAAgACAAIAAgACAAIAAgACAAIAAgAEkARgAoAGIAZQBmAG8AcgBlAF8AbwBuAGwAeQA/ACwAIAAgACAAaQBuAHMAdQBsAGEAdABlAF8AYgBlAGYAbwByAGUALABcAG4AIAAgACAAIAAgACAAIAAgACAAIAAgACAAIAAgACAAIAAgACAAIAAgACAAIAAgACAAIAAgACAAIAAgACAAIAAgACAAIAAgACAAIAAgACAAIAAgACAAIAAgACAAIAAgACAAIABlAHgAcABhAG4AZABfAG8AbgBsAHkAKQApACwAXABuAFwAbgAgACAAIAAgAHIAZQBzAHUAbAB0AFwAbgApACkAKQApACkAOwBcAG4AXABuAFwAbgBcAG4ALwAqACAAWwBTAEEAMQA2AF0AIAAtAC0ALQAtAC0ALQAtAC0ALQAtAC0ALQAtAC0ALQAtAC0ALQAtAC0ALQAtAC0ALQAtAC0ALQAtAC0ALQAtAC0ALQAtAC0ALQAtAC0ALQAtAC0ALQAtAC0ALQAtAC0ALQAtAC0ALQAtAC0ALQAtAC0ALQAtAC0ALQAtAC0ALQAtAC0ALQAtAC0ALQAtAC0AXABuAEYAdQBuAGMAdABpAG8AbgA6ACAAIAAgACAAIABJAG4AcwB1AGwAYQB0AGUAQwBvAGwAcwC7A1wAbgBDAGEAdABlAGcAbwByAHkAOgAgACAAIAAgACAAMgBEACAAQQByAHIAYQB5ACAAUwBoAGEAcABpAG4AZwAgACgAUABhAGQAZABpAG4AZwApAFwAbgBBAHUAdABoAG8AcgA6ACAAIAAgACAAIAAgACAAUABhAHQAcgBpAGMAawAgAEgALgBcAG4AVgBlAHIAcwBpAG8AbgA6ACAAIAAgACAAIAAgADEALgAxAFwAbgBEAGUAcABlAG4AZABlAG4AYwBpAGUAcwA6ACAASQBuAHMAdQBsAGEAdABlAFIAbwB3AHMAuwNcAG4AXABuAEQAZQBzAGMAcgBpAHAAdABpAG8AbgA6AFwAbgAgACAAIAAgAEEAZABkAHMAIABjAG8AbAB1AG0AbgBzACAAbwBmACAAcABhAGQAZABpAG4AZwAgAGIAZQBmAG8AcgBlACAAYQBuAGQALwBvAHIAIABhAGYAdABlAHIAIABhAG4AIABpAG4AcAB1AHQAIABhAHIAcgBhAHkALgAgAEkAbgBzAHUAbABhAHQAZQBDAG8AbABzALsDIABpAHMAXABuACAAIAAgACAAdABoAGUAIABjAG8AbAB1AG0AbgARIG8AcgBpAGUAbgB0AGUAZAAgAGMAbwB1AG4AdABlAHIAcABhAHIAdAAgAHQAbwAgAEkAbgBzAHUAbABhAHQAZQBSAG8AdwBzALsDLgAgAFQAaABlACAAYQByAHIAYQB5ACAAaQBzACAAbgBvAHIAbQBhAGwAaQB6AGUAZAAgAHQAbwBcAG4AIAAgACAAIAB2AGUAcgB0AGkAYwBhAGwAIABvAHIAaQBlAG4AdABhAHQAaQBvAG4ALAAgAHAAYQBkAGQAZQBkACAAdgBpAGEAIABJAG4AcwB1AGwAYQB0AGUAUgBvAHcAcwC7AywAIABhAG4AZAAgAHIAZQBzAHQAbwByAGUAZAAgAHQAbwAgAGkAdABzACAAbwByAGkAZwBpAG4AYQBsAFwAbgAgACAAIAAgAG8AcgBpAGUAbgB0AGEAdABpAG8AbgAuAFwAbgBcAG4AUABhAHIAYQBtAGUAdABlAHIAcwA6AFwAbgAgACAAIAAgAGEAcgByAGEAeQAgACAAIAAgACAAIAAgACAAIAAgACAAIAAtACAASQBuAHAAdQB0ACAAYQByAHIAYQB5ACAAKABzAGMAYQBsAGEAcgAsACAAMQBEACwAIABvAHIAIAAyAEQAKQAuAFwAbgAgACAAIAAgAGMAbwBsAHUAbQBuAHMAXwBiAGUAZgBvAHIAZQAgACAAIAAtACAAQwBvAGwAdQBtAG4AcwAgAHQAbwAgAHAAYQBkACAAdABvACAAdABoAGUAIABsAGUAZgB0AC4AXABuAFwAbgBPAHAAdABpAG8AbgBhAGwAOgBcAG4AIAAgACAAIABbAGMAbwBsAHUAbQBuAHMAXwBhAGYAdABlAHIAXQAgACAALQAgAEMAbwBsAHUAbQBuAHMAIAB0AG8AIABwAGEAZAAgAHQAbwAgAHQAaABlACAAcgBpAGcAaAB0ACAAKABkAGUAZgBhAHUAbAB0AHMAIAB0AG8AIABjAG8AbAB1AG0AbgBzAF8AYgBlAGYAbwByAGUAKQAuAFwAbgAgACAAIAAgAFsAcABhAGQAXwB3AGkAdABoAF0AIAAgACAAIAAgACAAIAAtACAAUwBjAGEAbABhAHIAIABwAGEAZABkAGkAbgBnACAAdgBhAGwAdQBlACAAKABkAGUAZgBhAHUAbAB0ACAAPQAgAFwAIgBcACIAKQAuAFwAbgBcAG4ATgBvAHQAZQBzADoAXABuACAAIAAgACAAIiAgAEkAZgAgAGIAbwB0AGgAIABjAG8AbAB1AG0AbgBzAF8AYgBlAGYAbwByAGUAIABhAG4AZAAgAGMAbwBsAHUAbQBuAHMAXwBhAGYAdABlAHIAIAA9ACAAMAAsACAAdABoAGUAIABpAG4AcAB1AHQAIABhAHIAcgBhAHkAIABpAHMAIAByAGUAdAB1AHIAbgBlAGQALgBcAG4AIAAgACAAIAAiICAAYwBvAGwAdQBtAG4AcwBfAGEAZgB0AGUAcgAgAGQAZQBmAGEAdQBsAHQAcwAgAHQAbwAgAGMAbwBsAHUAbQBuAHMAXwBiAGUAZgBvAHIAZQAgAHUAbgBsAGUAcwBzACAAZQB4AHAAbABpAGMAaQB0AGwAeQAgAHMAZQB0ACAAdABvACAAMAAuAFwAbgAgACAAIAAgACIgIABwAGEAZABfAHcAaQB0AGgAIABpAHMAIABzAGMAYQBsAGEAcgBpAHoAZQBkACAAdABvACAAYQAgADEA1wAxACAAdgBhAGwAdQBlAC4AXABuACAAIAAgACAAIiAgAE4AZQBnAGEAdABpAHYAZQAgAHAAYQBkAGQAaQBuAGcAIABjAG8AdQBuAHQAcwAgAGgAYQBsAHQAIABpAG4AcwBpAGQAZQAgAEkAbgBzAHUAbABhAHQAZQBSAG8AdwBzALsDLgBcAG4ALQAtAC0ALQAtAC0ALQAtAC0ALQAtAC0ALQAtAC0ALQAtAC0ALQAtAC0ALQAtAC0ALQAtAC0ALQAtAC0ALQAtAC0ALQAtAC0ALQAtAC0ALQAtAC0ALQAtAC0ALQAtAC0ALQAtAC0ALQAtAC0ALQAtAC0ALQAtAC0ALQAtAC0ALQAtAC0ALQAtAC0ALQAtAC0ALQAtAC0ALQAtAC0AKgAvAFwAbgBcAG4ASQBuAHMAdQBsAGEAdABlAEMAbwBsAHMAuwMgAD0AXABuAEwAQQBNAEIARABBACgAXABuACAAIAAgACAAYQByAHIAYQB5ACwAXABuACAAIAAgACAAYwBvAGwAdQBtAG4AcwBfAGIAZQBmAG8AcgBlACwAXABuACAAIAAgACAAWwBjAG8AbAB1AG0AbgBzAF8AYQBmAHQAZQByAF0ALABcAG4AIAAgACAAIABbAHAAYQBkAF8AdwBpAHQAaABdACwAXABuAEwARQBUACgAXABuACAAIAAgACAALwAvACAATgBvAHIAbQBhAGwAaQB6AGUAIAB0AG8AIAB2AGUAcgB0AGkAYwBhAGwAIABvAHIAaQBlAG4AdABhAHQAaQBvAG4AXABuACAAIAAgACAAYQByAHIAYQB5AF8AdgAsACAAIAAgACAAIAAgACAAIABUAFIAQQBOAFMAUABPAFMARQAoAGEAcgByAGEAeQApACwAXABuAFwAbgAgACAAIAAgAC8ALwAgAEEAcABwAGwAeQAgAHIAbwB3ABEgcABhAGQAZABpAG4AZwAgAGkAbgAgAHYAZQByAHQAaQBjAGEAbAAgAHMAcABhAGMAZQBcAG4AIAAgACAAIABwAGEAZABkAGUAZABfAHYALAAgACAAIAAgACAAIAAgAEkAbgBzAHUAbABhAHQAZQBSAG8AdwBzALsDKABhAHIAcgBhAHkAXwB2ACwAIABjAG8AbAB1AG0AbgBzAF8AYgBlAGYAbwByAGUALAAgAGMAbwBsAHUAbQBuAHMAXwBhAGYAdABlAHIALAAgAHAAYQBkAF8AdwBpAHQAaAApACwAXABuAFwAbgAgACAAIAAgAC8ALwAgAFIAZQBzAHQAbwByAGUAIABvAHIAaQBnAGkAbgBhAGwAIABvAHIAaQBlAG4AdABhAHQAaQBvAG4AXABuACAAIAAgACAAcgBlAHMAdQBsAHQALAAgACAAIAAgACAAIAAgACAAIABUAFIAQQBOAFMAUABPAFMARQAoAHAAYQBkAGQAZQBkAF8AdgApACwAXABuAFwAbgAgACAAIAAgAHIAZQBzAHUAbAB0AFwAbgApACkAOwBcAG4AXABuAFwAbgBcAG4ALwAqACAAWwBTAEEAMQA3AF0AIAAtAC0ALQAtAC0ALQAtAC0ALQAtAC0ALQAtAC0ALQAtAC0ALQAtAC0ALQAtAC0ALQAtAC0ALQAtAC0ALQAtAC0ALQAtAC0ALQAtAC0ALQAtAC0ALQAtAC0ALQAtAC0ALQAtAC0ALQAtAC0ALQAtAC0ALQAtAC0ALQAtAC0ALQAtAC0ALQAtAC0ALQAtAC0ALQAtAFwAbgBGAHUAbgBjAHQAaQBvAG4AOgAgACAAIAAgACAATQBhAGcAbgBpAGYAeQC7A1wAbgBDAGEAdABlAGcAbwByAHkAOgAgACAAIAAgACAAMgBEACAAQQByAHIAYQB5ACAAUwBoAGEAcABpAG4AZwAgACgASQBuAHQAZQByAHAAbwBsAGEAdABpAG8AbgApAFwAbgBBAHUAdABoAG8AcgA6ACAAIAAgACAAIAAgACAAUABhAHQAcgBpAGMAawAgAEgALgBcAG4AVgBlAHIAcwBpAG8AbgA6ACAAIAAgACAAIAAgADEALgAxAFwAbgBcAG4ARABlAHMAYwByAGkAcAB0AGkAbwBuADoAXABuACAAIAAgACAARQB4AHAAYQBuAGQAcwAgAGUAYQBjAGgAIABlAGwAZQBtAGUAbgB0ACAAbwBmACAAYQBuACAAaQBuAHAAdQB0ACAAYQByAHIAYQB5ACAAaQBuAHQAbwAgAGEAIABiAGwAbwBjAGsAIABvAGYAIABzAHAAZQBjAGkAZgBpAGUAZAAgAGgAZQBpAGcAaAB0ACAAYQBuAGQAXABuACAAIAAgACAAdwBpAGQAdABoACAAdQBzAGkAbgBnACAAbgBlAGEAcgBlAHMAdAARIG4AZQBpAGcAaABiAG8AcgAgAGkAbgB0AGUAcgBwAG8AbABhAHQAaQBvAG4ALgAgAFMAdQBwAHAAbwByAHQAcwAgAHMAYwBhAGwAYQByAHMALAAgADEARAAgAGEAcgByAGEAeQBzACwAIABhAG4AZABcAG4AIAAgACAAIAAyAEQAIABhAHIAcgBhAHkAcwAuAFwAbgBcAG4AUABhAHIAYQBtAGUAdABlAHIAcwA6AFwAbgAgACAAIAAgAGEAcgByAGEAeQAgACAAIAAgACAAIAAgAC0AIABJAG4AcAB1AHQAIABhAHIAcgBhAHkAIAB0AG8AIABtAGEAZwBuAGkAZgB5AC4AXABuACAAIAAgACAAaABlAGkAZwBoAHQAIAAgACAAIAAgACAALQAgAE4AdQBtAGIAZQByACAAbwBmACAAcgBvAHcAcwAgAGYAbwByACAAZQBhAGMAaAAgAG0AYQBnAG4AaQBmAGkAZQBkACAAZQBsAGUAbQBlAG4AdAAgACgAcABvAHMAaQB0AGkAdgBlACAAcwBjAGEAbABhAHIAKQAuAFwAbgAgACAAIAAgAHcAaQBkAHQAaAAgACAAIAAgACAAIAAgAC0AIABOAHUAbQBiAGUAcgAgAG8AZgAgAGMAbwBsAHUAbQBuAHMAIABmAG8AcgAgAGUAYQBjAGgAIABtAGEAZwBuAGkAZgBpAGUAZAAgAGUAbABlAG0AZQBuAHQAIAAoAHAAbwBzAGkAdABpAHYAZQAgAHMAYwBhAGwAYQByACkALgBcAG4AXABuAE4AbwB0AGUAcwA6AFwAbgAgACAAIAAgACIgIABoAGUAaQBnAGgAdAAgAGEAbgBkACAAdwBpAGQAdABoACAAbQB1AHMAdAAgAGIAZQAgAHMAYwBhAGwAYQByACwAIABuAHUAbQBlAHIAaQBjACwAIABhAG4AZAAgAD4AIAAwAC4AXABuACAAIAAgACAAIiAgAFUAcwBlAHMAIABuAGUAYQByAGUAcwB0ABEgbgBlAGkAZwBoAGIAbwByACAAZQB4AHAAYQBuAHMAaQBvAG4AIAB2AGkAYQAgAGkAbgBkAGUAeAAgAHIAZQBwAGwAaQBjAGEAdABpAG8AbgAuAFwAbgAtAC0ALQAtAC0ALQAtAC0ALQAtAC0ALQAtAC0ALQAtAC0ALQAtAC0ALQAtAC0ALQAtAC0ALQAtAC0ALQAtAC0ALQAtAC0ALQAtAC0ALQAtAC0ALQAtAC0ALQAtAC0ALQAtAC0ALQAtAC0ALQAtAC0ALQAtAC0ALQAtAC0ALQAtAC0ALQAtAC0ALQAtAC0ALQAtAC0ALQAtAC0ALQAqAC8AXABuAFwAbgBNAGEAZwBuAGkAZgB5ALsDIAA9AFwAbgBMAEEATQBCAEQAQQAoAFwAbgAgACAAIAAgAGEAcgByAGEAeQAsAFwAbgAgACAAIAAgAGgAZQBpAGcAaAB0ACwAXABuACAAIAAgACAAdwBpAGQAdABoACwAXABuAFwAbgAvAC8AIABMAG8AZwBpAGMAIABnAGEAdABlAFwAbgBJAEYAKABPAFIAKABDAE8AVQBOAFQAKABoAGUAaQBnAGgAdAApACAAPAA+ACAAMQAsACAAQwBPAFUATgBUACgAdwBpAGQAdABoACkAIAA8AD4AIAAxACkALABcACIAIwBWAEEATABVAEUAIQBcACIALABcAG4AXABuACAAIAAgACAASQBGACgATwBSACgASQBTAFQARQBYAFQAKABoAGUAaQBnAGgAdAApACwAIABJAFMAVABFAFgAVAAoAHcAaQBkAHQAaAApACkALABcACIAIwBUAEUAWABUACEAXAAiACwAXABuAFwAbgAgACAAIAAgACAAIAAgACAASQBGACgATwBSACgAaABlAGkAZwBoAHQAIAA8AD0AIAAwACwAIAB3AGkAZAB0AGgAIAA8AD0AIAAwACkALABcACIAIwBWAEEATABVAEUAIQBcACIALABcAG4AXABuAEwARQBUACgAXABuACAAIAAgACAALwAvACAARABpAG0AZQBuAHMAaQBvAG4AcwAgAG8AZgAgAG0AYQBnAG4AaQBmAGkAZQBkACAAbwB1AHQAcAB1AHQAXABuACAAIAAgACAAaQAsACAAIAAgACAAIAAgAFIATwBXAFMAKABhAHIAcgBhAHkAKQAgACoAIABoAGUAaQBnAGgAdAAsAFwAbgAgACAAIAAgAGoALAAgACAAIAAgACAAIABDAE8ATABVAE0ATgBTACgAYQByAHIAYQB5ACkAIAAqACAAdwBpAGQAdABoACwAXABuAFwAbgAgACAAIAAgAC8ALwAgAE0AZQBzAGgAIABnAHIAaQBkACAAZgBvAHIAIABuAGUAYQByAGUAcwB0ABEgbgBlAGkAZwBoAGIAbwByACAAcgBlAHAAbABpAGMAYQB0AGkAbwBuAFwAbgAgACAAIAAgAHgALAAgACAAIAAgACAAIABMAEEATQBCAEQAQQAoAEkATgBUACgAUwBFAFEAVQBFAE4AQwBFACgAaQAsACwALAAgADEAIAAvACAAaABlAGkAZwBoAHQAKQApAFwAbgAgACAAIAAgACAAIAAgACAAIAAgACAAIAAgACAAIAAgACAAIAAgACAAIAAgACAAIAAgACAAIAAqACAAUwBFAFEAVQBFAE4AQwBFACgALAAgAGoALAAgADEALAAgADAAKQApACwAXABuAFwAbgAgACAAIAAgAHkALAAgACAAIAAgACAAIABMAEEATQBCAEQAQQAoAEkATgBUACgAUwBFAFEAVQBFAE4AQwBFACgALAAgAGoALAAsACAAMQAgAC8AIAB3AGkAZAB0AGgAKQApAFwAbgAgACAAIAAgACAAIAAgACAAIAAgACAAIAAgACAAIAAgACAAIAAgACAAIAAgACAAIAAgACAAIAAqACAAUwBFAFEAVQBFAE4AQwBFACgAaQAsACwAIAAxACwAIAAwACkAKQAsAFwAbgBcAG4AIAAgACAAIAAvAC8AIABEAGUAZgBlAHIAcgBlAGQAIABlAHYAYQBsAHUAYQB0AGkAbwBuAFwAbgAgACAAIAAgAHIAZQBzAHUAbAB0ACwAIABJAE4ARABFAFgAKABhAHIAcgBhAHkALAAgAHgAKAApACwAIAB5ACgAKQApACwAXABuAFwAbgAgACAAIAAgAHIAZQBzAHUAbAB0AFwAbgApACkAKQApACkAOwBcAG4AXABuAFwAbgBcAG4ALwAqACAAWwBTAEEAMQA4AF0AIAAtAC0ALQAtAC0ALQAtAC0ALQAtAC0ALQAtAC0ALQAtAC0ALQAtAC0ALQAtAC0ALQAtAC0ALQAtAC0ALQAtAC0ALQAtAC0ALQAtAC0ALQAtAC0ALQAtAC0ALQAtAC0ALQAtAC0ALQAtAC0ALQAtAC0ALQAtAC0ALQAtAC0ALQAtAC0ALQAtAC0ALQAtAC0ALQAtAFwAbgBGAHUAbgBjAHQAaQBvAG4AOgAgACAAIAAgACAAWgBvAG8AbQC7A1wAbgBDAGEAdABlAGcAbwByAHkAOgAgACAAIAAgACAAMgBEACAAQQByAHIAYQB5ACAAUwBoAGEAcABpAG4AZwAgACgASwBlAHIAbgBlAGwAIABFAHgAcABhAG4AcwBpAG8AbgApAFwAbgBBAHUAdABoAG8AcgA6ACAAIAAgACAAIAAgACAAUABhAHQAcgBpAGMAawAgAEgALgBcAG4AVgBlAHIAcwBpAG8AbgA6ACAAIAAgACAAIAAgADEALgAxAFwAbgBEAGUAcABlAG4AZABlAG4AYwBpAGUAcwA6ACAAUgBlAHMAaQB6AGUAuwNcAG4AXABuAEQAZQBzAGMAcgBpAHAAdABpAG8AbgA6AFwAbgAgACAAIAAgAEUAeABwAGEAbgBkAHMAIABlAGEAYwBoACAAZQBsAGUAbQBlAG4AdAAgAG8AZgAgAGEAbgAgAGkAbgBwAHUAdAAgAGEAcgByAGEAeQAgAGkAbgB0AG8AIABhACAAYgBsAG8AYwBrACAAdwBoAG8AcwBlACAAcwBpAHoAZQAgAG0AYQB0AGMAaABlAHMAIAB0AGgAZQBcAG4AIAAgACAAIABoAGUAaQBnAGgAdAAgANcAIAB3AGkAZAB0AGgAIABvAGYAIAB6AG8AbwBtAF8AawBlAHIAbgBlAGwALgAgAEUAYQBjAGgAIABlAHgAcABhAG4AZABlAGQAIABiAGwAbwBjAGsAIABpAHMAIABmAG8AcgBtAGUAZAAgAGIAeQAgAGEAZABkAGkAbgBnACAAdABoAGUAXABuACAAIAAgACAAZQBsAGUAbQBlAG4AdAAgAHYAYQBsAHUAZQAgAHQAbwAgAHQAaABlACAAegBvAG8AbQBfAGsAZQByAG4AZQBsAC4AIABJAG4AdABlAG4AZABlAGQAIABzAHQAcgBpAGMAdABsAHkAIABmAG8AcgAgAG4AdQBtAGUAcgBpAGMAIABhAHIAcgBhAHkAcwAgAGEAbgBkAFwAbgAgACAAIAAgAG4AdQBtAGUAcgBpAGMAIABrAGUAcgBuAGUAbABzAC4AXABuAFwAbgBQAGEAcgBhAG0AZQB0AGUAcgBzADoAXABuACAAIAAgACAAYQByAHIAYQB5ACAAIAAgACAAIAAgACAAIAAtACAAMQBEACAAbwByACAAMgBEACAAbgB1AG0AZQByAGkAYwAgAGEAcgByAGEAeQAgACgAcwBjAGEAbABhAHIAcwAgAGEAbABsAG8AdwBlAGQAKQAuAFwAbgAgACAAIAAgAHoAbwBvAG0AXwBrAGUAcgBuAGUAbAAgACAALQAgAE4AdQBtAGUAcgBpAGMAIABrAGUAcgBuAGUAbAAgAGQAZQBmAGkAbgBpAG4AZwAgAGUAeABwAGEAbgBzAGkAbwBuACAAaABlAGkAZwBoAHQAIABhAG4AZAAgAHcAaQBkAHQAaAAuAFwAbgBcAG4ATgBvAHQAZQBzADoAXABuACAAIAAgACAAIiAgAFIAZQB0AHUAcgBuAHMAIABcACIAIwBBAFIAUgBBAFkAIQBcACIAIABpAGYAIABhAG4AeQAgAGEAcgByAGEAeQAgAGUAbABlAG0AZQBuAHQAcwAgAGEAcgBlACAAbgBvAG4AESBuAHUAbQBlAHIAaQBjAC4AXABuACAAIAAgACAAIiAgAFIAZQB0AHUAcgBuAHMAIABcACIAIwBLAEUAUgBOAEUATAAhAFwAIgAgAGkAZgAgAGEAbgB5ACAAawBlAHIAbgBlAGwAIABlAGwAZQBtAGUAbgB0AHMAIABhAHIAZQAgAG4AbwBuABEgbgB1AG0AZQByAGkAYwAuAFwAbgAgACAAIAAgACIgIABJAGYAIAB6AG8AbwBtAF8AawBlAHIAbgBlAGwAIABpAHMAIAAxANcAMQAsACAAWgBvAG8AbQC7AyAAcgBlAGQAdQBjAGUAcwAgAHQAbwAgAGEAcgByAGEAeQAgACsAIABzAGMAYQBsAGEAcgAuAFwAbgAtAC0ALQAtAC0ALQAtAC0ALQAtAC0ALQAtAC0ALQAtAC0ALQAtAC0ALQAtAC0ALQAtAC0ALQAtAC0ALQAtAC0ALQAtAC0ALQAtAC0ALQAtAC0ALQAtAC0ALQAtAC0ALQAtAC0ALQAtAC0ALQAtAC0ALQAtAC0ALQAtAC0ALQAtAC0ALQAtAC0ALQAtAC0ALQAtAC0ALQAtAC0ALQAqAC8AXABuAFwAbgBaAG8AbwBtALsDIAA9AFwAbgBMAEEATQBCAEQAQQAoAFwAbgAgACAAIAAgAGEAcgByAGEAeQAsAFwAbgAgACAAIAAgAHoAbwBvAG0AXwBrAGUAcgBuAGUAbAAsAFwAbgBMAEUAVAAoAFwAbgAgACAAIAAgAC8ALwAgAEsAZQByAG4AZQBsACAAZABpAG0AZQBuAHMAaQBvAG4AcwBcAG4AIAAgACAAIABoAGUAaQBnAGgAdAAsACAAIAAgACAAIAAgACAAIAAgACAAIAAgACAAUgBPAFcAUwAoAHoAbwBvAG0AXwBrAGUAcgBuAGUAbAApACwAXABuACAAIAAgACAAdwBpAGQAdABoACwAIAAgACAAIAAgACAAIAAgACAAIAAgACAAIAAgAEMATwBMAFUATQBOAFMAKAB6AG8AbwBtAF8AawBlAHIAbgBlAGwAKQAsAFwAbgBcAG4AIAAgACAAIAAvAC8AIABTAGMAZQBuAGEAcgBpAG8AcwBcAG4AIAAgACAAIABJAHMAVABlAHgAdABLAGUAcgBuAGUAbAA/ACwAIAAgACAAIAAgACAATwBSACgASQBTAFQARQBYAFQAKAB6AG8AbwBtAF8AawBlAHIAbgBlAGwAKQApACwAXABuACAAIAAgACAASQBzAFQAZQB4AHQAQQByAHIAYQB5AD8ALAAgACAAIAAgACAAIAAgAE8AUgAoAEkAUwBUAEUAWABUACgAYQByAHIAYQB5ACkAKQAsAFwAbgAgACAAIAAgAEkAcwBTAGMAYQBsAGEAcgBLAGUAcgBuAGUAbAA/ACwAIAAgACAAIABBAE4ARAAoAGgAZQBpAGcAaAB0ACAAPQAgADEALAAgAHcAaQBkAHQAaAAgAD0AIAAxACkALABcAG4AXABuAC8ALwAgAEwAbwBnAGkAYwAgAGcAYQB0AGUAXABuACAAIAAgACAASQBGACgASQBzAFQAZQB4AHQASwBlAHIAbgBlAGwAPwAsACAAXAAiACMASwBFAFIATgBFAEwAIQBcACIALABcAG4AXABuACAAIAAgACAAIAAgACAAIABJAEYAKABJAHMAVABlAHgAdABBAHIAcgBhAHkAPwAsACAAXAAiACMAQQBSAFIAQQBZACEAXAAiACwAXABuAFwAbgAgACAAIAAgACAAIAAgACAAIAAgACAAIABJAEYAKABJAHMAUwBjAGEAbABhAHIASwBlAHIAbgBlAGwAPwAsACAAYQByAHIAYQB5ACAAKwAgAHoAbwBvAG0AXwBrAGUAcgBuAGUAbAAsAFwAbgBcAG4ATABFAFQAKABcAG4AIAAgACAAIAAvAC8AIABPAHUAdABwAHUAdAAgAGQAaQBtAGUAbgBzAGkAbwBuAHMAXABuACAAIAAgACAAaQAsACAAIAAgACAAIAAgACAAIAAgACAAUgBPAFcAUwAoAGEAcgByAGEAeQApACAAKgAgAGgAZQBpAGcAaAB0ACwAXABuACAAIAAgACAAagAsACAAIAAgACAAIAAgACAAIAAgACAAQwBPAEwAVQBNAE4AUwAoAGEAcgByAGEAeQApACAAKgAgAHcAaQBkAHQAaAAsAFwAbgBcAG4AIAAgACAAIAAvAC8AIABNAGUAcwBoACAAZwByAGkAZAAgAGYAbwByACAAbgBlAGEAcgBlAHMAdAARIG4AZQBpAGcAaABiAG8AcgAgAGUAeABwAGEAbgBzAGkAbwBuAFwAbgAgACAAIAAgAHgALAAgACAAIAAgACAAIAAgACAAIAAgAEwAQQBNAEIARABBACgASQBOAFQAKABTAEUAUQBVAEUATgBDAEUAKABpACwALAAsACAAMQAgAC8AIABoAGUAaQBnAGgAdAApACkAXABuACAAIAAgACAAIAAgACAAIAAgACAAIAAgACAAIAAgACAAIAAgACAAIAAqACAAUwBFAFEAVQBFAE4AQwBFACgALAAgAGoALAAgADEALAAgADAAKQApACwAXABuAFwAbgAgACAAIAAgAHkALAAgACAAIAAgACAAIAAgACAAIAAgAEwAQQBNAEIARABBACgASQBOAFQAKABTAEUAUQBVAEUATgBDAEUAKAAsACAAagAsACwAIAAxACAALwAgAHcAaQBkAHQAaAApACkAXABuACAAIAAgACAAIAAgACAAIAAgACAAIAAgACAAIAAgACAAIAAgACAAIAAqACAAUwBFAFEAVQBFAE4AQwBFACgAaQAsACwAIAAxACwAIAAwACkAKQAsAFwAbgBcAG4AIAAgACAAIAAvAC8AIABFAHgAcABhAG4AZABlAGQAIABhAHIAcgBhAHkAIAAoAG4AZQBhAHIAZQBzAHQAESBuAGUAaQBnAGgAYgBvAHIAKQBcAG4AIAAgACAAIAB6AG8AbwBtAGUAZAAsACAAIAAgACAAIABMAEEATQBCAEQAQQAoAEkATgBEAEUAWAAoAGEAcgByAGEAeQAsACAAeAAoACkALAAgAHkAKAApACkAKQAsAFwAbgBcAG4AIAAgACAAIAAvAC8AIABSAGUAcwBpAHoAZQAgAGsAZQByAG4AZQBsACAAdABvACAAbQBhAHQAYwBoACAAegBvAG8AbQBlAGQAIABiAGwAbwBjAGsAIABzAHQAcgB1AGMAdAB1AHIAZQBcAG4AIAAgACAAIABoACwAIAAgACAAIAAgACAAIAAgACAAIABSAE8AVwBTACgAegBvAG8AbQBlAGQAKAApACkAIAAvACAAaABlAGkAZwBoAHQALABcAG4AIAAgACAAIAB3ACwAIAAgACAAIAAgACAAIAAgACAAIABDAE8ATABVAE0ATgBTACgAegBvAG8AbQBlAGQAKAApACkAIAAvACAAdwBpAGQAdABoACwAXABuACAAIAAgACAAawBlAHIAbgBlAGwAXwBtAGEAZwAsACAAUgBlAHMAaQB6AGUAuwMoAHoAbwBvAG0AXwBrAGUAcgBuAGUAbAAsACAAaAAsACAAdwApACwAXABuAFwAbgAgACAAIAAgAC8ALwAgAEYAaQBuAGEAbAAgAHoAbwBvAG0AZQBkACAAbwB1AHQAcAB1AHQAXABuACAAIAAgACAAcgBlAHMAdQBsAHQALAAgACAAIAAgACAAIAAgACAAIAAgACAAIAAgAHoAbwBvAG0AZQBkACgAKQAgACsAIABrAGUAcgBuAGUAbABfAG0AYQBnACwAXABuAFwAbgAgACAAIAAgAHIAZQBzAHUAbAB0AFwAbgApACkAKQApACkAKQA7AFwAbgBcAG4AXABuAFwAbgAvAC8AIABbAEcAQQBdACAALQAtAC0ALQAtAC0ALQAtAC0ALQAtAC0ALQAtAC0ALQAtAC0ALQAtAC0ALQAtAC0ALQAtAC0ALQAtAC0ALQAtAC0ALQAtAC0ALQAtAC0ALQAtAC0ALQAtAC0ALQAtAC0ALQAtAC0ALQAtAC0ALQAtAC0ALQAtAC0ALQAtAC0ALQAtAC0ALQAtAC0ALQAtAC0ALQAtAC0ALQAtAFwAbgAvAC8AIAAtAC0ALQAjACMAIAAwADQAIAAtACAARwByAGkAZAAgAEEAbABnAGUAYgByAGE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EAbABnAGUAYgByAGEAIABmAHUAbgBjAHQAaQBvAG4AcwAgAHAAcgBvAHYAaQBkAGUAIABhACAAdABvAG8AbABrAGkAdAAgAGYAbwByACAAcwB0AHIAdQBjAHQAdQByAGEAbAAgAGUAZABpAHQAaQBuAGcAIABvAGYAXABuACAAIAAgACAAMgBEACAAYQByAHIAYQB5AHMALgAgAFQAaABlAHMAZQAgAG8AcABlAHIAYQB0AG8AcgBzACAAcwB1AHAAcABvAHIAdAAgAGQAZQBsAGUAdABpAG8AbgAsACAAcwBlAGwAZQBjAHQAaQBvAG4ALAAgAGYAaQBsAHQAZQByAGkAbgBnACwAIAByAG8AbABsAGkAbgBnACwAXABuACAAIAAgACAAZQB4AHAAYQBuAHMAaQBvAG4ALAAgAGEAbgBkACAAcwB0AHIAdQBjAHQAdQByAGEAbAAgAG0AYQBwAHAAaQBuAGcALgBcAG4AXABuACAAIAAgACAAUwB1AGIAESBjAGEAdABlAGcAbwByAGkAZQBzADoAXABuAFwAbgAgACAAIAAgACAAIAAgACAAIiAgAEQAZQBsAGUAdABpAG8AbgBcAG4AIAAgACAAIAAgACAAIAAgACAAIAAgACAAIAAgAEQAZQBsAGUAdABlAFIAbwB3AHMAuwMsACAARABlAGwAZQB0AGUAQwBvAGwAcwC7AywAIABEAGUAbABlAHQAZQBXAGgAZQByAGUAuwMsAFwAbgAgACAAIAAgACAAIAAgACAAIAAgACAAIAAgACAAUABpAG4AYwBoALsDLAAgAFIAZQBtAG8AdgBlALsDLAAgAFMAcQB1AGUAZQB6AGUAuwNcAG4AXABuACAAIAAgACAAIAAgACAAIAAiICAARQB4AHAAYQBuAHMAaQBvAG4AXABuACAAIAAgACAAIAAgACAAIAAgACAAIAAgACAAIABLAHIAbwBuAGUAYwBrAGUAcgBQAHIAbwBkALsDXABuAFwAbgAgACAAIAAgACAAIAAgACAAIiAgAEYAaQBsAHQAZQByAGkAbgBnAFwAbgAgACAAIAAgACAAIAAgACAAIAAgACAAIAAgACAARQB4AGMAbAB1AGQAZQC7AywAIABTAG4AYQBwALsDXABuAFwAbgAgACAAIAAgACAAIAAgACAAIiAgAFIAbwBsAGwAaQBuAGcAXABuACAAIAAgACAAIAAgACAAIAAgACAAIAAgACAAIABTAGgAaQBmAHQAuwMsACAAUwBoAGkAZgB0AFIAbwB3AHMAuwMsACAAUwBoAGkAZgB0AEMAbwBsAHMAuwNcAG4AXABuACAAIAAgACAAIAAgACAAIAAiICAAUwBlAGwAZQBjAHQAaQBvAG4AXABuACAAIAAgACAAIAAgACAAIAAgACAAIAAgACAAIABFAG0AYgBlAGQAuwMsACAASwBlAGUAcABSAG8AdwBzALsDLAAgAEsAZQBlAHAAQwBvAGwAcwC7A1wAbgBcAG4AIAAgACAAIAAgACAAIAAgACIgIABTAHQAcgB1AGMAdAB1AHIAYQBsACAATQBhAHAAcABpAG4AZwBcAG4AIAAgACAAIAAgACAAIAAgACAAIAAgACAAIAAgAEIAbABvAGMAawBNAGEAcAC7AywAIABDAG8AbgB2AG8AbAB2AGUAuwMsACAARgBvAGwAZAC7AywAIABKAG8AaQBuADIARAC7A1wAbgAqAC8AXABuAFwAbgBcAG4AXABuAC8AKgAgAFsARwBBADAAMQBdACAALQAtAC0ALQAtAC0ALQAtAC0ALQAtAC0ALQAtAC0ALQAtAC0ALQAtAC0ALQAtAC0ALQAtAC0ALQAtAC0ALQAtAC0ALQAtAC0ALQAtAC0ALQAtAC0ALQAtAC0ALQAtAC0ALQAtAC0ALQAtAC0ALQAtAC0ALQAtAC0ALQAtAC0ALQAtAC0ALQAtAC0ALQAtAC0ALQBcAG4ARgB1AG4AYwB0AGkAbwBuADoAIAAgACAAIAAgAEQAZQBsAGUAdABlAFIAbwB3AHMAuwNcAG4AQwBhAHQAZQBnAG8AcgB5ADoAIAAgACAAIAAgAEcAcgBpAGQAIABBAGwAZwBlAGIAcgBhACAAKABEAGUAbABl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EAGUAbABlAHQAZQBzACAAcgBvAHcAcwAgAGYAcgBvAG0AIABhACAAMgBEACAAYQByAHIAYQB5ACAAYgBhAHMAZQBkACAAbwBuACAAYwBvAG4AdABpAGcAdQBvAHUAcwAgAHMAdQBiAGcAcgBvAHUAcAAgAHIAdQBuAHMALgAgAEEAIABwAG8AcwBpAHQAaQB2AGUAXABuACAAIAAgACAAZABlAGwAZQB0AGUAIAB2AGEAbAB1AGUAIAB0AHIAaQBtAHMAIAByAG8AdwBzACAAZgByAG8AbQAgAHQAaABlACAAdABvAHAAIABvAGYAIABlAGEAYwBoACAAcwB1AGIAZwByAG8AdQBwACAAcgB1AG4AOwAgAGEAIABuAGUAZwBhAHQAaQB2AGUAIABkAGUAbABlAHQAZQBcAG4AIAAgACAAIAB2AGEAbAB1AGUAIAB0AHIAaQBtAHMAIAByAG8AdwBzACAAZgByAG8AbQAgAHQAaABlACAAYgBvAHQAdABvAG0ALgBcAG4AXABuAFAAYQByAGEAbQBlAHQAZQByAHMAOgBcAG4AIAAgACAAIABhAHIAcgBhAHkAIAAgACAAIAAgACAAIAAgACAAIAAgAC0AIAAyAEQAIABhAHIAcgBhAHkALgBcAG4AIAAgACAAIABkAGUAbABlAHQAZQAgACAAIAAgACAAIAAgACAAIAAgAC0AIABTAGMAYQBsAGEAcgAgAGkAbgB0AGUAZwBlAHIAOgBcAG4AIAAgACAAIAAgACAAIAAgACAAIAAgACAAIAAgACAAIAAgACAAIAAgACAAIAAgACAAIAAgAD4AIAAwACAAkiEgAHQAcgBpAG0AIABmAHIAbwBtACAAdABvAHAAIABvAGYAIABlAGEAYwBoACAAcgB1AG4AXABuACAAIAAgACAAIAAgACAAIAAgACAAIAAgACAAIAAgACAAIAAgACAAIAAgACAAIAAgACAAIAA8ACAAMAAgAJIhIAB0AHIAaQBt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FIAbwB3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AAGQAZQBsAGUAdABl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0AG8AcAAsACAAEyBiAG8AdAB0AG8AbQBcAG4AIAAgACAAIABzACwAIAAgACAAIAAgACAAIAAgACAAIAAgACAAIAAgACAAIAAgACAAUwBJAEcATgAoAGQAZQBsAGUAdABl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PgAgAGQAZQBsAGUAdABlAFwAbgAgACAAIAAgAGsAZQBlAHAAPwAsACAAIAAgACAAIAAgACAAIAAgACAAIAAgACAAIABOAE8AVAAoAGkAZAB4ACAAPAA9ACAAZABlAGwAZQB0AGUAKQAsAFwAbgBcAG4AIAAgACAAIAByAGUAcwB1AGwAdAAsACAAIAAgACAAIAAgACAAIAAgACAAIAAgACAARgBJAEwAVABFAFIAKABhAHIAcgBhAHkALAAgAGsAZQBlAHAAPwApACwAXABuAFwAbgAgACAAIAAgAHIAZQBzAHUAbAB0AFwAbgApACkAKQApACkAOwBcAG4AXABuAFwAbgBcAG4ALwAqACAAWwBHAEEAMAAyAF0AIAAtAC0ALQAtAC0ALQAtAC0ALQAtAC0ALQAtAC0ALQAtAC0ALQAtAC0ALQAtAC0ALQAtAC0ALQAtAC0ALQAtAC0ALQAtAC0ALQAtAC0ALQAtAC0ALQAtAC0ALQAtAC0ALQAtAC0ALQAtAC0ALQAtAC0ALQAtAC0ALQAtAC0ALQAtAC0ALQAtAC0ALQAtAC0ALQAtAFwAbgBGAHUAbgBjAHQAaQBvAG4AOgAgACAAIAAgACAARABlAGwAZQB0AGUAQwBvAGw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jAG8AbAB1AG0AbgBzACAAZgByAG8AbQAgAGEAIAAyAEQAIABhAHIAcgBhAHkAIABiAGEAcwBlAGQAIABvAG4AIABjAG8AbgB0AGkAZwB1AG8AdQBzACAAcwB1AGIAZwByAG8AdQBwACAAcgB1AG4AcwAuACAAQQAgAHAAbwBzAGkAdABpAHYAZQBcAG4AIAAgACAAIABkAGUAbABlAHQAZQAgAHYAYQBsAHUAZQAgAHQAcgBpAG0AcwAgAGMAbwBsAHUAbQBuAHMAIABmAHIAbwBtACAAdABoAGUAIABsAGUAZgB0ACAAbwBmACAAZQBhAGMAaAAgAHMAdQBiAGcAcgBvAHUAcAAgAHIAdQBuADsAIABhACAAbgBlAGcAYQB0AGkAdgBlAFwAbgAgACAAIAAgAGQAZQBsAGUAdABlACAAdgBhAGwAdQBlACAAdAByAGkAbQBzACAAYwBvAGwAdQBtAG4AcwAgAGYAcgBvAG0AIAB0AGgAZQAgAHIAaQBnAGgAdA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sAGUAZgB0ACAAbwBmACAAZQBhAGMAaAAgAHIAdQBuAFwAbgAgACAAIAAgACAAIAAgACAAIAAgACAAIAAgACAAIAAgACAAIAAgACAAIAAgACAAIAAgACAAPAAgADAAIACSISAAdAByAGkAbQ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EMAbwBs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QABkAGUAbABlAHQAZQ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QAZQBsAGUAdABlACkALABcAG4AIAAgACAAIABOAG8AdABTAGMAYQBsAGEAcgA/ACwAIAAgACAAIAAgACAAIAAgACAAQQBOAEQAKABOAE8AVAAoAEkAcwBUAGUAeAB0AD8AKQAsACAAQwBPAFUATgBUAEEAKABkAGUAbABlAHQAZQ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gACAAIAAgAEkARgAoAE8AbgBlAFMAdQBiAEcAcgBvAHUAcAA/ACwAIABEAGkAcwBjAGEAcgBkACwAXABuACAAIAAgACAAIAAgACAAIABJAEYAKABoAGEAbAB0ACwAIABhAGwAZQByAHQALABcAG4AXABuAEwARQBUACgAXABuACAAIAAgACAALwAvACAARABpAHIAZQBjAHQAaQBvAG4AOgAgACsAbABlAGYAdAAsACAAEyByAGkAZwBoAHQAXABuACAAIAAgACAAcwAsACAAIAAgACAAIAAgACAAIAAgACAAIAAgACAAIAAgACAAIAAgAFMASQBHAE4AKABkAGUAbABlAHQAZQApACwAXABuAFwAbgAgACAAIAAgAC8ALwAgAFIAdQBuACAAaQBuAGQAaQBjAGUAcwAgACgAaABvAHIAaQB6AG8AbgB0AGEAbAApAFwAbgAgACAAIAAgAGEAcwBjAGUAbgBkACwAIAAgACAAIAAgACAAIAAgACAAIAAgACAAIABTAHQAcgBlAGEAawC7AygAYQB0AF8AZQBhAGMAaABfAGMAaABhAG4AZwBlACwAIABUAFIAVQBFACkALABcAG4AIAAgACAAIABkAGUAcwBjAGUAbgBkACwAIAAgACAAIAAgACAAIAAgACAAIAAgACAAQwBvAHUAbgB0AGQAbwB3AG4AuwMoAGEAdABfAGUAYQBjAGgAXwBjAGgAYQBuAGcAZQAsACAAVABSAFUAR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PgAgAGQAZQBsAGUAdABlAFwAbgAgACAAIAAgAGsAZQBlAHAAPwAsACAAIAAgACAAIAAgACAAIAAgACAAIAAgACAAIABOAE8AVAAoAGkAZAB4ACAAPAA9ACAAZABlAGwAZQB0AGUAKQ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AAzAF0AIAAtAC0ALQAtAC0ALQAtAC0ALQAtAC0ALQAtAC0ALQAtAC0ALQAtAC0ALQAtAC0ALQAtAC0ALQAtAC0ALQAtAC0ALQAtAC0ALQAtAC0ALQAtAC0ALQAtAC0ALQAtAC0ALQAtAC0ALQAtAC0ALQAtAC0ALQAtAC0ALQAtAC0ALQAtAC0ALQAtAC0ALQAtAC0ALQAtAFwAbgBGAHUAbgBjAHQAaQBvAG4AOgAgACAAIAAgACAARABlAGwAZQB0AGUAVwBoAGUAc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dgBlAHIAdABpAGMAYQBsACAAYQBuAGQAIABoAG8AcgBpAHoAbwBuAHQAYQBsACAAdgBlAGMAdABvAHIAcwAgAGYAcgBvAG0AIABhACAAMgBEACAAYQByAHIAYQB5ACAAYgBhAHMAZQBkACAAbwBuACAAYQAgAHAAcgBlAGQAaQBjAGEAdABlAFwAbgAgACAAIAAgAEwAYQBtAGIAZABhAC4AIABUAGgAZQAgAHAAcgBlAGQAaQBjAGEAdABlACAAaQBzACAAYQBwAHAAbABpAGUAZAAgAHQAbwAgAGUAYQBjAGgAIAByAG8AdwAgAGEAbgBkACAAZQBhAGMAaAAgAGMAbwBsAHUAbQBuADsAIABhAG4AeQAgAHYAZQBjAHQAbwByACAAZgBvAHIAXABuACAAIAAgACAAdwBoAGkAYwBoACAAdABoAGUAIABwAHIAZQBkAGkAYwBhAHQAZQAgAHIAZQB0AHUAcgBuAHMAIABUAFIAVQBFACAAaQBzACAAcgBlAG0AbwB2AGUAZAAuAFwAbgBcAG4AUABhAHIAYQBtAGUAdABlAHIAcwA6AFwAbgAgACAAIAAgAGEAcgByAGEAeQAgACAAIAAgACAAIAAgAC0AIAAxAEQAIABvAHIAIAAyAEQAIABhAHIAcgBhAHkALgBcAG4AIAAgACAAIABmAHUAbgBjAHQAaQBvAG4AIAAgACAAIAAtACAATABhAG0AYgBkAGEAIABhAHAAcABsAGkAZQBkACAAdABvACAAZQBhAGMAaAAgAHIAbwB3ACAAYQBuAGQAIABjAG8AbAB1AG0AbgAgAHYAZQBjAHQAbwByAC4AXABuAFwAbgBOAG8AdABlAHMAOgBcAG4AIAAgACAAIAAiICAAVABoAGUAIABwAHIAZQBkAGkAYwBhAHQAZQAgAGkAcwAgAGUAdgBhAGwAdQBhAHQAZQBkACAAaQBuAGQAZQBwAGUAbgBkAGUAbgB0AGwAeQAgAGYAbwByACAAcgBvAHcAcwAgACgAQgBZAFIATwBXACkAIABhAG4AZAAgAGMAbwBsAHUAbQBuAHMAIAAoAEIAWQBDAE8ATAApAC4AXABuACAAIAAgACAAIiAgAEkAZgAgAG4AbwAgAHIAbwB3AHMAIABvAHIAIABjAG8AbAB1AG0AbgBzACAAYQByAGUAIAByAGUAbQBvAHYAZQBkACwAIABcACIAIwBFAE0AUABUAFkALQBBAFIAUgBBAFkAIQBcACIAIABpAHMAIAByAGUAdAB1AHIAbgBlAGQALgBcAG4ALQAtAC0ALQAtAC0ALQAtAC0ALQAtAC0ALQAtAC0ALQAtAC0ALQAtAC0ALQAtAC0ALQAtAC0ALQAtAC0ALQAtAC0ALQAtAC0ALQAtAC0ALQAtAC0ALQAtAC0ALQAtAC0ALQAtAC0ALQAtAC0ALQAtAC0ALQAtAC0ALQAtAC0ALQAtAC0ALQAtAC0ALQAtAC0ALQAtAC0ALQAtAC0AKgAvAFwAbgBcAG4ARABlAGwAZQB0AGUAVwBoAGUAcgBlALsDIAA9AFwAbgBMAEEATQBCAEQAQQAoAFwAbgAgACAAIAAgAGEAcgByAGEAeQAsAFwAbgAgACAAIAAgAGYAdQBuAGMAdABpAG8AbgAsAFwAbgBMAEUAVAAoAFwAbgAgACAAIAAgAC8ALwAgAEkAbgBkAGUAeAAgAHMAZQBxAHUAZQBuAGMAZQBzAFwAbgAgACAAIAAgAGkALAAgACAAIAAgACAAIAAgACAAIAAgAFMARQBRAFUARQBOAEMARQAoAFIATwBXAFMAKABhAHIAcgBhAHkAKQApACwAXABuACAAIAAgACAAagAsACAAIAAgACAAIAAgACAAIAAgACAAUwBFAFEAVQBFAE4AQwBFACgALAAgAEMATwBMAFUATQBOAFMAKABhAHIAcgBhAHkAKQApACwAXABuAFwAbgAgACAAIAAgAC8ALwAgAE4AZQBnAGEAdABlAGQAIABwAHIAZQBkAGkAYwBhAHQAZQAgACgAVABSAFUARQAgAD0AIABrAGUAZQBwACkAXABuACAAIAAgACAAZgBuACwAIAAgACAAIAAgACAAIAAgACAATABBAE0AQgBEAEEAKAB2ACwAIABOAE8AVAAoAGYAdQBuAGMAdABpAG8AbgAoAHYAKQApACkALABcAG4AXABuACAAIAAgACAALwAvACAAUgBvAHcAIABhAG4AZAAgAGMAbwBsAHUAbQBuACAAaQBuAGQAaQBjAGUAcwAgAHQAbwAgAGsAZQBlAHAAXABuACAAIAAgACAAYQAsACAAIAAgACAAIAAgACAAIAAgACAAVABPAEMATwBMACgASQBGACgAQgBZAFIATwBXACgAYQByAHIAYQB5ACwAIABmAG4AKQAsACAAaQAsACAATgBBACgAKQApACwAIAAyACkALABcAG4AIAAgACAAIABiACwAIAAgACAAIAAgACAAIAAgACAAIABUAE8AUgBPAFcAKABJAEYAKABCAFkAQwBPAEwAKABhAHIAcgBhAHkALAAgAGYAbgApACwAIABqACwAIABOAEEAKAApACkALAAgADIAKQAsAFwAbgBcAG4AIAAgACAAIAAvAC8AIABOAG8AIAByAGUAbQBvAHYAYQBsAHMAPwBcAG4AIAAgACAAIABJAHMARQBtAHAAdAB5AD8ALAAgACAAIABBAE4ARAAoAEkAUwBFAFIAUgBPAFIAKABhACkALAAgAEkAUwBFAFIAUgBPAFIAKABiACkAKQAsAFwAbgBcAG4AIAAgACAAIAAvAC8AIABOAGUAdwAgAHMAaABhAHAAZQBcAG4AIAAgACAAIAB4ACwAIAAgACAAIAAgACAAIAAgACAAIABSAE8AVwBTACgAYQApACwAXABuACAAIAAgACAAeQAsACAAIAAgACAAIAAgACAAIAAgACAAQwBPAEwAVQBNAE4AUwAoAGIAKQAsAFwAbgBcAG4AIAAgACAAIAAvAC8AIABJAG4AZABlAHgAIABnAHIAaQBkAHMAXABuACAAIAAgACAAcgAsACAAIAAgACAAIAAgACAAIAAgACAAYQAgACoAIABTAEUAUQBVAEUATgBDAEUAKAAsACAAeQAsACAAMQAsACAAMAApACwAXABuACAAIAAgACAAYwAsACAAIAAgACAAIAAgACAAIAAgACAAYgAgACoAIABTAEUAUQBVAEUATgBDAEUAKAB4ACwAIAAsACAAMQAsACAAMAApACwAXABuAFwAbgAgACAAIAAgAHIAZQBzAHUAbAB0ACwAIAAgACAAIAAgAEkARgAoAEkAcwBFAG0AcAB0AHkAPwAsACAAXAAiACMARQBNAFAAVABZAC0AQQBSAFIAQQBZACEAXAAiACwAIABJAE4ARABFAFgAKABhAHIAcgBhAHkALAAgAHIALAAgAGMAKQApACwAXABuAFwAbgAgACAAIAAgAHIAZQBzAHUAbAB0AFwAbgApACkAOwBcAG4AXABuAFwAbgBcAG4ALwAqACAAWwBHAEEAMAA0AF0AIAAtAC0ALQAtAC0ALQAtAC0ALQAtAC0ALQAtAC0ALQAtAC0ALQAtAC0ALQAtAC0ALQAtAC0ALQAtAC0ALQAtAC0ALQAtAC0ALQAtAC0ALQAtAC0ALQAtAC0ALQAtAC0ALQAtAC0ALQAtAC0ALQAtAC0ALQAtAC0ALQAtAC0ALQAtAC0ALQAtAC0ALQAtAC0ALQAtAFwAbgBGAHUAbgBjAHQAaQBvAG4AOgAgACAAIAAgACAAUABpAG4AYwBo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YQBuAHkAIABmAHUAbABsACAAcgBvAHcAcwAgAG8AcgAgAGMAbwBsAHUAbQBuAHMAIAB3AGgAbwBzAGUAIABjAGUAbABsAHMAIABhAGwAbAAgAGgAYQB2AGUAIABMAEUATgAoAGMAZQBsAGwAKQAgAD0AIAAwAC4AIABSAG8AdwBzACAAbwByAFwAbgAgACAAIAAgAGMAbwBsAHUAbQBuAHMAIABjAG8AbgB0AGEAaQBuAGkAbgBnACAAbwBuAGwAeQAgAGUAbQBwAHQAeQAgAHMAdAByAGkAbgBnAHMAIABvAHIAIABlAHIAcgBvAHIAcwAgAGEAcgBlACAAZABpAHMAYwBhAHIAZABlAGQALgAgAFAAaQBuAGMAaAC7AyAAaQBzACAAYQBcAG4AIAAgACAAIABzAHQAcgB1AGMAdAB1AHIAYQBsACAAYwBsAGUAYQBuAHUAcAAgAG8AcABlAHIAYQB0AG8AcgAgAGYAbwByACAAdAByAGkAbQBtAGkAbgBnACAAdwBoAGkAdABlAHMAcABhAGMAZQARIG8AbgBsAHkAIABvAHIAIABuAHUAbABsACAAcgBlAGcAaQBvAG4AcwAuAFwAbgBcAG4AUABhAHIAYQBtAGUAdABlAHIAcwA6AFwAbgAgACAAIAAgAGEAcgByAGEAeQAgACAAIAAtACAAMQBEACAAbwByACAAMgBEACAAYQByAHIAYQB5ACAAZgByAG8AbQAgAHcAaABpAGMAaAAgAGUAbQBwAHQAeQAgAHIAbwB3AHMAIABhAG4AZAAgAGMAbwBsAHUAbQBuAHMAIABhAHIAZQAgAHIAZQBtAG8AdgBlAGQALgBcAG4AXABuAE4AbwB0AGUAcwA6AFwAbgAgACAAIAAgACIgIABJAGYAIAB0AGgAZQAgAGkAbgBwAHUAdAAgAGEAcgByAGEAeQAgAGkAcwAgAGUAbQBwAHQAeQAsACAAUABpAG4AYwBoALsDIAByAGUAdAB1AHIAbgBzACAAMAAuAFwAbgAgACAAIAAgACIgIABFAHIAcgBvAHIAcwAgAGEAcgBlACAAdAByAGUAYQB0AGUAZAAgAGEAcwAgAG4AbwBuABEgZQBtAHAAdAB5ADsAIABvAG4AbAB5ACAAcgBvAHcAcwAvAGMAbwBsAHUAbQBuAHMAIAB3AGgAZQByAGUAIABMAEUATgAoAGMAZQBsAGwAKQAgAD0AIAAwACAAZgBvAHIAXABuACAAIAAgACAAIAAgAGEAbABsACAAYwBlAGwAbABzACAAYQByAGUAIAByAGUAbQBvAHYAZQBkAC4AXABuACAAIAAgACAAIiAgAFAAaQBuAGMAaAC7AyAAcAByAGUAcwBlAHIAdgBlAHMAIAB0AGgAZQAgAGQAaQBtAGUAbgBzAGkAbwBuAGEAbABpAHQAeQAgAG8AZgAgAG4AbwBuABEgZQBtAHAAdAB5ACAAcgBlAGcAaQBvAG4AcwAgAGEAbgBkACAAZABvAGUAcwAgAG4AbwB0ACAAYQBsAHQAZQByAFwAbgAgACAAIAAgACAAIABpAG4AdABlAHIAbgBhAGwAIABjAG8AbgB0AGUAbgB0AC4AXABuAC0ALQAtAC0ALQAtAC0ALQAtAC0ALQAtAC0ALQAtAC0ALQAtAC0ALQAtAC0ALQAtAC0ALQAtAC0ALQAtAC0ALQAtAC0ALQAtAC0ALQAtAC0ALQAtAC0ALQAtAC0ALQAtAC0ALQAtAC0ALQAtAC0ALQAtAC0ALQAtAC0ALQAtAC0ALQAtAC0ALQAtAC0ALQAtAC0ALQAtAC0ALQAtACoALwBcAG4AXABuAFAAaQBuAGMAaAC7AyAAPQBcAG4ATABBAE0AQgBEAEEAKABcAG4AIAAgACAAIABhAHIAcgBhAHkALABcAG4AXABuAEkARgAoAEMATwBVAE4AVABBACgAYQByAHIAYQB5ACkAIAA9ACAAMAAsADAALABcAG4AXABuAEwARQBUACgAXABuACAAIAAgACAALwAvACAATgBvAG4AESBlAG0AcAB0AHkAIABtAGEAcwBrAFwAbgAgACAAIAAgAGIAbwBvAGwALAAgACAAIAAgACAAIAAgACAAIAAgACAAIAAgACAAIABMAEUATgAoAGEAcgByAGEAeQApACAAPAA+ACAAMAAsAFwAbgBcAG4AIAAgACAAIAAvAC8AIABSAG8AdwAvAGMAbwBsAHUAbQBuACAAawBlAGUAcAAgAGYAbABhAGcAcwBcAG4AIAAgACAAIABPAFIAuwMsACAAIAAgACAAIAAgACAAIAAgACAAIAAgACAAIAAgACAATABBAE0AQgBEAEEAKAB2ACwAIABJAEYARQBSAFIATwBSACgATwBSACgAVABPAEMATwBMACgAdgAsACAAMgApACkALAAgAEYAQQBMAFMARQApACkALABcAG4AIAAgACAAIABtAGEAcgBrAF8AcgBvAHcAcwAsACAAIAAgACAAIAAgACAAIAAgACAAQgBZAFIATwBXACgAYgBvAG8AbAAsACAATwBSALsDKQAsAFwAbgAgACAAIAAgAG0AYQByAGsAXwBjAG8AbABzACwAIAAgACAAIAAgACAAIAAgACAAIABCAFkAQwBPAEwAKABiAG8AbwBsACwAIABPAFIAuwMpACwAXABuAFwAbgAgACAAIAAgAC8ALwAgAFIAZQBtAG8AdgBlACAAZQBtAHAAdAB5ACAAcgBvAHcAcwBcAG4AIAAgACAAIABmAGkAcgBzAHQAXwBwAGEAcwBzACwAIAAgACAAIAAgACAAIAAgACAARgBJAEwAVABFAFIAKABhAHIAcgBhAHkALAAgAG0AYQByAGsAXwByAG8AdwBzACwAIAAwACkALABcAG4AXABuACAAIAAgACAALwAvACAAUgBlAG0AbwB2AGUAIABlAG0AcAB0AHkAIABjAG8AbAB1AG0AbgBzAFwAbgAgACAAIAAgAHIAZQBzAHUAbAB0ACwAIAAgACAAIAAgACAAIAAgACAAIAAgACAAIABGAEkATABUAEUAUgAoAGYAaQByAHMAdABfAHAAYQBzAHMALAAgAG0AYQByAGsAXwBjAG8AbABzACwAIAAwACkALABcAG4AXABuACAAIAAgACAAcgBlAHMAdQBsAHQAXABuACkAKQApADsAXABuAFwAbgBcAG4AXABuAC8AKgAgAFsARwBBADAANQBdACAALQAtAC0ALQAtAC0ALQAtAC0ALQAtAC0ALQAtAC0ALQAtAC0ALQAtAC0ALQAtAC0ALQAtAC0ALQAtAC0ALQAtAC0ALQAtAC0ALQAtAC0ALQAtAC0ALQAtAC0ALQAtAC0ALQAtAC0ALQAtAC0ALQAtAC0ALQAtAC0ALQAtAC0ALQAtAC0ALQAtAC0ALQAtAC0ALQBcAG4ARgB1AG4AYwB0AGkAbwBuADoAIAAgACAAIAAgAFIAZQBtAG8Ad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cwBwAGUAYwBpAGYAaQBjACAAcgBvAHcAcwAgAGEAbgBkAC8AbwByACAAYwBvAGwAdQBtAG4AcwAgAGYAcgBvAG0AIABhACAAcwB1AHAAcABsAGkAZQBkACAAYQByAHIAYQB5AC4AIABSAGUAbQBvAHYAZQC7AyAAcwB1AHAAcABvAHIAdABzAFwAbgAgACAAIAAgAHMAYwBhAGwAYQByAHMALAAgADEARAAgAGEAcgByAGEAeQBzACwAIABhAG4AZAAgADIARAAgAGEAcgByAGEAeQBzACAAZgBvAHIAIABiAG8AdABoACAAcgBvAHcAIABhAG4AZAAgAGMAbwBsAHUAbQBuACAAaQBuAGQAZQB4ACAAaQBuAHAAdQB0AHMALgAgAEEAbABsAFwAbgAgACAAIAAgAGkAbgBkAGUAeAAgAGkAbgBwAHUAdABzACAAYQByAGUAIABmAGwAYQB0AHQAZQBuAGUAZAAgAGIAZQBmAG8AcgBlACAAZQB2AGEAbAB1AGEAdABpAG8AbgAuAFwAbgBcAG4AUABhAHIAYQBtAGUAdABlAHIAcwA6AFwAbgAgACAAIAAgAGEAcgByAGEAeQAgACAAIAAtACAAUgBlAHEAdQBpAHIAZQBkACAAYQByAHIAYQB5ACAAZgByAG8AbQAgAHcAaABpAGMAaAAgAHIAbwB3AHMAIABhAG4AZAAvAG8AcgAgAGMAbwBsAHUAbQBuAHMAIABhAHIAZQAgAHIAZQBtAG8AdgBlAGQALgBcAG4AIAAgACAAIABbAHIAbwB3AHMAXQAgACAALQAgAE8AcAB0AGkAbwBuAGEAbAAgAHIAbwB3ACAAaQBuAGQAZQB4ACAAbwByACAAYQByAHIAYQB5ACAAbwBmACAAaQBuAGQAaQBjAGUAcwAgAHQAbwAgAHIAZQBtAG8AdgBlAC4AXABuACAAIAAgACAAWwBjAG8AbABzAF0AIAAgAC0AIABPAHAAdABpAG8AbgBhAGwAIABjAG8AbAB1AG0AbgAgAGkAbgBkAGUAeAAgAG8AcgAgAGEAcgByAGEAeQAgAG8AZgAgAGkAbgBkAGkAYwBlAHMAIAB0AG8AIAByAGUAbQBvAHYAZQAuAFwAbgBcAG4ATgBvAHQAZQBzADoAXABuACAAIAAgACAAIiAgAFIAZQB0AHUAcgBuAHMAIABcACIAIwBJAE4AVgBBAEwASQBEAC0AUgBPAFcAIQBcACIAIABpAGYAIABhAG4AeQAgAHIAbwB3ACAAaQBuAGQAZQB4ACAAaQBzACAAbwB1AHQAIABvAGYAIABiAG8AdQBuAGQAcwAuAFwAbgAgACAAIAAgACIgIABSAGUAdAB1AHIAbgBzACAAXAAiACMASQBOAFYAQQBMAEkARAAtAEMATwBMACEAXAAiACAAaQBmACAAYQBuAHkAIABjAG8AbAB1AG0AbgAgAGkAbgBkAGUAeAAgAGkAcwAgAG8AdQB0ACAAbwBmACAAYgBvAHUAbgBkAHMALgBcAG4AIAAgACAAIAAiICAAUwBjAGEAbABhAHIAcwAgAGEAcgBlACAAcgBlAHQAdQByAG4AZQBkACAAdQBuAGMAaABhAG4AZwBlAGQALgBcAG4AIAAgACAAIAAiICAAUgBvAHcALwBjAG8AbAB1AG0AbgAgAGkAbgBkAGUAeAAgAGkAbgBwAHUAdABzACAAYQByAGUAIABmAGwAYQB0AHQAZQBuAGUAZAAgAHcAaQB0AGgAIABUAE8AQwBPAEwAIABmAG8AcgAgAGMAbwBuAHMAaQBzAHQAZQBuAGMAeQAuAFwAbgAtAC0ALQAtAC0ALQAtAC0ALQAtAC0ALQAtAC0ALQAtAC0ALQAtAC0ALQAtAC0ALQAtAC0ALQAtAC0ALQAtAC0ALQAtAC0ALQAtAC0ALQAtAC0ALQAtAC0ALQAtAC0ALQAtAC0ALQAtAC0ALQAtAC0ALQAtAC0ALQAtAC0ALQAtAC0ALQAtAC0ALQAtAC0ALQAtAC0ALQAtAC0ALQAqAC8AXABuAFwAbgBSAGUAbQBvAHYAZQC7AyAAPQBcAG4ATABBAE0AQgBEAEEAKABcAG4AIAAgACAAIABhAHIAcgBhAHkALABcAG4AIAAgACAAIABbAHIAbwB3AHMAXQAsAFwAbgAgACAAIAAgAFsAYwBvAGwAcw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AgAHAAcgBlAHMAZQBuAGMAZQBcAG4AIAAgACAAIAByAG8AdwBzAF8AaQBuAGMALAAgACAAIAAgACAAIAAgACAAIAAgACAATgBPAFQAKABJAFMATwBNAEkAVABUAEUARAAoAHIAbwB3AHMAKQApACwAXABuACAAIAAgACAAYwBvAGwAcwBfAGkAbgBjACwAIAAgACAAIAAgACAAIAAgACAAIAAgAE4ATwBUACgASQBTAE8ATQBJAFQAVABFAEQAKABjAG8AbABzACkAKQAsAFwAbgBcAG4AIAAgACAAIAAvAC8AIABSAGUAbQBvAHYAYQBsACAAcwBjAGUAbgBhAHIAaQBvAHMAXABuACAAIAAgACAAUgBlAG0AbwB2AGUAUgBvAHcAcwA/ACwAIAAgACAAIAAgACAAIAAgAEEATgBEACgAcgBvAHcAcwBfAGkAbgBjACwAIABOAE8AVAAoAGMAbwBsAHMAXwBpAG4AYwApACkALABcAG4AIAAgACAAIABSAGUAbQBvAHYAZQBDAG8AbABzAD8ALAAgACAAIAAgACAAIAAgACAAQQBOAEQAKABjAG8AbABzAF8AaQBuAGMALAAgAE4ATwBUACgAcgBvAHcAcwBfAGkAbgBjACkAKQAsAFwAbgAgACAAIAAgAFIAZQBtAG8AdgBlAFIAQwA/ACwAIAAgACAAIAAgACAAIAAgACAAIABBAE4ARAAoAHIAbwB3AHMAXwBpAG4AYwAsACAAYwBvAGwAcwBfAGkAbgBjACkALABcAG4AXABuACAAIAAgACAALwAvACAASABhAGwAdABpAG4AZwAgAHMAYwBlAG4AYQByAGkAbwBzAFwAbgAgACAAIAAgAEkAcwBTAGMAYQBsAGEAcgA/ACwAIAAgACAAIAAgACAAIAAgACAAIABBAE4ARAAoAGgAIAA9ACAAMQAsACAAdwAgAD0AIAAxACkALABcAG4AIAAgACAAIABUAGUAeAB0AFIAbwB3AHMAPwAsACAAIAAgACAAIAAgACAAIAAgACAATwBSACgASQBTAFQARQBYAFQAKAByAG8AdwBzACkAKQAsAFwAbgAgACAAIAAgAFQAZQB4AHQAQwBvAGwAcwA/ACwAIAAgACAAIAAgACAAIAAgACAAIABPAFIAKABJAFMAVABFAFgAVAAoAGMAbwBsAHMAKQApACwAXABuAFwAbgAgACAAIAAgAEkAbgB2AGEAbABpAGQAUgBvAHcAPwAsACAAIAAgACAAIAAgACAAIABJAEYAKABUAGUAeAB0AFIAbwB3AHMAPwAsACAAVABSAFUARQAsAFwAbgAgACAAIAAgACAAIAAgACAAIAAgACAAIAAgACAAIAAgACAAIAAgACAAIAAgACAAIAAgACAAIAAgAEEATgBEACgAcgBvAHcAcwBfAGkAbgBjACwAXABuACAAIAAgACAAIAAgACAAIAAgACAAIAAgACAAIAAgACAAIAAgACAAIAAgACAAIAAgACAAIAAgACAAIAAgACAAIABPAFIAKABNAEkATgAoAHIAbwB3AHMAKQAgADwAIAAxACwAIABNAEEAWAAoAHIAbwB3AHMAKQAgAD4AIABoACkAKQApACwAXABuAFwAbgAgACAAIAAgAEkAbgB2AGEAbABpAGQAQwBvAGwAPwAsACAAIAAgACAAIAAgACAAIABJAEYAKABUAGUAeAB0AEMAbwBsAHMAPwAsACAAVABSAFUARQAsAFwAbgAgACAAIAAgACAAIAAgACAAIAAgACAAIAAgACAAIAAgACAAIAAgACAAIAAgACAAIAAgACAAIAAgAEEATgBEACgAYwBvAGwAcwBfAGkAbgBjACwAXABuACAAIAAgACAAIAAgACAAIAAgACAAIAAgACAAIAAgACAAIAAgACAAIAAgACAAIAAgACAAIAAgACAAIAAgACAAIABPAFIAKABNAEkATgAoAGMAbwBsAHMAKQAgADwAIAAxACwAIABNAEEAWAAoAGMAbwBsAHMAKQAgAD4AIAB3ACkAKQApACwAXABuAFwAbgAvAC8AIABMAG8AZwBpAGMAIABnAGEAdABlAFwAbgAgACAAIAAgAEkARgAoAEkAcwBTAGMAYQBsAGEAcgA/ACwAIABhAHIAcgBhAHkALABcAG4AXABuACAAIAAgACAAIAAgACAAIABJAEYAKABJAG4AdgBhAGwAaQBkAFIAbwB3AD8ALAAgAFwAIgAjAEkATgBWAEEATABJAEQALQBSAE8AVwAhAFwAIgAsAFwAbgBcAG4AIAAgACAAIAAgACAAIAAgACAAIAAgACAASQBGACgASQBuAHYAYQBsAGkAZABDAG8AbAA/ACwAIABcACIAIwBJAE4AVgBBAEwASQBEAC0AQwBPAEwAIQBcACIALABcAG4AXABuAEwARQBUACgAXABuACAAIAAgACAALwAvACAAUgBvAHcALwBjAG8AbAB1AG0AbgAgAGkAbgBkAGUAeAAgAHYAZQBjAHQAbwByAHMAXABuACAAIAAgACAAcgAsACAAIAAgACAAIAAgACAAIAAgACAAIAAgAFMARQBRAFUARQBOAEMARQAoAGgAKQAsAFwAbgAgACAAIAAgAGMALAAgACAAIAAgACAAIAAgACAAIAAgACAAIABTAEUAUQBVAEUATgBDAEUAKAAsACAAdwApACwAXABuAFwAbgAgACAAIAAgAC8ALwAgAEIAbwBvAGwAZQBhAG4AIABtAGEAcwBrAHMAXABuACAAIAAgACAAcgBtAGEAcwBrACwAIAAgACAAIAAgACAAIAAgAEwAQQBNAEIARABBACgASQBTAE4AQQAoAFgATQBBAFQAQwBIACgAcgAsACAAVABPAEMATwBMACgAcgBvAHcAcwApACkAKQApACwAXABuACAAIAAgACAAYwBtAGEAcwBrACwAIAAgACAAIAAgACAAIAAgAEwAQQBNAEIARABBACgASQBTAE4AQQAoAFgATQBBAFQAQwBIACgAYwAsACAAVABPAEMATwBMACgAYwBvAGwAcwApACkAKQApACwAXABuAFwAbgAgACAAIAAgAC8ALwAgAFIAbwB3AC0AbwBuAGwAeQAgAHIAZQBtAG8AdgBhAGwAXABuACAAIAAgACAAcgBvAHcAcwBfAG8AbgBsAHkALAAgACAAIAAgAEwAQQBNAEIARABBACgARgBJAEwAVABFAFIAKABhAHIAcgBhAHkALAAgAHIAbQBhAHMAawAoACkALAAgADAAKQApACwAXABuAFwAbgAgACAAIAAgAC8ALwAgAEMAbwBsAHUAbQBuAC0AbwBuAGwAeQAgAHIAZQBtAG8AdgBhAGwAXABuACAAIAAgACAAYwBvAGwAcwBfAG8AbgBsAHkALAAgACAAIAAgAEwAQQBNAEIARABBACgARgBJAEwAVABFAFIAKABhAHIAcgBhAHkALAAgAGMAbQBhAHMAawAoACkALAAgADAAKQApACwAXABuAFwAbgAgACAAIAAgAC8ALwAgAEIAbwB0AGgAIAByAG8AdwBzACAAYQBuAGQAIABjAG8AbAB1AG0AbgBzAFwAbgAgACAAIAAgAFIAQwBfAHIALAAgACAAIAAgACAAIAAgACAAIABMAEEATQBCAEQAQQAoAEYASQBMAFQARQBSACgAYQByAHIAYQB5ACwAIAByAG0AYQBzAGsAKAApACwAIAAwACkAKQAsAFwAbgAgACAAIAAgAFIAQwAsACAAIAAgACAAIAAgACAAIAAgACAAIABMAEEATQBCAEQAQQAoAEYASQBMAFQARQBSACgAUgBDAF8AcgAoACkALAAgAGMAbQBhAHMAawAoACkALAAgADAAKQApACwAXABuAFwAbgAgACAAIAAgAC8ALwAgAFMAZQBsAGUAYwB0AGkAbwBuAFwAbgAgACAAIAAgAHIAZQBzAHUAbAB0ACwAIAAgACAAIAAgACAAIABJAEYAKABSAGUAbQBvAHYAZQBSAG8AdwBzAD8ALAAgAHIAbwB3AHMAXwBvAG4AbAB5ACgAKQAsAFwAbgAgACAAIAAgACAAIAAgACAAIAAgACAAIAAgACAAIAAgACAAIAAgACAAIAAgACAAIABJAEYAKABSAGUAbQBvAHYAZQBDAG8AbABzAD8ALAAgAGMAbwBsAHMAXwBvAG4AbAB5ACgAKQAsACAAUgBDACgAKQApACkALABcAG4AXABuACAAIAAgACAAcgBlAHMAdQBsAHQAXABuACkAKQApACkAKQApADsAXABuAFwAbgBcAG4AXABuAC8AKgAgAFsARwBBADAANgBdACAALQAtAC0ALQAtAC0ALQAtAC0ALQAtAC0ALQAtAC0ALQAtAC0ALQAtAC0ALQAtAC0ALQAtAC0ALQAtAC0ALQAtAC0ALQAtAC0ALQAtAC0ALQAtAC0ALQAtAC0ALQAtAC0ALQAtAC0ALQAtAC0ALQAtAC0ALQAtAC0ALQAtAC0ALQAtAC0ALQAtAC0ALQAtAC0ALQBcAG4ARgB1AG4AYwB0AGkAbwBuADoAIAAgACAAIAAgAFMAcQB1AGUAZQB6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uAHUAbABsACAAYQBuAGQAIABzAHQAcgBhAGkAZwBoAHQAESB6AGUAcgBvACAAdgBlAHIAdABpAGMAYQBsACAAbwByACAAaABvAHIAaQB6AG8AbgB0AGEAbAAgAHYAZQBjAHQAbwByAHMAIABmAHIAbwBtACAAYQAgADIARAAgAGEAcgByAGEAeQAuAFwAbgAgACAAIAAgAFMAdQBwAHAAbwByAHQAcwAgAGEAbgAgAG8AcAB0AGkAbwBuAGEAbAAgAGMAdQBzAHQAbwBtACAAcwBjAGEAbABhAHIAIABjAHIAaQB0AGUAcgBpAG8AbgAgAGYAbwByACAAcgBlAG0AbwB2AGEAbAAuACAAUwBxAHUAZQBlAHoAZQC7AyAAYwBhAG4AIABhAGwAcwBvAFwAbgAgACAAIAAgAG8AcAB0AGkAbwBuAGEAbABsAHkAIABzAHUAcABwAHIAZQBzAHMAIAB6AGUAcgBvAHMAIABpAG4AIAB0AGgAZQAgAGYAaQBuAGEAbAAgAG8AdQB0AHAAdQB0ACAAYgB5ACAAcgBlAHAAbABhAGMAaQBuAGcAIAB0AGgAZQBtACAAdwBpAHQAaAAgAFwAIgBcACIALgBcAG4AXABuAFAAYQByAGEAbQBlAHQAZQByAHMAOgBcAG4AIAAgACAAIABhAHIAcgBhAHkAIAAgACAAIAAgACAAIAAgACAAIAAgACAALQAgADEARAAgAG8AcgAgADIARAAgAGEAcgByAGEAeQAgAGYAcgBvAG0AIAB3AGgAaQBjAGgAIAByAG8AdwBzAC8AYwBvAGwAdQBtAG4AcwAgAGEAcgBlACAAcgBlAG0AbwB2AGUAZAAuAFwAbgAgACAAIAAgAFsAYwB1AHMAdABvAG0AXwBjAHIAaQB0AGUAcgBpAGEAXQAtACAATwBwAHQAaQBvAG4AYQBsACAAcwBjAGEAbABhAHIAIAB1AHMAZQBkACAAYQBzACAAdABoAGUAIAByAGUAbQBvAHYAYQBsACAAYwByAGkAdABlAHIAaQBvAG4ALgBcAG4AIAAgACAAIABbAHMAdQBwAHAAcgBlAHMAcwBfAHoAZQByAG8AcwBdACAALQAgAEkAZgAgAHAAcgBvAHYAaQBkAGUAZAAsACAAegBlAHIAbwBzACAAaQBuACAAdABoAGUAIABmAGkAbgBhAGwAIAByAGUAcwB1AGwAdAAgAGEAcgBlACAAcgBlAHAAbABhAGMAZQBkACAAdwBpAHQAaAAgAFwAIgBcACIALgBcAG4AXABuAE4AbwB0AGUAcwA6AFwAbgAgACAAIAAgACIgIABJAGYAIABiAG8AdABoACAAcgBvAHcAIABhAG4AZAAgAGMAbwBsAHUAbQBuACAAdgBlAGMAdABvAHIAcwAgAGEAcgBlACAAcgBlAG0AbwB2AGUAZAAsACAAdABoAGUAIAByAGUAcwB1AGwAdAAgAG0AYQB5ACAAcwBoAHIAaQBuAGsAIABpAG4AIABiAG8AdABoAFwAbgAgACAAIAAgACAAIABkAGkAbQBlAG4AcwBpAG8AbgBzAC4AXABuACAAIAAgACAAIiAgAEkAZgAgAG4AbwAgAHIAbwB3AHMAIABvAHIAIABjAG8AbAB1AG0AbgBzACAAcgBlAG0AYQBpAG4ALAAgAFwAIgAjAEUATQBQAFQAWQAtAEEAUgBSAEEAWQAhAFwAIgAgAGkAcwAgAHIAZQB0AHUAcgBuAGUAZAAuAFwAbgAgACAAIAAgACIgIABzAHUAcABwAHIAZQBzAHMAXwB6AGUAcgBvAHMAIABvAG4AbAB5ACAAYQBmAGYAZQBjAHQAcwAgAHQAaABlACAAKgBvAHUAdABwAHUAdAAqACwAIABuAG8AdAAgAHQAaABlACAAcgBlAG0AbwB2AGEAbAAgAGwAbwBnAGkAYwAuAFwAbgAtAC0ALQAtAC0ALQAtAC0ALQAtAC0ALQAtAC0ALQAtAC0ALQAtAC0ALQAtAC0ALQAtAC0ALQAtAC0ALQAtAC0ALQAtAC0ALQAtAC0ALQAtAC0ALQAtAC0ALQAtAC0ALQAtAC0ALQAtAC0ALQAtAC0ALQAtAC0ALQAtAC0ALQAtAC0ALQAtAC0ALQAtAC0ALQAtAC0ALQAtAC0ALQAqAC8AXABuAFwAbgBTAHEAdQBlAGUAegBlALsDIAA9AFwAbgBMAEEATQBCAEQAQQAoAFwAbgAgACAAIAAgAGEAcgByAGEAeQAsAFwAbgAgACAAIAAgAFsAYwB1AHMAdABvAG0AXwBjAHIAaQB0AGUAcgBpAGEAXQAsAFwAbgAgACAAIAAgAFsAcwB1AHAAcAByAGUAcwBzAF8AegBlAHIAbwBzAF0ALABcAG4ATABFAFQAKABcAG4AIAAgACAAIAAvAC8AIABaAGUAcgBvABEgcwB1AHAAcAByAGUAcwBzAGkAbwBuACAAZgBsAGEAZwBcAG4AIAAgACAAIABIAGkAZABlAFoAZQByAG8APwAsACAAIAAgACAAIAAgACAAIAAgACAATgBPAFQAKABJAFMATwBNAEkAVABUAEUARAAoAHMAdQBwAHAAcgBlAHMAcwBfAHoAZQByAG8AcwApACkALABcAG4AXABuACAAIAAgACAALwAvACAASQBuAGQAZQB4ACAAcwBlAHEAdQBlAG4AYwBlAHMAXABuACAAIAAgACAAaQAsACAAIAAgACAAIAAgACAAIAAgACAAIAAgACAAIAAgACAAIAAgAFMARQBRAFUARQBOAEMARQAoAFIATwBXAFMAKABhAHIAcgBhAHkAKQApACwAXABuACAAIAAgACAAagAsACAAIAAgACAAIAAgACAAIAAgACAAIAAgACAAIAAgACAAIAAgAFMARQBRAFUARQBOAEMARQAoACwAIABDAE8ATABVAE0ATgBTACgAYQByAHIAYQB5ACkAKQAsAFwAbgBcAG4AIAAgACAAIAAvAC8AIABEAGUAZgBhAHUAbAB0ACAAcgBlAG0AbwB2AGEAbAA6ACAAcgBlAG0AbwB2AGUAIABhAGwAbAARIHoAZQByAG8AIAB2AGUAYwB0AG8AcgBzAFwAbgAgACAAIAAgAEsAZQBlAHAAuwMsACAAIAAgACAAIAAgACAAIAAgACAAIAAgACAAIABMAEEATQBCAEQAQQAoAHYALAAgAE4ATwBUACgAQQBOAEQAKABUAE8AQwBPAEwAKAB2ACwAIAAyACkAIAA9ACAAMAApACkAKQAsAFwAbgBcAG4AIAAgACAAIAAvAC8AIABDAHUAcwB0AG8AbQAgAHIAZQBtAG8AdgBhAGwAOgAgAHIAZQBtAG8AdgBlACAAdgBlAGMAdABvAHIAcwAgAGUAcQB1AGEAbAAgAHQAbwAgAGMAdQBzAHQAbwBtAF8AYwByAGkAdABlAHIAaQBhAFwAbgAgACAAIAAgAEMAdQBzAHQAbwBtALsDLAAgACAAIAAgACAAIAAgACAAIAAgACAAIABMAEEATQBCAEQAQQAoAHYALAAgAE4ATwBUACgAQQBOAEQAKABUAE8AQwBPAEwAKAB2ACwAIAAyACkAIAA9ACAAYwB1AHMAdABvAG0AXwBjAHIAaQB0AGUAcgBpAGEAKQApACkALABcAG4AXABuACAAIAAgACAALwAvACAAUwBlAGwAZQBjAHQAIABwAHIAZQBkAGkAYwBhAHQAZQBcAG4AIAAgACAAIABmAG4ALAAgACAAIAAgACAAIAAgACAAIAAgACAAIAAgACAAIAAgACAASQBGACgASQBTAE8ATQBJAFQAVABFAEQAKABjAHUAcwB0AG8AbQBfAGMAcgBpAHQAZQByAGkAYQApACwAIABLAGUAZQBwALsDLAAgAEMAdQBzAHQAbwBtALsDKQAsAFwAbgBcAG4AIAAgACAAIAAvAC8AIABSAG8AdwAvAGMAbwBsAHUAbQBuACAAaQBuAGQAaQBjAGUAcwAgAHQAbwAgAGsAZQBlAHAAXABuACAAIAAgACAAYQAsACAAIAAgACAAIAAgACAAIAAgACAAIAAgACAAIAAgACAAIAAgAFQATwBDAE8ATAAoAEkARgAoAEIAWQBSAE8AVwAoAGEAcgByAGEAeQAsACAAZgBuACkALAAgAGkALAAgAE4AQQAoACkAKQAsACAAMgApACwAXABuACAAIAAgACAAYgAsACAAIAAgACAAIAAgACAAIAAgACAAIAAgACAAIAAgACAAIAAgAFQATwBSAE8AVwAoAEkARgAoAEIAWQBDAE8ATAAoAGEAcgByAGEAeQAsACAAZgBuACkALAAgAGoALAAgAE4AQQAoACkAKQAsACAAMgApACwAXABuAFwAbgAgACAAIAAgAC8ALwAgAE4AbwAgAHIAbwB3AHMAIABvAHIAIABjAG8AbAB1AG0AbgBzACAAcgBlAG0AYQBpAG4APwBcAG4AIAAgACAAIABJAHMARQBtAHAAdAB5AD8ALAAgACAAIAAgACAAIAAgACAAIAAgACAAQQBOAEQAKABJAFMARQBSAFIATwBSACgAYQApACwAIABJAFMARQBSAFIATwBSACgAYgApACkALABcAG4AXABuACAAIAAgACAALwAvACAATgBlAHcAIABzAGgAYQBwAGUAXABuACAAIAAgACAAeAAsACAAIAAgACAAIAAgACAAIAAgACAAIAAgACAAIAAgACAAIAAgAFIATwBXAFMAKABhACkALABcAG4AIAAgACAAIAB5ACwAIAAgACAAIAAgACAAIAAgACAAIAAgACAAIAAgACAAIAAgACAAQwBPAEwAVQBNAE4AUwAoAGIAKQAsAFwAbgBcAG4AIAAgACAAIAAvAC8AIABJAG4AZABlAHgAIABnAHIAaQBkAHMAXABuACAAIAAgACAAcgAsACAAIAAgACAAIAAgACAAIAAgACAAIAAgACAAIAAgACAAIAAgAGEAIAAqACAAUwBFAFEAVQBFAE4AQwBFACgALAAgAHkALAAgADEALAAgADAAKQAsAFwAbgAgACAAIAAgAGMALAAgACAAIAAgACAAIAAgACAAIAAgACAAIAAgACAAIAAgACAAIABiACAAKgAgAFMARQBRAFUARQBOAEMARQAoAHgALAAgACwAIAAxACwAIAAwACkALABcAG4AXABuACAAIAAgACAALwAvACAARQB4AHQAcgBhAGMAdAAgAHIAZQBzAHUAbAB0AFwAbgAgACAAIAAgAHIAZQBzAHUAbAB0ACwAIAAgACAAIAAgACAAIAAgACAAIAAgACAAIABJAE4ARABFAFgAKABhAHIAcgBhAHkALAAgAHIALAAgAGMAKQAsAFwAbgBcAG4AIAAgACAAIAAvAC8AIABPAHAAdABpAG8AbgBhAGwAIAB6AGUAcgBvACAAcwB1AHAAcAByAGUAcwBzAGkAbwBuAFwAbgAgACAAIAAgAHIAZQBzAHUAbAB0AF8AYgAsACAAIAAgACAAIAAgACAAIAAgACAAIABJAEYAKAByAGUAcwB1AGwAdAAgAD0AIAAwACwAIABcACIAXAAiACwAIAByAGUAcwB1AGwAdAApACwAXABuAFwAbgAgACAAIAAgAC8ALwAgAEYAaQBuAGEAbAAgAG8AdQB0AHAAdQB0AFwAbgAgACAAIAAgAG8AdQB0AHAAdQB0ACwAIAAgACAAIAAgACAAIAAgACAAIAAgACAAIABJAEYAKABJAHMARQBtAHAAdAB5AD8ALABcAG4AIAAgACAAIAAgACAAIAAgACAAIAAgACAAIAAgACAAIAAgACAAIAAgACAAIAAgACAAIAAgACAAIABcACIAIwBFAE0AUABUAFkALQBBAFIAUgBBAFkAIQBcACIALABcAG4AIAAgACAAIAAgACAAIAAgACAAIAAgACAAIAAgACAAIAAgACAAIAAgACAAIAAgACAAIAAgACAAIABJAEYAKABIAGkAZABlAFoAZQByAG8APwAsACAAcgBlAHMAdQBsAHQAXwBiACwAIAByAGUAcwB1AGwAdAApACkALABcAG4AXABuACAAIAAgACAAbwB1AHQAcAB1AHQAXABuACkAKQA7AFwAbgBcAG4AXABuAFwAbgAvACoAIABbAEcAQQAwADcAXQAgAC0ALQAtAC0ALQAtAC0ALQAtAC0ALQAtAC0ALQAtAC0ALQAtAC0ALQAtAC0ALQAtAC0ALQAtAC0ALQAtAC0ALQAtAC0ALQAtAC0ALQAtAC0ALQAtAC0ALQAtAC0ALQAtAC0ALQAtAC0ALQAtAC0ALQAtAC0ALQAtAC0ALQAtAC0ALQAtAC0ALQAtAC0ALQAtAC0AXABuAEYAdQBuAGMAdABpAG8AbgA6ACAAIAAgACAAIABLAHIAbwBuAGUAYwBrAGUAcgBQAHIAbwBkALsDXABuAEMAYQB0AGUAZwBvAHIAeQA6ACAAIAAgACAAIABHAHIAaQBkACAAQQBsAGcAZQBiAHIAYQAgACgARQB4AHAAYQBuAHMAaQBvAG4AKQBcAG4AQQB1AHQAaABvAHIAOgAgACAAIAAgACAAIAAgAFAAYQB0AHIAaQBjAGsAIABIAC4AXABuAFYAZQByAHMAaQBvAG4AOgAgACAAIAAgACAAIAAxAC4AMQBcAG4ARABlAHAAZQBuAGQAZQBuAGMAaQBlAHMAOgAgAE0AYQBnAG4AaQBmAHkAuwMsACAAUgBlAHMAaQB6AGUAuwNcAG4AXABuAEQAZQBzAGMAcgBpAHAAdABpAG8AbgA6AFwAbgAgACAAIAAgAEMAbwBtAHAAdQB0AGUAcwAgAHQAaABlACAASwByAG8AbgBlAGMAawBlAHIAIABwAHIAbwBkAHUAYwB0ACAAbwBmACAAdAB3AG8AIABhAHIAcgBhAHkAcwAuACAAVABoAGUAIABmAGkAcgBzAHQAIABhAHIAcgBhAHkAIABpAHMAIABlAHgAcABhAG4AZABlAGQAXABuACAAIAAgACAAdQBzAGkAbgBnACAATQBhAGcAbgBpAGYAeQC7AyAAdABvACAAbQBhAHQAYwBoACAAdABoAGUAIABoAGUAaQBnAGgAdAAgAGEAbgBkACAAdwBpAGQAdABoACAAbwBmACAAYQByAHIAYQB5AF8AMgAsACAAdwBoAGkAbABlACAAYQByAHIAYQB5AF8AMgAgAGkAcwBcAG4AIAAgACAAIAByAGUAcwBpAHoAZQBkACAAdQBzAGkAbgBnACAAUgBlAHMAaQB6AGUAuwMgAHQAbwAgAG0AYQB0AGMAaAAgAHQAaABlACAAZABpAG0AZQBuAHMAaQBvAG4AcwAgAG8AZgAgAGEAcgByAGEAeQBfADEALgAgAFQAaABlAGkAcgAgAGUAbABlAG0AZQBuAHQAESB3AGkAcwBlAFwAbgAgACAAIAAgAHAAcgBvAGQAdQBjAHQAIAB5AGkAZQBsAGQAcwAgAHQAaABlACAAZgB1AGwAbAAgAEsAcgBvAG4AZQBjAGsAZQByACAAZQB4AHAAYQBuAHMAaQBvAG4ALgBcAG4AXABuACAAIAAgACAAQQBsAHQAaABvAHUAZwBoACAASwByAG8AbgBlAGMAawBlAHIAIABwAHIAbwBkAHUAYwB0AHMAIABhAHIAZQAgAHQAcgBhAGQAaQB0AGkAbwBuAGEAbABsAHkAIABkAGUAZgBpAG4AZQBkACAAZgBvAHIAIABtAGEAdAByAGkAYwBlAHMALAAgAHQAaABpAHMAXABuACAAIAAgACAAaQBtAHAAbABlAG0AZQBuAHQAYQB0AGkAbwBuACAAYQBsAHMAbwAgAHMAdQBwAHAAbwByAHQAcwAgAHMAYwBhAGwAYQByAHMAIABhAG4AZAAgADEARAAgAGEAcgByAGEAeQBzAC4AXABuAFwAbgBQAGEAcgBhAG0AZQB0AGUAcgBzADoAXABuACAAIAAgACAAYQByAHIAYQB5AF8AMQAgACAAIAAgACAALQAgADEARAAgAG8AcgAgADIARAAgAGEAcgByAGEAeQAgACgAcwBjAGEAbABhAHIAcwAgAGEAYwBjAGUAcAB0AGUAZAApAC4AXABuACAAIAAgACAAYQByAHIAYQB5AF8AMgAgACAAIAAgACAALQAgADEARAAgAG8AcgAgADIARAAgAGEAcgByAGEAeQAgACgAcwBjAGEAbABhAHIAcwAgAGEAYwBjAGUAcAB0AGUAZAApAC4AXABuAFwAbgBOAG8AdABlAHMAOgBcAG4AIAAgACAAIAAiICAAQgByAG8AYQBkAGMAYQBzAHQAaQBuAGcAIABpAHMAIABwAGUAcgBmAG8AcgBtAGUAZAAgAHYAaQBhACAAbgBlAGEAcgBlAHMAdAARIG4AZQBpAGcAaABiAG8AcgAgAGUAeABwAGEAbgBzAGkAbwBuAC4AXABuACAAIAAgACAAIiAgAFQAaABlACAAbwB1AHQAcAB1AHQAIABkAGkAbQBlAG4AcwBpAG8AbgBzACAAYQByAGUAIAAoAFIATwBXAFMAKABhAHIAcgBhAHkAXwAxACkAKgBSAE8AVwBTACgAYQByAHIAYQB5AF8AMgApACkAIADXAFwAbgAgACAAIAAgACAAIAAoAEMATwBMAFUATQBOAFMAKABhAHIAcgBhAHkAXwAxACkAKgBDAE8ATABVAE0ATgBTACgAYQByAHIAYQB5AF8AMgApACkALgBcAG4ALQAtAC0ALQAtAC0ALQAtAC0ALQAtAC0ALQAtAC0ALQAtAC0ALQAtAC0ALQAtAC0ALQAtAC0ALQAtAC0ALQAtAC0ALQAtAC0ALQAtAC0ALQAtAC0ALQAtAC0ALQAtAC0ALQAtAC0ALQAtAC0ALQAtAC0ALQAtAC0ALQAtAC0ALQAtAC0ALQAtAC0ALQAtAC0ALQAtAC0ALQAtAC0AKgAvAFwAbgBcAG4ASwByAG8AbgBlAGMAawBlAHIAUAByAG8AZAC7AyAAPQBcAG4ATABBAE0AQgBEAEEAKABcAG4AIAAgACAAIABhAHIAcgBhAHkAXwAxACwAXABuACAAIAAgACAAYQByAHIAYQB5AF8AMgAsAFwAbgBMAEUAVAAoAFwAbgAgACAAIAAgAC8ALwAgAEQAaQBtAGUAbgBzAGkAbwBuAHMAXABuACAAIAAgACAAaAAsACAAIAAgACAAIAAgAFIATwBXAFMAKABhAHIAcgBhAHkAXwAxACkALABcAG4AIAAgACAAIAB3ACwAIAAgACAAIAAgACAAQwBPAEwAVQBNAE4AUwAoAGEAcgByAGEAeQBfADEAKQAsAFwAbgAgACAAIAAgAGgAgiAsACAAIAAgACAAIABSAE8AVwBTACgAYQByAHIAYQB5AF8AMgApACwAXABuACAAIAAgACAAdwCCICwAIAAgACAAIAAgAEMATwBMAFUATQBOAFMAKABhAHIAcgBhAHkAXwAyACkALABcAG4AXABuACAAIAAgACAALwAvACAAQgByAG8AYQBkAGMAYQBzAHQAIABhAHIAcgBhAHkAXwAxACAAYgB5ACAAbQBhAGcAbgBpAGYAeQBpAG4AZwAgAGUAYQBjAGgAIABlAGwAZQBtAGUAbgB0ACAAaQBuAHQAbwAgAGEAbgAgAGgAgiAgANcAIAB3AIIgIABiAGwAbwBjAGsAXABuACAAIAAgACAAQQAsACAAIAAgACAAIAAgAE0AYQBnAG4AaQBmAHkAuwMoAGEAcgByAGEAeQBfADEALAAgAGgAgiAsACAAdwCCICkALABcAG4AXABuACAAIAAgACAALwAvACAAQgByAG8AYQBkAGMAYQBzAHQAIABhAHIAcgBhAHkAXwAyACAAYgB5ACAAcgBlAHMAaQB6AGkAbgBnACAAaQB0ACAAdABvACAAbQBhAHQAYwBoACAAYQByAHIAYQB5AF8AMQAZIHMAIABzAHQAcgB1AGMAdAB1AHIAZQBcAG4AIAAgACAAIABCACwAIAAgACAAIAAgACAAUgBlAHMAaQB6AGUAuwMoAGEAcgByAGEAeQBfADIALAAgAGgALAAgAHcAKQAsAFwAbgBcAG4AIAAgACAAIAAvAC8AIABFAGwAZQBtAGUAbgB0ABEgdwBpAHMAZQAgAHAAcgBvAGQAdQBjAHQAIAB5AGkAZQBsAGQAcwAgAHQAaABlACAASwByAG8AbgBlAGMAawBlAHIAIABlAHgAcABhAG4AcwBpAG8AbgBcAG4AIAAgACAAIAByAGUAcwB1AGwAdAAsACAAQQAgACoAIABCACwAXABuAFwAbgAgACAAIAAgAHIAZQBzAHUAbAB0AFwAbgApACkAOwBcAG4AXABuAFwAbgBcAG4ALwAqACAAWwBHAEEAMAA4AF0AIAAtAC0ALQAtAC0ALQAtAC0ALQAtAC0ALQAtAC0ALQAtAC0ALQAtAC0ALQAtAC0ALQAtAC0ALQAtAC0ALQAtAC0ALQAtAC0ALQAtAC0ALQAtAC0ALQAtAC0ALQAtAC0ALQAtAC0ALQAtAC0ALQAtAC0ALQAtAC0ALQAtAC0ALQAtAC0ALQAtAC0ALQAtAC0ALQAtAFwAbgBGAHUAbgBjAHQAaQBvAG4AOgAgACAAIAAgACAARQB4AGMAbAB1AGQAZQ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GUAeABjAGwAdQBkAGkAbgBnACAAYQBuAHkAIAByAG8AdwAgAHQAaABhAHQAIABjAG8AbgB0AGEAaQBuAHMAIABhACAAcwBwAGUAYwBpAGYAaQBlAGQAXABuACAAIAAgACAAYwByAGkAdABlAHIAaQBvAG4ALgAgAEUAeABjAGwAdQBkAGUAuwMgAGkAcwAgAGEAIABzAGkAbQBwAGwAaQBmAGkAZQBkACAAYQBsAHQAZQByAG4AYQB0AGkAdgBlACAAdABvACAARgBJAEwAVABFAFIAIAB3AGgAZQByAGUAIAB0AGgAZQAgAHUAcwBlAHIAXABuACAAIAAgACAAcwB1AHAAcABsAGkAZQBzACAAdABoAGUAIABlAHgAYwBsAHUAcwBpAG8AbgAgAHYAYQBsAHUAZQBzACAAZABpAHIAZQBjAHQAbAB5ACAAcgBhAHQAaABlAHIAIAB0AGgAYQBuACAAYQAgAGIAbwBvAGwAZQBhAG4AIABtAGEAcwBrAC4AXABuAFwAbgAgACAAIAAgAFQAaABlACAAZgB1AG4AYwB0AGkAbwBuACAAYwBoAGUAYwBrAHMAIABlAGEAYwBoACAAcgBvAHcAIABmAG8AcgAgAHQAaABlACAAcAByAGUAcwBlAG4AYwBlACAAbwBmACAAYQBuAHkAIAB2AGEAbAB1AGUAIABpAG4AIAAnAGUAeABjAGwAdQBkAGUAJwAuAFwAbgAgACAAIAAgAFIAbwB3AHMAIAB0AGgAYQB0ACAAYwBvAG4AdABhAGkAbgAgAHQAaABlACAAZQB4AGMAbAB1AHMAaQBvAG4AIABjAHIAaQB0AGUAcgBpAG8AbgAgAGEAcgBlACAAcgBlAG0AbwB2AGUAZAA7ACAAYQBsAGwAIABvAHQAaABlAHIAcwAgAGEAcgBlACAAawBlAHAAdAAuAFwAbgBcAG4AUABhAHIAYQBtAGUAdABlAHIAcwA6AFwAbgAgACAAIAAgAGEAcgByAGEAeQAgACAAIAAgACAAIAAgAC0AIAAxAEQAIABvAHIAIAAyAEQAIABhAHIAcgBhAHkAIAB0AG8AIABmAGkAbAB0AGUAcgAuAFwAbgAgACAAIAAgAGUAeABjAGwAdQBkAGUAIAAgACAAIAAgAC0AIABTAGMAYQBsAGEAcgAgAG8AcgAgADEARAAgAGEAcgByAGEAeQAgAG8AZgAgAHYAYQBsAHUAZQBzACAAdABvACAAbwBtAGkAdAAuAFwAbgAgACAAIAAgAFsAaQBmAF8AZQBtAHAAdAB5AF0AIAAgAC0AIABPAHAAdABpAG8AbgBhAGwAIABmAGEAbABsAGIAYQBjAGsAIAB2AGEAbAB1AGUAIAB3AGgAZQBuACAAbgBvACAAcgBvAHcAcwAgAHIAZQBtAGEAaQBuACAAKABkAGUAZgBhAHUAbAB0ACAAPQAgADAAKQAuAFwAbgBcAG4ATgBvAHQAZQBzADoAXABuACAAIAAgACAAIiAgAEEAIAAyAEQAIABlAHgAYwBsAHUAZABlACAAYQByAHIAYQB5ACAAaQBzACAAaQBuAHYAYQBsAGkAZAAgAGEAbgBkACAAaABhAGwAdABzACAAdwBpAHQAaAAgAFwAIgAjADIARAAtAEUAWA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RQB4AGMAbAB1AGQAZQC7AyAAPQBcAG4ATABBAE0AQgBEAEEAKABcAG4AIAAgACAAIABhAHIAcgBhAHkALABcAG4AIAAgACAAIABlAHgAYwBsAHUAZABlACwAXABuACAAIAAgACAAWwBpAGYAXwBlAG0AcAB0AHkAXQAsAFwAbgBcAG4ASQBGACgAQQBOAEQAKABSAE8AVwBTACgAZQB4AGMAbAB1AGQAZQApACAAPgAgADEALAAgAEMATwBMAFUATQBOAFMAKABlAHgAYwBsAHUAZABlACkAIAA+ACAAMQApACwAXAAiACMAMgBEAC0ARQBY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UAeABjAGwAdQBkAGUAIAByAG8AdwBcAG4AIAAgACAAIABrAGUAZQBwAD8ALAAgACAAIAAgACAAIAAgACAAIAAgAE4ATwBUACgAQgBZAFIATwBXACgASQBGAE4AQQAoAFgATQBBAFQAQwBIACgAYQByAHIAYQB5ACwAIABlAHgAYwBsAHUAZABlACkALAAgADAAKQAsAE8AUgApACkALABcAG4AXABuACAAIAAgACAAcgBlAHMAdQBsAHQALAAgACAAIAAgACAAIAAgACAAIABGAEkATABUAEUAUgAoAGEAcgByAGEAeQAsACAAawBlAGUAcAA/ACwAIABpAGYAXwBlAG0AcAB0AHkAKQAsAFwAbgBcAG4AIAAgACAAIAByAGUAcwB1AGwAdABcAG4AKQApACkAOwBcAG4AXABuAFwAbgBcAG4ALwAqACAAWwBHAEEAMAA5AF0AIAAtAC0ALQAtAC0ALQAtAC0ALQAtAC0ALQAtAC0ALQAtAC0ALQAtAC0ALQAtAC0ALQAtAC0ALQAtAC0ALQAtAC0ALQAtAC0ALQAtAC0ALQAtAC0ALQAtAC0ALQAtAC0ALQAtAC0ALQAtAC0ALQAtAC0ALQAtAC0ALQAtAC0ALQAtAC0ALQAtAC0ALQAtAC0ALQAtAFwAbgBGAHUAbgBjAHQAaQBvAG4AOgAgACAAIAAgACAAUwBuAGEAcA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HMAZQBsAGUAYwB0AGkAbgBnACAAcgBvAHcAcwAgAHQAaABhAHQAIABjAG8AbgB0AGEAaQBuACAAYQB0ACAAbABlAGEAcwB0ACAAbwBuAGUAXABuACAAIAAgACAAdgBhAGwAdQBlACAAZgByAG8AbQAgAHQAaABlACAAJwBpAG4AYwBsAHUAZABlACcAIABjAHIAaQB0AGUAcgBpAGEALgAgAFMAbgBhAHAAuwMgAGkAcwAgAGEAIABzAGkAbQBwAGwAaQBmAGkAZQBkACAAYQBsAHQAZQByAG4AYQB0AGkAdgBlACAAdABvAFwAbgAgACAAIAAgAEYASQBMAFQARQBSACAAdwBoAGUAcgBlACAAdABoAGUAIAB1AHMAZQByACAAcwB1AHAAcABsAGkAZQBzACAAdABoAGUAIABpAG4AYwBsAHUAcwBpAG8AbgAgAHYAYQBsAHUAZQBzACAAZABpAHIAZQBjAHQAbAB5ACAAcgBhAHQAaABlAHIAIAB0AGgAYQBuAFwAbgAgACAAIAAgAGEAIABiAG8AbwBsAGUAYQBuACAAbQBhAHMAawAuAFwAbgBcAG4AIAAgACAAIABUAGgAZQAgAGYAdQBuAGMAdABpAG8AbgAgAGMAaABlAGMAawBzACAAZQBhAGMAaAAgAHIAbwB3ACAAZgBvAHIAIAB0AGgAZQAgAHAAcgBlAHMAZQBuAGMAZQAgAG8AZgAgAGEAbgB5ACAAdgBhAGwAdQBlACAAaQBuACAAJwBpAG4AYwBsAHUAZABlACcALgBcAG4AIAAgACAAIABSAG8AdwBzACAAdABoAGEAdAAgAGMAbwBuAHQAYQBpAG4AIAB0AGgAZQAgAGkAbgBjAGwAdQBzAGkAbwBuACAAYwByAGkAdABlAHIAaQBvAG4AIABhAHIAZQAgAGsAZQBwAHQAOwAgAGEAbABsACAAbwB0AGgAZQByAHMAIABhAHIAZQAgAHIAZQBtAG8AdgBlAGQALgBcAG4AXABuAFAAYQByAGEAbQBlAHQAZQByAHMAOgBcAG4AIAAgACAAIABhAHIAcgBhAHkAIAAgACAAIAAgACAAIAAtACAAMQBEACAAbwByACAAMgBEACAAYQByAHIAYQB5ACAAdABvACAAZgBpAGwAdABlAHIALgBcAG4AIAAgACAAIABpAG4AYwBsAHUAZABlACAAIAAgACAAIAAtACAAUwBjAGEAbABhAHIAIABvAHIAIAAxAEQAIABhAHIAcgBhAHkAIABvAGYAIAB2AGEAbAB1AGUAcwAgAHQAbwAgAGkAbgBjAGwAdQBkAGUALgBcAG4AIAAgACAAIABbAGkAZgBfAGUAbQBwAHQAeQBdACAAIAAtACAATwBwAHQAaQBvAG4AYQBsACAAZgBhAGwAbABiAGEAYwBrACAAdgBhAGwAdQBlACAAdwBoAGUAbgAgAG4AbwAgAHIAbwB3AHMAIAByAGUAbQBhAGkAbgAgACgAZABlAGYAYQB1AGwAdAAgAD0AIAAwACkALgBcAG4AXABuAE4AbwB0AGUAcwA6AFwAbgAgACAAIAAgACIgIABBACAAMgBEACAAaQBuAGMAbAB1AGQAZQAgAGEAcgByAGEAeQAgAGkAcwAgAGkAbgB2AGEAbABpAGQAIABhAG4AZAAgAGgAYQBsAHQAcwAgAHcAaQB0AGgAIABcACIAIwAyAEQALQBJAE4AQwBMAFUARABFACEAXAAiAC4AXABuACAAIAAgACAAIiAgAE0AYQB0AGMAaABpAG4AZwAgAGkAcwAgAHAAZQByAGYAbwByAG0AZQBkACAAdQBzAGkAbgBnACAAWABNAEEAVABDAEgAOwAgAG4AbwBuABEgbQBhAHQAYwBoAGUAcwAgAGEAcgBlACAAdAByAGUAYQB0AGUAZAAgAGEAcwAgAHoAZQByAG8ALgBcAG4AIAAgACAAIAAiICAARgBpAGwAdABlAHIAaQBuAGcAIABpAHMAIAByAG8AdwARIHcAaQBzAGUAOwAgAGMAbwBsAHUAbQBuAHMAIABhAHIAZQAgAHAAcgBlAHMAZQByAHYAZQBkAC4AXABuAC0ALQAtAC0ALQAtAC0ALQAtAC0ALQAtAC0ALQAtAC0ALQAtAC0ALQAtAC0ALQAtAC0ALQAtAC0ALQAtAC0ALQAtAC0ALQAtAC0ALQAtAC0ALQAtAC0ALQAtAC0ALQAtAC0ALQAtAC0ALQAtAC0ALQAtAC0ALQAtAC0ALQAtAC0ALQAtAC0ALQAtAC0ALQAtAC0ALQAtAC0ALQAtACoALwBcAG4AXABuAFMAbgBhAHAAuwMgAD0AXABuAEwAQQBNAEIARABBACgAXABuACAAIAAgACAAYQByAHIAYQB5ACwAXABuACAAIAAgACAAaQBuAGMAbAB1AGQAZQAsAFwAbgAgACAAIAAgAFsAaQBmAF8AZQBtAHAAdAB5AF0ALABcAG4AXABuAEkARgAoAEEATgBEACgAUgBPAFcAUwAoAGkAbgBjAGwAdQBkAGUAKQAgAD4AIAAxACwAIABDAE8ATABVAE0ATgBTACgAaQBuAGMAbAB1AGQAZQApACAAPgAgADEAKQAsAFwAIgAjADIARAAtAEkATgBDAEwAVQBEAEUAIQBcACIALABcAG4AXABuAEwARQBUACgAXABuACAAIAAgACAALwAvACAATwBwAHQAaQBvAG4AYQBsACAAZgBhAGwAbABiAGEAYwBrAFwAbgAgACAAIAAgAGkAZgBfAGUAbQBwAHQAeQAsACAAIAAgACAAIAAgACAASQBGACgASQBTAE8ATQBJAFQAVABFAEQAKABpAGYAXwBlAG0AcAB0AHkAKQAsACAAMAAsACAAaQBmAF8AZQBtAHAAdAB5ACkALABcAG4AXABuACAAIAAgACAALwAvACAAVABSAFUARQAgAD0AIABrAGUAZQBwACAAcgBvAHcALAAgAEYAQQBMAFMARQAgAD0AIABkAGkAcwBjAGEAcgBkACAAcgBvAHcAXABuACAAIAAgACAAawBlAGUAcAA/ACwAIAAgACAAIAAgACAAIAAgACAAIABCAFkAUgBPAFcAKABJAEYATgBBACgAWABNAEEAVABDAEgAKABhAHIAcgBhAHkALAAgAGkAbgBjAGwAdQBkAGUAKQAsACAAMAApACwATwBSACkALABcAG4AXABuACAAIAAgACAAcgBlAHMAdQBsAHQALAAgACAAIAAgACAAIAAgACAAIABGAEkATABUAEUAUgAoAGEAcgByAGEAeQAsACAAawBlAGUAcAA/ACwAIABpAGYAXwBlAG0AcAB0AHkAKQAsAFwAbgBcAG4AIAAgACAAIAByAGUAcwB1AGwAdABcAG4AKQApACkAOwBcAG4AXABuAFwAbgBcAG4ALwAqACAAWwBHAEEAMQAwAF0AIAAtAC0ALQAtAC0ALQAtAC0ALQAtAC0ALQAtAC0ALQAtAC0ALQAtAC0ALQAtAC0ALQAtAC0ALQAtAC0ALQAtAC0ALQAtAC0ALQAtAC0ALQAtAC0ALQAtAC0ALQAtAC0ALQAtAC0ALQAtAC0ALQAtAC0ALQAtAC0ALQAtAC0ALQAtAC0ALQAtAC0ALQAtAC0ALQAtAFwAbgBGAHUAbgBjAHQAaQBvAG4AOgAgACAAIAAgACAAUwBoAGkAZgB0ALsDXABuAEMAYQB0AGUAZwBvAHIAeQA6ACAAIAAgACAAIABHAHIAaQBkACAAQQBsAGcAZQBiAHIAYQAgACgAUgBvAGwAbABpAG4AZwApAFwAbgBBAHUAdABoAG8AcgA6ACAAIAAgACAAIAAgACAAUABhAHQAcgBpAGMAawAgAEgALgBcAG4AVgBlAHIAcwBpAG8AbgA6ACAAIAAgACAAIAAgADEALgAxAFwAbgBEAGUAcABlAG4AZABlAG4AYwBpAGUAcwA6ACAARQB4AHAAbABvAGQAZQC7A1wAbgBcAG4ARABlAHMAYwByAGkAcAB0AGkAbwBuADoAXABuACAAIAAgACAAUABlAHIAZgBvAHIAbQBzACAAYQAgAGMAaQByAGMAdQBsAGEAcgAgAHMAaABpAGYAdAAgAG8AbgAgAGEAIABzAHUAcABwAGwAaQBlAGQAIAB0AHUAcABsAGUAIAAoAHMAYwBhAGwAYQByACwAIAAxAEQAIABhAHIAcgBhAHkALAAgAG8AcgAgADIARAAgAGEAcgByAGEAeQApAC4AXABuACAAIAAgACAAUABvAHMAaQB0AGkAdgBlACAAcwBoAGkAZgB0ACAAdgBhAGwAdQBlAHMAIAByAG8AdABhAHQAZQAgAGwAZQBmAHQAOwAgAG4AZQBnAGEAdABpAHYAZQAgAHMAaABpAGYAdAAgAHYAYQBsAHUAZQBzACAAcgBvAHQAYQB0AGUAIAByAGkAZwBoAHQALgBcAG4AXABuACAAIAAgACAARQB4AGEAbQBwAGwAZQBzADoAXABuACAAIAAgACAAIAAgACAAIAA9AFMAaABpAGYAdAC7AygAewAxACwAMgAsADMALAA0AH0ALAAgADIAKQBcAG4AIAAgACAAIAAgACAAIAAgACAAIAAgACAAkiEgAHsAMwAsADQALAAxACwAMgB9AFwAbgBcAG4AIAAgACAAIAAgACAAIAAgAD0AUwBoAGkAZgB0ALsDKAB7ADEALAAyACwAMwAsADQAfQAsACAALQAxACkAXABuACAAIAAgACAAIAAgACAAIAAgACAAIAAgAJIhIAB7ADQALAAxACwAMgAsADMAfQBcAG4AXABuACAAIAAgACAAIAAgACAAIAA9AFMAaABpAGYAdAC7AygAXAAiADEAMgAzADQAXAAiACkAXABuACAAIAAgACAAIAAgACAAIAAgACAAIAAgAJIhIAB7AFwAIgAyAFwAIgA7AFwAIgAzAFwAIgA7AFwAIgA0AFwAIgA7AFwAIgAxAFwAIgB9AFwAbgAgACAAIAAgACAAIAAgACAAXABuACAAIAAgACAAIAAgACAAIAA9AFMAaABpAGYAdAC7AygAewAxACwAMgAsADMALAA0AH0ALAB7ADEALAAyACwAMwB9ACkAXABuACAAIAAgACAAIAAgACAAIAAgACAAIAAgAJIhIAB7ADIALAAzACwANAAsADEAOwBcAG4AIAAgACAAIAAgACAAIAAgACAAIAAgACAAIAAgACAAMwAsADQALAAxACwAMgA7AFwAbgAgACAAIAAgACAAIAAgACAAIAAgACAAIAAgACAAIAA0ACwAMQAsADIALAAzAH0AXABuAFwAbgBQAGEAcgBhAG0AZQB0AGUAcgBzADoAXABuACAAIAAgACAAdAB1AHAAbABlACAAIAAgACAAIAAgACAALQAgAFMAYwBhAGwAYQByACwAIAAxAEQAIABhAHIAcgBhAHkALAAgAG8AcgAgADIARAAgAGEAcgByAGEAeQAuAFwAbgAgACAAIAAgACAAIAAgACAAIAAgACAAIAAgACAAIAAgACAAIAAiICAAUwBjAGEAbABhAHIAcwAgAGEAcgBlACAAZQB4AHAAbABvAGQAZQBkACAAaQBuAHQAbwAgAGMAaABhAHIAYQBjAHQAZQByACAAYQByAHIAYQB5AHMAIAB2AGkAYQAgAEUAeABwAGwAbwBkAGUAuwMuAFwAbgAgACAAIAAgACAAIAAgACAAIAAgACAAIAAgACAAIAAgACAAIAAiICAAMgBEACAAYQByAHIAYQB5AHMAIABhAHIAZQAgAGYAbABhAHQAdABlAG4AZQBkACAAdwBpAHQAaAAgAFQATwBDAE8ATAAuAFwAbgBcAG4AIAAgACAAIABbAHMAaABpAGYAdABfAGIAeQBdACAAIAAtACAAUwBoAGkAZgB0ACAAYwBvAHUAbgB0ACAAKABkAGUAZgBhAHUAbAB0ACAAPQAgADEAKQAuAFwAbgAgACAAIAAgACAAIAAgACAAIAAgACAAIAAgACAAIAAgACAAIAAiICAAUABvAHMAaQB0AGkAdgBlACAAkiEgAGwAZQBmAHQAIABzAGgAaQBmAHQAXABuACAAIAAgACAAIAAgACAAIAAgACAAIAAgACAAIAAgACAAIAAgACIgIABOAGUAZwBhAHQAaQB2AGUAIACSISAAcgBpAGcAaAB0ACAAcwBoAGkAZgB0AFwAbgAgACAAIAAgACAAIAAgACAAIAAgACAAIAAgACAAIAAgACAAIAAiICAATQB1AGwAdABpABEgcwBoAGkAZgB0ACAAYQByAHIAYQB5AHMAIABwAHIAbwBkAHUAYwBlACAAYQAgAGEAcgByAGEAeQBfADIARAAgAG8AZgAgAHMAaABpAGYAdABlAGQAIAB0AHUAcABsAGUAcwAuAFwAbgBcAG4ATgBvAHQAZQBzADoAXABuACAAIAAgACAAIiAgAE8AdQB0AHAAdQB0ACAAbwByAGkAZQBuAHQAYQB0AGkAbwBuACAAbQBhAHQAYwBoAGUAcwAgAGkAbgBwAHUAdAA6AFwAbgAgACAAIAAgACAAIAAgACAAIAAgAC0AIABTAGMAYQBsAGEAcgBzACAAkiEgAHYAZQByAHQAaQBjAGEAbABcAG4AIAAgACAAIAAgACAAIAAgACAAIAAtACAAVgBlAHIAdABpAGMAYQBsACAAYQByAHIAYQB5AHMAIACSISAAdgBlAHIAdABpAGMAYQBsAFwAbgAgACAAIAAgACAAIAAgACAAIAAgAC0AIABIAG8AcgBpAHoAbwBuAHQAYQBsACAAYQByAHIAYQB5AHMAIACSISAAaABvAHIAaQB6AG8AbgB0AGEAbABcAG4AIAAgACAAIAAiICAATQB1AGwAdABpABEgcwBoAGkAZgB0ACAAaQBuAHAAdQB0AHMAIAByAGUAdAB1AHIAbgAgAGEAIABzAHQAYQBjAGsAZQBkACAAYQByAHIAYQB5AF8AMgBEACAAbwBmACAAcwBoAGkAZgB0AGUAZAAgAHIAZQBzAHUAbAB0AHMALgBcAG4ALQAtAC0ALQAtAC0ALQAtAC0ALQAtAC0ALQAtAC0ALQAtAC0ALQAtAC0ALQAtAC0ALQAtAC0ALQAtAC0ALQAtAC0ALQAtAC0ALQAtAC0ALQAtAC0ALQAtAC0ALQAtAC0ALQAtAC0ALQAtAC0ALQAtAC0ALQAtAC0ALQAtAC0ALQAtAC0ALQAtAC0ALQAtAC0ALQAtAC0ALQAtAC0AKgAvAFwAbgBcAG4AUwBoAGkAZgB0ALsDIAA9AFwAbgBMAEEATQBCAEQAQQAoAFwAbgAgACAAIAAgAHQAdQBwAGwAZQAsAFwAbgAgACAAIAAgAFsAcwBoAGkAZgB0AF8AYgB5AF0ALABcAG4ATABFAFQAKABcAG4AIAAgACAAIAAvAC8AIABTAGgAYQBwAGUAIABjAGwAYQBzAHMAaQBmAGkAYwBhAHQAaQBvAG4AXABuACAAIAAgACAAaAAsACAAIAAgACAAIAAgACAAIAAgACAAIAAgACAAIAAgACAAIAAgAFIATwBXAFMAKAB0AHUAcABsAGUAKQAsAFwAbgAgACAAIAAgAHcALAAgACAAIAAgACAAIAAgACAAIAAgACAAIAAgACAAIAAgACAAIABDAE8ATABVAE0ATgBTACgAdAB1AHAAbABlACkALABcAG4AIAAgACAAIABJAHMAUwBjAGEAbABhAHIAPwAsACAAIAAgACAAIAAgACAAIAAgACAAQQBOAEQAKABoACAAPQAgADEALAAgAHcAIAA9ACAAMQApACwAXABuACAAIAAgACAASQBzAFYAZQByAHQAaQBjAGEAbAA/ACwAIAAgACAAIAAgACAAIAAgAEEATgBEACgAaAAgAD4AIAAxACwAIAB3ACAAPQAgADEAKQAsAFwAbgBcAG4AIAAgACAAIAAvAC8AIABOAG8AcgBtAGEAbABpAHoAZQAgAHQAdQBwAGwAZQAgAJIhIAB2AGUAcgB0AGkAYwBhAGwAIABhAHIAcgBhAHkAXABuACAAIAAgACAAdAB1AHAAbABlACwAIAAgACAAIAAgACAAIAAgACAAIAAgACAAIAAgAFQATwBDAE8ATAAoAEkARgAoAEkAcwBTAGMAYQBsAGEAcgA/ACwARQB4AHAAbABvAGQAZQC7AygAdAB1AHAAbABlACkALAB0AHUAcABsAGUAKQApACwAXABuAFwAbgAgACAAIAAgAC8ALwAgAE4AbwByAG0AYQBsAGkAegBlACAAcwBoAGkAZgB0AF8AYgB5ACAAkiEgAHYAZQByAHQAaQBjAGEAbAAgAGEAcgByAGEAeQBcAG4AIAAgACAAIABzAGgAaQBmAHQAXwBiAHkALAAgACAAIAAgACAAIAAgACAAIAAgACAAVABPAEMATwBMACgASQBGACgASQBTAE8ATQBJAFQAVABFAEQAKABzAGgAaQBmAHQAXwBiAHkAKQAsACAAMQAsACAAcwBoAGkAZgB0AF8AYgB5ACkAKQAsAFwAbgAgACAAIAAgAEkAcwBNAHUAbAB0AGkAUwBoAGkAZgB0AD8ALAAgACAAIAAgACAAIABDAE8AVQBOAFQAQQAoAHMAaABpAGYAdABfAGIAeQApACAAPgAgADEALABcAG4AXABuACAAIAAgACAALwAvACAAUwBjAGUAbgBhAHIAaQBvAHMAXABuACAAIAAgACAASQBzADEARQBsAGUAbQBlAG4AdAA/ACwAIAAgACAAIAAgACAAIAAgAEMATwBVAE4AVABBACgAdAB1AHAAbABlACkAIAA9ACAAMQAsAFwAbgAgACAAIAAgAEkAcwBUAGUAeAB0AFMAaABpAGYAdAA/ACwAIAAgACAAIAAgACAAIABPAFIAKABJAFMAVABFAFgAVAAoAHMAaABpAGYAdABfAGIAeQApACkALABcAG4AXABuAC8ALwAgAEwAbwBnAGkAYwAgAGcAYQB0AGUAXABuACAAIAAgACAASQBGACgASQBzADEARQBsAGUAbQBlAG4AdAA/ACwAIAB0AHUAcABsAGUALABcAG4AXABuACAAIAAgACAAIAAgACAAIABJAEYAKABJAHMAVABlAHgAdABTAGgAaQBmAHQAPwAsACAAXAAiACMAVABFAFgAVAAtAFMASABJAEYAVAAhAFwAIgAsAFwAbgBcAG4ATABFAFQAKABcAG4AIAAgACAAIAAvAC8AIABUAHUAcABsAGUAIABsAGUAbgBnAHQAaABcAG4AIAAgACAAIABuACwAIAAgACAAIAAgACAAIAAgACAAIABDAE8AVQBOAFQAQQAoAHQAdQBwAGwAZQApACwAXABuAFwAbgAgACAAIAAgAC8ALwAgADAAESBiAGEAcwBlAGQAIABpAG4AZABlAHgAIABzAGUAcQB1AGUAbgBjAGUAXABuACAAIAAgACAAaQAsACAAIAAgACAAIAAgACAAIAAgACAAUwBFAFEAVQBFAE4AQwBFACgALAAgAG4ALAAgADAALAAgADEAKQAsAFwAbgBcAG4AIAAgACAAIAAvAC8AIABDAGkAcgBjAHUAbABhAHIAIABpAG4AZABlAHgAIABzAGUAbABlAGMAdABpAG8AbgBcAG4AIAAgACAAIABpAGQAeAAsACAAIAAgACAAIAAgACAAIABNAE8ARAAoAGkAIAArACAAcwBoAGkAZgB0AF8AYgB5ACwAIABuACkAIAArACAAMQAsAFwAbgBcAG4AIAAgACAAIAAvAC8AIABBAHAAcABsAHkAIABzAGgAaQBmAHQAXABuACAAIAAgACAAcwBoAGkAZgB0AGUAZAAsACAAIAAgACAASQBOAEQARQBYACgAdAB1AHAAbABlACwAIABpAGQAeAApACwAXABuAFwAbgAgACAAIAAgAC8ALwAgAFIAZQBzAHQAbwByAGUAIABvAHIAaQBlAG4AdABhAHQAaQBvAG4AXABuACAAIAAgACAAcgBlAHMAdQBsAHQALAAgACAAIAAgACAASQBGACgASQBzAE0AdQBsAHQAaQBTAGgAaQBmAHQAPwAsACAAcwBoAGkAZgB0AGUAZAAsAFwAbgAgACAAIAAgACAAIAAgACAAIAAgACAAIAAgACAAIAAgACAAIAAgACAAIAAgACAAIAAgACAAIAAgAEkARgAoAE8AUgAoAEkAcwBTAGMAYQBsAGEAcgA/ACwAIABJAHMAVgBlAHIAdABpAGMAYQBsAD8AKQAsAFwAbgAgACAAIAAgACAAIAAgACAAIAAgACAAIAAgACAAIAAgACAAIAAgACAAIAAgACAAIAAgACAAIAAgACAAIAAgACAAVABPAEMATwBMACgAcwBoAGkAZgB0AGUAZAApACwAXABuACAAIAAgACAAIAAgACAAIAAgACAAIAAgACAAIAAgACAAIAAgACAAIAAgACAAIAAgACAAIAAgACAAIAAgACAAIABUAE8AUgBPAFcAKABzAGgAaQBmAHQAZQBkACkAKQApACwAXABuAFwAbgAgACAAIAAgAHIAZQBzAHUAbAB0AFwAbgApACkAKQApACkAOwBcAG4AXABuAFwAbgBcAG4ALwAqACAAWwBHAEEAMQAxAF0AIAAtAC0ALQAtAC0ALQAtAC0ALQAtAC0ALQAtAC0ALQAtAC0ALQAtAC0ALQAtAC0ALQAtAC0ALQAtAC0ALQAtAC0ALQAtAC0ALQAtAC0ALQAtAC0ALQAtAC0ALQAtAC0ALQAtAC0ALQAtAC0ALQAtAC0ALQAtAC0ALQAtAC0ALQAtAC0ALQAtAC0ALQAtAC0ALQAtAFwAbgBGAHUAbgBjAHQAaQBvAG4AOgAgACAAIAAgACAAUwBoAGkAZgB0AFIAbwB3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aABvAHIAaQB6AG8AbgB0AGEAbAAgAHMAaABpAGYAdAAgAG8AbgAgAGUAYQBjAGgAIAByAG8AdwAgAG8AZgAgAGEAIAAyAEQAIABhAHIAcgBhAHkALgAgAFQAaABlACAAcwBoAGkAZgB0AF8AYgB5AFwAbgAgACAAIAAgAHYAYQBsAHUAZQAgAGQAZQB0AGUAcgBtAGkAbgBlAHMAIABoAG8AdwAgAG0AYQBuAHkAIABwAG8AcwBpAHQAaQBvAG4AcwAgAGUAYQBjAGgAIAByAG8AdwAgAGkAcwAgAHIAbwB0AGEAdABlAGQAOgBcAG4AIAAgACAAIAAgACAAIAAgACIgIABQAG8AcwBpAHQAaQB2AGUAIACSISAAcwBoAGkAZgB0ACAAbABlAGYAdABcAG4AIAAgACAAIAAgACAAIAAgACIgIABOAGUAZwBhAHQAaQB2AGUAIACSISAAcwBoAGkAZgB0ACAAcgBpAGcAaAB0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UgBvAHcAcwC7AygAYQByAHIAYQB5ACwAIAAxACkAXABuACAAIAAgACAAIAAgACAAIACSISAAewBcACIATQBhAHQAaABcACIALABcACIAQgBcACIALABcACIAQgBvAGIAXAAiADsAXABuACAAIAAgACAAIAAgACAAIAAgACAAIABcACIAUABoAHkAcwBpAGMAcwBcACIALABcACIAQQBcACIALABcACIARABlAGIAXAAiADsAXABuACAAIAAgACAAIAAgACAAIAAgACAAIABcACIASABpAHMAdABvAHIAeQBcACIALABcACIAQgBcACIALABcACIAUwB1AGUAXAAiADsAXABuACAAIAAgACAAIAAgACAAIAAgACAAIABcACIAQwBoAGUAbQBpAHMAdAByAHkAXAAiACwAXAAiAEMAXAAiACwAXAAiAEoAbwBlAFwAIgB9AFwAbgBcAG4AIAAgACAAIAA9AFMAaABpAGYAdABSAG8AdwBzALsDKABhAHIAcgBhAHkALAAgAC0AMQApAFwAbgAgACAAIAAgACAAIAAgACAAkiEgAHsAXAAiAEIAXAAiACwAXAAiAEIAbwBiAFwAIgAsAFwAIgBNAGEAdABoAFwAIgA7AFwAbgAgACAAIAAgACAAIAAgACAAIAAgACAAXAAiAEEAXAAiACwAXAAiAEQAZQBiAFwAIgAsAFwAIgBQAGgAeQBzAGkAYwBzAFwAIgA7AFwAbgAgACAAIAAgACAAIAAgACAAIAAgACAAXAAiAEIAXAAiACwAXAAiAFMAdQBlAFwAIgAsAFwAIgBIAGkAcwB0AG8AcgB5AFwAIgA7AFwAbgAgACAAIAAgACAAIAAgACAAIAAgACAAXAAiAEMAXAAiACwAXAAiAEoAbwBlAFwAIgAsAFwAIgBDAGgAZQBtAGkAcwB0AHIAeQBcACIAfQBcAG4ALQAtAC0ALQAtAC0ALQAtAC0ALQAtAC0ALQAtAC0ALQAtAC0ALQAtAC0ALQAtAC0ALQAtAC0ALQAtAC0ALQAtAC0ALQAtAC0ALQAtAC0ALQAtAC0ALQAtAC0ALQAtAC0ALQAtAC0ALQAtAC0ALQAtAC0ALQAtAC0ALQAtAC0ALQAtAC0ALQAtAC0ALQAtAC0ALQAtAC0ALQAtAC0AKgAvAFwAbgBcAG4AUwBoAGkAZgB0AFIAbwB3AHMAuwMgAD0AXABuAEwAQQBNAEIARABBACgAXABuACAAIAAgACAAYQByAHIAYQB5AF8AMgBEACwAXABuACAAIAAgACAAWwBzAGgAaQBmAHQAXwBiAHkAXQAsAFwAbgBMAEUAVAAoAFwAbgAgACAAIAAgAC8ALwAgAEQAaQBtAGUAbgBzAGkAbwBuAHMAXABuACAAIAAgACAAaAAsACAAIAAgACAAIAAgACAAIABSAE8AVwBTACgAYQByAHIAYQB5AF8AMgBEACkALABcAG4AIAAgACAAIAB3ACwAIAAgACAAIAAgACAAIAAgAEMATwBMAFUATQBOAFMAKABhAHIAcgBhAHkAXwAyAEQAKQAsAFwAbgBcAG4AIAAgACAAIAAvAC8AIAAxAEQAIABhAHIAcgBhAHkAcwAgAC8AIABzAGMAYQBsAGEAcgBzACAAaABhAG4AZABsAGUAZAAgAGIAeQAgAFMAaABpAGYAdAC7A1wAbgAgACAAIAAgAEkAcwAxAEQAPwAsACAAIAAgACAATwBSACgAaAAgAD0AIAAxACwAIAB3ACAAPQAgADEAKQAsAFwAbgBcAG4AIAAgACAAIABJAEYAKABJAHMAMQBEAD8ALABTAGgAaQBmAHQAuwMoAGEAcgByAGEAeQBfADIARAAsACAAcwBoAGkAZgB0AF8AYgB5ACkALABcAG4AXABuAEwARQBUACgAXABuACAAIAAgACAALwAvACAAUgBvAHcAIABpAG4AZABpAGMAZQBzACAAcgBlAG0AYQBpAG4AIABmAGkAeABlAGQAXABuACAAIAAgACAAaQAsACAAIAAgACAAIAAgACAAIABNAEcAcgBpAGQAuwMoAGEAcgByAGEAeQBfADIARAApACwAXABuAFwAbgAgACAAIAAgAC8ALwAgAEMAbwBsAHUAbQBuACAAaQBuAGQAaQBjAGUAcwAgAGEAcgBlACAAYwBpAHIAYwB1AGwAYQByAGwAeQAgAHMAaABpAGYAdABlAGQAXABuACAAIAAgACAAagAsACAAIAAgACAAIAAgACAAIABSAGUAcwBpAHoAZQC7AygAUwBoAGkAZgB0ALsDKABTAEUAUQBVAEUATgBDAEUAKAAsACAAdwApACwAIABzAGgAaQBmAHQAXwBiAHkAKQAsAGgAKQAsAFwAbgBcAG4AIAAgACAAIAByAGUAcwB1AGwAdAAsACAAIAAgAEkATgBEAEUAWAAoAGEAcgByAGEAeQBfADIARAAsACAAaQAsACAAagApACwAXABuAFwAbgAgACAAIAAgAHIAZQBzAHUAbAB0AFwAbgApACkAKQApADsAXABuAFwAbgBcAG4AXABuAC8AKgAgAFsARwBBADEAMgBdACAALQAtAC0ALQAtAC0ALQAtAC0ALQAtAC0ALQAtAC0ALQAtAC0ALQAtAC0ALQAtAC0ALQAtAC0ALQAtAC0ALQAtAC0ALQAtAC0ALQAtAC0ALQAtAC0ALQAtAC0ALQAtAC0ALQAtAC0ALQAtAC0ALQAtAC0ALQAtAC0ALQAtAC0ALQAtAC0ALQAtAC0ALQAtAC0ALQBcAG4ARgB1AG4AYwB0AGkAbwBuADoAIAAgACAAIAAgAFMAaABpAGYAdABDAG8AbABzALsDXABuAEMAYQB0AGUAZwBvAHIAeQA6ACAAIAAgACAAIABHAHIAaQBkACAAQQBsAGcAZQBiAHIAYQAgACgAUgBvAGwAbABpAG4AZwApAFwAbgBBAHUAdABoAG8AcgA6ACAAIAAgACAAIAAgACAAUABhAHQAcgBpAGMAawAgAEgALgBcAG4AVgBlAHIAcwBpAG8AbgA6ACAAIAAgACAAIAAgADEALgAxAFwAbgBEAGUAcABlAG4AZABlAG4AYwBpAGUAcwA6ACAAUwBoAGkAZgB0ALsDLAAgAE0ARwByAGkAZAC7AywAIABSAGUAcwBpAHoAZQC7A1wAbgBcAG4ARABlAHMAYwByAGkAcAB0AGkAbwBuADoAXABuACAAIAAgACAAUABlAHIAZgBvAHIAbQBzACAAYQAgAGMAaQByAGMAdQBsAGEAcgAgAHYAZQByAHQAaQBjAGEAbAAgAHMAaABpAGYAdAAgAG8AbgAgAGUAYQBjAGgAIABjAG8AbAB1AG0AbgAgAG8AZgAgAGEAIAAyAEQAIABhAHIAcgBhAHkALgAgAFQAaABlACAAcwBoAGkAZgB0AF8AYgB5AFwAbgAgACAAIAAgAHYAYQBsAHUAZQAgAGQAZQB0AGUAcgBtAGkAbgBlAHMAIABoAG8AdwAgAG0AYQBuAHkAIABwAG8AcwBpAHQAaQBvAG4AcwAgAGUAYQBjAGgAIABjAG8AbAB1AG0AbgAgAGkAcwAgAHIAbwB0AGEAdABlAGQAOgBcAG4AIAAgACAAIAAgACAAIAAgACIgIABQAG8AcwBpAHQAaQB2AGUAIACSISAAcwBoAGkAZgB0ACAAdQBwAFwAbgAgACAAIAAgACAAIAAgACAAIiAgAE4AZQBnAGEAdABpAHYAZQAgAJIhIABzAGgAaQBmAHQAIABkAG8AdwBu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QwBvAGwAcwC7AygAYQByAHIAYQB5ACwAIAAxACkAXABuACAAIAAgACAAIAAgACAAIACSISAAewBcACIARABlAGIAXAAiACwAXAAiAFAAaAB5AHMAaQBjAHMAXAAiACwAXAAiAEEAXAAiADsAXABuACAAIAAgACAAIAAgACAAIAAgACAAIABcACIAUwB1AGUAXAAiACwAXAAiAEgAaQBzAHQAbwByAHkAXAAiACwAXAAiAEIAXAAiADsAXABuACAAIAAgACAAIAAgACAAIAAgACAAIABcACIASgBvAGUAXAAiACwAXAAiAEMAaABlAG0AaQBzAHQAcgB5AFwAIgAsAFwAIgBDAFwAIgA7AFwAbgAgACAAIAAgACAAIAAgACAAIAAgACAAXAAiAEIAbwBiAFwAIgAsAFwAIgBNAGEAdABoAFwAIgAsAFwAIgBCAFwAIgB9AFwAbgBcAG4AIAAgACAAIAA9AFMAaABpAGYAdABDAG8AbABzALsDKABhAHIAcgBhAHkALAAgAC0AMQApAFwAbgAgACAAIAAgACAAIAAgACAAkiEgAHsAXAAiAEoAbwBlAFwAIgAsAFwAIgBDAGgAZQBtAGkAcwB0AHIAeQBcACIALABcACIAQwBcACIAOwBcAG4AIAAgACAAIAAgACAAIAAgACAAIAAgAFwAIgBCAG8AYgBcACIALABcACIATQBhAHQAaABcACIALABcACIAQgBcACIAOwBcAG4AIAAgACAAIAAgACAAIAAgACAAIAAgAFwAIgBEAGUAYgBcACIALABcACIAUABoAHkAcwBpAGMAcwBcACIALABcACIAQQBcACIAOwBcAG4AIAAgACAAIAAgACAAIAAgACAAIAAgAFwAIgBTAHUAZQBcACIALABcACIASABpAHMAdABvAHIAeQBcACIALABcACIAQgBcACIAfQBcAG4ALQAtAC0ALQAtAC0ALQAtAC0ALQAtAC0ALQAtAC0ALQAtAC0ALQAtAC0ALQAtAC0ALQAtAC0ALQAtAC0ALQAtAC0ALQAtAC0ALQAtAC0ALQAtAC0ALQAtAC0ALQAtAC0ALQAtAC0ALQAtAC0ALQAtAC0ALQAtAC0ALQAtAC0ALQAtAC0ALQAtAC0ALQAtAC0ALQAtAC0ALQAtAC0AKgAvAFwAbgBcAG4AUwBoAGkAZgB0AEMAbwBsAHMAuwMgAD0AXABuAEwAQQBNAEIARABBACgAXABuACAAIAAgACAAYQByAHIAYQB5AF8AMgBEACwAXABuACAAIAAgACAAWwBzAGgAaQBmAHQAXwBiAHkAXQAsAFwAbgBMAEUAVAAoAFwAbgAgACAAIAAgAC8ALwAgAEQAaQBtAGUAbgBzAGkAbwBuAHMAXABuACAAIAAgACAAaAAsACAAIAAgACAAIAAgACAAIAAgACAAIABSAE8AVwBTACgAYQByAHIAYQB5AF8AMgBEACkALABcAG4AIAAgACAAIAB3ACwAIAAgACAAIAAgACAAIAAgACAAIAAgAEMATwBMAFUATQBOAFMAKABhAHIAcgBhAHkAXwAyAEQAKQAsAFwAbgBcAG4AIAAgACAAIAAvAC8AIAAxAEQAIABhAHIAcgBhAHkAcwAgAC8AIABzAGMAYQBsAGEAcgBzACAAaABhAG4AZABsAGUAZAAgAGIAeQAgAFMAaABpAGYAdAC7A1wAbgAgACAAIAAgAEkAcwAxAEQAPwAsACAAIAAgACAAIAAgACAATwBSACgAaAAgAD0AIAAxACwAIAB3ACAAPQAgADEAKQAsAFwAbgBcAG4AIAAgACAAIABJAEYAKABJAHMAMQBEAD8ALABTAGgAaQBmAHQAuwMoAGEAcgByAGEAeQBfADIARAAsACAAcwBoAGkAZgB0AF8AYgB5ACkALABcAG4AXABuAEwARQBUACgAXABuACAAIAAgACAALwAvACAAQwBvAGwAdQBtAG4AIABpAG4AZABpAGMAZQBzACAAYQByAGUAIABjAGkAcgBjAHUAbABhAHIAbAB5ACAAcwBoAGkAZgB0AGUAZABcAG4AIAAgACAAIABpACwAIAAgACAAIAAgACAAIAAgACAAIAAgAFIAZQBzAGkAegBlALsDKABTAGgAaQBmAHQAuwMoAFMARQBRAFUARQBOAEMARQAoAGgAKQAsACAAcwBoAGkAZgB0AF8AYgB5ACkALAAsAHcAKQAsAFwAbgBcAG4AIAAgACAAIAAvAC8AIABSAG8AdwAgAGkAbgBkAGkAYwBlAHMAIAByAGUAbQBhAGkAbgAgAGYAaQB4AGUAZABcAG4AIAAgACAAIABqACwAIAAgACAAIAAgACAAIAAgACAAIAAgAE0ARwByAGkAZAC7AygAYQByAHIAYQB5AF8AMgBEACwAIAAxACkALABcAG4AXABuACAAIAAgACAAcgBlAHMAdQBsAHQALAAgACAAIAAgACAAIABJAE4ARABFAFgAKABhAHIAcgBhAHkAXwAyAEQALAAgAGkALAAgAGoAKQAsAFwAbgBcAG4AIAAgACAAIAByAGUAcwB1AGwAdABcAG4AKQApACkAKQA7AFwAbgBcAG4AXABuAFwAbgAvACoAIABbAEcAQQAxADMAXQAgAC0ALQAtAC0ALQAtAC0ALQAtAC0ALQAtAC0ALQAtAC0ALQAtAC0ALQAtAC0ALQAtAC0ALQAtAC0ALQAtAC0ALQAtAC0ALQAtAC0ALQAtAC0ALQAtAC0ALQAtAC0ALQAtAC0ALQAtAC0ALQAtAC0ALQAtAC0ALQAtAC0ALQAtAC0ALQAtAC0ALQAtAC0ALQAtAC0AXABuAEYAdQBuAGMAdABpAG8AbgA6ACAAIAAgACAAIABFAG0AYgBlAGQAuwNcAG4AQwBhAHQAZQBnAG8AcgB5ADoAIAAgACAAIAAgAEcAcgBpAGQAIABBAGwAZwBlAGIAcgBhACAAKABTAGUAbABlAGMAdABpAG8AbgApAFwAbgBBAHUAdABoAG8AcgA6ACAAIAAgACAAIAAgACAAUABhAHQAcgBpAGMAawAgAEgALgBcAG4AVgBlAHIAcwBpAG8AbgA6ACAAIAAgACAAIAAgADEALgAxAFwAbgBcAG4ARABlAHMAYwByAGkAcAB0AGkAbwBuADoAXABuACAAIAAgACAARQBtAGIAZQBkAHMAIABhACAAcwB1AHAAcABsAGkAZQBkACAAYQByAHIAYQB5ACAAaQBuAHQAbwAgAGEAIAAyAEQAIABoAG8AcwB0ACAAYQByAHIAYQB5ACAAYQB0ACAAYQAgAHMAcABlAGMAaQBmAGkAZQBkACAAcgBvAHcAIABvAHIAIABjAG8AbAB1AG0AbgBcAG4AIAAgACAAIABpAG4AZABlAHgALgAgAEUAbQBiAGUAZAC7AyAAcwB1AHAAcABvAHIAdABzACAAcwBjAGEAbABhAHIAcwAsACAAMQBEACAAYQByAHIAYQB5AHMALAAgAGEAbgBkACAAMgBEACAAYQByAHIAYQB5AHMALgAgAFQAaABlACAAZQBtAGIAZQBkAGQAZQBkACAAYQByAHIAYQB5AFwAbgAgACAAIAAgAGkAcwAgAGEAdQB0AG8AbQBhAHQAaQBjAGEAbABsAHkAIABlAHgAcABhAG4AZABlAGQAIABhAHMAIABuAGUAZQBkAGUAZAAgAHQAbwAgAG0AYQBpAG4AdABhAGkAbgAgAHIAZQBjAHQAYQBuAGcAdQBsAGEAcgBpAHQAeQAgAGEAbgBkACAAYQB2AG8AaQBkAFwAbgAgACAAIAAgAGoAYQBnAGcAZQBkACAAcgBlAHMAdQBsAHQAcwAuAFwAbgBcAG4AUABhAHIAYQBtAGUAdABlAHIAcwA6AFwAbgAgACAAIAAgAGEAcgByAGEAeQAgACAAIAAgACAAIAAgACAAIAAtACAAUgBlAHEAdQBpAHIAZQBkACAAMQBEACAAbwByACAAMgBEACAAaABvAHMAdAAgAGEAcgByAGEAeQAuAFwAbgAgACAAIAAgAGUAbQBiAGUAZABfAGEAcgByAGEAeQAgACAAIAAtACAAQQByAHIAYQB5ACAAdABvACAAZQBtAGIAZQBkACAAdwBpAHQAaABpAG4AIAB0AGgAZQAgAGgAbwBzAHQAIABhAHIAcgBhAHkALgBcAG4AIAAgACAAIABbAHIAbwB3AF8AaQBuAGQAZQB4AF0AIAAgACAALQAgAE8AcAB0AGkAbwBuAGEAbAAgAHIAbwB3ACAAcABvAHMAaQB0AGkAbwBuACAAZgBvAHIAIABpAG4AcwBlAHIAdABpAG8AbgAuAFwAbgAgACAAIAAgAFsAYwBvAGwAXwBpAG4AZABlAHgAXQAgACAAIAAtACAATwBwAHQAaQBvAG4AYQBsACAAYwBvAGwAdQBtAG4AIABwAG8AcwBpAHQAaQBvAG4AIABmAG8AcgAgAGkAbgBzAGUAcgB0AGkAbwBuAC4AXABuACAAIAAgACAAIAAgACAAIAAgACAAIAAgACAAIAAgACAAIAAgACAAIAAiICAASQBmACAAYgBvAHQAaAAgAGEAcgBlACAAcwB1AHAAcABsAGkAZQBkACwAIAByAG8AdwBfAGkAbgBkAGUAeAAgAHQAYQBrAGUAcwAgAHAAcgBlAGMAZQBkAGUAbgBjAGUALgBcAG4AXABuAE4AdQBhAG4AYwBlAHMAOgBcAG4AIAAgACAAIAAiICAAUwBjAGEAbABhAHIAcwAgAGUAeABwAGEAbgBkACAAaABvAHIAaQB6AG8AbgB0AGEAbABsAHkAIAB3AGgAZQBuACAAaQBuAHMAZQByAHQAZQBkACAAYgB5ACAAcgBvAHcAXwBpAG4AZABlAHgALAAgAHYAZQByAHQAaQBjAGEAbABsAHkAIAB3AGgAZQBuAFwAbgAgACAAIAAgACAAIABpAG4AcwBlAHIAdABlAGQAIABiAHkAIABjAG8AbABfAGkAbgBkAGUAeAAuAFwAbgAgACAAIAAgACIgIAAxAEQALwAyAEQAIABlAG0AYgBlAGQAXwBhAHIAcgBhAHkAIABpAG4AcAB1AHQAcwAgAHQAaABhAHQAIABkAG8AIABuAG8AdAAgAG0AYQB0AGMAaAAgAGgAbwBzAHQAIAB3AGkAZAB0AGgALwBoAGUAaQBnAGgAdAAgAGEAcgBlACAAcABhAGQAZABlAGQAXABuACAAIAAgACAAIAAgAHcAaQB0AGgAIABcACIAXAAiACAAdABvACAAbQBhAGkAbgB0AGEAaQBuACAAcgBlAGMAdABhAG4AZwB1AGwAYQByAGkAdAB5AC4AXABuACAAIAAgACAAIiAgAFwAIgAjAFIATwBXAC8AQwBPAEwALQBJAE4ARABFAFgAXAAiACAAaQBzACAAcgBlAHQAdQByAG4AZQBkACAAZgBvAHIAIABuAG8AbgARIG4AdQBtAGUAcgBpAGMAIABvAHIAIABvAHUAdAARIG8AZgARIGIAbwB1AG4AZABzACAAaQBuAGQAaQBjAGUAcwAuAFwAbgAgACAAIAAgACIgIABTAGMAYQBsAGEAcgBzACAAYwBhAG4AbgBvAHQAIABzAGUAcgB2AGUAIABhAHMAIABoAG8AcwB0ACAAYQByAHIAYQB5AHMAOwAgAFwAIgAjAFMAQwBBAEwAQQBSACEAXAAiACAAaQBzACAAcgBlAHQAdQByAG4AZQBkAC4AXABuAC0ALQAtAC0ALQAtAC0ALQAtAC0ALQAtAC0ALQAtAC0ALQAtAC0ALQAtAC0ALQAtAC0ALQAtAC0ALQAtAC0ALQAtAC0ALQAtAC0ALQAtAC0ALQAtAC0ALQAtAC0ALQAtAC0ALQAtAC0ALQAtAC0ALQAtAC0ALQAtAC0ALQAtAC0ALQAtAC0ALQAtAC0ALQAtAC0ALQAtAC0ALQAtACoALwBcAG4AXABuAEUAbQBiAGUAZAC7AyAAPQBcAG4ATABBAE0AQgBEAEEAKABcAG4AIAAgACAAIABhAHIAcgBhAHkALABcAG4AIAAgACAAIABlAG0AYgBlAGQAXwBhAHIAcgBhAHkALABcAG4AIAAgACAAIABbAHIAbwB3AF8AaQBuAGQAZQB4AF0ALABcAG4AIAAgACAAIABbAGMAbwBsAF8AaQBuAGQAZQB4AF0ALABcAG4ATABFAFQAKABcAG4AIAAgACAAIAAvAC8AIABIAG8AcwB0ACAAZABpAG0AZQBuAHMAaQBvAG4AcwBcAG4AIAAgACAAIABoACwAIAAgACAAIAAgACAAIAAgACAAIAAgACAAIAAgACAAIAAgACAAUgBPAFcAUwAoAGEAcgByAGEAeQApACwAXABuACAAIAAgACAAdwAsACAAIAAgACAAIAAgACAAIAAgACAAIAAgACAAIAAgACAAIAAgAEMATwBMAFUATQBOAFMAKABhAHIAcgBhAHkAKQAsAFwAbgBcAG4AIAAgACAAIAAvAC8AIABFAG0AYgBlAGQAIABkAGkAbQBlAG4AcwBpAG8AbgBzAFwAbgAgACAAIAAgAGgAgiAsACAAIAAgACAAIAAgACAAIAAgACAAIAAgACAAIAAgACAAIABSAE8AVwBTACgAZQBtAGIAZQBkAF8AYQByAHIAYQB5ACkALABcAG4AIAAgACAAIAB3AIIgLAAgACAAIAAgACAAIAAgACAAIAAgACAAIAAgACAAIAAgACAAQwBPAEwAVQBNAE4AUwAoAGUAbQBiAGUAZABfAGEAcgByAGEAeQApACwAXABuAFwAbgAgACAAIAAgAC8ALwAgAFAAYQByAGEAbQBlAHQAZQByACAAcAByAGUAcwBlAG4AYwBlAFwAbgAgACAAIAAgAFIAbwB3AEUAbQBiAGUAZAA/ACwAIAAgACAAIAAgACAAIAAgACAAIABOAE8AVAAoAEkAUwBPAE0ASQBUAFQARQBEACgAcgBvAHcAXwBpAG4AZABlAHgAKQApACwAXABuACAAIAAgACAAQwBvAGwARQBtAGIAZQBkAD8ALAAgACAAIAAgACAAIAAgACAAIAAgAE4ATwBUACgASQBTAE8ATQBJAFQAVABFAEQAKABjAG8AbABfAGkAbgBkAGUAeAApACkALABcAG4AIAAgACAAIABSAEMARQBtAGIAZQBkAD8ALAAgACAAIAAgACAAIAAgACAAIAAgACAAQQBOAEQAKABSAG8AdwBFAG0AYgBlAGQAPwAsACAAQwBvAGwARQBtAGIAZQBkAD8AKQAsAFwAbgBcAG4AIAAgACAAIAAvAC8AIABJAG4AdgBhAGwAaQBkACAAZQBtAGIAZQBkACAAcwBpAHoAZQAgACgAZQBtAGIAZQBkACAAbABhAHIAZwBlAHIAIAB0AGgAYQBuACAAaABvAHMAdAApAFwAbgAgACAAIAAgAEkAbgB2AGEAbABpAGQARQBtAGIAZQBkAD8ALAAgACAAIAAgACAAIABJAEYAKABBAE4ARAAoAFIAbwB3AEUAbQBiAGUAZAA/ACwAIAB3AIIgIAA+ACAAdwApACwAIABUAFIAVQBFACwAXABuACAAIAAgACAAIAAgACAAIAAgACAAIAAgACAAIAAgACAAIAAgACAAIAAgACAAIAAgACAAIAAgACAASQBGACgAQQBOAEQAKABDAG8AbABFAG0AYgBlAGQAPwAsACAAaACCICAAPgAgAGgAKQAsACAAVABSAFUARQAsAFwAbgAgACAAIAAgACAAIAAgACAAIAAgACAAIAAgACAAIAAgACAAIAAgACAAIAAgACAAIAAgACAAIAAgACAAIAAgACAASQBGACgAQQBOAEQAKABSAEMARQBtAGIAZQBkAD8ALAAgAE8AUgAoAGgAgiAgAD4AIABoACwAIAB3AIIgIAA+ACAAdwApACkALABcAG4AIAAgACAAIAAgACAAIAAgACAAIAAgACAAIAAgACAAIAAgACAAIAAgACAAIAAgACAAIAAgACAAIAAgACAAIAAgACAAIAAgACAAVABSAFUARQAsAFwAbgAgACAAIAAgACAAIAAgACAAIAAgACAAIAAgACAAIAAgACAAIAAgACAAIAAgACAAIAAgACAAIAAgACAAIAAgACAAIAAgACAAIABGAEEATABTAEUAKQApACkALABcAG4AXABuACAAIAAgACAALwAvACAASQBuAGQAZQB4ACAAdgBhAGwAaQBkAGEAdABpAG8AbgBcAG4AIAAgACAAIABJAG4AdgBhAGwAaQBkAEkAZAB4AD8ALAAgACAAIAAgACAAIAAgACAATwBSACgASQBTAFQARQBYAFQAKAByAG8AdwBfAGkAbgBkAGUAeAApACwAXABuACAAIAAgACAAIAAgACAAIAAgACAAIAAgACAAIAAgACAAIAAgACAAIAAgACAAIAAgACAAIAAgAEkAUwBUAEUAWABUACgAYwBvAGwAXwBpAG4AZABlAHgAKQAsAFwAbgAgACAAIAAgACAAIAAgACAAIAAgACAAIAAgACAAIAAgACAAIAAgACAAIAAgACAAIAAgACAAIABBAE4ARAAoAE4ATwBUACgASQBTAE8ATQBJAFQAVABFAEQAKAByAG8AdwBfAGkAbgBkAGUAeAApACkALABcAG4AIAAgACAAIAAgACAAIAAgACAAIAAgACAAIAAgACAAIAAgACAAIAAgACAAIAAgACAAIAAgACAATwBSACgAcgBvAHcAXwBpAG4AZABlAHgAIAA8ACAAMQAsACAAcgBvAHcAXwBpAG4AZABlAHgAIAA+ACAAaAApACkALABcAG4AIAAgACAAIAAgACAAIAAgACAAIAAgACAAIAAgACAAIAAgACAAIAAgACAAIAAgACAAIAAgACAAQQBOAEQAKABOAE8AVAAoAEkAUwBPAE0ASQBUAFQARQBEACgAYwBvAGwAXwBpAG4AZABlAHgAKQApACwAXABuACAAIAAgACAAIAAgACAAIAAgACAAIAAgACAAIAAgACAAIAAgACAAIAAgACAAIAAgACAAIAAgAE8AUgAoAGMAbwBsAF8AaQBuAGQAZQB4ACAAPAAgADEALAAgAGMAbwBsAF8AaQBuAGQAZQB4ACAAPgAgAHcAKQApACkALABcAG4AXABuACAAIAAgACAALwAvACAASABvAHMAdAAgAGMAYQBuAG4AbwB0ACAAYgBlACAAcwBjAGEAbABhAHIAXABuACAAIAAgACAASQBzAFMAYwBhAGwAYQByAD8ALAAgACAAIAAgACAAIAAgACAAIAAgAEEATgBEACgAaAAgAD0AIAAxACwAIAB3ACAAPQAgADEAKQAsAFwAbgBcAG4ALwAvACAATABvAGcAaQBjACAAZwBhAHQAZQBcAG4AIAAgACAAIABJAEYAKABJAG4AdgBhAGwAaQBkAEkAZAB4AD8ALAAgAFwAIgAjAFIATwBXAC8AQwBPAEwALQBJAE4ARABFAFgAXAAiACwAXABuAFwAbgAgACAAIAAgACAAIAAgACAASQBGACgASQBuAHYAYQBsAGkAZABFAG0AYgBlAGQAPwAsACAAXAAiACMARQBNAEIARQBEACEAXAAiACwAXABuAFwAbgAgACAAIAAgACAAIAAgACAAIAAgACAAIABJAEYAKABJAHMAUwBjAGEAbABhAHIAPwAsACAAXAAiACMAUwBDAEEATABBAFIAIQBcACIALABcAG4AXABuAEwARQBUACgAXABuACAAIAAgACAALwAvACAARABpAHIAZQBjAHQAaQBvAG4AOgAgAHYAZQByAHQAaQBjAGEAbAAgAGkAbgBzAGUAcgB0AGkAbwBuACAAdQBuAGwAZQBzAHMAIABvAG4AbAB5ACAAYwBvAGwAXwBpAG4AZABlAHgAIABpAHMAIABwAHIAbwB2AGkAZABlAGQAXABuACAAIAAgACAASQBzAFYAZQByAHQAaQBjAGEAbAA/ACwAIAAgACAAIAAgACAAIAAgAE8AUgAoAE4ATwBUACgASQBTAE8ATQBJAFQAVABFAEQAKAByAG8AdwBfAGkAbgBkAGUAeAApACkALAAgAEkAUwBPAE0ASQBUAFQARQBEACgAYwBvAGwAXwBpAG4AZABlAHgAKQApACwAXABuAFwAbgAgACAAIAAgAC8ALwAgAFMAdABhAGMAawAgAGYAdQBuAGMAdABpAG8AbgBcAG4AIAAgACAAIABTAHQAYQBjAGsAuwMsACAAIAAgACAAIAAgACAAIAAgACAAIAAgACAASQBGACgASQBzAFYAZQByAHQAaQBjAGEAbAA/ACwAIABWAFMAVABBAEMASwAsACAASABTAFQAQQBDAEsAKQAsAFwAbgBcAG4AIAAgACAAIAAvAC8AIABTAGMAYQBsAGEAcgAgAGUAbQBiAGUAZAA/AFwAbgAgACAAIAAgAEkAcwBJAG4AYwBTAGMAYQBsAGEAcgA/ACwAIAAgACAAIAAgACAAIABBAE4ARAAoAGgAgiAgAD0AIAAxACwAIAB3AIIgIAA9ACAAMQApACwAXABuAFwAbgAgACAAIAAgAC8ALwAgAEkAbgBzAGUAcgB0AGkAbwBuACAAaQBuAGQAZQB4AFwAbgAgACAAIAAgAGkAZAB4ACwAIAAgACAAIAAgACAAIAAgACAAIAAgACAAIAAgACAAIABJAEYAKABJAHMAVgBlAHIAdABpAGMAYQBsAD8ALAAgAHIAbwB3AF8AaQBuAGQAZQB4ACwAIABjAG8AbABfAGkAbgBkAGUAeAApACwAXABuACAAIAAgACAAbQBhAHgAXwBkAGkAbQAsACAAIAAgACAAIAAgACAAIAAgACAAIAAgADEAIAArACAASQBGACgASQBzAFYAZQByAHQAaQBjAGEAbAA/ACwAIABoACwAIAB3ACkALABcAG4AXABuACAAIAAgACAALwAvACAAUwBwAGwAaQB0ACAAaABvAHMAdAAgAGEAcgByAGEAeQBcAG4AIAAgACAAIABiAGwAbwBjAGsAXwBhACwAIAAgACAAIAAgACAAIAAgACAAIAAgACAASQBGACgASQBzAFYAZQByAHQAaQBjAGEAbAA/ACwAXABuACAAIAAgACAAIAAgACAAIAAgACAAIAAgACAAIAAgACAAIAAgACAAIAAgACAAIAAgACAAIAAgACAAVABBAEsARQAoAGEAcgByAGEAeQAsACAAaQBkAHgAIAAtACAAMQApACwAXABuACAAIAAgACAAIAAgACAAIAAgACAAIAAgACAAIAAgACAAIAAgACAAIAAgACAAIAAgACAAIAAgACAAVABBAEsARQAoAGEAcgByAGEAeQAsACAALAAgAGkAZAB4ACAALQAgADEAKQApACwAXABuAFwAbgAgACAAIAAgAGIAbABvAGMAawBfAGIALAAgACAAIAAgACAAIAAgACAAIAAgACAAIABJAEYAKABJAHMAVgBlAHIAdABpAGMAYQBsAD8ALABcAG4AIAAgACAAIAAgACAAIAAgACAAIAAgACAAIAAgACAAIAAgACAAIAAgACAAIAAgACAAIAAgACAAIABUAEEASwBFACgAYQByAHIAYQB5ACwAIAAtACgAMQAgACsAIABoACAALQAgAGkAZAB4ACkAKQAsAFwAbgAgACAAIAAgACAAIAAgACAAIAAgACAAIAAgACAAIAAgACAAIAAgACAAIAAgACAAIAAgACAAIAAgAFQAQQBLAEUAKABhAHIAcgBhAHkALAAgACwAIAAtACgAMQAgACsAIAB3ACAALQAgAGkAZAB4ACkAKQApACwAXABuAFwAbgAgACAAIAAgAC8ALwAgAFMAdABhAG4AZABhAHIAZAAgAGkAbgBzAGUAcgB0AGkAbwBuACAAKAB0AG8AcAAgAG8AcgAgAGIAbwB0AHQAbwBtACkAXABuACAAIAAgACAASQBzAFMAdABhAG4AZABhAHIAZAA/ACwAIAAgACAAIAAgACAAIAAgAE8AUgAoAGkAZAB4ACAAPQAgADEALAAgAGkAZAB4ACAAPQAgAG0AYQB4AF8AZABpAG0AKQAsAFwAbgBcAG4AIAAgACAAIAAvAC8AIABFAHgAcABhAG4AcwBpAG8AbgAgAHIAdQBsAGUAcwBcAG4AIAAgACAAIABlAHgAcABfAHMAYwBhAGwAYQByAF8AdwBpAGQAdABoACwAIAAgACAARQBYAFAAQQBOAEQAKABlAG0AYgBlAGQAXwBhAHIAcgBhAHkALAAgACwAIAB3ACwAIABlAG0AYgBlAGQAXwBhAHIAcgBhAHkAKQAsAFwAbgAgACAAIAAgAGUAeABwAF8AdwBpAGQAdABoACwAIAAgACAAIAAgACAAIAAgACAAIABFAFgAUABBAE4ARAAoAGUAbQBiAGUAZABfAGEAcgByAGEAeQAsACAALAAgAHcALAAgAFwAIgBcACIAKQAsAFwAbgAgACAAIAAgAGUAeABwAF8AcwBjAGEAbABhAHIAXwBoAGUAaQBnAGgAdAAsACAAIABFAFgAUABBAE4ARAAoAGUAbQBiAGUAZABfAGEAcgByAGEAeQAsACAAaAAsACAALAAgAGUAbQBiAGUAZABfAGEAcgByAGEAeQApACwAXABuACAAIAAgACAAZQB4AHAAXwBoAGUAaQBnAGgAdAAsACAAIAAgACAAIAAgACAAIAAgAEUAWABQAEEATgBEACgAZQBtAGIAZQBkAF8AYQByAHIAYQB5ACwAIABoACwAIAAsACAAXAAiAFwAIgApACwAXABuAFwAbgAgACAAIAAgAC8ALwAgAFAAYQBkACAAZQBtAGIAZQBkAF8AYQByAHIAYQB5ACAAdABvACAAYQB2AG8AaQBkACAAZABpAG0AZQBuAHMAaQBvAG4AIABtAGkAcwBtAGEAdABjAGgAXABuACAAIAAgACAAZQBtAGIAZQBkAF8AYQByAHIAYQB5ACwAIAAgACAAIAAgACAAIAAgAEkARgAoAEkAcwBWAGUAcgB0AGkAYwBhAGwAPwAgACoAIABJAHMASQBuAGMAUwBjAGEAbABhAHIAPwAsACAAZQB4AHAAXwBzAGMAYQBsAGEAcgBfAHcAaQBkAHQAaAAsAFwAbgAgACAAIAAgACAAIAAgACAAIAAgACAAIAAgACAAIAAgACAAIAAgACAAIAAgACAAIAAgACAAIAAgAEkARgAoAEkAcwBWAGUAcgB0AGkAYwBhAGwAPwAsACAAZQB4AHAAXwB3AGkAZAB0AGgALABcAG4AIAAgACAAIAAgACAAIAAgACAAIAAgACAAIAAgACAAIAAgACAAIAAgACAAIAAgACAAIAAgACAAIAAgACAAIAAgAEkARgAoAEkAcwBJAG4AYwBTAGMAYQBsAGEAcgA/ACwAIABlAHgAcABfAHMAYwBhAGwAYQByAF8AaABlAGkAZwBoAHQALABcAG4AIAAgACAAIAAgACAAIAAgACAAIAAgACAAIAAgACAAIAAgACAAIAAgACAAIAAgACAAIAAgACAAIAAgACAAIAAgACAAIAAgACAAZQB4AHAAXwBoAGUAaQBnAGgAdAApACkAKQAsAFwAbgBcAG4AIAAgACAAIAAvAC8AIABTAHQAYQBuAGQAYQByAGQAIAB2AHMAIABtAGkAZAARIGEAcgByAGEAeQAgAGkAbgBzAGUAcgB0AGkAbwBuAFwAbgAgACAAIAAgAHMAdABhAG4AZABhAHIAZAAsACAAIAAgACAAIAAgACAAIAAgACAAIABJAEYAKABpAGQAeAAgAD0AIAAxACwAUwB0AGEAYwBrALsDKABlAG0AYgBlAGQAXwBhAHIAcgBhAHkALAAgAGEAcgByAGEAeQApACwAXABuACAAIAAgACAAIAAgACAAIAAgACAAIAAgACAAIAAgACAAIAAgACAAIAAgACAAIAAgACAAIAAgACAAUwB0AGEAYwBrALsDKABhAHIAcgBhAHkALAAgAGUAbQBiAGUAZABfAGEAcgByAGEAeQApACkALABcAG4AXABuACAAIAAgACAAcwB0AGEAYwBrACwAIAAgACAAIAAgACAAIAAgACAAIAAgACAAIAAgAFMAdABhAGMAawC7AygAYgBsAG8AYwBrAF8AYQAsACAAZQBtAGIAZQBkAF8AYQByAHIAYQB5ACwAIABiAGwAbwBjAGsAXwBiACkALABcAG4AXABuACAAIAAgACAAcgBlAHMAdQBsAHQALAAgACAAIAAgACAAIAAgACAAIAAgACAAIAAgAEkARgAoAEkAcwBTAHQAYQBuAGQAYQByAGQAPwAsACAAcwB0AGEAbgBkAGEAcgBkACwAIABzAHQAYQBjAGsAKQAsAFwAbgBcAG4AIAAgACAAIAByAGUAcwB1AGwAdABcAG4AKQApACkAKQApACkAOwBcAG4AXABuAFwAbgBcAG4ALwAqACAAWwBHAEEAMQA0AF0AIAAtAC0ALQAtAC0ALQAtAC0ALQAtAC0ALQAtAC0ALQAtAC0ALQAtAC0ALQAtAC0ALQAtAC0ALQAtAC0ALQAtAC0ALQAtAC0ALQAtAC0ALQAtAC0ALQAtAC0ALQAtAC0ALQAtAC0ALQAtAC0ALQAtAC0ALQAtAC0ALQAtAC0ALQAtAC0ALQAtAC0ALQAtAC0ALQAtAFwAbgBGAHUAbgBjAHQAaQBvAG4AOgAgACAAIAAgACAASwBlAGUAcABSAG8Adw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cgBvAHcAcwAgAGYAcgBvAG0AIABhACAAMgBEACAAYQByAHIAYQB5ACAAYgBhAHMAZQBkACAAbwBuACAAYwBvAG4AdABpAGcAdQBvAHUAcwAgAHMAdQBiAGcAcgBvAHUAcAAgAHIAdQBuAHMALgAgAEEAIABwAG8AcwBpAHQAaQB2AGUAXABuACAAIAAgACAAawBlAGUAcAAgAHYAYQBsAHUAZQAgAHIAZQB0AGEAaQBuAHMAIAByAG8AdwBzACAAZgByAG8AbQAgAHQAaABlACAAdABvAHAAIABvAGYAIABlAGEAYwBoACAAcwB1AGIAZwByAG8AdQBwACAAcgB1AG4AOwAgAGEAIABuAGUAZwBhAHQAaQB2AGUAIABrAGUAZQBwAFwAbgAgACAAIAAgAHYAYQBsAHUAZQAgAHIAZQB0AGEAaQBuAHMAIAByAG8AdwBzACAAZgByAG8AbQAgAHQAaABlACAAYgBvAHQAdABvAG0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dABvAHAAIABvAGYAIABlAGEAYwBoACAAcgB1AG4AXABuACAAIAAgACAAIAAgACAAIAAgACAAIAAgACAAIAAgACAAIAAgACAAIAAgACAAIAAgACAAIAA8ACAAMAAgAJIhIABrAGUAZQBw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SAG8Adw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rAGUAZQBw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awBlAGUAcAApACwAXABuACAAIAAgACAATgBvAHQAUwBjAGEAbABhAHIAPwAsACAAIAAgACAAIAAgACAAIAAgAEEATgBEACgATgBPAFQAKABJAHMAVABlAHgAdAA/ACkALAAgAEMATwBVAE4AVABBACgAawBlAGUAcA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vAC8AIABMAG8AZwBpAGMAIABnAGEAdABlAFwAbgAgACAAIAAgAEkARgAoAE8AbgBlAFMAdQBiAEcAcgBvAHUAcAA/ACwAIABEAGkAcwBjAGEAcgBkACwAXABuAFwAbgAgACAAIAAgACAAIAAgACAASQBGACgAaABhAGwAdAAsACAAYQBsAGUAcgB0ACwAXABuAFwAbgBMAEUAVAAoAFwAbgAgACAAIAAgAC8ALwAgAEQAaQByAGUAYwB0AGkAbwBuADoAIAArAHQAbwBwACwAIAATIGIAbwB0AHQAbwBtAFwAbgAgACAAIAAgAHMALAAgACAAIAAgACAAIAAgACAAIAAgACAAIAAgACAAIAAgACAAIABTAEkARwBOACgAawBlAGUAcAApACwAXABuAFwAbgAgACAAIAAgAC8ALwAgAFIAdQBuACAAaQBuAGQAaQBjAGUAcwBcAG4AIAAgACAAIABhAHMAYwBlAG4AZAAsACAAIAAgACAAIAAgACAAIAAgACAAIAAgACAAUwB0AHIAZQBhAGsAuwMoAGEAdABfAGUAYQBjAGgAXwBjAGgAYQBuAGcAZQApACwAXABuACAAIAAgACAAZABlAHMAYwBlAG4AZAAsACAAIAAgACAAIAAgACAAIAAgACAAIAAgAEMAbwB1AG4AdABkAG8AdwBuALsDKABhAHQAXwBlAGEAYwBoAF8AYwBoAGEAbgBnAG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ZCIgAGsAZQBlAHAAXABuACAAIAAgACAAawBlAGUAcAA/ACwAIAAgACAAIAAgACAAIAAgACAAIAAgACAAIAAgAGkAZAB4ACAAPAA9ACAAawBlAGUAcAAsAFwAbgBcAG4AIAAgACAAIAByAGUAcwB1AGwAdAAsACAAIAAgACAAIAAgACAAIAAgACAAIAAgACAARgBJAEwAVABFAFIAKABhAHIAcgBhAHkALAAgAGsAZQBlAHAAPwApACwAXABuAFwAbgAgACAAIAAgAHIAZQBzAHUAbAB0AFwAbgApACkAKQApACkAOwBcAG4AXABuAFwAbgBcAG4ALwAqACAAWwBHAEEAMQA1AF0AIAAtAC0ALQAtAC0ALQAtAC0ALQAtAC0ALQAtAC0ALQAtAC0ALQAtAC0ALQAtAC0ALQAtAC0ALQAtAC0ALQAtAC0ALQAtAC0ALQAtAC0ALQAtAC0ALQAtAC0ALQAtAC0ALQAtAC0ALQAtAC0ALQAtAC0ALQAtAC0ALQAtAC0ALQAtAC0ALQAtAC0ALQAtAC0ALQAtAFwAbgBGAHUAbgBjAHQAaQBvAG4AOgAgACAAIAAgACAASwBlAGUAcABDAG8AbA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YwBvAGwAdQBtAG4AcwAgAGYAcgBvAG0AIABhACAAMgBEACAAYQByAHIAYQB5ACAAYgBhAHMAZQBkACAAbwBuACAAYwBvAG4AdABpAGcAdQBvAHUAcwAgAHMAdQBiAGcAcgBvAHUAcAAgAHIAdQBuAHMALgAgAEEAIABwAG8AcwBpAHQAaQB2AGUAXABuACAAIAAgACAAawBlAGUAcAAgAHYAYQBsAHUAZQAgAHIAZQB0AGEAaQBuAHMAIABjAG8AbAB1AG0AbgBzACAAZgByAG8AbQAgAHQAaABlACAAbABlAGYAdAAgAG8AZgAgAGUAYQBjAGgAIABzAHUAYgBnAHIAbwB1AHAAIAByAHUAbgA7ACAAYQAgAG4AZQBnAGEAdABpAHYAZQBcAG4AIAAgACAAIABrAGUAZQBwACAAdgBhAGwAdQBlACAAcgBlAHQAYQBpAG4AcwAgAGMAbwBsAHUAbQBuAHMAIABmAHIAbwBtACAAdABoAGUAIAByAGkAZwBoAHQ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bABlAGYAdAAgAG8AZgAgAGUAYQBjAGgAIAByAHUAbgBcAG4AIAAgACAAIAAgACAAIAAgACAAIAAgACAAIAAgACAAIAAgACAAIAAgACAAIAAgACAAIAAgADwAIAAwACAAkiEgAGsAZQBlAHAAIABmAHIAbwBtACAAcgBpAGcAaAB0ACAAbwBmACAAZQBhAGMAaAAgAHIAdQBuAFwAbgAgACAAIAAgAGEAdABfAGUAYQBjAGgAXwBjAGgAYQBuAGcAZQAgACAALQAgAFMAdQBiAGcAcgBvAHUAcAAgAGwAYQBiAGUAbABzACAAKABzAGEAbQBlACAAdwBpAGQAdABoACAAYQBzACAAYQByAHIAYQB5ACkALgBcAG4AXABuAE4AbwB0AGUAcwA6AFwAbgAgACAAIAAgACIgIABJAGYAIABvAG4AbAB5ACAAbwBuAGUAIABzAHUAYgBnAHIAbwB1AHAAIABlAHgAaQBzAHQAcwAsACAARABSAE8AUAAoACkAIABpAHMAIAB1AHMAZQBkACAAYQBzACAAYQAgAGYAYQBzAHQAIABwAGEAdABoAC4AXABuACAAIAAgACAAIiAgAGsAZQBlAHA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sAZQBlAHAAQwBvAGwAcwC7AyAAPQBcAG4ATABBAE0AQgBEAEEAKABcAG4AIAAgACAAIABhAHIAcgBhAHkALABcAG4AIAAgACAAIABrAGUAZQBwACwAXABuACAAIAAgACAAYQB0AF8AZQBhAGMAaABfAGMAaABhAG4AZwBlACwAXABuAEwARQBUACgAXABuACAAIAAgACAALwAvACAAUwB1AGIAZwByAG8AdQBwACAAcwBjAGUAbgBhAHIAaQBvAHMAXABuACAAIAAgACAATwBuAGUAUwB1AGIARwByAG8AdQBwAD8ALAAgACAAIAAgACAAIAAgAEMATwBVAE4AVABBACgAVQBOAEkAUQBVAEUAKABhAHQAXwBlAGEAYwBoAF8AYwBoAGEAbgBnAGUALAAgADEAKQApACAAPQAgADEALABcAG4AIAAgACAAIABEAGkAcwBjAGEAcgBkACwAIAAgACAAIAAgACAAIAAgACAAIAAgACAARABSAE8AUAAoAGEAcgByAGEAeQAsACAALAAgAGsAZQBlAHAAKQAsAFwAbgBcAG4AIAAgACAAIAAvAC8AIABWAGEAbABpAGQAYQB0AGkAbwBuAFwAbgAgACAAIAAgAFMAaABhAHAAZQBNAGkAcwBtAGEAdABjAGgAPwAsACAAIAAgACAAIABDAE8ATABVAE0ATgBTACgAYQByAHIAYQB5ACkAIAA8AD4AIABDAE8ATABVAE0ATg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bABlAGYAdAAsACAAEyByAGkAZwBoAHQAXABuACAAIAAgACAAcwAsACAAIAAgACAAIAAgACAAIAAgACAAIAAgACAAIAAgACAAIAAgAFMASQBHAE4AKABrAGUAZQBw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rAGUAZQBwACwAIAAgACAAIAAgACAAIAAgACAAIAAgACAAIAAgACAAQQBCAFMAKABrAGUAZQBwACkALABcAG4AXABuACAAIAAgACAALwAvACAAUwBlAGwAZQBjAHQAIABpAG4AZABlAHgAIABiAGEAcwBlAGQAIABvAG4AIABzAGkAZwBuAFwAbgAgACAAIAAgAGkAZAB4ACwAIAAgACAAIAAgACAAIAAgACAAIAAgACAAIAAgACAAIABJAEYAKABzACAAPQAgAC0AMQAsACAAZABlAHMAYwBlAG4AZAAsACAAYQBzAGMAZQBuAGQAKQAsAFwAbgBcAG4AIAAgACAAIAAvAC8AIABLAGUAZQBwACAAYwBvAGwAdQBtAG4AcwAgAHcAaABlAHIAZQAgAGkAbgBkAGUAeAAgAGQiIABrAGUAZQBwAFwAbgAgACAAIAAgAGsAZQBlAHAAPwAsACAAIAAgACAAIAAgACAAIAAgACAAIAAgACAAIABpAGQAeAAgADwAPQAgAGsAZQBlAHAALABcAG4AXABuACAAIAAgACAALwAvACAAQwBvAGwAdQBtAG4AESB3AGkAcwBlACAAZgBpAGwAdABlAHIAXABuACAAIAAgACAAcgBlAHMAdQBsAHQALAAgACAAIAAgACAAIAAgACAAIAAgACAAIAAgAEYASQBMAFQARQBSACgAYQByAHIAYQB5ACwAIABrAGUAZQBwAD8AKQAsAFwAbgBcAG4AIAAgACAAIAByAGUAcwB1AGwAdABcAG4AKQApACkAKQApADsAXABuAFwAbgBcAG4AXABuAC8AKgAgAFsARwBBADEANgBdACAALQAtAC0ALQAtAC0ALQAtAC0ALQAtAC0ALQAtAC0ALQAtAC0ALQAtAC0ALQAtAC0ALQAtAC0ALQAtAC0ALQAtAC0ALQAtAC0ALQAtAC0ALQAtAC0ALQAtAC0ALQAtAC0ALQAtAC0ALQAtAC0ALQAtAC0ALQAtAC0ALQAtAC0ALQAtAC0ALQAtAC0ALQAtAC0ALQBcAG4ARgB1AG4AYwB0AGkAbwBuADoAIAAgACAAIAAgAEIAbABvAGMAawBNAGEAcAC7A1wAbgBDAGEAdABlAGcAbwByAHkAOgAgACAAIAAgACAARwByAGkAZAAgAEEAbABnAGUAYgByAGEAIAAoAFMAdAByAHUAYwB0AHUAcgBhAGwAIABNAGEAcABwAGkAbgBnACkAXABuAEEAdQB0AGgAbwByADoAIAAgACAAIAAgACAAIABQAGEAdAByAGkAYwBrACAASAAuAFwAbgBWAGUAcgBzAGkAbwBuADoAIAAgACAAIAAgACAAMQAuADEAXABuAEQAZQBwAGUAbgBkAGUAbgBjAGkAZQBzADoAIABWAGEAbABpAGQAYQB0AGUAQgBsAG8AYwBrAE0AYQBwALsDXABuAFwAbgBEAGUAcwBjAHIAaQBwAHQAaQBvAG4AOgBcAG4AIAAgACAAIABSAGUAcwBoAGEAcABlAHMAIABhACAAYQByAHIAYQB5AF8AMgBEACAAcgBvAHcAESB3AGkAcwBlACAAbwByACAAYwBvAGwAdQBtAG4AESB3AGkAcwBlACAAaQBuAHQAbwAgAGIAbABvAGMAawBzACAAbwBmACAAcwBpAHoAZQBcAG4AIAAgACAAIABkAGUAcAB0AGgAIADXACAAdwBpAGQAdABoAC4AIABPAHAAdABpAG8AbgBhAGwAIABwAGEAcgBhAG0AZQB0AGUAcgBzACAAYQBsAGwAbwB3ACAAcgBlAHMAaABhAHAAaQBuAGcAIABiAHkAIABjAG8AbAB1AG0AbgAgAGEAbgBkAFwAbgAgACAAIAAgAHQAcgBhAG4AcwBwAG8AcwBpAG4AZwAgAHQAaABlACAAYQBuAGMAaABvAHIAIABnAHIAaQBkAHMAIAB1AHMAZQBkACAAdABvACAAZwBlAG4AZQByAGEAdABlACAAYgBsAG8AYwBrACAAaQBuAGQAaQBjAGUAcwAuAFwAbgBcAG4AUABhAHIAYQBtAGUAdABlAHIAcwA6AFwAbgAgACAAIAAgAGEAcgByAGEAeQBfADIARAAgACAAIAAgACAAIAAgACAAIAAgACAAIAAgACAAIAAtACAASQBuAHAAdQB0ACAAYQByAHIAYQB5AF8AMgBEAC4AXABuACAAIAAgACAAZABlAHAAdABoACAAIAAgACAAIAAgACAAIAAgACAAIAAgACAAIAAgACAALQAgAEgAZQBpAGcAaAB0ACAAbwBmACAAZQBhAGMAaAAgAGIAbABvAGMAawAuAFwAbgAgACAAIAAgAHcAaQBkAHQAaAAgACAAIAAgACAAIAAgACAAIAAgACAAIAAgACAAIAAgAC0AIABXAGkAZAB0AGgAIABvAGYAIABlAGEAYwBoACAAYgBsAG8AYwBrAC4AXABuACAAIAAgACAAWwByAGUAXwBzAGgAYQBwAGUAXwBiAHkAXwBjAG8AbAB1AG0AbgA/AF0ALQAgAEkAZgAgAFQAUgBVAEUALAAgAHIAZQBzAGgAYQBwAGUAIABjAG8AbAB1AG0AbgARIHcAaQBzAGUAOwAgAGUAbABzAGUAIAByAG8AdwARIHcAaQBzAGUALgBcAG4AIAAgACAAIABbAHQAcgBhAG4AcwBwAG8AcwBlAF8AYQBuAGMAaABvAHIAcwA/AF0AIAAtACAASQBmACAAVABSAFUARQAsACAAdAByAGEAbgBzAHAAbwBzAGUAIAByAG8AdwAvAGMAbwBsAHUAbQBuACAAYQBuAGMAaABvAHIAIABnAHIAaQBkAHMALgBcAG4AXABuAE4AbwB0AGUAcwA6AFwAbgAgACAAIAAgACIgIABWAGEAbABpAGQAYQB0AGUAQgBsAG8AYwBrAE0AYQBwALsDIABlAG4AZgBvAHIAYwBlAHMAIABzAHQAcgBpAGMAdAAgAHMAaABhAHAAZQAgAGMAbwBtAHAAYQB0AGkAYgBpAGwAaQB0AHkALgBcAG4AIAAgACAAIAAiICAAQQBuAGMAaABvAHIAcwAgAGQAZQBmAGkAbgBlACAAdABoAGUAIAB0AG8AcAARIGwAZQBmAHQAIABjAG8AcgBuAGUAcgAgAG8AZgAgAGUAYQBjAGgAIABiAGwAbwBjAGsALgBcAG4AIAAgACAAIAAiICAATwB1AHQAcAB1AHQAIABpAHMAIABhAGwAdwBhAHkAcwAgAHIAZQBjAHQAYQBuAGcAdQBsAGEAcgAgAGEAbgBkACAAZgB1AGwAbAB5ACAAdABpAGwAZQBkAC4AXABuAC0ALQAtAC0ALQAtAC0ALQAtAC0ALQAtAC0ALQAtAC0ALQAtAC0ALQAtAC0ALQAtAC0ALQAtAC0ALQAtAC0ALQAtAC0ALQAtAC0ALQAtAC0ALQAtAC0ALQAtAC0ALQAtAC0ALQAtAC0ALQAtAC0ALQAtAC0ALQAtAC0ALQAtAC0ALQAtAC0ALQAtAC0ALQAtAC0ALQAtAC0ALQAtACoALwBcAG4AXABuAEIAbABvAGMAawBNAGEAcAC7AyAAPQBcAG4ATABBAE0AQgBEAEEAKABcAG4AIAAgACAAIABhAHIAcgBhAHkAXwAyAEQALABcAG4AIAAgACAAIABkAGUAcAB0AGgALABcAG4AIAAgACAAIAB3AGkAZAB0AGgALABcAG4AIAAgACAAIABbAHIAZQBfAHMAaABhAHAAZQBfAGIAeQBfAGMAbwBsAHUAbQBuAD8AXQAsAFwAbgAgACAAIAAgAFsAdAByAGEAbgBzAHAAbwBzAGUAXwBhAG4AYwBoAG8AcgBzAD8AXQAsAFwAbgBcAG4AIAAgACAAIAAvAC8AIABWAGEAbABpAGQAYQB0AGUAIABpAG4AcAB1AHQAcwAgAGIAZQBmAG8AcgBlACAAcgBlAHMAaABhAHAAaQBuAGcAXABuACAAIAAgACAAVgBhAGwAaQBkAGEAdABlAEIAbABvAGMAawBNAGEAcAC7AygAYQByAHIAYQB5AF8AMgBEACwAIABkAGUAcAB0AGgALAAgAHcAaQBkAHQAaAAsACAAcgBlAF8AcwBoAGEAcABlAF8AYgB5AF8AYwBvAGwAdQBtAG4APwAsAFwAbgBcAG4ATABFAFQAKABcAG4AIAAgACAAIAAvAC8AIABCAGwAbwBjAGsAIABnAHIAaQBkACAAZABpAG0AZQBuAHMAaQBvAG4AcwBcAG4AIAAgACAAIAB4ACwAIAAgACAAIAAgACAAIAAgACAAIAAgACAAIABSAE8AVQBOAEQAVQBQACgAUgBPAFcAUwAoAGEAcgByAGEAeQBfADIARAApACAALwAgAGQAZQBwAHQAaAAsACAAMAApACwAIAAgACAAIAAgAC8ALwAgAGIAbABvAGMAawAgAHIAbwB3AHMAXABuACAAIAAgACAAeQAsACAAIAAgACAAIAAgACAAIAAgACAAIAAgACAAUgBPAFUATgBEAFUAUAAoAEMATwBMAFUATQBOAFMAKABhAHIAcgBhAHkAXwAyAEQAKQAgAC8AIAB3AGkAZAB0AGgALAAgADAAKQAsACAAIAAvAC8AIABiAGwAbwBjAGsAIABjAG8AbAB1AG0AbgBzAFwAbgBcAG4AIAAgACAAIAAvAC8AIABBAG4AYwBoAG8AcgAgAGcAcgBpAGQAcwBcAG4AIAAgACAAIABpACwAIAAgACAAIAAgACAAIAAgACAAIAAgACAAIABTAEUAUQBVAEUATgBDAEUAKAB4ACwAIAAsACAAMQAsACAAZABlAHAAdABoACkAIAAqAFwAbgAgACAAIAAgACAAIAAgACAAIAAgACAAIAAgACAAIAAgACAAIAAgAFMARQBRAFUARQBOAEMARQAoACwAIAB5ACwAIAAxACwAIAAwACkALABcAG4AXABuACAAIAAgACAAagAsACAAIAAgACAAIAAgACAAIAAgACAAIAAgACAAUwBFAFEAVQBFAE4AQwBFACgALAAgAHkALAAgADEALAAgAHcAaQBkAHQAaAApACAAKgBcAG4AIAAgACAAIAAgACAAIAAgACAAIAAgACAAIAAgACAAIAAgACAAIABTAEUAUQBVAEUATgBDAEUAKAB4ACwAIAAsACAAMQAsACAAMAApACwAXABuAFwAbgAgACAAIAAgAHIAbwB3AF8AYQBuAGMAaABvAHIALAAgACAAIAAgAEkARgAoAEkAUwBPAE0ASQBUAFQARQBEACgAdAByAGEAbgBzAHAAbwBzAGUAXwBhAG4AYwBoAG8AcgBzAD8AKQAsACAAaQAsACAAVABSAEEATgBTAFAATwBTAEUAKABpACkAKQAsAFwAbgAgACAAIAAgAGMAbwBsAF8AYQBuAGMAaABvAHIALAAgACAAIAAgAEkARgAoAEkAUwBPAE0ASQBUAFQARQBEACgAdAByAGEAbgBzAHAAbwBzAGUAXwBhAG4AYwBoAG8AcgBzAD8AKQAsACAAagAsACAAVABSAEEATgBTAFAATwBTAEUAKABqACkAKQAsAFwAbgBcAG4AIAAgACAAIAAvAC8AIABSAG8AdwAgAGkAbgBkAGkAYwBlAHMAIABmAG8AcgAgAGUAYQBjAGgAIABiAGwAbwBjAGsAXABuACAAIAAgACAAcgBvAHcAXwBpAG4AZABpAGMAZQBzACwAIAAgACAAVABPAEMATwBMACgAcgBvAHcAXwBhAG4AYwBoAG8AcgApACAAKwBcAG4AIAAgACAAIAAgACAAIAAgACAAIAAgACAAIAAgACAAIAAgACAAIABJAE4AVAAoAFMARQBRAFUARQBOAEMARQAoACwAIABkAGUAcAB0AGgAIAAqACAAdwBpAGQAdABoACwAIAAwACwAIAAxACAALwAgAHcAaQBkAHQAaAApACkALABcAG4AXABuACAAIAAgACAALwAvACAAQwBvAGwAdQBtAG4AIABpAG4AZABpAGMAZQBzACAAZgBvAHIAIABlAGEAYwBoACAAYgBsAG8AYwBrAFwAbgAgACAAIAAgAGMAbwBsAF8AaQBuAGQAaQBjAGUAcwAsACAAIAAgAFQATwBDAE8ATAAoAGMAbwBsAF8AYQBuAGMAaABvAHIAKQAgACsAXABuACAAIAAgACAAIAAgACAAIAAgACAAIAAgACAAIAAgACAAIAAgACAAVABPAFIATwBXACgASQBGAFMAKABTAEUAUQBVAEUATgBDAEUAKABkAGUAcAB0AGgAKQAsACAAUwBFAFEAVQBFAE4AQwBFACgALAAgAHcAaQBkAHQAaAAsACAAMAAsACAAMQApACkAKQAsAFwAbgBcAG4AIAAgACAAIAAvAC8AIABFAHgAdAByAGEAYwB0ACAAYgBsAG8AYwBrAHMAXABuACAAIAAgACAAcgBlAHMAaABhAHAAZQBkACwAIAAgACAAIAAgACAASQBOAEQARQBYACgAYQByAHIAYQB5AF8AMgBEACwAIAByAG8AdwBfAGkAbgBkAGkAYwBlAHMALAAgAGMAbwBsAF8AaQBuAGQAaQBjAGUAcwApACwAXABuAFwAbgAgACAAIAAgAC8ALwAgAE8AcAB0AGkAbwBuAGEAbAAgAGMAbwBsAHUAbQBuABEgdwBpAHMAZQAgAHIAZQBzAGgAYQBwAGUAXABuACAAIAAgACAAcgBlAHMAdQBsAHQALAAgACAAIAAgACAAIAAgACAASQBGACgAcgBlAF8AcwBoAGEAcABlAF8AYgB5AF8AYwBvAGwAdQBtAG4APwAsACAAVABSAEEATgBTAFAATwBTAEUAKAByAGUAcwBoAGEAcABlAGQAKQAsACAAcgBlAHMAaABhAHAAZQBkACkALABcAG4AXABuACAAIAAgACAAcgBlAHMAdQBsAHQAXABuACkAKQApADsAXABuAFwAbgBcAG4AXABuAC8AKgAgAFsARwBBABEgQwBPAFIARQBdACAALQAtAC0ALQAtAC0ALQAtAC0ALQAtAC0ALQAtAC0ALQAtAC0ALQAtAC0ALQAtAC0ALQAtAC0ALQAtAC0ALQAtAC0ALQAtAC0ALQAtAC0ALQAtAC0ALQAtAC0ALQAtAC0ALQAtAC0ALQAtAC0ALQAtAC0ALQAtAC0ALQAtAC0ALQAtAC0ALQAtAC0ALQBcAG4ARgB1AG4AYwB0AGkAbwBuADoAIAAgACAAIAAgAFYAYQBsAGkAZABhAHQAZQBCAGwAbwBjAGsATQBhAHAAuwNcAG4AQwBhAHQAZQBnAG8AcgB5ADoAIAAgACAAIAAgAEcAcgBpAGQAIABBAGwAZwBlAGIAcgBh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sAG8AYwBrAE0AYQBwALsDLgAgAEUAbgBzAHUAcgBlAHMAIAB0AGgAZQAgAGEAcgByAGEAeQBfADIARAAgAGkAcwAgAHYAYQBsAGkAZAAsACAAYgBsAG8AYwBrACAAZABpAG0AZQBuAHMAaQBvAG4AcwBcAG4AIAAgACAAIABhAHIAZQAgAGMAbwBtAHAAYQB0AGkAYgBsAGUALAAgAHIAZQBzAGgAYQBwAGkAbgBnACAAdwBpAGwAbAAgAG4AbwB0ACAAcwBwAGkAbABsACwAIABhAG4AZAAgAHQAaABlACAAYgBsAG8AYwBrACAAZwBlAG8AbQBlAHQAcgB5ACAAdABpAGwAZQBzACAAdABoAGUAXABuACAAIAAgACAAYQByAHIAYQB5AF8AMgBEACAAYwBsAGUAYQBuAGwAeQAuAFwAbgBcAG4AUABhAHIAYQBtAGUAdABlAHIAcwA6AFwAbgAgACAAIAAgAGEAcgByAGEAeQBfADIARAAgACAAIAAgACAAIAAgACAAIAAgACAAIAAgACAAIAAtACAASQBuAHAAdQB0ACAAYQByAHIAYQB5AF8AMgBEAC4AXABuACAAIAAgACAAZABlAHAAdABoACAAIAAgACAAIAAgACAAIAAgACAAIAAgACAAIAAgACAALQAgAEIAbABvAGMAawAgAGgAZQBpAGcAaAB0AC4AXABuACAAIAAgACAAdwBpAGQAdABoACAAIAAgACAAIAAgACAAIAAgACAAIAAgACAAIAAgACAALQAgAEIAbABvAGMAawAgAHcAaQBkAHQAaAAuAFwAbgAgACAAIAAgAHIAZQBfAHMAaABhAHAAZQBfAGIAeQBfAGMAbwBsAHUAbQBuAD8AIAAgAC0AIABPAHAAdABpAG8AbgBhAGwAIABmAGwAYQBnACAAZgBvAHIAIABjAG8AbAB1AG0AbgARIHcAaQBzAGUAIAByAGUAcwBoAGEAcABlAC4AXABuACAAIAAgACAAbwBuAF8AdgBhAGwAaQBkACAAIAAgACAAIAAgACAAIAAgACAAIAAgACAALQAgAEUAeABwAHIAZQBzAHMAaQBvAG4AIAB0AG8AIABlAHYAYQBsAHUAYQB0AGUAIAB3AGgAZQBuACAAdgBhAGwAaQBkAGEAdABpAG8AbgAgAHAAYQBzAHMAZQBzAC4AXABuAFwAbgBOAG8AdABlAHMAOgBcAG4AIAAgACAAIAAiICAARQBuAHMAdQByAGUAcwAgAGEAcgByAGEAeQBfADIARAAgAGkAcwAgAGEAIABwAHIAbwBwAGUAcgAgAGEAcgByAGEAeQAgACgAVABZAFAARQAgAD0AIAA2ADQAKQAuAFwAbgAgACAAIAAgACIgIABQAHIAZQB2AGUAbgB0AHMAIABzAHAAaQBsAGwAESByAGkAcwBrACAAdwBoAGUAbgAgAHIAZQBzAGgAYQBwAGkAbgBnACAAYgB5ACAAYwBvAGwAdQBtAG4ALgBcAG4AIAAgACAAIAAiICAARQBuAGYAbwByAGMAZQBzACAAZQB4AGEAYwB0ACAAZABpAHYAaQBzAGkAYgBpAGwAaQB0AHkAIABiAHkAIABiAGwAbwBjAGsAIABkAGkAbQBlAG4AcwBpAG8AbgBzAC4AXABuACAAIAAgACAAIiAgAFIAZQBqAGUAYwB0AHMAIABpAG4AdgBhAGwAaQBkACAAbwByACAAdABlAHgAdAAgAGIAbABvAGMAawAgAHMAaQB6AGUAcwAuAFwAbgAtAC0ALQAtAC0ALQAtAC0ALQAtAC0ALQAtAC0ALQAtAC0ALQAtAC0ALQAtAC0ALQAtAC0ALQAtAC0ALQAtAC0ALQAtAC0ALQAtAC0ALQAtAC0ALQAtAC0ALQAtAC0ALQAtAC0ALQAtAC0ALQAtAC0ALQAtAC0ALQAtAC0ALQAtAC0ALQAtAC0ALQAtAC0ALQAtAC0ALQAtAC0ALQAqAC8AXABuAFwAbgBWAGEAbABpAGQAYQB0AGUAQgBsAG8AYwBrAE0AYQBwALsDIAA9AFwAbgBMAEEATQBCAEQAQQAoAFwAbgAgACAAIAAgAGEAcgByAGEAeQBfADIARAAsAFwAbgAgACAAIAAgAGQAZQBwAHQAaAAsAFwAbgAgACAAIAAgAHcAaQBkAHQAaAAsAFwAbgAgACAAIAAgAHIAZQBfAHMAaABhAHAAZQBfAGIAeQBfAGMAbwBsAHUAbQBuAD8ALABcAG4AIAAgACAAIABvAG4AXwB2AGEAbABpAGQALABcAG4AXABuACAAIAAgACAALwAvACAATQB1AHMAdAAgAGIAZQAgAGEAbgAgAGEAcgByAGEAeQBcAG4AIAAgACAAIABJAEYAKABOAE8AVAAoAFQAWQBQAEUAKABhAHIAcgBhAHkAXwAyAEQAKQAgAD0AIAA2ADQAKQAsAFwAIgAjAGEAcgByAGEAeQBfADIARAAhAFwAIgAsAFwAbgBcAG4AIAAgACAAIAAvAC8AIABTAHAAaQBsAGwAESByAGkAcwBrACAAdwBoAGUAbgAgAHIAZQBzAGgAYQBwAGkAbgBnACAAYgB5ACAAYwBvAGwAdQBtAG4AXABuACAAIAAgACAASQBGACgAKAByAGUAXwBzAGgAYQBwAGUAXwBiAHkAXwBjAG8AbAB1AG0AbgA/ACkAIAAqACAAXABuACAAIAAgACAAIAAgACAAKABSAE8AVwBTACgAYQByAHIAYQB5AF8AMgBEACkAIAAqACAAQwBPAEwAVQBNAE4AUwAoAGEAcgByAGEAeQBfADIARAApACAALwAgACgAdwBpAGQAdABoACAAKgAgAGQAZQBwAHQAaAApAF4AMgAgAD4AIAAxADYAMwA4ADQAKQAsAFwAIgAjAFMAUABJAEwATAAtAFIASQBTAEsAIQBcACIALABcAG4AXABuACAAIAAgACAALwAvACAATQB1AHMAdAAgAHQAaQBsAGUAIABjAGwAZQBhAG4AbAB5AFwAbgAgACAAIAAgAEkARgAoACgATQBPAEQAKABSAE8AVwBTACgAYQByAHIAYQB5AF8AMgBEACkALAAgAGQAZQBwAHQAaAApACAAPAA+ACAAMAApACAAKwAoAE0ATwBEACgAQwBPAEwAVQBNAE4AUwAoAGEAcgByAGEAeQBfADIARAApACwAIAB3AGkAZAB0AGgAKQAgADwAPgAgADAAKQAsAFwAIgAjAEIATABPAEMASwAgAE0ASQBTAE0AQQBUAEMASAAhAFwAIgAsAFwAbgBcAG4AIAAgACAAIAAvAC8AIABCAGwAbwBjAGsAIABzAGkAegBlACAAbQB1AHMAdAAgAGIAZQAgAHYAYQBsAGkAZABcAG4AIAAgACAAIABJAEYAKABPAFIAKABBAE4ARAAoAHcAaQBkAHQAaAAgAD0AIAAxACwAIABkAGUAcAB0AGgAIAA9ACAAMQApACwAZABlAHAAdABoACAAPgAgAFIATwBXAFMAKABhAHIAcgBhAHkAXwAyAEQAKQAsAFwAbgAgACAAIAAgACAAIAAgACAAIAAgACAAIAAgACAAdwBpAGQAdABoACAAPgAgAEMATwBMAFUATQBOAFMAKABhAHIAcgBhAHkAXwAyAEQAKQAsAEkAUwBUAEUAWABUACgAdwBpAGQAdABoACkALABJAFMAVABFAFgAVAAoAGQAZQBwAHQAaAApACkALABcACIAIwBEAEkATQBFAE4AUwBJAE8ATgBTACEAXAAiACwAXABuAFwAbgAgACAAIAAgAC8ALwAgAEEAbABsACAAYwBoAGUAYwBrAHMAIABwAGEAcwBzAGUAZABcAG4AIAAgACAAIABvAG4AXwB2AGEAbABpAGQAXABuACAAIAAgACAAKQApACkAKQApADsAXABuAFwAbgBcAG4AXABuAC8AKgAgAFsARwBBADEANwBdACAALQAtAC0ALQAtAC0ALQAtAC0ALQAtAC0ALQAtAC0ALQAtAC0ALQAtAC0ALQAtAC0ALQAtAC0ALQAtAC0ALQAtAC0ALQAtAC0ALQAtAC0ALQAtAC0ALQAtAC0ALQAtAC0ALQAtAC0ALQAtAC0ALQAtAC0ALQAtAC0ALQAtAC0ALQAtAC0ALQAtAC0ALQAtAC0ALQBcAG4ARgB1AG4AYwB0AGkAbwBuADoAIAAgACAAIAAgAEMAbwBuAHYAbwBsAHYAZQC7A1wAbgBDAGEAdABlAGcAbwByAHkAOgAgACAAIAAgACAARwByAGkAZAAgAEEAbABnAGUAYgByAGEAIAAoAFMAdAByAHUAYwB0AHUAcgBhAGwAIABNAGEAcABwAGkAbgBnACkAXABuAEEAdQB0AGgAbwByADoAIAAgACAAIAAgACAAIABQAGEAdAByAGkAYwBrACAASAAuAFwAbgBWAGUAcgBzAGkAbwBuADoAIAAgACAAIAAgACAAMQAuADIAXABuAEQAZQBwAGUAbgBkAGUAbgBjAGkAZQBzADoAIABSAGUAcwBpAHoAZQC7A1wAbgBcAG4ARABlAHMAYwByAGkAcAB0AGkAbwBuADoAXABuACAAIAAgACAAUABlAHIAZgBvAHIAbQBzACAAYQAgAHMAbABpAGQAaQBuAGcAESB3AGkAbgBkAG8AdwAgAGMAbwBuAHYAbwBsAHUAdABpAG8AbgAgAG8AdgBlAHIAIABhACAAMgBEACAAYQByAHIAYQB5ACAAdQBzAGkAbgBnACAAYQAgADIARAAgAGsAZQByAG4AZQBsAC4AXABuACAAIAAgACAARQBhAGMAaAAgAHcAaQBuAGQAbwB3ACAAZQB4AHQAcgBhAGMAdABlAGQAIABmAHIAbwBtACAAdABoAGUAIABpAG4AcAB1AHQAIABhAHIAcgBhAHkAIABoAGEAcwAgAHQAaABlACAAcwBhAG0AZQAgAGQAaQBtAGUAbgBzAGkAbwBuAHMAIABhAHMAIAB0AGgAZQBcAG4AIAAgACAAIABrAGUAcgBuAGUAbAAuACAAQQAgAHIAZQBkAHUAYwBlAHIAIABmAHUAbgBjAHQAaQBvAG4AIABpAHMAIABhAHAAcABsAGkAZQBkACAAdABvACAAZQBhAGMAaAAgAHcAaQBuAGQAbwB3ACAAdABvACAAcAByAG8AZAB1AGMAZQAgAHQAaABlACAAbwB1AHQAcAB1AHQALgBcAG4AXABuACAAIAAgACAASQBmACAAbgBvACAAcgBlAGQAdQBjAGUAcgAgAGYAdQBuAGMAdABpAG8AbgAgAGkAcwAgAHMAdQBwAHAAbABpAGUAZAAsACAAQwBvAG4AdgBvAGwAdgBlALsDIABkAGUAZgBhAHUAbAB0AHMAIAB0AG8AIABhACAAZABvAHQAESBwAHIAbwBkAHUAYwB0AFwAbgAgACAAIAAgAHIAZQBkAHUAYwBlAHIAOgAgAFMAVQBNACgAdgAgACoAIABrAGUAcgBuAGUAbAApAC4AXABuAFwAbgBQAGEAcgBhAG0AZQB0AGUAcgBzADoAXABuACAAIAAgACAAYQByAHIAYQB5ACAAIAAgACAAIAAgACAALQAgADIARAAgAGEAcgByAGEAeQAgAHQAbwAgAHcAaABpAGMAaAAgAHQAaABlACAAawBlAHIAbgBlAGwAIABpAHMAIABhAHAAcABsAGkAZQBkAC4AXABuACAAIAAgACAAawBlAHIAbgBlAGwAIAAgACAAIAAgACAALQAgADIARAAgAGEAcgByAGEAeQAgAGQAZQBmAGkAbgBpAG4AZwAgAHQAaABlACAAcwBsAGkAZABpAG4AZwAgAHcAaQBuAGQAbwB3ACAAZABpAG0AZQBuAHMAaQBvAG4AcwAuAFwAbgAgACAAIAAgAFsAZgB1AG4AYwB0AGkAbwBuAF0AIAAgAC0AIABPAHAAdABpAG8AbgBhAGwAIAByAGUAZAB1AGMAZQByACAATABBAE0AQgBEAEEAIABhAGMAYwBlAHAAdABpAG4AZwAgAGEAIABzAGkAbgBnAGwAZQAgAGEAcgByAGEAeQAgAGEAcgBnAHUAbQBlAG4AdAAuAFwAbgAgACAAIAAgACAAIAAgACAAIAAgACAAIAAgACAAIAAgACAAIABEAGUAZgBhAHUAbAB0AHMAIAB0AG8AIABTAFUATQAoAHYAIAAqACAAawBlAHIAbgBlAGwAKQAuAFwAbgBcAG4ATgBvAHQAZQBzADoAXABuACAAIAAgACAAIiAgAFIAZQB0AHUAcgBuAHMAIABcACIAIwBLAEUAUgBOAEUATAAhAFwAIgAgAGkAZgAgAHQAaABlACAAawBlAHIAbgBlAGwAIABpAHMAIABsAGEAcgBnAGUAcgAgAHQAaABhAG4AIAB0AGgAZQAgAGkAbgBwAHUAdAAgAGEAcgByAGEAeQAuAFwAbgAgACAAIAAgACIgIABSAGUAdAB1AHIAbgBzACAAXAAiACMARgBVAE4AQwBUAEkATwBOACEAXAAiACAAaQBmACAAdABoAGUAIAByAGUAZAB1AGMAZQByACAAaQBzACAAbgBvAHQAIABhACAAdgBhAGwAaQBkACAATABBAE0AQgBEAEEALgBcAG4AIAAgACAAIAAiICAAUwBjAGEAbABhAHIAcwAgAGEAcgBlACAAdAByAGUAYQB0AGUAZAAgAGEAcwAgADEA1wAxACAAYQByAHIAYQB5AHMAIABhAG4AZAAgAG0AYQBwAHAAZQBkACAAdABoAHIAbwB1AGcAaAAgAHQAaABlACAAcgBlAGQAdQBjAGUAcgAuAFwAbgAgACAAIAAgACIgIABSAGUAZAB1AGMAZQByACAAYgBlAGgAYQB2AGkAbwByACAAaQBzACAAdQBzAGUAcgARIGQAZQBmAGkAbgBlAGQAOwAgAGEAcgByAGEAeQBzACAAbgBlAGUAZAAgAG4AbwB0ACAAYgBlACAAbgB1AG0AZQByAGkAYwAuAFwAbgAtAC0ALQAtAC0ALQAtAC0ALQAtAC0ALQAtAC0ALQAtAC0ALQAtAC0ALQAtAC0ALQAtAC0ALQAtAC0ALQAtAC0ALQAtAC0ALQAtAC0ALQAtAC0ALQAtAC0ALQAtAC0ALQAtAC0ALQAtAC0ALQAtAC0ALQAtAC0ALQAtAC0ALQAtAC0ALQAtAC0ALQAtAC0ALQAtAC0ALQAtAC0ALQAqAC8AXABuAFwAbgBDAG8AbgB2AG8AbAB2AGUAuwMgAD0AXABuAEwAQQBNAEIARABBACgAXABuACAAIAAgACAAYQByAHIAYQB5ACwAXABuACAAIAAgACAAawBlAHIAbgBlAGwALABcAG4AIAAgACAAIABbAGYAdQBuAGMAdABpAG8AbgBdACwAXABuAEwARQBUACgAXABuACAAIAAgACAALwAvACAAQQByAHIAYQB5ACAAZABpAG0AZQBuAHMAaQBvAG4AcwBcAG4AIAAgACAAIABoACwAIAAgACAAIAAgACAAIAAgACAAIAAgACAAIAAgACAAIAAgACAAUgBPAFcAUwAoAGEAcgByAGEAeQApACwAXABuACAAIAAgACAAdwAsACAAIAAgACAAIAAgACAAIAAgACAAIAAgACAAIAAgACAAIAAgAEMATwBMAFUATQBOAFMAKABhAHIAcgBhAHkAKQAsAFwAbgBcAG4AIAAgACAAIAAvAC8AIABLAGUAcgBuAGUAbAAgAGQAaQBtAGUAbgBzAGkAbwBuAHMAXABuACAAIAAgACAAaABfACwAIAAgACAAIAAgACAAIAAgACAAIAAgACAAIAAgACAAIAAgAFIATwBXAFMAKABrAGUAcgBuAGUAbAApACwAXABuACAAIAAgACAAdwBfACwAIAAgACAAIAAgACAAIAAgACAAIAAgACAAIAAgACAAIAAgAEMATwBMAFUATQBOAFMAKABrAGUAcgBuAGUAbAApACwAXABuAFwAbgAgACAAIAAgAC8ALwAgAEsAZQByAG4AZQBsACAAbQB1AHMAdAAgAGYAaQB0ACAAaQBuAHMAaQBkAGUAIABhAHIAcgBhAHkAXABuACAAIAAgACAASQBuAHYAYQBsAGkAZABLAGUAcgBuAGUAbAA/ACwAIAAgACAAIAAgAE8AUgAoAGgAXwAgAD4AIABoACwAIAB3AF8AIAA+ACAAdwApACwAXABuAFwAbgAgACAAIAAgAC8ALwAgAFMAYwBhAGwAYQByACAAaABhAG4AZABsAGkAbgBnAFwAbgAgACAAIAAgAEkAcwBTAGMAYQBsAGEAcgA/ACwAIAAgACAAIAAgACAAIAAgACAAIABBAE4ARAAoAGgAIAA9ACAAMQAsACAAdwAgAD0AIAAxACkALABcAG4AIAAgACAAIABJAHMAUwBjAGEAbABhAHIASwBlAHIAbgBlAGwAPwAsACAAIAAgACAAQQBOAEQAKABoAF8AIAA9ACAAMQAsACAAdwBfACAAPQAgADEAKQAsAFwAbgBcAG4AIAAgACAAIAAvAC8AIABEAGUAZgBhAHUAbAB0ACAAcgBlAGQAdQBjAGUAcgAgAD0AIABkAG8AdAAgAHAAcgBvAGQAdQBjAHQAXABuACAAIAAgACAAZgB1AG4AYwB0AGkAbwBuACwAIAAgACAAIAAgACAAIAAgACAAIAAgAEkARgAoAEkAUwBPAE0ASQBUAFQARQBEACgAZgB1AG4AYwB0AGkAbwBuACkALABMAEEATQBCAEQAQQAoAHYALAAgAFMAVQBNACgAdgAgACoAIABrAGUAcgBuAGUAbAApACkALABmAHUAbgBjAHQAaQBvAG4AKQAsAFwAbgBcAG4AIAAgACAAIAAvAC8AIABUAFkAUABFACgAZgB1AG4AYwB0AGkAbwBuACkAIAA9ACAAMQAyADgAIACSISAAdgBhAGwAaQBkACAATABBAE0AQgBEAEEAXABuACAAIAAgACAASQBuAHYAYQBsAGkAZABGAG4APwAsACAAIAAgACAAIAAgACAAIAAgAFQAWQBQAEUAKABmAHUAbgBjAHQAaQBvAG4AKQAgADwAPgAgADEAMgA4ACwAXABuAFwAbgAgACAAIAAgAC8ALwAgAFMAYwBhAGwAYQByACAAbwByACAAcwBjAGEAbABhAHIAESBrAGUAcgBuAGUAbAAgAGMAYQBzAGUAIACSISAAcwBpAG0AcABsAGUAIABNAEEAUABcAG4AIAAgACAAIABTAHQAYQBuAGQAYQByAGQATQBhAHAALAAgACAAIAAgACAAIAAgACAATABBAE0AQgBEAEEAKABNAEEAUAAoAGEAcgByAGEAeQAsACAAZgB1AG4AYwB0AGkAbwBuACkAKQAsAFwAbgBcAG4ALwAvACAATABvAGcAaQBjACAAZwBhAHQAZQBcAG4AIAAgACAAIABJAEYAKABJAG4AdgBhAGwAaQBkAEsAZQByAG4AZQBsAD8ALAAgAFwAIgAjAEsARQBSAE4ARQBMACEAXAAiACwAXABuAFwAbgAgACAAIAAgACAAIAAgACAASQBGACgASQBuAHYAYQBsAGkAZABGAG4APwAsACAAXAAiACMARgBVAE4AQwBUAEkATwBOACEAXAAiACwAXABuAFwAbgAgACAAIAAgACAAIAAgACAAIAAgACAAIABJAEYAKAAoAEkAcwBTAGMAYQBsAGEAcgA/ACkAIAArACAAKABJAHMAUwBjAGEAbABhAHIASwBlAHIAbgBlAGwAPwApACwAUwB0AGEAbgBkAGEAcgBkAE0AYQBwACgAKQAsAFwAbgBcAG4ATABFAFQAKABcAG4AIAAgACAAIAAvAC8AIABBAG4AYwBoAG8AcgAgAGMAbwB1AG4AdABzAFwAbgAgACAAIAAgAGEAbgBjAGgAXwByACwAIAAgACAAIAAgACAAIAAgACAAIAAgACAAIABoACAALQAgAGgAXwAgACsAIAAxACwAXABuACAAIAAgACAAYQBuAGMAaABfAGMALAAgACAAIAAgACAAIAAgACAAIAAgACAAIAAgAHcAIAAtACAAdwBfACAAKwAgADEALABcAG4AXABuACAAIAAgACAALwAvACAAQQBuAGMAaABvAHIAIABpAG4AZABlAHgAIABnAHIAaQBkAHMAXABuACAAIAAgACAAaQAsACAAIAAgACAAIAAgACAAIAAgACAAIAAgACAAIAAgACAAIAAgAEwAQQBNAEIARABBACgAUgBlAHMAaQB6AGUAuwMoAEkARgAoAGEAbgBjAGgAXwByACAAPQAgADEALAAgADEALABTAEUAUQBVAEUATgBDAEUAKABhAG4AYwBoAF8AcgApACkALAAgACwAIABhAG4AYwBoAF8AYwApACkALAAgACAAIAAgAFwAbgAgACAAIAAgAGoALAAgACAAIAAgACAAIAAgACAAIAAgACAAIAAgACAAIAAgACAAIABMAEEATQBCAEQAQQAoAFIAZQBzAGkAegBlALsDKABJAEYAKABhAG4AYwBoAF8AYwAgAD0AIAAxACwAIAAxACwAIABTAEUAUQBVAEUATgBDAEUAKAAsAGEAbgBjAGgAXwBjACk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MsACAASQBuAHMAdABhAG4AYwBlALsDLAAgAFcAYQB2AGU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ywAXABuAFwAdABcAHQAXAB0ACAAIABHAHIAbwB1AHAASQBuAGQAZQB4ALsDLAAgAE8AYwBjAHUAcgByAGUAbgBjAGUAuwMsACAATwBjAGMAdQByAHIAZQBuAGMAZQBSAGEAbgBnAGUAuwNcAG4AXABuACAAIAAgACAAIAAgACAAIAAiICAATgBlAGkAZwBoAGIAbwByAGgAbwBvAGQAcwBcAG4AIAAgACAAIAAgACAAIAAgACAAIAAgACAAIAAgAEcAcgBhAGkAbgC7AywAIABNAG8AbwByAGUAQQBnAGcAuwMsACAATQBvAG8AcgBlAFMAZQBsAGUAYwB0ALsDXABuAFwAbgAgACAAIAAgACAAIAAgACAAIiAgAFMAdABhAHQAaQBzAHQAaQBjAHMAXABuACAAIAAgACAAIAAgACAAIAAgACAAIAAgACAAIABIAGkAcwB0AG8AZwByAGEAbQC7AywAIABNAG8AZABlALsDLAAgAFoAbwBuAGUAUwB0AGEAdAC7A1wAbgAqAC8AXABuAFwAbgBcAG4AXABuAFwAbgAvACoAIABbAEcAUgAwADEAXQAgAC0ALQAtAC0ALQAtAC0ALQAtAC0ALQAtAC0ALQAtAC0ALQAtAC0ALQAtAC0ALQAtAC0ALQAtAC0ALQAtAC0ALQAtAC0ALQAtAC0ALQAtAC0ALQAtAC0ALQAtAC0ALQAtAC0ALQAtAC0ALQAtAC0ALQAtAC0ALQAtAC0ALQAtAC0ALQAtAC0ALQAtAC0ALQAtAC0AXABuAEYAdQBuAGMAdABpAG8AbgA6ACAAIAAgACAAIABTAHQAcgBlAGEAawC7A1wAbgBDAGEAdABlAGcAbwByAHkAOgAgACAAIAAgACAARwByAGkAZAAgAEEAbgBhAGwAeQB0AGkAYwBzACAAKABTAGUAcQB1AGUAbgBjAGkAbgBnACkAXABuAEEAdQB0AGgAbwByADoAIAAgACAAIAAgACAAIABQAGEAdAByAGkAYwBrACAASAAuAFwAbgBWAGUAcgBzAGkAbwBuADoAIAAgACAAIAAgACAAMQAuADEAXABuAFwAbgBEAGUAcwBjAHIAaQBwAHQAaQBvAG4AOgBcAG4AIAAgACAAIABDAG8AbQBwAHUAdABlAHMAIABzAHQAcgBlAGEAawAgAGMAbwB1AG4AdABzACAAbwBmACAAYwBvAG4AcwBlAGMAdQB0AGkAdgBlACAAaQBkAGUAbgB0AGkAYwBhAGwAIAB2AGEAbAB1AGUAcwAgAGkAbgAgAGEAIAAxAEQAIABvAHIAIAAyAEQAIABhAHIAcgBhAHkALgBcAG4AIAAgACAAIABTAHQAcgBlAGEAawBzACAAaQBuAGMAcgBlAG0AZQBuAHQAIABmAG8AcgB3AGEAcgBkACAAKAAxACwAIAAyACwAIAAzACwAIAAmICkAIAB3AGgAZQBuAGUAdgBlAHIAIAB0AGgAZQAgAGMAdQByAHIAZQBuAHQAIABlAGwAZQBtAGUAbgB0ACAAbQBhAHQAYwBoAGUAcwBcAG4AIAAgACAAIAB0AGgAZQAgAHAAcgBlAHYAaQBvAHUAcwAgAG8AbgBlAC4AIABGAG8AcgAgADIARAAgAGEAcgByAGEAeQBzACwAIABzAHQAcgBlAGEAawBzACAAYQByAGUAIABjAG8AbQBwAHUAdABlAGQAIAByAG8AdwARIG0AYQBqAG8AcgAgAGIAeQAgAGQAZQBmAGEAdQBsAHQALgBcAG4AXABuAFAAYQByAGEAbQBlAHQAZQByAHMAOgBcAG4AIAAgACAAIABhAHIAcgBhAHkAIAAgACAAIAAgACAAIAAgACAAIAAgACAAIAAgAC0AIAAxAEQAIABvAHIAIAAyAEQAIABhAHIAcgBhAHkALgBcAG4AXABuAE8AcAB0AGkAbwBuAGEAbAA6AFwAbgAgACAAIAAgAFsASABvAHIAaQB6AG8AbgB0AGEAbAA/AF0AIAAgACAAIAAgACAALQAgAEYAbwByACAAMQBEACAAYQByAHIAYQB5AHMALAAgAGMAbwBtAHAAdQB0AGUAIABzAHQAcgBlAGEAawBzACAAYwBvAGwAdQBtAG4AESB3AGkAcwBlACAAaQBuAHMAdABlAGEAZAAgAG8AZgBcAG4AIAAgACAAIAAgACAAIAAgACAAIAAgACAAIAAgACAAIAAgACAAIAAgACAAIAAgACAAIAAgAHIAbwB3ABEgdwBpAHMAZQAuACAASQBnAG4AbwByAGUAZAAgAGYAbwByACAAMgBEACAAYQByAHIAYQB5AHMALgBcAG4AIAAgACAAIABbAEkAbgBjAGwAdQBkAGUAXwBTAHkAbQBiAG8AbAA/AF0AIAAgAC0AIABJAGYAIABUAFIAVQBFACwAIABhAHAAcABlAG4AZAAgAHQAaABlACAAcwB5AG0AYgBvAGwAIAB0AG8AIAB0AGgAZQAgAHMAdAByAGUAYQBrACAAYwBvAHUAbgB0AFwAbgAgACAAIAAgACAAIAAgACAAIAAgACAAIAAgACAAIAAgACAAIAAgACAAIAAgACAAIAAgACAAKABlAC4AZwAuACwAIABXALcAMQAsACAAVwC3ADIALAAgAEwAtwAxACkALgBcAG4AXABuAE4AbwB0AGUAcwA6AFwAbgAgACAAIAAgACIgIABTAGMAYQBsAGEAcgBzACAAcgBlAHQAdQByAG4AIAB0AGgAZQBtAHMAZQBsAHYAZQBzAC4AXABuACAAIAAgACAAIiAgADIARAAgAGEAcgByAGEAeQBzACAAYQByAGUAIABmAGwAYQB0AHQAZQBuAGUAZAAgAHIAbwB3ABEgbQBhAGoAbwByACwAIABwAHIAbwBjAGUAcwBzAGUAZAAsACAAdABoAGUAbgAgAHIAZQBzAHQAbwByAGUAZAAuAFwAbgAgACAAIAAgACIgIABIAG8AcgBpAHoAbwBuAHQAYQBsAD8AIABvAG4AbAB5ACAAYQBwAHAAbABpAGUAcwAgAHQAbwAgADEARAAgAGEAcgByAGEAeQBzAC4AXABuACAAIAAgACAAIiAgAEkAbgBjAGwAdQBkAGUAXwBTAHkAbQBiAG8AbAA/ACAAdQBzAGUAcwAgAFUATgBJAEMASABBAFIAKAAxADgAMwApACAAKAC3ACkAIABhAHMAIAB0AGgAZQAgAHMAZQBwAGEAcgBhAHQAbwByAC4AXABuAC0ALQAtAC0ALQAtAC0ALQAtAC0ALQAtAC0ALQAtAC0ALQAtAC0ALQAtAC0ALQAtAC0ALQAtAC0ALQAtAC0ALQAtAC0ALQAtAC0ALQAtAC0ALQAtAC0ALQAtAC0ALQAtAC0ALQAtAC0ALQAtAC0ALQAtAC0ALQAtAC0ALQAtAC0ALQAtAC0ALQAtAC0ALQAtAC0ALQAtAC0ALQAtACoALwBcAG4AXABuAFMAdAByAGUAYQBrALsDIAA9AFwAbgBMAEEATQBCAEQAQQAoAFwAbgAgACAAIAAgAGEAcgByAGEAeQAsAFwAbgAgACAAIAAgAFsASABvAHIAaQB6AG8AbgB0AGEAbAA/AF0ALABcAG4AIAAgACAAIABbAEkAbgBjAGwAdQBkAGUAXwBTAHkAbQBiAG8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PAHAAdABpAG8AbgBhAGwAIABzAHkAbQBiAG8AbAAgAGkAbgBjAGwAdQBzAGkAbwBuAFwAbgAgACAAIAAgAHIAZQBzAHUAbAB0ACwAIAAgACAAIAAgACAAIAAgACAASQBGACgASQBTAE8ATQBJAFQAVABFAEQAKABJAG4AYwBsAHUAZABlAF8AUwB5AG0AYgBvAGwAPwApACwAYQBjAGMALABcAG4AIAAgACAAIAAgACAAIAAgACAAIAAgACAAIAAgACAAIAAgACAAIAAgACAAIAAgACAAYQByAHIAYQB5ACAAJgAgAFUATgBJAEMASABBAFIAKAAxADgAMwApACAAJgAgAGEAYwBjACkALABcAG4AXABuACAAIAAgACAALwAvACAAUgBlAHMAdABvAHIAZQAgADIARAAgAHMAaABhAHAAZQAgAGkAZgAgAG4AZQBlAGQAZQBkAFwAbgAgACAAIAAgAGQAZQBsAGkAdgBlAHIALAAgACAAIAAgACAAIAAgACAASQBGACgASQBzADIARAA/ACwAIABXAFIAQQBQAFIATwBXAFMAKAByAGUAcwB1AGwAdAAsACAAdwApACwAIAByAGUAcwB1AGwAdAApACwAXABuAFwAbgAgACAAIAAgAGQAZQBsAGkAdgBlAHIAXABuACkAKQApADsAXABuAFwAbgBcAG4AXABuAC8AKgAgAFsARwBSADAAMgBdACAALQAtAC0ALQAtAC0ALQAtAC0ALQAtAC0ALQAtAC0ALQAtAC0ALQAtAC0ALQAtAC0ALQAtAC0ALQAtAC0ALQAtAC0ALQAtAC0ALQAtAC0ALQAtAC0ALQAtAC0ALQAtAC0ALQAtAC0ALQAtAC0ALQAtAC0ALQAtAC0ALQAtAC0ALQAtAC0ALQAtAC0ALQAtAC0ALQBcAG4ARgB1AG4AYwB0AGkAbwBuADoAIAAgACAAIAAgAEMAbwB1AG4AdABkAG8AdwBu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cAZQBuAGUAcgBhAHQAZQBzACAAYwBvAHUAbgB0AGQAbwB3AG4AIABpAG4AZABpAGMAZQBzACAAZgBvAHIAIABjAG8AbgB0AGkAZwB1AG8AdQBzACAAcgB1AG4AcwAgAGkAbgAgAGEAIAAxAEQAIABhAHIAcgBhAHkALgAgAEUAYQBjAGgAIAByAHUAbgBcAG4AIAAgACAAIABjAG8AdQBuAHQAcwAgAGQAbwB3AG4AIABmAHIAbwBtACAAaQB0AHMAIABsAGUAbgBnAHQAaAAgAHQAbwAgADEALgAgAEMAbwB1AG4AdABkAG8AdwBuALsDIABpAHMAIABtAG8AcwB0ACAAdQBzAGUAZgB1AGwAIAB3AGgAZQBuACAAdwBvAHIAawBpAG4AZwBcAG4AIAAgACAAIAB3AGkAdABoACAAcwBvAHIAdABlAGQAIAB2AGUAYwB0AG8AcgBzACAAYQBuAGQAIABpAHMAIAB0AGgAZQAgAG4AYQB0AHUAcgBhAGwAIAByAGUAdgBlAHIAcwBlACAAbwBmACAAUwB0AHIAZQBhAGsAuwMuAFwAbgBcAG4AUABhAHIAYQBtAGUAdABlAHIAcwA6AFwAbgAgACAAIAAgAHYAZQBjAHQAbwByACAAIAAgACAAIAAgACAAIAAgACAAIAAtACAAMQBEACAAYQByAHIAYQB5AC4AXABuAFwAbgBPAHAAdABpAG8AbgBhAGwAOgBcAG4AIAAgACAAIABbAEgAbwByAGkAegBvAG4AdABhAGwAPwBdACAAIAAgACAALQAgAEkAZgAgAG8AbQBpAHQAdABlAGQALAAgAG8AdQB0AHAAdQB0ACAAaQBzACAAdgBlAHIAdABpAGMAYQBsAC4AIABJAGYAIABUAFIAVQBFACwAIABvAHUAdABwAHUAdAAgAGkAcwBcAG4AIAAgACAAIAAgACAAIAAgACAAIAAgACAAIAAgACAAIAAgACAAIAAgACAAIAAgACAAcgBlAHQAdQByAG4AZQBkACAAaABvAHIAaQB6AG8AbgB0AGEAbABsAHkALgBcAG4AXABuAE4AbwB0AGUAcwA6AFwAbgAgACAAIAAgACIgIABBAGwAdwBhAHkAcwAgAGYAbABhAHQAdABlAG4AcwAgAGkAbgBwAHUAdAAgAHQAbwAgAGEAIABzAGkAbgBnAGwAZQAgAGMAbwBsAHUAbQBuACAAYgBlAGYAbwByAGUAIABwAHIAbwBjAGUAcwBzAGkAbgBnAC4AXABuAFwAbgAtAC0ALQAtAC0ALQAtAC0ALQAtAC0ALQAtAC0ALQAtAC0ALQAtAC0ALQAtAC0ALQAtAC0ALQAtAC0ALQAtAC0ALQAtAC0ALQAtAC0ALQAtAC0ALQAtAC0ALQAtAC0ALQAtAC0ALQAtAC0ALQAtAC0ALQAtAC0ALQAtAC0ALQAtAC0ALQAtAC0ALQAtAC0ALQAtAC0ALQAtAC0ALQAqAC8AXABuAFwAbgBDAG8AdQBuAHQAZABvAHcAbgC7AyAAPQBcAG4ATABBAE0AQgBEAEEAKABcAG4AIAAgACAAIABhAHIAcgBhAHkALABcAG4AIAAgACAAIABbAEgAbwByAGkAegBvAG4AdABhAGwAPwBdACwAXABuAFwAbgBJAEYAKABBAE4ARAAoAFIATwBXAFMAKABhAHIAcgBhAHkAKQAgAD0AIAAxACwAIABDAE8ATABVAE0ATgBTACgAYQByAHIAYQB5ACkAIAA9ACAAMQApACwAYQByAHIAYQB5ACwAXABuAFwAbgBMAEUAVAAoAFwAbgAgACAAIAAgAC8ALwAgAEQAaQBtAGUAbgBzAGkAbwBuAHMAXABuACAAIAAgACAAaAAsACAAIAAgACAAIAAgACAAIAAgACAAIAAgACAAIABSAE8AVwBTACgAYQByAHIAYQB5ACkALABcAG4AIAAgACAAIAB3ACwAIAAgACAAIAAgACAAIAAgACAAIAAgACAAIAAgAEMATwBMAFUATQBOAFMAKABhAHIAcgBhAHkAKQAsAFwAbgAgACAAIAAgAEkAcwAyAEQAPwAsACAAIAAgACAAIAAgACAAIAAgACAAQQBOAEQAKABoACAAPgAgADEALAAgAHcAIAA+ACAAMQApACwAXABuAFwAbgAgACAAIAAgAC8ALwAgAEYAbABhAHQAdABlAG4AIAAyAEQAIACSISAAMQBEAFwAbgAgACAAIAAgAGEAcgByAGEAeQAsACAAIAAgACAAIAAgACAAIAAgACAASQBGACgASQBzADIARAA/ACwAIABUAE8AQwBPAEwAKABhAHIAcgBhAHkAKQAsACAAYQByAHIAYQB5ACkALABcAG4AXABuACAAIAAgACAALwAvACAARABpAHIAZQBjAHQAaQBvAG4AIAAoAG8AbgBsAHkAIAByAGUAbABlAHYAYQBuAHQAIABmAG8AcgAgADEARAApAFwAbgAgACAAIAAgAE4AbwBEAGkAcgA/ACwAIAAgACAAIAAgACAAIAAgACAASQBTAE8ATQBJAFQAVABFAEQAKABIAG8AcgBpAHoAbwBuAHQAYQBsAD8AKQAsAFwAbgAgACAAIAAgAGYAbgAsACAAIAAgACAAIAAgACAAIAAgACAAIAAgACAASQBGACgATgBvAEQAaQByAD8ALAAgAFYAUwBUAEEAQwBLACwAIABIAFMAVABBAEMASwApACwAXABuAFwAbgAgACAAIAAgAC8ALwAgAEMAbwBtAHAAYQByAGUAIAB3AGkAdABoACAAcAByAGUAdgBpAG8AdQBzACAAZQBsAGUAbQBlAG4AdABcAG4AIAAgACAAIABrAGUAcAB0ACwAIAAgACAAIAAgACAAIAAgACAAIAAgAEkARgAoAE4AbwBEAGkAcgA/ACwAIABEAFIATwBQACgAYQByAHIAYQB5ACwAIAAtADEAKQAsACAARABSAE8AUAAoAGEAcgByAGEAeQAsACAALAAgAC0AMQApACkALABcAG4AIAAgACAAIABiAG8AbwBsACwAIAAgACAAIAAgACAAIAAgACAAIAAgAGEAcgByAGEAeQAgAD0AIABmAG4AKABcACIAbwBtAGkAdABcACIALAAgAGsAZQBwAHQAKQAsAFwAbgBcAG4AIAAgACAAIAAvAC8AIABBAGMAYwB1AG0AdQBsAGEAdABlACAAcwB0AHIAZQBhAGsAIABjAG8AdQBuAHQAcwBcAG4AIAAgACAAIABhAGMAYwAsACAAIAAgACAAIAAgACAAIAAgACAAIAAgAFMAQwBBAE4AKAAwACwAYgBvAG8AbAAsAEwAQQBNAEIARABBACgAYQAsACAAdgAsAEkARgAoAGEAIAA9ACAAMAAsACAAMQAsACAASQBGACgAdgAsACAAYQAgACsAIAAxACwAIAAxACkAKQApACkALABcAG4AXABuACAAIAAgACAALwAvACAAQwBoAGEAbgBnAGUAIABnAHIAbwB1AHAAcwBcAG4AIAAgACAAIABjAGcALAAgACAAIAAgACAAIAAgACAAIAAgACAAIAAgAFMAQwBBAE4AKAAwACwATgBPAFQAKABiAG8AbwBsACkALABTAFUATQApACwAXABuAFwAbgAgACAAIAAgAC8ALwAgAFMAbwByAHQAIABkAGUAcwBjAGUAbgBkAGkAbgBnAFwAbgAgACAAIAAgAHMAbwByAHQAZQBkACwAIAAgACAAIAAgACAAIAAgACAAUwBPAFIAVABCAFkAKABhAGMAYwAsAGMAZwAsADEALABhAGMAYwAsAC0AMQApACwAXABuAFwAbgAgACAAIAAgAC8ALwAgAFIAZQBzAHQAbwByAGUAIAAyAEQAIABzAGgAYQBwAGUAIABpAGYAIABuAGUAZQBkAGUAZABcAG4AIAAgACAAIABkAGUAbABpAHYAZQByACwAIAAgACAAIAAgACAAIAAgAEkARgAoAEkAcwAyAEQAPwAsACAAVwBSAEEAUABSAE8AVwBTACgAcwBvAHIAdABlAGQALAAgAHcAKQAsACAAcwBvAHIAdABlAGQAKQAsAFwAbgBcAG4AIAAgACAAIABkAGUAbABpAHYAZQByAFwAbgApACkAKQA7AFwAbgBcAG4AXABuAC8AKgAgAFsARwBSADEANgBdACAALQAtAC0ALQAtAC0ALQAtAC0ALQAtAC0ALQAtAC0ALQAtAC0ALQAtAC0ALQAtAC0ALQAtAC0ALQAtAC0ALQAtAC0ALQAtAC0ALQAtAC0ALQAtAC0ALQAtAC0ALQAtAC0ALQAtAC0ALQAtAC0ALQAtAC0ALQAtAC0ALQAtAC0ALQAtAC0ALQAtAC0ALQAtAC0ALQBcAG4ARgB1AG4AYwB0AGkAbwBuADoAIAAgACAAIAAgACAAIAAgAEkAbgBzAHQAYQBuAGMAZQC7A1wAbgBDAGEAdABlAGcAbwByAHkAOgAgACAAIAAgACAAIAAgACAAWwBHAFIAMAAzAF0AIAAgAEcAcgBpAGQAIABBAG4AYQBsAHkAdABpAGMAcwAgACgAUwBlAHEAdQBlAG4AYwBpAG4AZwApAFwAbgBBAHUAdABoAG8AcgA6ACAAIAAgACAAIAAgACAAIAAgACAAUABhAHQAcgBpAGMAawAgAEgALgBcAG4AVgBlAHIAcwBpAG8AbgA6ACAAIAAgACAAIAAgACAAIAAgADEALgAxAFwAbgBEAGUAcABlAG4AZABlAG4AYwBpAGUAcwA6ACAAIAAgACAAQwBvAHUAbgB0AGQAbwB3AG4AuwMsACAATQBHAHIAaQBkALsDLAAgAFMAdAByAGUAYQBrALsDXABuAFwAbgBEAGUAcwBjAHIAaQBwAHQAaQBvAG4AOgBcAG4AIAAgACAAIABPAGIAdABhAGkAbgAgAHQAaABlACAAaQBuAHMAdABhAG4AYwBlACAAbgB1AG0AYgBlAHIAcwAgAGYAbwByACAAdQBuAHMAbwByAHQAZQBkACAAdgBhAGwAdQBlAHMAIABpAG4AIABhACAAMQBEACAAYQByAHIAYQB5ACAAdwBpAHQAaAAgAG8AcAB0AGkAbwBuAHMAXABuACAAIAAgACAAZgBvAHIAIAByAGUAdAB1AHIAbgBpAG4AZwAgAGkAbgBzAHQAYQBuAGMAZQBzACAAZgBvAHIAIABoAG8AcgBpAHoAbwBuAHQAYQBsACAAdgBlAGMAdABvAHIAcwAsACAAYQBuAGQAIABkAGkAcwBwAGwAYQB5AGkAbgBnACAAaQBuAHMAdABhAG4AYwBlAHMAIABpAG4AXABuACAAIAAgACAAZABlAHMAYwBlAG4AZABpAG4AZwAgAG8AcgBkAGUAcgAuAFwAbgAgACAAIAAgAFwAbgBcAG4AUABhAHIAYQBtAGUAdABlAHIAcwA6AFwAbgAgACAAIAAgAHYAZQBjAHQAbwByACAAIAAgACAAIAAgACAAIAAgACAALQAgACAAIAAxAEQAIABhAHIAcgBhAHkAIABpAG4AcAB1AHQAIAAoADIARAAgAGEAcgByAGEAeQBzACAAYQByAGUAIABmAGwAYQB0AHQAZQBuAGUAZAApAFwAbgAgACAAIAAgAFsASABvAHIAaQB6AG8AbgB0AGEAbAA/AF0AIAAgACAALQAgACAAIABJAGYAIABUAFIAVQBFACwAIABvAGIAdABhAGkAbgAgAGkAbgBzAHQAYQBuAGMAZQAgAG4AdQBtAGIAZQByAHMAIABmAG8AcgAgAGgAbwByAGkAegBvAG4AdABhAGwAIAB2AGUAYwB0AG8AcgBzAFwAbgAgACAAIAAgAFsARABlAHMAYwBlAG4AZAA/AF0AIAAgACAAIAAgACAALQAgACAAIABJAGYAIABUAFIAVQBFACwAIABkAGkAcwBwAGwAYQB5ACAAaQBuAHMAdABhAG4AYwBlAHMAIABpAG4AIABkAGUAcwBjAGUAbgBkAGkAbgBnACAAbwByAGQAZQByAFwAbgAgACAAIAAgAFwAbgAtAC0ALQAtAC0ALQAtAC0ALQAtAC0ALQAtAC0ALQAtAC0ALQAtAC0ALQAtAC0ALQAtAC0ALQAtAC0ALQAtAC0ALQAtAC0ALQAtAC0ALQAtAC0ALQAtAC0ALQAtAC0ALQAtAC0ALQAtAC0ALQAtAC0ALQAtAC0ALQAtAC0ALQAtAC0ALQAtAC0ALQAtAC0ALQAtAC0ALQAtAC0ALQAqAC8AXABuAFwAbgBJAG4AcwB0AGEAbgBjAGUAuwM9AFwAbgBMAEEATQBCAEQAQQAoAFwAbgAgACAAIAAgAHYAZQBjAHQAbwByACwAXABuACAAIAAgACAAWwBIAG8AcgBpAHoAbwBuAHQAYQBsAD8AXQAsAFwAbgAgACAAIAAgAFsARABlAHMAYwBlAG4AZAA/AF0ALABcAG4ATABFAFQAKABcAG4AIAAgACAAIAAvAC8AIABGAGwAYQB0AHQAZQBuACAAaQBuAHAAdQB0AFwAbgAgACAAIAAgAHYAZQBjAHQAbwByACwAIAAgACAAIAAgACAAVABPAEMATwBMACgAdgBlAGMAdABvAHIAKQAsAFwAbgBcAG4AIAAgACAAIAAvAC8AIABTAGgAYQBwAGUAIABvAGYAIAAxAEQAIAB2AGUAYwB0AG8AcgBcAG4AIAAgACAAIABoAGUAaQBnAGgAdAAsACAAIAAgACAAIAAgAFIATwBXAFMAKAB2AGUAYwB0AG8AcgApACwAXABuACAAIAAgACAAdwBpAGQAdABoACwAIAAgACAAIAAgACAAIABDAE8ATABVAE0ATgBTACgAdgBlAGMAdABvAHIAKQAsAFwAbgBcAG4AIAAgACAAIAAvAC8AIABPAHAAdABpAG8AbgBhAGwAIABwAGEAcgBhAG0AZQB0AGUAcgBzAFwAbgAgACAAIAAgAEkAcwBWAGUAcgB0AGkAYwBhAGwAPwAsACAASQBTAE8ATQBJAFQAVABFAEQAKABIAG8AcgBpAHoAbwBuAHQAYQBsAD8AKQAsAFwAbgAgACAAIAAgAEkAcwBEAGUAcwBjAGUAbgBkAD8ALAAgACAAQQBOAEQAKABOAE8AVAAoAEkAUwBPAE0ASQBUAFQARQBEACgARABlAHMAYwBlAG4AZAA/ACkAKQAsACAARABlAHMAYwBlAG4AZAA/ACAAPQAgAFQAUgBVAEUAKQAsAFwAbgBcAG4AIAAgACAAIAAvAC8AIABTAGMAZQBuAGEAcgBpAG8AcwBcAG4AIAAgACAAIABJAHMAUwBjAGEAbABhAHIAPwAsACAAIAAgAEEATgBEACgAaABlAGkAZwBoAHQAIAA9ACAAMQAsACAAdwBpAGQAdABoACAAPQAgADEAKQAsAFwAbgAgACAAIAAgAFMAcABpAGwAbABSAGkAcwBrAD8ALAAgACAASQBGACgASQBzAFYAZQByAHQAaQBjAGEAbAA/ACwAaABlAGkAZwBoAHQAIAA+ACAAMQAwADQAOAA1ADcANgAsAGgAZQBpAGcAaAB0ACAAPgAgADEANgAzADgANAApACwAXABuAFwAbgAgACAAIAAgAEkARgAoAEkAcwBTAGMAYQBsAGEAcgA/ACwAdgBlAGMAdABvAHIALABcAG4AXABuACAAIAAgACAAIAAgACAAIABJAEYAKABTAHAAaQBsAGwAUgBpAHMAawA/ACwAIwBOAFUATQAhACwAXABuAFwAbgBMAEUAVAAoAFwAbgAgACAAIAAgAC8ALwAgAFQAeQBwAGUAIABvAGYAIABpAG4AZABlAHgAXABuACAAIAAgACAAaQBkAHgAuwMsACAAIAAgACAAIAAgACAAIABJAEYAKABJAHMARABlAHMAYwBlAG4AZAA/ACwAIABDAG8AdQBuAHQAZABvAHcAbgC7AywAIABTAHQAcgBlAGEAawC7AykALABcAG4AXABuACAAIAAgACAALwAvACAAUwBvAHIAdAAgAGsAZQB5AFwAbgAgACAAIAAgAGkALAAgACAAIAAgACAAIAAgACAAIAAgACAATQBHAHIAaQBkALsDKAB2AGUAYwB0AG8AcgApACwAXABuACAAIAAgACAAXABuACAAIAAgACAALwAvACAAUwBvAHIAdAAgAGEAcwAgADIARAAgAGEAcgByAGEAeQAsACAAbwBiAHQAYQBpAG4AIABzAHQAcgBlAGEAawBcAG4AIAAgACAAIABzAG8AcgB0AGUAZAAsACAAIAAgACAAIAAgAFMATwBSAFQAKABIAFMAVABBAEMASwAoAGkALAB2AGUAYwB0AG8AcgApACwAMgApACwAXABuACAAIAAgACAAaQBkAHgALAAgACAAIAAgACAAIAAgACAAIABpAGQAeAC7AygAVABBAEsARQAoAHMAbwByAHQAZQBkACwALAAtADEAKQApACwAXABuAFwAbgAgACAAIAAgAC8ALwAgAEEAcgByAGEAbgBnAGUAIABuAGUAdwAgAGEAcgByAGEAeQBcAG4AIAAgACAAIABuAGUAdwBfAGEAcgByACwAIAAgACAAIAAgAEgAUwBUAEEAQwBLACgAcwBvAHIAdABlAGQALABpAGQAeAApACwAXABuAFwAbgAgACAAIAAgAC8ALwAgAFMAbwByAHQAIABiAHkAIABrAGUAeQAsACAAbwBiAHQAYQBpAG4AIABpAG4AcwB0AGEAbgBjAGUAIABuAHUAbQBiAGUAcgBcAG4AIAAgACAAIABpAG4AcwB0ACwAIAAgACAAIAAgACAAIAAgAFQAQQBLAEUAKABTAE8AUgBUACgAbgBlAHcAXwBhAHIAcgApACwALAAtADEAKQAsAFwAbgBcAG4AIAAgACAAIAAvAC8AIABSAGUALQBzAGgAYQBwAGUALAAgAGkAZgAgAG4AZQBlAGQAZQBkACAAYQBuAGQAIAByAGUAdAB1AHIAbgBcAG4AIAAgACAAIABmAGkAbgBhAGwALAAgACAAIAAgACAAIAAgAEkARgAoAEkAcwBWAGUAcgB0AGkAYwBhAGwAPwAsAGkAbgBzAHQALABUAE8AUgBPAFcAKABpAG4AcwB0ACkAKQAsAFwAbgAgACAAIAAgAGYAaQBuAGEAbABcAG4AXABuACkAKQApACkAKQA7AFwAbgBcAG4AXABuAFwAbgAvACoAIABbAEcAUgAxADcAXQAgAC0ALQAtAC0ALQAtAC0ALQAtAC0ALQAtAC0ALQAtAC0ALQAtAC0ALQAtAC0ALQAtAC0ALQAtAC0ALQAtAC0ALQAtAC0ALQAtAC0ALQAtAC0ALQAtAC0ALQAtAC0ALQAtAC0ALQAtAC0ALQAtAC0ALQAtAC0ALQAtAC0ALQAtAC0ALQAtAC0ALQAtAC0ALQAtAC0AXABuAEYAdQBuAGMAdABpAG8AbgA6ACAAIAAgACAAIAAgACAAVwBhAHYAZQC7A1wAbgBDAGEAdABlAGcAbwByAHkAOgAgACAAIAAgACAAIAAgAEcAcgBpAGQAIABBAG4AYQBsAHkAdABpAGMAcwAgACgAUwBlAHEAdQBlAG4AYwBpAG4AZwApAFwAbgBBAHUAdABoAG8AcgA6ACAAIAAgACAAIAAgACAAIAAgAFAAYQB0AHIAaQBjAGsAIABIAC4AXABuAFYAZQByAHMAaQBvAG4AOgAgACAAIAAgACAAIAAgACAAMQAuADEAXABuAEQAZQBwAGUAbgBkAGUAbgBjAGkAZQBzADoAIAAgACAARQBjAGgAbwC7A1wAbgBcAG4ARABlAHMAYwByAGkAcAB0AGkAbwBuADoAXABuACAAIAAgACAAUgBlAHQAdQByAG4AcwAgAGEAIAB2AGUAcgB0AGkAYwBhAGwAIAAxAEQAIABcACIAdwBhAHYAZQAgAGEAcgByAGEAeQBcACIAIABiAHkAIABzAHUAcABwAGwAeQBpAG4AZwAgAGEAIABjAHIAZQBzAHQAIAAoAG0AYQB4ACAAdgBhAGwAdQBlACkAIABhAG4AZAAgAGEAbgAgAG8AcAB0AGkAbwBuAGEAbAAgAHIAZQBwAF8AYwBvAHUAbgB0AC4AXABuAFwAbgBQAGEAcgBhAG0AZQB0AGUAcgBzADoAXABuACAAIAAgACAAYwByAGUAcwB0ACAAIAAgACAAIAAgACAAIAAgACAAIAAgAC0AIAAgACAAbQBhAHgAIAB2AGEAbAB1AGUAIABpAG4AIAAxAEQAIAB3AGEAdgBlACAAYQByAHIAYQB5AFwAbgBcAG4ATwBwAHQAaQBvAG4AYQBsACAAcABhAHIAYQBtAGUAdABlAHIAcwA6AFwAbgAgACAAIAAgAFsAcgBlAHAAXwBjAG8AdQBuAHQAXQAgACAAIAAgACAAIAAtACAAIAAgAG4AdQBtAGIAZQByACAAbwBmACAAdABpAG0AZQBzACAAdABvACAAcgBlAHAAZQBhAHQAIABlAGEAYwBoACAAaQBuAHQAZQBnAGUAcgAgAGkAbgAgAHcAYQB2AGUAIABhAHIAcgBhAHkAXABuACAAIAAgACAAIAAgACAAIAAgACAAIAAgACAAIAAgACAAIAAgACAAIAAgACAAIAAgACAASQBmACAAbwBtAGkAdAB0AGUAZAAsACAAZABlAGYAYQB1AGwAdABzACAAdABvACAAbgBvACAAcgBlAHAAZQB0AGkAdABpAG8AbgAuAFwAbgBcAG4ALQAtAC0ALQAtAC0ALQAtAC0ALQAtAC0ALQAtAC0ALQAtAC0ALQAtAC0ALQAtAC0ALQAtAC0ALQAtAC0ALQAtAC0ALQAtAC0ALQAtAC0ALQAtAC0ALQAtAC0ALQAtAC0ALQAtAC0ALQAtAC0ALQAtAC0ALQAtAC0ALQAtAC0ALQAtAC0ALQAtAC0ALQAtAC0ALQAtAC0ALQAtAC0AKgAvAFwAbgBXAGEAdgBlALsDIAA9AFwAbgBMAEEATQBCAEQAQQAoAFwAbgAgACAAIAAgAGMAcgBlAHMAdAAsAFwAbgAgACAAIAAgAFsAcgBlAHAAXwBjAG8AdQBuAHQAXQAsAFwAbgBMAEUAVAAoAFwAbgAgACAAIAAgAC8ALwAgAFcAYQB2AGUAIABtAG8AZABlAFwAbgAgACAAIAAgAFMAdABhAG4AZABhAHIAZAA/ACwAIAAgAEkAUwBPAE0ASQBUAFQARQBEACgAcgBlAHAAXwBjAG8AdQBuAHQAKQAsAFwAbgBcAG4AIAAgACAAIAAvAC8AIABPAHAAdABpAG8AbgBhAGwAIAByAGUAcABlAHQAaQB0AGkAbwBuAFwAbgAgACAAIAAgAHIAZQBwAF8AYwBvAHUAbgB0ACwAIAAgAEkARgAoAFMAdABhAG4AZABhAHIAZAA/ACwAMQAsAEkATgBEAEUAWAAoAHIAZQBwAF8AYwBvAHUAbgB0ACwAMQAsADEAKQApACwAXABuAFwAbgAgACAAIAAgAC8ALwAgAE4AbwByAG0AYQBsAGkAegBlACAAYwByAGUAcwB0AFwAbgAgACAAIAAgAGMAcgBlAHMAdAAsACAAIAAgACAAIAAgAEkATgBEAEUAWAAoAGMAcgBlAHMAdAAsADEALAAxACkALABcAG4AXABuACAAIAAgACAALwAvACAASABhAGwAdABpAG4AZwAgAHMAYwBlAG4AYQByAGkAbwBzAFwAbgAgACAAIAAgAEkAbgB2AGEAbABpAGQATgA/ACwAIAAgAE8AUgAoAEkAUwBUAEUAWABUACgAYwByAGUAcwB0ACkALAAgAGMAcgBlAHMAdAAgADwAIAAwACkALABcAG4AIAAgACAAIABTAHAAaQBsAGwAUgBpAHMAawA/ACwAIAByAGUAcABfAGMAbwB1AG4AdAAgACoAIAAoAGMAcgBlAHMAdAAgACoAIAAyACAALQAgADEAKQAgAD4AIAAxADAANAA4ADUANwA2ACwAXABuAFwAbgAgACAAIAAgAEkARgAoAEkAbgB2AGEAbABpAGQATgA/ACwAIAAjAFYAQQBMAFUARQAhACwAXABuAFwAbgAgACAAIAAgACAAIAAgACAASQBGACgAUwBwAGkAbABsAFIAaQBzAGsAPwAsACAAIwBOAFUATQAhACwAXABuAEwARQBUACgAXABuACAAIAAgACAALwAvACAATABlAG4AZwB0AGgAIABvAGYAIABzAGUAcQB1AGUAbgBjAGUAIAAoAGIAZQBmAG8AcgBlACAAYQBuAHkAIAByAGUAcABlAHQAaQB0AGkAbwBuACAAaQBzACAAYQBkAGQAZQBkACkAXABuACAAIAAgACAAawAsACAAIAAgACAAYwByAGUAcwB0ACAAKgAgADIAIAAtACAAMQAsAFwAbgAgACAAIAAgAHMAZQBxACwAIAAgAFMARQBRAFUARQBOAEMARQAoAGsAKQAsAFwAbgBcAG4AIAAgACAAIAAvAC8AIABNAGEAeAAgAGkAbgB0AGUAZwBlAHIAXABuACAAIAAgACAAbQAsACAAIAAgACAATQBBAFgAKABzAGUAcQApACwAXABuAFwAbgAgACAAIAAgAC8ALwAgAFMAZQBxAHUAZQBuAGMAZQAgAGEAZABqAHUAcwB0AG0AZQBuAHQAXABuACAAIAAgACAAdwAsACAAIAAgACAASQBGACgAcwBlAHEAIAA+ACAAYwByAGUAcwB0ACwAIABtACAALQAgAHMAZQBxACAAKwAgADEALAAgAHMAZQBxACkALABcAG4AXABuACAAIAAgACAALwAvACAARABpAHMAcABsAGEAeQAgAHcAYQB2AGUAIABzAGUAcQB1AGUAbgBjAGUAIAB3AGkAdABoACAAbwBwAHQAaQBvAG4AYQBsACAAZQBjAGgAbwBpAG4AZwBcAG4AIAAgACAAIABmAGkAbgBhAGwALABJAEYAKABTAHQAYQBuAGQAYQByAGQAPwAsAHcALABFAGMAaABvALsDKAB3ACwAcgBlAHAAXwBjAG8AdQBuAHQAKQApACwAXABuACAAIAAgACAAZgBpAG4AYQBsAFwAbgApACkAKQApACkAOwBcAG4AXABuAFwAbgBcAG4ALwAqACAAWwBHAFIAMAAzAF0AIAAtAC0ALQAtAC0ALQAtAC0ALQAtAC0ALQAtAC0ALQAtAC0ALQAtAC0ALQAtAC0ALQAtAC0ALQAtAC0ALQAtAC0ALQAtAC0ALQAtAC0ALQAtAC0ALQAtAC0ALQAtAC0ALQAtAC0ALQAtAC0ALQAtAC0ALQAtAC0ALQAtAC0ALQAtAC0ALQAtAC0ALQAtAC0ALQAtAFwAbgBGAHUAbgBjAHQAaQBvAG4AOgAgACAAIAAgACAAQgB5AEQAaQBhAGc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WAGEAbABpAGQAYQB0AGUARABpAGEAZwC7A1wAbgBcAG4ARABlAHMAYwByAGkAcAB0AGkAbwBuADoAXABuACAAIAAgACAAQQBwAHAAbABpAGUAcwAgAGEAbgAgAEUAVABBACAAZgB1AG4AYwB0AGkAbwBuACAAbwByACAATABhAG0AYgBkAGEAIAB0AG8AIABlAGEAYwBoACAAZABpAGEAZwBvAG4AYQBsACAAbwBmACAAYQAgADIARAAgAGEAcgByAGEAeQAuAFwAbgAgACAAIAAgAEQAaQBhAGcAbwBuAGEAbABzACAAYQByAGUAIABlAHgAdAByAGEAYwB0AGUAZAAgAGYAcgBvAG0AIAB0AG8AcAARIGwAZQBmAHQAIAB0AG8AIABiAG8AdAB0AG8AbQARIHIAaQBnAGgAdAAsACAAdwBpAHQAaAAgAGUAYQBjAGgAIABkAGkAYQBnAG8AbgBhAGwAXABuACAAIAAgACAAcgBlAHAAcgBlAHMAZQBuAHQAZQBkACAAYQBzACAAYQAgAHIAbwB3ACAAaQBuACAAdABoAGUAIABvAHUAdABwAHUAdAAuACAATwBwAHQAaQBvAG4AYQBsAGwAeQAsACAAcgBlAHMAdQBsAHQAcwAgAG0AYQB5ACAAYgBlACAAcwB0AGEAYwBrAGUAZABcAG4AIAAgACAAIAByAG8AdwARIHcAaQBzAGUAIAAoAHYAZQByAHQAaQBjAGEAbAApACAAbwByACAAYwBvAGwAdQBtAG4AESB3AGkAcwBlACAAKABoAG8AcgBpAHoAbwBuAHQAYQBsACkALgBcAG4AXABuAFAAYQByAGEAbQBlAHQAZQByAHMAOgBcAG4AIAAgACAAIABhAHIAcgBhAHkAIAAgACAAIAAgACAAIAAgACAAIAAgACAAIAAgACAALQAgADIARAAgAGkAbgBwAHUAdAAgAGEAcgByAGEAeQAgACgAcwBjAGEAbABhAHIAcwAgAG4AbwB0ACAAYQBjAGMAZQBwAHQAZQBkACkALgBcAG4AIAAgACAAIABbAGYAdQBuAGMAdABpAG8AbgBdACAAIAAgACAAIAAgACAAIAAgACAALQAgAEUAVABBACAAZgB1AG4AYwB0AGkAbwBuACAAbwByACAATABhAG0AYgBkAGEAIABhAHAAcABsAGkAZQBkACAAdABvACAAZQBhAGMAaAAgAGQAaQBhAGcAbwBuAGEAbAAuAFwAbgAgACAAIAAgAFsAcgBvAHcAXwB3AGkAcwBlAF8AcwB0AGEAYwBrAD8AXQAgACAAIAAtACAASQBmACAAVABSAFUARQAsACAAcgBlAHMAdQBsAHQAcwAgAGEAcgBlACAAcwB0AGEAYwBrAGUAZAAgAHYAZQByAHQAaQBjAGEAbABsAHkAOwAgAG8AdABoAGUAcgB3AGkAcwBlAFwAbgAgACAAIAAgACAAIAAgACAAIAAgACAAIAAgACAAIAAgACAAIAAgACAAIAAgACAAIAAgACAAIABkAGkAYQBnAG8AbgBhAGwAcwAgAGEAcgBlACAAcgBlAHQAdQByAG4AZQBkACAAYQBzACAAYwBvAGwAdQBtAG4AcwAuAFwAbgBcAG4ATgBvAHQAZQBzADoAXABuACAAIAAgACAAIiAgAFMAYwBhAGwAYQByAHMAIABhAG4AZAAgADEARAAgAGEAcgByAGEAeQBzACAAYQByAGUAIAByAGUAagBlAGMAdABlAGQAIABiAHkAIABWAGEAbABpAGQAYQB0AGUARABpAGEAZwC7Ay4AXABuACAAIAAgACAAIiAgAEkAZgAgAGYAdQBuAGMAdABpAG8AbgAgAGkAcwAgAG8AbQBpAHQAdABlAGQALAAgAHIAYQB3ACAAZABpAGEAZwBvAG4AYQBsAHMAIABhAHIAZQAgAHIAZQB0AHUAcgBuAGUAZAAuAFwAbgAgACAAIAAgACIgIABPAHUAdABwAHUAdAAgAHMAaABhAHAAZQAgAGkAcwAgAGsAIADXACAAagAgAHcAaABlAHIAZQAgAGsAIAA9ACAATQBJAE4AKAByAG8AdwBzACwAIABjAG8AbAB1AG0AbgBzACkALgBcAG4ALQAtAC0ALQAtAC0ALQAtAC0ALQAtAC0ALQAtAC0ALQAtAC0ALQAtAC0ALQAtAC0ALQAtAC0ALQAtAC0ALQAtAC0ALQAtAC0ALQAtAC0ALQAtAC0ALQAtAC0ALQAtAC0ALQAtAC0ALQAtAC0ALQAtAC0ALQAtAC0ALQAtAC0ALQAtAC0ALQAtAC0ALQAtAC0ALQAtAC0ALQAtAC0AKgAvAFwAbgBcAG4AQgB5AEQAaQBhAGcAuwMgAD0AXABuAEwAQQBNAEIARABBACgAXABuACAAIAAgACAAYQByAHIAYQB5ACwAXABuACAAIAAgACAAWwBmAHUAbgBjAHQAaQBvAG4AXQAsAFwAbgAgACAAIAAgAFsAcgBvAHcAXwB3AGkAcwBlAF8AcwB0AGEAYwBrAD8AXQAsAFwAbgBcAG4AVgBhAGwAaQBkAGEAdABlAEQAaQBhAGcAuwMoAGEAcgByAGEAeQAsACAALAAgAGYAdQBuAGMAdABpAG8AbgAsACAAcgBvAHcAXwB3AGkAcwBlAF8AcwB0AGEAYwBrAD8ALABcAG4ATABFAFQAKABcAG4AIAAgACAAIAAvAC8AIABPAHAAdABpAG8AbgBhAGwAIABwAGEAcgBhAG0AZQB0AGUAcgBzAFwAbgAgACAAIAAgAE4AbwBfAEYAdQBuAGMAdABpAG8AbgAsACAAIAAgACAAIAAgACAAIABJAFMATwBNAEkAVABUAEUARAAoAGYAdQBuAGMAdABpAG8AbgApACwAXABuACAAIAAgACAATgBvAF8AUgBvAHcAUwB0AGEAYwBrACwAIAAgACAAIAAgACAAIAAgAEkAUwBPAE0ASQBUAFQARQBEACgAcgBvAHcAXwB3AGkAcwBlAF8AcwB0AGEAYwBrAD8AKQAsAFwAbg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4AdQBtAGIAZQByACAAbwBmACAAZABpAGEAZwBvAG4AYQBsAHMAXABuACAAIAAgACAAawAsACAAIAAgACAAIAAgACAAIAAgACAAIAAgACAAIAAgACAAIAAgAE0ASQBOACgAaAAsACAAdwApACwAXABuAFwAbgAgACAAIAAgAC8ALwAgAEQAZQBmAGUAcgByAGUAZAAgAGkAbgBkAGUAeAAgAGcAZQBuAGUAcgBhAHQAbwByAHMAXABuACAAIAAgACAAcgAsACAAIAAgACAAIAAgACAAIAAgACAAIAAgACAAIAAgACAAIAAgAEwAQQBNAEIARABBACgAUwBFAFEAVQBFAE4AQwBFACgAawApACAAKgAgAFMARQBRAFUARQBOAEMARQAoACwAIAB3ACwAIAAxACwAIAAwACkAKQAsAFwAbgAgACAAIAAgAHkALAAgACAAIAAgACAAIAAgACAAIAAgACAAIAAgACAAIAAgACAAIABMAEEATQBCAEQAQQAoAFMARQBRAFUARQBOAEMARQAoAGsAKQAgACsAIABTAEUAUQBVAEUATgBDAEUAKAAsACAAdwAsACAAMAAsACAAMQApACkALABcAG4AIAAgACAAIABjACwAIAAgACAAIAAgACAAIAAgACAAIAAgACAAIAAgACAAIAAgACAATABBAE0AQgBEAEEAKABJAEYAKAB5ACgAKQAgAD4AIAB3ACwAIABOAEEAKAApACwAIAB5ACgAKQApACkALABcAG4AXABuACAAIAAgACAALwAvACAARQB4AHQAcgBhAGMAdAAgAGQAaQBhAGcAbwBuAGEAbABzAFwAbgAgACAAIAAgAHIAZQBzAHUAbAB0ACwAIAAgACAAIAAgACAAIAAgACAAIAAgACAAIABJAEYATgBBACgASQBOAEQARQBYACgAYQByAHIAYQB5ACwAIAByACgAKQAsACAAYwAoACkAKQAsACAAXAAiAFwAIgApACwAXABuAFwAbgAgACAAIAAgAC8ALwAgAE8AcgBpAGUAbgB0AGEAdABpAG8AbgBcAG4AIAAgACAAIABzAGgAYQBwAGUAZAAsACAAIAAgACAAIAAgACAAIAAgACAAIAAgACAASQBGACgATgBvAF8AUgBvAHcAUwB0AGEAYwBrACwAIAByAGUAcwB1AGwAdAAsACAAVABSAEEATgBTAFAATwBTAEUAKAByAGUAcwB1AGwAdAApACkALABcAG4AXABuACAAIAAgACAALwAvACAAQQBwAHAAbAB5ACAAZgB1AG4AYwB0AGkAbwBuACAAaQBmACAAcAByAG8AdgBpAGQAZQBkAFwAbgAgACAAIAAgAGYAaQBuAGEAbAAsACAAIAAgACAAIAAgACAAIAAgACAAIAAgACAAIABJAEYAKABOAG8AXwBGAHUAbgBjAHQAaQBvAG4ALABzAGgAYQBwAGUAZAAsAFwAbgAgACAAIAAgACAAIAAgACAAIAAgACAAIAAgACAAIAAgACAAIAAgACAAIAAgACAAIAAgACAAIAAgAEkARgAoAE4AbwBfAFIAbwB3AFMAdABhAGMAawAsAEIAWQBDAE8ATAAoAHMAaABhAHAAZQBkACwAIABmAHUAbgBjAHQAaQBvAG4AKQAsAFwAbgAgACAAIAAgACAAIAAgACAAIAAgACAAIAAgACAAIAAgACAAIAAgACAAIAAgACAAIAAgACAAIAAgACAAIAAgACAAIAAgACAAIAAgACAAIAAgACAAIAAgAEIAWQBSAE8AVwAoAHMAaABhAHAAZQBkACwAIABmAHUAbgBjAHQAaQBvAG4AKQApACkALABcAG4AXABuACAAIAAgACAAZgBpAG4AYQBsAFwAbgApACkAKQA7AFwAbgBcAG4AXABuAFwAbgAvACoAIABbAEcAUgAwADQAXQAgAC0ALQAtAC0ALQAtAC0ALQAtAC0ALQAtAC0ALQAtAC0ALQAtAC0ALQAtAC0ALQAtAC0ALQAtAC0ALQAtAC0ALQAtAC0ALQAtAC0ALQAtAC0ALQAtAC0ALQAtAC0ALQAtAC0ALQAtAC0ALQAtAC0ALQAtAC0ALQAtAC0ALQAtAC0ALQAtAC0ALQAtAC0ALQAtAC0AXABuAEYAdQBuAGMAdABpAG8AbgA6ACAAIAAgACAAIABEAGkAYQBnAE0AYQBw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QgB5AEQAaQBhAGcAuwMsACAAVgBhAGwAaQBkAGEAdABlAEQAaQBhAGcAuwNcAG4AXABuAEQAZQBzAGMAcgBpAHAAdABpAG8AbgA6AFwAbgAgACAAIAAgAEMAbwBuAHYAZQBuAGkAZQBuAGMAZQAgAHcAcgBhAHAAcABlAHIAIABmAG8AcgAgAEIAeQBEAGkAYQBnALsDIAB0AGgAYQB0ACAAZQB4AHQAcgBhAGMAdABzACAAYQBsAGwAIABkAGkAYQBnAG8AbgBhAGwAcwAgAGYAcgBvAG0AIABhACAAMgBEAFwAbgAgACAAIAAgAGEAcgByAGEAeQAgAGEAbgBkACAAcgBlAHQAdQByAG4AcwAgAHQAaABlAG0AIABhAHMAIABhACAAMgBEACAAYQByAHIAYQB5AF8AMgBEAC4AIABPAHAAdABpAG8AbgBhAGwAIAByAG8AdwARIHcAaQBzAGUAIABzAHQAYQBjAGsAaQBuAGcAIABpAHMAXABuACAAIAAgACAAcwB1AHAAcABvAHIAdABlAGQALgBcAG4AXABuAFAAYQByAGEAbQBlAHQAZQByAHMAOgBcAG4AIAAgACAAIABhAHIAcgBhAHkAIAAgACAAIAAgACAAIAAgACAAIAAgACAAIAAgACAALQAgADIARAAgAGkAbgBwAHUAdAAgAGEAcgByAGEAeQAuAFwAbgAgACAAIAAgAFsAcgBvAHcAXwB3AGkAcwBlAF8AcwB0AGEAYwBrAD8AXQAgACAAIAAtACAASQBmACAAVABSAFUARQAsACAAZABpAGEAZwBvAG4AYQBsAHMAIABhAHIAZQAgAHMAdABhAGMAawBlAGQAIAB2AGUAcgB0AGkAYwBhAGwAbAB5AC4AXABuAFwAbgBOAG8AdABlAHMAOgBcAG4AIAAgACAAIAAiICAARQBxAHUAaQB2AGEAbABlAG4AdAAgAHQAbwAgAGMAYQBsAGwAaQBuAGcAIABCAHkARABpAGEAZwC7AygAYQByAHIAYQB5ACwAIAAsACAAcgBvAHcAXwB3AGkAcwBlAF8AcwB0AGEAYwBrAD8AKQAuAFwAbgAtAC0ALQAtAC0ALQAtAC0ALQAtAC0ALQAtAC0ALQAtAC0ALQAtAC0ALQAtAC0ALQAtAC0ALQAtAC0ALQAtAC0ALQAtAC0ALQAtAC0ALQAtAC0ALQAtAC0ALQAtAC0ALQAtAC0ALQAtAC0ALQAtAC0ALQAtAC0ALQAtAC0ALQAtAC0ALQAtAC0ALQAtAC0ALQAtAC0ALQAtAC0ALQAqAC8AXABuAFwAbgBEAGkAYQBnAE0AYQBwALsDIAA9AFwAbgBMAEEATQBCAEQAQQAoAFwAbgAgACAAIAAgAGEAcgByAGEAeQAsAFwAbgAgACAAIAAgAFsAcgBvAHcAXwB3AGkAcwBlAF8AcwB0AGEAYwBrAD8AXQAsAFwAbgAgACAAIAAgAEIAeQBEAGkAYQBnALsDKABhAHIAcgBhAHkALAAgACwAIAByAG8AdwBfAHcAaQBzAGUAXwBzAHQAYQBjAGsAPwApACkAOwBcAG4AXABuAFwAbgBcAG4ALwAqACAAWwBHAFIAMAA1AF0AIAAtAC0ALQAtAC0ALQAtAC0ALQAtAC0ALQAtAC0ALQAtAC0ALQAtAC0ALQAtAC0ALQAtAC0ALQAtAC0ALQAtAC0ALQAtAC0ALQAtAC0ALQAtAC0ALQAtAC0ALQAtAC0ALQAtAC0ALQAtAC0ALQAtAC0ALQAtAC0ALQAtAC0ALQAtAC0ALQAtAC0ALQAtAC0ALQAtAFwAbgBGAHUAbgBjAHQAaQBvAG4AOgAgACAAIAAgACAARABpAGEAZwBJAG4AZABlAHg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CAHkARABpAGEAZwC7AywAIABWAGEAbABpAGQAYQB0AGUARABpAGEAZwC7A1wAbgBcAG4ARABlAHMAYwByAGkAcAB0AGkAbwBuADoAXABuACAAIAAgACAARQB4AHQAcgBhAGMAdABzACAAYQAgAHMAaQBuAGcAbABlACAAZABpAGEAZwBvAG4AYQBsACAAbwByACAAYQBuAHQAaQARIGQAaQBhAGcAbwBuAGEAbAAgAHYAZQBjAHQAbwByACAAZgByAG8AbQAgAGEAIAAyAEQAIABhAHIAcgBhAHkALgBcAG4AIAAgACAAIABQAG8AcwBpAHQAaQB2AGUAIABjAG8AbABfAGkAbgBkAGUAeAAgAHMAZQBsAGUAYwB0AHMAIABhACAAcwB0AGEAbgBkAGEAcgBkACAAKABTAEUAESBkAGkAcgBlAGMAdABpAG8AbgApACAAZABpAGEAZwBvAG4AYQBsAC4AXABuACAAIAAgACAATgBlAGcAYQB0AGkAdgBlACAAYwBvAGwAXwBpAG4AZABlAHgAIABzAGUAbABlAGMAdABzACAAYQBuACAAYQBuAHQAaQARIGQAaQBhAGcAbwBuAGEAbAAgACgAUwBXABEgZABpAHIAZQBjAHQAaQBvAG4AKQAuAFwAbgBcAG4AUABhAHIAYQBtAGUAdABlAHIAcwA6AFwAbgAgACAAIAAgAGEAcgByAGEAeQAgACAAIAAgACAAIAAgAC0AIAAyAEQAIABpAG4AcAB1AHQAIABhAHIAcgBhAHkAIAAoAHMAYwBhAGwAYQByAHMAIABuAG8AdAAgAGEAYwBjAGUAcAB0AGUAZAApAC4AXABuACAAIAAgACAAYwBvAGwAXwBpAG4AZABlAHgAIAAgACAALQAgAFMAdABhAHIAdABpAG4AZwAgAGMAbwBsAHUAbQBuACAAaQBuAGQAZQB4AC4AIABOAGUAZwBhAHQAaQB2AGUAIAB2AGEAbAB1AGUAcwAgAGkAbgBkAGkAYwBhAHQAZQBcAG4AIAAgACAAIAAgACAAIAAgACAAIAAgACAAIAAgACAAIAAgACAAIABhAG4AdABpABEgZABpAGEAZwBvAG4AYQBsACAAZQB4AHQAcgBhAGMAdABpAG8AbgAuAFwAbgBcAG4ATgBvAHQAZQBzADoAXABuACAAIAAgACAAIiAgAE8AdQB0AHAAdQB0ACAAaQBzACAAYQBsAHcAYQB5AHMAIABhACAAMQBEACAAdgBlAGMAdABvAHIAIABvAGYAIABsAGUAbgBnAHQAaAAgAGsAIAA9ACAAZABpAGEAZwBvAG4AYQBsACAAbABlAG4AZwB0AGgALgBcAG4ALQAtAC0ALQAtAC0ALQAtAC0ALQAtAC0ALQAtAC0ALQAtAC0ALQAtAC0ALQAtAC0ALQAtAC0ALQAtAC0ALQAtAC0ALQAtAC0ALQAtAC0ALQAtAC0ALQAtAC0ALQAtAC0ALQAtAC0ALQAtAC0ALQAtAC0ALQAtAC0ALQAtAC0ALQAtAC0ALQAtAC0ALQAtAC0ALQAtAC0ALQAtAC0AKgAvAFwAbgBcAG4ARABpAGEAZwBJAG4AZABlAHgAuwMgAD0AXABuAEwAQQBNAEIARABBACgAXABuACAAIAAgACAAYQByAHIAYQB5ACwAXABuACAAIAAgACAAYwBvAGwAXwBpAG4AZABlAHgALABcAG4AXABuAFYAYQBsAGkAZABhAHQAZQBEAGkAYQBnALsDKABhAHIAcgBhAHkALAAgAGMAbwBsAF8AaQBuAGQAZQB4ACwAIAAsACAALABcAG4AXABuAEwARQBUACgAXABuACAAIAAgACAALwAvACAARABpAG0AZQBuAHMAaQBvAG4AcwBcAG4AIAAgACAAIABoACwAIAAgACAAIAAgACAAIABSAE8AVwBTACgAYQByAHIAYQB5ACkALABcAG4AIAAgACAAIAB3ACwAIAAgACAAIAAgACAAIABDAE8ATABVAE0ATgBTACgAYQByAHIAYQB5ACkALABcAG4AXABuACAAIAAgACAALwAvACAARABpAHIAZQBjAHQAaQBvAG4AOgAgACsAMQAgAD0AIABTAEUALAAgABMgMQAgAD0AIABTAFcAXABuACAAIAAgACAAcwAsACAAIAAgACAAIAAgACAAUwBJAEcATgAoAGMAbwBsAF8AaQBuAGQAZQB4ACkALABcAG4AXABuACAAIAAgACAALwAvACAARABpAGEAZwBvAG4AYQBsACAAbABlAG4AZwB0AGgAXABuACAAIAAgACAAawAsACAAIAAgACAAIAAgACAASQBGACgAcwAgAD4AIAAwACwATQBJAE4AKABoACwAIAB3ACAAKwAgADEAIAAtACAAYwBvAGwAXwBpAG4AZABlAHgAKQAsAFwAbgAgACAAIAAgACAAIAAgACAAIAAgACAAIAAgACAAIAAgACAAIAAgACAAIAAgAE0ASQBOACgAaAAsACAAQQBCAFMAKABjAG8AbABfAGkAbgBkAGUAeAApACkAKQAsAFwAbgBcAG4AIAAgACAAIAAvAC8AIABTAHQAYQByAHQAaQBuAGcAIABjAG8AbAB1AG0AbgBcAG4AIAAgACAAIABzAHQAYQByAHQALAAgACAAIABJAEYAKABzACAAPAAgADAALAAgAEEAQgBTACgAYwBvAGwAXwBpAG4AZABlAHgAKQAsACAAYwBvAGwAXwBpAG4AZABlAHgAKQAsAFwAbgBcAG4AIAAgACAAIAAvAC8AIABEAGUAZgBlAHIAcgBlAGQAIABpAG4AZABlAHgAIABnAGUAbgBlAHIAYQB0AG8AcgBzAFwAbgAgACAAIAAgAHgALAAgACAAIAAgACAAIAAgAEwAQQBNAEIARABBACgAUwBFAFEAVQBFAE4AQwBFACgAawApACkALABcAG4AIAAgACAAIAB5ACwAIAAgACAAIAAgACAAIABMAEEATQBCAEQAQQAoAFMARQBRAFUARQBOAEMARQAoAGsALAAgACwAIABzAHQAYQByAHQALAAgAHMAKQApACwAXABuAFwAbgAgACAAIAAgAC8ALwAgAEUAeAB0AHIAYQBjAHQAIABkAGkAYQBnAG8AbgBhAGwAXABuACAAIAAgACAAZABlAGwAaQB2AGUAcgAsACAASQBOAEQARQBYACgAYQByAHIAYQB5ACwAIAB4ACgAKQAsACAAeQAoACkAKQAsAFwAbgBcAG4AIAAgACAAIABkAGUAbABpAHYAZQBy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ABpAGEAZwC7A1wAbgBDAGEAdABlAGcAbwByAHkAOgAgACAAIAAgACAARwByAGkAZAAgAEEAbgBhAGwAeQB0AGkAYwBz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5AEQAaQBhAGcAuwMsACAARABpAGEAZwBNAGEAcAC7AywAIABhAG4AZAAgAEQAaQBhAGcASQBuAGQAZQB4ALsDLgAgAEUAbgBzAHUAcgBlAHMAIAB0AGgAYQB0ACAAdABoAGUAXABuACAAIAAgACAAYQByAHIAYQB5ACAAaQBzACAAYQAgAHYAYQBsAGkAZAAgADIARAAgAHMAdAByAHUAYwB0AHUAcgBlACwAIAB0AGgAYQB0ACAAYwBvAGwAdQBtAG4AIABpAG4AZABpAGMAZQBzACAAKAB3AGgAZQBuACAAcwB1AHAAcABsAGkAZQBkACkAIABhAHIAZQBcAG4AIAAgACAAIAB3AGkAdABoAGkAbgAgAGIAbwB1AG4AZABzACwAIABhAG4AZAAgAHQAaABhAHQAIABhAG4AeQAgAHMAdQBwAHAAbABpAGUAZAAgAGYAdQBuAGMAdABpAG8AbgAgAGkAcwAgAGEAIAB2AGEAbABpAGQAIABMAEEATQBCAEQAQQAvAEUAVABBAFwAbgAgACAAIAAgAGYAdQBuAGMAdABpAG8AbgAuAFwAbgBcAG4AUABhAHIAYQBtAGUAdABlAHIAcwA6AFwAbgAgACAAIAAgAGEAcgByAGEAeQAgACAAIAAgACAAIAAgACAAIAAgACAAIAAgACAAIAAtACAAMgBEACAAaQBuAHAAdQB0ACAAYQByAHIAYQB5AC4AXABuACAAIAAgACAAWwBjAG8AbABfAGkAbgBkAGUAeABdACAAIAAgACAAIAAgACAAIAAgAC0AIABTAHQAYQByAHQAaQBuAGcAIABjAG8AbAB1AG0AbgAgAGkAbgBkAGUAeAAgACgARABpAGEAZwBJAG4AZABlAHgAuwMgAG8AbgBsAHkAKQAuAFwAbgAgACAAIAAgAFsAZgB1AG4AYwB0AGkAbwBuAF0AIAAgACAAIAAgACAAIAAgACAAIAAtACAARQBUAEEAIABvAHIAIABMAEEATQBCAEQAQQAgACgAQgB5AEQAaQBhAGcAuwMgAG8AbgBsAHkAKQAuAFwAbgAgACAAIAAgAFsAcgBvAHcAXwB3AGkAcwBlAF8AcwB0AGEAYwBrAD8AXQAgACAAIAAtACAATwByAGkAZQBuAHQAYQB0AGkAbwBuACAAZgBsAGEAZwAgACgAQgB5AEQAaQBhAGcAuwMgAC8AIABEAGkAYQBnAE0AYQBwALsDKQAuAFwAbgAgACAAIAAgAFsAbwBuAF8AdgBhAGwAaQBkAF0AIAAgACAAIAAgACAAIAAgACAAIAAtACAARQB4AHAAcgBlAHMAcwBpAG8AbgAgAHQAbwAgAGUAdgBhAGwAdQBhAHQAZQAgAHcAaABlAG4AIABpAG4AcAB1AHQAcwAgAGEAcgBlACAAdgBhAGwAaQBkAC4AXABuAFwAbgBOAG8AdABlAHMAOgBcAG4AIAAgACAAIAAiICAAUwBjAGEAbABhAHIAcwAgAGEAbgBkACAAbgBvAG4AESBhAHIAcgBhAHkAcwAgAGEAcgBlACAAcgBlAGoAZQBjAHQAZQBkAC4AXABuACAAIAAgACAAIiAgAGMAbwBsAF8AaQBuAGQAZQB4ACAAPQAgADAAIABpAHMAIABpAG4AdgBhAGwAaQBkACAAYgB5ACAAZABlAHMAaQBnAG4ALgBcAG4AIAAgACAAIAAiICAARgB1AG4AYwB0AGkAbwBuACAAdgBhAGwAaQBkAGEAdABpAG8AbgAgAHUAcwBlAHMAIABhACAAcwBhAGYAZQAgAFQAWQBQAEUAESBiAGEAcwBlAGQAIABpAG4AdgBvAGMAYQB0AGkAbwBuACAAdABlAHMAdAAuAFwAbgAgACAAIAAgACIgIABSAG8AdQB0AGkAbgBnACAAbABvAGcAaQBjACAAZABlAHQAZQByAG0AaQBuAGUAcwAgAHcAaABpAGMAaAAgAG8AcABlAHIAYQB0AG8AcgAgAGkAcwAgAGIAZQBpAG4AZwAgAHYAYQBsAGkAZABhAHQAZQBkAC4AXABuAC0ALQAtAC0ALQAtAC0ALQAtAC0ALQAtAC0ALQAtAC0ALQAtAC0ALQAtAC0ALQAtAC0ALQAtAC0ALQAtAC0ALQAtAC0ALQAtAC0ALQAtAC0ALQAtAC0ALQAtAC0ALQAtAC0ALQAtAC0ALQAtAC0ALQAtAC0ALQAtAC0ALQAtAC0ALQAtAC0ALQAtAC0ALQAtAC0ALQAtAC0ALQAtACoALwBcAG4AXABuAFYAYQBsAGkAZABhAHQAZQBEAGkAYQBnALsDIAA9AFwAbgBMAEEATQBCAEQAQQAoAFwAbgAgACAAIAAgAGEAcgByAGEAeQAsAFwAbgAgACAAIAAgAFsAYwBvAGwAXwBpAG4AZABlAHgAXQAsAFwAbgAgACAAIAAgAFsAZgB1AG4AYwB0AGkAbwBuAF0ALABcAG4AIAAgACAAIABbAHIAbwB3AF8AdwBpAHMAZQBfAHMAdABhAGMAawA/AF0ALABcAG4AIAAgACAAIABbAG8AbgBfAHYAYQBsAGkAZABdACwAXABuAEwARQBUACgAXABuACAAIAAgACAALwAvACAALQAtAC0AIABBAHIAcgBhAHkAIAB2AGEAbABpAGQAYQB0AGkAbwBuACAALQAtAC0AXABuACAAIAAgACAASQBzAEEAcgByAGEAeQA/ACwAIAAgACAAIAAgACAAIAAgACAAIAAgACAAIAAgACAAVABZAFAARQAoAGEAcgByAGEAeQApACAAPQAgADYANAAsAFwAbgAgACAAIAAgAE4AbwB0AF8AQQByAHIAYQB5ACwAIAAgACAAIAAgACAAIAAgACAAIAAgACAAIAAgAE4ATwBUACgASQBzAEEAcgByAGEAeQA/ACkALABcAG4AXABuACAAIAAgACAALwAvACAALQAtAC0AIABDAG8AbAB1AG0AbgAgAGkAbgBkAGUAeAAgAHYAYQBsAGkAZABhAHQAaQBvAG4AIAAoAEQAaQBhAGcASQBuAGQAZQB4ALsDIABvAG4AbAB5ACkAIAAtAC0ALQBcAG4AIAAgACAAIABOAG8AXwBDAG8AbABfAEkAbgBkAGUAeAAsACAAIAAgACAAIAAgACAAIAAgACAAIABJAFMATwBNAEkAVABUAEUARAAoAGMAbwBsAF8AaQBuAGQAZQB4ACkALABcAG4AIAAgACAAIABDAG8AbABJAG4AZABlAHgAXwBJAG4AYwBsAHUAZABlAGQALAAgACAAIAAgACAAIABOAE8AVAAoAE4AbwBfAEMAbwBsAF8ASQBuAGQAZQB4ACkALABcAG4AIAAgACAAIABOAG8AdABfAFYAYQBsAGkAZABfAEMAbwBsAEkAbgBkAGUAeAA/ACwAIAAgACAAIABOAE8AVAAoAEEATgBEACgAYwBvAGwAXwBpAG4AZABlAHgAIAA8AD4AIAAwACwAXABuACAAIAAgACAAIAAgACAAIAAgACAAIAAgACAAIAAgACAAIAAgACAAIAAgACAAIAAgACAAIAAgACAAIAAgACAAIAAgACAAIAAgAEEAQgBTACgAYwBvAGwAXwBpAG4AZABlAHgAKQAgADwAPQAgAEMATwBMAFUATQBOAFMAKABhAHIAcgBhAHkAKQApACkALABcAG4AXABuACAAIAAgACAALwAvACAALQAtAC0AIABGAHUAbgBjAHQAaQBvAG4AIAB2AGEAbABpAGQAYQB0AGkAbwBuACAAKABCAHkARABpAGEAZwC7AyAAbwBuAGwAeQApACAALQAtAC0AXABuACAAIAAgACAATgBvAF8ARgB1AG4AYwB0AGkAbwBuACwAIAAgACAAIAAgACAAIAAgACAAIAAgACAASQBTAE8ATQBJAFQAVABFAEQAKABmAHUAbgBjAHQAaQBvAG4AKQAsAFwAbgAgACAAIAAgAEYAdQBuAGMAdABpAG8AbgBfAEkAbgBjAGwAdQBkAGUAZAAsACAAIAAgACAAIAAgAE4ATwBUACgATgBvAF8ARgB1AG4AYwB0AGkAbwBuACkALABcAG4AXABuACAAIAAgACAALwAvACAAUwBhAGYAZQAgAGYAdQBuAGMAdABpAG8AbgAgAHYAYQBsAGkAZABhAHQAaQBvAG4AOgAgAGUAbgBzAHUAcgBlACAAZgB1AG4AYwB0AGkAbwBuACAAaQBzACAAYwBhAGwAbABhAGIAbABlAFwAbgAgACAAIAAgAEkAbgB2AGEAbABpAGQAXwBGAHUAbgBjAHQAaQBvAG4APwAsACAAIAAgACAAIAAgAEEATgBEACgARgB1AG4AYwB0AGkAbwBuAF8ASQBuAGMAbAB1AGQAZQBkACwAXABuACAAIAAgACAAIAAgACAAIAAgACAAIAAgACAAIAAgACAAIAAgACAAIAAgACAAIAAgACAAIAAgACAAIAAgACAAIABJAFMARQBSAFIATwBSACgAQgBZAFIATwBXACgAewAxACwAMQB9ACwAIABmAHUAbgBjAHQAaQBvAG4AKQApACkALABcAG4AXABuACAAIAAgACAALwAvACAALQAtAC0AIABPAHIAaQBlAG4AdABhAHQAaQBvAG4AIABmAGwAYQBnACAAKABEAGkAYQBnAE0AYQBwALsDIAAvACAAQgB5AEQAaQBhAGcAuwMpACAALQAtAC0AXABuACAAIAAgACAAUgBvAHcAVwBpAHMAZQBTAHQAYQBjAGsAPwAsACAAIAAgACAAIAAgACAAIAAgACAATgBPAFQAKABJAFMATwBNAEkAVABUAEUARAAoAHIAbwB3AF8AdwBpAHMAZQBfAHMAdABhAGMAawA/ACkAKQAsAFwAbgBcAG4AIAAgACAAIAAvAC8AIAAtAC0ALQAgAEQAZQB0AGUAcgBtAGkAbgBlACAAdwBoAGkAYwBoACAAbwBwAGUAcgBhAHQAbwByACAAaQBzACAAYgBlAGkAbgBnACAAdgBhAGwAaQBkAGEAdABlAGQAIAAtAC0ALQBcAG4AIAAgACAAIABJAHMARABpAGEAZwBJAG4AZABlAHgAPwAsACAAIAAgACAAIAAgACAAIAAgACAAIABDAG8AbABJAG4AZABlAHgAXwBJAG4AYwBsAHUAZABlAGQALABcAG4AIAAgACAAIABJAHMAQgB5AEQAaQBhAGcAPwAsACAAIAAgACAAIAAgACAAIAAgACAAIAAgACAAIABBAE4ARAAoAE4AbwBfAEMAbwBsAF8ASQBuAGQAZQB4ACwAIABGAHUAbgBjAHQAaQBvAG4AXwBJAG4AYwBsAHUAZABlAGQAKQAsAFwAbgAgACAAIAAgAEkAcwBEAGkAYQBnAE0AYQBwAD8ALAAgACAAIAAgACAAIAAgACAAIAAgACAAIAAgAEEATgBEACgATgBvAF8AQwBvAGwAXwBJAG4AZABlAHgALAAgAE4AbwBfAEYAdQBuAGMAdABpAG8AbgApACwAXABuAFwAbgAgACAAIAAgAC8ALwAgAC0ALQAtACAATABvAGcAaQBjACAAZwBhAHQAZQBzACAALQAtAC0AXABuACAAIAAgACAALwAvACAARABpAGEAZwBJAG4AZABlAHgAuwNcAG4AIAAgACAAIABnAGEAdABlAF8ARABpAGEAZwBJAG4AZABlAHgALAAgACAAIAAgACAAIAAgACAAIABJAEYAKABOAG8AdABfAEEAcgByAGEAeQAsACAAIAAgACAAIAAgACAAIAAgACAAIABcACIAIwBOAE8AVAAtAEEAUgBSAEEAWQAhAFwAIgAsAFwAbgAgACAAIAAgACAAIAAgACAAIAAgACAAIAAgACAAIAAgACAAIAAgACAAIAAgACAAIAAgACAAIAAgACAAIAAgACAASQBGACgATgBvAHQAXwBWAGEAbABpAGQAXwBDAG8AbABJAG4AZABlAHgAPwAsACAAXAAiACMAQwBPAEwAVQBNAE4ALQBJAE4ARABFAFgAIQBcACIALABcAG4AIAAgACAAIAAgACAAIAAgACAAIAAgACAAIAAgACAAIAAgACAAIAAgACAAIAAgACAAIAAgACAAIAAgACAAIAAgACAAIAAgACAAbwBuAF8AdgBhAGwAaQBkACkAKQAsAFwAbgBcAG4AIAAgACAAIAAvAC8AIABCAHkARABpAGEAZwC7A1wAbgAgACAAIAAgAGcAYQB0AGUAXwBCAHkARABpAGEAZwAsACAAIAAgACAAIAAgACAAIAAgACAAIAAgAEkARgAoAE4AbwB0AF8AQQByAHIAYQB5ACwAIAAgACAAIAAgACAAIAAgACAAIAAgAFwAIgAjAE4ATwBUAC0AQQBSAFIAQQBZACEAXAAiACwAXABuACAAIAAgACAAIAAgACAAIAAgACAAIAAgACAAIAAgACAAIAAgACAAIAAgACAAIAAgACAAIAAgACAAIAAgACAAIABJAEYAKABJAG4AdgBhAGwAaQBkAF8ARgB1AG4AYwB0AGkAbwBuAD8ALAAgAFwAIgAjAEYAVQBOAEMAVABJAE8ATgAhAFwAIgAsAFwAbgAgACAAIAAgACAAIAAgACAAIAAgACAAIAAgACAAIAAgACAAIAAgACAAIAAgACAAIAAgACAAIAAgACAAIAAgACAAIAAgACAAIABvAG4AXwB2AGEAbABpAGQAKQApACwAXABuAFwAbgAgACAAIAAgAC8ALwAgAEQAaQBhAGcATQBhAHAAuwNcAG4AIAAgACAAIABnAGEAdABlAF8ARABpAGEAZwBNAGEAcAAsACAAIAAgACAAIAAgACAAIAAgACAAIABJAEYAKABOAG8AdABfAEEAcgByAGEAeQAsACAAIAAgACAAIAAgACAAIAAgACAAIABcACIAIwBOAE8AVAAtAEEAUgBSAEEAWQAhAFwAIgAsAFwAbgAgACAAIAAgACAAIAAgACAAIAAgACAAIAAgACAAIAAgACAAIAAgACAAIAAgACAAIAAgACAAIAAgACAAIAAgACAAbwBuAF8AdgBhAGwAaQBkACkALABcAG4AXABuACAAIAAgACAALwAvACAALQAtAC0AIABSAG8AdQB0AGUAIAB0AG8AIABjAG8AcgByAGUAYwB0ACAAZwBhAHQAZQAgAC0ALQAtAFwAbgAgACAAIAAgAGQAZQBjAGkAZABlACwAIAAgACAAIAAgACAAIAAgACAAIAAgACAAIAAgACAAIAAgAEkARgAoAEkAcwBEAGkAYQBnAEkAbgBkAGUAeAA/ACwAIABnAGEAdABlAF8ARABpAGEAZwBJAG4AZABlAHgALABcAG4AXABuACAAIAAgACAAIAAgACAAIAAgACAAIAAgACAAIAAgACAAIAAgACAAIAAgACAAIAAgACAAIAAgACAAIAAgACAAIABJAEYAKABJAHMARABpAGEAZwBNAGEAcAA/ACwAIABnAGEAdABlAF8ARABpAGEAZwBNAGEAcAAsAFwAbgBcAG4AIAAgACAAIAAgACAAIAAgACAAIAAgACAAIAAgACAAIAAgACAAIAAgACAAIAAgACAAIAAgACAAIAAgACAAIAAgACAAIAAgACAASQBGACgASQBzAEIAeQBEAGkAYQBnAD8ALAAgAGcAYQB0AGUAXwBCAHkARABpAGEAZwAsAFwAbgBcAG4AIAAgACAAIAAgACAAIAAgACAAIAAgACAAIAAgACAAIAAgACAAIAAgACAAIAAgACAAIAAgACAAIAAgACAAIAAgACAAIAAgACAAIAAgACAAIABcACIAIwBVAE4AUgBPAFUAVABFAEQAIQBcACIAKQApACkALABcAG4AXABuACAAIAAgACAAZABlAGMAaQBkAGUAXABuACkAKQA7AFwAbgBcAG4AXABuAFwAbgAvACoAIABbAEcAUgAwADYAXQAgAC0ALQAtAC0ALQAtAC0ALQAtAC0ALQAtAC0ALQAtAC0ALQAtAC0ALQAtAC0ALQAtAC0ALQAtAC0ALQAtAC0ALQAtAC0ALQAtAC0ALQAtAC0ALQAtAC0ALQAtAC0ALQAtAC0ALQAtAC0ALQAtAC0ALQAtAC0ALQAtAC0ALQAtAC0ALQAtAC0ALQAtAC0ALQAtAC0AXABuAEYAdQBuAGMAdABpAG8AbgA6ACAAIAAgACAAIABQAGEAaQByAHcAaQBzAGU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FAGMAaABvALsDLAAgAFIAZQBzAGkAegBlALsDXABuAFwAbgBEAGUAcwBjAHIAaQBwAHQAaQBvAG4AOgBcAG4AIAAgACAAIABDAHIAZQBhAHQAZQBzACAAdgBlAHIAdABpAGMAYQBsACAAcABhAGkAcgBzACAAZgByAG8AbQAgADEARAAgAGEAbgBkACAAcwBjAGEAbABhAHIAIABpAG4AcAB1AHQAcwAuACAASQBuAHAAdQB0AHMAIABhAHIAZQAgAGYAbABhAHQAdABlAG4AZQBkACAAdwBpAHQAaABcAG4AIAAgACAAIABUAE8AQwBPAEwAIAB0AG8AIABuAG8AcgBtAGEAbABpAHoAZQAgAG8AcgBpAGUAbgB0AGEAdABpAG8AbgAuACAAMgBEACAAYQByAHIAYQB5AHMAIABhAHIAZQAgAHMAdAByAGkAYwB0AGwAeQAgAHAAcgBvAGgAaQBiAGkAdABlAGQALgBcAG4AXABuAFAAYQByAGEAbQBlAHQAZQByAHMAOgBcAG4AIAAgACAAIAB2AGUAYwB0AG8AcgBfADEAIAAgACAAIAAtACAAMQBEACAAdgBlAGMAdABvAHIAIABvAHIAIABzAGMAYQBsAGEAcgAuAFwAbgAgACAAIAAgAHYAZQBjAHQAbwByAF8AMgAgACAAIAAgAC0AIAAxAEQAIAB2AGUAYwB0AG8AcgAgAG8AcgAgAHMAYwBhAGwAYQByAC4AXABuAC0ALQAtAC0ALQAtAC0ALQAtAC0ALQAtAC0ALQAtAC0ALQAtAC0ALQAtAC0ALQAtAC0ALQAtAC0ALQAtAC0ALQAtAC0ALQAtAC0ALQAtAC0ALQAtAC0ALQAtAC0ALQAtAC0ALQAtAC0ALQAtAC0ALQAtAC0ALQAtAC0ALQAtAC0ALQAtAC0ALQAtAC0ALQAtAC0ALQAtAC0ALQAtACoALwBcAG4AXABuAFAAYQBpAHIAdwBpAHMAZQC7Az0AXABuAEwAQQBNAEIARABBACgAXABuACAAIAAgACAAdgBlAGMAdABvAHIAXwAxACwAXABuACAAIAAgACAAdgBlAGMAdABvAHIAXwAyACwAXABuAFwAbgBMAEUAVAAoAFwAbgAgACAAIAAgAC8ALwAgAEYAbABhAHQAdABlAG4AIABpAG4AcAB1AHQAcwBcAG4AIAAgACAAIAB2ACwAIAAgACAAIAAgACAAIAAgACAAIABUAE8AQwBPAEwAKAB2AGUAYwB0AG8AcgBfADEAKQAsAFwAbgAgACAAIAAgAHYAgiAsACAAIAAgACAAIAAgACAAIAAgAFQATwBDAE8ATAAoAHYAZQBjAHQAbwByAF8AMgApACwAXABuAFwAbgAgACAAIAAgAC8ALwAgAEUAbABlAG0AZQBuAHQAIABjAG8AdQBuAHQAcwBcAG4AIAAgACAAIABrACwAIAAgACAAIAAgACAAIAAgACAAIABDAE8AVQBOAFQAQQAoAHYAKQAsAFwAbgAgACAAIAAgAGsAgiAsACAAIAAgACAAIAAgACAAIAAgAEMATwBVAE4AVABBACgAdgCCICkALABcAG4AXABuACAAIAAgACAALwAvACAASABhAGwAdABpAG4AZwAgAHMAYwBlAG4AYQByAGkAbwBzAFwAbgAgACAAIAAgAEkAcwAyAEQASQBuAHAAdQB0AD8ALAAgAE8AUgAoAEEATgBEACgAUgBPAFcAUwAoAHYAZQBjAHQAbwByAF8AMQApAD4AMQAsACAAQwBPAEwAVQBNAE4AUwAoAHYAZQBjAHQAbwByAF8AMQApAD4AMQApACwAXABuACAAIAAgACAAIAAgACAAIAAgACAAIAAgACAAIAAgACAAIAAgACAAQQBOAEQAKABSAE8AVwBTACgAdgBlAGMAdABvAHIAXwAyACkAPgAxACwAIABDAE8ATABVAE0ATgBTACgAdgBlAGMAdABvAHIAXwAyACkAPgAxACkAKQAsAFwAbgBcAG4AIAAgACAAIABJAHMAMgBCAGkAZwA/ACwAIAAgACAAIABrACAAKgAgAGsAgiAgAD4AIAAxADAAMAAwADAAMAAwACwAXABuAFwAbgBJAEYAKABJAHMAMgBEAEkAbgBwAHUAdAA/ACwAIAAgACMAVgBBAEwAVQBFACEALABcAG4AXABuACAAIAAgACAASQBGACgASQBzADIAQgBpAGcAPwAsACAAIAAgACAAIAAjAE4AVQBNACEALABcAG4AXABuAEwARQBUACgAXABuACAAIAAgACAALwAvACAAQwBhAHIAdABlAHMAaQBhAG4AIABlAHgAcABhAG4AcwBpAG8AbgBcAG4AIAAgACAAIAB4ACwAIAAgACAAIAAgACAARQBjAGgAbwC7AygAdgAsACAAawCCICkALABcAG4AIAAgACAAIAB5ACwAIAAgACAAIAAgACAAUgBlAHMAaQB6AGUAuwMoAHYAgiAsACAAawApACwAXABuACAAIAAgACAAcABhAGkAcgBzACwAIAAgAEgAUwBUAEEAQwBLACgAeAAsACAAeQApACwAXABuAFwAbgAgACAAIAAgAHAAYQBpAHIAcwBcAG4AIAAgACAAIABcAG4AKQApACkAKQApADsAXABuAFwAbgBcAG4AXABuAC8AKgAgAFsARwBSADAANgBhAF0AIAAtAC0ALQAtAC0ALQAtAC0ALQAtAC0ALQAtAC0ALQAtAC0ALQAtAC0ALQAtAC0ALQAtAC0ALQAtAC0ALQAtAC0ALQAtAC0ALQAtAC0ALQAtAC0ALQAtAC0ALQAtAC0ALQAtAC0ALQAtAC0ALQAtAC0ALQAtAC0ALQAtAC0ALQAtAC0ALQAtAC0ALQAtAC0ALQAtAFwAbgBGAHUAbgBjAHQAaQBvAG4AOgAgACAAIAAgACAAIAAgACAAVAByAGkAcABsAGUAdwBpAHMAZQC7A1wAbgBDAGEAdABlAGcAbwByAHkAOgAgACAAIAAgACAAIAAgACAARwByAGkAZAAgAEEAbgBhAGwAeQB0AGkAYwBzACAAKABDAGEAdABlAGcAbwByAGkAYwBhAGwAIABBAG4AYQBsAHkAcwBpAHMAKQBcAG4AQQB1AHQAaABvAHIAOgAgACAAIAAgACAAIAAgACAAIAAgAFAAYQB0AHIAaQBjAGsAIABIAC4AXABuAFYAZQByAHMAaQBvAG4AOgAgACAAIAAgACAAIAAgACAAIAAxAC4AMQBcAG4ARABlAHAAZQBuAGQAZQBuAGMAaQBlAHMAOgAgACAAIAAgAFAAYQBpAHIAdwBpAHMAZQC7A1wAbgBcAG4ARABlAHMAYwByAGkAcAB0AGkAbwBuADoAXABuACAAIAAgACAARwBlAG4AZQByAGEAdABlAHMAIAB0AGgAZQAgAEMAYQByAHQAZQBzAGkAYQBuACAAcAByAG8AZAB1AGMAdAAgAG8AZgAgADMAIABzAGUAdABzAC4AIABBAGwAbAAgAGkAbgBwAHUAdABzACAAYQByAGUAIABmAGwAYQB0AHQAZQBuAGUAZAAgAGEAbgBkAFwAbgAgACAAIAAgAHQAaABlACAAcgBlAHMAdQBsAHQAaQBuAGcAIAB0AHIAaQBwAGwAZQBzACAAcAByAGUAcwBlAHIAdgBlACAAdABoAGUAIABvAHIAZABlAHIAIABvAGYAIAB0AGgAZQAgAHMAdQBwAHAAbABpAGUAZAAgAHMAZQB0AHMALgBcAG4AXABuACAAIAAgACAAVAByAGkAcABsAGUAdwBpAHMAZQC7AyAAZQB4AHQAZQBuAGQAcwAgAFAAYQBpAHIAdwBpAHMAZQC7AyAAdABvACAAYQAgADMAESBhAHgAaQBzACAAZgBhAGIAcgBpAGMAOgBcAG4AIAAgACAAIAAgACAAIAAgACIgIABzAGUAdABfADEAIADXACAAcwBlAHQAXwAyACAA1wAgAHMAZQB0AF8AMwBcAG4AIAAgACAAIABUAGgAZQAgAG8AdQB0AHAAdQB0ACAAaQBzACAAYQAgAHMAcABpAGwAbAAgAHcAaABlAHIAZQAgAGUAYQBjAGgAIAByAG8AdwAgAHIAZQBwAHIAZQBzAGUAbgB0AHMAIABvAG4AZQAgAG8AcgBkAGUAcgBlAGQAIAB0AHIAaQBwAGwAZQAuAFwAbgBcAG4ARgBvAHIAbQB1AGwAYQA6ACAAPQBUAHIAaQBwAGwAZQB3AGkAcwBlALsDKAB7AFwAIgBkAG8AZwBcACIAOwBcACIAYwBhAHQAXAAiADsAXAAiAGIAaQByAGQAXAAiAH0ALAB7AFwAIgBhAFwAIgA7AFwAIgBiAFwAIgA7AFwAIgBjAFwAIgB9ACwAewAxADsAMgB9ACkAXABuAFwAbgBSAGUAcwB1AGwAdAA6AFwAbgAgACAAIAAgAHsAXAAiAGQAbwBnAFwAIgAsAFwAIgBhAFwAIgAsADEAOwBcAG4AIAAgACAAIAAgAFwAIgBkAG8AZwBcACIALABcACIAYQBcACIALAAyADsAXABuACAAIAAgACAAIABcACIAZABvAGcAXAAiACwAXAAiAGIAXAAiACwAMQA7AFwAbgAgACAAIAAgACAAXAAiAGQAbwBnAFwAIgAsAFwAIgBiAFwAIgAsADIAOwBcAG4AIAAgACAAIAAgAFwAIgBkAG8AZwBcACIALABcACIAYwBcACIALAAxADsAXABuACAAIAAgACAAIABcACIAZABvAGcAXAAiACwAXAAiAGMAXAAiACwAMgA7AFwAbgAgACAAIAAgACAAXAAiAGMAYQB0AFwAIgAsAFwAIgBhAFwAIgAsADEAOwBcAG4AIAAgACAAIAAgAFwAIgBjAGEAdABcACIALABcACIAYQBcACIALAAyADsAXABuACAAIAAgACAAIABcACIAYwBhAHQAXAAiACwAXAAiAGIAXAAiACwAMQA7AFwAbgAgACAAIAAgACAAXAAiAGMAYQB0AFwAIgAsAFwAIgBiAFwAIgAsADIAOwBcAG4AIAAgACAAIAAgAFwAIgBjAGEAdABcACIALABcACIAYwBcACIALAAxADsAXABuACAAIAAgACAAIABcACIAYwBhAHQAXAAiACwAXAAiAGMAXAAiACwAMgA7AFwAbgAgACAAIAAgACAAXAAiAGIAaQByAGQAXAAiACwAXAAiAGEAXAAiACwAMQA7AFwAbgAgACAAIAAgACAAXAAiAGIAaQByAGQAXAAiACwAXAAiAGEAXAAiACwAMgA7AFwAbgAgACAAIAAgACAAXAAiAGIAaQByAGQAXAAiACwAXAAiAGIAXAAiACwAMQA7AFwAbgAgACAAIAAgACAAXAAiAGIAaQByAGQAXAAiACwAXAAiAGIAXAAiACwAMgA7AFwAbgAgACAAIAAgACAAXAAiAGIAaQByAGQAXAAiACwAXAAiAGMAXAAiACwAMQA7AFwAbgAgACAAIAAgACAAXAAiAGIAaQByAGQAXAAiACwAXAAiAGMAXAAiACwAMgB9AFwAbgBcAG4AUABhAHIAYQBtAGUAdABlAHIAcwA6AFwAbgAgACAAIAAgAHMAZQB0AF8AMQAgACAAIAAgAFMAYwBhAGwAYQByAHMAIABhAG4AZAAgAGEAcgByAGEAeQBzACAAKAAxAEQAIABvAHIAIAAyAEQAKQAgAGEAcgBlACAAYQBjAGMAZQBwAHQAZQBkAC4AIABBAGwAbAAgAGkAbgBwAHUAdABzACAAYQByAGUAIABmAGwAYQB0AHQAZQBuAGUAZAAuAFwAbgAgACAAIAAgAHMAZQB0AF8AMgBcAG4AIAAgACAAIABzAGUAdABfADMAXABuAC0ALQAtAC0ALQAtAC0ALQAtAC0ALQAtAC0ALQAtAC0ALQAtAC0ALQAtAC0ALQAtAC0ALQAtAC0ALQAtAC0ALQAtAC0ALQAtAC0ALQAtAC0ALQAtAC0ALQAtAC0ALQAtAC0ALQAtAC0ALQAtAC0ALQAtAC0ALQAtAC0ALQAtAC0ALQAtAC0ALQAtAC0ALQAtAC0ALQAtAC0ALQAtACoALwBcAG4AXABuAFQAcgBpAHAAbABlAHcAaQBzAGUAuwM9AFwAbgBMAEEATQBCAEQAQQAoAFwAbgAgACAAIAAgAHMAZQB0AF8AMQAsAFwAbgAgACAAIAAgAHMAZQB0AF8AMgAsAFwAbgAgACAAIAAgAHMAZQB0AF8AMwAsAFwAbgBMAEUAVAAoAFwAbgAgACAAIAAgAC8ALwAgAEYAbABhAHQAdABlAG4AIABhAGwAbAAgAGkAbgBwAHUAdABzAFwAbgAgACAAIAAgAHMAZQB0AF8AMQAsACAAIAAgAFQATwBDAE8ATAAoAHMAZQB0AF8AMQApACwAXABuACAAIAAgACAAcwBlAHQAXwAyACwAIAAgACAAVABPAEMATwBMACgAcwBlAHQAXwAyACkALABcAG4AIAAgACAAIABzAGUAdABfADMALAAgACAAIABUAE8AQwBPAEwAKABzAGUAdABfADMAKQAsAFwAbgBcAG4AIAAgACAAIAAvAC8AIABTAGUAdAAgAGkAdABlAG0AIABjAG8AdQBuAHQAcwBcAG4AIAAgACAAIABrAIEgLAAgACAAIAAgACAAIABSAE8AVwBTACgAcwBlAHQAXwAxACkALABcAG4AIAAgACAAIABrAIIgLAAgACAAIAAgACAAIABSAE8AVwBTACgAcwBlAHQAXwAyACkALABcAG4AIAAgACAAIABrAIMgLAAgACAAIAAgACAAIABSAE8AVwBTACgAcwBlAHQAXwAzACkALABcAG4AXABuACAAIAAgACAALwAvACAARABlAHQAZQByAG0AaQBuAGUAIABpAGYAIABzAGUAdABfADIAIABpAHMAIABzAGMAYQBsAGEAcgBcAG4AIAAgACAAIABzAHcAYQBwAD8ALAAgACAAIABrAIIgIAA9ACAAMQAsAFwAbgAgACAAIAAgAFwAbgAgACAAIAAgAC8ALwAgAEMAcgBlAGEAdABlACAAcABhAGkAcgBzACAAZgByAG8AbQAgAGYAaQByAHMAdAAgAHQAdwBvACAAcwBlAHQAcwBcAG4AIAAgACAAIABwAGEAaQByAHMALAAgACAAIABJAEYAKABzAHcAYQBwAD8ALAAgAFAAYQBpAHIAdwBpAHMAZQC7AygAcwBlAHQAXwAyACwAcwBlAHQAXwAxACkALABcAG4AIAAgACAAIAAgACAAIAAgACAAIAAgACAAIAAgACAAIAAgACAAIAAgACAAIAAgAFAAYQBpAHIAdwBpAHMAZQC7AygAcwBlAHQAXwAxACwAcwBlAHQAXwAyACkAKQAsAFwAbgAgACAAIAAgAFwAbgAgACAAIAAgAC8ALwAgAHMAZQB0AHMAIABlAHgAcABhAG4AZABlAGQAXABuACAAIAAgACAAYQAsACAAIAAgACAAIAAgACAASQBGACgAcwB3AGEAcAA/ACwAVABBAEsARQAoAHAAYQBpAHIAcwAsACwALQAxACkALABUAEEASwBFACgAcABhAGkAcgBzACwALAAxACkAKQAsAFwAbgAgACAAIAAgAGIALAAgACAAIAAgACAAIAAgAEkARgAoAHMAdwBhAHAAPwAsAFQAQQBLAEUAKABwAGEAaQByAHMALAAsADEAKQAsAFQAQQBLAEUAKABwAGEAaQByAHMALAAsAC0AMQApACkALABcAG4AXABuACAAIAAgACAALwAvACAAUABhAGkAcgBzACAAZgByAG8AbQAgAHMAZQB0AF8AMQAgAGUAeABwAGEAbgBkAGUAZAAgACsAIABzAGUAdABfADMAXABuACAAIAAgACAAdABoAHIAaQBjAGUALAAgACAASQBGACgAawCDICAAPAA+ACAAMQAsACAAUABhAGkAcgB3AGkAcwBlALsDKABhACwAcwBlAHQAXwAzACkALABQAGEAaQByAHcAaQBzAGUAuwMoAHMAZQB0AF8AMwAsAGEAKQApACwAXABuAFwAbgAgACAAIAAgAC8ALwAgAFAAYQBpAHIAcwAgAGYAcgBvAG0AIABzAGUAdABfADIAIABlAHgAcABhAG4AZABlAGQAIAArACAAcwBlAHQAXwAzAFwAbgAgACAAIAAgAHQAaAByAGkAYwBlAF8ALAAgAEkARgAoAGsAgyAgADwAPgAgADEALAAgAFAAYQBpAHIAdwBpAHMAZQC7AygAYgAsAHMAZQB0AF8AMwApACwAUABhAGkAcgB3AGkAcwBlALsDKABzAGUAdABfADMALABiACkAKQAsAFwAbgBcAG4AIAAgACAAIAAvAC8AIABTAGUAbABlAGMAdABpAG8AbgBcAG4AIAAgACAAIABjAG8AbABzACwAIAAgACAAIABJAEYAKABrAIMgIAA9ACAAMQAsADEALAAtADEAKQAsAFwAbgAgACAAIAAgAGEAXwAsACAAIAAgACAAIAAgAEQAUgBPAFAAKAB0AGgAcgBpAGMAZQAsACwAYwBvAGwAcwApACwAXABuACAAIAAgACAAYgBfACwAIAAgACAAIAAgACAARABSAE8AUAAoAHQAaAByAGkAYwBlAF8ALAAsAGMAbwBsAHMAKQAsAFwAbgAgACAAIAAgAGMAXwAsACAAIAAgACAAIAAgAFQAQQBLAEUAKAB0AGgAcgBpAGMAZQAsACwAYwBvAGwAcwApACwAXABuACAAIAAgACAAXABuACAAIAAgACAALwAvACAAUgBlAHMAdABvAHIAZQAgAG8AcgBkAGUAcgAgAHQAbwAgAG0AYQB0AGMAaAAgAGkAbgBwAHUAdAAgAG8AcgBkAGUAcgBcAG4AIAAgACAAIABmAGkAbgBhAGwALAAgACAAIABIAFMAVABBAEMASwAoAGEAXwAsAGIAXwAsAGMAXwApACwAXABuACAAIAAgACAAZgBpAG4AYQBsAFwAbgApACkAOwBcAG4AXABuAFwAbgBcAG4ALwAqACAAWwBHAFIAMAA2AGIAXQAgAC0ALQAtAC0ALQAtAC0ALQAtAC0ALQAtAC0ALQAtAC0ALQAtAC0ALQAtAC0ALQAtAC0ALQAtAC0ALQAtAC0ALQAtAC0ALQAtAC0ALQAtAC0ALQAtAC0ALQAtAC0ALQAtAC0ALQAtAC0ALQAtAC0ALQAtAC0ALQAtAC0ALQAtAC0ALQAtAC0ALQAtAC0ALQAtAC0AXABuAEYAdQBuAGMAdABpAG8AbgA6ACAAIAAgACAAIAAgACAAIABRAHUAYQBkAHcAaQBz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SAGUAcABlAGEAdABSAG8AdwBzALsDLAAgAFIAZQBzAGkAegBlALsDLAAgAFQAcgBpAHAAbABlAHcAaQBzAGUAuwNcAG4AXABuAEQAZQBzAGMAcgBpAHAAdABpAG8AbgA6AFwAbgAgACAAIAAgAEcAZQBuAGUAcgBhAHQAZQBzACAAdABoAGUAIABDAGEAcgB0AGUAcwBpAGEAbgAgAHAAcgBvAGQAdQBjAHQAIABvAGYAIAA0ACAAcwBlAHQAcwAuACAAQQBsAGwAIABpAG4AcAB1AHQAcwAgAGEAcgBlACAAZgBsAGEAdAB0AGUAbgBlAGQAIABhAG4AZABcAG4AIAAgACAAIAB0AGgAZQAgAHIAZQBzAHUAbAB0AGkAbgBnACAAcQB1AGEAZAByAHUAcABsAGUAcwAgAHAAcgBlAHMAZQByAHYAZQAgAHQAaABlACAAbwByAGQAZQByACAAbwBmACAAdABoAGUAIABzAHUAcABwAGwAaQBlAGQAIABzAGUAdABzAC4AXABuAFwAbgAgACAAIAAgAFEAdQBhAGQAdwBpAHMAZQC7AyAAZQB4AHQAZQBuAGQAcwAgAFQAcgBpAHAAbABlAHcAaQBzAGUAuwMgAHQAbwAgAGEAIAA0ABEgYQB4AGkAcwAgAGYAYQBiAHIAaQBjADoAXABuACAAIAAgACAAIAAgACAAIAAiICAAcwBlAHQAXwAxACAA1wAgAHMAZQB0AF8AMgAgANcAIABzAGUAdABfADMAIADXACAAcwBlAHQAXwA0AFwAbgAgACAAIAAgAFQAaABlACAAbwB1AHQAcAB1AHQAIABpAHMAIABhACAAcwBwAGkAbABsACAAcgBhAG4AZwBlACAAdwBoAGUAcgBlACAAZQBhAGMAaAAgAHIAbwB3ACAAcgBlAHAAcgBlAHMAZQBuAHQAcwAgAG8AbgBlACAAbwByAGQAZQByAGUAZAAgAHEAdQBhAGQAcgB1AHAAbABlAC4AXABuAFwAbgBQAGEAcgBhAG0AZQB0AGUAcgBzADoAXABuACAAIAAgACAAcwBlAHQAXwAxACAAIAAgACAAUwBjAGEAbABhAHIAcwAgAGEAbgBkACAAYQByAHIAYQB5AHMAIAAoADEARAAgAG8AcgAgADIARAApACAAYQByAGUAIABhAGMAYwBlAHAAdABlAGQALgAgAEEAbABsACAAaQBuAHAAdQB0AHMAIABhAHIAZQAgAGYAbABhAHQAdABlAG4AZQBkAC4AXABuACAAIAAgACAAcwBlAHQAXwAyAFwAbgAgACAAIAAgAHMAZQB0AF8AMwBcAG4AIAAgACAAIABzAGUAdABfADQAXABuAC0ALQAtAC0ALQAtAC0ALQAtAC0ALQAtAC0ALQAtAC0ALQAtAC0ALQAtAC0ALQAtAC0ALQAtAC0ALQAtAC0ALQAtAC0ALQAtAC0ALQAtAC0ALQAtAC0ALQAtAC0ALQAtAC0ALQAtAC0ALQAtAC0ALQAtAC0ALQAtAC0ALQAtAC0ALQAtAC0ALQAtAC0ALQAtAC0ALQAtAC0ALQAtACoALwBcAG4AXABuAFEAdQBhAGQAdwBpAHMAZQC7Az0AXABuAEwAQQBNAEIARABBACgAXABuACAAIAAgACAAcwBlAHQAXwAxACwAXABuACAAIAAgACAAcwBlAHQAXwAyACwAXABuACAAIAAgACAAcwBlAHQAXwAzACwAXABuACAAIAAgACAAcwBlAHQAXwA0ACwAXABuAEwARQBUACgAXABuACAAIAAgACAALwAvACAARgBsAGEAdAB0AGUAbgAgAGEAbABsACAAaQBuAHAAdQB0AHMAXABuACAAIAAgACAAcwBlAHQAXwAxACwAIAAgAFQATwBDAE8ATAAoAHMAZQB0AF8AMQApACwAXABuACAAIAAgACAAcwBlAHQAXwAyACwAIAAgAFQATwBDAE8ATAAoAHMAZQB0AF8AMgApACwAXABuACAAIAAgACAAcwBlAHQAXwAzACwAIAAgAFQATwBDAE8ATAAoAHMAZQB0AF8AMwApACwAXABuACAAIAAgACAAcwBlAHQAXwA0ACwAIAAgAFQATwBDAE8ATAAoAHMAZQB0AF8ANAApACwAXABuAFwAbgAgACAAIAAgAC8ALwAgAEUAeABwAGEAbgBzAGkAbwBuACAAYwBvAHUAbgB0AFwAbgAgACAAIAAgAGsALAAgACAAIAAgACAAIABSAE8AVwBTACgAcwBlAHQAXwA0ACkALABcAG4AXABuACAAIAAgACAALwAvACAATgBvAHIAbQBhAGwAaQB6AGUAIABzAGUAdAAgADQAIABpAGYAIABzAGMAYQBsAGEAcgAgAHQAbwAgAGEAdgBvAGkAZAAgAFQATwBDAE8ATAAgAGgAYQBuAGQAbwBmAGYAIAB0AG8AIABSAGUAcwBpAHoAZQC7A1wAbgAgACAAIAAgAGQALAAgACAAIAAgACAAIABJAEYAKABrACAAPAA+ACAAMQAsAHMAZQB0AF8ANAAsAEkATgBEAEUAWAAoAHMAZQB0AF8ANAAsADEAKQApACwAXABuAFwAbgAgACAAIAAgAC8ALwAgAFQAcgBpAHAAbABlAHMAXABuACAAIAAgACAAdABoAHIAaQBjAGUALAAgAFQAcgBpAHAAbABlAHcAaQBzAGUAuwMoAHMAZQB0AF8AMQAsAHMAZQB0AF8AMgAsAHMAZQB0AF8AMwApACwAXABuACAAIAAgACAAXABuACAAIAAgACAALwAvACAARQB4AHAAYQBuAGQAIAB0AHIAaQBwAGwAZQAgAHIAbwB3AHMAIABiAHkAIAB0AG8AdABhAGwAIABpAHQAZQBtAHMAIABpAG4AIABzAGUAdAAgADQAXABuACAAIAAgACAAdABoAHIAaQBjAGUAXwAsAFIAZQBwAGUAYQB0AFIAbwB3AHMAuwMoAHQAaAByAGkAYwBlACwAawApACwAXABuACAAIAAgACAAawCCICwAIAAgACAAIAAgAFIATwBXAFMAKAB0AGgAcgBpAGMAZQBfACkALABcAG4AXABuACAAIAAgACAALwAvACAARQB4AHAAYQBuAGQAIABzAGUAdAAgADQAIAB0AG8AIABtAGEAdABjAGgAIABsAGUAbgBnAHQAaAAgAG8AZgAgAHQAcgBpAHAAbABlAFwAbgAgACAAIAAgAGYAbwB1AHIALAAgACAAIABSAGUAcwBpAHoAZQC7AygAZAAsAGsAgiAgAC8AIABrACkALABcAG4AXABuACAAIAAgACAALwAvACAAUwB0AGEAYwBrACAAYQBuAGQAIABkAGkAcwBwAGwAYQB5AFwAbgAgACAAIAAgAGYAaQBuAGEAbAAsACAAIABIAFMAVABBAEMASwAoAHQAaAByAGkAYwBlAF8ALABmAG8AdQByACkALABcAG4AIAAgACAAIABmAGkAbgBhAGwAXABuAFwAbgApACkAOwBcAG4AXABuAFwAbgBcAG4ALwAqACAAWwBHAFIAMAA3AF0AIAAtAC0ALQAtAC0ALQAtAC0ALQAtAC0ALQAtAC0ALQAtAC0ALQAtAC0ALQAtAC0ALQAtAC0ALQAtAC0ALQAtAC0ALQAtAC0ALQAtAC0ALQAtAC0ALQAtAC0ALQAtAC0ALQAtAC0ALQAtAC0ALQAtAC0ALQAtAC0ALQAtAC0ALQAtAC0ALQAtAC0ALQAtAC0ALQAtAFwAbgBGAHUAbgBjAHQAaQBvAG4AOgAgACAAIAAgACAARwByAG8AdQBwAGIAeQBCAGkAbgC7A1wAbgBDAGEAdABlAGcAbwByAHkAOgAgACAAIAAgACAARwByAGkAZAAgAEEAbgBhAGwAeQB0AGkAYwBzACAAKABDAGEAdABlAGcAbwByAGkAYwBhAGwAIABBAG4AYQBsAHkAcwBpAHMAKQBcAG4AQQB1AHQAaABvAHIAOgAgACAAIAAgACAAIAAgAFAAYQB0AHIAaQBjAGsAIABIAC4AXABuAFYAZQByAHMAaQBvAG4AOgAgACAAIAAgACAAIAAxAC4AMQBcAG4AXABuAEQAZQBzAGMAcgBpAHAAdABpAG8AbgA6AFwAbgAgACAAIAAgAEEAZwBnAHIAZQBnAGEAdABlAHMAIABvAG4AZQAgAG8AcgAgAG0AbwByAGUAIAB2AGEAbAB1AGUAIABhAHIAcgBhAHkAcwAgAGkAbgB0AG8AIABmAGkAeABlAGQAESB3AGkAZAB0AGgAIABiAGkAbgBzACAAZABlAHIAaQB2AGUAZAAgAGYAcgBvAG0AIABhAFwAbgAgACAAIAAgAG4AdQBtAGUAcgBpAGMAIABmAGkAZQBsAGQALgAgAFMAdQBwAHAAbwByAHQAcwAgAG8AcAB0AGkAbwBuAGEAbAAgAGgAZQBhAGQAZQByAHMAIABhAG4AZAAgAGMAaABhAHIAdAARIHIAZQBhAGQAeQAgAG8AdQB0AHAAdQB0AC4AIABCAGkAbgBzACAAYQByAGUAXABuACAAIAAgACAAZABlAGYAaQBuAGUAZAAgAGIAeQAgAGEAIABuAHUAbQBlAHIAaQBjACAAYQByAHIAYQB5ACAAYQBuAGQAIABhACAAcABvAHMAaQB0AGkAdgBlACAAaQBuAHQAZQBnAGUAcgAgAGIAaQBuAF8AdwBpAGQAdABoAC4AXABuAFwAbgBQAGEAcgBhAG0AZQB0AGUAcgBzADoAXABuACAAIAAgACAAYQByAHIAYQB5ACAAIAAgACAAIAAgACAAIAAgACAAIAAtACAATgB1AG0AZQByAGkAYwAgADEARAAgAGEAcgByAGEAeQAgAHUAcwBlAGQAIAB0AG8AIABkAGUAZgBpAG4AZQAgAGIAaQBuACAAYgBvAHUAbgBkAGEAcgBpAGUAcwAuAFwAbgAgACAAIAAgAHYAYQBsAHUAZQBzACAAIAAgACAAIAAgACAAIAAgACAALQAgAEEAcgByAGEAeQAoAHMAKQAgAHQAbwAgAGIAZQAgAGEAZwBnAHIAZQBnAGEAdABlAGQAIAAoADEARAAgAG8AcgAgADIARAApAC4AXABuACAAIAAgACAAYgBpAG4AXwB3AGkAZAB0AGgAIAAgACAAIAAgACAAIAAtACAAUABvAHMAaQB0AGkAdgBlACAAaQBuAHQAZQBnAGUAcgAgAHMAcABlAGMAaQBmAHkAaQBuAGcAIABiAGkAbgAgAHcAaQBkAHQAaAAgACgAZSIgADEAKQAuAFwAbgAgACAAIAAgAGYAdQBuAGMAdABpAG8AbgAgACAAIAAgACAAIAAgACAALQAgAEUAVABBABEgYwBvAG0AcABhAHQAaQBiAGwAZQAgAGYAdQBuAGMAdABpAG8AbgAgAG8AcgAgAHMAaQBuAGcAbABlABEgcABhAHIAYQBtAGUAdABlAHIAIABMAEEATQBCAEQAQQAuAFwAbgBcAG4ATwBwAHQAaQBvAG4AYQBsADoAXABuACAAIAAgACAAWwBmAGkAZQBsAGQAXwBoAGUAYQBkAGUAcgBdACAAIAAtACAAVABSAFUARQAgAGkAZgAgAGkAbgBwAHUAdAAgAGEAcgByAGEAeQBzACAAaQBuAGMAbAB1AGQAZQAgAGgAZQBhAGQAZQByAHMAIAB0AG8AIABiAGUAIABjAGEAcgByAGkAZQBkACAAZgBvAHIAdwBhAHIAZAAuAFwAbgAgACAAIAAgAFsAYwBoAGEAcgB0AF8AcAByAGUAcABdACAAIAAgACAALQAgAFQAUgBVAEUAIAB0AG8AIAByAGUAdAB1AHIAbgAgAGEAIABjAG8AbgBjAGkAcwBlACAAYwBoAGEAcgB0ABEgcgBlAGEAZAB5ACAAbABhAHkAbwB1AHQALgBcAG4AXABuAE4AbwB0AGUAcwA6AFwAbgAgACAAIAAgACIgIABiAGkAbgBfAHcAaQBkAHQAaAAgAD0AIAAxACAAkiEgAGIAZQBoAGEAdgBlAHMAIABsAGkAawBlACAARwBSAE8AVQBQAEIAWQAgACgAbgBvACAAYgBpAG4AbgBpAG4AZwApAC4AXABuACAAIAAgACAAIiAgAGIAaQBuAF8AdwBpAGQAdABoACAAZSIgACgAbQBhAHgAIAASIiAAbQBpAG4AKQAgAJIhIABjAG8AbABsAGEAcABzAGUAcwAgAHQAbwAgAGEAIABzAGkAbgBnAGwAZQAgAGIAaQBuAC4AXABuACAAIAAgACAAIiAgAEMAaABhAHIAdAAgAG0AbwBkAGUAIAByAGUAdAB1AHIAbgBzACAAewBcACIAQgBpAG4AXAAiACwAXAAiAEEAZwBnAHIAZQBnAGEAdABlAFwAIgB9ACAAZgBvAHIAIABlAGEAcwB5ACAAcABsAG8AdAB0AGkAbgBnAC4AXABuAC0ALQAtAC0ALQAtAC0ALQAtAC0ALQAtAC0ALQAtAC0ALQAtAC0ALQAtAC0ALQAtAC0ALQAtAC0ALQAtAC0ALQAtAC0ALQAtAC0ALQAtAC0ALQAtAC0ALQAtAC0ALQAtAC0ALQAtAC0ALQAtAC0ALQAtAC0ALQAtAC0ALQAtAC0ALQAtAC0ALQAtAC0ALQAtAC0ALQAtAC0ALQAtACoALwBcAG4AXABuAEcAcgBvAHUAcABiAHkAQgBpAG4AuwMgAD0AXABuAEwAQQBNAEIARABBACgAXABuACAAIAAgACAAYQByAHIAYQB5ACwAXABuACAAIAAgACAAdgBhAGwAdQBlAHMALABcAG4AIAAgACAAIABiAGkAbgBfAHcAaQBkAHQAaAAsAFwAbgAgACAAIAAgAGYAdQBuAGMAdABpAG8AbgAsAFwAbgAgACAAIAAgAFsAZgBpAGUAbABkAF8AaABlAGEAZABlAHIAXQAsAFwAbgAgACAAIAAgAFsAYwBoAGEAcgB0AF8AcAByAGUAcABdACwAXABuAEwARQBUACgAXABuACAAIAAgACAALwAvACAARABpAG0AZQBuAHMAaQBvAG4AcwBcAG4AIAAgACAAIABpACwAIAAgACAAIAAgACAAIAAgACAAIAAgACAAIAAgACAAIAAgACAAUgBPAFcAUwAoAGEAcgByAGEAeQApACwAXABuACAAIAAgACAAagAsACAAIAAgACAAIAAgACAAIAAgACAAIAAgACAAIAAgACAAIAAgAEMATwBMAFUATQBOAFMAKABhAHIAcgBhAHkAKQAsAFwAbgAgACAAIAAgAGkAXwAsACAAIAAgACAAIAAgACAAIAAgACAAIAAgACAAIAAgACAAIABSAE8AVwBTACgAdgBhAGwAdQBlAHMAKQAsAFwAbgAgACAAIAAgAGoAXwAsACAAIAAgACAAIAAgACAAIAAgACAAIAAgACAAIAAgACAAIABDAE8ATABVAE0ATgBTACgAdgBhAGwAdQBlAHMAKQAsAFwAbgBcAG4AIAAgACAAIAAvAC8AIABIAGUAYQBkAGUAcgAgAGYAbABhAGcAXABuACAAIAAgACAASABlAGEAZABlAHIAcwA/ACwAIAAgACAAIAAgACAAIAAgACAAIAAgAE4ATwBUACgASQBTAE8ATQBJAFQAVABFAEQAKABmAGkAZQBsAGQAXwBoAGUAYQBkAGUAcgApACkALABcAG4AXABuACAAIAAgACAALwAvACAASABhAGwAdABpAG4AZwAgAGMAbwBuAGQAaQB0AGkAbwBuAHMAXABuACAAIAAgACAASQBzADIARAA/ACwAIAAgACAAIAAgACAAIAAgACAAIAAgACAAIAAgAEEATgBEACgAaQAgAD4AIAAxACwAIABqACAAPgAgADEAKQAsAFwAbgAgACAAIAAgAFMAaABhAHAAZQBNAGkAcwBtAGEAdABjAGgAPwAsACAAIAAgACAAIABpACAAPAA+ACAAaQBfACwAXABuACAAIAAgACAASQBuAHYAYQBsAGkAZABCAGkAbgA/ACwAIAAgACAAIAAgACAAIAAgAE8AUgAoAEkAUwBUAEUAWABUACgAYgBpAG4AXwB3AGkAZAB0AGgAKQAsACAAYgBpAG4AXwB3AGkAZAB0AGgAIAA8ACAAMQApACwAXABuACAAIAAgACAASQBuAHYAYQBsAGkAZABGAG4APwAsACAAIAAgACAAIAAgACAAIAAgAFQAWQBQAEUAKABmAHUAbgBjAHQAaQBvAG4AKQAgADwAPgAgADEAMgA4ACwAXABuACAAIAAgACAATgBvAG4ATgB1AG0AZQByAGkAYwA/ACwAIAAgACAAIAAgACAAIAAgAE4ATwBUACgAQQBOAEQAKABJAFMATgBVAE0AQgBFAFIAKABJAEYAKABIAGUAYQBkAGUAcgBzAD8ALAAgAEQAUgBPAFAAKABhAHIAcgBhAHkALAAgADEAKQAsACAAYQByAHIAYQB5ACkAKQApACkALABcAG4AXABuACAAIAAgACAALwAvACAATABvAGcAaQBjACAAZwBhAHQAZQBcAG4AIAAgACAAIABJAEYAKABJAHMAMgBEAD8ALAAgACAAIAAgACAAIAAgACAAIAAgACAAIAAgAFwAIgAjADEARAAtAEEAUgBSAEEAWQAhAFwAIgAsAFwAbgBcAG4AIAAgACAAIAAgACAAIAAgAEkARgAoAFMAaABhAHAAZQBNAGkAcwBtAGEAdABjAGgAPwAsACAAXAAiACMARABJAE0ARQBOAFMASQBPAE4AUwAhAFwAIgAsAFwAbgBcAG4AIAAgACAAIAAgACAAIAAgACAAIAAgACAASQBGACgATgBvAG4ATgB1AG0AZQByAGkAYwA/ACwAIABcACIAIwBOAFUATQAhAFwAIgAsAFwAbgBcAG4AIAAgACAAIAAgACAAIAAgACAAIAAgACAAIAAgACAAIABJAEYAKABJAG4AdgBhAGwAaQBkAEIAaQBuAD8ALAAgAFwAIgAjAEIASQBOAC0AVwBJAEQAVABIACEAXAAiACwAXABuAFwAbgAgACAAIAAgACAAIAAgACAAIAAgACAAIAAgACAAIAAgACAAIAAgACAASQBGACgASQBuAHYAYQBsAGkAZABGAG4APwAsACAAXAAiACMASQBOAFYAQQBMAEkARAAtAEYAVQBOAEMAVABJAE8ATgAhAFwAIgAsAFwAbgBcAG4ATABFAFQAKABcAG4AIAAgACAAIAAvAC8AIABPAHAAdABpAG8AbgBhAGwAIABmAGwAYQBnAHMAXABuACAAIAAgACAATgBvAEMAaABhAHIAdAA/ACwAIAAgACAAIAAgACAAIAAgACAAIAAgAEkAUwBPAE0ASQBUAFQARQBEACgAYwBoAGEAcgB0AF8AcAByAGUAcAApACwAXABuAFwAbgAgACAAIAAgAC8ALwAgAFMAdAByAGkAcAAgAGgAZQBhAGQAZQByAHMAIABpAGYAIABwAHIAZQBzAGUAbgB0AFwAbgAgACAAIAAgAGEAcgByACwAIAAgACAAIAAgACAAIAAgACAAIAAgACAAIAAgACAAIABJAEYAKABIAGUAYQBkAGUAcgBzAD8ALAAgAEQAUgBPAFAAKABhAHIAcgBhAHkALAAgADEAKQAsACAAYQByAHIAYQB5ACkALABcAG4AIAAgACAAIAB2AGEAbAAsACAAIAAgACAAIAAgACAAIAAgACAAIAAgACAAIAAgACAASQBGACgASABlAGEAZABlAHIAcwA/ACwAIABEAFIATwBQACgAdgBhAGwAdQBlAHMALAAgADEAKQAsACAAdgBhAGwAdQBlAHMAKQAsAFwAbgBcAG4AIAAgACAAIAAvAC8AIABIAGUAYQBkAGUAcgAgAGMAbwBuAHMAdAByAHUAYwB0AGkAbwBuAFwAbgAgACAAIAAgAHIAbwB3AF8AaABlAGEAZABlAHIALAAgACAAIAAgACAAIAAgACAAIABIAFMAVABBAEMASwAoAFwAIgBCAGkAbgAgAFMAdABhAHIAdAAgAFwAIgAgACYAIABJAEYAKABIAGUAYQBkAGUAcgBzAD8ALAAgAFQAQQBLAEUAKABhAHIAcgBhAHkALAAgADEAKQAsACAAXAAiAFwAIgApACAAJgAgAFwAIgAgAFYAYQBsAHUAZQBcACIALABcACIAQgBpAG4AIABFAG4AZABcACIAKQAsAFwAbgAgACAAIAAgAHYAYQBsAF8AaABlAGEAZABlAHIALAAgACAAIAAgACAAIAAgACAAIABFAFgAUABBAE4ARAAoAEkARgAoAEgAZQBhAGQAZQByAHMAPwAsACAAVABBAEsARQAoAHYAYQBsAHUAZQBzACwAIAAxACkALAAgAFwAIgBUAG8AdABhAGwAXAAiACkALAAsAGoAXwAsAFwAIgBcACIAKQAsAFwAbgAgACAAIAAgAGgAZQBhAGQAZQByACwAIAAgACAAIAAgACAAIAAgACAAIAAgACAAIABIAFMAVABBAEMASwAoAHIAbwB3AF8AaABlAGEAZABlAHIALAAgAHYAYQBsAF8AaABlAGEAZABlAHIAKQAsAFwAbgBcAG4AIAAgACAAIAAvAC8AIABCAGkAbgAgAGIAbwB1AG4AZABhAHIAaQBlAHMAXABuACAAIAAgACAAbQBpAG4ALAAgACAAIAAgACAAIAAgACAAIAAgACAAIAAgACAAIAAgAE0ASQBOACgAYQByAHIAKQAsAFwAbgAgACAAIAAgAHMAdABhAHIAdAAsACAAIAAgACAAIAAgACAAIAAgACAAIAAgACAAIABGAEwATwBPAFIAKABtAGkAbgAsACAAYgBpAG4AXwB3AGkAZAB0AGgAKQAsAFwAbgBcAG4AIAAgACAAIABtAGEAeAAsACAAIAAgACAAIAAgACAAIAAgACAAIAAgACAAIAAgACAATQBBAFgAKABhAHIAcgApACwAXABuACAAIAAgACAAZQBuAGQALAAgACAAIAAgACAAIAAgACAAIAAgACAAIAAgACAAIAAgAEMARQBJAEwASQBOAEcAKABtAGEAeAAsACAAYgBpAG4AXwB3AGkAZAB0AGgAKQAsAFwAbgBcAG4AIAAgACAAIABrACwAIAAgACAAIAAgACAAIAAgACAAIAAgACAAIAAgACAAIAAgACAAKABlAG4AZAAgAC0AIABzAHQAYQByAHQAKQAgAC8AIABiAGkAbgBfAHcAaQBkAHQAaAAsAFwAbgBcAG4AIAAgACAAIABiAGkAbgAsACAAIAAgACAAIAAgACAAIAAgACAAIAAgACAAIAAgACAAUwBFAFEAVQBFAE4AQwBFACgAawAgACsAIAAxACwAIAAsACAAcwB0AGEAcgB0ACwAIABiAGkAbgBfAHcAaQBkAHQAaAApACwAXABuACAAIAAgACAAYgBpAG4AXwBzAHQAYQByAHQALAAgACAAIAAgACAAIAAgACAAIAAgAEQAUgBPAFAAKABiAGkAbgAsACAALQAxACkALABcAG4AIAAgACAAIABiAGkAbgBfAGUAbgBkACwAIAAgACAAIAAgACAAIAAgACAAIAAgACAARABSAE8AUAAoAGIAaQBuACwAIAAxACkALABcAG4AXABuACAAIAAgACAALwAvACAAQgBpAG4AIABhAHMAcwBpAGcAbgBtAGUAbgB0AFwAbgAgACAAIAAgAGkAZAB4ACwAIAAgACAAIAAgACAAIAAgACAAIAAgACAAIAAgACAAIABYAE0AQQBUAEMASAAoAGEAcgByACwAIABiAGkAbgBfAHMAdABhAHIAdAAsACAALQAxACkALABcAG4AIAAgACAAIAByAG8AdwBfAHMAdABhAHIAdAAsACAAIAAgACAAIAAgACAAIAAgACAASQBOAEQARQBYACgAYgBpAG4AXwBzAHQAYQByAHQALAAgAGkAZAB4ACkALABcAG4AIAAgACAAIAByAG8AdwBfAGUAbgBkACwAIAAgACAAIAAgACAAIAAgACAAIAAgACAASQBOAEQARQBYACgAYgBpAG4AXwBlAG4AZAAsACAAaQBkAHgAKQAsAFwAbgAgACAAIAAgAHIAbwB3AF8AZgBpAGUAbABkAHMALAAgACAAIAAgACAAIAAgACAAIABIAFMAVABBAEMASwAoAHIAbwB3AF8AcwB0AGEAcgB0ACwAIAByAG8AdwBfAGUAbgBkACkALABcAG4AXABuACAAIAAgACAALwAvACAAQQBnAGcAcgBlAGcAYQB0AGkAbwBuAFwAbgAgACAAIAAgAGEAZwBnACwAIAAgACAAIAAgACAAIAAgACAAIAAgACAAIAAgACAAIABHAFIATwBVAFAAQgBZACgAcgBvAHcAXwBmAGkAZQBsAGQAcwAsACAAdgBhAGwALAAgAGYAdQBuAGMAdABpAG8AbgAsACAASABlAGEAZABlAHIAcwA/ACwAIAAwACkALABcAG4AXABuACAAIAAgACAALwAvACAAQwBoAGEAcgB0ACAAcAByAGUAcABcAG4AIAAgACAAIABhACwAIAAgACAAIAAgACAAIAAgACAAIAAgACAAIAAgACAAIAAgACAAQwBIAE8ATwBTAEUAQwBPAEwAUwAoAGEAZwBnACwAIAAxACkAIAAmACAAXAAiACAALQAgADwAXAAiACAAJgAgAEMASABPAE8AUwBFAEMATwBMAFMAKABhAGcAZwAsACAAMgApACwAXABuACAAIAAgACAAYgAsACAAIAAgACAAIAAgACAAIAAgACAAIAAgACAAIAAgACAAIAAgAEQAUgBPAFAAKABhAGcAZwAsACAALAAgADIAKQAsAFwAbgAgACAAIAAgAGMAaABhAHIAdABfAGwAYQBiAGUAbABzACwAIAAgACAAIAAgACAAIAB7AFwAIgBCAGkAbgBcACIALAAgAFwAIgBBAGcAZwByAGUAZwBhAHQAZQBcACIAfQAsAFwAbgBcAG4AIAAgACAAIAAvAC8AIABSAGUAdAB1AHIAbgAgAG0AbwBkAGUAcwBcAG4AIAAgACAAIABkAGEAdABhACwAIAAgACAAIAAgACAAIAAgACAAIAAgACAAIAAgACAAVgBTAFQAQQBDAEsAKABoAGUAYQBkAGUAcgAsACAAYQBnAGcAKQAsAFwAbgAgACAAIAAgAGMAaABhAHIAdAAsACAAIAAgACAAIAAgACAAIAAgACAAIAAgACAAIABWAFMAVABBAEMASwAoAGMAaABhAHIAdABfAGwAYQBiAGUAbABzACwAIABIAFMAVABBAEMASwAoAGEALAAgAGIAKQApACwAXABuAFwAbgAgACAAIAAgAGQAZQBsAGkAdgBlAHIAeQAsACAAIAAgACAAIAAgACAAIAAgACAAIABJAEYAKABOAG8AQwBoAGEAcgB0AD8ALAAgAGQAYQB0AGEALAAgAGMAaABhAHIAdAApACwAXABuACAAIAAgACAAZABlAGwAaQB2AGUAcgB5AFwAbgApACkAKQApACkAKQApACkAOwBcAG4AXABuAFwAbgBcAG4ALwAqACAAWwBHAFIAMAA4AF0AIAAtAC0ALQAtAC0ALQAtAC0ALQAtAC0ALQAtAC0ALQAtAC0ALQAtAC0ALQAtAC0ALQAtAC0ALQAtAC0ALQAtAC0ALQAtAC0ALQAtAC0ALQAtAC0ALQAtAC0ALQAtAC0ALQAtAC0ALQAtAC0ALQAtAC0ALQAtAC0ALQAtAC0ALQAtAC0ALQAtAC0ALQAtAC0ALQAtAFwAbgBGAHUAbgBjAHQAaQBvAG4AOgAgACAAIAAgACAARwByAG8AdQBwAGIAeQBEAGEAdABl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cARAC7A1wAbgBcAG4ARABlAHMAYwByAGkAcAB0AGkAbwBuADoAXABuACAAIAAgACAAQQBnAGcAcgBlAGcAYQB0AGUAcwAgAHYAYQBsAHUAZQBzACAAYgB5ACAAcgBvAHcAIABmAGkAZQBsAGQAcwAgAGMAbwBuAHQAYQBpAG4AaQBuAGcAIABkAGEAdABlAHMALAAgAHUAcwBpAG4AZwAgAGEAIABzAHAAZQBjAGkAZgBpAGUAZABcAG4AIAAgACAAIABkAGEAdABlAC8AdABpAG0AZQAgAGkAbgB0AGUAcgB2AGEAbAAgACgAbQBpAG4AdQB0AGUALAAgAGgAbwB1AHIALAAgAGQAYQB5ACwAIAB3AGUAZQBrACwAIABmAG8AcgB0AG4AaQBnAGgAdAAsACAAbQBvAG4AdABoACwAIABxAHUAYQByAHQAZQByACwAXABuACAAIAAgACAAeQBlAGEAcgApAC4AIABTAHUAcABwAG8AcgB0AHMAIABvAHAAdABpAG8AbgBhAGwAIABoAGUAYQBkAGUAcgBzACwAIABjAHUAcwB0AG8AbQAgAGYAbwByAG0AYQB0AHQAaQBuAGcALAAgAGEAbgBkACAAcgBvAHcAIABmAGkAbAB0AGUAcgBpAG4AZwAuAFwAbgBcAG4AUABhAHIAYQBtAGUAdABlAHIAcwA6AFwAbgAgACAAIAAgAHIAbwB3AF8AZgBpAGUAbABkAHMAIAAgACAAIAAgACAALQAgAEEAcgByAGEAeQAgACgAMQBEACAAbwByACAAMgBEACkAIAB3AGkAdABoACAAZABhAHQAZQBzACAAaQBuACAAdABoAGUAIABsAGUAZgB0AG0AbwBzAHQAIABjAG8AbAB1AG0AbgAuAFwAbgAgACAAIAAgAHYAYQBsAHUAZQBzACAAIAAgACAAIAAgACAAIAAgACAALQAgAEEAcgByAGEAeQAgACgAMQBEACAAbwByACAAMgBEACkAIABjAG8AbgB0AGEAaQBuAGkAbgBnACAAdgBhAGwAdQBlAHMAIABmAG8AcgAgAGEAZwBnAHIAZQBnAGEAdABpAG8AbgAuAFwAbgAgACAAIAAgAGkAbgB0AGUAcgB2AGEAbAAgACAAIAAgACAAIAAgACAALQAgAEQAYQB0AGUALwB0AGkAbQBlACAAYQBnAGcAcgBlAGcAYQB0AGkAbwBuACAAaQBuAHQAZQByAHYAYQBsACAAKABuAHUAbQBiAGUAcgAgAG8AcgAgAHQAZQB4AHQAKQAuAFwAbgAgACAAIAAgAGYAdQBuAGMAdABpAG8AbgAgACAAIAAgACAAIAAgACAALQAgAEUAVABBABEgYwBvAG0AcABhAHQAaQBiAGwAZQAgAGYAdQBuAGMAdABpAG8AbgAgAG8AcgAgAHMAaQBuAGcAbABlABEgcABhAHIAYQBtAGUAdABlAHIAIABMAEEATQBCAEQAQQAuAFwAbgBcAG4ATwBwAHQAaQBvAG4AYQBsADoAXABuACAAIAAgACAAWwBmAG8AcgBtAGEAdABdACAAIAAgACAAIAAgACAAIAAtACAAQwB1AHMAdABvAG0AIABkAGEAdABlAC8AdABpAG0AZQAgAGYAbwByAG0AYQB0ACAAcwB0AHIAaQBuAGcALgBcAG4AIAAgACAAIABbAGYAaQBlAGwAZABfAGgAZQBhAGQAZQByAHMAXQAgAC0AIABUAFIAVQBFACAAaQBmACAAaQBuAHAAdQB0ACAAYQByAHIAYQB5AHMAIABpAG4AYwBsAHUAZABlACAAaABlAGEAZABlAHIAcwAuAFwAbgAgACAAIAAgAFsAZgBpAGwAdABlAHIAXwBhAHIAcgBhAHkAXQAgACAALQAgAEIAbwBvAGwAZQBhAG4AIABhAHIAcgBhAHkAIAB0AG8AIABmAGkAbAB0AGUAcgAgAHIAbwB3AHMAIABiAGUAZgBvAHIAZQAgAGEAZwBnAHIAZQBnAGEAdABpAG8AbgAuAFwAbgAtAC0ALQAtAC0ALQAtAC0ALQAtAC0ALQAtAC0ALQAtAC0ALQAtAC0ALQAtAC0ALQAtAC0ALQAtAC0ALQAtAC0ALQAtAC0ALQAtAC0ALQAtAC0ALQAtAC0ALQAtAC0ALQAtAC0ALQAtAC0ALQAtAC0ALQAtAC0ALQAtAC0ALQAtAC0ALQAtAC0ALQAtAC0ALQAtAC0ALQAtAC0ALQAqAC8AXABuAFwAbgBHAHIAbwB1AHAAYgB5AEQAYQB0AGUAuwMgAD0AXABuAEwAQQBNAEIARABBACgAXABuACAAIAAgACAAcgBvAHcAXwBmAGkAZQBsAGQAcwAsAFwAbgAgACAAIAAgAHYAYQBsAHUAZQBzACwAXABuACAAIAAgACAAaQBuAHQAZQByAHYAYQBsACwAXABuACAAIAAgACAAZgB1AG4AYwB0AGkAbwBuACwAXABuACAAIAAgACAAWwBmAG8AcgBtAGEAdABdACwAXABuACAAIAAgACAAWwBmAGkAZQBsAGQAXwBoAGUAYQBkAGUAcgBzAF0ALABcAG4AIAAgACAAIABbAGYAaQBsAHQAZQByAF8AYQByAHIAYQB5AF0ALABcAG4AXABuAFYAYQBsAGkAZABhAHQAZQBHAEQAuwMoAHIAbwB3AF8AZgBpAGUAbABkAHMALAAgAHYAYQBsAHUAZQBzACwAIABpAG4AdABlAHIAdgBhAGwALAAgAGYAdQBuAGMAdABpAG8AbgAsACAAZgBpAGUAbABkAF8AaABlAGEAZABlAHIAcwAsACAAZgBpAGwAdABlAHIAXwBhAHIAcgBhAHkALABcAG4AXABuAEwARQBUACgAXABuACAAIAAgACAALwAvACAASQBuAHQAZQByAHYAYQBsACAAbgBvAHIAbQBhAGwAaQB6AGEAdABpAG8AbgBcAG4AIAAgACAAIABOAHUAbQBJAG4AdABlAHIAdgBhAGwAPwAsACAAIAAgACAAIAAgACAATgBPAFQAKABJAFMAVABFAFgAVAAoAGkAbgB0AGUAcgB2AGEAbAApACkALABcAG4AXABuACAAIAAgACAAYwBvAG4AcwB0ACwAIAAgACAAIAAgACAAIAAgACAAIAAgACAAIAAgAHsAXAAiAG0AaQBuAHUAdABlAFwAIgA7AFwAIgBoAG8AdQByAFwAIgA7AFwAIgBkAGEAeQBcACIAOwBcACIAdwBlAGUAawBcACIAOwBcAG4AIAAgACAAIAAgACAAIAAgACAAIAAgACAAIAAgACAAIAAgACAAIAAgACAAIAAgACAAIABcACIAZgBvAHIAdABuAGkAZwBoAHQAXAAiADsAXAAiAG0AbwBuAHQAaABcACIAOwBcACIAcQB1AGEAcgB0AGUAcgBcACIAOwBcACIAeQBlAGEAcgBcACIAfQAsAFwAbgBcAG4AIAAgACAAIABpAG4AdABlAHIAdgBhAGwALAAgACAAIAAgACAAIAAgACAAIAAgACAASQBGACgATgB1AG0ASQBuAHQAZQByAHYAYQBsAD8ALABpAG4AdABlAHIAdgBhAGwALABcAG4AIAAgACAAIAAgACAAIAAgACAAIAAgACAAIAAgACAAIAAgACAAIAAgACAAIAAgACAAIAAgACAAIABYAE0AQQBUAEMASAAoAEwATwBXAEUAUgAoAGkAbgB0AGUAcgB2AGEAbAApACAAJgAgAFwAIgAqAFwAIgAsACAAYwBvAG4AcwB0ACwAIAAyACkAKQAsAFwAbgBcAG4AIAAgACAAIABJAG4AYwBsAHUAZABlAHMAXwBlAG4AZAA/ACwAIAAgACAAIAAgACAAKABpAG4AdABlAHIAdgBhAGwAIAA9ACAANAApACAAKwAgACgAaQBuAHQAZQByAHYAYQBsACAAPQAgADUAKQAsAFwAbgBcAG4AIAAgACAAIAB1AG4AaQB0ACwAIAAgACAAIAAgACAAIAAgACAAIAAgACAAIAAgACAAQwBIAE8ATwBTAEUAKABpAG4AdABlAHIAdgBhAGwALAAgADEANAA0ADAALAAgADIANAAsACAAMQAsACAAMQAsACAAMQAsACAAMQAsACAAMQAsACAAMQApACwAXABuAFwAbgAgACAAIAAgAC8ALwAgAE8AcAB0AGkAbwBuAGEAbAAgAHAAYQByAGEAbQBlAHQAZQByAHMAXABuACAAIAAgACAATgBvAEYAbwByAG0AYQB0AD8ALAAgACAAIAAgACAAIAAgACAAIAAgAEkAUwBPAE0ASQBUAFQARQBEACgAZgBvAHIAbQBhAHQAKQAsAFwAbgAgACAAIAAgAEgAZQBhAGQAZQByAD8ALAAgACAAIAAgACAAIAAgACAAIAAgACAAIABOAE8AVAAoAEkAUwBPAE0ASQBUAFQARQBEACgAZgBpAGUAbABkAF8AaABlAGEAZABlAHIAcwApACkALABcAG4AIAAgACAAIABGAGkAbAB0AGUAcgA/ACwAIAAgACAAIAAgACAAIAAgACAAIAAgACAATgBPAFQAKABJAFMATwBNAEkAVABUAEUARAAoAGYAaQBsAHQAZQByAF8AYQByAHIAYQB5ACkAKQAsAFwAbgBcAG4AIAAgACAAIAAvAC8AIABEAGEAdABlACAAdgBlAGMAdABvAHIAIABmAHIAbwBtACAAcgBvAHcAXwBmAGkAZQBsAGQAcwBcAG4AIAAgACAAIABkAGEAdABlAF8AYwBvAGwALAAgACAAIAAgACAAIAAgACAAIAAgACAASQBGACgASABlAGEAZABlAHIAPwAsAFwAbgAgACAAIAAgACAAIAAgACAAIAAgACAAIAAgACAAIAAgACAAIAAgACAAIAAgACAAIAAgACAAIAAgAEQAUgBPAFAAKABUAEEASwBFACgAcgBvAHcAXwBmAGkAZQBsAGQAcwAsACAALAAgADEAKQAsACAAMQApACwAXABuACAAIAAgACAAIAAgACAAIAAgACAAIAAgACAAIAAgACAAIAAgACAAIAAgACAAIAAgACAAIAAgACAAVABBAEsARQAoAHIAbwB3AF8AZgBpAGUAbABkAHMALAAgACwAIAAxACkAKQAsAFwAbgBcAG4AIAAgACAAIABkAGEAdABlAHMALAAgACAAIAAgACAAIAAgACAAIAAgACAAIAAgACAASQBGACgAaQBuAHQAZQByAHYAYQBsACAAPAAgADMALABcAG4AIAAgACAAIAAgACAAIAAgACAAIAAgACAAIAAgACAAIAAgACAAIAAgACAAIAAgACAAIAAgACAAIABSAE8AVQBOAEQAKABkAGEAdABlAF8AYwBvAGwAIAAqACAAdQBuAGkAdAAsACAAMAApACAALwAgAHUAbgBpAHQALABcAG4AIAAgACAAIAAgACAAIAAgACAAIAAgACAAIAAgACAAIAAgACAAIAAgACAAIAAgACAAIAAgACAAIABJAE4AVAAoAGQAYQB0AGUAXwBjAG8AbAApACkALABcAG4AXABuACAAIAAgACAAdgBhAGwAdQBlAHMAXwBoAGUAYQBkAGUAcgAsACAAIAAgACAAIAAgAFQAQQBLAEUAKAB2AGEAbAB1AGUAcwAsACAAMQApACwAXABuACAAIAAgACAAdgBhAGwAdQBlAHMALAAgACAAIAAgACAAIAAgACAAIAAgACAAIAAgAEkARgAoAEgAZQBhAGQAZQByAD8ALAAgAEQAUgBPAFAAKAB2AGEAbAB1AGUAcwAsACAAMQApACwAIAB2AGEAbAB1AGUAcwApACwAXABuACAAIAAgACAAcgBvAHcAXwBkAGUAdABhAGkAbABzACwAIAAgACAAIAAgACAAIAAgAEQAUgBPAFAAKABEAFIATwBQACgAcgBvAHcAXwBmAGkAZQBsAGQAcwAsACAALAAgADEAKQAsACAASABlAGEAZABlAHIAPwApACwAXABuACAAIAAgACAAZgBpAGwAdABlAHIAXwB1AHMAZQBkACwAIAAgACAAIAAgACAAIAAgAEkARgAoAEgAZQBhAGQAZQByAD8AIAAqACAARgBpAGwAdABlAHIAPwAsAFwAbgAgACAAIAAgACAAIAAgACAAIAAgACAAIAAgACAAIAAgACAAIAAgACAAIAAgACAAIAAgACAAIAAgAEQAUgBPAFAAKABmAGkAbAB0AGUAcgBfAGEAcgByAGEAeQAsACAAMQApACwAXABuACAAIAAgACAAIAAgACAAIAAgACAAIAAgACAAIAAgACAAIAAgACAAIAAgACAAIAAgACAAIAAgACAAZgBpAGwAdABlAHIAXwBhAHIAcgBhAHkAKQAsAFwAbgBcAG4AIAAgACAAIAAvAC8AIABXAGkAZAB0AGgAcwBcAG4AIAAgACAAIAB3ACwAIAAgACAAIAAgACAAIAAgACAAIAAgACAAIAAgACAAIAAgACAAQwBPAEwAVQBNAE4AUwAoAHIAbwB3AF8AZgBpAGUAbABkAHMAKQAsAFwAbgAgACAAIAAgAHcAXwAsACAAIAAgACAAIAAgACAAIAAgACAAIAAgACAAIAAgACAAIABDAE8ATABVAE0ATgBTACgAdgBhAGwAdQBlAHMAKQAsAFwAbgAgACAAIAAgAGoALAAgACAAIAAgACAAIAAgACAAIAAgACAAIAAgACAAIAAgACAAIAB3ACAAKwAgAHcAXwAsAFwAbgBcAG4AIAAgACAAIAAvAC8AIABEAGEAdABlACAAYgBvAHUAbgBkAHMAXABuACAAIAAgACAAbQBpAG4ALAAgACAAIAAgACAAIAAgACAAIAAgACAAIAAgACAAIAAgAEkATgBUACgATQBJAE4AKABkAGEAdABlAHMAKQApACwAXABuACAAIAAgACAAbQBhAHgALAAgACAAIAAgACAAIAAgACAAIAAgACAAIAAgACAAIAAgAEkATgBUACgATQBBAFgAKABkAGEAdABlAHMAKQApACwAXABuACAAIAAgACAAbQAsACAAIAAgACAAIAAgACAAIAAgACAAIAAgACAAIAAgACAAIAAgAE0ATwBOAFQASAAoAG0AaQBuACkALABcAG4AIAAgACAAIABkACwAIAAgACAAIAAgACAAIAAgACAAIAAgACAAIAAgACAAIAAgACAARABBAFkAKABtAGkAbgApACwAXABuACAAIAAgACAAeQAsACAAIAAgACAAIAAgACAAIAAgACAAIAAgACAAIAAgACAAIAAgAFkARQBBAFIAKABtAGkAbgApACwAXABuAFwAbgAgACAAIAAgAC8ALwAgAFQAaQBtAGUAIABvAGYAIABmAGkAcgBzAHQAIABkAGEAdABlAFwAbgAgACAAIAAgAGYAaQByAHMAdAAsACAAIAAgACAAIAAgACAAIAAgACAAIAAgACAAIABNAEkATgAoAGQAYQB0AGUAcwApACwAXABuACAAIAAgACAAbABhAHMAdAAsACAAIAAgACAAIAAgACAAIAAgACAAIAAgACAAIAAgAE0AQQBYACgAZABhAHQAZQBzACkALABcAG4AIAAgACAAIABoAHIALAAgACAAIAAgACAAIAAgACAAIAAgACAAIAAgACAAIAAgACAASABPAFUAUgAoAGYAaQByAHMAdAApACwAXABuACAAIAAgACAAbQBtACwAIAAgACAAIAAgACAAIAAgACAAIAAgACAAIAAgACAAIAAgAE0ASQBOAFUAVABFACgAZgBpAHIAcwB0ACkALABcAG4AXABuACAAIAAgACAALwAvACAAUgBhAG4AZwBlAHMAXABuACAAIAAgACAAcwBlAGMAbwBuAGQAcwAsACAAIAAgACAAIAAgACAAIAAgACAAIAAgACgAbABhAHMAdAAgAC0AIABmAGkAcgBzAHQAKQAgACoAIAA4ADYANAAwADAALABcAG4AIAAgACAAIABtAGkAbgB1AHQAZQBzACwAIAAgACAAIAAgACAAIAAgACAAIAAgACAAQwBFAEkATABJAE4ARwAoAHMAZQBjAG8AbgBkAHMAIAAvACAANgAwACwAIAAxACkALABcAG4AIAAgACAAIABoAG8AdQByAHMALAAgACAAIAAgACAAIAAgACAAIAAgACAAIAAgACAAbQBpAG4AdQB0AGUAcwAgAC8AIAA2ADAALABcAG4AIAAgACAAIABkAGEAeQBzACwAIAAgACAAIAAgACAAIAAgACAAIAAgACAAIAAgACAAbQBhAHgAIAAtACAAbQBpAG4ALABcAG4AIAAgACAAIAB3AGUAZQBrAHMALAAgACAAIAAgACAAIAAgACAAIAAgACAAIAAgACAAQwBFAEkATABJAE4ARwAoAGQAYQB5AHMAIAAvACAANwAsACAAMQApACwAXABuACAAIAAgACAAZgBvAHIAdABuAGkAZwBoAHQALAAgACAAIAAgACAAIAAgACAAIAAgAEMARQBJAEwASQBOAEcAKABkAGEAeQBzACAALwAgADEANAAsACAAMQApACwAXABuACAAIAAgACAAbQBvAG4AdABoAHMALAAgACAAIAAgACAAIAAgACAAIAAgACAAIAAgAEQAQQBUAEUARABJAEYAKABtAGkAbgAsACAAbQBhAHgALAAgAFwAIgBtAFwAIgApACwAXABuACAAIAAgACAAcQB1AGEAcgB0AGUAcgBzACwAIAAgACAAIAAgACAAIAAgACAAIAAgAEMARQBJAEwASQBOAEcAKABtAG8AbgB0AGgAcwAgAC8AIAAzACwAIAAxACkALABcAG4AIAAgACAAIAB5AGUAYQByAHMALAAgACAAIAAgACAAIAAgACAAIAAgACAAIAAgACAAQwBFAEkATABJAE4ARwAoAG0AbwBuAHQAaABzACAALwAgADEAMgAsACAAMQApACwAXABuAFwAbgAgACAAIAAgAC8ALwAgAEQAaQBzAHAAbABhAHkAIABmAG8AcgBtAGEAdABzAFwAbgAgACAAIAAgAGgAXwBtAG0ALAAgACAAIAAgACAAIAAgACAAIAAgACAAIAAgACAAIABJAEYAKABkAGEAeQBzACAAPgAgADEALAAgAFwAIgBtAC8AZAAvAHkAeQB5ACAAaAA6AG0AbQAgAEEATQAvAFAATQBcACIALAAgAFwAIgBoADoAbQBtACAAQQBNAC8AUABNAFwAIgApACwAXABuACAAIAAgACAAbQBtAG0AbQAsACAAIAAgACAAIAAgACAAIAAgACAAIAAgACAAIAAgAFwAIgBtAG0AbQBtACAAeQB5AHkAXAAiACwAXABuACAAIAAgACAAZABhAHkALAAgACAAIAAgACAAIAAgACAAIAAgACAAIAAgACAAIAAgAFwAIgBtAC8AZAAvAHkAeQB5AFwAIgAsAFwAbgAgACAAIAAgAHkAeQB5ACwAIAAgACAAIAAgACAAIAAgACAAIAAgACAAIAAgACAAIABcACIAeQB5AHkAXAAiACwAXABuAFwAbgAgACAAIAAgAGYAbQB0ACwAIAAgACAAIAAgACAAIAAgACAAIAAgACAAIAAgACAAIABJAEYAKABOAG8ARgBvAHIAbQBhAHQAPwAsAFwAbgAgACAAIAAgACAAIAAgACAAIAAgACAAIAAgACAAIAAgACAAIAAgACAAIAAgACAAIAAgACAAIAAgAFMAVwBJAFQAQwBIACgAaQBuAHQAZQByAHYAYQBsACwAXABuACAAIAAgACAAIAAgACAAIAAgACAAIAAgACAAIAAgACAAIAAgACAAIAAgACAAIAAgACAAIAAgACAAIAAgACAAIAAgACAAIAAgADEALAAgAGgAXwBtAG0ALABcAG4AIAAgACAAIAAgACAAIAAgACAAIAAgACAAIAAgACAAIAAgACAAIAAgACAAIAAgACAAIAAgACAAIAAgACAAIAAgACAAIAAgACAAMgAsACAAaABfAG0AbQAsAFwAbgAgACAAIAAgACAAIAAgACAAIAAgACAAIAAgACAAIAAgACAAIAAgACAAIAAgACAAIAAgACAAIAAgACAAIAAgACAAIAAgACAAIAAzACwAIABkAGEAeQAsAFwAbgAgACAAIAAgACAAIAAgACAAIAAgACAAIAAgACAAIAAgACAAIAAgACAAIAAgACAAIAAgACAAIAAgACAAIAAgACAAIAAgACAAIAA0ACwAIABkAGEAeQAsAFwAbgAgACAAIAAgACAAIAAgACAAIAAgACAAIAAgACAAIAAgACAAIAAgACAAIAAgACAAIAAgACAAIAAgACAAIAAgACAAIAAgACAAIAA1ACwAIABkAGEAeQAsAFwAbgAgACAAIAAgACAAIAAgACAAIAAgACAAIAAgACAAIAAgACAAIAAgACAAIAAgACAAIAAgACAAIAAgACAAIAAgACAAIAAgACAAIAA2ACwAIABtAG0AbQBtACwAXABuACAAIAAgACAAIAAgACAAIAAgACAAIAAgACAAIAAgACAAIAAgACAAIAAgACAAIAAgACAAIAAgACAAIAAgACAAIAAgACAAIAAgADcALAAgAG0AbQBtAG0ALABcAG4AIAAgACAAIAAgACAAIAAgACAAIAAgACAAIAAgACAAIAAgACAAIAAgACAAIAAgACAAIAAgACAAIAAgACAAIAAgACAAIAAgACAAOAAsACAAeQB5AHkALABcAG4AIAAgACAAIAAgACAAIAAgACAAIAAgACAAIAAgACAAIAAgACAAIAAgACAAIAAgACAAIAAgACAAIAAgACAAIAAgACAAIAAgACAAbQBtAG0AbQApACwAXABuACAAIAAgACAAIAAgACAAIAAgACAAIAAgACAAIAAgACAAIAAgACAAIAAgACAAIAAgACAAIAAgACAAZgBvAHIAbQBhAHQAKQAsAFwAbgBcAG4AIAAgACAAIAAvAC8AIABEAGEAdABlAC8AdABpAG0AZQAgAGEAcgByAGEAeQBzACAAKABkAGUAZgBlAHIAcgBlAGQAKQBcAG4AIAAgACAAIABtAGkAbgBfAGEAcgByACwAIAAgACAAIAAgACAAIAAgACAAIAAgACAATABBAE0AQgBEAEEAKABTAEUAUQBVAEUATgBDAEUAKABAAG0AaQBuAHUAdABlAHMAIAArACAAMQAsACAALAAgAGYAaQByAHMAdAAsACAAMQAgAC8AIAAxADQANAAwACkAKQAsAFwAbgAgACAAIAAgAGgAcgBzAF8AYQByAHIALAAgACAAIAAgACAAIAAgACAAIAAgACAAIABMAEEATQBCAEQAQQAoAFMARQBRAFUARQBOAEMARQAoAEAAaABvAHUAcgBzACAAKwAgADEALAAgACwAIABmAGkAcgBzAHQALAAgADEAIAAvACAAMgA0ACkAKQAsAFwAbgAgACAAIAAgAGQAYQB5AHMAXwBhAHIAcgAsACAAIAAgACAAIAAgACAAIAAgACAAIABMAEEATQBCAEQAQQAoAFMARQBRAFUARQBOAEMARQAoAGQAYQB5AHMAIAArACAAMQAsACAALAAgAG0AaQBuACwAIAAxACkAKQAsAFwAbgAgACAAIAAgAHcAZQBlAGsAcwBfAGEAcgByACwAIAAgACAAIAAgACAAIAAgACAAIABMAEEATQBCAEQAQQAoAEQAQQBUAEUAKAB5ACwAIABtACwAIABTAEUAUQBVAEUATgBDAEUAKAB3AGUAZQBrAHMAIAArACAAMQAsACAALAAgAGQALAAgADcAKQApACkALABcAG4AIAAgACAAIABmAG8AcgB0AF8AYQByAHIALAAgACAAIAAgACAAIAAgACAAIAAgACAATABBAE0AQgBEAEEAKABEAEEAVABFACgAeQAsACAAbQAsACAAUwBFAFEAVQBFAE4AQwBFACgAZgBvAHIAdABuAGkAZwBoAHQAIAArACAAMQAsACAALAAgAGQALAAgADEANAApACkAKQAsAFwAbgAgACAAIAAgAG0AbwBuAHQAaABfAGEAcgByACwAIAAgACAAIAAgACAAIAAgACAAIABMAEEATQBCAEQAQQAoAEQAQQBUAEUAKAB5ACwAIABtACAAKwAgAFMARQBRAFUARQBOAEMARQAoAG0AbwBuAHQAaABzACAAKwAgADEALAAgACwAIAAwACkALAAgAGQAKQApACwAXABuACAAIAAgACAAcQB0AHIAcwBfAGEAcgByACwAIAAgACAAIAAgACAAIAAgACAAIAAgAEwAQQBNAEIARABBACgARABBAFQARQAoAHkALAAgAG0AIAArACAAUwBFAFEAVQBFAE4AQwBFACgAcQB1AGEAcgB0AGUAcgBzACAAKwAgADEALAAgACwAIAAwACwAIAAzACkALAAgAGQAKQApACwAXABuACAAIAAgACAAeQByAHMAXwBhAHIAcgAsACAAIAAgACAAIAAgACAAIAAgACAAIAAgAEwAQQBNAEIARABBACgARABBAFQARQAoAHkAIAArACAAUwBFAFEAVQBFAE4AQwBFACgAQAB5AGUAYQByAHMAIAArACAAMQAsACAALAAgADAAKQAsACAAbQAsACAAMQApACkALABcAG4AXABuACAAIAAgACAALwAvACAASQBuAHQAZQByAHYAYQBsACAAcwBlAGwAZQBjAHQAaQBvAG4AXABuACAAIAAgACAAYgBpAG4ALAAgACAAIAAgACAAIAAgACAAIAAgACAAIAAgACAAIAAgAEwAQQBNAEIARABBACgASQBGACgAaQBuAHQAZQByAHYAYQBsACAAPAAgADMALABcAG4AIAAgACAAIAAgACAAIAAgACAAIAAgACAAIAAgACAAIAAgACAAIAAgACAAIAAgACAAIAAgACAAIAAgACAAIAAgAFIATwBVAE4ARAAoAEMASABPAE8AUwBFACgAaQBuAHQAZQByAHYAYQBsACwAIABtAGkAbgBfAGEAcgByACgAKQAsACAAaAByAHMAXwBhAHIAcgAoACkAKQAgACoAIAB1AG4AaQB0ACwAXABuACAAIAAgACAAIAAgACAAIAAgACAAIAAgACAAIAAgACAAIAAgACAAIAAgACAAIAAgACAAIAAgACAAIAAgACAAIAAgACAAIAAgADAAKQAgAC8AIAB1AG4AaQB0ACwAXABuACAAIAAgACAAIAAgACAAIAAgACAAIAAgACAAIAAgACAAIAAgACAAIAAgACAAIAAgACAAIAAgACAAIAAgACAAIABDAEgATwBPAFMARQAoAFwAbgAgACAAIAAgACAAIAAgACAAIAAgACAAIAAgACAAIAAgACAAIAAgACAAIAAgACAAIAAgACAAIAAgACAAIAAgACAAIAAgACAAIABpAG4AdABlAHIAdgBhAGwAIAAtACAAMgAsAFwAbgAgACAAIAAgACAAIAAgACAAIAAgACAAIAAgACAAIAAgACAAIAAgACAAIAAgACAAIAAgACAAIAAgACAAIAAgACAAIAAgACAAIABkAGEAeQBzAF8AYQByAHIAKAApACwAXABuACAAIAAgACAAIAAgACAAIAAgACAAIAAgACAAIAAgACAAIAAgACAAIAAgACAAIAAgACAAIAAgACAAIAAgACAAIAAgACAAIAAgAHcAZQBlAGsAcwBfAGEAcgByACgAKQAsAFwAbgAgACAAIAAgACAAIAAgACAAIAAgACAAIAAgACAAIAAgACAAIAAgACAAIAAgACAAIAAgACAAIAAgACAAIAAgACAAIAAgACAAIABmAG8AcgB0AF8AYQByAHIAKAApACwAXABuACAAIAAgACAAIAAgACAAIAAgACAAIAAgACAAIAAgACAAIAAgACAAIAAgACAAIAAgACAAIAAgACAAIAAgACAAIAAgACAAIAAgAG0AbwBuAHQAaABfAGEAcgByACgAKQAsAFwAbgAgACAAIAAgACAAIAAgACAAIAAgACAAIAAgACAAIAAgACAAIAAgACAAIAAgACAAIAAgACAAIAAgACAAIAAgACAAIAAgACAAIABxAHQAcgBzAF8AYQByAHIAKAApACwAXABuACAAIAAgACAAIAAgACAAIAAgACAAIAAgACAAIAAgACAAIAAgACAAIAAgACAAIAAgACAAIAAgACAAIAAgACAAIAAgACAAIAAgAHkAcgBzAF8AYQByAHIAKAApACkAKQApACwAXABuAFwAbgAgACAAIAAgAC8ALwAgAEwAYQBiAGUAbAAgAGEAcwBzAGkAZwBuAG0AZQBuAHQAXABuACAAIAAgACAAaQAsACAAIAAgACAAIAAgACAAIAAgACAAIAAgACAAIAAgACAAIAAgAEwAQQBNAEIARABBACgASQBGACgAaQBuAHQAZQByAHYAYQBsACAAPQAgADgALABYAE0AQQBUAEMASAAoAFkARQBBAFIAKABkAGEAdABlAHMAKQAsACAAWQBFAEEAUgAoAGIAaQBuACgAKQApACkALABcAG4AIAAgACAAIAAgACAAIAAgACAAIAAgACAAIAAgACAAIAAgACAAIAAgACAAIAAgACAAIAAgACAAIAAgACAAIAAgAFgATQBBAFQAQwBIACgAZABhAHQAZQBzACwAIABiAGkAbgAoACkALAAgAC0AMQApACkAKQAsAFwAbgBcAG4AIAAgACAAIABkAGEAdABlAF8AZgBpAGUAbABkACwAIAAgACAAIAAgACAAIAAgACAATABBAE0AQgBEAEEAKABJAE4ARABFAFgAKABiAGkAbgAoACkALAAgAGkAKAApACkAKQAsAFwAbgBcAG4AIAAgACAAIAAvAC8AIABSAG8AdwAgAGwAYQBiAGUAbABzAFwAbgAgACAAIAAgAHIAbwB3AF8AbABhAGIAZQBsAHMALAAgACAAIAAgACAAIAAgACAAIABJAEYAKAB3ACAAPQAgADEALABkAGEAdABlAF8AZgBpAGUAbABkACgAKQAsAFwAbgAgACAAIAAgACAAIAAgACAAIAAgACAAIAAgACAAIAAgACAAIAAgACAAIAAgACAAIAAgACAAIAAgAEgAUwBUAEEAQwBLACgAZABhAHQAZQBfAGYAaQBlAGwAZAAoACkALAAgAHIAbwB3AF8AZABlAHQAYQBpAGwAcwApACkALABcAG4AXABuACAAIAAgACAALwAvACAASABlAGEAZABlAHIAcwBcAG4AIAAgACAAIAB0AG8AdABhAGwAXwBsAGEAYgBlAGwALAAgACAAIAAgACAAIAAgACAAUwBXAEkAVABDAEgAKABpAG4AdABlAHIAdgBhAGwALABcAG4AIAAgACAAIAAgACAAIAAgACAAIAAgACAAIAAgACAAIAAgACAAIAAgACAAIAAgACAAIAAgACAAIAAgACAAIAAgACAAIAAgACAAIAAgACAAIAAxACwAIABcACIAVABvAHQAYQBsAHMAIABiAHkAIABtAGkAbgB1AHQAZQBcACIALABcAG4AIAAgACAAIAAgACAAIAAgACAAIAAgACAAIAAgACAAIAAgACAAIAAgACAAIAAgACAAIAAgACAAIAAgACAAIAAgACAAIAAgACAAIAAgACAAIAAyACwAIABcACIAVABvAHQAYQBsAHMAIABiAHkAIABoAG8AdQByAFwAIgAsAFwAbgAgACAAIAAgACAAIAAgACAAIAAgACAAIAAgACAAIAAgACAAIAAgACAAIAAgACAAIAAgACAAIAAgACAAIAAgACAAIAAgACAAIAAgACAAIAAgADMALAAgAFwAIgBUAG8AdABhAGwAcwAgAGIAeQAgAEQAYQB5AFwAIgAsAFwAbgAgACAAIAAgACAAIAAgACAAIAAgACAAIAAgACAAIAAgACAAIAAgACAAIAAgACAAIAAgACAAIAAgACAAIAAgACAAIAAgACAAIAAgACAAIAAgADQALAAgAFwAIgBXAGUAZQBrAGwAeQAgAFQAbwB0AGEAbABzAFwAIgAsAFwAbgAgACAAIAAgACAAIAAgACAAIAAgACAAIAAgACAAIAAgACAAIAAgACAAIAAgACAAIAAgACAAIAAgACAAIAAgACAAIAAgACAAIAAgACAAIAAgADUALAAgAFwAIgBCAGkAdwBlAGUAawBsAHkAIABUAG8AdABhAGwAcwBcACIALABcAG4AIAAgACAAIAAgACAAIAAgACAAIAAgACAAIAAgACAAIAAgACAAIAAgACAAIAAgACAAIAAgACAAIAAgACAAIAAgACAAIAAgACAAIAAgACAAIAA2ACwAIABcACIATQBvAG4AdABoAGwAeQAgAFQAbwB0AGEAbABzAFwAIgAsAFwAbgAgACAAIAAgACAAIAAgACAAIAAgACAAIAAgACAAIAAgACAAIAAgACAAIAAgACAAIAAgACAAIAAgACAAIAAgACAAIAAgACAAIAAgACAAIAAgADcALAAgAFwAIgBUAG8AdABhAGwAcwAgAGIAeQAgAFEAdQBhAHIAdABlAHIAXAAiACwAXABuACAAIAAgACAAIAAgACAAIAAgACAAIAAgACAAIAAgACAAIAAgACAAIAAgACAAIAAgACAAIAAgACAAIAAgACAAIAAgACAAIAAgACAAIAAgACAAOAAsACAAXAAiAFkAZQBhAHIAbAB5ACAAVABvAHQAYQBsAHMAXAAiACwAXABuACAAIAAgACAAIAAgACAAIAAgACAAIAAgACAAIAAgACAAIAAgACAAIAAgACAAIAAgACAAIAAgACAAIAAgACAAIAAgACAAIAAgACAAIAAgACAAXAAiAFwAIgApACwAXABuAFwAbgAgACAAIAAgAHQAbwB0AGEAbABfAGgAZQBhAGQAZQByACwAIAAgACAAIAAgACAAIABFAFgAUABBAE4ARAAoAEkARgAoAE8AUgAoAGkAbgB0AGUAcgB2AGEAbAAgAD0AIAA0ACwAIABpAG4AdABlAHIAdgBhAGwAIAA9ACAANQApACwAXABuACAAIAAgACAAIAAgACAAIAAgACAAIAAgACAAIAAgACAAIAAgACAAIAAgACAAIAAgACAAIAAgACAAIAAgACAAIABIAFMAVABBAEMASwAoAHQAbwB0AGEAbABfAGwAYQBiAGUAbAAsACAAXAAiAEUAbgBkAGkAbgBnACAARABhAHQAZQBcACIAKQAsAFwAbgAgACAAIAAgACAAIAAgACAAIAAgACAAIAAgACAAIAAgACAAIAAgACAAIAAgACAAIAAgACAAIAAgACAAIAAgACAAdABvAHQAYQBsAF8AbABhAGIAZQBsACkALAAsAHcAIAArACAASQBuAGMAbAB1AGQAZQBzAF8AZQBuAGQAPwAsAFwAIgBcACIAKQAsAFwAbgBcAG4AIAAgACAAIABhAGcAZwBfAGgAZQBhAGQAZQByACwAIAAgACAAIAAgACAAIAAgACAASQBGACgASABlAGEAZABlAHIAPwAsAHYAYQBsAHUAZQBzAF8AaABlAGEAZABlAHIALABcAG4AIAAgACAAIAAgACAAIAAgACAAIAAgACAAIAAgACAAIAAgACAAIAAgACAAIAAgACAAIAAgACAAIABFAFgAUABBAE4ARAAoAFwAIgBcACIALAAgACwAIAB3AF8ALAAgAFwAIgBcACIAKQApACwAXABuAFwAbgAgACAAIAAgAC8ALwAgAEEAZwBnAHIAZQBnAGEAdABpAG8AbgBcAG4AIAAgACAAIABuAG8AXwBmAGkAbAB0AGUAcgAsACAAIAAgACAAIAAgACAAIAAgACAARwBSAE8AVQBQAEIAWQAoAHIAbwB3AF8AbABhAGIAZQBsAHMALAAgAHYAYQBsAHUAZQBzACwAIABmAHUAbgBjAHQAaQBvAG4ALAAgAEgAZQBhAGQAZQByAD8AKQAsAFwAbgAgACAAIAAgAGYAaQBsAHQAZQByAF8AaQBuAGMALAAgACAAIAAgACAAIAAgACAAIABHAFIATwBVAFAAQgBZACgAcgBvAHcAXwBsAGEAYgBlAGwAcwAsACAAdgBhAGwAdQBlAHMALAAgAGYAdQBuAGMAdABpAG8AbgAsACAASABlAGEAZABlAHIAPwAsACAALAAgACwAIABmAGkAbAB0AGUAcgBfAHUAcwBlAGQAKQAsAFwAbgAgACAAIAAgAGEAZwBnACwAIAAgACAAIAAgACAAIAAgACAAIAAgACAAIAAgACAAIABJAEYAKABGAGkAbAB0AGUAcgA/ACwAIABmAGkAbAB0AGUAcgBfAGkAbgBjACwAIABuAG8AXwBmAGkAbAB0AGUAcgApACwAXABuAFwAbgAgACAAIAAgAC8ALwAgAFIAbwB3ACAAbABhAGIAZQBsACAAKAB1AG4AZgBvAHIAbQBhAHQAdABlAGQAKQAgAGEAbgBkACAAZgBvAHIAbQBhAHQAdABlAGQAXABuACAAIAAgACAAcgBvAHcAXwBsAGEAYgBlAGwALAAgACAAIAAgACAAIAAgACAAIAAgAEwAQQBNAEIARABBACgAVABBAEsARQAoAGEAZwBnACwAIAAsACAAMQApACkALABcAG4AIAAgACAAIABhACwAIAAgACAAIAAgACAAIAAgACAAIAAgACAAIAAgACAAIAAgACAATABBAE0AQgBEAEEAKABUAEUAWABUACgAcgBvAHcAXwBsAGEAYgBlAGwAKAApACwAIABmAG0AdAApACkALABcAG4AXABuACAAIAAgACAALwAvACAARQBuAGQAaQBuAGcAIABkAGEAdABlAHMAIABmAG8AcgAgAHcAZQBlAGsAbAB5ACAALwAgAGIAaQB3AGUAZQBrAGwAeQBcAG4AIAAgACAAIABiAGkAbgBfAGUAbgBkACwAIAAgACAAIAAgACAAIAAgACAAIAAgACAATABBAE0AQgBEAEEAKABJAEYAKABpAG4AdABlAHIAdgBhAGwAIAA9ACAANAAsAFQARQBYAFQAKABhACgAKQAgACsAIAA2ACwAIABmAG0AdAApACwAXABuACAAIAAgACAAIAAgACAAIAAgACAAIAAgACAAIAAgACAAIAAgACAAIAAgACAAIAAgACAAIAAgACAAIAAgACAAIABJAEYAKABpAG4AdABlAHIAdgBhAGwAIAA9ACAANQAsACAAVABFAFgAVAAoAGEAKAApACAAKwAgADEAMwAsACAAZgBtAHQAKQAsACAAMAApACkAKQAsAFwAbgBcAG4AIAAgACAAIAAvAC8AIABSAGUAbQBhAGkAbgBpAG4AZwAgAGMAbwBsAHUAbQBuAHMAXABuACAAIAAgACAAYgAsACAAIAAgACAAIAAgACAAIAAgACAAIAAgACAAIAAgACAAIAAgAEwAQQBNAEIARABBACgARABSAE8AUAAoAGEAZwBnACwAIAAsACAAMQApACkALABcAG4AXABuACAAIAAgACAALwAvACAAUwB0AGEAYwBrAHMAXABuACAAIAAgACAAcwB0AGEAYwBrACwAIAAgACAAIAAgACAAIAAgACAAIAAgACAAIAAgAFYAUwBUAEEAQwBLACgASABTAFQAQQBDAEsAKAB0AG8AdABhAGwAXwBoAGUAYQBkAGUAcgAsACAAYQBnAGcAXwBoAGUAYQBkAGUAcgApACwAXABuACAAIAAgACAAIAAgACAAIAAgACAAIAAgACAAIAAgACAAIAAgACAAIAAgACAAIAAgACAAIAAgACAAIAAgACAASABTAFQAQQBDAEsAKABhACgAKQAsACAAYgAoACkAKQApACwAXABuAFwAbgAgACAAIAAgAHMAdABhAGMAawBfAGUAbgBkACwAIAAgACAAIAAgACAAIAAgACAAIABJAEYARQBSAFIATwBSACgAXABuACAAIAAgACAAIAAgACAAIAAgACAAIAAgACAAIAAgACAAIAAgACAAIAAgACAAIAAgACAAIAAgACAAVgBTAFQAQQBDAEsAKABcAG4AIAAgACAAIAAgACAAIAAgACAAIAAgACAAIAAgACAAIAAgACAAIAAgACAAIAAgACAAIAAgACAAIAAgACAAIAAgAEgAUwBUAEEAQwBLACgAdABvAHQAYQBsAF8AaABlAGEAZABlAHIALAAgAGEAZwBnAF8AaABlAGEAZABlAHIAKQAsAFwAbgAgACAAIAAgACAAIAAgACAAIAAgACAAIAAgACAAIAAgACAAIAAgACAAIAAgACAAIAAgACAAIAAgACAAIAAgACAASABTAFQAQQBDAEsAKABhACgAKQAsACAAYgBpAG4AXwBlAG4AZAAoACkALAAgAGIAKAApACkAXABuACAAIAAgACAAIAAgACAAIAAgACAAIAAgACAAIAAgACAAIAAgACAAIAAgACAAIAAgACAAIAAgACAAKQAsAFwAIgBcACIAKQAsAFwAbgBcAG4AIAAgACAAIABkAGUAbABpAHYAZQByAHkALAAgACAAIAAgACAAIAAgACAAIAAgACAASQBGACgATwBSACgAaQBuAHQAZQByAHYAYQBsACAAPQAgADQALAAgAGkAbgB0AGUAcgB2AGEAbAAgAD0AIAA1ACkALAAgAHMAdABhAGMAawBfAGUAbgBkACwAIABzAHQAYQBjAGsAKQAsAFwAbgBcAG4AIAAgACAAIABkAGUAbABpAHYAZQByAHkAXABuACkAKQApADsAXABuAFwAbgBcAG4AXABuAC8AKgAgAFsARwBSABEgQwBPAFIARQBdACAALQAtAC0ALQAtAC0ALQAtAC0ALQAtAC0ALQAtAC0ALQAtAC0ALQAtAC0ALQAtAC0ALQAtAC0ALQAtAC0ALQAtAC0ALQAtAC0ALQAtAC0ALQAtAC0ALQAtAC0ALQAtAC0ALQAtAC0ALQAtAC0ALQAtAC0ALQAtAC0ALQAtAC0ALQAtAC0ALQAtAC0ALQBcAG4ARgB1AG4AYwB0AGkAbwBuADoAIAAgACAAIAAgAFYAYQBsAGkAZABhAHQAZQBHAEQAuwNcAG4AQwBhAHQAZQBnAG8AcgB5ADoAIAAgACAAIAAgAEcAcgBpAGQAIABBAG4AYQBsAHkAdABpAGMAcw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cAcgBvAHUAcABiAHkARABhAHQAZQC7Ay4AIABFAG4AcwB1AHIAZQBzACAAdABoAGEAdAAgAHIAbwB3AF8AZgBpAGUAbABkAHMAIABjAG8AbgB0AGEAaQBuACAAdgBhAGwAaQBkAFwAbgAgACAAIAAgAGQAYQB0AGUAcwAsACAAdABoAGEAdAAgAGkAbgB0AGUAcgB2AGEAbABzACAAYQByAGUAIAByAGUAYwBvAGcAbgBpAHoAZQBkACwAIAB0AGgAYQB0ACAAdgBhAGwAdQBlAHMAIABhAG4AZAAgAGYAaQBsAHQAZQByAHMAIABhAGwAaQBnAG4AIABpAG4AXABuACAAIAAgACAAcwBoAGEAcABlACwAIABhAG4AZAAgAHQAaABhAHQAIAB0AGgAZQAgAGEAZwBnAHIAZQBnAGEAdABpAG8AbgAgAGYAdQBuAGMAdABpAG8AbgAgAGkAcwAgAGMAYQBsAGwAYQBiAGwAZQAuAFwAbgBcAG4AUABhAHIAYQBtAGUAdABlAHIAcwA6AFwAbgAgACAAIAAgAHIAbwB3AF8AZgBpAGUAbABkAHMAIAAgACAAIAAgACAALQAgAEEAcgByAGEAeQAgAHcAaQB0AGgAIABkAGEAdABlAHMAIABpAG4AIAB0AGgAZQAgAGwAZQBmAHQAbQBvAHMAdAAgAGMAbwBsAHUAbQBuAC4AXABuACAAIAAgACAAdgBhAGwAdQBlAHMAIAAgACAAIAAgACAAIAAgACAAIAAtACAAQQByAHIAYQB5ACAAbwBmACAAdgBhAGwAdQBlAHMAIAB0AG8AIABhAGcAZwByAGUAZwBhAHQAZQAuAFwAbgAgACAAIAAgAGkAbgB0AGUAcgB2AGEAbAAgACAAIAAgACAAIAAgACAALQAgAEQAYQB0AGUALwB0AGkAbQBlACAAaQBuAHQAZQByAHYAYQBsACAAKABuAHUAbQBlAHIAaQBjACAAbwByACAAdABlAHgAdAApAC4AXABuACAAIAAgACAAZgB1AG4AYwB0AGkAbwBuACAAIAAgACAAIAAgACAAIAAtACAARQBUAEEAIABvAHIAIABzAGkAbgBnAGwAZQARIHAAYQByAGEAbQBlAHQAZQByACAATABBAE0AQgBEAEEALgBcAG4AIAAgACAAIABbAGYAaQBlAGwAZABfAGgAZQBhAGQAZQByAHMAXQAgAC0AIABUAFIAVQBFACAAaQBmACAAcgBvAHcAXwBmAGkAZQBsAGQAcwAvAHYAYQBsAHUAZQBzACAAaQBuAGMAbAB1AGQAZQAgAGgAZQBhAGQAZQByAHMALgBcAG4AIAAgACAAIABbAGYAaQBsAHQAZQByAF8AYQByAHIAYQB5AF0AIAAgAC0AIABCAG8AbwBsAGUAYQBuACAAZgBpAGwAdABlAHIAIABhAHIAcgBhAHkALgBcAG4AIAAgACAAIABbAE8AbgBfAFYAYQBsAGkAZABdACAAIAAgACAAIAAgAC0AIABFAHgAcAByAGUAcwBzAGkAbwBuACAAdABvACAAZQB2AGEAbAB1AGEAdABlACAAdwBoAGUAbgAgAGkAbgBwAHUAdABzACAAYQByAGUAIAB2AGEAbABpAGQALgBcAG4AXABuAE4AbwB0AGUAcwA6AFwAbgAgACAAIAAgACIgIABEAGUAdABlAGMAdABzACAAaQBuAHYAYQBsAGkAZAAgAGQAYQB0AGUAcwAsACAAbQBpAHMAcwBpAG4AZwAgAHQAaQBtAGUAIABjAG8AbQBwAG8AbgBlAG4AdABzACwAIABhAG4AZAAgAG0AYQBsAGYAbwByAG0AZQBkACAAaQBuAHQAZQByAHYAYQBsAHMALgBcAG4AIAAgACAAIAAiICAARQBuAHMAdQByAGUAcwAgAHIAbwB3AF8AZgBpAGUAbABkAHMALAAgAHYAYQBsAHUAZQBzACwAIABhAG4AZAAgAGYAaQBsAHQAZQByAF8AYQByAHIAYQB5ACAAaABhAHYAZQAgAG0AYQB0AGMAaABpAG4AZwAgAGgAZQBpAGcAaAB0AHMALgBcAG4AIAAgACAAIAAiICAARQBuAHMAdQByAGUAcwAgAGYAdQBuAGMAdABpAG8AbgAgAGkAcwAgAGMAYQBsAGwAYQBiAGwAZQAgAHYAaQBhACAAYQAgAHMAYQBmAGUAIABCAFkAUgBPAFcAIAB0AGUAcwB0AC4AXABuAC0ALQAtAC0ALQAtAC0ALQAtAC0ALQAtAC0ALQAtAC0ALQAtAC0ALQAtAC0ALQAtAC0ALQAtAC0ALQAtAC0ALQAtAC0ALQAtAC0ALQAtAC0ALQAtAC0ALQAtAC0ALQAtAC0ALQAtAC0ALQAtAC0ALQAtAC0ALQAtAC0ALQAtAC0ALQAtAC0ALQAtAC0ALQAtAC0ALQAtAC0ALQAtACoALwBcAG4AXABuAFYAYQBsAGkAZABhAHQAZQBHAEQAuwMgAD0AXABuAEwAQQBNAEIARABBACgAXABuACAAIAAgACAAcgBvAHcAXwBmAGkAZQBsAGQAcwAsAFwAbgAgACAAIAAgAHYAYQBsAHUAZQBzACwAXABuACAAIAAgACAAaQBuAHQAZQByAHYAYQBsACwAXABuACAAIAAgACAAZgB1AG4AYwB0AGkAbwBuACwAXABuACAAIAAgACAAWwBmAGkAZQBsAGQAXwBoAGUAYQBkAGUAcgBzAF0ALABcAG4AIAAgACAAIABbAGYAaQBsAHQAZQByAF8AYQByAHIAYQB5AF0ALABcAG4AIAAgACAAIABbAE8AbgBfAFYAYQBsAGkAZABdACwAXABuAEwARQBUACgAXABuACAAIAAgACAALwAvACAALQAtAC0AIABPAHAAdABpAG8AbgBhAGwAIABmAGwAYQBnAHMAIAAtAC0ALQBcAG4AIAAgACAAIABOAG8AXwBGAGkAZQBsAGQAXwBIAGUAYQBkAGUAcgBzAD8ALAAgACAAIAAgACAAIABJAFMATwBNAEkAVABUAEUARAAoAGYAaQBlAGwAZABfAGgAZQBhAGQAZQByAHMAKQAsAFwAbgAgACAAIAAgAEYAaQBsAHQAZQByAEkAbgBjAGwAdQBkAGUAZAA/ACwAIAAgACAAIAAgACAAIAAgAE4ATwBUACgASQBTAE8ATQBJAFQAVABFAEQAKABmAGkAbAB0AGUAcgBfAGEAcgByAGEAeQApACkALABcAG4AXABuACAAIAAgACAALwAvACAALQAtAC0AIABFAHgAdAByAGEAYwB0ACAAZABhAHQAZQAgAGEAbgBkACAAdgBhAGwAdQBlACAAYwBvAGwAdQBtAG4AcwAgAC0ALQAtAFwAbgAgACAAIAAgAEQAYQB0AGUAXwBjAG8AbAAsACAAIAAgACAAIAAgACAAIAAgACAAIAAgACAAIAAgAEkARgAoAE4AbwBfAEYAaQBlAGwAZABfAEgAZQBhAGQAZQByAHMAPwAsAFQAQQBLAEUAKAByAG8AdwBfAGYAaQBlAGwAZABzACwAIAAsACAAMQApACwAXABuACAAIAAgACAAIAAgACAAIAAgACAAIAAgACAAIAAgACAAIAAgACAAIAAgACAAIAAgACAAIAAgACAAIAAgACAAIABEAFIATwBQACgAVABBAEsARQAoAHIAbwB3AF8AZgBpAGUAbABkAHMALAAgACwAIAAxACkALAAgADEAKQApACwAXABuAFwAbgAgACAAIAAgAFYAYQBsAHUAZQBzAF8AYwBvAGwALAAgACAAIAAgACAAIAAgACAAIAAgACAAIAAgAEkARgAoAE4AbwBfAEYAaQBlAGwAZABfAEgAZQBhAGQAZQByAHMAPwAsAFQAQQBLAEUAKAB2AGEAbAB1AGUAcwAsACAALAAgADEAKQAsAFwAbgAgACAAIAAgACAAIAAgACAAIAAgACAAIAAgACAAIAAgACAAIAAgACAAIAAgACAAIAAgACAAIAAgACAAIAAgACAARABSAE8AUAAoAFQAQQBLAEUAKAB2AGEAbAB1AGUAcwAsACAALAAgADEAKQAsACAAMQApACkALABcAG4AXABuACAAIAAgACAALwAvACAALQAtAC0AIABGAGkAbAB0AGUAcgAgAGEAcgByAGEAeQAgAG4AbwByAG0AYQBsAGkAegBhAHQAaQBvAG4AIAAtAC0ALQBcAG4AIAAgACAAIABCAG8AbwBsACwAIAAgACAAIAAgACAAIAAgACAAIAAgACAAIAAgACAAIAAgACAAIABJAEYARQBSAFIATwBSACgASQBGACgATgBvAF8ARgBpAGUAbABkAF8ASABlAGEAZABlAHIAcwA/ACwAZgBpAGwAdABlAHIAXwBhAHIAcgBhAHkALABcAG4AIAAgACAAIAAgACAAIAAgACAAIAAgACAAIAAgACAAIAAgACAAIAAgACAAIAAgACAAIAAgACAAIAAgACAAIAAgACAAIAAgACAARABSAE8AUAAoAGYAaQBsAHQAZQByAF8AYQByAHIAYQB5ACwAIAAxACkAIAApACwAMAApACwAXABuAFwAbgAgACAAIAAgAC8ALwAgAC0ALQAtACAARABhAHQAZQAgAHYAYQBsAGkAZABpAHQAeQAgAGMAaABlAGMAawBzACAALQAtAC0AXABuACAAIAAgACAATgBvAF8ARABhAHQAZQBzAD8ALAAgACAAIAAgACAAIAAgACAAIAAgACAAIAAgACAATwBSACgARABhAHQAZQBfAGMAbwBsACAAPAAgADAALABEAGEAdABlAF8AYwBvAGwAIAA+ACAAMgA5ADUAOAA0ADYANQAsAE4ATwBUACgAQQBOAEQAKABJAFMATgBVAE0AQgBFAFIAKABEAGEAdABlAF8AYwBvAGwAKQApACkAKQAsAFwAbgBcAG4AIAAgACAAIABOAG8AXwBUAGkAbQBlAHMAPwAsACAAIAAgACAAIAAgACAAIAAgACAAIAAgACAAIABBAE4ARAAoAEQAYQB0AGUAXwBjAG8AbAAgAC0AIABJAE4AVAAoAEQAYQB0AGUAXwBjAG8AbAApACAAPQAgADAAKQAsAFwAbgBcAG4AIAAgACAAIAAvAC8AIAAtAC0ALQAgAEQAaQBtAGUAbgBzAGkAbwBuACAAYwBoAGUAYwBrAHMAIAAtAC0ALQBcAG4AIAAgACAAIABpAF8AZAAsACAAIAAgACAAIAAgACAAIAAgACAAIAAgACAAIAAgACAAIAAgACAAIABSAE8AVwBTACgARABhAHQAZQBfAGMAbwBsACkALABcAG4AIAAgACAAIABpAF8AdgAsACAAIAAgACAAIAAgACAAIAAgACAAIAAgACAAIAAgACAAIAAgACAAIABSAE8AVwBTACgAVgBhAGwAdQBlAHMAXwBjAG8AbAApACwAXABuACAAIAAgACAAaQBfAGYALAAgACAAIAAgACAAIAAgACAAIAAgACAAIAAgACAAIAAgACAAIAAgACAASQBGACgARgBpAGwAdABlAHIASQBuAGMAbAB1AGQAZQBkAD8ALAAgAFIATwBXAFMAKABCAG8AbwBsACkALAAgADAAKQAsAFwAbgBcAG4AIAAgACAAIAAvAC8AIAAtAC0ALQAgAEkAbgB0AGUAcgB2AGEAbAAgAHYAYQBsAGkAZABhAHQAaQBvAG4AIAAtAC0ALQBcAG4AIAAgACAAIABDAG8AbgBzAHQALAAgACAAIAAgACAAIAAgACAAIAAgACAAIAAgACAAIAAgACAAIAB7AFwAIgBtAGkAbgB1AHQAZQBcACIAOwBcACIAaABvAHUAcgBcACIAOwBcACIAZABhAHkAXAAiADsAXAAiAHcAZQBlAGsAXAAiADsAXABuACAAIAAgACAAIAAgACAAIAAgACAAIAAgACAAIAAgACAAIAAgACAAIAAgACAAIAAgACAAIAAgACAAIABcACIAZgBvAHIAdABuAGkAZwBoAHQAXAAiADsAXAAiAG0AbwBuAHQAaABcACIAOwBcACIAcQB1AGEAcgB0AGUAcgBcACIAOwBcACIAeQBlAGEAcgBcACIAfQAsAFwAbgBcAG4AIAAgACAAIABUAGUAeAB0AEkAbgB0AGUAcgB2AGEAbAA/ACwAIAAgACAAIAAgACAAIAAgACAAIABJAFMAVABFAFgAVAAoAGkAbgB0AGUAcgB2AGEAbAApACwAXABuACAAIAAgACAATgB1AG0AZQByAGkAYwBJAG4AdABlAHIAdgBhAGwAPwAsACAAIAAgACAAIAAgACAASQBTAE4AVQBNAEIARQBSACgAaQBuAHQAZQByAHYAYQBsACkALABcAG4AXABuACAAIAAgACAASQBuAHYAYQBsAGkAZABJAG4AdABlAHIAdgBhAGwAPwAsACAAIAAgACAAIAAgACAASQBGACgAQQBOAEQAKABOAHUAbQBlAHIAaQBjAEkAbgB0AGUAcgB2AGEAbAA/ACwAIABPAFIAKABpAG4AdABlAHIAdgBhAGwAIAA8ACAAMQAsACAAaQBuAHQAZQByAHYAYQBsACAAPgAgADgAKQApACwAVABSAFUARQAsAFwAbgAgACAAIAAgACAAIAAgACAAIAAgACAAIAAgACAAIAAgACAAIAAgACAAIAAgACAAIAAgACAAIAAgACAAIAAgACAASQBGACgAQQBOAEQAKABUAGUAeAB0AEkAbgB0AGUAcgB2AGEAbAA/ACwAIABJAFMATgBBACgAWABNAEEAVABDAEgAKABpAG4AdABlAHIAdgBhAGwAIAAmACAAXAAiACoAXAAiACwAIABDAG8AbgBzAHQALAAgADIAKQApACkALABUAFIAVQBFACwAXABuACAAIAAgACAAIAAgACAAIAAgACAAIAAgACAAIAAgACAAIAAgACAAIAAgACAAIAAgACAAIAAgACAAIAAgACAAIAAgACAAIAAgAEYAQQBMAFMARQApACkALABcAG4AXABuACAAIAAgACAASQBzAFQAaQBtAGUAPwAsACAAIAAgACAAIAAgACAAIAAgACAAIAAgACAAIAAgACAAaQBuAHQAZQByAHYAYQBsACAAPAAgADMALABcAG4AXABuACAAIAAgACAALwAvACAALQAtAC0AIABIAGEAbAB0AGkAbgBnACAAYwBvAG4AZABpAHQAaQBvAG4AcwAgAC0ALQAtAFwAbgAgACAAIAAgAEUAbQBwAHQAeQBJAG4AcAB1AHQAcwA/ACwAIAAgACAAIAAgACAAIAAgACAAIAAgAE8AUgAoAEkAUwBPAE0ASQBUAFQARQBEACgAcgBvAHcAXwBmAGkAZQBsAGQAcwApACwAIABJAFMATwBNAEkAVABUAEUARAAoAHYAYQBsAHUAZQBzACkAKQAsAFwAbgBcAG4AIAAgACAAIABIAGEAbAB0AEQAYQB0AGUAcwA/ACwAIAAgACAAIAAgACAAIAAgACAAIAAgACAAIABBAE4ARAAoAGkAbgB0AGUAcgB2AGEAbAAgAD4AIAAyACwAIABOAG8AXwBEAGEAdABlAHMAPwApACwAXABuACAAIAAgACAASABhAGwAdABUAGkAbQBlAD8ALAAgACAAIAAgACAAIAAgACAAIAAgACAAIAAgACAAQQBOAEQAKABJAHMAVABpAG0AZQA/ACwAIABOAG8AXwBUAGkAbQBlAHMAPwApACwAXABuAFwAbgAgACAAIAAgAFMAaABhAHAAZQBNAGkAcwBtAGEAdABjAGgAPwAsACAAIAAgACAAIAAgACAAIAAgAE8AUgAoAGkAXwBkACAAPAA+ACAAaQBfAHYALABBAE4ARAAoAEYAaQBsAHQAZQByAEkAbgBjAGwAdQBkAGUAZAA/ACwAIABpAF8AZAAgADwAPgAgAGkAXwBmACkAKQAsAFwAbgBcAG4AIAAgACAAIABJAG4AdgBhAGwAaQBkAEYAbgA/ACwAIAAgACAAIAAgACAAIAAgACAAIAAgACAAIABUAFkAUABFACgAZgB1AG4AYwB0AGkAbwBuACkAIAA8AD4AIAAxADIAOAAsAFwAbgBcAG4AIAAgACAAIABFAG0AcAB0AHkARgBpAGwAdABlAHIAPwAsACAAIAAgACAAIAAgACAAIAAgACAAIABBAE4ARAAoAEYAaQBsAHQAZQByAEkAbgBjAGwAdQBkAGUAZAA/ACwAIABOAE8AVAAoAE8AUgAoAEIAbwBvAGwAKQApACkALABcAG4AXABuACAAIAAgACAALwAvACAAQwBvAGwAbABlAGMAdAAgAGEAbABsACAAYwBvAG4AZABpAHQAaQBvAG4AcwBcAG4AIAAgACAAIABjAG8AbgBkAGkAdABpAG8AbgBzACwAIAAgACAAIAAgACAAIAAgACAAIAAgACAAIABWAFMAVABBAEMASwAoAEUAbQBwAHQAeQBJAG4AcAB1AHQAcwA/ACwASABhAGwAdABEAGEAdABlAHMAPwAsAEgAYQBsAHQAVABpAG0AZQA/ACwAXABuACAAIAAgACAAIAAgACAAIAAgACAAIAAgACAAIAAgACAAIAAgACAAIAAgACAAIAAgACAAIAAgACAAIAAgACAAIAAgACAAIABTAGgAYQBwAGUATQBpAHMAbQBhAHQAYwBoAD8ALABJAG4AdgBhAGwAaQBkAEkAbgB0AGUAcgB2AGEAbAA/ACwASQBuAHYAYQBsAGkAZABGAG4APwAsAEUAbQBwAHQAeQBGAGkAbAB0AGUAcgA/ACkALABcAG4AXABuACAAIAAgACAAaABhAGwAdAAsACAAIAAgACAAIAAgACAAIAAgACAAIAAgACAAIAAgACAAIAAgACAATwBSACgAYwBvAG4AZABpAHQAaQBvAG4AcwApACwAXABuAFwAbgAgACAAIAAgAC8ALwAgAEUAcgByAG8AcgAgAG0AZQBzAHMAYQBnAGUAcwAgACgAYQBsAGkAZwBuAGUAZAAgAHcAaQB0AGgAIABHAHIAbwB1AHAAYgB5AEQAYQB0AGUAuwMpAFwAbgAgACAAIAAgAGUAcgByAG8AcgBzACwAIAAgACAAIAAgACAAIAAgACAAIAAgACAAIAAgACAAIAAgAHsAXAAiACMARQBNAFAAVABZAC0ASQBOAFAAVQBUACEAXAAiADsAXABuACAAIAAgACAAIAAgACAAIAAgACAAIAAgACAAIAAgACAAIAAgACAAIAAgACAAIAAgACAAIAAgACAAIABcACIAIwBOAE8ALQBEAEEAVABFAFMAIQBcACIAOwBcAG4AIAAgACAAIAAgACAAIAAgACAAIAAgACAAIAAgACAAIAAgACAAIAAgACAAIAAgACAAIAAgACAAIAAgAFwAIgAjAE4ATwAtAFQASQBNAEUAUwAhAFwAIgA7AFwAbgAgACAAIAAgACAAIAAgACAAIAAgACAAIAAgACAAIAAgACAAIAAgACAAIAAgACAAIAAgACAAIAAgACAAXAAiACMARABJAE0ARQBOAFMASQBPAE4AUwAhAFwAIgA7AFwAbgAgACAAIAAgACAAIAAgACAAIAAgACAAIAAgACAAIAAgACAAIAAgACAAIAAgACAAIAAgACAAIAAgACAAXAAiACMASQBOAFQARQBSAFYAQQBMACEAXAAiADsAXABuACAAIAAgACAAIAAgACAAIAAgACAAIAAgACAAIAAgACAAIAAgACAAIAAgACAAIAAgACAAIAAgACAAIABcACIAIwBJAE4AVgBBAEwASQBEAC0ARgBVAE4AQwBUAEkATwBOACEAXAAiADsAXABuACAAIAAgACAAIAAgACAAIAAgACAAIAAgACAAIAAgACAAIAAgACAAIAAgACAAIAAgACAAIAAgACAAIABcACIAIwBFAE0AUABUAFkALQBGAEkATABUAEUAUgAhAFwAIgB9ACwAXABuAFwAbgAgACAAIAAgAGEAbABlAHIAdAAsACAAIAAgACAAIAAgACAAIAAgACAAIAAgACAAIAAgACAAIAAgAEYASQBMAFQARQBSACgAZQByAHIAbwByAHMALAAgAGMAbwBuAGQAaQB0AGkAbwBuAHMALAAgAFwAIgBcACIAKQAsAFwAbgBcAG4AIAAgACAAIAAvAC8AIAAtAC0ALQAgAEwAbwBnAGkAYwAgAGcAYQB0AGUAIAAtAC0ALQBcAG4AIAAgACAAIABJAEYAKABoAGEAbAB0ACwAIABhAGwAZQByAHQALAAgAE8AbgBfAFYAYQBsAGkAZAApAFwAbgApACkAOwBcAG4AXABuAFwAbgBcAG4ALwAqACAAWwBHAFIAMAA5AF0AIAAtAC0ALQAtAC0ALQAtAC0ALQAtAC0ALQAtAC0ALQAtAC0ALQAtAC0ALQAtAC0ALQAtAC0ALQAtAC0ALQAtAC0ALQAtAC0ALQAtAC0ALQAtAC0ALQAtAC0ALQAtAC0ALQAtAC0ALQAtAC0ALQAtAC0ALQAtAC0ALQAtAC0ALQAtAC0ALQAtAC0ALQAtAC0ALQAtAFwAbgBGAHUAbgBjAHQAaQBvAG4AOgAgACAAIAAgACAAUABpAHYAbwB0AGIAeQBDAGEAd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MAdAByAGUAYQBrALsDLAAgAFIAZQBwAGUAYQB0AFIAbwB3AHMAuwNcAG4AXABuAEQAZQBzAGMAcgBpAHAAdABpAG8AbgA6AFwAbgAgACAAIAAgAFAAaQB2AG8AdABzACAAZABhAHQAYQAgAGIAeQAgAHIAbwB3ACAAZgBpAGUAbABkAHMAIAAoAGQAZQB0AGEAaQBsACAAKwAgAGQAYQB0AGUAKQAsACAAYwBhAHQAZQBnAG8AcgBpAGUAcwAsACAAYQBuAGQAIAB2AGEAbAB1AGUAcwAuAFwAbgAgACAAIAAgAEMAYQB0AGUAZwBvAHIAaQBlAHMAIABhAHIAZQAgAGEAcwBzAHUAbQBlAGQAIAB0AG8AIABiAGUAIABwAHIAZQARIGMAbwBuAGMAYQB0AGUAbgBhAHQAZQBkACAAdQBzAGkAbgBnACAAYQAgAGQAZQBsAGkAbQBpAHQAZQByAC4AXABuACAAIAAgACAAUwB1AHAAcABvAHIAdABzACAAbwBwAHQAaQBvAG4AYQBsACAAYQBnAGcAcgBlAGcAYQB0AGkAbwBuACAAZgB1AG4AYwB0AGkAbwBuACAAYQBuAGQAIABkAGEAdABlACAAZgBvAHIAbQBhAHQAdABpAG4AZwAuAFwAbgBcAG4AUABhAHIAYQBtAGUAdABlAHIAcwA6AFwAbgAgACAAIAAgAHIAbwB3AF8AZABlAHQAYQBpAGwAIAAgACAAIAAgACAALQAgADEARAAgAGEAcgByAGEAeQAgAG8AZgAgAG4AbwBuABEgZABhAHQAZQAgAHIAbwB3ACAAZgBpAGUAbABkAHMALgBcAG4AIAAgACAAIAByAG8AdwBfAGQAYQB0AGUAcwAgACAAIAAgACAAIAAgAC0AIAAxAEQAIABhAHIAcgBhAHkAIABvAGYAIABkAGEAdABlAHMALgBcAG4AIAAgACAAIABjAGEAdABlAGcAbwByAGkAZQBzACAAIAAgACAAIAAgAC0AIAAxAEQAIABhAHIAcgBhAHkAIABvAGYAIABkAGUAbABpAG0AaQB0AGUAZAAgAGMAYQB0AGUAZwBvAHIAeQAgAHMAdAByAGkAbgBnAHMALgBcAG4AIAAgACAAIAB2AGEAbAB1AGUAcwAgACAAIAAgACAAIAAgACAAIAAgAC0AIAAxAEQAIABhAHIAcgBhAHkAIABvAGYAIABuAHUAbQBlAHIAaQBjACAAdgBhAGwAdQBlAHMALgBcAG4AIAAgACAAIABkAGUAbABpAG0AaQB0AGUAcgAgACAAIAAgACAAIAAgAC0AIABEAGUAbABpAG0AaQB0AGUAcgAgAHUAcwBlAGQAIABpAG4AIAB0AGgAZQAgAGMAYQB0AGUAZwBvAHIAaQBlAHMAIABhAHIAcgBhAHkALgBcAG4AXABuAE8AcAB0AGkAbwBuAGEAbAA6AFwAbgAgACAAIAAgAFsAZABhAHQAZQBfAGYAbwByAG0AYQB0AF0AIAAgACAALQAgAEYAbwByAG0AYQB0ACAAYwBvAGQAZQAgAGYAbwByACAAZABhAHQAZQBzACAAKABkAGUAZgBhAHUAbAB0ACAAXAAiAHkAeQB5AFwAIgApAC4AXABuACAAIAAgACAAWwBmAHUAbgBjAHQAaQBvAG4AXQAgACAAIAAgACAAIAAtACAARQBUAEEAIABvAHIAIABMAEEATQBCAEQAQQAgAGEAZwBnAHIAZQBnAGEAdABpAG8AbgAgAGYAdQBuAGMAdABpAG8AbgAgACgAZABlAGYAYQB1AGwAdAAgAFMAVQBNACkALgBcAG4AXABuAE4AbwB0AGUAcwA6AFwAbgAgACAAIAAgACIgIABDAGEAdABlAGcAbwByAGkAZQBzACAAYQByAGUAIABzAHAAbABpAHQAIABpAG4AdABvACAAbQB1AGwAdABpAHAAbABlACAAcgBvAHcAcwAgAHUAcwBpAG4AZwAgAFIAZQBwAGUAYQB0AFIAbwB3AHMAuwMuAFwAbgAgACAAIAAgACIgIABEAGEAdABlAHMAIABhAHIAZQAgAGYAbwByAG0AYQB0AHQAZQBkACAAYQBuAGQAIABzAG8AcgB0AGUAZAAgAHUAcwBpAG4AZwAgAGEAIABuAHUAbQBlAHIAaQBjACAAcwBvAHIAdAAgAGsAZQB5AC4AXABuACAAIAAgACAAIiAgAFYAYQBsAHUAZQBzACAAYQByAGUAIABhAHAAcABvAHIAdABpAG8AbgBlAGQAIABhAGMAcgBvAHMAcwAgAHIAZQBwAGUAYQB0AGUAZAAgAGMAYQB0AGUAZwBvAHIAeQAgAHIAbwB3AHMALgBcAG4ALQAtAC0ALQAtAC0ALQAtAC0ALQAtAC0ALQAtAC0ALQAtAC0ALQAtAC0ALQAtAC0ALQAtAC0ALQAtAC0ALQAtAC0ALQAtAC0ALQAtAC0ALQAtAC0ALQAtAC0ALQAtAC0ALQAtAC0ALQAtAC0ALQAtAC0ALQAtAC0ALQAtAC0ALQAtAC0ALQAtAC0ALQAtAC0ALQAtAC0ALQAtAC0AKgAvAFwAbgBcAG4AUABpAHYAbwB0AGIAeQBDAGEAdAC7AyAAPQBcAG4ATABBAE0AQgBEAEEAKABcAG4AIAAgACAAIAByAG8AdwBfAGQAZQB0AGEAaQBsACwAXABuACAAIAAgACAAcgBvAHcAXwBkAGEAdABlAHMALABcAG4AIAAgACAAIABjAGEAdABlAGcAbwByAGkAZQBzACwAXABuACAAIAAgACAAdgBhAGwAdQBlAHMALABcAG4AIAAgACAAIABkAGUAbABpAG0AaQB0AGUAcgAsAFwAbgAgACAAIAAgAFsAZABhAHQAZQBfAGYAbwByAG0AYQB0AF0ALABcAG4AIAAgACAAIABbAGYAdQBuAGMAdABpAG8AbgBdACwAXABuAFwAbgBMAEUAVAAoAFwAbgAgACAAIAAgAC8ALwAgAC0ALQAtACAARABpAG0AZQBuAHMAaQBvAG4AcwAgAC0ALQAtAFwAbgAgACAAIAAgAHIAgSAsACAAIAAgACAAIAAgACAAIAAgACAAIAAgACAAIAAgACAAIABSAE8AVwBTACgAcgBvAHcAXwBkAGUAdABhAGkAbAApACwAXABuACAAIAAgACAAcgCCICwAIAAgACAAIAAgACAAIAAgACAAIAAgACAAIAAgACAAIAAgAFIATwBXAFMAKAByAG8AdwBfAGQAYQB0AGUAcwApACwAXABuACAAIAAgACAAcgCDICwAIAAgACAAIAAgACAAIAAgACAAIAAgACAAIAAgACAAIAAgAFIATwBXAFMAKABjAGEAdABlAGcAbwByAGkAZQBzACkALABcAG4AIAAgACAAIAByAIQgLAAgACAAIAAgACAAIAAgACAAIAAgACAAIAAgACAAIAAgACAAUgBPAFcAUwAoAHYAYQBsAHUAZQBzACkALABcAG4AXABuACAAIAAgACAALwAvACAALQAtAC0AIABIAGEAbAB0AGkAbgBnACAAYwBvAG4AZABpAHQAaQBvAG4AcwAgAC0ALQAtAFwAbgAgACAAIAAgAFMAaABhAHAAZQBNAGkAcwBtAGEAdABjAGgALAAgACAAIAAgACAAIABPAFIAKAByAIEgIAA8AD4AIAByAIIgLAAgAHIAgSAgADwAPgAgAHIAgyAsACAAcgCBICAAPAA+ACAAcgCEICkALABcAG4AXABuACAAIAAgACAAZABhAHQAZQBfAGYAbwByAG0AYQB0ACwAIAAgACAAIAAgACAAIAAgAEkARgAoAEkAUwBPAE0ASQBUAFQARQBEACgAZABhAHQAZQBfAGYAbwByAG0AYQB0ACkALAAgAFwAIgB5AHkAeQBcACIALAAgAGQAYQB0AGUAXwBmAG8AcgBtAGEAdAApACwAXABuAFwAbgAgACAAIAAgAEkAbgB2AGEAbABpAGQARABhAHQAZQBzACwAIAAgACAAIAAgACAAIABPAFIAKABBAE4ARAAoAEkAUwBFAFIAUgBPAFIAKABEAEEAVABFAFYAQQBMAFUARQAoAFQARQBYAFQAKAByAG8AdwBfAGQAYQB0AGUAcwAsACAAZABhAHQAZQBfAGYAbwByAG0AYQB0ACkAKQApACwAXABuACAAIAAgACAAIAAgACAAIAAgACAAIAAgACAAIAAgACAAIAAgACAAIAAgACAAIAAgACAAIAAgACAAIAAgACAASQBTAEUAUgBSAE8AUgAoAFYAQQBMAFUARQAoAFQARQBYAFQAKAByAG8AdwBfAGQAYQB0AGUAcwAsACAAZABhAHQAZQBfAGYAbwByAG0AYQB0ACkAKQApACkALABcAG4AIAAgACAAIAAgACAAIAAgACAAIAAgACAAIAAgACAAIAAgACAAIAAgACAAIAAgACAAIAAgACAATgBPAFQAKABBAE4ARAAoAEkAUwBOAFUATQBCAEUAUgAoAHIAbwB3AF8AZABhAHQAZQBzACkAKQApACkALABcAG4AXABuACAAIAAgACAASQBuAHYAYQBsAGkAZABGAG4ALAAgACAAIAAgACAAIAAgACAAIAAgAFQAWQBQAEUAKABmAHUAbgBjAHQAaQBvAG4AKQAgADwAPgAgADEAMgA4ACwAXABuAFwAbgAgACAAIAAgAHMAYwBlAG4AYQByAGkAbwBzACwAIAAgACAAIAAgACAAIAAgACAAIABWAFMAVABBAEMASwAoAFMAaABhAHAAZQBNAGkAcwBtAGEAdABjAGgALAAgAEkAbgB2AGEAbABpAGQARABhAHQAZQBzACwAIABJAG4AdgBhAGwAaQBkAEYAbgApACwAXABuAFwAbgAgACAAIAAgAGUAcgByAG8AcgBzACwAIAAgACAAIAAgACAAIAAgACAAIAAgACAAIAB7AFwAIgAjAEQASQBNAEUATgBTAEkATwBOAFMAIQBcACIAOwBcAG4AIAAgACAAIAAgACAAIAAgACAAIAAgACAAIAAgACAAIAAgACAAIAAgACAAIAAgACAAIABcACIAIwBEAEEAVABFAFMAIQBcACIAOwBcAG4AIAAgACAAIAAgACAAIAAgACAAIAAgACAAIAAgACAAIAAgACAAIAAgACAAIAAgACAAIABcACIAIwBJAE4AVgBBAEwASQBEAC0ARgBVAE4AQwBUAEkATwBOACEAXAAiAH0ALABcAG4AXABuACAAIAAgACAALwAvACAALQAtAC0AIABMAG8AZwBpAGMAIABnAGEAdABlACAALQAtAC0AXABuACAAIAAgACAARgBJAEwAVABFAFIAKABlAHIAcgBvAHIAcwAsACAAcwBjAGUAbgBhAHIAaQBvAHMALABcAG4AXABuAEwARQBUACgAXABuACAAIAAgACAALwAvACAALQAtAC0AIABPAHAAdABpAG8AbgBhAGwAIABwAGEAcgBhAG0AZQB0AGUAcgAgAC0ALQAtAFwAbgAgACAAIAAgAGYAbgC7AywAIAAgACAAIAAgACAAIAAgACAAIAAgACAAIAAgACAAIABJAEYAKABJAFMATwBNAEkAVABUAEUARAAoAGYAdQBuAGMAdABpAG8AbgApACwAIABTAFUATQAsACAAZgB1AG4AYwB0AGkAbwBuACkALABcAG4AXABuAFwAbgAgACAAIAAgAC8ALwAgAC0ALQAtACAATABvAGMAYQBsACAAaABlAGwAcABlAHIAcwAgAC0ALQAtAFwAbgAgACAAIAAgAEMAbwB1AG4AdABDAGEAdAC7AywAIAAgACAAIAAgACAAIAAgACAAIABMAEEATQBCAEQAQQAoAHIAbwB3ACwAXABuACAAIAAgACAAIAAgACAAIAAgACAAIAAgACAAIAAgACAAIAAgACAAIAAgACAAIAAgACAAIAAgACAAQwBPAFUATgBUAEEAKABUAEUAWABUAFMAUABMAEkAVAAoAHIAbwB3ACwAIABkAGUAbABpAG0AaQB0AGUAcgApACkAKQAsAFwAbgBcAG4AIAAgACAAIABQAGEAcgBzAGUAuwMsACAAIAAgACAAIAAgACAAIAAgACAAIAAgACAATABBAE0AQgBEAEEAKABhAHIAcgBhAHkALAAgAGkAbgBzAHQAYQBuAGMAZQAsAFwAbgAgACAAIAAgACAAIAAgACAAIAAgACAAIAAgACAAIAAgACAAIAAgACAAIAAgACAAIAAgACAAIAAgAFQARQBYAFQAQgBFAEYATwBSAEUAKABUAEUAWABUAEEARgBUAEUAUgAoAGQAZQBsAGkAbQBpAHQAZQByACAAJgAgAGEAcgByAGEAeQAgACYAIABkAGUAbABpAG0AaQB0AGUAcgAsAFwAbgAgACAAIAAgACAAIAAgACAAIAAgACAAIAAgACAAIAAgACAAIAAgACAAIAAgACAAIAAgACAAIAAgACAAIAAgACAAIAAgACAAIAAgACAAIAAgACAAIAAgACAAIAAgACAAIAAgAGQAZQBsAGkAbQBpAHQAZQByACwAaQBuAHMAdABhAG4AYwBlACwALAAsAGEAcgByAGEAeQApACwAXABuACAAIAAgACAAIAAgACAAIAAgACAAIAAgACAAIAAgACAAIAAgACAAIAAgACAAIAAgACAAIAAgACAAIAAgACAAIAAgACAAIAAgACAAIABkAGUAbABpAG0AaQB0AGUAcgAsACwALAAsAFwAbgAgACAAIAAgACAAIAAgACAAIAAgACAAIAAgACAAIAAgACAAIAAgACAAIAAgACAAIAAgACAAIAAgACAAIAAgACAAIAAgACAAIAAgACAAYwBhAHQAZQBnAG8AcgBpAGUAcwApACkALABcAG4AXABuACAAIAAgACAALwAvACAALQAtAC0AIABDAGEAdABlAGcAbwByAHkAIABlAHgAcABhAG4AcwBpAG8AbgAgAC0ALQAtAFwAbgAgACAAIAAgAGsALAAgACAAIAAgACAAIAAgACAAIAAgACAAIAAgACAAIAAgACAAIABCAFkAUgBPAFcAKABjAGEAdABlAGcAbwByAGkAZQBzACwAIABDAG8AdQBuAHQAQwBhAHQAuwMpACwAXABuAFwAbgAgACAAIAAgAGkALAAgACAAIAAgACAAIAAgACAAIAAgACAAIAAgACAAIAAgACAAIABSAGUAcABlAGEAdABSAG8AdwBzALsDKABTAEUAUQBVAEUATgBDAEUAKAByAIEgKQAsACAAawApACwAXABuACAAIAAgACAAagAsACAAIAAgACAAIAAgACAAIAAgACAAIAAgACAAIAAgACAAIAAgAFMAdAByAGUAYQBrALsDKABpACkALABcAG4AXABuACAAIAAgACAALwAvACAALQAtAC0AIABSAG8AdwAgAGYAaQBlAGwAZABzACAALQAtAC0AXABuACAAIAAgACAAYQAsACAAIAAgACAAIAAgACAAIAAgACAAIAAgACAAIAAgACAAIAAgAFIAZQBwAGUAYQB0AFIAbwB3AHMAuwMoAHIAbwB3AF8AZABlAHQAYQBpAGwALAAgAGsAKQAsAFwAbgAgACAAIAAgAGQAZQB0AGEAaQBsACwAIAAgACAAIAAgACAAIAAgACAAIAAgACAAIABJAEYAKABhACAAPQAgADAALAAgAFwAIgBVAG4AawBuAG8AdwBuAFwAIgAsACAAYQApACwAXABuAFwAbgAgACAAIAAgAGQAYQB0AGUAcwAsACAAIAAgACAAIAAgACAAIAAgACAAIAAgACAAIABSAGUAcABlAGEAdABSAG8AdwBzALsDKABUAEUAWABUACgAcgBvAHcAXwBkAGEAdABlAHMALAAgAGQAYQB0AGUAXwBmAG8AcgBtAGEAdAApACwAIABrACkALABcAG4AIAAgACAAIABzAG8AcgB0AF8AawBlAHkALAAgACAAIAAgACAAIAAgACAAIAAgACAASQBGAEUAUgBSAE8AUgAoAEQAQQBUAEUAVgBBAEwAVQBFACgAZABhAHQAZQBzACkALAAgAFYAQQBMAFUARQAoAGQAYQB0AGUAcwApACkALABcAG4AXABuACAAIAAgACAAcgBvAHcAXwBmAGkAZQBsAGQAcwAsACAAIAAgACAAIAAgACAAIAAgAEgAUwBUAEEAQwBLACgAcwBvAHIAdABfAGsAZQB5ACwAIABkAGUAdABhAGkAbAAsACAAZABhAHQAZQBzACkALABcAG4AXABuACAAIAAgACAALwAvACAALQAtAC0AIABDAG8AbAB1AG0AbgAgAGYAaQBlAGwAZABzACAALQAtAC0AXABuACAAIAAgACAAdQBuAHAAYQBjAGsALAAgACAAIAAgACAAIAAgACAAIAAgACAAIAAgAFIAZQBwAGUAYQB0AFIAbwB3AHMAuwMoAGMAYQB0AGUAZwBvAHIAaQBlAHMALAAgAGsAKQAsAFwAbgAgACAAIAAgAGMAYQB0AGUAZwBvAHIAaQBlAHMALAAgACAAIAAgACAAIAAgACAAIABQAGEAcgBzAGUAuwMoAHUAbgBwAGEAYwBrACwAIABqACkALABcAG4AXABuACAAIAAgACAALwAvACAALQAtAC0AIABWAGEAbAB1AGUAcwAgACgAYQBwAHAAbwByAHQAaQBvAG4AZQBkACkAIAAtAC0ALQBcAG4AIAAgACAAIAB2AGEAbAB1AGUAcwAsACAAIAAgACAAIAAgACAAIAAgACAAIAAgACAAUgBlAHAAZQBhAHQAUgBvAHcAcwC7AygAdgBhAGwAdQBlAHMAIAAvACAAawAsACAAawApACwAXABuAFwAbgAgACAAIAAgAC8ALwAgAC0ALQAtACAAQQBnAGcAcgBlAGcAYQB0AGkAbwBuACAALQAtAC0AXABuACAAIAAgACAAYQBnAGcALAAgACAAIAAgACAAIAAgACAAIAAgACAAIAAgACAAIAAgAEQAUgBPAFAAKABQAEkAVgBPAFQAQgBZACgAcgBvAHcAXwBmAGkAZQBsAGQAcwAsAGMAYQB0AGUAZwBvAHIAaQBlAHMALAB2AGEAbAB1AGUAcwAsAGYAbgC7AywALAAwACwALAAwACkALAAsADEAKQAsAFwAbgBcAG4AIAAgACAAIABhAGcAZwBcAG4AKQApACkAKQA7AFwAbgBcAG4AXABuAC8AKgAgACAAWwBHAFIAMQA4AF0AIAAtAC0ALQAtAC0ALQAtAC0ALQAtAC0ALQAtAC0ALQAtAC0ALQAtAC0ALQAtAC0ALQAtAC0ALQAtAC0ALQAtAC0ALQAtAC0ALQAtAC0ALQAtAC0ALQAtAC0ALQAtAC0ALQAtAC0ALQAtAC0ALQAtAC0ALQAtAC0ALQAtAC0ALQAtAC0ALQAtAC0ALQAtAC0ALQAtAFwAbgBGAHUAbgBjAHQAaQBvAG4AOgAgACAAIAAgACAAIAAgACAARwByAG8AdQBwAEkAbgBkAGUAeAC7A1wAbgBDAGEAdABlAGcAbwByAHkAOgAgACAAIAAgACAAIAAgACAARwByAGkAZAAgAEEAbgBhAGwAeQB0AGkAYwBzACAAKABDAGEAdABlAGcAbwByAGkAYwBhAGwAIABBAG4AYQBsAHkAcwBpAHMAKQBcAG4AQQB1AHQAaABvAHIAOgAgACAAIAAgACAAIAAgACAAIAAgAFAAYQB0AHIAaQBjAGsAIABIAC4AXABuAFYAZQByAHMAaQBvAG4AOgAgACAAIAAgACAAIAAgACAAIAAxAC4AMQBcAG4AXABuAEQAZQBzAGMAcgBpAHAAdABpAG8AbgA6AFwAbgAgACAAIAAgAEEAcwBzAGkAZwBuACAAbgB1AG0AZQByAGkAYwBhAGwAIABnAHIAbwB1AHAAIABpAG4AZABpAGMAZQBzACAAdABvACAAYQAgADEARAAgAGEAcgByAGEAeQAgACgAaABvAHIAaQB6AG8AbgB0AGEAbAAgAG8AcgAgAHYAZQByAHQAaQBjAGEAbAApAC4AXABuACAAIAAgACAAMgBEACAAYQByAHIAYQB5AHMAIABhAHIAZQAgAGYAbABhAHQAdABlAG4AZQBkACAAdgBlAHIAdABpAGMAYQBsAGwAeQAgAGIAZQBmAG8AcgBlACAAaQBuAGQAaQBjAGUAcwAgAGEAcgBlACAAYQBzAHMAaQBnAG4AZQBkAC4AXABuAFwAbgBQAGEAcgBhAG0AZQB0AGUAcgBzADoAXABuACAAIAAgACAAdgBlAGMAdABvAHIAIAAgACAAIAAgACAAIAAgACAALQAgACAAIAAxAEQAIABhAHIAcgBhAHkAIABjAG8AbgB0AGEAaQBuAGkAbgBnACAAdgBhAGwAdQBlAHMAIAB0AG8AIABiAGUAIABwAGwAYQBjAGUAZAAgAGkAbgAgAG4AdQBtAGUAcgBpAGMAYQBsACAAZwByAG8AdQBwAHMAXABuACAAIAAgACAAWwBIAG8AcgBpAHoAbwBuAHQAYQBsAD8AXQAgACAALQAgACAAIABUAFIAVQBFACAAPQAgAGgAbwByAGkAegBvAG4AdABhAGwAIABvAHUAdABwAHUAdAA7ACAAbwBtAGkAdAB0AGUAZAAgAD0AIAB2AGUAcgB0AGkAYwBhAGwAXABuAC0ALQAtAC0ALQAtAC0ALQAtAC0ALQAtAC0ALQAtAC0ALQAtAC0ALQAtAC0ALQAtAC0ALQAtAC0ALQAtAC0ALQAtAC0ALQAtAC0ALQAtAC0ALQAtAC0ALQAtAC0ALQAtAC0ALQAtAC0ALQAtAC0ALQAtAC0ALQAtAC0ALQAtAC0ALQAtAC0ALQAtAC0ALQAtAC0AIAAqAC8AXABuAEcAcgBvAHUAcABJAG4AZABlAHgAuwMgAD0AXABuAEwAQQBNAEIARABBACgAXABuACAAIAAgACAAdgBlAGMAdABvAHIALABcAG4AIAAgACAAIABbAEgAbwByAGkAegBvAG4AdABhAGwAPwBdACwAXABuAEwARQBUACgAXABuACAAIAAgACAALwAvACAARgBsAGEAdAB0AGUAbgAgAGkAbgBwAHUAdABcAG4AIAAgACAAIAB2AGUAYwB0AG8AcgAsACAAIAAgACAAIAAgAFQATwBDAE8ATAAoAHYAZQBjAHQAbwByACkALABcAG4AXABuACAAIAAgACAALwAvACAAUwBoAGEAcABlAFwAbgAgACAAIAAgAGgAZQBpAGcAaAB0ACwAIAAgACAAIAAgACAAUgBPAFcAUwAoAHYAZQBjAHQAbwByACkALABcAG4AIAAgACAAIAB3AGkAZAB0AGgALAAgACAAIAAgACAAIAAgAEMATwBMAFUATQBOAFMAKAB2AGUAYwB0AG8AcgApACwAXABuAFwAbgAgACAAIAAgAC8ALwAgAE8AcAB0AGkAbwBuAGEAbAAgAHAAYQByAGEAbQBlAHQAZQByAFwAbgAgACAAIAAgAEkAcwBWAGUAcgB0AGkAYwBhAGwAPwAsACAASQBTAE8ATQBJAFQAVABFAEQAKABIAG8AcgBpAHoAbwBuAHQAYQBsAD8AKQAsAFwAbgBcAG4AIAAgACAAIAAvAC8AIABTAGMAZQBuAGEAcgBpAG8AcwBcAG4AIAAgACAAIABJAHMAUwBjAGEAbABhAHIAPwAsACAAIAAgAEEATgBEACgAaABlAGkAZwBoAHQAIAA9ACAAMQAsACAAdwBpAGQAdABoACAAPQAgADEAKQAsAFwAbgAgACAAIAAgAFMAcABpAGwAbABSAGkAcwBrAD8ALAAgACAASQBGACgASQBzAFYAZQByAHQAaQBjAGEAbAA/ACwAaABlAGkAZwBoAHQAIAA+ACAAMQAwADQAOAA1ADcANgAsAGgAZQBpAGcAaAB0ACAAPgAgADEANgAzADgANAApACwAXABuAFwAbgAgACAAIAAgAEkARgAoAEkAcwBTAGMAYQBsAGEAcgA/ACwAIAB2AGUAYwB0AG8AcgAsAFwAbgAgACAAIAAgACAAIAAgACAASQBGACgAUwBwAGkAbABsAFIAaQBzAGsAPwAsACAAIwBOAFUATQAhACwAXABuAFwAbgBMAEUAVAAoAFwAbgAgACAAIAAgAC8ALwAgAEcAcgBvAHUAcAAgAGkAbgBkAGUAeAAgAD0AIABwAG8AcwBpAHQAaQBvAG4AIABvAGYAIABmAGkAcgBzAHQAIABvAGMAYwB1AHIAcgBlAG4AYwBlAFwAbgAgACAAIAAgAGkAZAB4ACwAIAAgACAAIAAgACAAIAAgACAAWABNAEEAVABDAEgAKAB2AGUAYwB0AG8AcgAsACAAVQBOAEkAUQBVAEUAKAB2AGUAYwB0AG8AcgApACkALABcAG4AXABuACAAIAAgACAALwAvACAAUgBlAHMAaABhAHAAZQBcAG4AIAAgACAAIABmAGkAbgBhAGwALAAgACAAIAAgACAAIAAgAEkARgAoAEkAcwBWAGUAcgB0AGkAYwBhAGwAPwAsACAAaQBkAHgALAAgAFQATwBSAE8AVwAoAGkAZAB4ACkAKQAsAFwAbgAgACAAIAAgAGYAaQBuAGEAbABcAG4AXABuACkAKQApACkAKQA7AFwAbgBcAG4AXABuAFwAbgAvACoAIABbAEcAUgAxADkAXQAgAC0ALQAtAC0ALQAtAC0ALQAtAC0ALQAtAC0ALQAtAC0ALQAtAC0ALQAtAC0ALQAtAC0ALQAtAC0ALQAtAC0ALQAtAC0ALQAtAC0ALQAtAC0ALQAtAC0ALQAtAC0ALQAtAC0ALQAtAC0ALQAtAC0ALQAtAC0ALQAtAC0ALQAtAC0ALQAtAC0ALQAtAC0ALQAtAC0AXABuAEYAdQBuAGMAdABpAG8AbgA6ACAAIAAgACAAIAAgACAAIABPAGMAYwB1AHIAcgBlAG4AY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SQBuAHMAdABhAG4AYwBlALsDXABuAFwAbgBEAGUAcwBjAHIAaQBwAHQAaQBvAG4AOgBcAG4AIAAgACAAIABTAGUAbABlAGMAdABzACAAdABoAGUAIABOAEAdNB1fAG8AYwBjAHUAcgByAGUAbgBjAGUAcwAgAG8AZgAgAHIAbwB3AHMAIABmAHIAbwBtACAAYQAgAHMAcABlAGMAaQBmAGkAZQBkACAAMgBEACAAYQByAHIAYQB5ACAAYgB5ACAAbABvAGMAYQB0AGkAbgBnACAAdABoAGUAIABOAEAdNB0gAGkAbgBzAHQAYQBuAGMAZQBcAG4AIAAgACAAIABmAHIAbwBtACAAYQAgAGMAcgBpAHQAXwB2AGUAYwB0AG8AcgAuACAAIABSAGUAcwB1AGwAdABzACAAYQByAGUAIAByAGUAdAB1AHIAbgBlAGQAIABpAG4AIABvAHIAZABlAHIAIABvAGYAIABhAHAAcABlAGEAcgBhAG4AYwBlACAAYQBuAGQAIABuAG8AdAAgAHMAbwByAHQAZQBkAC4AXABuAFwAbgBQAGEAcgBhAG0AZQB0AGUAcgBzADoAXABuACAAIAAgACAAYQByAHIAYQB5ACAAIAAgACAAIAAgACAAIAAgACAAIAAtACAAIAAgADIARAAgAGEAcgByAGEAeQBcAG4AIAAgACAAIABjAHIAaQB0AF8AdgBlAGMAdABvAHIAIAAgACAAIAAgAC0AIAAgACAAMQBEACAAYQByAHIAYQB5ACAAZABlAGYAaQBuAGkAbgBnACAAdABoAGUAIABzAHQAcgB1AGMAdAB1AHIAZQBcAG4AIAAgACAAIABOAEAdNB1fAG8AYwBjAHUAcgByAGUAbgBjAGUALAAgAC0AIAAgACAASQBuAHQAZQBnAGUAcgAgAG8AZgAgAHMAZQBsAGUAYwB0AGUAZAAgAG8AYwBjAHUAcgByAGUAbgBjAGUAcwAgACgAZQAuAGcALgAgADEALQBuACkAXABuAFwAbgAtAC0ALQAtAC0ALQAtAC0ALQAtAC0ALQAtAC0ALQAtAC0ALQAtAC0ALQAtAC0ALQAtAC0ALQAtAC0ALQAtAC0ALQAtAC0ALQAtAC0ALQAtAC0ALQAtAC0ALQAtAC0ALQAtAC0ALQAtAC0ALQAtAC0ALQAtAC0ALQAtAC0ALQAtAC0ALQAtAC0ALQAtAC0ALQAtAC0ALQAtAC0ALQAqAC8AXABuAE8AYwBjAHUAcgByAGUAbgBjAGUAuwM9AFwAbgBMAEEATQBCAEQAQQAoAFwAbgAgACAAIAAgAGEAcgByAGEAeQAsAFwAbgAgACAAIAAgAGMAcgBpAHQAXwB2AGUAYwB0AG8AcgAsAFwAbgAgACAAIAAgAE4AQB00HV8AbwBjAGMAdQByAHIAZQBuAGMAZQAsAFwAbgBMAEUAVAAoAFwAbgAgACAAIAAgAC8ALwAgAFMAaABhAHAAZQBcAG4AIAAgACAAIABoAGUAaQBnAGgAdAAsACAAUgBPAFcAUwAoAGEAcgByAGEAeQApACwAXABuACAAIAAgACAAaABlAGkAZwBoAHQAXwAsAFIATwBXAFMAKABjAHIAaQB0AF8AdgBlAGMAdABvAHIAKQAsAFwAbgBcAG4AIAAgACAAIAAvAC8AIABIAGEAbAB0AGkAbgBnACAAcwBjAGUAbgBhAHIAaQBvAHMAXABuACAAIAAgACAAaABlAGkAZwBoAHQAXwBtAGkAcwBtAGEAdABjAGgAPwAsACAAIAAgAGgAZQBpAGcAaAB0ACAAPAA+ACAAaABlAGkAZwBoAHQAXwAsAFwAbgAgACAAIAAgAEkAbgB2AGEAbABpAGQATwBjAGMAdQByAHIAZQBuAGMAZQA/ACwAIABPAFIAKABJAFMAVABFAFgAVAAoAE4AQB00HV8AbwBjAGMAdQByAHIAZQBuAGMAZQApACwATgBAHTQdXwBvAGMAYwB1AHIAcgBlAG4AYwBlACAAPQAgADAAKQAsAFwAbgBcAG4AIAAgACAAIABJAEYAKABoAGUAaQBnAGgAdABfAG0AaQBzAG0AYQB0AGMAaAA/ACwAIwBWAEEATABVAEUAIQAsAFwAbgAgACAAIAAgACAAIAAgACAASQBGACgASQBuAHYAYQBsAGkAZABPAGMAYwB1AHIAcgBlAG4AYwBlAD8ALAAjAFYAQQBMAFUARQAhACwAXABuAFwAbgBMAEUAVAAoAFwAbgAgACAAIAAgAC8ALwAgAFMAZQBsAGUAYwB0AGkAbwBuACAAbQBvAGQAZQBcAG4AIAAgACAAIABEAGUAcwBjAGUAbgBkAD8ALAAgACAAIABTAEkARwBOACgATgBAHTQdXwBvAGMAYwB1AHIAcgBlAG4AYwBlACkAIAA9ACAALQAxACwAXABuAFwAbgAgACAAIAAgAC8ALwAgAEkAZABlAG4AdABpAGYAeQAgAE4AdABoACAAbwBjAGMAdQByAHIAZQBuAGMAZQBzAFwAbgAgACAAIAAgAGIAbwBvAGwALAAgACAAIAAgACAAIAAgAEkAbgBzAHQAYQBuAGMAZQC7AygAYwByAGkAdABfAHYAZQBjAHQAbwByACwALABEAGUAcwBjAGUAbgBkAD8AKQAgAD0AIABBAEIAUwAoAE4AQB00HV8AbwBjAGMAdQByAHIAZQBuAGMAZQApACwAXABuAFwAbgAgACAAIAAgAC8ALwAgAFMAZQBsAGUAYwB0ACAAZABhAHQAYQBcAG4AIAAgACAAIABmAGkAbgBhAGwALAAgACAAIAAgACAAIABGAEkATABUAEUAUgAoAGEAcgByAGEAeQAsAGIAbwBvAGwALAAwACkALABcAG4AIAAgACAAIABmAGkAbgBhAGwAXABuACAAIAAgACAAKQApACkAKQApADsAXABuAFwAbgBcAG4AXABuAC8AKgAgAFsARwBSADIAMABdACAALQAtAC0ALQAtAC0ALQAtAC0ALQAtAC0ALQAtAC0ALQAtAC0ALQAtAC0ALQAtAC0ALQAtAC0ALQAtAC0ALQAtAC0ALQAtAC0ALQAtAC0ALQAtAC0ALQAtAC0ALQAtAC0ALQAtAC0ALQAtAC0ALQAtAC0ALQAtAC0ALQAtAC0ALQAtAC0ALQAtAC0ALQAtAC0ALQBcAG4ARgB1AG4AYwB0AGkAbwBuADoAIAAgACAAIAAgACAAIAAgAE8AYwBjAHUAcgByAGUAbgBjAGUAUgBhAG4AZ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SQBuAHMAdABhAG4AYwBlALsDXABuAFwAbgBEAGUAcwBjAHIAaQBwAHQAaQBvAG4AOgBcAG4AIAAgACAAIABTAGUAbABlAGMAdABzACAAYQAgAHIAYQBuAGcAZQAgAG8AZgAgAG8AYwBjAHUAcgByAGUAbgBjAGUAcwAgAG8AZgAgAHIAbwB3AHMAIABmAHIAbwBtACAAYQAgAHMAcABlAGMAaQBmAGkAZQBkACAAMgBEACAAYQByAHIAYQB5ACAAYgB5ACAAbABvAGMAYQB0AGkAbgBnACAAdABoAGUAIABOAEAdNB0gAGkAbgBzAHQAYQBuAGMAZQBzAFwAbgAgACAAIAAgAGYAcgBvAG0AIABhACAAYwByAGkAdABfAHYAZQBjAHQAbwByAC4AIABOAGUAZwBhAHQAaQB2AGUAIABpAG4AdABlAGcAZQByAHMAIABhAHIAZQAgAHIAZQBqAGUAYwB0AGUAZAAgAGYAbwByACAAcwB0AGEAcgB0ACAAYQBuAGQAIABlAG4AZAAgAG8AYwBjAHUAcgByAGUAbgBjAGUAcwAuAFwAbgAgACAAIAAgAFIAZQBzAHUAbAB0AHMAIABhAHIAZQAgAHIAZQB0AHUAcgBuAGUAZAAgAGkAbgAgAG8AcgBkAGUAcgAgAG8AZgAgAGEAcABwAGUAYQByAGEAbgBjAGUAIABhAG4AZAAgAG4AbwB0ACAAcwBvAHIAdABlAGQALgBcAG4AXABuAFAAYQByAGEAbQBlAHQAZQByAHMAOgBcAG4AIAAgACAAIABhAHIAcgBhAHkAIAAgACAAIAAgACAAIAAgACAAIAAgACAAIAAtACAAIAAgADIARAAgAGEAcgByAGEAeQBcAG4AIAAgACAAIABjAHIAaQB0AF8AdgBlAGMAdABvAHIAIAAgACAAIAAgACAAIAAtACAAIAAgADEARAAgAGEAcgByAGEAeQAgAGQAZQBmAGkAbgBpAG4AZwAgAHQAaABlACAAcwB0AHIAdQBjAHQAdQByAGUAXABuACAAIAAgACAAcwB0AGEAcgB0AF8AbwBjAGMAdQByAHIAZQBuAGMAZQAsACAALQAgACAAIABTAHQAYQByAHQAaQBuAGcAIABpAG4AdABlAGcAZQByACAAbwBmACAAbwBjAGMAdQByAHIAZQBuAGMAZQBzAFwAbgAgACAAIAAgAFsAZQBuAGQAXwBvAGMAYwB1AHIAcgBlAG4AYwBlAF0AIAAgAC0AIAAgACAARQBuAGQAaQBuAGcAIABpAG4AdABlAGcAZQByACAAbwBmACAAbwBjAGMAdQByAHIAZQBuAGMAZQBzAC4AIABJAGYAIABvAG0AaQB0AHQAZQBkACwAIAB0AGgAZQAgAHMAZQBsAGUAYwB0AGkAbwBuACAAbwBmAFwAbgAgACAAIAAgACAAIAAgACAAIAAgACAAIAAgACAAIAAgACAAIAAgACAAIAAgACAAIAAgACAAbwBmACAAbwBjAGMAdQByAHIAZQBuAGMAZQBzACAAPQAgAHMAdABhAHIAdABfAG8AYwBjAHUAcgByAGUAbgBjAGUAIAB+ACAAZQBuAGQAIABvAGYAIABhAHIAcgBhAHkALgBcAG4AIAAgACAAIABbAEgAbwByAGkAegBvAG4AdABhAGwAPwBdACAAIAAgACAAIAAtACAAIAAgAFQAUgBVAEUAIAA9ACAAcwBlAGwAZQBjAHQAIABvAGMAYwB1AHIAcgBlAG4AYwBlACAAcgBhAG4AZwBlACAAZgByAG8AbQAgAGgAbwByAGkAegBvAG4AdABhAGwAbAB5ACAAYQByAHIAYQBuAGcAZQBkACAAZABhAHQAYQBcAG4AXABuAC0ALQAtAC0ALQAtAC0ALQAtAC0ALQAtAC0ALQAtAC0ALQAtAC0ALQAtAC0ALQAtAC0ALQAtAC0ALQAtAC0ALQAtAC0ALQAtAC0ALQAtAC0ALQAtAC0ALQAtAC0ALQAtAC0ALQAtAC0ALQAtAC0ALQAtAC0ALQAtAC0ALQAtAC0ALQAtAC0ALQAtAC0ALQAtAC0ALQAtAC0ALQAtACoALwBcAG4ATwBjAGMAdQByAHIAZQBuAGMAZQBSAGEAbgBnAGUAuwM9AFwAbgBMAEEATQBCAEQAQQAoAFwAbgAgACAAIAAgAGEAcgByAGEAeQAsAFwAbgAgACAAIAAgAGMAcgBpAHQAXwB2AGUAYwB0AG8AcgAsAFwAbgAgACAAIAAgAHMAdABhAHIAdABfAG8AYwBjAHUAcgByAGUAbgBjAGUALABcAG4AIAAgACAAIABbAGUAbgBkAF8AbwBjAGMAdQByAHIAZQBuAGMAZQBdACwAXABuACAAIAAgACAAWwBIAG8AcgBpAHoAbwBuAHQAYQBsAD8AXQAsAFwAbgBMAEUAVAAoAFwAbgAgACAAIAAgAC8ALwAgAE4AbwByAG0AYQBsAGkAegBlACAAaQBuAHAAdQB0AHMAXABuACAAIAAgACAASQBzAFYAZQByAHQAaQBjAGEAbAA/ACwAIAAgACAAIAAgACAATgBPAFQAKABBAE4ARAAoAE4ATwBUACgASQBTAE8ATQBJAFQAVABFAEQAKABIAG8AcgBpAHoAbwBuAHQAYQBsAD8AKQApACwAIABIAG8AcgBpAHoAbwBuAHQAYQBsAD8AIAA9ACAAVABSAFUARQApACkALABcAG4AIAAgACAAIABhAHIAcgBhAHkALAAgACAAIAAgACAAIAAgACAAIAAgACAAIABJAEYAKABJAHMAVgBlAHIAdABpAGMAYQBsAD8ALABhAHIAcgBhAHkALABUAFIAQQBOAFMAUABPAFMARQAoAGEAcgByAGEAeQApACkALABcAG4AIAAgACAAIABjAHIAaQB0AF8AdgBlAGMAdABvAHIALAAgACAAIAAgACAAIABJAEYAKABJAHMAVgBlAHIAdABpAGMAYQBsAD8ALABjAHIAaQB0AF8AdgBlAGMAdABvAHIALABUAFIAQQBOAFMAUABPAFMARQAoAGMAcgBpAHQAXwB2AGUAYwB0AG8AcgApACkALABcAG4AXABuACAAIAAgACAALwAvACAATwBwAHQAaQBvAG4AYQBsAFwAbgAgACAAIAAgAEkAbgBjAGwAdQBkAGUARQBuAGQAPwAsACAAIAAgACAAIAAgAE4ATwBUACgASQBTAE8ATQBJAFQAVABFAEQAKABlAG4AZABfAG8AYwBjAHUAcgByAGUAbgBjAGUAKQApACwAXABuAFwAbgAgACAAIAAgAC8ALwAgAE4AbwByAG0AYQBsAGkAegBlACAAcwB0AGEAcgB0AC8AcwB0AG8AcABcAG4AIAAgACAAIABzAHQAYQByAHQAXwBvAGMAYwB1AHIAcgBlAG4AYwBlACwAIABJAE4ARABFAFgAKABzAHQAYQByAHQAXwBvAGMAYwB1AHIAcgBlAG4AYwBlACwAMQAsADEAKQAsAFwAbgAgACAAIAAgAGUAbgBkAF8AbwBjAGMAdQByAHIAZQBuAGMAZQAsACAAIAAgAEkARgAoAEkAbgBjAGwAdQBkAGUARQBuAGQAPwAsAEkATgBEAEUAWAAoAGUAbgBkAF8AbwBjAGMAdQByAHIAZQBuAGMAZQAsADEALAAxACkALABGAEEATABTAEUAKQAsAFwAbgBcAG4AIAAgACAAIAAvAC8AIABTAGgAYQBwAGUAXABuACAAIAAgACAAaABlAGkAZwBoAHQALAAgACAAIAAgACAAIAAgACAAIAAgACAAUgBPAFcAUwAoAGEAcgByAGEAeQApACwAXABuACAAIAAgACAAaABlAGkAZwBoAHQAXwAsACAAIAAgACAAIAAgACAAIAAgACAAUgBPAFcAUwAoAGMAcgBpAHQAXwB2AGUAYwB0AG8AcgApACwAXABuAFwAbgAgACAAIAAgAC8ALwAgAEgAYQBsAHQAaQBuAGcAIABzAGMAZQBuAGEAcgBpAG8AcwBcAG4AIAAgACAAIABoAGUAaQBnAGgAdABfAG0AaQBzAG0AYQB0AGMAaAA/ACwAIAAgACAAaABlAGkAZwBoAHQAIAA8AD4AIABoAGUAaQBnAGgAdABfACwAXABuAFwAbgAgACAAIAAgAEkAbgB2AGEAbABpAGQATwBjAGMAdQByAHIAZQBuAGMAZQA/ACwAIABPAFIAKABJAFMAVABFAFgAVAAoAHMAdABhAHIAdABfAG8AYwBjAHUAcgByAGUAbgBjAGUAKQAsAFwAbgAgACAAIAAgACAAIAAgACAAIAAgACAAIAAgACAAIAAgACAAIAAgACAAIAAgACAAIAAgACAAIABzAHQAYQByAHQAXwBvAGMAYwB1AHIAcgBlAG4AYwBlACAAPAAgADEALABcAG4AIAAgACAAIAAgACAAIAAgACAAIAAgACAAIAAgACAAIAAgACAAIAAgACAAIAAgACAAIAAgACAAQQBOAEQAKABJAG4AYwBsAHUAZABlAEUAbgBkAD8ALABJAFMAVABFAFgAVAAoAGUAbgBkAF8AbwBjAGMAdQByAHIAZQBuAGMAZQApACkALABcAG4AIAAgACAAIAAgACAAIAAgACAAIAAgACAAIAAgACAAIAAgACAAIAAgACAAIAAgACAAIAAgACAAQQBOAEQAKABJAG4AYwBsAHUAZABlAEUAbgBkAD8ALABlAG4AZABfAG8AYwBjAHUAcgByAGUAbgBjAGUAIAA8ACAAcwB0AGEAcgB0AF8AbwBjAGMAdQByAHIAZQBuAGMAZQApACkALABcAG4AXABuACAAIAAgACAASQBGACgAaABlAGkAZwBoAHQAXwBtAGkAcwBtAGEAdABjAGgAPwAsACMAVgBBAEwAVQBFACEALABcAG4AIAAgACAAIAAgACAAIAAgAEkARgAoAEkAbgB2AGEAbABpAGQATwBjAGMAdQByAHIAZQBuAGMAZQA/ACwAIwBWAEEATABVAEUAIQAsAFwAbgBcAG4ATABFAFQAKABcAG4AIAAgACAAIAAvAC8AIABJAGQAZQBuAHQAaQBmAHkAIABOAHQAaAAgAG8AYwBjAHUAcgByAGUAbgBjAGUAcwBcAG4AIAAgACAAIABpAG4AcwB0ACwAIAAgACAASQBuAHMAdABhAG4AYwBlALsDKABjAHIAaQB0AF8AdgBlAGMAdABvAHIAKQAsAFwAbgBcAG4AIAAgACAAIABiAG8AbwBsACwAIAAgACAASQBGACgASQBuAGMAbAB1AGQAZQBFAG4AZAA/ACwAKABpAG4AcwB0ACAAPgA9ACAAcwB0AGEAcgB0AF8AbwBjAGMAdQByAHIAZQBuAGMAZQApACAAKgAgACgAaQBuAHMAdAAgADwAPQAgAGUAbgBkAF8AbwBjAGMAdQByAHIAZQBuAGMAZQApACwAXABuACAAIAAgACAAIAAgACAAIAAgACAAIAAgACAAIAAgACAAIAAgACAAIAAgACAAIAAgACAAIAAgACgAaQBuAHMAdAAgAD4APQAgAHMAdABhAHIAdABfAG8AYwBjAHUAcgByAGUAbgBjAGUAKQApACwAXABuAFwAbgAgACAAIAAgAC8ALwAgAFMAZQBsAGUAYwB0ACAAZABhAHQAYQAgAGEAbgBkACAAdAByAGEAbgBwAG8AcwBlACAAaQBmACAAaABvAHIAaQB6AG8AbgB0AGEAbABcAG4AIAAgACAAIAByAGUAcwB1AGwAdAAsACAAIABGAEkATABUAEUAUgAoAGEAcgByAGEAeQAsAGIAbwBvAGwALAAwACkALABcAG4AIAAgACAAIABmAGkAbgBhAGwALAAgACAAIABJAEYAKABJAHMAVgBlAHIAdABpAGMAYQBsAD8ALAByAGUAcwB1AGwAdAAsAFQAUgBBAE4AUwBQAE8AUwBFACgAcgBlAHMAdQBsAHQAKQApACwAXABuACAAIAAgACAAZgBpAG4AYQBsAFwAbgAgACAAIAAgACkAKQApACkAKQA7AFwAbgBcAG4AXABuACAAIAAgACAAXABuAC8AKgAgAFsARwBSADEAMABdACAALQAtAC0ALQAtAC0ALQAtAC0ALQAtAC0ALQAtAC0ALQAtAC0ALQAtAC0ALQAtAC0ALQAtAC0ALQAtAC0ALQAtAC0ALQAtAC0ALQAtAC0ALQAtAC0ALQAtAC0ALQAtAC0ALQAtAC0ALQAtAC0ALQAtAC0ALQAtAC0ALQAtAC0ALQAtAC0ALQAtAC0ALQAtAC0ALQBcAG4ARgB1AG4AYwB0AGkAbwBuADoAIAAgACAAIAAgAEcAcgBhAGkAbgC7A1wAbgBDAGEAdABlAGcAbwByAHkAOgAgACAAIAAgACAARwByAGkAZAAgAEEAbgBhAGwAeQB0AGkAYwBzACAAKABOAGUAaQBnAGgAYgBvAHIAaABvAG8AZABzACkAXABuAEEAdQB0AGgAbwByADoAIAAgACAAIAAgACAAIABQAGEAdAByAGkAYwBrACAASAAuAFwAbgBWAGUAcgBzAGkAbwBuADoAIAAgACAAIAAgACAAMQAuADEAXABuAFwAbgBEAGUAcwBjAHIAaQBwAHQAaQBvAG4AOgBcAG4AIAAgACAAIABEAG8AdwBuAHMAYQBtAHAAbABlAHMAIABhACAAYQByAHIAYQB5AF8AMgBEACAAYgB5ACAAYQBnAGcAcgBlAGcAYQB0AGkAbgBnACAAbwB2AGUAcgAgAG4AbwBuABEgbwB2AGUAcgBsAGEAcABwAGkAbgBnACAAcwBwAGEAdABpAGEAbAAgAGIAbABvAGMAawBzAFwAbgAgACAAIAAgAG8AZgAgAHMAaQB6AGUAIABkAGUAcAB0AGgAIADXACAAdwBpAGQAdABoAC4AIABQAGEAcgB0AGkAYQBsACAAYgBsAG8AYwBrAHMAIABhAHQAIAB0AGgAZQAgAGUAZABnAGUAcwAgAGEAcgBlACAAaQBuAGMAbAB1AGQAZQBkAC4AIABUAGgAZQBcAG4AIAAgACAAIABhAGcAZwByAGUAZwBhAHQAaQBvAG4AIABpAHMAIABwAGUAcgBmAG8AcgBtAGUAZAAgAHUAcwBpAG4AZwAgAGEAbgAgAEUAVABBABEgYwBvAG0AcABhAHQAaQBiAGwAZQAgAGYAdQBuAGMAdABpAG8AbgAgACgAZQAuAGcALgAsACAAUwBVAE0ALABcAG4AIAAgACAAIABBAFYARQBSAEEARwBFACwAIABNAEEAWAAsACAATQBJAE4ALAAgAE0ARQBEAEkAQQBOACwAIABvAHIAIABhACAAYwB1AHMAdABvAG0AIABMAEEATQBCAEQAQQApAC4AXABuAFwAbgBQAGEAcgBhAG0AZQB0AGUAcgBzADoAXABuACAAIAAgACAAYQByAHIAYQB5AF8AMgBEACAAIAAgACAAIAAgAC0AIAAyAEQAIABpAG4AcAB1AHQAIABhAHIAcgBhAHkAXwAyAEQALgBcAG4AIAAgACAAIABkAGUAcAB0AGgAIAAgACAAIAAgACAAIAAtACAATgB1AG0AYgBlAHIAIABvAGYAIAByAG8AdwBzACAAcABlAHIAIABiAGwAbwBjAGsALgBcAG4AIAAgACAAIAB3AGkAZAB0AGgAIAAgACAAIAAgACAAIAAtACAATgB1AG0AYgBlAHIAIABvAGYAIABjAG8AbAB1AG0AbgBzACAAcABlAHIAIABiAGwAbwBjAGsALgBcAG4AIAAgACAAIABmAHUAbgBjAHQAaQBvAG4AIAAgACAAIAAtACAARQBUAEEAIABvAHIAIABMAEEATQBCAEQAQQAgAGEAcABwAGwAaQBlAGQAIAB0AG8AIABlAGEAYwBoACAAYgBsAG8AYwBrAC4AXABuAFwAbgBOAG8AdABlAHMAOgBcAG4AIAAgACAAIAAiICAAUgBlAGoAZQBjAHQAcwAgAG4AbwBuABEgYQByAHIAYQB5AF8AMgBEACAAaQBuAHAAdQB0AHMALgBcAG4AIAAgACAAIAAiICAAUgBlAGoAZQBjAHQAcwAgAGkAbgB2AGEAbABpAGQAIABiAGwAbwBjAGsAIABzAGkAegBlAHMAIABvAHIAIAB0AGUAeAB0ACAAZABpAG0AZQBuAHMAaQBvAG4AcwAuAFwAbgAgACAAIAAgACIgIABQAGEAcgB0AGkAYQBsACAAYgBsAG8AYwBrAHMAIABhAHIAZQAgAGgAYQBuAGQAbABlAGQAIABhAHUAdABvAG0AYQB0AGkAYwBhAGwAbAB5ACAAdgBpAGEAIABJAE4ARABFAFgAIAArACAAVABPAEMATwBMAC4AXABuAC0ALQAtAC0ALQAtAC0ALQAtAC0ALQAtAC0ALQAtAC0ALQAtAC0ALQAtAC0ALQAtAC0ALQAtAC0ALQAtAC0ALQAtAC0ALQAtAC0ALQAtAC0ALQAtAC0ALQAtAC0ALQAtAC0ALQAtAC0ALQAtAC0ALQAtAC0ALQAtAC0ALQAtAC0ALQAtAC0ALQAtAC0ALQAtAC0ALQAtAC0ALQAtACoALwBcAG4AXABuAEcAcgBhAGkAbgC7AyAAPQBcAG4ATABBAE0AQgBEAEEAKABcAG4AIAAgACAAIABhAHIAcgBhAHkAXwAyAEQALABcAG4AIAAgACAAIABkAGUAcAB0AGgALABcAG4AIAAgACAAIAB3AGkAZAB0AGgALABcAG4AIAAgACAAIABmAHUAbgBjAHQAaQBvAG4ALABcAG4AXABuAEkARgAoAE4ATwBUACgAVABZAFAARQAoAGEAcgByAGEAeQBfADIARAApACAAPQAgADYANAApACwAXAAiACMAYQByAHIAYQB5AF8AMgBEACEAXAAiACwAXABuAFwAbgAgACAAIAAgAEkARgAoAE8AUgAoAGQAZQBwAHQAaAAgAD4AIABSAE8AVwBTACgAYQByAHIAYQB5AF8AMgBEACkALAAgAHcAaQBkAHQAaAAgACAAPgAgAEMATwBMAFUATQBOAFMAKABhAHIAcgBhAHkAXwAyAEQAKQAsAEkAUwBUAEUAWABUACgAZABlAHAAdABoACkALABJAFMAVABFAFgAVAAoAHcAaQBkAHQAaAApACkALABcACIAIwBEAEkATQBFAE4AUwBJAE8ATgBTACEAXAAiACwAXABuAFwAbgAgACAAIAAgACAAIAAgACAASQBGACgAVABZAFAARQAoAGYAdQBuAGMAdABpAG8AbgApACAAPAA+ACAAMQAyADgALABcACIAIwBFAFQAQQAgAEYAVQBOAEMAVABJAE8ATgAhAFwAIgAsAFwAbgBcAG4ATABFAFQAKABcAG4AIAAgACAAIAAvAC8AIABEAGkAbQBlAG4AcwBpAG8AbgBzAFwAbgAgACAAIAAgAGgALAAgACAAIAAgACAAIAAgACAAIAAgACAAIAAgACAAUgBPAFcAUwAoAGEAcgByAGEAeQBfADIARAApACwAXABuACAAIAAgACAAdwAsACAAIAAgACAAIAAgACAAIAAgACAAIAAgACAAIABDAE8ATABVAE0ATgBTACgAYQByAHIAYQB5AF8AMgBEACkALABcAG4AXABuACAAIAAgACAALwAvACAATgB1AG0AYgBlAHIAIABvAGYAIABiAGwAbwBjAGsAcwAgACgAcgBvAHUAbgBkAGUAZAAgAHUAcAApAFwAbgAgACAAIAAgAHgALAAgACAAIAAgACAAIAAgACAAIAAgACAAIAAgACAAUgBPAFUATgBEAFUAUAAoAGgAIAAvACAAZABlAHAAdABoACwAIAAwACkALABcAG4AIAAgACAAIAB5ACwAIAAgACAAIAAgACAAIAAgACAAIAAgACAAIAAgAFIATwBVAE4ARABVAFAAKAB3ACAALwAgAHcAaQBkAHQAaAAsACAAMAApACwAXABuAFwAbgAgACAAIAAgAC8ALwAgAEIAbABvAGMAawAgAGEAbgBjAGgAbwByACAAZwByAGkAZABzACAAKABkAGUAZgBlAHIAcgBlAGQAKQBcAG4AIAAgACAAIABkAG8AdwBuACwAIAAgACAAIAAgACAAIAAgACAAIAAgAEwAQQBNAEIARABBACgAUwBFAFEAVQBFAE4AQwBFACgAeAAsACAALAAgADEALAAgAGQAZQBwAHQAaAApACAAKgAgAFMARQBRAFUARQBOAEMARQAoACwAIAB5ACwAIAAxACwAIAAwACkAKQAsAFwAbgAgACAAIAAgAGEAYwByAG8AcwBzACwAIAAgACAAIAAgACAAIAAgACAATABBAE0AQgBEAEEAKABTAEUAUQBVAEUATgBDAEUAKAAsACAAeQAsACAAMQAsACAAdwBpAGQAdABoACkAIAAqACAAUwBFAFEAVQBFAE4AQwBFACgAeAAsACAALAAgADEALAAgADAAKQApACwAXABuAFwAbgAgACAAIAAgAC8ALwAgAEIAbABvAGMAawAgAGEAZwBnAHIAZQBnAGEAdABvAHIAXABuACAAIAAgACAAQgBsAG8AYwBrAHMAuwMsACAAIAAgACAAIAAgACAAIABMAEEATQBCAEQAQQAoAHIALAAgAGMALABcAG4AIAAgACAAIAAgACAAIAAgACAAIAAgACAAIAAgACAAIAAgACAAIAAgACAAIAAgACAATABFAFQAKABcAG4AIAAgACAAIAAgACAAIAAgACAAIAAgACAAIAAgACAAIAAgACAAIAAgACAAIAAgACAAIAAgACAAIABpACwAIAAgACAAIAAgACAATABBAE0AQgBEAEEAKABTAEUAUQBVAEUATgBDAEUAKABkAGUAcAB0AGgALAAgACwAIAByACkAIAAqACAAUwBFAFEAVQBFAE4AQwBFACgALAAgAHcAaQBkAHQAaAAsACAAMQAsACAAMAApACkALABcAG4AIAAgACAAIAAgACAAIAAgACAAIAAgACAAIAAgACAAIAAgACAAIAAgACAAIAAgACAAIAAgACAAIABqACwAIAAgACAAIAAgACAATABBAE0AQgBEAEEAKABTAEUAUQBVAEUATgBDAEUAKAAsACAAdwBpAGQAdABoACwAIABjACkAIAAqACAAUwBFAFEAVQBFAE4AQwBFACgAZABlAHAAdABoACwAIAAsACAAMQAsACAAMAApACkALABcAG4AIAAgACAAIAAgACAAIAAgACAAIAAgACAAIAAgACAAIAAgACAAIAAgACAAIAAgACAAIAAgACAAIABiAGwAbwBjAGsALAAgACAAVABPAEMATwBMACgASQBOAEQARQBYACgAYQByAHIAYQB5AF8AMgBEACwAIABpACgAKQAsACAAagAoACkAKQAsACAAMgApACwAXABuACAAIAAgACAAIAAgACAAIAAgACAAIAAgACAAIAAgACAAIAAgACAAIAAgACAAIAAgACAAIAAgACAAcgBlAHMAdQBsAHQALAAgAGYAdQBuAGMAdABpAG8AbgAoAGIAbABvAGMAawApACwAXABuACAAIAAgACAAIAAgACAAIAAgACAAIAAgACAAIAAgACAAIAAgACAAIAAgACAAIAAgACAAIAAgACAAcgBlAHMAdQBsAHQAKQApACwAXABuAFwAbgAgACAAIAAgAC8ALwAgAEEAcABwAGwAeQAgAGEAZwBnAHIAZQBnAGEAdABpAG8AbgAgAHQAbwAgAGUAYQBjAGgAIABiAGwAbwBjAGsAXABuACAAIAAgACAAZABlAGwAaQB2AGUAcgAsACAAIAAgACAAIAAgACAAIABNAEEAUAAoAGQAbwB3AG4AKAApACwAIABhAGMAcgBvAHMAcwAoACkALAAgAEIAbABvAGMAawBzALsDKQAsAFwAbgBcAG4AIAAgACAAIABkAGUAbABpAHYAZQByAFwAbgApACkAKQApACkAOwBcAG4AXABuAFwAbgBcAG4ALwAqACAAWwBHAFIAMQAxAF0AIAAtAC0ALQAtAC0ALQAtAC0ALQAtAC0ALQAtAC0ALQAtAC0ALQAtAC0ALQAtAC0ALQAtAC0ALQAtAC0ALQAtAC0ALQAtAC0ALQAtAC0ALQAtAC0ALQAtAC0ALQAtAC0ALQAtAC0ALQAtAC0ALQAtAC0ALQAtAC0ALQAtAC0ALQAtAC0ALQAtAC0ALQAtAC0ALQAtAFwAbgBGAHUAbgBjAHQAaQBvAG4AOgAgACAAIAAgACAATQBvAG8AcgBlAEEAZwBn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AAZQByAGYAbwByAG0AcwAgAGEAZwBnAHIAZQBnAGEAdABpAG8AbgAgAG8AdgBlAHIAIABNAG8AbwByAGUAIABvAHIAIAB2AG8AbgAgAE4AZQB1AG0AYQBuAG4AIABuAGUAaQBnAGgAYgBvAHIAaABvAG8AZABzACAAdQBzAGkAbgBnACAAYQBuAFwAbgAgACAAIAAgAEUAVABBABEgYwBvAG0AcABhAHQAaQBiAGwAZQAgAGYAdQBuAGMAdABpAG8AbgAgACgAUwBVAE0ALAAgAEEAVgBFAFIAQQBHAEUALAAgAE0AQQBYACwAIABNAEkATgAsACAATQBFAEQASQBBAE4ALAAgAG8AcgAgAGEAIABjAHUAcwB0AG8AbQBcAG4AIAAgACAAIABMAEEATQBCAEQAQQApAC4AIABPAHAAdABpAG8AbgBhAGwAIABwAGEAcgBhAG0AZQB0AGUAcgBzACAAYwBvAG4AdAByAG8AbAAgAG4AZQBpAGcAaABiAG8AcgBoAG8AbwBkACAAdAB5AHAAZQAgAGEAbgBkACAAaQBmACAAdABoAGUAXABuACAAIAAgACAAYwBlAG4AdABlAHIAIABjAGUAbABsACAAaQBzACAAdABvACAAYgBlACAAaQBuAGMAbAB1AGQAZQBkAC4AXABuAFwAbgBOAGUAaQBnAGgAYgBvAHIAaABvAG8AZABzADoAXABuACAAIAAgACAATQBvAG8AcgBlACAAKAA4ABEgYwBvAG4AbgBlAGMAdABlAGQAKQA6ACAAIAAgACAAIAAgACAAIAB2AG8AbgAgAE4AZQB1AG0AYQBuAG4AIAAoADQAESBjAG8AbgBuAGUAYwB0AGUAZAApADoAXABuACAAIAAgACAAIAAgACAAIAAxACAAIAAyACAAIAAzACAAIAAgACAAIAAgACAAIAAgACAAIAAgACAAIAAgACAAIAAgACAAIAAgADEAXABuACAAIAAgACAAIAAgACAAIAA0ACAAIABDACAAIAA2ACAAIAAgACAAIAAgACAAIAAgACAAIAAgACAAIAAgACAAIAAgADIAIAAgAEMAIAAgADMAXABuACAAIAAgACAAIAAgACAAIAA3ACAAIAA4ACAAIAA5ACAAIAAgACAAIAAgACAAIAAgACAAIAAgACAAIAAgACAAIAAgACAAIAAgADQAXABuAFwAbgBQAGEAcgBhAG0AZQB0AGUAcgBzADoAXABuACAAIAAgACAAYQByAHIAYQB5AF8AMgBEACAAIAAgACAAIAAgACAAIAAgACAALQAgADIARAAgAGkAbgBwAHUAdAAgAGEAcgByAGEAeQBfADIARAAuAFwAbgAgACAAIAAgAGYAdQBuAGMAdABpAG8AbgAgACAAIAAgACAAIAAgACAALQAgAEUAVABBACAAbwByACAATABBAE0AQgBEAEEAIABhAGcAZwByAGUAZwBhAHQAaQBvAG4AIABmAHUAbgBjAHQAaQBvAG4ALgBcAG4AIAAgACAAIABbAEkAcwB2AG8AbgBOAGUAdQBtAGEAbgBuAD8AXQAgAC0AIABUAFIAVQBFACAAkiEgAHUAcwBlACAAdgBvAG4AIABOAGUAdQBtAGEAbgBuACAAbgBlAGkAZwBoAGIAbwByAGgAbwBvAGQALgBcAG4AIAAgACAAIABbAG8AbQBpAHQAXwBjAGUAbgB0AGUAcgBdACAAIAAgAC0AIABUAFIAVQBFACAAkiEgAGUAeABjAGwAdQBkAGUAIABjAGUAbgB0AGUAcgAgAGMAZQBsAGwAIABmAHIAbwBtACAAYQBnAGcAcgBlAGcAYQB0AGkAbwBuAC4AXABuAC0ALQAtAC0ALQAtAC0ALQAtAC0ALQAtAC0ALQAtAC0ALQAtAC0ALQAtAC0ALQAtAC0ALQAtAC0ALQAtAC0ALQAtAC0ALQAtAC0ALQAtAC0ALQAtAC0ALQAtAC0ALQAtAC0ALQAtAC0ALQAtAC0ALQAtAC0ALQAtAC0ALQAtAC0ALQAtAC0ALQAtAC0ALQAtAC0ALQAtAC0ALQAtACoALwBcAG4AXABuAE0AbwBvAHIAZQBBAGcAZwC7AyAAPQBcAG4ATABBAE0AQgBEAEEAKABcAG4AIAAgACAAIABhAHIAcgBhAHkAXwAyAEQALABcAG4AIAAgACAAIABmAHUAbgBjAHQAaQBvAG4ALABcAG4AIAAgACAAIABbAEkAcwB2AG8AbgBOAGUAdQBtAGEAbgBuAD8AXQAsAFwAbgAgACAAIAAgAFsAbwBtAGkAdABfAGMAZQBuAHQAZQByAF0ALABcAG4AXABuAEkARgAoAFQAWQBQAEUAKABhAHIAcgBhAHkAXwAyAEQAKQAgADwAPgAgADYANAAsAFwAIgAjAGEAcgByAGEAeQBfADIARAAhAFwAIgAsAFwAbgBcAG4AIAAgACAAIABJAEYAKABUAFkAUABFACgAZgB1AG4AYwB0AGkAbwBuACkAIAA8AD4AIAAxADIAOAAgACwAXAAiACMARQBUAEEAIABGAFUATgBDAFQASQBPAE4AIQBcACIALABcAG4AXABuAEwARQBUACgAXABuACAAIAAgACAALwAvACAATwBwAHQAaQBvAG4AYQBsACAAcABhAHIAYQBtAGUAdABlAHIAcwBcAG4AIAAgACAAIABJAHMAdgBvAG4ATgBlAHUAbQBhAG4AbgA/ACwAIAAgACAAIAAgACAATgBPAFQAKABJAFMATwBNAEkAVABUAEUARAAoAEkAcwB2AG8AbgBOAGUAdQBtAGEAbgBuAD8AKQApACwAXABuACAAIAAgACAAbwBtAGkAdABfAGMAZQBuAHQAZQByACwAIAAgACAAIAAgACAAIAAgAE4ATwBUACgASQBTAE8ATQBJAFQAVABFAEQAKABvAG0AaQB0AF8AYwBlAG4AdABlAHIAKQApACwAXABu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XAAiAG8AbQBpAHQAXAAiACAAdABvACAAcwBhAGYAZQBsAHkAIABkAHIAbwBwACAAZQBkAGcAZQBzAFwAbgAgACAAIAAgAE0ALAAgACAAIAAgACAAIAAgACAAIAAgACAAIAAgACAAIAAgACAAIABWAFMAVABBAEMASwAoAFwAIgBvAG0AaQB0AFwAIgAsAFwAbgAgACAAIAAgACAAIAAgACAAIAAgACAAIAAgACAAIAAgACAAIAAgACAAIAAgACAAIAAgACAAIAAgACAAIAAgAEgAUwBUAEEAQwBLACgAXAAiAG8AbQBpAHQAXAAiACwAIABhAHIAcgBhAHkAXwAyAEQALAAgAFwAIgBvAG0AaQB0AFwAIgApACwAXABuACAAIAAgACAAIAAgACAAIAAgACAAIAAgACAAIAAgACAAIAAgACAAIAAgACAAIAAgACAAIAAgACAAIAAgACAAXAAiAG8AbQBpAHQAXAAiACkALABcAG4AXABuACAAIAAgACAALwAvACAARABpAHIAZQBjAHQAaQBvAG4AYQBsACAAdgBlAGMAdABvAHIAcwAgACgAZgBsAGEAdAB0AGUAbgBlAGQAKQBcAG4AIAAgACAAIABhACwAIAAgACAAIAAgACAAVABPAEMATwBMACgARABSAE8AUAAoAE0ALAAgAC0AMgAsACAALQAyACkAKQAsACAAIAAgACAAIAAgACAAIAAgACAAIAAgACAAIAAgACAAIAAgACAAIAAgACAAIAAgACAALwAvACAATgBXAFwAbgAgACAAIAAgAGIALAAgACAAIAAgACAAIABUAE8AQwBPAEwAKABUAEEASwBFACgARABSAE8AUAAoAE0ALAAgACwAIAAxACkALAAgAGgAZQBpAGcAaAB0ACwAIAB3AGkAZAB0AGgAKQApACwAIAAgACAAIAAgACAAIAAvAC8AIABOAFwAbgAgACAAIAAgAGMALAAgACAAIAAgACAAIABUAE8AQwBPAEwAKABUAEEASwBFACgARABSAE8AUAAoAE0ALAAgACwAIAAyACkALAAgAGgAZQBpAGcAaAB0ACkAKQAsACAAIAAgACAAIAAgACAAIAAgACAAIAAgACAAIAAvAC8AIABOAEUAXABuACAAIAAgACAAZAAsACAAIAAgACAAIAAgAFQATwBDAE8ATAAoAFQAQQBLAEUAKABEAFIATwBQACgATQAsACAAMQAsACAALQAxACkALAAgAGgAZQBpAGcAaAB0ACwAIAB3AGkAZAB0AGgAKQApACwAIAAgACAAIAAgAC8ALwAgAFcAXABuACAAIAAgACAAYwBlAG4AdABlAHIALAAgAFQATwBDAE8ATAAoAFQAQQBLAEUAKABEAFIATwBQACgATQAsACAAMQAsACAAMQApACwAIABoAGUAaQBnAGgAdAAsACAAdwBpAGQAdABoACkAKQAsACAAIAAgACAAIAAgAC8ALwAgAEMAXABuACAAIAAgACAAZgAsACAAIAAgACAAIAAgAFQATwBDAE8ATAAoAFQAQQBLAEUAKABEAFIATwBQACgATQAsACAAMQAsACAAMQApACwAIABoAGUAaQBnAGgAdAAsACAALQB3AGkAZAB0AGgAKQApACwAIAAgACAAIAAgAC8ALwAgAEUAXABuACAAIAAgACAAZwAsACAAIAAgACAAIAAgAFQATwBDAE8ATAAoAFQAQQBLAEUAKABEAFIATwBQACgATQAsACAAMQAsACAALQAxACkALAAgAC0AaABlAGkAZwBoAHQALAAgAHcAaQBkAHQAaAApACkALAAgACAAIAAgAC8ALwAgAFMAVwBcAG4AIAAgACAAIABoACwAIAAgACAAIAAgACAAVABPAEMATwBMACgAVABBAEsARQAoAEQAUgBPAFAAKABNACwAIAAxACwAIAAtADEAKQAsACAALQBoAGUAaQBnAGgAdAAsACAALQB3AGkAZAB0AGgAKQApACwAIAAgACAALwAvACAAUwBcAG4AIAAgACAAIABpACwAIAAgACAAIAAgACAAVABPAEMATwBMACgAVABBAEsARQAoAEQAUgBPAFAAKABNACwAIAAxACwAIAAxACkALAAgAC0AaABlAGkAZwBoAHQALAAgAC0AdwBpAGQAdABoACkAKQAsACAAIAAgACAALwAvACAAUwBFAFwAbgBcAG4AIAAgACAAIAAvAC8AIABOAGUAaQBnAGgAYgBvAHIAaABvAG8AZAAgAGEAcwBzAGUAbQBiAGwAaQBlAHMAXABuACAAIAAgACAATQBvAG8AcgBlAF8AbgBvAF8AYwBlAG4AdABlAHIALAAgACAAIAAgACAAIAAgAEgAUwBUAEEAQwBLACgAYQAsAGIALABjACwAZAAsAGYALABnACwAaAAsAGkAKQAsAFwAbgAgACAAIAAgAE0AbwBvAHIAZQBfAHcAaQB0AGgAXwBjAGUAbgB0AGUAcgAsACAAIAAgACAAIABIAFMAVABBAEMASwAoAGEALABiACwAYwAsAGQALABjAGUAbgB0AGUAcgAsAGYALABnACwAaAAsAGkAKQAsAFwAbgBcAG4AIAAgACAAIAB2AG8AbgBfAG4AbwBfAGMAZQBuAHQAZQByACwAIAAgACAAIAAgACAAIAAgACAASABTAFQAQQBDAEsAKABiACwAZAAsAGYALABoACkALABcAG4AIAAgACAAIAB2AG8AbgBfAHcAaQB0AGgAXwBjAGUAbgB0AGUAcgAsACAAIAAgACAAIAAgACAASABTAFQAQQBDAEsAKABiACwAZAAsAGYALABoACwAYwBlAG4AdABlAHIAKQAsAFwAbgBcAG4AIAAgACAAIAAvAC8AIABBAGcAZwByAGUAZwBhAHQAbwByAFwAbgAgACAAIAAgAEEAZwBnAHIAZQBnAGEAdABlALsDLAAgACAAIAAgACAAIAAgACAAIAAgACAAIABMAEEATQBCAEQAQQAoAHYALABcAG4AIAAgACAAIAAgACAAIAAgACAAIAAgACAAIAAgACAAIAAgACAAIAAgACAAIAAgACAAIAAgACAAIABmAHUAbgBjAHQAaQBvAG4AKABUAE8AQwBPAEwAKABJAEYAUwAoAHYALAAgAHYAKQAsADIAKQApACkALABcAG4AXABuACAAIAAgACAALwAvACAAQQBwAHAAbAB5ACAAYQBnAGcAcgBlAGcAYQB0AGkAbwBuAFwAbgAgACAAIAAgAGEAZwBnACwAIAAgACAAIAAgACAAIAAgACAAIAAgACAAIAAgACAAIAAgACAAIABJAEYAKABJAHMAdgBvAG4ATgBlAHUAbQBhAG4AbgA/ACwAXABuAFwAbgAgACAAIAAgACAAIAAgACAAIAAgACAAIAAgACAAIAAgACAAIAAgACAAIAAgACAAIAAgACAAIAAgACAAIAAgACAASQBGACgAbwBtAGkAdABfAGMAZQBuAHQAZQByACwAQgBZAFIATwBXACgAdgBvAG4AXwBuAG8AXwBjAGUAbgB0AGUAcgAsACAAQQBnAGcAcgBlAGcAYQB0AGUAuwMpACwAXABuACAAIAAgACAAIAAgACAAIAAgACAAIAAgACAAIAAgACAAIAAgACAAIAAgACAAIAAgACAAIAAgACAAIAAgACAAIAAgACAAIAAgACAAIAAgACAAIAAgACAAIAAgACAAIABCAFkAUgBPAFcAKAB2AG8AbgBfAHcAaQB0AGgAXwBjAGUAbgB0AGUAcgAsACAAQQBnAGcAcgBlAGcAYQB0AGUAuwMpACkALABcAG4AXABuACAAIAAgACAAIAAgACAAIAAgACAAIAAgACAAIAAgACAAIAAgACAAIAAgACAAIAAgACAAIAAgACAAIAAgACAAIABJAEYAKABvAG0AaQB0AF8AYwBlAG4AdABlAHIALABCAFkAUgBPAFcAKABNAG8AbwByAGUAXwBuAG8AXwBjAGUAbgB0AGUAcgAsACAAQQBnAGcAcgBlAGcAYQB0AGUAuwMpACwAXABuACAAIAAgACAAIAAgACAAIAAgACAAIAAgACAAIAAgACAAIAAgACAAIAAgACAAIAAgACAAIAAgACAAIAAgACAAIAAgACAAIAAgACAAIAAgACAAIAAgACAAIAAgACAAIABCAFkAUgBPAFcAKABNAG8AbwByAGUAXwB3AGkAdABoAF8AYwBlAG4AdABlAHIALAAgAEEAZwBnAHIAZQBnAGEAdABlALsDKQApACkALABcAG4AXABuACAAIAAgACAALwAvACAAUgBlAHMAaABhAHAAZQAgAGIAYQBjAGsAIAB0AG8AIABhAHIAcgBhAHkAXwAyAEQAXABuACAAIAAgACAAZABlAGwAaQB2AGUAcgAsACAAIAAgACAAIAAgACAAIAAgACAAIAAgACAAIAAgAEkARgBFAFIAUgBPAFIAKABXAFIAQQBQAFIATwBXAFMAKABhAGcAZwAsACAAdwBpAGQAdABoACkALAAgADAAKQAsAFwAbgBcAG4AIAAgACAAIABkAGUAbABpAHYAZQByAFwAbgApACkAKQApADsAXABuAFwAbgBcAG4AXABuAC8AKgAgAFsARwBSADEAMgBdACAALQAtAC0ALQAtAC0ALQAtAC0ALQAtAC0ALQAtAC0ALQAtAC0ALQAtAC0ALQAtAC0ALQAtAC0ALQAtAC0ALQAtAC0ALQAtAC0ALQAtAC0ALQAtAC0ALQAtAC0ALQAtAC0ALQAtAC0ALQAtAC0ALQAtAC0ALQAtAC0ALQAtAC0ALQAtAC0ALQAtAC0ALQAtAC0ALQBcAG4ARgB1AG4AYwB0AGkAbwBuADoAIAAgACAAIAAgAE0AbwBvAHIAZQBTAGUAbABlAGMAdAC7A1wAbgBDAGEAdABlAGcAbwByAHkAOgAgACAAIAAgACAARwByAGkAZAAgAEEAbgBhAGwAeQB0AGkAYwBzACAAKABOAGUAaQBnAGgAYgBvAHIAaABvAG8AZABzACkAXABuAEEAdQB0AGgAbwByADoAIAAgACAAIAAgACAAIABQAGEAdAByAGkAYwBrACAASAAuAFwAbgBWAGUAcgBzAGkAbwBuADoAIAAgACAAIAAgACAAMQAuADEAXABuAFwAbgBEAGUAcwBjAHIAaQBwAHQAaQBvAG4AOgBcAG4AIAAgACAAIABTAGUAbABlAGMAdABzACAAYQAgAHMAcABlAGMAaQBmAGkAYwAgAG4AZQBpAGcAaABiAG8AcgAgACgAMQATIDkAKQAgAGYAcgBvAG0AIAB0AGgAZQAgAE0AbwBvAHIAZQAgAG4AZQBpAGcAaABiAG8AcgBoAG8AbwBkACAAZgBvAHIAIABlAGEAYwBoAFwAbgAgACAAIAAgAGUAbABlAG0AZQBuAHQAIABpAG4AIABhACAAYQByAHIAYQB5AF8AMgBEAC4AIABOAGUAaQBnAGgAYgBvAHIAIABpAG4AZABlAHgAIAA1ACAAcgBlAHQAdQByAG4AcwAgAHQAaABlACAAYwBlAG4AdABlAHIAIABjAGUAbABsAC4AXABuAFwAbgBNAG8AbwByAGUAIABOAGUAaQBnAGgAYgBvAHIAaABvAG8AZAA6AFwAbgAgACAAIAAgACAAIAAgACAAMQAgACAAIAAyACAAIAAgADMAXABuACAAIAAgACAAIAAgACAAIAA0ACAAIAAgAEMAIAAgACAANgBcAG4AIAAgACAAIAAgACAAIAAgADcAIAAgACAAOAAgACAAIAA5AFwAbgBcAG4AUABhAHIAYQBtAGUAdABlAHIAcwA6AFwAbgAgACAAIAAgAGEAcgByAGEAeQBfADIARAAgACAAIAAgACAAIAAtACAAMgBEACAAaQBuAHAAdQB0ACAAYQByAHIAYQB5AF8AMgBEAC4AXABuACAAIAAgACAAbgBlAGkAZwBoAGIAbwByACAAIAAgACAALQAgAEkAbgB0AGUAZwBlAHIAIAAxABMgOQAgAGkAbgBkAGkAYwBhAHQAaQBuAGcAIAB3AGgAaQBjAGgAIABuAGUAaQBnAGgAYgBvAHIAIAB0AG8AIAByAGUAdAB1AHIAbgAuAFwAbgAtAC0ALQAtAC0ALQAtAC0ALQAtAC0ALQAtAC0ALQAtAC0ALQAtAC0ALQAtAC0ALQAtAC0ALQAtAC0ALQAtAC0ALQAtAC0ALQAtAC0ALQAtAC0ALQAtAC0ALQAtAC0ALQAtAC0ALQAtAC0ALQAtAC0ALQAtAC0ALQAtAC0ALQAtAC0ALQAtAC0ALQAtAC0ALQAtAC0ALQAtAC0ALQAqAC8AXABuAFwAbgBNAG8AbwByAGUAUwBlAGwAZQBjAHQAuwMgAD0AXABuAEwAQQBNAEIARABBACgAXABuACAAIAAgACAAYQByAHIAYQB5AF8AMgBEACwAXABuACAAIAAgACAAbgBlAGkAZwBoAGIAbwByACwAXABuAFwAbgBJAEYAKABUAFkAUABFACgAYQByAHIAYQB5AF8AMgBEACkAIAA8AD4AIAA2ADQALABcACIAIwBhAHIAcgBhAHkAXwAyAEQAIQBcACIALABcAG4AXABuACAAIAAgACAASQBGACgATgBPAFQAKABBAE4ARAAoAG4AZQBpAGcAaABiAG8AcgAgAD4APQAgADEALAAgAG4AZQBpAGcAaABiAG8AcgAgADwAPQAgADkALAAgAE4ATwBUACgASQBTAFQARQBYAFQAKABuAGUAaQBnAGgAYgBvAHIAKQApACkAKQAsAFwAIgAjAE4ARQBJAEcASABCAE8AUgAhAFwAIgAsAFwAbgBcAG4ATABFAFQAKABcAG4AIAAgACAAIAAvAC8AIABEAGkAbQBlAG4AcwBpAG8AbgBzAFwAbgAgACAAIAAgAGgAZQBpAGcAaAB0ACwAIAAgACAAIAAgACAAIAAgACAAIAAgACAAIABSAE8AVwBTACgAYQByAHIAYQB5AF8AMgBEACkALABcAG4AIAAgACAAIAB3AGkAZAB0AGgALAAgACAAIAAgACAAIAAgACAAIAAgACAAIAAgACAAQwBPAEwAVQBNAE4AUwAoAGEAcgByAGEAeQBfADIARAApACwAXABuAFwAbgAgACAAIAAgAC8ALwAgAFAAYQBkACAAYQByAHIAYQB5AF8AMgBEACAAdwBpAHQAaAAgAHoAZQByAG8AcwAgACgAbgBvACAAYQBnAGcAcgBlAGcAYQB0AGkAbwBuACAAbgBlAGUAZABlAGQAKQBcAG4AIAAgACAAIABoAHAAYQBkACwAIAAgACAAIAAgACAAIAAgACAAIAAgACAAIAAgACAARQBYAFAAQQBOAEQAKAAwACwAIAAsACAAdwBpAGQAdABoACAAKwAgADIALAAgADAAKQAsAFwAbgAgACAAIAAgAHYAcABhAGQALAAgACAAIAAgACAAIAAgACAAIAAgACAAIAAgACAAIABFAFgAUABBAE4ARAAoADAALAAgAGgAZQBpAGcAaAB0ACwAIAAsACAAMAApACwAXABuACAAIAAgACAATQAsACAAIAAgACAAIAAgACAAIAAgACAAIAAgACAAIAAgACAAIAAgAFYAUwBUAEEAQwBLACgAaABwAGEAZAAsACAASABTAFQAQQBDAEsAKAB2AHAAYQBkACwAIABhAHIAcgBhAHkAXwAyAEQALAAgAHYAcABhAGQAKQAsACAAaABwAGEAZAApACwAXABuAFwAbgAgACAAIAAgAC8ALwAgAE0AbwBvAHIAZQAgAG4AZQBpAGcAaABiAG8AcgBoAG8AbwBkACAAZQB4AHQAcgBhAGMAdABpAG8AbgBcAG4AIAAgACAAIABhACwAIAAgACAAIAAgACAAIAAgACAAIAAgACAAIAAgACAAIAAgACAARABSAE8AUAAoAE0ALAAgAC0AMgAsACAALQAyACkALAAgACAAIAAgACAAIAAgACAAIAAgACAAIAAgACAAIAAgACAAIAAgACAAIAAgACAAIAAgAC8ALwAgAE4AVwBcAG4AIAAgACAAIABiACwAIAAgACAAIAAgACAAIAAgACAAIAAgACAAIAAgACAAIAAgACAAVABBAEsARQAoAEQAUgBPAFAAKABNACwAIAAsACAAMQApACwAIABoAGUAaQBnAGgAdAAsACAAdwBpAGQAdABoACkALAAgACAAIAAgACAAIAAgAC8ALwAgAE4AXABuACAAIAAgACAAYwAsACAAIAAgACAAIAAgACAAIAAgACAAIAAgACAAIAAgACAAIAAgAFQAQQBLAEUAKABEAFIATwBQACgATQAsACAALAAgADIAKQAsACAAaABlAGkAZwBoAHQAKQAsACAAIAAgACAAIAAgACAAIAAgACAAIAAgACAAIAAvAC8AIABOAEUAXABuACAAIAAgACAAZAAsACAAIAAgACAAIAAgACAAIAAgACAAIAAgACAAIAAgACAAIAAgAFQAQQBLAEUAKABEAFIATwBQACgATQAsACAAMQAsACAALQAxACkALAAgAGgAZQBpAGcAaAB0ACwAIAB3AGkAZAB0AGgAKQAsACAAIAAgACAAIAAvAC8AIABXAFwAbgAgACAAIAAgAGMAZQBuAHQAZQByACwAIAAgACAAIAAgACAAIAAgACAAIAAgACAAIABUAEEASwBFACgARABSAE8AUAAoAE0ALAAgADEALAAgADEAKQAsACAAaABlAGkAZwBoAHQALAAgAHcAaQBkAHQAaAApACwAIAAgACAAIAAgACAALwAvACAAQwBcAG4AIAAgACAAIABmACwAIAAgACAAIAAgACAAIAAgACAAIAAgACAAIAAgACAAIAAgACAAVABBAEsARQAoAEQAUgBPAFAAKABNACwAIAAxACwAIAAxACkALAAgAGgAZQBpAGcAaAB0ACwAIAAtAHcAaQBkAHQAaAApACwAIAAgACAAIAAgAC8ALwAgAEUAXABuACAAIAAgACAAZwAsACAAIAAgACAAIAAgACAAIAAgACAAIAAgACAAIAAgACAAIAAgAFQAQQBLAEUAKABEAFIATwBQACgATQAsACAAMQAsACAALQAxACkALAAgAC0AaABlAGkAZwBoAHQALAAgAHcAaQBkAHQAaAApACwAIAAgACAAIAAvAC8AIABTAFcAXABuACAAIAAgACAAaAAsACAAIAAgACAAIAAgACAAIAAgACAAIAAgACAAIAAgACAAIAAgAFQAQQBLAEUAKABEAFIATwBQACgATQAsACAAMQAsACAALQAxACkALAAgAC0AaABlAGkAZwBoAHQALAAgAC0AdwBpAGQAdABoACkALAAgACAAIAAvAC8AIABTAFwAbgAgACAAIAAgAGkALAAgACAAIAAgACAAIAAgACAAIAAgACAAIAAgACAAIAAgACAAIABUAEEASwBFACgARABSAE8AUAAoAE0ALAAgADEALAAgADEAKQAsACAALQBoAGUAaQBnAGgAdAAsACAALQB3AGkAZAB0AGgAKQAsACAAIAAgACAALwAvACAAUwBFAFwAbgBcAG4AIAAgACAAIAAvAC8AIABTAHQAYQBjAGsAIABhAGwAbAAgADkAIABuAGUAaQBnAGgAYgBvAHIAcwAgAGgAbwByAGkAegBvAG4AdABhAGwAbAB5AFwAbgAgACAAIAAgAE0AbwBvAHIAZQAsACAAIAAgACAAIAAgACAAIAAgACAAIAAgACAAIABIAFMAVABBAEMASwAoAGEALAAgAGIALAAgAGMALAAgAGQALAAgAGMAZQBuAHQAZQByACwAIABmACwAIABnACwAIABoACwAIABpACkALABcAG4AXABuACAAIAAgACAALwAvACAAQwBvAG0AcAB1AHQAZQAgAHMAdABhAHIAdABpAG4AZwAgAGMAbwBsAHUAbQBuACAAZgBvAHIAIAB0AGgAZQAgAGMAaABvAHMAZQBuACAAbgBlAGkAZwBoAGIAbwByAFwAbgAgACAAIAAgAHMAdABhAHIAdAAsACAAIAAgACAAIAAgACAAIAAgACAAIAAgACAAIAAoAG4AZQBpAGcAaABiAG8AcgAgAC0AIAAxACkAIAAqACAAdwBpAGQAdABoACAAKwAgADEALABcAG4AXABuACAAIAAgACAALwAvACAAUwBlAGwAZQBjAHQAIAB0AGgAZQAgAG4AZQBpAGcAaABiAG8AcgAgAGIAbABvAGMAawBcAG4AIAAgACAAIABzAGUAbABlAGMAdABfAG4AZQBpAGcAaABiAG8AcgAsACAAIAAgACAAQwBIAE8ATwBTAEUAQwBPAEwAUwAoAE0AbwBvAHIAZQAsACAAUwBFAFEAVQBFAE4AQwBFACgALAAgAHcAaQBkAHQAaAAsACAAcwB0AGEAcgB0ACkAKQAsAFwAbgBcAG4AIAAgACAAIABzAGUAbABlAGMAdABfAG4AZQBpAGcAaABiAG8AcgBcAG4AKQApACkAKQA7AFwAbgBcAG4AXABuAFwAbgAvACoAIABbAEcAUgAxADMAXQAgAC0ALQAtAC0ALQAtAC0ALQAtAC0ALQAtAC0ALQAtAC0ALQAtAC0ALQAtAC0ALQAtAC0ALQAtAC0ALQAtAC0ALQAtAC0ALQAtAC0ALQAtAC0ALQAtAC0ALQAtAC0ALQAtAC0ALQAtAC0ALQAtAC0ALQAtAC0ALQAtAC0ALQAtAC0ALQAtAC0ALQAtAC0ALQAtAC0AXABuAEYAdQBuAGMAdABpAG8AbgA6ACAAIAAgACAAIABIAGkAcwB0AG8AZwByAGEAb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HAGUAbgBlAHIAYQB0AGUAcwAgAGEAIABoAGkAcwB0AG8AZwByAGEAbQAgAHUAcwBpAG4AZwAgAGEAdQB0AG8AbQBhAHQAaQBjACAAYgBpAG4AbgBpAG4AZwAgAHIAdQBsAGUAcwAgACgAUwB0AHUAcgBnAGUAcwAsACAAUgBpAGMAZQAsAFwAbgAgACAAIAAgAFMAYwBvAHQAdAAsACAARgByAGUAZQBkAG0AYQBuACkAIABkAGUAcABlAG4AZABpAG4AZwAgAG8AbgAgAHMAYQBtAHAAbABlACAAcwBpAHoAZQAgAGEAbgBkACAAcwBrAGUAdwBuAGUAcwBzAC4AIABTAHUAcABwAG8AcgB0AHMAIABhAG4AXABuACAAIAAgACAAbwBwAHQAaQBvAG4AYQBsACAAZgBpAHgAZQBkACAAYgBpAG4AIAB3AGkAZAB0AGgAIABhAG4AZAAgAGEAbgAgAG8AcAB0AGkAbwBuAGEAbAAgAFAAYQByAGUAdABvACAAKABjAHUAbQB1AGwAYQB0AGkAdgBlACAAJQApACAAYwBvAGwAdQBtAG4ALgBcAG4AXABuAFAAYQByAGEAbQBlAHQAZQByAHMAOgBcAG4AIAAgACAAIABhAHIAcgBhAHkAIAAgACAAIAAgACAAIAAgACAAIAAgACAALQAgAE4AdQBtAGUAcgBpAGMAIABhAHIAcgBhAHkAIAAoADEARAAgAG8AcgAgADIARAApAC4AXABuACAAIAAgACAAWwBiAGkAbgBfAHcAaQBkAHQAaABdACAAIAAgACAAIAAgAC0AIABPAHAAdABpAG8AbgBhAGwAIABmAGkAeABlAGQAIABiAGkAbgAgAHcAaQBkAHQAaAAgACgAMAAgADwAIAB3AGkAZAB0AGgAIABkIiAAMQAwADAAMAApAC4AXABuACAAIAAgACAAWwBpAG4AYwBsAHUAZABlAF8AUABhAHIAZQB0AG8AXQAgAC0AIABUAFIAVQBFACAAkiEgAGkAbgBjAGwAdQBkAGUAIABjAHUAbQB1AGwAYQB0AGkAdgBlACAAJQAgAGMAbwBsAHUAbQBuAC4AXABuAFwAbgBOAG8AdABlAHMAOgBcAG4AIAAgACAAIAAiICAAUgBlAHQAdQByAG4AcwAgACMAVgBBAEwAVQBFACEAIABpAGYAIABmAGUAdwBlAHIAIAB0AGgAYQBuACAAMgAgAHYAYQBsAHUAZQBzACAAYQByAGUAIABzAHUAcABwAGwAaQBlAGQALgBcAG4AIAAgACAAIAAiICAAQwBhAHAAcwAgAHQAbwB0AGEAbAAgAGIAaQBuAHMAIABhAHQAIAAxADAAMAAuAFwAbgAgACAAIAAgACIgIABJAGYAIABiAGkAbgBfAHcAaQBkAHQAaAAgAGkAcwAgAHMAdQBwAHAAbABpAGUAZAAsACAAYQB1AHQAbwBtAGEAdABpAGMAIAByAHUAbABlAHMAIABhAHIAZQAgAGIAeQBwAGEAcwBzAGUAZAAuAFwAbgAtAC0ALQAtAC0ALQAtAC0ALQAtAC0ALQAtAC0ALQAtAC0ALQAtAC0ALQAtAC0ALQAtAC0ALQAtAC0ALQAtAC0ALQAtAC0ALQAtAC0ALQAtAC0ALQAtAC0ALQAtAC0ALQAtAC0ALQAtAC0ALQAtAC0ALQAtAC0ALQAtAC0ALQAtAC0ALQAtAC0ALQAtAC0ALQAtAC0ALQAtAC0ALQAqAC8AXABuAFwAbgBIAGkAcwB0AG8AZwByAGEAbQC7AyAAPQBcAG4ATABBAE0AQgBEAEEAKABcAG4AIAAgACAAIABhAHIAcgBhAHkALABcAG4AIAAgACAAIABbAGIAaQBuAF8AdwBpAGQAdABoAF0ALABcAG4AIAAgACAAIABbAGkAbgBjAGwAdQBkAGUAXwBQAGEAcgBlAHQAbwBdACwAXABuAFwAbgBcAG4ASQBGACgAQwBPAFUATgBUACgAYQByAHIAYQB5ACkAIAA8AD0AIAAxACwAIwBWAEEATABVAEUAIQAsAFwAbgBcAG4AIAAgACAAIABJAEYAKABBAE4ARAAoAE4ATwBUACgASQBTAE8ATQBJAFQAVABFAEQAKABiAGkAbgBfAHcAaQBkAHQAaAApACkALABPAFIAKABiAGkAbgBfAHcAaQBkAHQAaAAgADwAIAAwACwAIABiAGkAbgBfAHcAaQBkAHQAaAAgAD4AIAAxADAAMAAwACkAKQAsAFwAIgAjAEIASQBOAC0AVwBJAEQAVABIACEAXAAiACwAXABuAFwAbgBMAEUAVAAoAFwAbgAgACAAIAAgAC8ALwAgAFMAYQBtAHAAbABlACAAYwBoAGEAcgBhAGMAdABlAHIAaQBzAHQAaQBjAHMAXABuACAAIAAgACAAbgAsACAAIAAgACAAIAAgACAAIAAgACAAIAAgACAAIABDAE8AVQBOAFQAKABhAHIAcgBhAHkAKQAsAFwAbgAgACAAIAAgAFMAbQBhAGwAbABEAGEAdABhAD8ALAAgACAAIAAgACAAbgAgADwAIAAyADAAMAAsAFwAbgAgACAAIAAgAEEAZABkAF8AUABhAHIAZQB0AG8APwAsACAAIAAgACAATgBPAFQAKABJAFMATwBNAEkAVABUAEUARAAoAGkAbgBjAGwAdQBkAGUAXwBQAGEAcgBlAHQAbwApACkALABcAG4AXABuACAAIAAgACAAbQBpAG4ALAAgACAAIAAgACAAIAAgACAAIAAgACAAIABNAEkATgAoAGEAcgByAGEAeQApACwAXABuACAAIAAgACAAbQBhAHgALAAgACAAIAAgACAAIAAgACAAIAAgACAAIABNAEEAWAAoAGEAcgByAGEAeQApACwAXABuACAAIAAgACAAcgBhAG4AZwBlACwAIAAgACAAIAAgACAAIAAgACAAIABtAGEAeAAgAC0AIABtAGkAbgAsAFwAbgAgACAAIAAgAGkAcQByACwAIAAgACAAIAAgACAAIAAgACAAIAAgACAAUQBVAEEAUgBUAEkATABFACgAYQByAHIAYQB5ACwAIAAzACkAIAAtACAAUQBVAEEAUgBUAEkATABFACgAYQByAHIAYQB5ACwAIAAxACkALABcAG4AXABuACAAIAAgACAAcwAsACAAIAAgACAAIAAgACAAIAAgACAAIAAgACAAIABTAEsARQBXACgAYQByAHIAYQB5ACkALABcAG4AIAAgACAAIABJAHMAUwBrAGUAdwBlAGQAPwAsACAAIAAgACAAIAAgAEkARgAoAFMAbQBhAGwAbABEAGEAdABhAD8ALAAgAEYAQQBMAFMARQAsACAAQQBCAFMAKABzACkAIAA+ACAAMAAuADIAKQAsAFwAbgBcAG4AIAAgACAAIAAvAC8AIABPAHAAdABpAG8AbgBhAGwAIABmAGkAeABlAGQAIABiAGkAbgAgAHcAaQBkAHQAaABcAG4AIAAgACAAIABJAHMARgBpAHgAZQBkAD8ALAAgACAAIAAgACAAIAAgAE4ATwBUACgASQBTAE8ATQBJAFQAVABFAEQAKABiAGkAbgBfAHcAaQBkAHQAaAApACkALABcAG4AXABuACAAIAAgACAALwAvACAAQQB1AHQAbwBtAGEAdABpAGMAIABiAGkAbgBuAGkAbgBnACAAcgB1AGwAZQBzAFwAbgAgACAAIAAgAFMAdAB1AHIAZwBlACwAIAAgACAAIAAgACAAIAAgACAAQwBFAEkATABJAE4ARwAoAEwATwBHACgAbgAsACAAMgApACAAKwAgADEALAAgADEAKQAsAFwAbgAgACAAIAAgAFMAUgBSACwAIAAgACAAIAAgACAAIAAgACAAIAAgACAAQwBFAEkATABJAE4ARwAoAFMAUQBSAFQAKABuACkALAAgADEAKQAsAFwAbgAgACAAIAAgAFIAaQBjAGUALAAgACAAIAAgACAAIAAgACAAIAAgACAAQwBFAEkATABJAE4ARwAoADIAIAAqACAAbgBeACgAMQAvADMAKQAsACAAMQApACwAXABuACAAIAAgACAAUwBjAG8AdAB0ACwAIAAgACAAIAAgACAAIAAgACAAIABDAEUASQBMAEkATgBHACgAMwAuADUAIAAqACAAUwBUAEQARQBWAC4AUAAoAGEAcgByAGEAeQApACAALwAgAG4AXgAoADEALwAzACkALAAgADEAKQAsAFwAbgAgACAAIAAgAEYAcgBlAGUAZABtAGEAbgAsACAAIAAgACAAIAAgACAAQwBFAEkATABJAE4ARwAoADIAIAAqACAAaQBxAHIAIAAvACAAbgBeACgAMQAvADMAKQAsACAAMQApACwAXABuAFwAbgAgACAAIAAgAGYAaQB4AGUAZAAsACAAIAAgACAAIAAgACAAIAAgACAAQwBFAEkATABJAE4ARwAoAHIAYQBuAGcAZQAgAC8AIABiAGkAbgBfAHcAaQBkAHQAaAAsACAAMQAgAC8AIABiAGkAbgBfAHcAaQBkAHQAaAApACwAXABuAFwAbgAgACAAIAAgAC8ALwAgAEIAaQBuACAAYwBvAHUAbgB0ACAAcwBlAGwAZQBjAHQAaQBvAG4AXABuACAAIAAgACAAawAsACAAIAAgACAAIAAgACAAIAAgACAAIAAgACAAIABJAEYAKABJAHMARgBpAHgAZQBkAD8ALABmAGkAeABlAGQALABcAG4AIAAgACAAIAAgACAAIAAgACAAIAAgACAAIAAgACAAIAAgACAAIAAgACAAIAAgACAASQBGACgAbgAgADwAPQAgADMAMAAsAE0AQQBYACgAUwB0AHUAcgBnAGUALAAgAFIAaQBjAGUAKQAsAFwAbgAgACAAIAAgACAAIAAgACAAIAAgACAAIAAgACAAIAAgACAAIAAgACAAIAAgACAAIAAgACAAIAAgAEkARgAoAEkAcwBTAGsAZQB3AGUAZAA/ACwATQBJAE4AKABGAHIAZQBlAGQAbQBhAG4ALAAgADEANQApACwAXABuACAAIAAgACAAIAAgACAAIAAgACAAIAAgACAAIAAgACAAIAAgACAAIAAgACAAIAAgACAAIAAgACAAIAAgACAAIABNAEkATgAoAFMAYwBvAHQAdAAsACAAMQA1ACkAKQApACkALABcAG4AXABuACAAIAAgACAALwAvACAAQQB2AG8AaQBkACAAcwBpAG4AZwBsAGUALQBiAGkAbgAgAG8AdQB0AHAAdQB0ADsAIABjAGEAcAAgAGEAdAAgADEAMAAwAFwAbgAgACAAIAAgAGsAXwAsACAAIAAgACAAIAAgACAAIAAgACAAIAAgACAATQBJAE4AKABJAEYAKABrACAAPQAgADEALAAgADUALAAgAGsAKQAsACAAMQAwADAAKQAsAFwAbgBcAG4AIAAgACAAIAAvAC8AIABCAGkAbgAgAGkAbgB0AGUAcgB2AGEAbABcAG4AIAAgACAAIABpAG4AdABlAHIAdgBhAGwALAAgACAAIAAgACAAIAAgAEkARgAoAHIAYQBuAGcAZQAgAD0AIAAwACwAIAAxACwAIABNAEEAWAAoAHIAYQBuAGcAZQAgAC8AIABrAF8ALAAgADAALgAxACkAKQAsAFwAbgAgACAAIAAgAGIAaQBuAF8AdQBwAHAAZQByACwAIAAgACAAIAAgACAAQwBFAEkATABJAE4ARwAoAG0AYQB4ACwAIABpAG4AdABlAHIAdgBhAGwAKQAsAFwAbgAgACAAIAAgAGIAaQBuAF8AbABvAHcAZQByACwAIAAgACAAIAAgACAARgBMAE8ATwBSACgAbQBpAG4ALAAgAGkAbgB0AGUAcgB2AGEAbAApACwAXABuAFwAbgAgACAAIAAgAGIAaQBuAF8AYQByAHIALAAgACAAIAAgACAAIAAgACAAUwBFAFEAVQBFAE4AQwBFACgAMQAgACsAIAAoAGIAaQBuAF8AdQBwAHAAZQByACAALQAgAGIAaQBuAF8AbABvAHcAZQByACkAIAAvACAAaQBuAHQAZQByAHYAYQBsACwALABiAGkAbgBfAGwAbwB3AGUAcgAsAGkAbgB0AGUAcgB2AGEAbAApACwAXABuAFwAbgAgACAAIAAgAC8ALwAgAEIAaQBuACAAbABhAGIAZQBsAHMAXABuACAAIAAgACAAYgBpAG4AXwBzAHQAYQByAHQALAAgACAAIAAgACAAIABEAFIATwBQACgAYgBpAG4AXwBhAHIAcgAsACAALQAxACkALABcAG4AIAAgACAAIABiAGkAbgBfAGUAbgBkACwAIAAgACAAIAAgACAAIAAgAEQAUgBPAFAAKABiAGkAbgBfAGEAcgByACwAIAAxACkALABcAG4AXABuACAAIAAgACAAYgBpAG4AXwBoAGUAYQBkAGUAcgAsACAAIAAgACAAIAB7AFwAIgBTAHQAYQByAHQAXAAiACwAIABcACIARQBuAGQAXAAiACwAIABcACIAVABvAHQAYQBsAFwAIgB9ACwAXABuACAAIAAgACAAYgBpAG4AXwBsAGEAYgBlAGwAcwAsACAAIAAgACAAIABIAFMAVABBAEMASwAoAFYAUwBUAEEAQwBLACgAXAAiADwAXAAiACwAIABiAGkAbgBfAHMAdABhAHIAdAApACwAXABuACAAIAAgACAAIAAgACAAIAAgACAAIAAgACAAIAAgACAAIAAgACAAIAAgACAAIAAgACAAIAAgAFYAUwBUAEEAQwBLACgAVABBAEsARQAoAGIAaQBuAF8AcwB0AGEAcgB0ACwAIAAxACkALAAgAGIAaQBuAF8AZQBuAGQAKQApACwAXABuAFwAbgAgACAAIAAgAC8ALwAgAEYAcgBlAHEAdQBlAG4AYwBpAGUAcwAgAGEAbgBkACAAUABhAHIAZQB0AG8AXABuACAAIAAgACAAZgByAGUAcQAsACAAIAAgACAAIAAgACAAIAAgACAAIABEAFIATwBQACgARgBSAEUAUQBVAEUATgBDAFkAKABhAHIAcgBhAHkALAAgAGIAaQBuAF8AYQByAHIAKQAsACAALQAxACkALABcAG4AIAAgACAAIABQAGEAcgBlAHQAbwAsACAAIAAgACAAIAAgACAAIAAgAEIAWQBSAE8AVwAoAGYAcgBlAHEALAAgAEwAQQBNAEIARABBACgAdgAsACAAUABFAFIAQwBFAE4AVABPAEYAKAB2ACwAIABmAHIAZQBxACkAKQApACwAXABuAFwAbgAgACAAIAAgAC8ALwAgAEYAaQBuAGEAbAAgAGEAcwBzAGUAbQBiAGwAeQBcAG4AIAAgACAAIABzAHQAYQBjAGsALAAgACAAIAAgACAAIAAgACAAIAAgAFYAUwBUAEEAQwBLACgAYgBpAG4AXwBoAGUAYQBkAGUAcgAsACAASABTAFQAQQBDAEsAKABiAGkAbgBfAGwAYQBiAGUAbABzACwAIABmAHIAZQBxACkAKQAsAFwAbgBcAG4AIAAgACAAIABkAGUAbABpAHYAZQByACwAIAAgACAAIAAgACAAIAAgAEkARgAoAEEAZABkAF8AUABhAHIAZQB0AG8APwAsAFMATwBSAFQAKABIAFMAVABBAEMASwAoAHMAdABhAGMAawAsAFYAUwBUAEEAQwBLACgAXAAiAEMAdQBtAHUAbABhAHQAaQB2AGUAIAAlAFwAIgAsACAAUABhAHIAZQB0AG8AKQApACwAMwAsAC0AMQApACwAXABuACAAIAAgACAAIAAgACAAIAAgACAAIAAgACAAIAAgACAAIAAgACAAIAAgACAAIAAgAHMAdABhAGMAawApACwAXABuAFwAbgAgACAAIAAgAGQAZQBsAGkAdgBlAHIAXABuACkAKQApACkAOwBcAG4AXABuAFwAbgBcAG4ALwAqACAAWwBHAFIAMQA0AF0AIAAtAC0ALQAtAC0ALQAtAC0ALQAtAC0ALQAtAC0ALQAtAC0ALQAtAC0ALQAtAC0ALQAtAC0ALQAtAC0ALQAtAC0ALQAtAC0ALQAtAC0ALQAtAC0ALQAtAC0ALQAtAC0ALQAtAC0ALQAtAC0ALQAtAC0ALQAtAC0ALQAtAC0ALQAtAC0ALQAtAC0ALQAtAC0ALQAtAFwAbgBGAHUAbgBjAHQAaQBvAG4AOgAgACAAIAAgACAATQBvAGQAZ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SAGUAdAB1AHIAbgBzACAAYQAgAHYAZQByAHQAaQBjAGEAbAAgAGEAcgByAGEAeQAgAG8AZgAgAHQAaABlACAAbQBvAHMAdAAgAGYAcgBlAHEAdQBlAG4AdABsAHkAIABvAGMAYwB1AHIAcgBpAG4AZwAgAHYAYQBsAHUAZQBzACAAbwByAFwAbgAgACAAIAAgAHQAZQB4AHQAIABlAG4AdAByAGkAZQBzACAAaQBuACAAYQBuACAAYQByAHIAYQB5AC4AIABTAHUAcABwAG8AcgB0AHMAIABhAG4AIABvAHAAdABpAG8AbgBhAGwAIAB0AG8AdABhAGwAcwAgAGMAbwBsAHUAbQBuACAAcwBoAG8AdwBpAG4AZwBcAG4AIAAgACAAIAB0AGgAZQAgAGMAbwB1AG4AdAAgAG8AZgAgAGUAYQBjAGgAIABtAG8AZABlAC4AXABuAFwAbgBQAGEAcgBhAG0AZQB0AGUAcgBzADoAXABuACAAIAAgACAAYQByAHIAYQB5ACAAIAAgACAAIAAgACAAIAAgACAAIAAtACAAQQByAHIAYQB5ACAAKAAxAEQAIABvAHIAIAAyAEQAKQAuAFwAbgAgACAAIAAgAFsAaQBuAGMAbAB1AGQAZQBfAHQAbwB0AGEAbABzAF0ALQAgAFQAUgBVAEUAIACSISAAaQBuAGMAbAB1AGQAZQAgAGMAbwB1AG4AdABzACAAbwBmACAAZgByAGUAcQB1AGUAbgB0ACAAdgBhAGwAdQBlAHMALgBcAG4AXABuAE4AbwB0AGUAcwA6AFwAbgAgACAAIAAgACIgIABJAGYAIAB0AGgAZQAgAGEAcgByAGEAeQAgAGMAbwBuAHQAYQBpAG4AcwAgAG4AbwAgAHQAZQB4AHQALAAgAE0ATwBEAEUALgBNAFUATABUACAAaQBzACAAdQBzAGUAZAAgAGYAbwByACAAbgB1AG0AZQByAGkAYwAgAG0AbwBkAGUALgBcAG4AIAAgACAAIAAiICAASQBmACAAbgBvACAAcgBlAHAAZQBhAHQAcwAgAGUAeABpAHMAdAAsACAAcgBlAHQAdQByAG4AcwAgAFwAIgAjAE4ATwAtAFIARQBQAEUAQQBUAFMAIQBcACIALgBcAG4ALQAtAC0ALQAtAC0ALQAtAC0ALQAtAC0ALQAtAC0ALQAtAC0ALQAtAC0ALQAtAC0ALQAtAC0ALQAtAC0ALQAtAC0ALQAtAC0ALQAtAC0ALQAtAC0ALQAtAC0ALQAtAC0ALQAtAC0ALQAtAC0ALQAtAC0ALQAtAC0ALQAtAC0ALQAtAC0ALQAtAC0ALQAtAC0ALQAtAC0ALQAtAC0AKgAvAFwAbgBcAG4ATQBvAGQAZQC7AyAAPQBcAG4ATABBAE0AQgBEAEEAKABcAG4AIAAgACAAIABhAHIAcgBhAHkALABcAG4AIAAgACAAIABbAGkAbgBjAGwAdQBkAGUAXwB0AG8AdABhAGwAcwBdACwAXABuAFwAbgBJAEYAKABDAE8AVQBOAFQAKAAtAC0ASQBTAFQARQBYAFQAKABhAHIAcgBhAHkAKQApACAAPQAgADAALABNAE8ARABFAC4ATQBVAEwAVAAoAGEAcgByAGEAeQApACwAXABuAFwAbgBMAEUAVAAoAFwAbgAgACAAIAAgAC8ALwAgAE0AZQBzAHMAYQBnAGUAIABmAG8AcgAgAG4AbwAgAHIAZQBwAGUAYQB0AHMAXABuACAAIAAgACAAbQBzAGcALAAgACAAIAAgACAAIAAgACAAIAAgACAAIABcACIAIwBOAE8ALQBSAEUAUABFAEEAVABTACEAXAAiACwAXABuAFwAbgAgACAAIAAgAC8ALwAgAEYAbABhAHQAdABlAG4AIABpAG4AcAB1AHQAIABhAG4AZAAgAGMAbwBtAHAAdQB0AGUAIABtAG8AZABlACAAaQBuAGQAaQBjAGUAcwBcAG4AIAAgACAAIABWACwAIAAgACAAIAAgACAAIAAgACAAIAAgACAAIAAgAFQATwBDAE8ATAAoAGEAcgByAGEAeQApACwAXABuACAAIAAgACAAaQAsACAAIAAgACAAIAAgACAAIAAgACAAIAAgACAAIABNAE8ARABFAC4ATQBVAEwAVAAoAFgATQBBAFQAQwBIACgAVgAsACAAVgApACkALABcAG4AIAAgACAAIAByAGUAcwB1AGwAdAAsACAAIAAgACAAIAAgACAAIAAgAFMATwBSAFQAKABJAEYARQBSAFIATwBSACgASQBOAEQARQBYACgAVgAsACAAaQApACwAIABtAHMAZwApACkALABcAG4AXABuACAAIAAgACAALwAvACAAVABvAHQAYQBsAHMAIABmAG8AcgAgAHIAZQBwAGUAYQB0AGUAZAAgAHYAYQBsAHUAZQBzAFwAbgAgACAAIAAgAGsAZQBlAHAALAAgACAAIAAgACAAIAAgACAAIAAgACAASQBTAE4AVQBNAEIARQBSACgAWABNAEEAVABDAEgAKABWACwAIAByAGUAcwB1AGwAdAApACkALABcAG4AIAAgACAAIAB0AG8AdABhAGwAcwAsACAAIAAgACAAIAAgACAAIAAgAEcAUgBPAFUAUABCAFkAKABWACwAIABWACwAIABDAE8AVQBOAFQAQQAsACAAMAAsACAAMAAsACAALAAgAGsAZQBlAHAAKQAsAFwAbgBcAG4AIAAgACAAIAAvAC8AIABEAGUAbABpAHYAZQByACAAdABvAHQAYQBsAHMAIABpAGYAIAByAGUAcQB1AGUAcwB0AGUAZABcAG4AIAAgACAAIABkAGUAbABpAHYAZQByACwAIAAgACAAIAAgACAAIAAgAEkARgAoAEEATgBEACgAaQBuAGMAbAB1AGQAZQBfAHQAbwB0AGEAbABzACwAIAByAGUAcwB1AGwAdAAgADwAPgAgAG0AcwBnACkALAB0AG8AdABhAGwAcwAsAFwAbgAgACAAIAAgACAAIAAgACAAIAAgACAAIAAgACAAIAAgACAAIAAgACAAIAAgACAAIAByAGUAcwB1AGwAdAApACwAXABuAFwAbgAgACAAIAAgAGQAZQBsAGkAdgBlAHIAXABuACkAKQApADsAXABuAFwAbgBcAG4AXABuAC8AKgAgAFsARwBSADEANQBdACAALQAtAC0ALQAtAC0ALQAtAC0ALQAtAC0ALQAtAC0ALQAtAC0ALQAtAC0ALQAtAC0ALQAtAC0ALQAtAC0ALQAtAC0ALQAtAC0ALQAtAC0ALQAtAC0ALQAtAC0ALQAtAC0ALQAtAC0ALQAtAC0ALQAtAC0ALQAtAC0ALQAtAC0ALQAtAC0ALQAtAC0ALQAtAC0ALQBcAG4ARgB1AG4AYwB0AGkAbwBuADoAIAAgACAAIAAgAFoAbwBuAGUAUwB0AGEAdAC7A1wAbgBDAGEAdABlAGcAbwByAHkAOgAgACAAIAAgACAARwByAGkAZAAgAEEAbgBhAGwAeQB0AGkAYwBzACAAKABTAHQAYQB0AGkAcwB0AGkAYwBzACkAXABuAEEAdQB0AGgAbwByADoAIAAgACAAIAAgACAAIABQAGEAdAByAGkAYwBrACAASAAuAFwAbgBWAGUAcgBzAGkAbwBuADoAIAAgACAAIAAgACAAMQAuADEAXABuAEQAZQBwAGUAbgBkAGUAbgBjAGkAZQBzADoAIABIAGkAcwB0AG8AZwByAGEAbQC7A1wAbgBcAG4ARABlAHMAYwByAGkAcAB0AGkAbwBuADoAXABuACAAIAAgACAAQQBnAGcAcgBlAGcAYQB0AGUAcwAgAHYAYQBsAHUAZQBzACAAYgB5ACAAXAAiAHoAbwBuAGUAcwBcACIAIABkAGUAdABlAHIAbQBpAG4AZQBkACAAYgB5ACAASABpAHMAdABvAGcAcgBhAG0AuwMuACAAVABoAGUAIABiAGkAbgAgAHcAaQBkAHQAaAAgAGkAcwBcAG4AIAAgACAAIABjAG8AbQBwAHUAdABlAGQAIABhAHMAIAAxADAAXgBtACAAdwBoAGUAcgBlACAAbQAgAGkAcwAgAHQAaABlACAAbQBvAHMAdAAgAGYAcgBlAHEAdQBlAG4AdAAgAGkAbgB0AGUAZwBlAHIAIABMAE8ARwAgAG0AYQBnAG4AaQB0AHUAZABlACAAbwBmAFwAbgAgACAAIAAgAHQAaABlACAAdgBhAGwAdQBlAHMALgAgAFMAdQBwAHAAbwByAHQAcwAgAEUAVABBACAAZgB1AG4AYwB0AGkAbwBuAHMAIABhAG4AZAAgAGMAdQBzAHQAbwBtACAATABBAE0AQgBEAEEAcwAuAFwAbgBcAG4AUABhAHIAYQBtAGUAdABlAHIAcwA6AFwAbgAgACAAIAAgAGcAcgBpAGQAIAAgACAAIAAgACAAIAAgAC0AIABOAHUAbQBlAHIAaQBjACAAYQByAHIAYQB5ACAAKAAxAEQAIABvAHIAIAAyAEQAKQAuAFwAbgAgACAAIAAgAFsAZgB1AG4AYwB0AGkAbwBuAF0AIAAgAC0AIABFAFQAQQAgAG8AcgAgAEwAQQBNAEIARABBACAAYQBnAGcAcgBlAGcAYQB0AGkAbwBuACAAZgB1AG4AYwB0AGkAbwBuACAAKABkAGUAZgBhAHUAbAB0ACAAUwBVAE0AKQAuAFwAbgBcAG4ATgBvAHQAZQBzADoAXABuACAAIAAgACAAIiAgAFMAYwBhAGwAYQByAHMAIAByAGUAdAB1AHIAbgAgAGYAdQBuAGMAdABpAG8AbgAoAGcAcgBpAGQAKQAuAFwAbgAgACAAIAAgACIgIABOAG8AbgARIG4AdQBtAGUAcgBpAGMAIABnAHIAaQBkAHMAIAByAGUAdAB1AHIAbgAgACMAVgBBAEwAVQBFACEALgBcAG4AIAAgACAAIAAiICAAWgBvAG4AZQBzACAAYQByAGUAIABhAHMAcwBpAGcAbgBlAGQAIAB2AGkAYQAgAEgAaQBzAHQAbwBnAHIAYQBtALsDIAB1AHMAaQBuAGcAIABhAHUAdABvAG0AYQB0AGkAYwAgAGIAaQBuAG4AaQBuAGcALgBcAG4ALQAtAC0ALQAtAC0ALQAtAC0ALQAtAC0ALQAtAC0ALQAtAC0ALQAtAC0ALQAtAC0ALQAtAC0ALQAtAC0ALQAtAC0ALQAtAC0ALQAtAC0ALQAtAC0ALQAtAC0ALQAtAC0ALQAtAC0ALQAtAC0ALQAtAC0ALQAtAC0ALQAtAC0ALQAtAC0ALQAtAC0ALQAtAC0ALQAtAC0ALQAtAC0AKgAvAFwAbgBcAG4AWgBvAG4AZQBTAHQAYQB0ALsDIAA9AFwAbgBMAEEATQBCAEQAQQAoAFwAbgAgACAAIAAgAGcAcgBpAGQALABcAG4AIAAgACAAIABbAGYAdQBuAGMAdABpAG8AbgBdACwAXABuAFwAbgBMAEUAVAAoAFwAbgAgACAAIAAgAC8ALwAgAEQAZQBmAGEAdQBsAHQAIABhAGcAZwByAGUAZwBhAHQAaQBvAG4AIABmAHUAbgBjAHQAaQBvAG4AXABuACAAIAAgACAAZgB1AG4AYwB0AGkAbwBuACwAIAAgACAAIAAgACAAIAAgACAAIAAgAEkARgAoAEkAUwBPAE0ASQBUAFQARQBEACgAZgB1AG4AYwB0AGkAbwBuACkALAAgAFMAVQBNACwAIABmAHUAbgBjAHQAaQBvAG4AKQAsAFwAbgBcAG4AIAAgACAAIAAvAC8AIAAtAC0ALQAgAFYAYQBsAGkAZABhAHQAaQBvAG4AIAAtAC0ALQBcAG4AIAAgACAAIABJAHMATgBvAG4ATgB1AG0APwAsACAAIAAgACAAIAAgACAAIAAgACAAQQBOAEQAKABJAFMAVABFAFgAVAAoAGcAcgBpAGQAKQApACwAXABuACAAIAAgACAASQBuAHYAYQBsAGkAZABGAG4APwAsACAAIAAgACAAIAAgACAAIAAgAFQAWQBQAEUAKABmAHUAbgBjAHQAaQBvAG4AKQAgADwAPgAgADEAMgA4ACwAXABuACAAIAAgACAASQBzAFMAYwBhAGwAYQByAD8ALAAgACAAIAAgACAAIAAgACAAIAAgAEEATgBEACgAUgBPAFcAUwAoAGcAcgBpAGQAKQA9ADEALAAgAEMATwBMAFUATQBOAFMAKABnAHIAaQBkACkAPQAxACkALABcAG4AXABuACAAIAAgACAALwAvACAATABvAGcAaQBjACAAZwBhAHQAZQBcAG4AIAAgACAAIABJAEYAKABJAHMATgBvAG4ATgB1AG0APwAsACAAIAAgACAAIAAgACAAIAAgACAAIwBWAEEATABVAEUAIQAsAFwAbgBcAG4AIAAgACAAIAAgACAAIAAgAEkARgAoAEkAbgB2AGEAbABpAGQARgBuAD8ALAAgACAAIAAgACAAXAAiACMARgBVAE4AQwBUAEkATwBOACEAXAAiACwAXABuAFwAbgAgACAAIAAgACAAIAAgACAAIAAgACAAIABJAEYAKABJAHMAUwBjAGEAbABhAHIAPwAsACAAIABmAHUAbgBjAHQAaQBvAG4AKABnAHIAaQBkACkALABcAG4AXABuAEwARQBUACgAXABuACAAIAAgACAALwAvACAARABlAHQAZQByAG0AaQBuAGUAIABiAGkAbgAgAHcAaQBkAHQAaAAgAGYAcgBvAG0AIABtAGEAZwBuAGkAdAB1AGQAZQBcAG4AIAAgACAAIABtAGEAZwAsACAAIAAgACAAIAAgACAAIAAgACAAIAAgACAAIAAgACAASQBGAEUAUgBSAE8AUgAoAE0ATwBEAEUAKABJAE4AVAAoAEwATwBHACgAZwByAGkAZAApACkAKQAsACAAMQApACwAXABuACAAIAAgACAAYgBpAG4AXwB3AGkAZAB0AGgALAAgACAAIAAgACAAIAAgACAAIAAgADEAMAAgAF4AIABtAGEAZwAsAFwAbgBcAG4AIAAgACAAIAAvAC8AIABIAGkAcwB0AG8AZwByAGEAbQAgAGIAaQBuAHMAIAAoAGYAaQByAHMAdAAgAGMAbwBsAHUAbQBuACAAbwBuAGwAeQApAFwAbgAgACAAIAAgAGgAaQBzAHQALAAgACAAIAAgACAAIAAgACAAIAAgACAAIAAgACAAIABUAEEASwBFACgARABSAE8AUAAoAEgAaQBzAHQAbwBnAHIAYQBtALsDKABnAHIAaQBkACwAIABiAGkAbgBfAHcAaQBkAHQAaAApACwAIAAyACkALAAgACwAIAAxACkALABcAG4AXABuACAAIAAgACAALwAvACAAQQBzAHMAaQBnAG4AIAB6AG8AbgBlAHMAXABuACAAIAAgACAAegBvAG4AZQBzACwAIAAgACAAIAAgACAAIAAgACAAIAAgACAAIAAgAEkARgBOAEEAKABYAE0AQQBUAEMASAAoAGcAcgBpAGQALAAgAGgAaQBzAHQALAAgAC0AMQApACwAIAAwACkALABcAG4AXABuACAAIAAgACAALwAvACAARgBsAGEAdAB0AGUAbgAgAGEAcgByAGEAeQBzAFwAbgAgACAAIAAgAGcALAAgACAAIAAgACAAIAAgACAAIAAgACAAIAAgACAAIAAgACAAIABUAE8AQwBPAEwAKABnAHIAaQBkACkALABcAG4AIAAgACAAIAB6ACwAIAAgACAAIAAgACAAIAAgACAAIAAgACAAIAAgACAAIAAgACAAVABPAEMATwBMACgAegBvAG4AZQBzACkALABcAG4AXABuACAAIAAgACAALwAvACAAQQBnAGcAcgBlAGcAYQB0AGUAIABiAHkAIAB6AG8AbgBlAFwAbgAgACAAIAAgAGEAZwBnACwAIAAgACAAIAAgACAAIAAgACAAIAAgACAAIAAgACAAIABHAFIATwBVAFAAQgBZACgAegAsACAAZwAsACAAZgB1AG4AYwB0AGkAbwBuACwAIAAsACAAMAApACwAXABuACAAIAAgACAAegBvAG4AZQBfAEkARABzACwAIAAgACAAIAAgACAAIAAgACAAIAAgAFQAQQBLAEUAKABhAGcAZwAsACAALAAgADEAKQAsAFwAbgAgACAAIAAgAGcAcgBpAGQAXwB2AGEAbAB1AGUAcwAsACAAIAAgACAAIAAgACAAIABUAEEASwBFACgAYQBnAGcALAAgACwAIAAtADEAKQAsAFwAbgBcAG4AIAAgACAAIAAvAC8AIABCAHIAbwBhAGQAYwBhAHMAdAAgAGEAZwBnAHIAZQBnAGEAdABlAGQAIAB2AGEAbAB1AGUAcwAgAGIAYQBjAGsAIAB0AG8AIABnAHIAaQBkACAAcwBoAGEAcABlAFwAbgAgACAAIAAgAGYAaQBuAGEAbAAsACAAIAAgACAAIAAgACAAIAAgACAAIAAgACAAIABYAEwATwBPAEsAVQBQACgAegBvAG4AZQBzACwAIAB6AG8AbgBlAF8ASQBEAHMALAAgAGcAcgBpAGQAXwB2AGEAbAB1AGUAcwAsACAAMAApACwAXABuAFwAbgAgACAAIAAgAGYAaQBuAGEAbABcAG4AKQApACkAKQApACkAOwBcAG4AXABuAFwAbgBcAG4ALwAvACAAWwBUAFgAXQAgAC0ALQAtAC0ALQAtAC0ALQAtAC0ALQAtAC0ALQAtAC0ALQAtAC0ALQAtAC0ALQAtAC0ALQAtAC0ALQAtAC0ALQAtAC0ALQAtAC0ALQAtAC0ALQAtAC0ALQAtAC0ALQAtAC0ALQAtAC0ALQAtAC0ALQAtAC0ALQAtAC0ALQAtAC0ALQAtAC0ALQAtAC0ALQAtAC0ALQAtAC0ALQBcAG4ALwAvACAALQAtAC0AIwAjACAAMAA3ACAAFCAgAFQAZQB4AHQ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kAcwAgAGMAYQB0AGUAZwBvAHIAeQAgAHAAcgBvAHYAaQBkAGUAcwAgAG8AcABlAHIAYQB0AG8AcgBzACAAdABoAGEAdAAgAG8AdgBlAHIAYwBvAG0AZQAgAGMAbwBtAG0AbwBuACAAbABpAG0AaQB0AGEAdABpAG8AbgBzACAAaQBuAFwAbgAgACAAIAAgAEUAeABjAGUAbAAnAHMAIABuAGEAdABpAHYAZQAgAHQAZQB4AHQAIABlAG4AZwBpAG4AZQAgACgAZQAuAGcALgAsACAAVABFAFgAVABTAFAATABJAFQAIABjAGEAbgBuAG8AdAAgAHMAcABpAGwAbAAgADIARAAgAHIAZQBzAHUAbAB0AHMAOwAgAEIAWQBSAE8AVwBcAG4AIAAgACAAIABjAGEAbgBuAG8AdAAgAGQAZQBwAGwAbwB5ACAAUwBPAFIAVAAgAHQAbwAgAGEAbABpAGcAbgAgAGMAbwBsAHUAbQBuAHMAKQAuACAAVABoAGUAcwBlACAAZgB1AG4AYwB0AGkAbwBuAHMAIABlAG4AYQBiAGwAZQAgAHMAdAByAHUAYwB0AHUAcgBhAGwAXABuACAAIAAgACAAYQBsAGkAZwBuAG0AZQBuAHQALAAgAGUAeAB0AHIAYQBjAHQAaQBvAG4ALAAgAGEAbgBkACAAdAByAGEAbgBzAGYAbwByAG0AYQB0AGkAbwBuACAAbwBmACAAdABlAHgAdAAgAGEAcgByAGEAeQBzACwAIABlAHgAdABlAG4AZABpAG4AZwAgAEUAeABjAGUAbAAnAHMAXABuACAAIAAgACAAYwBhAHAAYQBiAGkAbABpAHQAaQBlAHMAIABmAG8AcgAgAGIAbwB0AGgAIAAxAEQAIABhAG4AZAAgADIARAAgAGkAbgBwAHUAdABzAC4AXABuAFwAbgBGAHUAbgBjAHQAaQBvAG4AcwA6AFwAbgAgACAAIAAgACIgIABBAGwAaQBnAG4AuwNcAG4AIAAgACAAIAAgACAAIAAgAFMAbwByAHQAcwAgAGUAYQBjAGgAIAByAG8AdwAgAG8AcgAgAGMAbwBsAHUAbQBuACAAYQBsAHAAaABhAGIAZQB0AGkAYwBhAGwAbAB5AC4AXABuAFwAbgAgACAAIAAgACIgIABBAGwAaQBnAG4ARABpAHMAdABpAG4AYwB0ALsDXABuACAAIAAgACAAIAAgACAAIABDAGEAbABsAHMAIABBAGwAaQBnAG4AuwMgAHQAbwAgAHMAbwByAHQAIABhACAAMgBEACAAYQByAHIAYQB5ACwAIAB0AGgAZQBuACAAcgBlAHQAdQByAG4AcwAgAGQAaQBzAHQAaQBuAGMAdAAgAHYAYQBsAHUAZQBzAC4AXABuAFwAbgAgACAAIAAgACIgIABBAGwAaQBnAG4AVQBuAGkAcQB1AGUAuwNcAG4AIAAgACAAIAAgACAAIAAgAEMAYQBsAGwAcwAgAEEAbABpAGcAbgC7AyAAdABvACAAcwBvAHIAdAAgAGEAIAAyAEQAIABhAHIAcgBhAHkALAAgAHQAaABlAG4AIAByAGUAdAB1AHIAbgBzACAAdQBuAGkAcQB1AGUAIAB2AGEAbAB1AGUAcwAuAFwAbgBcAG4AIAAgACAAIAAiICAAQwBvAGEAbABlAHMAYwBlALsDXABuACAAIAAgACAAIAAgACAAIABSAGUAdAB1AHIAbgBzACAAdABoAGUAIABmAGkAcgBzAHQAIABuAG8AbgARIGUAbQBwAHQAeQAgAHYAYQBsAHUAZQAgAGEAYwByAG8AcwBzACAAbQB1AGwAdABpAHAAbABlACAAMgBEACAAYQByAHIAYQB5AHMAIAAoADIAIAB0AG8AIAA0ACAAaQBuAHAAdQB0AHMAKQAuAFwAbgBcAG4AIAAgACAAIAAiICAARQB4AHAAbABvAGQAZQC7A1wAbgAgACAAIAAgACAAIAAgACAAQwBvAG4AdgBlAHIAdABzACAAYQAgAHMAYwBhAGwAYQByACwAIAAxAEQAIABhAHIAcgBhAHkALAAgAG8AcgAgADIARAAgAGEAcgByAGEAeQAgAGkAbgB0AG8AIABhAG4AIABlAHgAcABsAG8AZABlAGQAIABjAGgAYQByAGEAYwB0AGUAcgAgAGEAcgByAGEAeQAuAFwAbgBcAG4AIAAgACAAIAAiICAATgB1AG0AYgBlAHIAcwBPAG4AbAB5ALsDXABuACAAIAAgACAAIAAgACAAIABFAHgAdAByAGEAYwB0AHMAIABuAHUAbQBlAHIAaQBjACAAdgBhAGwAdQBlAHMAIABmAHIAbwBtACAAYQAgAHMAYwBhAGwAYQByACwAIAAxAEQAIABhAHIAcgBhAHkALAAgAG8AcgAgADIARAAgAGEAcgByAGEAeQAuAFwAbgBcAG4AIAAgACAAIAAiICAAVABlAHgAdABPAG4AbAB5ALsDXABuACAAIAAgACAAIAAgACAAIABFAHgAdAByAGEAYwB0AHMAIAB0AGUAeAB0ACAAdgBhAGwAdQBlAHMAIABmAHIAbwBtACAAYQAgAHMAYwBhAGwAYQByACwAIAAxAEQAIABhAHIAcgBhAHkALAAgAG8AcgAgADIARAAgAGEAcgByAGEAeQAuAFwAbgBcAG4AIAAgACAAIAAiICAAUwBwAGwAaQB0ALsDXABuACAAIAAgACAAIAAgACAAIABTAHAAbABpAHQAcwAgADEARAAgAHQAZQB4AHQAIABhAHIAcgBhAHkAcwAgAHUAcwBpAG4AZwAgAGEAIABzAHAAZQBjAGkAZgBpAGUAZAAgAGQAZQBsAGkAbQBpAHQAZQByACwAIAB3AGkAdABoACAAZgB1AGwAbAAgADIARAAgAHMAcABpAGwAbAAgAHMAdQBwAHAAbwByAHQALgBcAG4AKgAvAFwAbgBcAG4AXABuAFwAbgAvACoAIABbAFQAWAAwADEAXQAgAC0ALQAtAC0ALQAtAC0ALQAtAC0ALQAtAC0ALQAtAC0ALQAtAC0ALQAtAC0ALQAtAC0ALQAtAC0ALQAtAC0ALQAtAC0ALQAtAC0ALQAtAC0ALQAtAC0ALQAtAC0ALQAtAC0ALQAtAC0ALQAtAC0ALQAtAC0ALQAtAC0ALQAtAC0ALQAtAC0ALQAtAC0ALQAtAC0AXABuAEYAdQBuAGMAdABpAG8AbgA6ACAAIAAgACAAIAAgACAAIABBAGwAaQBnAG4AuwNcAG4AQwBhAHQAZQBnAG8AcgB5ADoAIAAgACAAIAAgACAAIAAgAFQAZQB4AHQAXABuAEEAdQB0AGgAbwByADoAIAAgACAAIAAgACAAIAAgACAAIABQAGEAdAByAGkAYwBrACAASAAuAFwAbgBWAGUAcgBzAGkAbwBuADoAIAAgACAAIAAgACAAIAAgACAAMQAuADEAXABuAEQAZQBwAGUAbgBkAGUAbgBjAGkAZQBzADoAIAAgACAAIABTAHAAbABpAHQAuwNcAG4AXABuAEQAZQBzAGMAcgBpAHAAdABpAG8AbgA6AFwAbgAgACAAIAAgAFMAbwByAHQAcwAgAGUAYQBjAGgAIAByAG8AdwAgAGEAbABwAGgAYQBiAGUAdABpAGMAYQBsAGwAeQAgACgAZABlAGYAYQB1AGwAdAApACAAbwByACAAZQBhAGMAaAAgAGMAbwBsAHUAbQBuACAAdwBoAGUAbgBcAG4AIAAgACAAIABiAHkAXwBjAG8AbAAgAD0AIABUAFIAVQBFAC4AIABPAHIAaQBlAG4AdABhAHQAaQBvAG4AIABpAHMAIABuAG8AcgBtAGEAbABpAHoAZQBkACAAaQBuAHQAZQByAG4AYQBsAGwAeQAgAHMAbwAgAHQAaABlAFwAbgAgACAAIAAgAHMAYQBtAGUAIABwAGkAcABlAGwAaQBuAGUAIABoAGEAbgBkAGwAZQBzACAAYgBvAHQAaAAgAG0AbwBkAGUAcwAuACAAUwBvAHIAdABpAG4AZwAgAGkAcwAgAGwAZQB4AGkAYwBvAGcAcgBhAHAAaABpAGMAXABuACAAIAAgACAAYQBuAGQAIABjAGEAcwBlABEgcwBlAG4AcwBpAHQAaQB2AGUALgBcAG4AXABuAFAAYQByAGEAbQBlAHQAZQByAHMAOgBcAG4AIAAgACAAIABhAHIAcgBhAHkAIAAgACAAIAAgACAAIAAtACAAMgBEACAAYQByAHIAYQB5ACAAdABvACAAYgBlACAAYQBsAGkAZwBuAGUAZAAuAFwAbgAgACAAIAAgAFsAYgB5AF8AYwBvAGwAXQAgACAAIAAgAC0AIABPAHAAdABpAG8AbgBhAGwALgAgAFQAUgBVAEUAIACSISAAcwBvAHIAdAAgAGUAYQBjAGgAIABjAG8AbAB1AG0AbgAgAHQAbwBwABEgdABvABEgYgBvAHQAdABvAG0ALgBcAG4AIAAgACAAIAAgACAAIAAgACAAIAAgACAAIAAgACAAIAAgACAATwBtAGkAdAB0AGUAZAAgAJIhIABzAG8AcgB0ACAAZQBhAGMAaAAgAHIAbwB3ACAAbABlAGYAdAARIHQAbwARIHIAaQBnAGgAdAAuAFwAbgBcAG4ATgBvAHQAZQBzADoAXABuACAAIAAgACAAIiAgAFUAcwBlAHMAIABUAEUAWABUAEoATwBJAE4AIAArACAAUwBwAGwAaQB0ALsDIABmAG8AcgAgAGYAYQBzAHQAIAByAG8AdwARIHcAaQBzAGUAIABjAGEAbgBvAG4AaQBjAGEAbABpAHoAYQB0AGkAbwBuAC4AXABuAC0ALQAtAC0ALQAtAC0ALQAtAC0ALQAtAC0ALQAtAC0ALQAtAC0ALQAtAC0ALQAtAC0ALQAtAC0ALQAtAC0ALQAtAC0ALQAtAC0ALQAtAC0ALQAtAC0ALQAtAC0ALQAtAC0ALQAtAC0ALQAtAC0ALQAtAC0ALQAtAC0ALQAtAC0ALQAtAC0ALQAtAC0ALQAtAC0ALQAtAC0ALQAtACoALwBcAG4AXABuAEEAbABpAGcAbgC7AyAAPQBcAG4ATABBAE0AQgBEAEEAKABcAG4AIAAgACAAIABhAHIAcgBhAHkALABcAG4AIAAgACAAIABbAGIAeQBfAGMAbwBsAF0ALABcAG4AXABuAEwARQBUACgAXABuACAAIAAgACAALwAvACAARABlAHQAZQByAG0AaQBuAGUAIABzAG8AcgB0ACAAbwByAGkAZQBuAHQAYQB0AGkAbwBuAFwAbgAgACAAIAAgAEkAcwBSAG8AdwBTAG8AcgB0AD8ALAAgAEkAUwBPAE0ASQBUAFQARQBEACgAYgB5AF8AYwBvAGwAKQAsAFwAbgBcAG4AIAAgACAAIAAvAC8AIABOAG8AcgBtAGEAbABpAHoAZQAgAG8AcgBpAGUAbgB0AGEAdABpAG8AbgAgACgAYQBsAHcAYQB5AHMAIABzAG8AcgB0ACAAcgBvAHcAcwApAFwAbgAgACAAIAAgAGEAcgByAGEAeQAsACAAIAAgACAAIAAgAEkARgAoAEkAcwBSAG8AdwBTAG8AcgB0AD8ALAAgAGEAcgByAGEAeQAsACAAVABSAEEATgBTAFAATwBTAEUAKABhAHIAcgBhAHkAKQApACwAXABuAFwAbgAgACAAIAAgAC8ALwAgAFIAbwB3ABEgdwBpAHMAZQAgAHMAbwByAHQAIACSISAAcwBjAGEAbABhAHIAIABqAG8AaQBuACAAdwBpAHQAaAAgAGkAbgB2AGkAcwBpAGIAbABlACAAcwBlAHAAYQByAGEAdABvAHIAXABuACAAIAAgACAAaQBuAHYAaQBzACwAIAAgACAAIAAgACAAVQBOAEkAQwBIAEEAUgAoADgAMgA5ADEAKQAsAFwAbgAgACAAIAAgAFIAbwB3AFMAbwByAHQAuwMsACAAIAAgAEwAQQBNAEIARABBACgAdgAsACAAVABFAFgAVABKAE8ASQBOACgAaQBuAHYAaQBzACwAIAAsACAAUwBPAFIAVAAoAHYALAAgACwAIAAsACAAMQApACkAKQAsAFwAbgBcAG4AIAAgACAAIAAvAC8AIABDAG8AbgB2AGUAcgB0ACAAZQBhAGMAaAAgAHIAbwB3ACAAdABvACAAYQAgAGoAbwBpAG4AZQBkACAAcwB0AHIAaQBuAGcAXABuACAAIAAgACAAagBvAGkAbgBlAGQALAAgACAAIAAgACAAQgBZAFIATwBXACgAYQByAHIAYQB5ACwAIABSAG8AdwBTAG8AcgB0ALsDKQAsAFwAbgBcAG4AIAAgACAAIAAvAC8AIABTAHAAbABpAHQAIABiAGEAYwBrACAAaQBuAHQAbwAgAGMAbwBsAHUAbQBuAHMAXABuACAAIAAgACAAZQB4ACwAIAAgACAAIAAgACAAIAAgACAAUwBwAGwAaQB0ALsDKABqAG8AaQBuAGUAZAAsACAAaQBuAHYAaQBzACkALABcAG4AXABuACAAIAAgACAALwAvACAAUgBlAHMAdABvAHIAZQAgAG8AcgBpAGcAaQBuAGEAbAAgAG8AcgBpAGUAbgB0AGEAdABpAG8AbgBcAG4AIAAgACAAIABmAGkAbgBhAGwALAAgACAAIAAgACAAIABJAEYAKABJAHMAUgBvAHcAUwBvAHIAdAA/ACwAIABlAHgALAAgAFQAUgBBAE4AUwBQAE8AUwBFACgAZQB4ACkAKQAsAFwAbgBcAG4AIAAgACAAIABmAGkAbgBhAGwAXABuACkAKQA7AFwAbgBcAG4AXABuAFwAbgAvACoAIABbAFQAWAAwADIAXQAgAC0ALQAtAC0ALQAtAC0ALQAtAC0ALQAtAC0ALQAtAC0ALQAtAC0ALQAtAC0ALQAtAC0ALQAtAC0ALQAtAC0ALQAtAC0ALQAtAC0ALQAtAC0ALQAtAC0ALQAtAC0ALQAtAC0ALQAtAC0ALQAtAC0ALQAtAC0ALQAtAC0ALQAtAC0ALQAtAC0ALQAtAC0ALQAtAC0AXABuAEYAdQBuAGMAdABpAG8AbgA6ACAAIAAgACAAIAAgACAAIABBAGwAaQBnAG4ARABpAHMAdABpAG4AYwB0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ZABpAHMAdABpAG4AYwB0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RABJAFMAVABJAE4AQwBUACAAcgBlAG0AbwB2AGUAcwAgAGUAeABhAGMAdAAgAGQAdQBwAGwAaQBjAGEAdA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EQAaQBzAHQAaQBuAGMAdA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EQAaQBzAHQAaQBuAGMAdAAgAHIAZQBtAG8AdgBhAGwAXABuACAAIAAgACAAdQAsACAAIAAgACAAIAAgACAAIAAgACAAVQBOAEkAUQBVAEUAKABhAGwAaQBnAG4AZQBkACwAIABTAG8AcgB0AEIAeQBDAG8AbAA/ACwAIABUAFIAVQBFACkALABcAG4AXABuACAAIAAgACAAdQBcAG4AKQApADsAXABuAFwAbgBcAG4AXABuAC8AKgAgAFsAVABYADAAMwBdACAALQAtAC0ALQAtAC0ALQAtAC0ALQAtAC0ALQAtAC0ALQAtAC0ALQAtAC0ALQAtAC0ALQAtAC0ALQAtAC0ALQAtAC0ALQAtAC0ALQAtAC0ALQAtAC0ALQAtAC0ALQAtAC0ALQAtAC0ALQAtAC0ALQAtAC0ALQAtAC0ALQAtAC0ALQAtAC0ALQAtAC0ALQAtAC0ALQBcAG4ARgB1AG4AYwB0AGkAbwBuADoAIAAgACAAIAAgACAAIAAgAEEAbABpAGcAbgBVAG4AaQBxAHUAZQC7A1wAbgBDAGEAdABlAGcAbwByAHkAOgAgACAAIAAgACAAIAAgACAAVABlAHgAdABcAG4AQQB1AHQAaABvAHIAOgAgACAAIAAgACAAIAAgACAAIAAgAFAAYQB0AHIAaQBjAGsAIABIAC4AXABuAFYAZQByAHMAaQBvAG4AOgAgACAAIAAgACAAIAAgACAAIAAxAC4AMQBcAG4ARABlAHAAZQBuAGQAZQBuAGMAaQBlAHMAOgAgACAAIAAgAEEAbABpAGcAbgC7A1wAbgBcAG4ARABlAHMAYwByAGkAcAB0AGkAbwBuADoAXABuACAAIAAgACAAQwBhAGwAbABzACAAQQBsAGkAZwBuALsDIAB0AG8AIABhAGwAcABoAGEAYgBlAHQAaQBjAGEAbABsAHkAIABzAG8AcgB0ACAAZQBhAGMAaAAgAHIAbwB3ACAAbwByACAAYwBvAGwAdQBtAG4ALAAgAHQAaABlAG4AIAByAGUAdAB1AHIAbgBzAFwAbgAgACAAIAAgAHUAbgBpAHEAdQBl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VQBOAEkAUQBVAEUAIAByAGUAbQBvAHYAZQBzACAAcgBlAHAAZQBhAHQAZQBkACAAcgBvAHcAcwAvAGMAbwBsAHUAbQBuAHMAIABiAHUAdAAgAHAAcgBlAHMAZQByAHYAZQBzACAAZgBpAHIAcwB0ACAAbwBjAGMAdQByAHIAZQBuAGMAZQBzAC4AXABuACAAIAAgACAAIiAgAE8AcgBpAGUAbgB0AGEAdABpAG8AbgAgAGkAcwAgAHAAcgBlAHMAZQByAHYAZQBkAC4AXABuAC0ALQAtAC0ALQAtAC0ALQAtAC0ALQAtAC0ALQAtAC0ALQAtAC0ALQAtAC0ALQAtAC0ALQAtAC0ALQAtAC0ALQAtAC0ALQAtAC0ALQAtAC0ALQAtAC0ALQAtAC0ALQAtAC0ALQAtAC0ALQAtAC0ALQAtAC0ALQAtAC0ALQAtAC0ALQAtAC0ALQAtAC0ALQAtAC0ALQAtAC0ALQAtACoALwBcAG4AXABuAEEAbABpAGcAbgBVAG4AaQBxAHUAZQ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FUAbgBpAHEAdQBlACAAcgBlAG0AbwB2AGEAbABcAG4AIAAgACAAIAB1ACwAIAAgACAAIAAgACAAIAAgACAAIABVAE4ASQBRAFUARQAoAGEAbABpAGcAbgBlAGQALAAgAFMAbwByAHQAQgB5AEMAbwBsAD8AKQAsAFwAbgBcAG4AIAAgACAAIAB1AFwAbgApACkAOwBcAG4AXABuAFwAbgBcAG4ALwAqACAAWwBUAFgAMAA0AF0AIAAtAC0ALQAtAC0ALQAtAC0ALQAtAC0ALQAtAC0ALQAtAC0ALQAtAC0ALQAtAC0ALQAtAC0ALQAtAC0ALQAtAC0ALQAtAC0ALQAtAC0ALQAtAC0ALQAtAC0ALQAtAC0ALQAtAC0ALQAtAC0ALQAtAC0ALQAtAC0ALQAtAC0ALQAtAC0ALQAtAC0ALQAtAC0ALQAtAFwAbgBGAHUAbgBjAHQAaQBvAG4AOgAgACAAIAAgACAAIAAgACAAQwBvAGEAbABlAHMAYwBlALsDXABuAEMAYQB0AGUAZwBvAHIAeQA6ACAAIAAgACAAIAAgACAAIABUAGUAeAB0AFwAbgBBAHUAdABoAG8AcgA6ACAAIAAgACAAIAAgACAAIAAgACAAUABhAHQAcgBpAGMAawAgAEgALgBcAG4AVgBlAHIAcwBpAG8AbgA6ACAAIAAgACAAIAAgACAAIAAgADEALgAxAFwAbgBcAG4ARABlAHMAYwByAGkAcAB0AGkAbwBuADoAXABuACAAIAAgACAAUgBlAHQAdQByAG4AcwAgAHQAaABlACAAZgBpAHIAcwB0ACAAbgBvAG4AESBlAG0AcAB0AHkAIAB2AGEAbAB1AGUAIABhAGMAcgBvAHMAcwAgAG0AdQBsAHQAaQBwAGwAZQAgADIARAAgAGEAcgByAGEAeQBzACAAKAAyACAAdABvACAANAAgAGkAbgBwAHUAdABzACkALABcAG4AIAAgACAAIABlAHYAYQBsAHUAYQB0AGUAZAAgAGkAbgAgAHAAcgBpAG8AcgBpAHQAeQAgAG8AcgBkAGUAcgA6AFwAbgBcAG4AIAAgACAAIAAgACAAIAAgAGEAcgByAGEAeQBfADEAIACSISAAYQByAHIAYQB5AF8AMgAgAJIhIABhAHIAcgBhAHkAXwAzACAAkiEgAGEAcgByAGEAeQBfADQAIACSISAAZgBpAGwAbABfAHYAYQBsAHUAZQBcAG4AXABuACAAIAAgACAAQQAgAGMAZQBsAGwAIABpAHMAIABjAG8AbgBzAGkAZABlAHIAZQBkACAAXAAiAGUAbQBwAHQAeQBcACIAIABpAGYAIABpAHQAIABtAGEAdABjAGgAZQBzACAAYQBuAHkAIABvAGYAIAB0AGgAZQAgAGYAbwBsAGwAbwB3AGkAbgBnADoAXABuACAAIAAgACAAIAAgACAAIAAiICAATABFAE4AKABjAGUAbABsACkAIAA9ACAAMABcAG4AIAAgACAAIAAgACAAIAAgACIgIABjAGUAbABsACAAPQAgAEYAQQBMAFMARQBcAG4AIAAgACAAIAAgACAAIAAgACIgIABjAGUAbABsACAAPQAgAGkAZwBuAG8AcgBlACAAIAAgACgAdQBzAGUAcgARIHMAcABlAGMAaQBmAGkAZQBkACkAXABuAFwAbgAgACAAIAAgAEUAbQBwAHQAeQAgAGMAZQBsAGwAcwAgAGEAcgBlACAAcwBrAGkAcABwAGUAZAAgAHcAaABlAG4AIABkAGUAdABlAHIAbQBpAG4AaQBuAGcAIAB0AGgAZQAgAG8AdQB0AHAAdQB0ACAAdgBhAGwAdQBlAC4AIABUAGgAaQBzACAAZgB1AG4AYwB0AGkAbwBuACAAaQBzAFwAbgAgACAAIAAgAHUAcwBlAGYAdQBsACAAZgBvAHIAIAByAGUAYwBvAG0AcABvAHMAaQBuAGcAIABtAGEAcwBrAGUAZAAgAG8AcgAgAGwAYQB5AGUAcgBlAGQAIABhAHIAcgBhAHkAcwAgACgAZQAuAGcALgAsACAAcgBpAG4AZwBzACkAIABpAG4AdABvACAAYQAgAHMAaQBuAGcAbABlAFwAbgAgACAAIAAgAGMAbwBoAGUAcgBlAG4AdAAgAGcAcgBpAGQAIABhAGYAdABlAHIAIAB0AHIAYQBuAHMAZgBvAHIAbQBhAHQAaQBvAG4AcwAuAFwAbgBcAG4AUABhAHIAYQBtAGUAdABlAHIAcwA6AFwAbgAgACAAIAAgAGEAcgByAGEAeQBfADEAIAAgACAAIAAgACAAIAAtACAAUgBlAHEAdQBpAHIAZQBkACAAMgBEACAAYQByAHIAYQB5AC4AXABuACAAIAAgACAAYQByAHIAYQB5AF8AMgAgACAAIAAgACAAIAAgAC0AIABSAGUAcQB1AGkAcgBlAGQAIAAyAEQAIABhAHIAcgBhAHkALgBcAG4AXABuAE8AcAB0AGkAbwBuAGEAbAA6AFwAbgAgACAAIAAgAFsAYQByAHIAYQB5AF8AMwBdACAAIAAgACAAIAAtACAATwBwAHQAaQBvAG4AYQBsACAAMgBEACAAYQByAHIAYQB5AC4AXABuACAAIAAgACAAWwBhAHIAcgBhAHkAXwA0AF0AIAAgACAAIAAgAC0AIABPAHAAdABpAG8AbgBhAGwAIAAyAEQAIABhAHIAcgBhAHkALgBcAG4AIAAgACAAIABbAGkAZwBuAG8AcgBlAF0AIAAgACAAIAAgACAALQAgAFYAYQBsAHUAZQAgAHQAcgBlAGEAdABlAGQAIABhAHMAIABlAG0AcAB0AHkAIABkAHUAcgBpAG4AZwAgAG8AYwBjAHUAcABhAG4AYwB5ACAAZQB2AGEAbAB1AGEAdABpAG8AbgAuAFwAbgAgACAAIAAgAFsAZgBpAGwAbABfAHYAYQBsAHUAZQBdACAAIAAtACAAUwBjAGEAbABhAHIAIAB1AHMAZQBkACAAdwBoAGUAbgAgAGEAbABsACAAYQByAHIAYQB5AHMAIABzAHUAcABwAGwAeQAgAGEAbgAgAGUAbQBwAHQAeQAgAHYAYQBsAHUAZQAuAFwAbgAtAC0ALQAtAC0ALQAtAC0ALQAtAC0ALQAtAC0ALQAtAC0ALQAtAC0ALQAtAC0ALQAtAC0ALQAtAC0ALQAtAC0ALQAtAC0ALQAtAC0ALQAtAC0ALQAtAC0ALQAtAC0ALQAtAC0ALQAtAC0ALQAtAC0ALQAtAC0ALQAtAC0ALQAtAC0ALQAtAC0ALQAtAC0ALQAtAC0ALQAtAC0ALQAqAC8AXABuAFwAbgBDAG8AYQBsAGUAcwBjAGUAuwMgAD0AXABuAEwAQQBNAEIARABBACgAXABuACAAIAAgACAAYQByAHIAYQB5AF8AMQAsACAAYQByAHIAYQB5AF8AMgAsACAAWwBhAHIAcgBhAHkAXwAzAF0ALAAgAFsAYQByAHIAYQB5AF8ANABdACwAXABuACAAIAAgACAAWwBpAGcAbgBvAHIAZQBdACwAXABuACAAIAAgACAAWwBmAGkAbABsAF8AdgBhAGwAdQBlAF0ALABcAG4AXABuAEwARQBUACgAXABuACAAIAAgACAALwAvACAATwBwAHQAaQBvAG4AYQBsACAAYQByAHIAYQB5ACAAcAByAGUAcwBlAG4AYwBlAFwAbgAgACAAIAAgAEkAbgBjAGwAdQBkAGUAMwAsACAAIAAgACAAIAAgACAATgBPAFQAKABJAFMATwBNAEkAVABUAEUARAAoAGEAcgByAGEAeQBfADMAKQApACwAXABuACAAIAAgACAASQBuAGMAbAB1AGQAZQA0ACwAIAAgACAAIAAgACAAIABOAE8AVAAoAEkAUwBPAE0ASQBUAFQARQBEACgAYQByAHIAYQB5AF8ANAApACkALABcAG4AIAAgACAAIABhAHIAcgBhAHkAXwAzACwAIAAgACAAIAAgACAAIAAgAEkARgAoAEkAUwBPAE0ASQBUAFQARQBEACgAYQByAHIAYQB5AF8AMwApACwAIABGAEEATABTAEUALAAgAGEAcgByAGEAeQBfADMAKQAsAFwAbgAgACAAIAAgAGEAcgByAGEAeQBfADQALAAgACAAIAAgACAAIAAgACAASQBGACgASQBTAE8ATQBJAFQAVABFAEQAKABhAHIAcgBhAHkAXwA0ACkALAAgAEYAQQBMAFMARQAsACAAYQByAHIAYQB5AF8ANAApACwAXABuAFwAbgAgACAAIAAgAC8ALwAgAEUAbQBwAHQAeQARIHYAYQBsAHUAZQAgAHIAdQBsAGUAcwBcAG4AIAAgACAAIABpAGcAbgBvAHIAZQAsACAAIAAgACAAIAAgACAAIAAgAEkARgAoAEkAUwBPAE0ASQBUAFQARQBEACgAaQBnAG4AbwByAGUAKQAsACAAXAAiAFwAIgAsACAAaQBnAG4AbwByAGUAKQAsAFwAbgAgACAAIAAgAGYAaQBsAGwAXwB2AGEAbAB1AGUALAAgACAAIAAgACAASQBGACgASQBTAE8ATQBJAFQAVABFAEQAKABmAGkAbABsAF8AdgBhAGwAdQBlACkALAAgAFwAIgBcACIALAAgAGYAaQBsAGwAXwB2AGEAbAB1AGUAKQAsAFwAbgBcAG4AIAAgACAAIAAvAC8AIABEAGkAbQBlAG4AcwBpAG8AbgBzAFwAbgAgACAAIAAgAGgALAAgACAAIAAgACAAIAAgACAAIAAgACAAIAAgACAAUgBPAFcAUwAoAGEAcgByAGEAeQBfADEAKQAsACAAIAAgACAAIAAgAHcALAAgACAAIABDAE8ATABVAE0ATgBTACgAYQByAHIAYQB5AF8AMQApACwAXABuACAAIAAgACAAaACCICwAIAAgACAAIAAgACAAIAAgACAAIAAgACAAIABSAE8AVwBTACgAYQByAHIAYQB5AF8AMgApACwAIAAgACAAIAAgACAAdwCCICwAIAAgAEMATwBMAFUATQBOAFMAKABhAHIAcgBhAHkAXwAyACkALABcAG4AIAAgACAAIABoAIMgLAAgACAAIAAgACAAIAAgACAAIAAgACAAIAAgAFIATwBXAFMAKABhAHIAcgBhAHkAXwAzACkALAAgACAAIAAgACAAIAB3AIMgLAAgACAAQwBPAEwAVQBNAE4AUwAoAGEAcgByAGEAeQBfADMAKQAsAFwAbgAgACAAIAAgAGgAhCAsACAAIAAgACAAIAAgACAAIAAgACAAIAAgACAAUgBPAFcAUwAoAGEAcgByAGEAeQBfADQAKQAsACAAIAAgACAAIAAgAHcAhCAsACAAIABDAE8ATABVAE0ATgBTACgAYQByAHIAYQB5AF8ANAApACwAXABuAFwAbgAgACAAIAAgAC8ALwAgAEQAaQBtAGUAbgBzAGkAbwBuACAAbQBpAHMAbQBhAHQAYwBoAGUAcwBcAG4AIAAgACAAIABTAF8AMgAsACAAIAAgACAAIAAgACAAIAAgACAAIAAgAE8AUgAoAGgAIAA8AD4AIABoAIIgLAAgAHcAIAA8AD4AIAB3AIIgKQAsAFwAbgAgACAAIAAgAFMAXwAzACwAIAAgACAAIAAgACAAIAAgACAAIAAgACAASQBuAGMAbAB1AGQAZQAzACAAKgAgAE8AUgAoAGgAIAA8AD4AIABoAIMgLAAgAHcAIAA8AD4AIAB3AIMgKQAsAFwAbgAgACAAIAAgAFMAXwA0ACwAIAAgACAAIAAgACAAIAAgACAAIAAgACAASQBuAGMAbAB1AGQAZQA0ACAAKgAgAE8AUgAoAGgAIAA8AD4AIABoAIQgLAAgAHcAIAA8AD4AIAB3AIQgKQAsAFwAbgBcAG4AIAAgACAAIABTAGgAYQBwAGUATQBpAHMAbQBhAHQAYwBoAD8ALAAgAE8AUgAoAFMAXwAyACwAIABTAF8AMwAsACAAUwBfADQAKQAsAFwAbgBcAG4AIAAgACAAIABJAEYAKABTAGgAYQBwAGUATQBpAHMAbQBhAHQAYwBoAD8ALABcACIAIwBEAEkATQBFAE4AUwBJAE8ATgBTACEAXAAiACwAXABuAFwAbgBMAEUAVAAoAFwAbgAgACAAIAAgAC8ALwAgAE8AYwBjAHUAcABhAG4AYwB5ACAAdABlAHMAdABcAG4AIAAgACAAIABPAGMAYwB1AHAAaQBlAGQAuwMsACAAIABMAEEATQBCAEQAQQAoAGEAcgByACwAXABuACAAIAAgACAAIAAgACAAIAAgACAAIAAgACAAIAAgACAAIAAgACAAIABMAEEATQBCAEQAQQAoACgAYQByAHIAIAA8AD4AIABGAEEATABTAEUAKQAgACoAKABMAEUATgAoAGEAcgByACkAIAA8AD4AIAAwACkAIAAqACAAKABhAHIAcgAgADwAPgAgAGkAZwBuAG8AcgBlACkAKQApACwAXABuAFwAbgAgACAAIAAgAG0AXwAxACwAIAAgACAAIAAgACAAIAAgAE8AYwBjAHUAcABpAGUAZAC7AygAYQByAHIAYQB5AF8AMQApACwAXABuACAAIAAgACAAbQBfADIALAAgACAAIAAgACAAIAAgACAATwBjAGMAdQBwAGkAZQBkALsDKABhAHIAcgBhAHkAXwAyACkALABcAG4AIAAgACAAIABtAF8AMwAsACAAIAAgACAAIAAgACAAIABPAGMAYwB1AHAAaQBlAGQAuwMoAGEAcgByAGEAeQBfADMAKQAsAFwAbgAgACAAIAAgAG0AXwA0ACwAIAAgACAAIAAgACAAIAAgAE8AYwBjAHUAcABpAGUAZAC7AygAYQByAHIAYQB5AF8ANAApACwAXABuAFwAbgAgACAAIAAgAC8ALwAgAFAAcgBpAG8AcgBpAHQAeQAgAGMAaABhAGkAbgBcAG4AIAAgACAAIABmAGkAbgBhAGwALAAgACAAIAAgACAAIABJAEYAKABtAF8AMQAoACkALAAgAGEAcgByAGEAeQBfADEALABcAG4AIAAgACAAIAAgACAAIAAgACAAIAAgACAAIAAgACAAIAAgACAAIAAgAEkARgAoAG0AXwAyACgAKQAsACAAYQByAHIAYQB5AF8AMgAsAFwAbgAgACAAIAAgACAAIAAgACAAIAAgACAAIAAgACAAIAAgACAAIAAgACAAIAAgACAAIABJAEYAKABtAF8AMwAoACkALAAgAGEAcgByAGEAeQBfADMALABcAG4AIAAgACAAIAAgACAAIAAgACAAIAAgACAAIAAgACAAIAAgACAAIAAgACAAIAAgACAAIAAgACAAIABJAEYAKABtAF8ANAAoACkALAAgAGEAcgByAGEAeQBfADQALAAgAGYAaQBsAGwAXwB2AGEAbAB1AGUAKQApACkAKQAsAFwAbgBcAG4AIAAgACAAIABmAGkAbgBhAGwAXABuACkAKQApACkAOwBcAG4AXABuAFwAbgBcAG4ALwAqACAAWwBUAFgAMAA1AF0AIAAtAC0ALQAtAC0ALQAtAC0ALQAtAC0ALQAtAC0ALQAtAC0ALQAtAC0ALQAtAC0ALQAtAC0ALQAtAC0ALQAtAC0ALQAtAC0ALQAtAC0ALQAtAC0ALQAtAC0ALQAtAC0ALQAtAC0ALQAtAC0ALQAtAC0ALQAtAC0ALQAtAC0ALQAtAC0ALQAtAC0ALQAtAC0ALQAtAFwAbgBGAHUAbgBjAHQAaQBvAG4AOgAgACAAIAAgACAAIAAgACAARQB4AHAAbABvAGQAZQC7A1wAbgBDAGEAdABlAGcAbwByAHkAOgAgACAAIAAgACAAIAAgACAAVABlAHgAdABcAG4AQQB1AHQAaABvAHIAOgAgACAAIAAgACAAIAAgACAAIAAgAFAAYQB0AHIAaQBjAGsAIABIAC4AXABuAFYAZQByAHMAaQBvAG4AOgAgACAAIAAgACAAIAAgACAAIAAxAC4AMQBcAG4ARABlAHAAZQBuAGQAZQBuAGMAaQBlAHMAOgAgACAAIAAgAE0ARwByAGkAZAC7AywAIABSAGUAcwBpAHoAZQC7A1wAbgBcAG4ARABlAHMAYwByAGkAcAB0AGkAbwBuADoAXABuACAAIAAgACAAQwBvAG4AdgBlAHIAdABzACAAYQAgAHMAYwBhAGwAYQByACwAIAAxAEQAIABhAHIAcgBhAHkALAAgAG8AcgAgADIARAAgAGEAcgByAGEAeQAgAGkAbgB0AG8AIABhAG4AIABlAHgAcABsAG8AZABlAGQAIABjAGgAYQByAGEAYwB0AGUAcgAgAGEAcgByAGEAeQAuAFwAbgAgACAAIAAgAEUAeABwAGwAbwBzAGkAbwBuACAAYgBlAGgAYQB2AGkAbwByACAAZABlAHAAZQBuAGQAcwAgAG8AbgAgAHQAaABlACAAaQBuAHAAdQB0ACAAcwBoAGEAcABlADoAXABuAFwAbgAgACAAIAAgACAAIAAgACAAIiAgAFMAYwBhAGwAYQByAHMAIABlAHgAcABsAG8AZABlACAAYwBvAGwAdQBtAG4AESB3AGkAcwBlAC4AXABuACAAIAAgACAAIAAgACAAIAAiICAAVgBlAHIAdABpAGMAYQBsACAAMQBEACAAYQByAHIAYQB5AHMAIABlAHgAcABsAG8AZABlACAAYwBvAGwAdQBtAG4AESB3AGkAcwBlAC4AXABuACAAIAAgACAAIAAgACAAIAAiICAASABvAHIAaQB6AG8AbgB0AGEAbAAgADEARAAgAGEAcgByAGEAeQBzACAAZQB4AHAAbABvAGQAZQAgAHIAbwB3ABEgdwBpAHMAZQAuAFwAbgAgACAAIAAgACAAIAAgACAAIiAgADIARAAgAGEAcgByAGEAeQBzACAAZQB4AHAAbABvAGQAZQAgAHIAbwB3ABEgdwBpAHMAZQAgAGIAeQAgAGQAZQBmAGEAdQBsAHQALAAgAG8AcgAgAHcAaQBkAHQAaAARIHcAaQBzAGUAIAB3AGgAZQBuAFwAbgAgACAAIAAgACAAIAAgACAAIAAgAGUAeABwAGwAbwBkAGUAXwAyAEQAXwBiAHkAYwBvAGwAIAA9ACAAVABSAFUARQAuAFwAbgBcAG4AUABhAHIAYQBtAGUAdABlAHIAcwA6AFwAbgAgACAAIAAgAGEAcgByAGEAeQAgACAAIAAgACAAIAAgACAAIAAgACAAIAAgACAAIAAtACAASQBuAHAAdQB0ACAAYwBhAG4AIABiAGUAIABzAGMAYQBsAGEAcgAsACAAMQBEACwAIABvAHIAIAAyAEQALgBcAG4AIAAgACAAIABbAGUAeABwAGwAbwBkAGUAXwAyAEQAXwBiAHkAYwBvAGwAXQAgACAALQAgAE8AcAB0AGkAbwBuAGEAbAAuACAAVABSAFUARQAgAJIhIABlAHgAcABsAG8AZABlACAAMgBEACAAYQByAHIAYQB5AHMAIAB3AGkAZAB0AGgAESB3AGkAcwBlAC4AXABuACAAIAAgACAAIAAgACAAIAAgACAAIAAgACAAIAAgACAAIAAgACAAIAAgACAAIAAgACAAIABPAG0AaQB0AHQAZQBkACAAkiEgAGUAeABwAGwAbwBkAGUAIAByAG8AdwARIHcAaQBzAGUALgBcAG4AXABuAE4AbwB0AGUAcwA6AFwAbgAgACAAIAAgACIgIABMAEUATgAoAGEAcgByAGEAeQApACAAZABlAHQAZQByAG0AaQBuAGUAcwAgAHQAaABlACAAbQBhAHgAaQBtAHUAbQAgAGMAaABhAHIAYQBjAHQAZQByACAAYwBvAHUAbgB0ACAAcABlAHIAIABjAGUAbABsAC4AXABuAC0ALQAtAC0ALQAtAC0ALQAtAC0ALQAtAC0ALQAtAC0ALQAtAC0ALQAtAC0ALQAtAC0ALQAtAC0ALQAtAC0ALQAtAC0ALQAtAC0ALQAtAC0ALQAtAC0ALQAtAC0ALQAtAC0ALQAtAC0ALQAtAC0ALQAtAC0ALQAtAC0ALQAtAC0ALQAtAC0ALQAtAC0ALQAtAC0ALQAtAC0ALQAtACoALwBcAG4AXABuAEUAeABwAGwAbwBkAGUAuwMgAD0AXABuAEwAQQBNAEIARABBACgAXABuACAAIAAgACAAYQByAHIAYQB5ACwAXABuACAAIAAgACAAWwBlAHgAcABsAG8AZABlAF8AMgBEAF8AYgB5AGMAbwBsAF0ALABcAG4AXABuAEwARQBUACgAXABuACAAIAAgACAALwAvACAARABpAG0AZQBuAHMAaQBvAG4AcwBcAG4AIAAgACAAIABoACwAIAAgACAAIAAgACAAIAAgACAAIAAgACAAIAAgAFIATwBXAFMAKABhAHIAcgBhAHkAKQAsAFwAbgAgACAAIAAgAHcALAAgACAAIAAgACAAIAAgACAAIAAgACAAIAAgACAAQwBPAEwAVQBNAE4AUwAoAGEAcgByAGEAeQApACwAXABuAFwAbgAgACAAIAAgAC8ALwAgAEcAZQBvAG0AZQB0AHIAeQAgAGMAbABhAHMAcwBpAGYAaQBjAGEAdABpAG8AbgBcAG4AIAAgACAAIABJAHMAVgBlAHIAdABpAGMAYQBsAD8ALAAgACAAIAAgAGgAIAA+ACAAdwAsAFwAbgAgACAAIAAgAEkAcwBIAG8AcgBpAHoAbwBuAHQAYQBsAD8ALAAgACAAdwAgAD4AIABoACwAXABuACAAIAAgACAASQBzAFMAYwBhAGwAYQByAD8ALAAgACAAIAAgACAAIABBAE4ARAAoAGgAIAA9ACAAMQAsACAAdwAgAD0AIAAxACkALABcAG4AIAAgACAAIABJAHMAMQBEAD8ALAAgACAAIAAgACAAIAAgACAAIAAgAFgATwBSACgAaAAgAD4AIAAxACwAIAB3ACAAPgAgADEAKQAsAFwAbgAgACAAIAAgAEkAcwAyAEQAPwAsACAAIAAgACAAIAAgACAAIAAgACAAQQBOAEQAKABoACAAPgAgADEALAAgAHcAIAA+ACAAMQApACwAXABuACAAIAAgACAARABpAHIATwBtAGkAdAB0AGUAZAA/ACwAIAAgACAAIABJAFMATwBNAEkAVABUAEUARAAoAGUAeABwAGwAbwBkAGUAXwAyAEQAXwBiAHkAYwBvAGwAKQAsAFwAbgBcAG4AIAAgACAAIAAvAC8AIABTAGMAYQBsAGEAcgAgAGUAeABwAGwAbwBzAGkAbwBuAFwAbgAgACAAIAAgAEUAeABwAGwAbwBkAGUAUwBjAGEAbABhAHIALAAgACAAUgBFAEcARQBYAEUAWABUAFIAQQBDAFQAKABhAHIAcgBhAHkALAAgAFwAIgAuAFwAIgAsACAAMQApACwAXABuAFwAbgAgACAAIAAgAEkARgAoAEkAcwBTAGMAYQBsAGEAcgA/ACwARQB4AHAAbABvAGQAZQBTAGMAYQBsAGEAcgAsAFwAbgBcAG4ATABFAFQAKABcAG4AIAAgACAAIAAvAC8AIABNAGEAeABpAG0AdQBtACAAYwBoAGEAcgBhAGMAdABlAHIAcwAgAGEAYwByAG8AcwBzACAAYQBsAGwAIABjAGUAbABsAHMAXABuACAAIAAgACAAbQAsACAAIAAgACAAIAAgACAAIAAgACAATQBBAFgAKABMAEUATgAoAGEAcgByAGEAeQApACkALABcAG4AXABuACAAIAAgACAALwAvACAALQAtAC0AIAAxAEQAIABpAG4AZABlAHgAaQBuAGcAIAAtAC0ALQBcAG4AIAAgACAAIABpAGQAeAAsACAAIAAgACAAIAAgACAAIABMAEEATQBCAEQAQQAoAEkARgAoAEkAcwBWAGUAcgB0AGkAYwBhAGwAPwAsAFMARQBRAFUARQBOAEMARQAoACwAIABtACkALABcAG4AIAAgACAAIAAgACAAIAAgACAAIAAgACAAIAAgACAAIAAgACAAIAAgACAAIAAgACAAIAAgACAAIAAgACAAIAAgACAAIAAgACAAIAAgAFMARQBRAFUARQBOAEMARQAoAG0AKQApACkALABcAG4AXABuACAAIAAgACAALwAvACAALQAtAC0AIAAyAEQAIABpAG4AZABlAHgAaQBuAGcAIAAoAHYAZQByAHQAaQBjAGEAbAAgAGUAeABwAGwAbwBzAGkAbwBuACkAIAAtAC0ALQBcAG4AIAAgACAAIABpAF8ALAAgACAAIAAgACAAIAAgACAAIABMAEEATQBCAEQAQQAoACAAUgBlAHMAaQB6AGUAuwMoACAASQBOAFQAKABTAEUAUQBVAEUATgBDAEUAKABtACAAKgAgAGgALAAgACwAIAAsACAAMQAgAC8AIABtACkAKQAsACAALAAgAHcAIAApACAAKQAsAFwAbgAgACAAIAAgAGoAXwAsACAAIAAgACAAIAAgACAAIAAgAEwAQQBNAEIARABBACgAIABSAGUAcwBpAHoAZQC7AygAIABNAEcAcgBpAGQAuwMoAGEAcgByAGEAeQAsACAAMQApACwAIABtACAAKQAgACkALABcAG4AIAAgACAAIABzAHQAYQByAHQAXwBhAHQAXwAsACAAIABMAEEATQBCAEQAQQAoACAAUgBlAHMAaQB6AGUAuwMoACAAUwBFAFEAVQBFAE4AQwBFACgAbQApACwAIABoACwAIAB3ACAAKQAgACkALABcAG4AXABuACAAIAAgACAALwAvACAALQAtAC0AIAAyAEQAIABpAG4AZABlAHgAaQBuAGcAIAAoAGgAbwByAGkAegBvAG4AdABhAGwAIABlAHgAcABsAG8AcwBpAG8AbgApACAALQAtAC0AXABuACAAIAAgACAAaQAsACAAIAAgACAAIAAgACAAIAAgACAATABBAE0AQgBEAEEAKAAgAFIAZQBzAGkAegBlALsDKAAgAE0ARwByAGkAZAC7AygAYQByAHIAYQB5ACkALAAgACwAIABtACAAKQAgACkALABcAG4AIAAgACAAIABqACwAIAAgACAAIAAgACAAIAAgACAAIABMAEEATQBCAEQAQQAoACAAUgBlAHMAaQB6AGUAuwMoACAASQBOAFQAKABTAEUAUQBVAEUATgBDAEUAKAAsACAAbQAgACoAIAB3ACwAIAAsACAAMQAgAC8AIABtACkAKQAsACAAaAAgACkAIAApACwAXABuACAAIAAgACAAcwB0AGEAcgB0AF8AYQB0ACwAIAAgACAATABBAE0AQgBEAEEAKAAgAFIAZQBzAGkAegBlALsDKAAgAFMARQBRAFUARQBOAEMARQAoACwAIABtACkALAAgAGgALAAgAHcAIAApACAAKQAsAFwAbgBcAG4AIAAgACAAIAAvAC8AIAAxAEQAIABlAHgAcABsAG8AcwBpAG8AbgBcAG4AIAAgACAAIABlAHgAMQBEACwAIAAgACAAIAAgACAAIABMAEEATQBCAEQAQQAoACAATQBJAEQAKABhAHIAcgBhAHkALAAgAGkAZAB4ACgAKQAsACAAMQApACAAKQAsAFwAbgBcAG4AIAAgACAAIAAvAC8AIAAyAEQAIABlAHgAcABsAG8AcwBpAG8AbgAgAHYAYQByAGkAYQBuAHQAcwBcAG4AIAAgACAAIABlAHgAMgBEAF8AVgAsACAAIAAgACAAIABMAEEATQBCAEQAQQAoACAATQBJAEQAKABJAE4ARABFAFgAKABhAHIAcgBhAHkALAAgAGkAXwAoACkALAAgAGoAXwAoACkAKQAsACAAcwB0AGEAcgB0AF8AYQB0AF8AKAApACwAIAAxACkAIAApACwAXABuACAAIAAgACAAZQB4ADIARABfAEgALAAgACAAIAAgACAATABBAE0AQgBEAEEAKAAgAE0ASQBEACgASQBOAEQARQBYACgAYQByAHIAYQB5ACwAIABpACgAKQAsACAAIABqACgAKQApACwAIABzAHQAYQByAHQAXwBhAHQAKAApACwAIAAgADEAKQAgACkALABcAG4AXABuACAAIAAgACAALwAvACAAMgBEACAAcwBlAGwAZQBjAHQAaQBvAG4AXABuACAAIAAgACAAZQB4ADIARAAsACAAIAAgACAAIAAgACAATABBAE0AQgBEAEEAKABJAEYAKABEAGkAcgBPAG0AaQB0AHQAZQBkAD8ALABlAHgAMgBEAF8AVgAoACkALABlAHgAMgBEAF8ASAAoACkAKQApACwAXABuAFwAbgAgACAAIAAgAC8ALwAgAEYAaQBuAGEAbAAgAHMAZQBsAGUAYwB0AGkAbwBuAFwAbgAgACAAIAAgAGYAaQBuAGEAbAAsACAAIAAgACAAIAAgAEkARgAoAEkAcwAxAEQAPwAsACAAZQB4ADEARAAoACkALAAgAGUAeAAyAEQAKAApACkALABcAG4AXABuACAAIAAgACAAZgBpAG4AYQBsAFwAbgApACkAKQApADsAXABuAFwAbgBcAG4AXABuAC8AKgAgAFsAVABYADAANgBdACAALQAtAC0ALQAtAC0ALQAtAC0ALQAtAC0ALQAtAC0ALQAtAC0ALQAtAC0ALQAtAC0ALQAtAC0ALQAtAC0ALQAtAC0ALQAtAC0ALQAtAC0ALQAtAC0ALQAtAC0ALQAtAC0ALQAtAC0ALQAtAC0ALQAtAC0ALQAtAC0ALQAtAC0ALQAtAC0ALQAtAC0ALQAtAC0ALQBcAG4ARgB1AG4AYwB0AGkAbwBuADoAIAAgACAAIAAgACAAIAAgAE4AdQBtAGIAZQByAHM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dQBtAGUAcgBpAGMAIABjAGgAYQByAGEAYwB0AGUAcgBzACAAKAAwABMgOQApACAAZgByAG8AbQAgAGEAIABzAGMAYQBsAGEAcgAsACAAMQBEACAAYQByAHIAYQB5ACwAIABvAHIAIAAyAEQAIABhAHIAcgBhAHkALgBcAG4AXABuAFAAYQByAGEAbQBlAHQAZQByAHMAOgBcAG4AIAAgACAAIABhAHIAcgBhAHkAIAAgACAAIAAgACAAIAAtACAASQBuAHAAdQB0ACAAcwBjAGEAbABhAHIALAAgADEARAAgAGEAcgByAGEAeQAsACAAbwByACAAMgBEACAAYQByAHIAYQB5AC4AXABuAFwAbgBOAG8AdABlAHMAOgBcAG4AIAAgACAAIAAiICAAVQBzAGUAcwAgAEUAeABwAGwAbwBkAGUAuwMgAGYAbwByACAAYwBoAGEAcgBhAGMAdABlAHIAESBsAGUAdgBlAGwAIABlAHgAcABhAG4AcwBpAG8AbgAuAFwAbgAgACAAIAAgACIgIABDAE8ARABFACgAKQAgAGYAaQBsAHQAZQByAGkAbgBnACAAZQBuAHMAdQByAGUAcwAgAHMAdAByAGkAYwB0ACAAZABpAGcAaQB0ACAAZQB4AHQAcgBhAGMAdABpAG8AbgAuAFwAbgAtAC0ALQAtAC0ALQAtAC0ALQAtAC0ALQAtAC0ALQAtAC0ALQAtAC0ALQAtAC0ALQAtAC0ALQAtAC0ALQAtAC0ALQAtAC0ALQAtAC0ALQAtAC0ALQAtAC0ALQAtAC0ALQAtAC0ALQAtAC0ALQAtAC0ALQAtAC0ALQAtAC0ALQAtAC0ALQAtAC0ALQAtAC0ALQAtAC0ALQAtAC0ALQAqAC8AXABuAFwAbgBOAHUAbQBiAGUAcgBz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QAaQBnAGkAdAAgAG0AYQBzAGsAXABuACAAIAAgACAASwBlAGUAcAAsACAAIAAgACAAIAAgACAAIAAgACAASQBGAEUAUgBSAE8AUgAoACgAQwBPAEQARQAoAGUAeAApACAAPgA9ACAANAA4ACkAIAAqACAAKABDAE8ARABFACgAZQB4ACkAIAA8AD0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gACsAIAAwACwAXAAiAFwAIgApACwAXABuAFwAbgAgACAAIAAgAGYAaQBuAGEAbABcAG4AKQApADsAXABuAFwAbgBcAG4AXABuAC8AKgAgAFsAVABYADAANwBdACAALQAtAC0ALQAtAC0ALQAtAC0ALQAtAC0ALQAtAC0ALQAtAC0ALQAtAC0ALQAtAC0ALQAtAC0ALQAtAC0ALQAtAC0ALQAtAC0ALQAtAC0ALQAtAC0ALQAtAC0ALQAtAC0ALQAtAC0ALQAtAC0ALQAtAC0ALQAtAC0ALQAtAC0ALQAtAC0ALQAtAC0ALQAtAC0ALQBcAG4ARgB1AG4AYwB0AGkAbwBuADoAIAAgACAAIAAgACAAIAAgAFQAZQB4AHQ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bwBuABEgbgB1AG0AZQByAGkAYwAgAGMAaABhAHIAYQBjAHQAZQByAHM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bwBtAHAAbABlAG0AZQBuAHQAcwAgAE4AdQBtAGIAZQByAHMATwBuAGwAeQC7AyAAYgB5ACAAcwBlAGwAZQBjAHQAaQBuAGcAIABhAGwAbAAgAG4AbwBuABEgZABpAGcAaQB0ACAAYwBoAGEAcgBhAGMAdABlAHIAcwAuAFwAbgAtAC0ALQAtAC0ALQAtAC0ALQAtAC0ALQAtAC0ALQAtAC0ALQAtAC0ALQAtAC0ALQAtAC0ALQAtAC0ALQAtAC0ALQAtAC0ALQAtAC0ALQAtAC0ALQAtAC0ALQAtAC0ALQAtAC0ALQAtAC0ALQAtAC0ALQAtAC0ALQAtAC0ALQAtAC0ALQAtAC0ALQAtAC0ALQAtAC0ALQAtAC0ALQAqAC8AXABuAFwAbgBUAGUAeAB0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4AbwBuABEgZABpAGcAaQB0ACAAbQBhAHMAawBcAG4AIAAgACAAIABLAGUAZQBwACwAIAAgACAAIAAgACAAIAAgACAAIABJAEYARQBSAFIATwBSACgAKABDAE8ARABFACgAZQB4ACkAIAA8ACAANAA4ACkAIAArACAAKABDAE8ARABFACgAZQB4ACkAIAA+ACAANQA3ACkALAAgAEYAQQBMAFMARQApACwAXABuAFwAbgAgACAAIAAgAC8ALwAgAE0AYQBzAGsAZQBkACAAcgBlAHMAdQBsAHQAXABuACAAIAAgACAAUgBlAHMAdQBsAHQALAAgACAAIAAgACAAIAAgACAASQBGACgASwBlAGUAcAAsACAAZQB4ACwAIABcACIAXAAiACkALABcAG4AXABuACAAIAAgACAALwAvACAAMQBEACAAYwBvAG4AYwBhAHQAZQBuAGEAdABlAGQAIABvAHUAdABwAHUAdABcAG4AIAAgACAAIABmAGkAbgBhAGwALAAgACAAIAAgACAAIAAgACAAIABJAEYARQBSAFIATwBSACgAQgBZAFIATwBXACgAUgBlAHMAdQBsAHQALAAgAEMATwBOAEMAQQBUACkALABcACIAXAAiACkALABcAG4AXABuACAAIAAgACAAZgBpAG4AYQBsAFwAbgApACkAOwBcAG4AXABuAFwAbgBcAG4ALwAqACAAWwBUAFgAMAA4AF0AIAAtAC0ALQAtAC0ALQAtAC0ALQAtAC0ALQAtAC0ALQAtAC0ALQAtAC0ALQAtAC0ALQAtAC0ALQAtAC0ALQAtAC0ALQAtAC0ALQAtAC0ALQAtAC0ALQAtAC0ALQAtAC0ALQAtAC0ALQAtAC0ALQAtAC0ALQAtAC0ALQAtAC0ALQAtAC0ALQAtAC0ALQAtAC0ALQAtAFwAbgBGAHUAbgBjAHQAaQBvAG4AOgAgACAAIAAgACAAIAAgACAAUwBwAGwAaQB0ALsDXABuAEMAYQB0AGUAZwBvAHIAeQA6ACAAIAAgACAAIAAgACAAIABUAGUAeAB0AFwAbgBBAHUAdABoAG8AcgA6ACAAIAAgACAAIAAgACAAIAAgACAAUABhAHQAcgBpAGMAawAgAEgALgBcAG4AVgBlAHIAcwBpAG8AbgA6ACAAIAAgACAAIAAgACAAIAAgADEALgAxAFwAbgBEAGUAcABlAG4AZABlAG4AYwBpAGUAcwA6ACAAIAAgACAAUgBlAGcAZQB4AFMAYQBmAGUAuwNcAG4AXABuAEQAZQBzAGMAcgBpAHAAdABpAG8AbgA6AFwAbgAgACAAIAAgAFMAcABsAGkAdABzACAAMQBEACAAdABlAHgAdAAgAGEAcgByAGEAeQBzACAAaQBuAHQAbwAgAHQAbwBrAGUAbgBzACAAdQBzAGkAbgBnACAAYQAgAHMAcABlAGMAaQBmAGkAZQBkACAAZABlAGwAaQBtAGkAdABlAHIALgAgAFQAaABlACAAZgB1AG4AYwB0AGkAbwBuAFwAbgAgACAAIAAgAGkAcwAgAHMAaABhAHAAZQARIGEAdwBhAHIAZQAgAGEAbgBkACAAcgBlAHQAdQByAG4AcwAgAGEAIAAyAEQAIABzAHAAaQBsAGwAIABhAGwAaQBnAG4AZQBkACAAdABvACAAdABoAGUAIABvAHIAaQBlAG4AdABhAHQAaQBvAG4AIABvAGYAIAB0AGgAZQBcAG4AIAAgACAAIABpAG4AcAB1AHQAIABhAHIAcgBhAHkALgAgAFMAdQBwAHAAbwByAHQAcwAgAG0AdQBsAHQAaQARIGMAaABhAHIAYQBjAHQAZQByACAAZABlAGwAaQBtAGkAdABlAHIAcwAgAGEAbgBkACAAZgB1AGwAbAAgAHIAZQBnAGUAeAARIHMAYQBmAGUAXABuACAAIAAgACAAZQBzAGMAYQBwAGkAbgBnAC4AXABuAFwAbgBQAGEAcgBhAG0AZQB0AGUAcgBzADoAXABuACAAIAAgACAAYQByAHIAYQB5ACAAIAAgACAAIAAgACAALQAgAEEAIAAxAEQAIABhAHIAcgBhAHkAIAAoAHYAZQByAHQAaQBjAGEAbAAgAG8AcgAgAGgAbwByAGkAegBvAG4AdABhAGwAKQAuACAAMgBEACAAYQByAHIAYQB5AHMAIABhAHIAZQAgAG4AbwB0ACAAcwB1AHAAcABvAHIAdABlAGQALgBcAG4AIAAgACAAIABkAGUAbABpAG0AaQB0AGUAcgAgACAAIAAtACAARABlAGwAaQBtAGkAdABlAHIAIAB1AHMAZQBkACAAdABvACAAcwBwAGwAaQB0ACAAZQBhAGMAaAAgAHQAZQB4AHQAIABlAGwAZQBtAGUAbgB0AC4AIABTAHAAaQBsAGwAIABvAHIAaQBlAG4AdABhAHQAaQBvAG4AXABuACAAIAAgACAAIAAgACAAIAAgACAAIAAgACAAIAAgACAAIAAgAGkAcwAgAGkAbgBmAGUAcgByAGUAZAAgAGYAcgBvAG0AIAB0AGgAZQAgAHMAaABhAHAAZQAgAG8AZgAgAGEAcgByAGEAeQAuAFwAbgBcAG4ATwBwAHQAaQBvAG4AYQBsADoAXABuACAAIAAgACAAWwBpAGYAXwBuAG8AdABfAGYAbwB1AG4AZABdAFwAbgAgACAAIAAgACAAIAAgACAAVgBhAGwAdQBlACAAcgBlAHQAdQByAG4AZQBkACAAdwBoAGUAbgAgAGEAIAB0AGUAeAB0ACAAZQBsAGUAbQBlAG4AdAAgAGMAbwBuAHQAYQBpAG4AcwAgAG4AbwAgAGQAZQBsAGkAbQBpAHQAZQByAC4AXABuACAAIAAgACAAIAAgACAAIABEAGUAZgBhAHUAbAB0AHMAIAB0AG8AIABcACIAXAAiAC4AXABuAFwAbgAgACAAIAAgAFsAdAByAGUAYQB0AF8AYwBvAG4AcwBlAGMAdQB0AGkAdgBlAF8AZABlAGwAaQBtAGkAdABlAHIAcwBfAGEAcwBfAG8AbgBlAF0AXABuACAAIAAgACAAIAAgACAAIABUAFIAVQBFACAAkiEgAGMAbwBsAGwAYQBwAHMAZQAgAHIAdQBuAHMAIABvAGYAIABjAG8AbgBzAGUAYwB1AHQAaQB2AGUAIABkAGUAbABpAG0AaQB0AGUAcgBzACAAYgBlAGYAbwByAGUAIABzAHAAbABpAHQAdABpAG4AZwAuAFwAbgAgACAAIAAgACAAIAAgACAAVQBzAGUAZgB1AGwAIABmAG8AcgAgAEMAUwBWABEgcwB0AHkAbABlACAAbgBvAHIAbQBhAGwAaQB6AGEAdABpAG8AbgAuAFwAbgBcAG4ATgBvAHQAZQBzADoAXABuACAAIAAgACAAIiAgAEMAbwBsAGwAYQBwAHMAZQAgAG0AbwBkAGUAIABwAGUAcgBmAG8AcgBtAHMAIABhACAAUgBFAEcARQBYAFIARQBQAEwAQQBDAEUAIABwAGEAcwBzACAAdwBoAGUAbgAgAGMAbwBuAHMAZQBjAHUAdABpAHYAZQAgAGQAZQBsAGkAbQBpAHQAZQByAHMAIABlAHgAaQBzAHQALgBcAG4AIAAgACAAIAAgACAARgBvAHIAIAB2AGUAcgB5ACAAbABhAHIAZwBlACAAYQByAHIAYQB5AHMAIABvAHIAIABoAGkAZwBoACAAdABvAGsAZQBuACAAYwBvAHUAbgB0AHMALAAgAHQAaABpAHMAIABtAGEAeQAgAGkAbgBjAHIAZQBhAHMAZQAgAGMAYQBsAGMAdQBsAGEAdABpAG8AbgAgAHQAaQBtAGUALgBcAG4AIAAgACAAIAAiICAARABlAGwAaQBtAGkAdABlAHIAcwAgAGEAcgBlACAAZgB1AGwAbAB5ACAAcgBlAGcAZQB4ABEgZQBzAGMAYQBwAGUAZAAgAHYAaQBhACAAUgBlAGcAZQB4AFMAYQBmAGUAuwMsACAAYQBsAGwAbwB3AGkAbgBnACAAbABpAHQAZQByAGEAbAAgAHUAcwBlACAAbwBmAFwAbgAgACAAIAAgACAAIABtAGUAdABhAGMAaABhAHIAYQBjAHQAZQByAHMAIAAoACoALAAgAD8ALAAgACsALAAgAHwALAAgACgALAAgACkALAAgAFsALAAgAF0ALAAgAF4ALAAgACQALAAgAGUAdABjAC4AKQAuAFwAbgAtAC0ALQAtAC0ALQAtAC0ALQAtAC0ALQAtAC0ALQAtAC0ALQAtAC0ALQAtAC0ALQAtAC0ALQAtAC0ALQAtAC0ALQAtAC0ALQAtAC0ALQAtAC0ALQAtAC0ALQAtAC0ALQAtAC0ALQAtAC0ALQAtAC0ALQAtAC0ALQAtAC0ALQAtAC0ALQAtAC0ALQAtAC0ALQAtAC0ALQAtAC0ALQAqAC8AXABuAFwAbgBTAHAAbABpAHQAuwMgAD0AXABuAEwAQQBNAEIARABBACgAXABuACAAIAAgACAAYQByAHIAYQB5ACwAXABuACAAIAAgACAAZABlAGwAaQBtAGkAdABlAHIALABcAG4AIAAgACAAIABbAGkAZgBfAG4AbwB0AF8AZgBvAHUAbgBkAF0ALABcAG4AIAAgACAAIABbAHQAcgBlAGEAdABfAGMAbwBuAHMAZQBjAHUAdABpAHYAZQBfAGQAZQBsAGkAbQBpAHQAZQByAHMAXwBhAHMAXwBvAG4AZQBdACwAXABuAFwAbgBMAEUAVAAoAFwAbgAgACAAIAAgAC8ALwAgAEQAaQBtAGUAbgBzAGkAbwBuAHMAIABvAGYAIABpAG4AcAB1AHQAIABhAHIAcgBhAHkAXABuACAAIAAgACAAaAAsACAAIABSAE8AVwBTACgAYQByAHIAYQB5ACkALABcAG4AIAAgACAAIAB3ACwAIAAgAEMATwBMAFUATQBOAFMAKABhAHIAcgBhAHkAKQAsAFwAbgBcAG4AIAAgACAAIAAvAC8AIABEAGkAbQBlAG4AcwBpAG8AbgBzACAAbwBmACAAZABlAGwAaQBtAGkAdABlAHIAXABuACAAIAAgACAAaACCICwAIABSAE8AVwBTACgAZABlAGwAaQBtAGkAdABlAHIAKQAsAFwAbgAgACAAIAAgAHcAgiAsACAAQwBPAEwAVQBNAE4AUwAoAGQAZQBsAGkAbQBpAHQAZQByACkALABcAG4AXABuACAAIAAgACAALwAvACAATwByAGkAZQBuAHQAYQB0AGkAbwBuACAAYwBoAGUAYwBrAHMAXABuACAAIAAgACAASQBzAFYAZQByAHQAaQBjAGEAbAA/ACwAIAAgACAAIABoACAAPgAgAHcALABcAG4AIAAgACAAIABJAHMAMgBEAD8ALAAgACAAIAAgACAAIAAgACAAIAAgAEEATgBEACgAaAAgAD4AIAAxACwAIAB3ACAAPgAgADEAKQAsAFwAbgAgACAAIAAgAEkAcwBTAGMAYQBsAGEAcgA/ACwAIAAgACAAIAAgACAAQQBOAEQAKABoACAAPQAgADEALAAgAHcAIAA9ACAAMQApACwAXABuAFwAbgAgACAAIAAgAC8ALwAgAE8AcAB0AGkAbwBuAGEAbAAgAHAAYQByAGEAbQBlAHQAZQByAHMAXABuACAAIAAgACAAaQBmAF8AbgBvAHQAXwBmAG8AdQBuAGQALAAgACAAIABJAEYAKABJAFMATwBNAEkAVABUAEUARAAoAGkAZgBfAG4AbwB0AF8AZgBvAHUAbgBkACkALAAgAFwAIgBcACIALAAgAGkAZgBfAG4AbwB0AF8AZgBvAHUAbgBkACkALABcAG4AIAAgACAAIABDAG8AbABsAGEAcABzAGUARABlAGwAaQBtAD8ALAAgAE4ATwBUACgASQBTAE8ATQBJAFQAVABFAEQAKAB0AHIAZQBhAHQAXwBjAG8AbgBzAGUAYwB1AHQAaQB2AGUAXwBkAGUAbABpAG0AaQB0AGUAcgBzAF8AYQBzAF8AbwBuAGUAKQApACwAXABuACAAIAAgACAATQB1AGwAdABpAHAAbABlAEQAZQBsAGkAbQA/ACwAIABPAFIAKABoAIIgIAA+ACAAMQAsACAAdwCCICAAPgAgADEAKQAsAFwAbgBcAG4AIAAgACAAIAAvAC8AIABWAGEAbABpAGQAYQB0AGkAbwBuAFwAbgAgACAAIAAgAEkARgAoAEkAcwAyAEQAPwAsACAAIAAgACAAIAAgACAAIAAgACAAIAAgACAAIABcACIAIwAyAEQALQBJAE4AUABVAFQAIQBcACIALABcAG4AXABuACAAIAAgACAAIAAgACAAIABJAEYAKABNAHUAbAB0AGkAcABsAGUARABlAGwAaQBtAD8ALAAgAFwAIgAjAEQARQBMAEkATQBJAFQARQBSAC0AQQBSAFIAQQBZACEAXAAiACwAXABuAFwAbgBMAEUAVAAoAFwAbgAgACAAIAAgAC8ALwAgAFcAcgBhAHAAIABlAGEAYwBoACAAZQBsAGUAbQBlAG4AdAAgAHcAaQB0AGgAIABkAGUAbABpAG0AaQB0AGUAcgAgAG8AbgAgAGIAbwB0AGgAIABzAGkAZABlAHMAXABuACAAIAAgACAAagBvAGkAbgBlAGQALAAgACAAIAAgACAAIAAgACAAIABkAGUAbABpAG0AaQB0AGUAcgAgACYAIABhAHIAcgBhAHkAIAAmACAAZABlAGwAaQBtAGkAdABlAHIALABcAG4AXABuACAAIAAgACAALwAvACAAUgBlAGcAZQB4ABEgcwBhAGYAZQAgAGQAZQBsAGkAbQBpAHQAZQByAFwAbgAgACAAIAAgAGQAZQBsAGkAbQBfAGIALAAgACAAIAAgACAAIAAgACAAUgBlAGcAZQB4AFMAYQBmAGUAuwMoAGQAZQBsAGkAbQBpAHQAZQByACkALABcAG4AXABuACAAIAAgACAALwAvACAARABlAHQAZQBjAHQAIABjAG8AbgBzAGUAYwB1AHQAaQB2AGUAIABkAGUAbABpAG0AaQB0AGUAcgBzAFwAbgAgACAAIAAgAEkAcwBDAG8AbgBzAGUAYwBEAGUAbABpAG0APwAsACAATwBSACgAUgBFAEcARQBYAFQARQBTAFQAKABqAG8AaQBuAGUAZAAsACAAXAAiACgAXAAiACAAJgAgAGQAZQBsAGkAbQBfAGIAIAAmACAAXAAiACkAewAyACwAfQBcACIAKQApACwAXABuAFwAbgAgACAAIAAgAC8ALwAgAEMAbwBsAGwAYQBwAHMAZQAgAGMAbwBuAHMAZQBjAHUAdABpAHYAZQAgAGQAZQBsAGkAbQBpAHQAZQByAHMAIABpAGYAIAByAGUAcQB1AGUAcwB0AGUAZABcAG4AIAAgACAAIAB0AGUAeAB0AHMALAAgACAAIAAgACAAIAAgACAAIAAgAEkARgAoAEEATgBEACgAQwBvAGwAbABhAHAAcwBlAEQAZQBsAGkAbQA/ACwAIABJAHMAQwBvAG4AcwBlAGMARABlAGwAaQBtAD8AKQAsAFwAbgAgACAAIAAgACAAIAAgACAAIAAgACAAIAAgACAAIAAgACAAIAAgACAAIAAgACAAIABSAEUARwBFAFgAUgBFAFAATABBAEMARQAoAGoAbwBpAG4AZQBkACwAIABcACIAKABcACIAIAAmACAAZABlAGwAaQBtAF8AYgAgACYAIABcACIAKQArAFwAIgAsACAAZABlAGwAaQBtAF8AYgApACwAXABuACAAIAAgACAAIAAgACAAIAAgACAAIAAgACAAIAAgACAAIAAgACAAIAAgACAAIAAgAGoAbwBpAG4AZQBkACkALABcAG4AXABuACAAIAAgACAALwAvACAAVABvAGsAZQBuACAAYwBvAHUAbgB0AFwAbgAgACAAIAAgAEwALAAgACAAIAAgACAAIAAgACAAIAAgACAAIAAgACAATABFAE4AKABkAGUAbABpAG0AaQB0AGUAcgApACwAXABuACAAIAAgACAAdABvAGsAZQBuACwAIAAgACAAIAAgACAAIAAgACAAIABNAEEAWAAoAEwARQBOACgAdABlAHgAdABzACkAIAAtACAATABFAE4AKABTAFUAQgBTAFQASQBUAFUAVABFACgAdABlAHgAdABzACwAIABkAGUAbABpAG0AaQB0AGUAcgAsACAAXAAiAFwAIgApACkAKQAgAC8AIABMACAALQAgADEALABcAG4AXABuACAAIAAgACAALwAvACAASQBuAGQAZQB4AGkAbgBnACAAZgBvAHIAIABUAEUAWABUAEEARgBUAEUAUgAvAFQARQBYAFQAQgBFAEYATwBSAEUAXABuACAAIAAgACAAaQBkAHgALAAgACAAIAAgACAAIAAgACAAIAAgACAAIABMAEEATQBCAEQAQQAoAEkARgAoACgASQBzAFYAZQByAHQAaQBjAGEAbAA/ACkAIAArACAAKABJAHMAUwBjAGEAbABhAHIAPwApACwAUwBFAFEAVQBFAE4AQwBFACgALAAgAHQAbwBrAGUAbgApACwAXABuACAAIAAgACAAIAAgACAAIAAgACAAIAAgACAAIAAgACAAIAAgACAAIAAgACAAIAAgACAAIAAgACAAIAAgACAAIAAgACAAIAAgACAAIAAgACAAIAAgACAAIAAgACAAIAAgACAAIAAgACAAIAAgACAAIAAgACAAUwBFAFEAVQBFAE4AQwBFACgAdABvAGsAZQBuACkAKQApACwAXABuAFwAbgAgACAAIAAgAC8ALwAgAFAAYQByAHMAZQAgAHQAbwBrAGUAbgBzAFwAbgAgACAAIAAgAGYAaQBuAGEAbAAsACAAIAAgACAAIAAgACAAIAAgACAASQBGAEUAUgBSAE8AUgAoAFwAbgAgACAAIAAgACAAIAAgACAAIAAgACAAIAAgACAAIAAgACAAIAAgACAAIAAgACAAIAAgACAAIAAgAFQARQBYAFQAQgBFAEYATwBSAEUAKABUAEUAWABUAEEARgBUAEUAUgAoAHQAZQB4AHQAcwAsACAAZABlAGwAaQBtAGkAdABlAHIALAAgAGkAZAB4ACgAKQAsACAALAAgACwAIABpAGYAXwBuAG8AdABfAGYAbwB1AG4AZAApACwAXABuACAAIAAgACAAIAAgACAAIAAgACAAIAAgACAAIAAgACAAIAAgACAAIAAgACAAIAAgACAAIAAgACAAZABlAGwAaQBtAGkAdABlAHIALAAsACAALAAgACwAIABpAGYAXwBuAG8AdABfAGYAbwB1AG4AZAApACwAXABuACAAIAAgACAAIAAgACAAIAAgACAAIAAgACAAIAAgACAAIAAgACAAIAAgACAAIAAgACAAIAAgACAAaQBmAF8AbgBvAHQAXwBmAG8AdQBuAGQAKQAsAFwAbgBcAG4AIAAgACAAIABmAGkAbgBhAGwAXABuACkAKQApACkAKQA7AFwAbgBcAG4AXABuAFwAbgAvACoAIABbAFQAWAAtAEMATwBSAEUAXQAgAC0ALQAtAC0ALQAtAC0ALQAtAC0ALQAtAC0ALQAtAC0ALQAtAC0ALQAtAC0ALQAtAC0ALQAtAC0ALQAtAC0ALQAtAC0ALQAtAC0ALQAtAC0ALQAtAC0ALQAtAC0ALQAtAC0ALQAtAC0ALQAtAC0ALQAtAC0ALQAtAC0ALQAtAC0ALQAtAC0ALQAtAC0AXABuAEYAdQBuAGMAdABpAG8AbgA6ACAAIAAgACAAIAAgACAAIABSAGUAZwBlAHgAUwBhAGYAZQC7A1wAbgBDAGEAdABlAGcAbwByAHkAOgAgACAAIAAgACAAIAAgACAAVABlAHgAdAAgACgAQwBvAHIAZQApAFwAbgBBAHUAdABoAG8AcgA6ACAAIAAgACAAIAAgACAAIAAgACAAUABhAHQAcgBpAGMAawAgAEgALgBcAG4AVgBlAHIAcwBpAG8AbgA6ACAAIAAgACAAIAAgACAAIAAgADEALgAxAFwAbgBcAG4ARABlAHMAYwByAGkAcAB0AGkAbwBuADoAXABuACAAIAAgACAARQBzAGMAYQBwAGUAcwAgAHIAZQBnAGUAeAAgAG0AZQB0AGEAYwBoAGEAcgBhAGMAdABlAHIAcwAgAGkAbgAgAGEAIABzAHUAcABwAGwAaQBlAGQAIABkAGUAbABpAG0AaQB0AGUAcgAgAHMAbwAgAGkAdAAgAGMAYQBuACAAYgBlACAAdQBzAGUAZABcAG4AIAAgACAAIABzAGEAZgBlAGwAeQAgAGkAbgAgAFIARQBHAEUAWABUAEUAUwBUACwAIABSAEUARwBFAFgAUgBFAFAATABBAEMARQAsACAAYQBuAGQAIABSAEUARwBFAFgARQBYAFQAUgBBAEMAVAAgAHAAYQB0AHQAZQByAG4AcwAuACAATQB1AGwAdABpABEgXABuACAAIAAgACAAYwBoAGEAcgBhAGMAdABlAHIAIABkAGUAbABpAG0AaQB0AGUAcgBzACAAYQByAGUAIABwAHIAbwBjAGUAcwBzAGUAZAAgAGMAaABhAHIAYQBjAHQAZQByABEgYgB5ABEgYwBoAGEAcgBhAGMAdABlAHIALAAgAGEAbgBkACAAbwBuAGwAeQBcAG4AIAAgACAAIABjAGgAYQByAGEAYwB0AGUAcgBzACAAdABoAGEAdAAgAHIAZQBxAHUAaQByAGUAIABlAHMAYwBhAHAAaQBuAGcAIABhAHIAZQAgAHAAcgBlAGYAaQB4AGUAZAAgAHcAaQB0AGgAIABcACIAXABcAFwAIgAuAFwAbgBcAG4ARQB4AGEAbQBwAGwAZQA6AFwAbgAgACAAIAAgAD0AUgBlAGcAZQB4AFMAYQBmAGUAuwMoAFwAIgB8AFwAIgApAFwAbgAgACAAIAAgAHIAZQB0AHUAcgBuAHMAOgAgAFwAIgBcAFwAfABcACIAXABuAC0ALQAtAC0ALQAtAC0ALQAtAC0ALQAtAC0ALQAtAC0ALQAtAC0ALQAtAC0ALQAtAC0ALQAtAC0ALQAtAC0ALQAtAC0ALQAtAC0ALQAtAC0ALQAtAC0ALQAtAC0ALQAtAC0ALQAtAC0ALQAtAC0ALQAtAC0ALQAtAC0ALQAtAC0ALQAtAC0ALQAtAC0ALQAtAC0ALQAtAC0ALQAtACoALwBcAG4AXABuAFIAZQBnAGUAeABTAGEAZgBlALsDIAA9AFwAbgBMAEEATQBCAEQAQQAoAFwAbgAgACAAIAAgAGQAZQBsAGkAbQBpAHQAZQByAHMALABcAG4ATABFAFQAKABcAG4AIAAgACAAIAAvAC8AIABDAGgAYQByAGEAYwB0AGUAcgBzACAAcgBlAHEAdQBpAHIAaQBuAGcAIABlAHMAYwBhAHAAaQBuAGcAIABpAG4AIABFAHgAYwBlAGwAJwBzACAAUABDAFIARQAyACAAZQBuAGcAaQBuAGUAXABuACAAIAAgACAAbQBlAHQAYQAsACAAIAAgACAAIAAgACAAewBcACIAXABcAFwAIgAsACAAXAAiACsAXAAiACwAIABcACIAKgBcACIALAAgAFwAIgA/AFwAIgAsACAAXAAiAF4AXAAiACwAXABuACAAIAAgACAAIAAgACAAIAAgACAAIAAgACAAIAAgACAAIABcACIAJABcACIALAAgAFwAIgAoAFwAIgAsACAAXAAiACkAXAAiACwAIABcACIAWwBcACIALAAgAFwAIgB8AFwAIgB9ACwAXABuAFwAbgAgACAAIAAgAC8ALwAgAEUAbgB1AG0AZQByAGEAdABlACAAZQBhAGMAaAAgAGMAaABhAHIAYQBjAHQAZQByACAAbwBmACAAdABoAGUAIABkAGUAbABpAG0AaQB0AGUAcgBcAG4AIAAgACAAIABjAGgAYQByAHMALAAgACAAIAAgACAAIABSAEUARwBFAFgARQBYAFQAUgBBAEMAVAAoAGQAZQBsAGkAbQBpAHQAZQByAHMALABcACIALgBcACIALAAxACkALABcAG4AXABuACAAIAAgACAALwAvACAASQBkAGUAbgB0AGkAZgB5ACAAbQBlAHQAYQBjAGgAYQByAGEAYwB0AGUAcgBzAFwAbgAgACAAIAAgAEkAcwBNAGUAdABhAD8ALAAgACAAIAAgAEkAUwBOAFUATQBCAEUAUgAoAFgATQBBAFQAQwBIACgAYwBoAGEAcgBzACwAIABtAGUAdABhACkAKQAsAFwAbgBcAG4AIAAgACAAIAAvAC8AIABFAHMAYwBhAHAAZQAgAG8AbgBsAHkAIAB0AGgAbwBzAGUAIAB0AGgAYQB0ACAAcgBlAHEAdQBpAHIAZQAgAGkAdABcAG4AIAAgACAAIABwAGEAdAB0AGUAcgBuACwAIAAgACAAIABDAE8ATgBDAEEAVAAoAEkARgAoAEkAcwBNAGUAdABhAD8ALAAgAFwAIgBcAFwAXAAiACAAJgAgAGMAaABhAHIAcwAsACAAYwBoAGEAcgBzACkAKQAsAFwAbgBcAG4AIAAgACAAIABwAGEAdAB0AGUAcgBuAFwAbgApACkAOwBcAG4AXABuAFwAbgBcAG4ALwAvACAAWwBFAE4AXQAgAC0ALQAtAC0ALQAtAC0ALQAtAC0ALQAtAC0ALQAtAC0ALQAtAC0ALQAtAC0ALQAtAC0ALQAtAC0ALQAtAC0ALQAtAC0ALQAtAC0ALQAtAC0ALQAtAC0ALQAtAC0ALQAtAC0ALQAtAC0ALQAtAC0ALQAtAC0ALQAtAC0ALQAtAC0ALQAtAC0ALQAtAC0ALQAtAC0ALQAtAC0ALQBcAG4ALwAvACAALQAtAC0AIwAjACAAMAA4ACAAFCAgAEUAbgBnAGkAbgBlAGUAcgBpAG4AZ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UAbgBnAGkAbgBlAGUAcgBpAG4AZwAgAGMAYQB0AGUAZwBvAHIAeQAgAHAAcgBvAHYAaQBkAGUAcwAgAGIAaQBuAGEAcgB5ACwAIABHAHIAYQB5ABEgYwBvAGQAZQAsACAAYQBuAGQAIABiAGkAdAARIGwAZQB2AGUAbAAgAHUAdABpAGwAaQB0AGkAZQBzAFwAbgAgACAAIAAgAGQAZQBzAGkAZwBuAGUAZAAgAHQAbwAgAG8AcABlAHIAYQB0AGUAIAB3AGUAbABsACAAYgBlAHkAbwBuAGQAIABFAHgAYwBlAGwAJwBzACAAbgBhAHQAaQB2AGUAIABEAEUAQwAyAEIASQBOACAAbABpAG0AaQB0ACAAbwBmACAANQAxADEALgAgAEEAbABsAFwAbgAgACAAIAAgAGYAdQBuAGMAdABpAG8AbgBzACAAcwB1AHAAcABvAHIAdAAgAGMAbwBuAGMAaQBzAGUAIABiAGkAbgBhAHIAeQAgAHMAdAByAGkAbgBnAHMAIABhAG4AZAAgAHMAaABhAHAAZQARIHAAcgBlAHMAZQByAHYAaQBuAGcAIABhAHIAcgBhAHkAIABiAGUAaABhAHYAaQBvAHIALABcAG4AIAAgACAAIAB3AGkAdABoACAAbwBwAHQAaQBvAG4AYQBsACAAMgBEACAAZQB4AHAAbABvAGQAZQBkACAAYgBpAHQAESBtAGEAdAByAGkAYwBlAHMAIAB3AGgAZQByAGUAIABhAHAAcABsAGkAYwBhAGIAbABlAC4AXABuAFwAbgBGAHUAbgBjAHQAaQBvAG4AcwA6AFwAbgAgACAAIAAgACIgIABCAGkAbgAyAEQAZQBjALsDXABuACAAIAAgACAAIAAgACAAIABDAG8AbgB2AGUAcgB0AHMAIABjAG8AbgBjAGkAcwBlACAAYgBpAG4AYQByAHkAIABpAG4AdABvACAAZABlAGMAaQBtAGEAbAAgAHYAYQBsAHUAZQBzAC4AXABuAFwAbgAgACAAIAAgACIgIABCAGkAbgAyAEcAcgBhAHkAuwNcAG4AIAAgACAAIAAgACAAIAAgAEMAbwBuAHYAZQByAHQAcwAgAGMAbwBuAGMAaQBzAGUAIABiAGkAbgBhAHIAeQAgAGkAbgB0AG8AIABHAHIAYQB5ABEgYwBvAGQAZQAgAHYAYQBsAHUAZQBzACwAIAB3AGkAdABoACAAbwBwAHQAaQBvAG4AYQBsACAAZQB4AHAAbABvAGQAZQBkACAAZgBvAHIAbQAuAFwAbgBcAG4AIAAgACAAIAAiICAAQgBpAHQAQwBvAHUAbgB0ALsDXABuACAAIAAgACAAIAAgACAAIABDAG8AbgB2AGUAcgB0AHMAIABpAG4AdABlAGcAZQByAHMAIAB0AG8AIABiAGkAbgBhAHIAeQAgAGEAbgBkACAAcgBlAHQAdQByAG4AcwAgAGIAaQB0ACAAYwBvAHUAbgB0AHMALAAgAHAAcgBlAHMAZQByAHYAaQBuAGcAIABpAG4AcAB1AHQAIABzAGgAYQBwAGUALgBcAG4AXABuACAAIAAgACAAIiAgAEQAZQBjADIAQgBpAG4AuwNcAG4AIAAgACAAIAAgACAAIAAgAEMAbwBuAHYAZQByAHQAcwAgAGkAbgB0AGUAZwBlAHIAcwAgAGkAbgB0AG8AIABiAGkAbgBhAHIAeQAgAHYAYQBsAHUAZQBzACwAIAByAGUAdAB1AHIAbgBlAGQAIABhAHMAIABjAG8AbgBjAGkAcwBlACAAcwB0AHIAaQBuAGcAcwAgAG8AcgBcAG4AIAAgACAAIAAgACAAIAAgAGUAeABwAGwAbwBkAGUAZAAgADIARAAgAGIAaQB0ABEgYQByAHIAYQB5AHMALgBcAG4AXABuACAAIAAgACAAIiAgAEQAZQBjADIARwByAGEAeQC7A1wAbgAgACAAIAAgACAAIAAgACAAQwBvAG4AdgBlAHIAdABzACAAaQBuAHQAZQBnAGUAcgBzACAAaQBuAHQAbwAgAEcAcgBhAHkAESBjAG8AZABlACAAdgBhAGwAdQBlAHMAIAAoAHcAcgBhAHAAcABlAHIAOgAgAEQAZQBjADIAQgBpAG4AuwMgAJIhIABCAGkAbgAyAEcAcgBhAHkAuwMpAC4AXABuAFwAbgBOAG8AdABlAHMAOgBcAG4AIAAgACAAIAAiICAATgBlAGcAYQB0AGkAdgBlACAAbgB1AG0AYgBlAHIAcwAgAGEAcgBlACAAbgBvAHQAIABzAHUAcABwAG8AcgB0AGUAZAAgAGYAbwByACAARABlAGMAMgBCAGkAbgC7AyAAbwByACAARABlAGMAMgBHAHIAYQB5ALsDLgBcAG4AKgAvAFwAbgBcAG4AXABuAFwAbgAvACoAIABbAEUATgAwADEAXQAgAC0ALQAtAC0ALQAtAC0ALQAtAC0ALQAtAC0ALQAtAC0ALQAtAC0ALQAtAC0ALQAtAC0ALQAtAC0ALQAtAC0ALQAtAC0ALQAtAC0ALQAtAC0ALQAtAC0ALQAtAC0ALQAtAC0ALQAtAC0ALQAtAC0ALQAtAC0ALQAtAC0ALQAtAC0ALQAtAC0ALQAtAC0ALQAtAC0AXABuAEYAdQBuAGMAdABpAG8AbgA6ACAAIAAgACAAIAAgACAAIABCAGkAbgAyAEQAZQBj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jAG8AbgBjAGkAcwBlACAAYgBpAG4AYQByAHkAIABpAG4AdABvACAAZABlAGMAaQBtAGEAbAAgAHYAYQBsAHUAZQBzAC4AIABTAHUAcABwAG8AcgB0AHMAIABzAGMAYQBsAGEAcgAsACAAMQBEACwAIABhAG4AZAAgADIARABcAG4AIAAgACAAIABpAG4AcAB1AHQAcwAgAHcAaQB0AGgAIABmAHUAbABsACAAcwBoAGEAcABlACAAcAByAGUAcwBlAHIAdgBhAHQAaQBvAG4ALgAgAEIAaQB0ABEgdwBpAGQAdABoACAAaQBzACAAaQBuAGYAZQByAHIAZQBkACAAYQB1AHQAbwBtAGEAdABpAGMAYQBsAGwAeQBcAG4AIAAgACAAIABhAG4AZAAgAGEAbABsACAAdgBhAGwAdQBlAHMAIABhAHIAZQAgAG4AbwByAG0AYQBsAGkAegBlAGQAIABiAGUAZgBvAHIAZQAgAGUAeABwAGwAbwBzAGkAbwBuAC4AXABuAFwAbgBQAGEAcgBhAG0AZQB0AGUAcgBzADoAXABuACAAIAAgACAAYgBpAG4AYQByAHkAXABuACAAIAAgACAAIAAgACAAIABTAGMAYQBsAGEAcgAsACAAMQBEACAAYQByAHIAYQB5ACwAIABvAHIAIAAyAEQAIABhAHIAcgBhAHkAIABjAG8AbgB0AGEAaQBuAGkAbgBnACAAYwBvAG4AYwBpAHMAZQAgAGIAaQBuAGEAcgB5ACAAcwB0AHIAaQBuAGcAcwAuAFwAbgBcAG4AIAAgACAAIAAgACAAIAAgACIgIABDAG8AbgBjAGkAcwBlACAAZgBvAHIAbQA6AFwAbgAgACAAIAAgACAAIAAgACAAIAAgACAAIAAgACAAXAAiADEAMAAxADEAXAAiACwAIABcACIAMAAwADAAMQAxADAAMQAwAFwAIgAsACAAZQB0AGMALgAgACAAKABhAG4AeQAgAHMAaABhAHAAZQApAFwAbgBcAG4ATgBvAHQAZQBzADoAXABuACAAIAAgACAAIiAgAE8AdQB0AHAAdQB0ACAAcwBoAGEAcABlACAAbQBhAHQAYwBoAGUAcwAgAGkAbgBwAHUAdAAgAHMAaABhAHAAZQAgACgAcwBjAGEAbABhAHIALAAgAHYAZQByAHQAaQBjAGEAbAAsACAAaABvAHIAaQB6AG8AbgB0AGEAbAAsACAAbwByACAAMgBEACkALgBcAG4AIAAgACAAIAAiICAAUwB1AHAAcABvAHIAdABzACAAYgBpAG4AYQByAHkAIAB2AGEAbAB1AGUAcwAgAGYAYQByACAAYgBlAHkAbwBuAGQAIABFAHgAYwBlAGwAGSBzACAAbgBhAHQAaQB2AGUAIAAxADYAESBkAGkAZwBpAHQAIABuAHUAbQBlAHIAaQBjACAAbABpAG0AaQB0AC4AXABuAC0ALQAtAC0ALQAtAC0ALQAtAC0ALQAtAC0ALQAtAC0ALQAtAC0ALQAtAC0ALQAtAC0ALQAtAC0ALQAtAC0ALQAtAC0ALQAtAC0ALQAtAC0ALQAtAC0ALQAtAC0ALQAtAC0ALQAtAC0ALQAtAC0ALQAtAC0ALQAtAC0ALQAtAC0ALQAtAC0ALQAtAC0ALQAtAC0ALQAtAC0ALQAtACoALwBcAG4AXABuAEIAaQBuADIARABlAGMAuwMgAD0AXABuAEwAQQBNAEIARABBACgAXABuACAAIAAgACAAYgBpAG4AYQByAHkALABcAG4ATABFAFQAKA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XABuACAAIAAgACAALwAvACAATgBvAHIAbQBhAGwAaQB6AGUAIABiAGkAdAARIHcAaQBkAHQAaAAgAGEAbgBkACAAZQB4AHAAbABvAGQAZQBcAG4AIAAgACAAIABiAGkAdABzACwAIAAgACAAIAAgACAAIAAgACAAIAAgAE0AQQBYACgATABFAE4AKABiAGkAbgBhAHIAeQApACkALABcAG4AIAAgACAAIABhAHIAcgAsACAAIAAgACAAIAAgACAAIAAgACAAIAAgAFQARQBYAFQAKABiAGkAbgBhAHIAeQAsACAAUgBFAFAAVAAoAFwAIgAwAFwAIgAsACAAYgBpAHQAcwApACkALABcAG4AIAAgACAAIABiAGkAbgBhAHIAeQAsACAAIAAgACAAIAAgACAAIAAgAEkARgAoAEkAcwBTAGMAYQBsAGEAcgA/ACwARQB4AHAAbABvAGQAZQC7AygAYgBpAG4AYQByAHkAKQAsAFwAbgAgACAAIAAgACAAIAAgACAAIAAgACAAIAAgACAAIAAgACAAIAAgACAAIAAgACAAIAAgACAAIAAgACAAIAAgACAAIABFAHgAcABsAG8AZABlALsDKABUAE8AQwBPAEwAKABhAHIAcgApACkAKQAsAFwAbgBcAG4AIAAgACAAIAAvAC8AIABNAGEAdABoAFwAbgAgACAAIAAgAHAAbwB3AGUAcgBzACwAIABTAEUAUQBVAEUATgBDAEUAKAAsACAAYgBpAHQAcwAsACAAYgBpAHQAcwAgAC0AIAAxACwAIAAtADEAKQAsAFwAbgAgACAAIAAgAHAALAAgACAAIAAgACAAIABQAE8AVwBFAFIAKAAyACwAIABwAG8AdwBlAHIAcwApACwAXABuAFwAbgAgACAAIAAgAC8ALwAgAEEAZwBnAHIAZQBnAGEAdABpAG8AbgAgACYAIABkAGUAbABpAHYAZQByAHkAXABuACAAIAAgACAAcgBlAHMAdQBsAHQALAAgAEIAWQBSAE8AVwAoAGIAaQBuAGEAcgB5ACAAKgAgAHAALAAgAFMAVQBNACkALABcAG4AIAAgACAAIABmAGkAbgBhAGwALAAgACAASQBGACgATwBSACgASQBzAFMAYwBhAGwAYQByAD8ALAAgAEkAcwBWAGUAcgB0AGkAYwBhAGwAPwApACwAIAByAGUAcwB1AGwAdAAsAFwAbgAgACAAIAAgACAAIAAgACAAIAAgACAAIAAgACAAIAAgAEkARgAoAEkAcwBIAG8AcgBpAHoAbwBuAHQAYQBsAD8ALAAgAFQAUgBBAE4AUwBQAE8AUwBFACgAcgBlAHMAdQBsAHQAKQAsAFwAbgAgACAAIAAgACAAIAAgACAAIAAgACAAIAAgACAAIAAgACAAIAAgACAAVwBSAEEAUABSAE8AVwBTACgAcgBlAHMAdQBsAHQALAAgAHcAKQApACkALABcAG4AXABuACAAIAAgACAAZgBpAG4AYQBsAFwAbgApACkAOwBcAG4AXABuAFwAbgBcAG4ALwAqACAAWwBFAE4AMAAyAF0AIAAtAC0ALQAtAC0ALQAtAC0ALQAtAC0ALQAtAC0ALQAtAC0ALQAtAC0ALQAtAC0ALQAtAC0ALQAtAC0ALQAtAC0ALQAtAC0ALQAtAC0ALQAtAC0ALQAtAC0ALQAtAC0ALQAtAC0ALQAtAC0ALQAtAC0ALQAtAC0ALQAtAC0ALQAtAC0ALQAtAC0ALQAtAC0ALQAtAFwAbgBGAHUAbgBjAHQAaQBvAG4AOgAgACAAIAAgACAAIAAgACAAQgBpAG4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iAGkAbgBhAHIAeQAgAGkAbgB0AG8AIABHAHIAYQB5ABEgYwBvAGQAZQAgAHYAYQBsAHUAZQBzAC4AIABTAHUAcABwAG8AcgB0AHMAIABzAGMAYQBsAGEAcgAsAFwAbgAgACAAIAAgADEARAAsACAAYQBuAGQAIAAyAEQAIABpAG4AcAB1AHQAcwAuACAATwB1AHQAcAB1AHQAIABjAGEAbgAgAGIAZQAgAHIAZQB0AHUAcgBuAGUAZAAgAGUAaQB0AGgAZQByACAAYQBzACAAYQAgADIARAAgAGEAcgByAGEAeQAgAG8AcgAgAGEAcwBcAG4AIAAgACAAIABjAG8AbgBjAGkAcwBlACAAcgBvAHcAESB3AGkAcwBlACAAcwB0AHIAaQBuAGcAcwAuAFwAbgBcAG4AUABhAHIAYQBtAGUAdABlAHIAcwA6AFwAbgAgACAAIAAgAGIAaQBuAGEAcgB5AFwAbgAgACAAIAAgACAAIAAgACAAUwBjAGEAbABhAHIALAAgADEARAAgAGEAcgByAGEAeQAsACAAbwByACAAMgBEACAAYQByAHIAYQB5ACAAYwBvAG4AdABhAGkAbgBpAG4AZwAgAGIAaQBuAGEAcgB5ACAAZABhAHQAYQ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MgBEACAAZQB4AHAAbABvAGQAZQBkACAARwByAGEAeQARIGMAbwBkAGUAIABiAGkAdAAgAGEAcgByAGEAeQBzAC4AXABuAFwAbgBOAG8AdABlAHMAOgBcAG4AIAAgACAAIAAiICAAMgBEACAAYQByAHIAYQB5AHMAIABhAHIAZQAgAGQAZQBsAGkAdgBlAHIAZQBkACAAaQBuACAAYwBvAG4AYwBpAHMAZQAgAGYAbwByAG0AYQB0AC4AXABuACAAIAAgACAAIiAgAEcAcgBhAHkAIABjAG8AZABlACAAaQBzACAAYwBvAG0AcAB1AHQAZQBkACAAYQBzADoAIAAgAGcAgCAgAD0AIABiAIAgLAAgACAAZwBiHSAAPQAgAGIAYh0gAFgATwBSACAAYgBiHYsggSAuAFwAbgAtAC0ALQAtAC0ALQAtAC0ALQAtAC0ALQAtAC0ALQAtAC0ALQAtAC0ALQAtAC0ALQAtAC0ALQAtAC0ALQAtAC0ALQAtAC0ALQAtAC0ALQAtAC0ALQAtAC0ALQAtAC0ALQAtAC0ALQAtAC0ALQAtAC0ALQAtAC0ALQAtAC0ALQAtAC0ALQAtAC0ALQAtAC0ALQAtAC0ALQAtAC0ALQAqAC8AXABuAFwAbgBCAGkAbgAyAEcAcgBhAHkAuwMgAD0AXABuAEwAQQBNAEIARABBACgAXABuACAAIAAgACAAYgBpAG4AYQByAHkALABcAG4AIAAgACAAIABbAGMAbwBuAGMAaQBzAGUAXQAsAFwAbgBcAG4ATABFAFQAKABcAG4AIAAgACAAIAAvAC8AIABPAHUAdABwAHUAdAAgAG0AbwBkAGUAXABuACAAIAAgACAASQBzADIARABHAHIAYQB5AD8ALAAgACAAIAAgACAAIABJAFMATwBNAEkAVABUAEUARAAoAGMAbwBuAGMAaQBzAGUAKQAsAFwAbg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IAAgACAAIABJAHMAMQBEAD8ALAAgACAAIAAgACAAIAAgACAAIAAgAFgATwBSACgAaAAgAD0AIAAxACwAIAB3ACAAPQAgADEAKQAsAFwAbgBcAG4AIAAgACAAIAAvAC8AIABOAG8AcgBtAGEAbABpAHoAZQAgAGIAaQB0AC0A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bwBzAHQAIABzAGkAZwBuAGkAZgBpAGMAYQBuAHQAIABiAGkAdABcAG4AIAAgACAAIABtAHMAYgAsACAAIAAgACAAIAAgACAAIAAgACAAIAAgAFQAQQBLAEUAKABiAGkAbgBhAHIAeQAsACAALAAgADEAKQAsAFwAbgBcAG4AIAAgACAAIAAvAC8AIABYAE8AUgAgAG4AZQBpAGcAaABiAG8AcgBzAFwAbgAgACAAIAAgAHgALAAgACAAIAAgACAAIAAgACAAIAAgACAAIAAgACAAQgBJAFQAWABPAFIAKABEAFIATwBQACgAYgBpAG4AYQByAHkALAAgACwAIAAxACkALAAgAEQAUgBPAFAAKABiAGkAbgBhAHIAeQAsACAALAAgAC0AMQApACkALABcAG4AXABuACAAIAAgACAALwAvACAARwByAGEAeQAgAGMAbwBkAGUAIABhAHIAcgBhAHkAXwAyAEQAXABuACAAIAAgACAAZwByAGEAeQAsACAAIAAgACAAIAAgACAAIAAgACAAIABIAFMAVABBAEMASwAoAG0AcwBiACwAIAB4ACkALABcAG4AXABuACAAIAAgACAALwAvACAATwB1AHQAcAB1AHQAIABhAG4AZAAgAGQAZQBsAGkAdgBlAHIAeQBcAG4AIAAgACAAIAByAGUAcwB1AGwAdAAsACAAIAAgACAAIAAgACAAIAAgAEkARgAoAEEATgBEACgASQBzADIARABHAHIAYQB5AD8ALABJAHMAMQBEAD8AKQAsACAAZwByAGEAeQAsACAAQgBZAFIATwBXACgAZwByAGEAeQAsACAAQwBPAE4AQwBBAFQAKQApACwAXABuACAAIAAgACAAZgBpAG4AYQBsACwAIAAgACAAIAAgACAAIAAgACAAIABJAEYAKABPAFIAKABJAHMAUwBjAGEAbABhAHIAPwAsAEkAcwBWAGUAcgB0AGkAYwBhAGwAPwApACwAcgBlAHMAdQBsAHQALABcAG4AIAAgACAAIAAgACAAIAAgACAAIAAgACAAIAAgACAAIAAgACAAIAAgACAAIAAgACAASQBGACgASQBzAEgAbwByAGkAegBvAG4AdABhAGwAPwAsAFQAUgBBAE4AUwBQAE8AUwBFACgAcgBlAHMAdQBsAHQAKQAsAFwAbgAgACAAIAAgACAAIAAgACAAIAAgACAAIAAgACAAIAAgACAAIAAgACAAIAAgACAAIAAgACAAIAAgACAAIAAgACAAIAAgACAAIAAgACAAIAAgACAAVwBSAEEAUABSAE8AVwBTACgAcgBlAHMAdQBsAHQALAB3ACkAKQApACwAXABuAFwAbgAgACAAIAAgAGYAaQBuAGEAbABcAG4AKQApADsAXABuAFwAbgBcAG4AXABuAC8AKgAgAFsARQBOADAAMwBdACAALQAtAC0ALQAtAC0ALQAtAC0ALQAtAC0ALQAtAC0ALQAtAC0ALQAtAC0ALQAtAC0ALQAtAC0ALQAtAC0ALQAtAC0ALQAtAC0ALQAtAC0ALQAtAC0ALQAtAC0ALQAtAC0ALQAtAC0ALQAtAC0ALQAtAC0ALQAtAC0ALQAtAC0ALQAtAC0ALQAtAC0ALQAtAC0ALQBcAG4ARgB1AG4AYwB0AGkAbwBuADoAIAAgACAAIAAgACAAIAAgAEIAaQB0AEMAbwB1AG4AdA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1wAbgBcAG4ARABlAHMAYwByAGkAcAB0AGkAbwBuADoAXABuACAAIAAgACAAQwBvAHUAbgB0AHMAIAB0AGgAZQAgAG4AdQBtAGIAZQByACAAbwBmACAAMQARIGIAaQB0AHMAIABpAG4AIAB0AGgAZQAgAGIAaQBuAGEAcgB5ACAAcgBlAHAAcgBlAHMAZQBuAHQAYQB0AGkAbwBuACAAbwBmACAAZQBhAGMAaAAgAGkAbgB0AGUAZwBlAHIALgBcAG4AIAAgACAAIABTAHUAcABwAG8AcgB0AHMAIABzAGMAYQBsAGEAcgAsACAAMQBEACwAIABhAG4AZAAgADIARAAgAGkAbgBwAHUAdABzACAAdwBpAHQAaAAgAGYAdQBsAGwAIABzAGgAYQBwAGUAIABwAHIAZQBzAGUAcgB2AGEAdABpAG8AbgAuAFwAbgBcAG4AUABhAHIAYQBtAGUAdABlAHIAcwA6AFwAbgAgACAAIAAgAG4AIAAgACAALQAgACAAIABTAGMAYQBsAGEAcgAsACAAMQBEACAAYQByAHIAYQB5ACwAIABvAHIAIAAyAEQAIABhAHIAcgBhAHkAIABvAGYAIABuAG8AbgARIG4AZQBnAGEAdABpAHYAZQAgAGkAbgB0AGUAZwBlAHIAcwAuAFwAbgBcAG4ATgBvAHQAZQBzADoAXABuACAAIAAgACAAIiAgAFUAcwBlAHMAIABEAGUAYwAyAEIAaQBuALsDKABuACwAMQApACAAdABvACAAbwBiAHQAYQBpAG4AIABlAHgAcABsAG8AZABlAGQAIABiAGkAdAARIG0AYQB0AHIAaQBjAGUAcw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QgBpAHQAQwBvAHUAbgB0ALsDIAA9AFwAbgBMAEEATQBCAEQAQQAoAFwAbgAgACAAIAAgAG4ALABcAG4ATABFAFQAKABcAG4AIAAgACAAIAAvAC8AIABTAGgAYQBwAGUAXABuACAAIAAgACAAaAAsACAAIAAgACAAIAAgACAAIAAgACAAIAAgAFIATwBXAFMAKABuACkALABcAG4AIAAgACAAIAB3ACwAIAAgACAAIAAgACAAIAAgACAAIAAgACAAQwBPAEwAVQBNAE4AUwAoAG4AKQAsAFwAbgBcAG4AIAAgACAAIABJAHMAUwBjAGEAbABhAHIAPwAsACAAIAAgACAAQQBOAEQAKABoACAAPQAgADEALAAgAHcAIAA9ACAAMQApACwAXABuACAAIAAgACAASQBzAFYAZQByAHQAaQBjAGEAbAA/ACwAIAAgAEEATgBEACgAaAAgAD4AIAAxACwAIAB3ACAAPQAgADEAKQAsAFwAbgBcAG4AIAAgACAAIABJAHMAMQBEAD8ALAAgACAAIAAgACAAIAAgACAAWABPAFIAKABoACAAPQAgADEALAAgAHcAIAA9ACAAMQApACwAXABuACAAIAAgACAASQBzADIARAA/ACwAIAAgACAAIAAgACAAIAAgAEEATgBEACgAaAAgAD4AIAAxACwAIAB3ACAAPgAgADEAKQAsAFwAbgBcAG4AIAAgACAAIAAvAC8AIABGAGwAYQB0AHQAZQBuACAAaQBuAHAAdQB0ACAAaQBmACAAMgBEAFwAbgAgACAAIAAgAG4ALAAgACAAIAAgACAAIAAgACAAIAAgACAAIABJAEYAKABJAHMAMQBEAD8ALABuACwAVABPAEMATwBMACgAbgApACkALABcAG4AXABuACAAIAAgACAALwAvACAARgB1AG4AYwB0AGkAbwBuACAAKABmAG8AcgAgAG4AbwBuAC0AcwBjAGEAbABhAHIAcwApAFwAbgAgACAAIAAgAGYAbgC7AywAIAAgACAAIAAgACAAIAAgACAAIABJAEYAKABPAFIAKABJAHMAVgBlAHIAdABpAGMAYQBsAD8ALABJAHMAMgBEAD8AKQAsAEIAWQBSAE8AVwAsAEIAWQBDAE8ATAApACwAXABuAFwAbgAgACAAIAAgAC8ALwAgAEUAeABwAGwAbwBkAGUAZAAgAGIAaQBuAGEAcgB5ACAAYQByAHIAYQB5AF8AMgBEAFwAbgAgACAAIAAgAGIAaQB0AHMALAAgACAAIAAgACAAIAAgACAAIABEAGUAYwAyAEIAaQBuALsDKABuACwAIAAxACkALABcAG4AXABuACAAIAAgACAALwAvACAAQwBvAHUAbgB0ACAAYgBpAHQAcwBcAG4AIAAgACAAIABjAG8AdQBuAHQAcwAsACAAIAAgACAAIAAgACAASQBGACgASQBzAFMAYwBhAGwAYQByAD8ALAAgAFMAVQBNACgAYgBpAHQAcwApACwAZgBuALsDKABiAGkAdABzACwAUwBVAE0AKQApACwAXABuAFwAbgAgACAAIAAgAGYAaQBuAGEAbAAsACAAIAAgACAAIAAgACAAIABJAEYAKABJAHMAMQBEAD8ALABjAG8AdQBuAHQAcwAsAFcAUgBBAFAAUgBPAFcAUwAoAGMAbwB1AG4AdABzACwAdwApACkALABcAG4AXABuACAAIAAgACAAZgBpAG4AYQBsAFwAbgApACkAOwBcAG4AXABuAFwAbgBcAG4ALwAqACAAWwBFAE4AMAA0AF0AIAAtAC0ALQAtAC0ALQAtAC0ALQAtAC0ALQAtAC0ALQAtAC0ALQAtAC0ALQAtAC0ALQAtAC0ALQAtAC0ALQAtAC0ALQAtAC0ALQAtAC0ALQAtAC0ALQAtAC0ALQAtAC0ALQAtAC0ALQAtAC0ALQAtAC0ALQAtAC0ALQAtAC0ALQAtAC0ALQAtAC0ALQAtAC0ALQAtAFwAbgBGAHUAbgBjAHQAaQBvAG4AOgAgACAAIAAgACAAIAAgACAARABlAGMAMgBCAGkAbgC7A1wAbgBDAGEAdABlAGcAbwByAHkAOgAgACAAIAAgACAAIAAgACAARQBuAGcAaQBuAGUAZQByAGkAbgBnAFwAbgBBAHUAdABoAG8AcgA6ACAAIAAgACAAIAAgACAAIAAgACAAUABhAHQAcgBpAGMAawAgAEgALgBcAG4AVgBlAHIAcwBpAG8AbgA6ACAAIAAgACAAIAAgACAAIAAgADEALgAxAFwAbgBcAG4ARABlAHMAYwByAGkAcAB0AGkAbwBuADoAXABuACAAIAAgACAAQwBvAG4AdgBlAHIAdABzACAAbgBvAG4AESBuAGUAZwBhAHQAaQB2AGUAIABpAG4AdABlAGcAZQByAHMAIABpAG4AdABvACAAYgBpAG4AYQByAHkALgAgAFMAdQBwAHAAbwByAHQAcwAgAHMAYwBhAGwAYQByACwAIAAxAEQALAAgAGEAbgBkACAAMgBEAFwAbgAgACAAIAAgAGkAbgBwAHUAdABzACAAdwBpAHQAaAAgAGYAdQBsAGwAIABzAGgAYQBwAGUAIABwAHIAZQBzAGUAcgB2AGEAdABpAG8AbgAuACAAUgBlAHQAdQByAG4AcwAgAGUAaQB0AGgAZQByACAAYwBvAG4AYwBpAHMAZQAgAGIAaQBuAGEAcgB5ACAAcwB0AHIAaQBuAGcAcwBcAG4AIAAgACAAIABvAHIAIABlAHgAcABsAG8AZABlAGQAIAAyAEQAIABiAGkAdAARIGEAcgByAGEAeQBzAC4AXABuAFwAbgBQAGEAcgBhAG0AZQB0AGUAcgBzADoAXABuACAAIAAgACAAbgB1AG0AYgBlAHIAcwBcAG4AIAAgACAAIAAgACAAIAAgAFMAYwBhAGwAYQByACwAIAAxAEQAIABhAHIAcgBhAHkALAAgAG8AcgAgADIARAAgAGEAcgByAGEAeQAgAG8AZgAgAG4AbwBuABEgbgBlAGcAYQB0AGkAdgBlACAAaQBuAHQAZQBnAGUAcgBzAC4AXABuAFwAbgAgACAAIAAgAFsAQQByAHIAYQB5AF8ARgBvAHIAbQBfADIARABdAFwAbgAgACAAIAAgACAAIAAgACAATwBwAHQAaQBvAG4AYQBsAC4AIABUAFIAVQBFACAAkiEgAHIAZQB0AHUAcgBuACAAZQB4AHAAbABvAGQAZQBkACAAMgBEACAAYgBpAHQAESBhAHIAcgBhAHkAcwAuAFwAbgAgACAAIAAgACAAIAAgACAATwBtAGkAdAB0AGUAZAAgAJIhIAByAGUAdAB1AHIAbgAgAGMAbwBuAGMAaQBzAGUAIABiAGkAbgBhAHIAeQAgAHMAdAByAGkAbgBnAHMALgBcAG4AXABuAE4AbwB0AGUAcwA6AFwAbgAgACAAIAAgACIgIABTAHUAcABwAG8AcgB0AHMAIABhAHIAYgBpAHQAcgBhAHIAaQBsAHkAIABsAGEAcgBnAGUAIABpAG4AdABlAGcAZQByAHMAIAAoAGIAZQB5AG8AbgBkACAARQB4AGMAZQBsABkgcwAgAG4AYQB0AGkAdgBlACAAQgBJAE4AMgBEAEUAQwAgAGwAaQBtAGkAdABzACkALgBcAG4AIAAgACAAIAAiICAAQwBvAG4AYwBpAHMAZQAgAG8AdQB0AHAAdQB0ACAAYQB2AG8AaQBkAHMAIABzAGMAaQBlAG4AdABpAGYAaQBjACAAbgBvAHQAYQB0AGkAbwBuACAAYQBuAGQAIAAxADYAESBkAGkAZwBpAHQAIABwAHIAZQBjAGkAcwBpAG8AbgAgAGkAcwBzAHUAZQBzAC4AXABuACAAIAAgACAAIiAgADIARAAgAGkAbgBwAHUAdABzACAAcAByAGUAcwBlAHIAdgBlACAAdABoAGUAaQByACAAbwByAGkAZwBpAG4AYQBsACAAcwBoAGEAcABlACAAdwBoAGUAbgAgAGMAbwBuAGMAaQBzAGUAIABvAHUAdABwAHUAdAAgAGkAcwAgAHMAZQBsAGUAYwB0AGUAZAAuAFwAbgAtAC0ALQAtAC0ALQAtAC0ALQAtAC0ALQAtAC0ALQAtAC0ALQAtAC0ALQAtAC0ALQAtAC0ALQAtAC0ALQAtAC0ALQAtAC0ALQAtAC0ALQAtAC0ALQAtAC0ALQAtAC0ALQAtAC0ALQAtAC0ALQAtAC0ALQAtAC0ALQAtAC0ALQAtAC0ALQAtAC0ALQAtAC0ALQAtAC0ALQAtAC0ALQAqAC8AXABuAFwAbgBEAGUAYwAyAEIAaQBuALsDPQBcAG4ATABBAE0AQgBEAEEAKABcAG4AIAAgACAAIABuAHUAbQBiAGUAcgBzACwAXABuACAAIAAgACAAWwBBAHIAcgBhAHkAXwBGAG8AcgBtAF8AMgBEAF0ALABcAG4AXABuAC8ALwBDAGgAZQBjAGsAIABuAHUAbQBiAGUAcgBzAFwAbgBJAEYAKABPAFIAKABJAFMAVABFAFgAVAAoAG4AdQBtAGIAZQByAHMAKQAsACAASQBTAEUAUgBSAE8AUgAoAC0ALQBuAHUAbQBiAGUAcgBzACkALABuAHUAbQBiAGUAcgBzACAAPAAgADAAKQAsACAAIwBWAEEATABVAEUAIQAsAFwAbgBcAG4ATABFAFQAKABcAG4AIAAgACAAIAAvAC8AIABJAG4AcAB1AHQAIABzAGgAYQBwAGUAXABuACAAIAAgACAAaAAsACAAIAAgACAAIAAgACAAIAAgACAAIAAgACAAUgBPAFcAUwAoAG4AdQBtAGIAZQByAHMAKQAsAFwAbgAgACAAIAAgAHcALAAgACAAIAAgACAAIAAgACAAIAAgACAAIAAgAEMATwBMAFUATQBOAFMAKABuAHUAbQBiAGUAcgBzACkALABcAG4AXABuACAAIAAgACAASQBzAFMAYwBhAGwAYQByAD8ALAAgACAAIAAgACAAQQBOAEQAKABoACAAPQAgADEALAAgAHcAIAA9ACAAMQApACwAXABuACAAIAAgACAASQBzAFYAZQByAHQAaQBjAGEAbAA/ACwAIAAgACAAaAAgAD4AIAB3ACwAXABuACAAIAAgACAASQBzADIARAA/ACwAIAAgACAAIAAgACAAIAAgACAAQQBOAEQAKABoACAAPgAgADEALAB3ACAAPgAgADEAKQAsAFwAbgBcAG4AIAAgACAAIAAvAC8AIABGAGwAYQB0AHQAZQBuACAAaQBuAHAAdQB0AFwAbgAgACAAIAAgAG4AdQBtAGIAZQByAHMALAAgACAAIAAgACAAIAAgAFQATwBDAE8ATAAoAG4AdQBtAGIAZQByAHMAKQAsAFwAbgBcAG4AIAAgACAAIAAvAC8AIABGAG8AcgBtAFwAbgAgACAAIAAgAEkAcwBWAGUAYwB0AG8AcgA/ACwAIAAgACAAIAAgAEkAUwBPAE0ASQBUAFQARQBEACgAQQByAHIAYQB5AF8ARgBvAHIAbQBfADIARAApACwAXABuAFwAbgAgACAAIAAgAC8ALwAgAE0AYQB4ACAAYgBpAHQAcwAgAG4AZQBlAGQAZQBkACAAdABvACAAZQB4AHAAcgBlAHMAcwAgAHIAZQBzAHUAbAB0AHMAIABhAHMAIABhAHIAcgBhAHkAXABuACAAIAAgACAAYgBpAHQAcwAsACAAIAAgACAAIAAgACAAIAAgACAATQBBAFgAKABJAEYARQBSAFIATwBSACgASQBOAFQAKABMAE8ARwAoAG4AdQBtAGIAZQByAHMALAAyACkAKQAgACsAIAAxACwAMQApACkALABcAG4AXABuACAAIAAgACAALwAvACAARgBvAHIAbQBzACAALQAgADIARAAgAGEAcgByAGEAeQAsACAAYgBpAG4AIAB2AGUAYwB0AG8AcgAgAC0AIABlAGEAZwBlAHIAIABlAHYAYQBsAHUAYQB0AGkAbwBuACAAZABlAGYAZQByAHIAZQBkAFwAbgAgACAAIAAgAGIAaQBuAF8AYQByAHIALAAgACAAIAAgACAAIAAgAEwAQQBNAEIARABBACgATQBPAEQAKABCAEkAVABSAFMASABJAEYAVAAoAG4AdQBtAGIAZQByAHMALABTAEUAUQBVAEUATgBDAEUAKAAsAGIAaQB0AHMALABiAGkAdABzACAALQAgADEALAAtADEAKQApACwAMgApACkALABcAG4AIAAgACAAIABiAGkAbgBfAHYAZQBjAHQAbwByACwAIAAgACAAIABMAEEATQBCAEQAQQAoAEIAWQBSAE8AVwAoAGIAaQBuAF8AYQByAHIAKAApACwAQwBPAE4AQwBBAFQAKQApACwAXABuACAAIAAgACAAYgBpAG4AXwByAGUAcwB1AGwAdAAsACAAIAAgACAATABBAE0AQgBEAEEAKABJAEYAKABJAHMAVgBlAGMAdABvAHIAPwAsAGIAaQBuAF8AdgBlAGMAdABvAHIAKAApACwAYgBpAG4AXwBhAHIAcgAoACkAKQApACwAXABuAFwAbgAgACAAIAAgAC8ALwAgAFIAZQAtAHMAaABhAHAAaQBuAGcAIAAmACAAZABlAGwAaQB2AGUAcgB5AFwAbgAgACAAIAAgAGQAZQBsAGkAdgBlAHIALAAgACAAIAAgACAAIAAgAEkARgAoAEkAcwAyAEQAPwAsAFcAUgBBAFAAUgBPAFcAUwAoAGIAaQBuAF8AdgBlAGMAdABvAHIAKAApACwAdwApACwAXABuACAAIAAgACAAIAAgACAAIAAgACAAIAAgACAAIAAgACAAIAAgACAAIAAgACAAIAAgAEkARgAoAE8AUgAoAEkAcwBTAGMAYQBsAGEAcgA/ACwASQBzAFYAZQByAHQAaQBjAGEAbAA/ACkALABiAGkAbgBfAHIAZQBzAHUAbAB0ACgAKQAsAFwAbgAgACAAIAAgACAAIAAgACAAIAAgACAAIAAgACAAIAAgACAAIAAgACAAIAAgACAAIAAgACAAIAAgAFQAUgBBAE4AUwBQAE8AUwBFACgAYgBpAG4AXwByAGUAcwB1AGwAdAAoACkAKQApACkALABcAG4AIAAgACAAIABkAGUAbABpAHYAZQByAFwAbgApACkAKQA7AFwAbgBcAG4AXABuAFwAbgAvACoAIABbAEUATgAwADUAXQAgAC0ALQAtAC0ALQAtAC0ALQAtAC0ALQAtAC0ALQAtAC0ALQAtAC0ALQAtAC0ALQAtAC0ALQAtAC0ALQAtAC0ALQAtAC0ALQAtAC0ALQAtAC0ALQAtAC0ALQAtAC0ALQAtAC0ALQAtAC0ALQAtAC0ALQAtAC0ALQAtAC0ALQAtAC0ALQAtAC0ALQAtAC0ALQAtAC0AXABuAEYAdQBuAGMAdABpAG8AbgA6ACAAIAAgACAAIAAgACAAIABEAGUAYw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QAZQBjADIAQgBpAG4AuwMsACAAQgBpAG4AMgBHAHIAYQB5ALsDXABuAFwAbgBEAGUAcwBjAHIAaQBwAHQAaQBvAG4AOgBcAG4AIAAgACAAIABDAG8AbgB2AGUAcgB0AHMAIABuAG8AbgARIG4AZQBnAGEAdABpAHYAZQAgAGkAbgB0AGUAZwBlAHIAcwAgAGkAbgB0AG8AIABHAHIAYQB5ABEgYwBvAGQAZQAgAHYAYQBsAHUAZQBzAC4AIABTAHUAcABwAG8AcgB0AHMAIABzAGMAYQBsAGEAcgAsACAAMQBEACwAXABuACAAIAAgACAAYQBuAGQAIAAyAEQAIABpAG4AcAB1AHQAcwAgAHcAaQB0AGgAIABmAHUAbABsACAAcwBoAGEAcABlACAAcAByAGUAcwBlAHIAdgBhAHQAaQBvAG4ALgAgAE8AdQB0AHAAdQB0ACAAYwBhAG4AIABiAGUAIAByAGUAdAB1AHIAbgBlAGQAIABlAGkAdABoAGUAcgBcAG4AIAAgACAAIABhAHMAIABjAG8AbgBjAGkAcwBlACAARwByAGEAeQARIGMAbwBkAGUAIABzAHQAcgBpAG4AZwBzACAAbwByACAAYQBzACAAZQB4AHAAbABvAGQAZQBkACAAMgBEACAAYgBpAHQAESBhAHIAcgBhAHkAcwAuAFwAbgBcAG4AUABhAHIAYQBtAGUAdABlAHIAcwA6AFwAbgAgACAAIAAgAG4AdQBtAGIAZQByAFwAbgAgACAAIAAgACAAIAAgACAAUwBjAGEAbABhAHIALAAgADEARAAgAGEAcgByAGEAeQAsACAAbwByACAAMgBEACAAYQByAHIAYQB5ACAAbwBmACAAbgBvAG4AESBuAGUAZwBhAHQAaQB2AGUAIABpAG4AdABlAGcAZQByAHMALgBcAG4AXABuACAAIAAgACAAWwBjAG8AbgBjAGkAcwBlAF0AXABuACAAIAAgACAAIAAgACAAIABPAHAAdABpAG8AbgBhAGwALgAgAFQAUgBVAEUAIACSISAAcgBlAHQAdQByAG4AIABHAHIAYQB5ACAAYwBvAGQAZQAgAGEAcwAgAGMAbwBuAGMAYQB0AGUAbgBhAHQAZQBkACAAcwB0AHIAaQBuAGcAcwAuAFwAbgAgACAAIAAgACAAIAAgACAATwBtAGkAdAB0AGUAZAAgAJIhIAByAGUAdAB1AHIAbgAgAGUAeABwAGwAbwBkAGUAZAAgADIARAAgAEcAcgBhAHkAESBjAG8AZABlACAAYgBpAHQAIABhAHIAcgBhAHkAcwAuAFwAbgBcAG4ATgBvAHQAZQBzADoAXABuACAAIAAgACAAIiAgAFUAcwBlAHMAIABEAGUAYwAyAEIAaQBuALsDIAB0AG8AIABvAGIAdABhAGkAbgAgAGIAaQBuAGEAcgB5ACwAIAB0AGgAZQBuACAAQgBpAG4AMgBHAHIAYQB5ALsDIAB0AG8AIABjAG8AbgB2AGUAcgB0ACAAdABvACAARwByAGEAeQAgAGMAbwBkAGUALgBcAG4AIAAgACAAIAAiICAATwB1AHQAcAB1AHQAIABzAGgAYQBwAGUAIABtAGEAdABjAGgAZQBzACAAaQBuAHAAdQB0ACAAcwBoAGEAcABlAC4AXABuAC0ALQAtAC0ALQAtAC0ALQAtAC0ALQAtAC0ALQAtAC0ALQAtAC0ALQAtAC0ALQAtAC0ALQAtAC0ALQAtAC0ALQAtAC0ALQAtAC0ALQAtAC0ALQAtAC0ALQAtAC0ALQAtAC0ALQAtAC0ALQAtAC0ALQAtAC0ALQAtAC0ALQAtAC0ALQAtAC0ALQAtAC0ALQAtAC0ALQAtAC0ALQAtACoALwBcAG4AXABuAEQAZQBjADIARwByAGEAeQC7AyAAPQBcAG4ATABBAE0AQgBEAEEAKABcAG4AIAAgACAAIABuAHUAbQBiAGUAcgAsAFwAbgAgACAAIAAgAFsAYwBvAG4AYwBpAHMAZQBdACwAXABuACAAIAAgACAAQgBpAG4AMgBHAHIAYQB5ALsDKABEAGUAYwAyAEIAaQBuALsDKABuAHUAbQBiAGUAcgApACwAIABjAG8AbgBjAGkAcwBlACkAXABuACkAOwBcAG4AXABuAFwAbgBcAG4ALwAvACAAWwBDAEIAXQAgAC0ALQAtAC0ALQAtAC0ALQAtAC0ALQAtAC0ALQAtAC0ALQAtAC0ALQAtAC0ALQAtAC0ALQAtAC0ALQAtAC0ALQAtAC0ALQAtAC0ALQAtAC0ALQAtAC0ALQAtAC0ALQAtAC0ALQAtAC0ALQAtAC0ALQAtAC0ALQAtAC0ALQAtAC0ALQAtAC0ALQAtAC0ALQAtAC0ALQAtAC0ALQBcAG4ALwAvACAALQAtAC0AIwAjACAAMAA5ACAAFCAgAEMAbwBtAGIAaQBuAGEAdABvAHI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UAIABDAG8AbQBiAGkAbgBhAHQAbwByAGkAYwBzACAAYwBhAHQAZQBnAG8AcgB5ACAAcAByAG8AdgBpAGQAZQBzACAAaABpAGcAaAARIHAAZQByAGYAbwByAG0AYQBuAGMAZQAgAGcAZQBuAGUAcgBhAHQAbwByAHMAIABmAG8AcgBcAG4AIAAgACAAIABwAGUAcgBtAHUAdABhAHQAaQBvAG4AcwAsACAAYwBvAG0AYgBpAG4AYQB0AGkAbwBuAHMALAAgAHMAdQBiAHMAZQB0AHMALAAgAGEAbgBkACAAcgBlAGwAYQB0AGUAZAAgAHMAdAByAHUAYwB0AHUAcgBlAHMALgBcAG4AXABuAEYAdQBuAGMAdABpAG8AbgBzADoAXABuACAAIAAgACAAIiAgAFAAZQByAG0AUgC7A1wAbgAgACAAIAAgACAAIAAgACAARwBlAG4AZQByAGEAdABlAHMAIABwAGUAcgBtAHUAdABhAHQAaQBvAG4AcwAgAHcAaQB0AGgAIAByAGUAcABsAGEAYwBlAG0AZQBuAHQAIAAoAGsAESB0AHUAcABsAGUAcwAgAGQAcgBhAHcAbgAgAGYAcgBvAG0AIABuACAAaQB0AGUAbQBzACkALgBcAG4AXABuACAAIAAgACAAIiAgAFAAZQByAG0AuwNcAG4AIAAgACAAIAAgACAAIAAgAEcAZQBuAGUAcgBhAHQAZQBzACAAcABlAHIAbQB1AHQAYQB0AGkAbwBuAHMAIAB3AGkAdABoAG8AdQB0ACAAcgBlAHAAbABhAGMAZQBtAGUAbgB0AC4AXABuAFwAbgAgACAAIAAgACIgIABDAG8AbQBiAGkAbgBhAHQAaQBvAG4AcwBSALsDXABuACAAIAAgACAAIAAgACAAIABHAGUAbgBlAHIAYQB0AGUAcwAgAGMAbwBtAGIAaQBuAGEAdABpAG8AbgBzACAAdwBpAHQAaAAgAHIAZQBwAGwAYQBjAGUAbQBlAG4AdAAuAFwAbgBcAG4AIAAgACAAIAAiICAAQwBvAG0AYgBpAG4AYQB0AGkAbwBuAHMAuwNcAG4AIAAgACAAIAAgACAAIAAgAEcAZQBuAGUAcgBhAHQAZQBzACAAYwBvAG0AYgBpAG4AYQB0AGkAbwBuAHMAIAB3AGkAdABoAG8AdQB0ACAAcgBlAHAAbABhAGMAZQBtAGUAbgB0AC4AXABuAFwAbgAgACAAIAAgACIgIABEAGUAcgBhAG4AZwBlAG0AZQBuAHQAcwC7A1wAbgAgACAAIAAgACAAIAAgACAARwBlAG4AZQByAGEAdABlAHMAIABwAGUAcgBtAHUAdABhAHQAaQBvAG4AcwAgAHcAaABlAHIAZQAgAG4AbwAgAGUAbABlAG0AZQBuAHQAIAByAGUAbQBhAGkAbgBzACAAaQBuACAAaQB0AHMAIABvAHIAaQBnAGkAbgBhAGwAIABwAG8AcwBpAHQAaQBvAG4ALgBcAG4AXABuACAAIAAgACAAIiAgAEsAbgBhAHAAUwBhAGMAawC7A1wAbgAgACAAIAAgACAAIAAgACAAUwBvAGwAdgBlAHMAIAB0AGgAZQAgAHMAdQBiAHMAZQB0ABEgcwB1AG0AIAAvACAAawBuAGEAcABzAGEAYwBrACAAZgBlAGEAcwBpAGIAaQBsAGkAdAB5ACAAcAByAG8AYgBsAGUAbQAgAHUAcwBpAG4AZwAgAHYAZQBjAHQAbwByAGkAegBlAGQAXABuACAAIAAgACAAIAAgACAAIABlAG4AdQBtAGUAcgBhAHQAaQBvAG4AIABhAG4AZAAgAGYAaQBsAHQAZQByAGkAbgBnAC4AXABuAFwAbgAgACAAIAAgACIgIABTAHUAYgBzAGUAdABHAGUAbgC7A1wAbgAgACAAIAAgACAAIAAgACAARwBlAG4AZQByAGEAdABlAHMAIABhAGwAbAAgAHMAdQBiAHMAZQB0AHMAIABvAGYAIABhACAAcwBlAHQAIAAoAHQAaABlACAAcABvAHcAZQByACAAcwBlAHQAKQAsACAAcgBlAHQAdQByAG4AZQBkACAAaQBuACAAYgBpAG4AYQByAHkAESBtAGEAcwBrAFwAbgAgACAAIAAgACAAIAAgACAAbwByAGQAZQByAC4AXABuAFwAbgAgACAAIAAgACIgIABTAHUAYgBzAGUAdABTAHUAbQC7A1wAbgAgACAAIAAgACAAIAAgACAAUgBlAHQAdQByAG4AcwAgAGEAbABsACAAcwB1AGIAcwBlAHQAcwAgAHcAaABvAHMAZQAgAGUAbABlAG0AZQBuAHQAcwAgAHMAdQBtACAAdABvACAAYQAgAHQAYQByAGcAZQB0ACAAdgBhAGwAdQBlAC4AXABuAFwAbgBOAG8AdABlAHMAOgBcAG4AIAAgACAAIAAiICAAQQBsAGwAIABnAGUAbgBlAHIAYQB0AG8AcgBzACAAYQByAGUAIABzAGgAYQBwAGUAESBwAHIAZQBzAGUAcgB2AGkAbgBnACAAYQBuAGQAIAByAGUAdAB1AHIAbgAgADIARAAgAGEAcgByAGEAeQBzACAAdwBoAGUAcgBlACAAZQBhAGMAaAAgAHIAbwB3AFwAbgAgACAAIAAgACAAIAByAGUAcAByAGUAcwBlAG4AdABzACAAbwBuAGUAIABjAG8AbQBiAGkAbgBhAHQAbwByAGkAYQBsACAAbwBiAGoAZQBjAHQALgBcAG4AIAAgACAAIAAiICAAQQBsAGwAIABmAHUAbgBjAHQAaQBvAG4AcwAgAG8AcABlAHIAYQB0AGUAIABvAG4AIABhAHIAcgBhAHkAcwAgAG8AZgAgAGkAdABlAG0AcwAsACAAbgBvAHQAIABqAHUAcwB0ACAAaQBuAHQAZQBnAGUAcgBzAC4AXABuACAAIAAgACAAIiAgAFQAaABlACAAdQBuAGQAZQByAGwAeQBpAG4AZwAgAGEAcgBjAGgAaQB0AGUAYwB0AHUAcgBlACAAdQBzAGUAcwAgAGEAIABmAHUAbgBuAGUAbAAgAG0AbwBkAGUAbAA6ACAAbABhAHIAZwBlACAAZQBuAHUAbQBlAHIAYQB0AGkAbwBuAHMAIABhAHIAZQBcAG4AIAAgACAAIAAgACAAZwBlAG4AZQByAGEAdABlAGQAIABvAG4AYwBlACAAYQBuAGQAIABmAGkAbAB0AGUAcgBlAGQAIABiAHkAIABvAHIAZABlAHIALAAgAHUAbgBpAHEAdQBlAG4AZQBzAHMALAAgAG8AcgAgAHAAbwBzAGkAdABpAG8AbgBhAGwAIABwAHIAZQBkAGkAYwBhAHQAZQBzAC4AXABuAFwAbgBFAG4AdQBtAGUAcgBhAHQAZQC7A1wAbgAgACAAIAAgACAAIAAgACAAIAAgACAAIAAgACAAIAAgACAAIAAgACAAIAAgACAAIAAgACAAIAAgACAAIAAgACAAKABHAGUAbgBlAHIAYQB0AGkAbgBnACAAZgB1AG4AYwB0AGkAbwBuACkAXABuACAAIAAgACAAIAAgACAAIAAgACAAIAAgACAAIAAgACAAIAAgACAAIAAgACAAIAAgACAAIAAgACAAIAAgACAAIAAgACAAIAAgACAAIAAgACAAfABcAG4AIAAgACAAIAAgACAAIAAgACAAIAAgACAAIAAgACAAIAAgACAAIAAgACAAIAAgACAAIAAgACAAIAAgACAAIAAgACAAIAAgACAAIAAgAFAAZQByAG0AUgC7A1wAbgAgACAAIAAgACAAIAAgACAAIAAgACAAIAAgACAAIAAgACAAIAAgACAAKABmAHUAbABsACAAcABlAHIAbQB1AHQAYQB0AGkAbwBuAHMAIAB3AGkAdABoACAAcgBlAHAAbABhAGMAZQBtAGUAbgB0ACkAXABuACAAIAAgACAAIAAgACAAIAAgACAAIAAgACAAIAAgACAAIAAgACAAIAAgACAAIAAgACAAIAAgACAAIAAgACAAIAAgACAAIAAgACAAIAAgACAAfABcAG4AIAAgACAAIAAgACAAIAAgACAAIAAgACAAIAAgACAAIAAtAC0ALQAtAC0ALQAtAC0ALQAtAC0ALQAtAC0ALQAtAC0ALQAtAC0ALQAtAC0ALQAtAC0ALQAtAC0ALQAtAC0ALQAtAC0ALQAtAC0ALQAtAC0ALQAtAC0ALQAtAC0ALQAtAFwAbgAgACAAIAAgACAAIAAgACAAIAAgACAAIAAgACAAIAAgAHwAIAAgACAAIAAgACAAIAAgACAAIAAgACAAIAAgACAAIAAgACAAIAAgACAAIAAgAHwAIAAgACAAIAAgACAAIAAgACAAIAAgACAAIAAgACAAIAAgACAAIAAgACAAIAAgAHwAXABuACAAIAAgACAAIAAgACAAIABDAG8AbQBiAGkAbgBhAHQAaQBvAG4AcwBSALsDIAAgACAAIAAgACAAIAAgACAAIAAgACAAIAAgACAAIABQAGUAcgBtALsDIAAgACAAIAAgACAAIAAgACAAIAAgACAAIAAgAEQAZQByAGEAbgBnAGUAbQBlAG4AdABzALsDXABuACAAIAAgACAAIAAgACAAIAAoAGYAaQBsAHQAZQByACAAcgBlAHAAZQBhAHQAcwApACAAIAAgACAAIAAgACAAIAAoAGYAaQBsAHQAZQByACAAYgB5ACAAbwByAGQAZQByACkAIAAgACAAIAAgACgAZgBpAGwAdABlAHIAIABiAHkAIABwAG8AcwBpAHQAaQBvAG4AKQBcAG4AIAAgACAAIAAgACAAIAAgACAAIAAgACAAIAAgACAAIAB8AFwAbgAgACAAIAAgACAAIAAgACAAIAAgAEMAbwBtAGIAaQBuAGEAdABpAG8AbgBzALsDXABuACAAIAAgACAAIAAoAGYAaQBsAHQAZQByACAAcgBlAHAAZQBhAHQAcwAgACsAIABvAHIAZABlAHIAKQBcAG4AXABuAFwAbgAqAC8AXABuAFwAbgBcAG4AXABuAC8AKgAgAFsAQwBCABEgQwBPAFIARQBdACAALQAtAC0ALQAtAC0ALQAtAC0ALQAtAC0ALQAtAC0ALQAtAC0ALQAtAC0ALQAtAC0ALQAtAC0ALQAtAC0ALQAtAC0ALQAtAC0ALQAtAC0ALQAtAC0ALQAtAC0ALQAtAC0ALQAtAC0ALQAtAC0ALQAtAC0ALQAtAC0ALQAtAC0ALQAtAC0ALQAtAC0ALQAtAFwAbgBGAHUAbgBjAHQAaQBvAG4AOgAgACAAIAAgACAAIAAgACAARQBuAHUAbQBlAHIAYQB0AGUAuwNcAG4AQwBhAHQAZQBnAG8AcgB5ADoAIAAgACAAIAAgACAAIAAgAEMAbwBtAGIAaQBuAGEAdABvAHIAaQBjAHMAXABuAEEAdQB0AGgAbwByADoAIAAgACAAIAAgACAAIAAgACAAIABQAGEAdAByAGkAYwBrACAASAAuAFwAbgBWAGUAcgBzAGkAbwBuADoAIAAgACAAIAAgACAAIAAgACAAMQAuADEAXABuAFwAbgBEAGUAcwBjAHIAaQBwAHQAaQBvAG4AOgBcAG4AIAAgACAAIABDAG8AcgBlACAAZwBlAG4AZQByAGEAdABpAG4AZwAgAGYAdQBuAGMAdABpAG8AbgAgAGYAbwByACAAYQBsAGwAIABjAG8AbQBiAGkAbgBhAHQAbwByAGkAYQBsACAAbwBwAGUAcgBhAHQAbwByAHMAIABpAG4AIAB0AGgAZQAgAEMAbwBtAGIAaQBuAGEAdABvAHIAaQBjAHMAXABuACAAIAAgACAAYwBhAHQAZQBnAG8AcgB5AC4AIABQAHIAbwBkAHUAYwBlAHMAIABpAG4AZABlAHgAIABtAGEAdAByAGkAYwBlAHMAIABmAG8AcgAgAHAAZQByAG0AdQB0AGEAdABpAG8AbgBzACwAIABjAG8AbQBiAGkAbgBhAHQAaQBvAG4AcwAsACAAbQB1AGwAdABpAHMAZQB0AHMALABcAG4AIAAgACAAIABhAG4AZAAgAGQAZQByAGEAbgBnAGUAbQBlAG4AdABzACAAdQBzAGkAbgBnACAAYQAgAHYAZQBjAHQAbwByAGkAegBlAGQAIABmAHUAbgBuAGUAbAAgAGEAcgBjAGgAaQB0AGUAYwB0AHUAcgBlAC4AIABIAGkAZwBoAGUAcgARIGwAZQB2AGUAbABcAG4AIAAgACAAIABmAHUAbgBjAHQAaQBvAG4AcwAgACgAUABlAHIAbQBSALsDLAAgAFAAZQByAG0AuwMsACAAQwBvAG0AYgBpAG4AYQB0AGkAbwBuAHMAUgC7AywAIABDAG8AbQBiAGkAbgBhAHQAaQBvAG4AcwC7AywAIABEAGUAcgBhAG4AZwBlAG0AZQBuAHQAcwC7AykAXABuACAAIAAgACAAYQByAGUAIAB0AGgAaQBuACAAdwByAGEAcABwAGUAcgBzACAAYQByAG8AdQBuAGQAIAB0AGgAaQBzACAAZwBlAG4AZQByAGEAdABvAHI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wBcAG4AIAAgACAAIAAgACAAIAAgAEwAZQBuAGcAdABoACAAbwBmACAAZQBhAGMAaAAgAHQAdQBwAGwAZQAgACgAawAgAGUiIAAwACkALgAgAE0AdQBzAHQAIABiAGUAIABhACAAcwBjAGEAbABhAHIALgBcAG4AXABuACAAIAAgACAAdAB5AHAAZQBcAG4AIAAgACAAIAAgACAAIAAgAFMAZQBsAGUAYwB0AG8AcgAgAGYAbwByACAAdABoAGUAIABjAG8AbQBiAGkAbgBhAHQAbwByAGkAYQBsACAAbQBvAGQAZQA6AFwAbgAgACAAIAAgACAAIAAgACAAIAAgACAAIAAxACAAkiEgAFAAZQByAG0AdQB0AGEAdABpAG8AbgBzACAAdwBpAHQAaAAgAHIAZQBwAGwAYQBjAGUAbQBlAG4AdABcAG4AIAAgACAAIAAgACAAIAAgACAAIAAgACAAMgAgAJIhIABQAGUAcgBtAHUAdABhAHQAaQBvAG4AcwAgAHcAaQB0AGgAbwB1AHQAIAByAGUAcABsAGEAYwBlAG0AZQBuAHQAXABuACAAIAAgACAAIAAgACAAIAAgACAAIAAgADMAIACSISAAQwBvAG0AYgBpAG4AYQB0AGkAbwBuAHMAIAB3AGkAdABoACAAcgBlAHAAbABhAGMAZQBtAGUAbgB0AFwAbgAgACAAIAAgACAAIAAgACAAIAAgACAAIAA0ACAAkiEgAEMAbwBtAGIAaQBuAGEAdABpAG8AbgBzACAAdwBpAHQAaABvAHUAdAAgAHIAZQBwAGwAYQBjAGUAbQBlAG4AdABcAG4AIAAgACAAIAAgACAAIAAgACAAIAAgACAANQAgAJIhIABEAGUAcgBhAG4AZwBlAG0AZQBuAHQAcwBcAG4AXABuAE4AbwB0AGUAcwA6AFwAbgAgACAAIAAgACIgIABBAGwAbAAgAHIAZQBzAHUAbAB0AHMAIABhAHIAZQAgAHIAZQB0AHUAcgBuAGUAZAAgAGEAcwAgADIARAAgAGEAcgByAGEAeQBzACAAdwBoAGUAcgBlACAAZQBhAGMAaAAgAHIAbwB3ACAAaQBzACAAbwBuAGUAIAB0AHUAcABsAGUALgBcAG4AIAAgACAAIAAiICAASQBmACAAaQB0AGUAbQBzACAAYQByAGUAIABuAHUAbQBlAHIAaQBjACAAYQBuAGQAIABlAHEAdQBhAGwAIAB0AG8AIABTAEUAUQBVAEUATgBDAEUAKABuACkALAAgAHIAYQB3ACAAaQBuAGQAaQBjAGUAcwAgAGEAcgBlACAAcgBlAHQAdQByAG4AZQBkAC4AXABuACAAIAAgACAAIAAgAE8AdABoAGUAcgB3AGkAcwBlACwAIABpAHQAZQBtAHMAIABhAHIAZQAgAHMAdQBiAHMAdABpAHQAdQB0AGUAZAAgAGkAbgB0AG8AIAB0AGgAZQAgAGkAbgBkAGUAeAAgAGEAcgByAGEAeQBfADIARAAuAFwAbgAgACAAIAAgACIgIABNAGEAeABpAG0AdQBtACAAZQBuAHUAbQBlAHIAYQB0AGkAbwBuACAAcwBpAHoAZQAgAGkAcwAgAGMAYQBwAHAAZQBkACAAYQB0ACAAMQAsADAANAA4ACwANQA3ADYAIAByAG8AdwBzAC4AXABuAC0ALQAtAC0ALQAtAC0ALQAtAC0ALQAtAC0ALQAtAC0ALQAtAC0ALQAtAC0ALQAtAC0ALQAtAC0ALQAtAC0ALQAtAC0ALQAtAC0ALQAtAC0ALQAtAC0ALQAtAC0ALQAtAC0ALQAtAC0ALQAtAC0ALQAtAC0ALQAtAC0ALQAtAC0ALQAtAC0ALQAtAC0ALQAtAC0ALQAtAC0ALQAtACoALwBcAG4AXABuAEUAbgB1AG0AZQByAGEAdABlALsDIAA9AFwAbgBMAEEATQBCAEQAQQAoAFwAbgAgACAAIAAgAGkAdABlAG0AcwAsAFwAbgAgACAAIAAgAGsALABcAG4AIAAgACAAIAB0AHkAcABlACwAXABuAFwAbgBJAEYAKABPAFIAKABJAFMAVABFAFgAVAAoAGsAKQAsACAAawAgADwAIAAwACwAIABrACAAPgAgAEMATwBVAE4AVABBACgAaQB0AGUAbQBzACkAKQAsACMAVgBBAEwAVQBFACEALABcAG4AXABuACAAIAAgACAASQBGACgAQwBPAFUATgBUAEEAKABrACkAIAA8AD4AIAAxACwAIwBWAEEATABVAEUAIQAsAFwAbgBcAG4AIAAgACAAIAAgACAAIAAgAEkARgAoAEMATwBVAE4AVABBACgAaQB0AGUAbQBzACkAIABeACAAawAgAD4AIAAxADAANAA4ADUANwA2ACwAIwBOAFUATQAhACwAXABuAFwAbgBMAEUAVAAoAFwAbgAgACAAIAAgAC8ALwAgAEYAbABhAHQAdABlAG4AIABpAHQAZQBtAHMAXABuACAAIAAgACAAbABpAHMAdAAsACAAIAAgACAAVABPAEMATwBMACgAaQB0AGUAbQBzACkALABcAG4AIAAgACAAIABuACwAIAAgACAAIAAgACAAIABDAE8AVQBOAFQAQQAoAGwAaQBzAHQAKQAsAFwAbgBcAG4AIAAgACAAIAAvAC8AIABUAG8AdABhAGwAIAByAG8AdwBzAFwAbgAgACAAIAAgAGkALAAgACAAIAAgACAAIAAgAG4AIABeACAAawAsAFwAbgBcAG4AIAAgACAAIAAvAC8AIABCAGEAcwBlACAAZwBlAG4AZQByAGEAdABvAHIAOgAgAHAAZQByAG0AdQB0AGEAdABpAG8AbgBzACAAdwBpAHQAaAAgAHIAZQBwAGwAYQBjAGUAbQBlAG4AdABcAG4AIAAgACAAIABQAF8AcgAsACAAIAAgACAAIABMAEEATQBCAEQAQQAoADEAIAArACAATQBPAEQAKABRAFUATwBUAEkARQBOAFQAKABTAEUAUQBVAEUATgBDAEUAKABpACkALABuACAAXgAgAFMARQBRAFUARQBOAEMARQAoACwAIABrACwAIABrACAALQAgADEALAAgAC0AMQApACkALABuACkAKQAsAFwAbgBcAG4AIAAgACAAIAAvAC8AIABQAGUAcgBtAHUAdABhAHQAaQBvAG4AcwAgACgAbgBvACAAcgBlAHAAbABhAGMAZQBtAGUAbgB0ACkAXABuACAAIAAgACAAUAAsACAAIAAgACAAIAAgACAATABBAE0AQgBEAEEAKABGAEkATABUAEUAUgAoAFAAXwByACgAKQAsAEkAUwBOAEEAKABCAFkAUgBPAFcAKABQAF8AcgAoACkALAAgAE0ATwBEAEUAKQApACkAKQAsAFwAbgBcAG4AIAAgACAAIAAvAC8AIABDAG8AbQBiAGkAbgBhAHQAaQBvAG4AcwAgAHcAaQB0AGgAIAByAGUAcABsAGEAYwBlAG0AZQBuAHQAXABuACAAIAAgACAAQwBfAHIALAAgACAAIAAgACAATABBAE0AQgBEAEEAKABGAEkATABUAEUAUgAoAFAAXwByACgAKQAsAEIAWQBSAE8AVwAoAFAAXwByACgAKQAsAEwAQQBNAEIARABBACgAcgBvAHcALAAgAEEATgBEACgAcgBvAHcAIAA9ACAAUwBPAFIAVAAoAHIAbwB3ACwALAAsADEAKQApACkAKQApACkALABcAG4AXABuACAAIAAgACAALwAvACAAQwBvAG0AYgBpAG4AYQB0AGkAbwBuAHMAIAAoAG4AbwAgAHIAZQBwAGwAYQBjAGUAbQBlAG4AdAApAFwAbgAgACAAIAAgAEMALAAgACAAIAAgACAAIAAgAEwAQQBNAEIARABBACgARgBJAEwAVABFAFIAKABDAF8AcgAoACkALABJAFMATgBBACgAQgBZAFIATwBXACgAQwBfAHIAKAApACwAIABNAE8ARABFACkAKQApACkALABcAG4AXABuACAAIAAgACAALwAvACAARABlAHIAYQBuAGcAZQBtAGUAbgB0AHMAXABuACAAIAAgACAARAAsACAAIAAgACAAIAAgACAATABBAE0AQgBEAEEAKABGAEkATABUAEUAUgAoAFAAXwByACgAKQAsAEIAWQBSAE8AVwAoAFAAXwByACgAKQAsAEwAQQBNAEIARABBACgAcgBvAHcALAAgAE4ATwBUACgATwBSACgAUwBFAFEAVQBFAE4AQwBFACgALAAgAGsAKQAgAD0AIAByAG8AdwApACkAKQApACkAKQAsAFwAbgBcAG4AIAAgACAAIAAvAC8AIABTAGUAbABlAGMAdAAgAGcAZQBuAGUAcgBhAHQAbwByAFwAbgAgACAAIAAgAGkAZAB4ACwAIAAgACAAIAAgAEwAQQBNAEIARABBACgAQwBIAE8ATwBTAEUAKAB0AHkAcABlACwAIABQAF8AcgAoACkALAAgAFAAKAApACwAIABDAF8AcgAoACkALAAgAEMAKAApACwAIABEACgAKQApACkALABcAG4AXABuACAAIAAgACAALwAvACAAUwB1AGIAcwB0AGkAdAB1AHQAZQAgAGkAdABlAG0AcwAgAHUAbgBsAGUAcwBzACAAdABoAGUAeQAgAGEAcgBlACAAZQB4AGEAYwB0AGwAeQAgADEALgAuAG4AXABuACAAIAAgACAATgBvAHQASQBuAHQAPwAsACAATgBPAFQAKABBAE4ARAAoAFMARQBRAFUARQBOAEMARQAoAG4AKQAgAD0AIABsAGkAcwB0ACkAKQAsAFwAbgAgACAAIAAgAGQAZQBsAGkAdgBlAHIALAAgAEkARgAoAE4AbwB0AEkAbgB0AD8ALAAgAEkATgBEAEUAWAAoAGwAaQBzAHQALAAgAGkAZAB4ACgAKQApACwAIABpAGQAeAAoACkAKQAsAFwAbgBcAG4AIAAgACAAIABkAGUAbABpAHYAZQByAFwAbgApACkAKQApACkAOwBcAG4AXABuAFwAbgBcAG4ALwAqACAAWwBDAEIAMAAxAF0AIAAtAC0ALQAtAC0ALQAtAC0ALQAtAC0ALQAtAC0ALQAtAC0ALQAtAC0ALQAtAC0ALQAtAC0ALQAtAC0ALQAtAC0ALQAtAC0ALQAtAC0ALQAtAC0ALQAtAC0ALQAtAC0ALQAtAC0ALQAtAC0ALQAtAC0ALQAtAC0ALQAtAC0ALQAtAC0ALQAtAC0ALQAtAC0ALQAtAFwAbgBGAHUAbgBjAHQAaQBvAG4AOgAgACAAIAAgACAAIAAgACAAUABlAHIAbQ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CAAcgBlAHAAbABhAGMAZQBtAGUAbgB0ACAAKABrABEgdAB1AHAAbABlAHMAIABkAHIAYQB3AG4AIABmAHIAbwBtACAAbgAgAGkAdABlAG0AcwApAC4AXABuACAAIAAgACAARQBhAGMAaAAgAHIAbwB3ACAAbwBmACAAdABoAGUAIAByAGUAcwB1AGwAdAAgAHIAZQBwAHIAZQBzAGUAbgB0AHMAIABvAG4AZQAgAHAAZQByAG0AdQB0AGEAdABpAG8AbgAgAG8AZgAgAGwAZQBuAGcAdABoACAAa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xACkALgBcAG4ALQAtAC0ALQAtAC0ALQAtAC0ALQAtAC0ALQAtAC0ALQAtAC0ALQAtAC0ALQAtAC0ALQAtAC0ALQAtAC0ALQAtAC0ALQAtAC0ALQAtAC0ALQAtAC0ALQAtAC0ALQAtAC0ALQAtAC0ALQAtAC0ALQAtAC0ALQAtAC0ALQAtAC0ALQAtAC0ALQAtAC0ALQAtAC0ALQAtAC0ALQAtAC0AKgAvAFwAbgBcAG4AUABlAHIAbQBSALsDIAA9AFwAbgBMAEEATQBCAEQAQQAoAFwAbgAgACAAIAAgAGkAdABlAG0AcwAsAFwAbgAgACAAIAAgAGkAdABlAG0AcwBfAGMAaABvAHMAZQBuACwAXABuACAAIAAgACAARQBuAHUAbQBlAHIAYQB0AGUAuwMoAGkAdABlAG0AcwAsACAAaQB0AGUAbQBzAF8AYwBoAG8AcwBlAG4ALAAgADEAKQBcAG4AKQA7AFwAbgBcAG4AXABuAFwAbgAvACoAIABbAEMAQgAwADIAXQAgAC0ALQAtAC0ALQAtAC0ALQAtAC0ALQAtAC0ALQAtAC0ALQAtAC0ALQAtAC0ALQAtAC0ALQAtAC0ALQAtAC0ALQAtAC0ALQAtAC0ALQAtAC0ALQAtAC0ALQAtAC0ALQAtAC0ALQAtAC0ALQAtAC0ALQAtAC0ALQAtAC0ALQAtAC0ALQAtAC0ALQAtAC0ALQAtAC0AXABuAEYAdQBuAGMAdABpAG8AbgA6ACAAIAAgACAAIAAgACAAIABQAGUAcgBt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G8AdQB0ACAAcgBlAHAAbABhAGMAZQBtAGUAbgB0AC4AIABFAGEAYwBoACAAcgBvAHcAIABvAGYAIAB0AGgAZQAgAHIAZQBzAHUAbAB0ACAAcgBlAHAAcgBlAHMAZQBuAHQAcwBcAG4AIAAgACAAIABvAG4AZQAgAGsAESB0AHUAcABsAGUAIABkAHIAYQB3AG4AIABmAHIAbwBtACAAdABoAGUAIABpAG4AcAB1AHQAIABpAHQAZQBtAHMALAAgAHcAaQB0AGgAIABuAG8AIAByAGUAcABlAGEAdABlAGQAIABwAG8AcwBpAHQAaQBvAG4Ac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yACkALgBcAG4ALQAtAC0ALQAtAC0ALQAtAC0ALQAtAC0ALQAtAC0ALQAtAC0ALQAtAC0ALQAtAC0ALQAtAC0ALQAtAC0ALQAtAC0ALQAtAC0ALQAtAC0ALQAtAC0ALQAtAC0ALQAtAC0ALQAtAC0ALQAtAC0ALQAtAC0ALQAtAC0ALQAtAC0ALQAtAC0ALQAtAC0ALQAtAC0ALQAtAC0ALQAtAC0AKgAvAFwAbgBcAG4AUABlAHIAbQC7AyAAPQBcAG4ATABBAE0AQgBEAEEAKABcAG4AIAAgACAAIABpAHQAZQBtAHMALABcAG4AIAAgACAAIABpAHQAZQBtAHMAXwBjAGgAbwBzAGUAbgAsAFwAbgAgACAAIAAgAEUAbgB1AG0AZQByAGEAdABlALsDKABpAHQAZQBtAHMALAAgAGkAdABlAG0AcwBfAGMAaABvAHMAZQBuACwAIAAyACkAXABuACkAOwBcAG4AXABuAFwAbgBcAG4ALwAqACAAWwBDAEIAMAAzAF0AIAAtAC0ALQAtAC0ALQAtAC0ALQAtAC0ALQAtAC0ALQAtAC0ALQAtAC0ALQAtAC0ALQAtAC0ALQAtAC0ALQAtAC0ALQAtAC0ALQAtAC0ALQAtAC0ALQAtAC0ALQAtAC0ALQAtAC0ALQAtAC0ALQAtAC0ALQAtAC0ALQAtAC0ALQAtAC0ALQAtAC0ALQAtAC0ALQAtAFwAbgBGAHUAbgBjAHQAaQBvAG4AOgAgACAAIAAgACAAIAAgACAAQwBvAG0AYgBpAG4AYQB0AGkAbwBuAHMAUg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AgAHIAZQBwAGwAYQBjAGUAbQBlAG4AdAAgACgAbQB1AGwAdABpAHMAZQB0AHMAKQAuACAARQBhAGMAaAAgAHIAbwB3ACAAbwBmACAAdABoAGUAIAByAGUAcwB1AGwAdABcAG4AIAAgACAAIAByAGUAcAByAGUAcwBlAG4AdABzACAAbwBuAGUAIABrABEgZQBsAGUAbQBlAG4AdAAgAG0AdQBsAHQAaQBzAGUAdAAgAGQAcgBhAHcAbgAgAGYAcgBvAG0AIAB0AGgAZQAgAGkAbgBwAHUAdAAgAGkAdABlAG0AcwAsACAAdwBoAGUAcgBlACAAbwByAGQAZQByAFwAbgAgACAAIAAgAGQAbwBlAHMAIABuAG8AdAAgAG0AYQB0AHQAZQByACAAYQBuAGQAIAByAGUAcABlAGEAdABlAGQAIABzAGUAbABlAGMAdABpAG8AbgBzACAAYQByAGU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MAKQAuAFwAbgAtAC0ALQAtAC0ALQAtAC0ALQAtAC0ALQAtAC0ALQAtAC0ALQAtAC0ALQAtAC0ALQAtAC0ALQAtAC0ALQAtAC0ALQAtAC0ALQAtAC0ALQAtAC0ALQAtAC0ALQAtAC0ALQAtAC0ALQAtAC0ALQAtAC0ALQAtAC0ALQAtAC0ALQAtAC0ALQAtAC0ALQAtAC0ALQAtAC0ALQAtAC0ALQAqAC8AXABuAFwAbgBDAG8AbQBiAGkAbgBhAHQAaQBvAG4AcwBSALsDIAA9AFwAbgBMAEEATQBCAEQAQQAoAFwAbgAgACAAIAAgAGkAdABlAG0AcwAsAFwAbgAgACAAIAAgAGkAdABlAG0AcwBfAGMAaABvAHMAZQBuACwAXABuACAAIAAgACAARQBuAHUAbQBlAHIAYQB0AGUAuwMoAGkAdABlAG0AcwAsACAAaQB0AGUAbQBzAF8AYwBoAG8AcwBlAG4ALAAgADMAKQBcAG4AKQA7AFwAbgBcAG4AXABuAFwAbgAvACoAIABbAEMAQgAwADQ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BvAHUAdAAgAHIAZQBwAGwAYQBjAGUAbQBlAG4AdAAuACAARQBhAGMAaAAgAHIAbwB3ACAAbwBmACAAdABoAGUAIAByAGUAcwB1AGwAdAAgAHIAZQBwAHIAZQBzAGUAbgB0AHMAXABuACAAIAAgACAAbwBuAGUAIABrABEgZQBsAGUAbQBlAG4AdAAgAHMAdQBiAHMAZQB0ACAAZAByAGEAdwBuACAAZgByAG8AbQAgAHQAaABlACAAaQBuAHAAdQB0ACAAaQB0AGUAbQBzACwAIAB3AGgAZQByAGUAIABvAHIAZABlAHIAIABkAG8AZQBzACAAbgBvAHQAIABtAGEAdAB0AGUAcgBcAG4AIAAgACAAIABhAG4AZAAgAHIAZQBwAGUAYQB0AGUAZAAgAHMAZQBsAGUAYwB0AGkAbwBuAHMAIABhAHIAZQAgAG4AbwB0ACAAYQBsAGwAbwB3AGUAZA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FMAaQB6AGUAIABvAGYAIABlAGEAYwBoACAAYwBvAG0AYgBpAG4AYQB0AGkAbwBuACAAKABrACAAZSIgADAAKQAuACAATQB1AHMAdAAgAGIAZQAgAGEAIABzAGMAYQBsAGEAcgAuAFwAbgBcAG4ATgBvAHQAZQBzADoAXABuACAAIAAgACAAIiAgAEUAcQB1AGkAdgBhAGwAZQBuAHQAIAB0AG8AIABFAG4AdQBtAGUAcgBhAHQAZQC7AygAaQB0AGUAbQBzACwAIABrACwAIAA0ACkALgBcAG4ALQAtAC0ALQAtAC0ALQAtAC0ALQAtAC0ALQAtAC0ALQAtAC0ALQAtAC0ALQAtAC0ALQAtAC0ALQAtAC0ALQAtAC0ALQAtAC0ALQAtAC0ALQAtAC0ALQAtAC0ALQAtAC0ALQAtAC0ALQAtAC0ALQAtAC0ALQAtAC0ALQAtAC0ALQAtAC0ALQAtAC0ALQAtAC0ALQAtAC0ALQAtAC0AKgAvAFwAbgBcAG4AQwBvAG0AYgBpAG4AYQB0AGkAbwBuAHMAuwMgAD0AXABuAEwAQQBNAEIARABBACgAXABuACAAIAAgACAAaQB0AGUAbQBzACwAXABuACAAIAAgACAAaQB0AGUAbQBzAF8AYwBoAG8AcwBlAG4ALABcAG4AIAAgACAAIABFAG4AdQBtAGUAcgBhAHQAZQC7AygAaQB0AGUAbQBzACwAIABpAHQAZQBtAHMAXwBjAGgAbwBzAGUAbgAsACAANAApAFwAbgApADsAXABuAFwAbgBcAG4AXABuAC8AKgAgAFsAQwBCADAANQBdACAALQAtAC0ALQAtAC0ALQAtAC0ALQAtAC0ALQAtAC0ALQAtAC0ALQAtAC0ALQAtAC0ALQAtAC0ALQAtAC0ALQAtAC0ALQAtAC0ALQAtAC0ALQAtAC0ALQAtAC0ALQAtAC0ALQAtAC0ALQAtAC0ALQAtAC0ALQAtAC0ALQAtAC0ALQAtAC0ALQAtAC0ALQAtAC0ALQBcAG4ARgB1AG4AYwB0AGkAbwBuADoAIAAgACAAIAAgACAAIAAgAEQAZQByAGEAbgBnAGUAbQBlAG4AdA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ZABlAHIAYQBuAGcAZQBtAGUAbgB0AHMAIABvAGYAIABsAGUAbgBnAHQAaAAgAGsALgAgAEEAIABkAGUAcgBhAG4AZwBlAG0AZQBuAHQAIABpAHMAIABhACAAcABlAHIAbQB1AHQAYQB0AGkAbwBuACAAaQBuACAAdwBoAGkAYwBoAFwAbgAgACAAIAAgAG4AbwAgAGUAbABlAG0AZQBuAHQAIABhAHAAcABlAGEAcgBzACAAaQBuACAAaQB0AHMAIABvAHIAaQBnAGkAbgBhAGwAIABwAG8AcwBpAHQAaQBvAG4ALgAgAEUAYQBjAGgAIAByAG8AdwAgAG8AZgAgAHQAaABlACAAcgBlAHMAdQBsAHQAXABuACAAIAAgACAAcgBlAHAAcgBlAHMAZQBuAHQAcwAgAG8AbgBlACAAZABlAHIAYQBuAGcAZQBkACAAawARIHQAdQBwAGwAZQAgAGQAcgBhAHcAbgAgAGYAcgBvAG0AIAB0AGgAZQAgAGkAbgBwAHUAdAAgAGkAdABlAG0Acw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EwAZQBuAGcAdABoACAAbwBmACAAZQBhAGMAaAAgAHQAdQBwAGwAZQAgACgAawAgAGUiIAAwACkALgAgAE0AdQBzAHQAIABiAGUAIABhACAAcwBjAGEAbABhAHIALgBcAG4AXABuAE4AbwB0AGUAcwA6AFwAbgAgACAAIAAgACIgIABFAHEAdQBpAHYAYQBsAGUAbgB0ACAAdABvACAARQBuAHUAbQBlAHIAYQB0AGUAuwMoAGkAdABlAG0AcwAsACAAawAsACAANQApAC4AXABuAC0ALQAtAC0ALQAtAC0ALQAtAC0ALQAtAC0ALQAtAC0ALQAtAC0ALQAtAC0ALQAtAC0ALQAtAC0ALQAtAC0ALQAtAC0ALQAtAC0ALQAtAC0ALQAtAC0ALQAtAC0ALQAtAC0ALQAtAC0ALQAtAC0ALQAtAC0ALQAtAC0ALQAtAC0ALQAtAC0ALQAtAC0ALQAtAC0ALQAtAC0ALQAtACoALwBcAG4AXABuAEQAZQByAGEAbgBnAGUAbQBlAG4AdABzALsDIAA9AFwAbgBMAEEATQBCAEQAQQAoAFwAbgAgACAAIAAgAGkAdABlAG0AcwAsAFwAbgAgACAAIAAgAGkAdABlAG0AcwBfAGMAaABvAHMAZQBuACwAXABuACAAIAAgACAARQBuAHUAbQBlAHIAYQB0AGUAuwMoAGkAdABlAG0AcwAsACAAaQB0AGUAbQBzAF8AYwBoAG8AcwBlAG4ALAAgADUAKQBcAG4AKQA7AFwAbgBcAG4AXABuAFwAbgAvACoAIABbAEMAQgAwADYAXQAgAC0ALQAtAC0ALQAtAC0ALQAtAC0ALQAtAC0ALQAtAC0ALQAtAC0ALQAtAC0ALQAtAC0ALQAtAC0ALQAtAC0ALQAtAC0ALQAtAC0ALQAtAC0ALQAtAC0ALQAtAC0ALQAtAC0ALQAtAC0ALQAtAC0ALQAtAC0ALQAtAC0ALQAtAC0ALQAtAC0ALQAtAC0ALQAtAC0AXABuAEYAdQBuAGMAdABpAG8AbgA6ACAAIAAgACAAIAAgACAAIABLAG4AYQBwAFMAYQBjAGs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TAG8AbAB2AGUAcwAgAHQAaABlACAAMAARIDEAIABrAG4AYQBwAHMAYQBjAGsAIABwAHIAbwBiAGwAZQBtACAAYgB5ACAAZQBuAHUAbQBlAHIAYQB0AGkAbgBnACAAYQBsAGwAIABzAHUAYgBzAGUAdABzACAAbwBmACAAaQB0AGUAbQBzACAAYQBuAGQAXABuACAAIAAgACAAcwBlAGwAZQBjAHQAaQBuAGcAIAB0AGgAZQAgAGYAZQBhAHMAaQBiAGwAZQAgAHAAYQBjAGsAKABzACkAIAB3AGkAdABoACAAbQBhAHgAaQBtAHUAbQAgAHQAbwB0AGEAbAAgAHYAYQBsAHUAZQAuACAAVQBzAGUAcwAgAGEAIABiAHIAdQB0AGUAESBmAG8AcgBjAGUALABcAG4AIAAgACAAIAB2AGUAYwB0AG8AcgBpAHoAZQBkACAAYgBpAHQAESBtAGEAcwBrACAAZwBlAG4AZQByAGEAdABvAHIAIABhAG4AZAAgAHMAdQBwAHAAbwByAHQAcwAgAGIAbwB0AGgAIABuAHUAbQBlAHIAaQBjACAAYQBuAGQAIAB0AGUAeAB0ACAAaQB0AGUAbQAgAGwAYQBiAGUAbABzAC4AXABuAFwAbgBQAGEAcgBhAG0AZQB0AGUAcgBzADoAXABuACAAIAAgACAAaQB0AGUAbQBzAFwAbgAgACAAIAAgACAAIAAgACAAQQByAHIAYQB5ACAAbwBmACAAaQB0AGUAbQAgAGwAYQBiAGUAbABzACAAKABuAHUAbQBiAGUAcgBzACAAbwByACAAdABlAHgAdAApAC4AXABuAFwAbgAgACAAIAAgAHYAYQBsAHUAZQBfAG8AZgBfAGkAdABlAG0AcwBcAG4AIAAgACAAIAAgACAAIAAgAEEAcgByAGEAeQAgAG8AZgAgAG4AdQBtAGUAcgBpAGMAIAB2AGEAbAB1AGUAcwAgAGMAbwByAHIAZQBzAHAAbwBuAGQAaQBuAGcAIAB0AG8AIABlAGEAYwBoACAAaQB0AGUAbQAuAFwAbgBcAG4AIAAgACAAIAB3AGUAaQBnAGgAdABzAFwAbgAgACAAIAAgACAAIAAgACAAQQByAHIAYQB5ACAAbwBmACAAbgB1AG0AZQByAGkAYwAgAHcAZQBpAGcAaAB0AHMAIABjAG8AcgByAGUAcwBwAG8AbgBkAGkAbgBnACAAdABvACAAZQBhAGMAaAAgAGkAdABlAG0ALgBcAG4AXABuACAAIAAgACAAYwBhAHAAYQBjAGkAdAB5AFwAbgAgACAAIAAgACAAIAAgACAAUwBjAGEAbABhAHIAIABuAHUAbQBlAHIAaQBjACAAdwBlAGkAZwBoAHQAIABsAGkAbQBpAHQALgBcAG4AXABuAE4AbwB0AGUAcwA6AFwAbgAgACAAIAAgACIgIABpAHQAZQBtAHMALAAgAHYAYQBsAHUAZQBfAG8AZgBfAGkAdABlAG0AcwAsACAAYQBuAGQAIAB3AGUAaQBnAGgAdABzACAAYQByAGUAIABmAGwAYQB0AHQAZQBuAGUAZAAgAHcAaQB0AGgAIABUAE8AUgBPAFcALgBcAG4AIAAgACAAIAAiICAAYwBhAHAAYQBjAGkAdAB5ACAAaQBzACAAbgBvAHIAbQBhAGwAaQB6AGUAZAAgAHQAbwAgAGEAIABzAGMAYQBsAGEAcgAgAHcAaQB0AGgAIABJAE4ARABFAFgAKABjAGEAcABhAGMAaQB0AHkALAAxACwAMQApAC4AXABuACAAIAAgACAAIiAgAE0AYQB4AGkAbQB1AG0AIABpAHQAZQBtACAAYwBvAHUAbgB0ACAAaQBzACAAYwBhAHAAcABlAGQAIABhAHQAIAAyADAAIAB0AG8AIABhAHYAbwBpAGQAIABjAG8AbQBiAGkAbgBhAHQAbwByAGkAYQBsACAAZQB4AHAAbABvAHMAaQBvAG4ALgBcAG4ALQAtAC0ALQAtAC0ALQAtAC0ALQAtAC0ALQAtAC0ALQAtAC0ALQAtAC0ALQAtAC0ALQAtAC0ALQAtAC0ALQAtAC0ALQAtAC0ALQAtAC0ALQAtAC0ALQAtAC0ALQAtAC0ALQAtAC0ALQAtAC0ALQAtAC0ALQAtAC0ALQAtAC0ALQAtAC0ALQAtAC0ALQAtAC0ALQAtAC0ALQAtAC0AKgAvAFwAbgBcAG4ASwBuAGEAcABTAGEAYwBrALsDIAA9AFwAbgBMAEEATQBCAEQAQQAoAFwAbgAgACAAIAAgAGkAdABlAG0AcwAsAFwAbgAgACAAIAAgAHYAYQBsAHUAZQBfAG8AZgBfAGkAdABlAG0AcwAsAFwAbgAgACAAIAAgAHcAZQBpAGcAaAB0AHMALABcAG4AIAAgACAAIABjAGEAcABhAGMAaQB0AHkALABcAG4AXABuAEwARQBUACgAXABuACAAIAAgACAALwAvACAASABhAGwAdABpAG4AZwAgAHMAYwBlAG4AYQByAGkAbwBzAFwAbgAgACAAIAAgAFQAbwBvAE0AYQBuAHkASQB0AGUAbQBzAD8ALAAgACAAIABSAE8AVwBTACgAaQB0AGUAbQBzACkAIAAqACAAQwBPAEwAVQBNAE4AUwAoAGkAdABlAG0AcwApACAAPgAgADIAMAAsAFwAbgAgACAAIAAgAFQAZQB4AHQASQB0AGUAbQBWAGEAbAA/ACwAIAAgACAAIABPAFIAKABJAFMAVABFAFgAVAAoAHYAYQBsAHUAZQBfAG8AZgBfAGkAdABlAG0AcwApACkALABcAG4AIAAgACAAIABUAGUAeAB0AFcAZQBpAGcAaAB0AHMAPwAsACAAIAAgACAATwBSACgASQBTAFQARQBYAFQAKAB3AGUAaQBnAGgAdABzACkAKQAsAFwAbgAgACAAIAAgAFQAZQB4AHQAQwBhAHAAYQBjAGkAdAB5AD8ALAAgACAAIABPAFIAKABJAFMAVABFAFgAVAAoAGMAYQBwAGEAYwBpAHQAeQApACkALABcAG4AIAAgACAAIABTAGgAYQBwAGUATQBpAHMATQBhAHQAYwBoAD8ALAAgACAATwBSACgAQwBPAFUATgBUAEEAKABpAHQAZQBtAHMAKQAgADwAPgAgAEMATwBVAE4AVABBACgAdgBhAGwAdQBlAF8AbwBmAF8AaQB0AGUAbQBzACkALABcAG4AIAAgACAAIAAgACAAIAAgACAAIAAgACAAIAAgACAAIAAgACAAIAAgACAAIAAgACAAQwBPAFUATgBUAEEAKABpAHQAZQBtAHMAKQAgADwAPgAgAEMATwBVAE4AVABBACgAdwBlAGkAZwBoAHQAcwApACkALABcAG4AXABuACAAIAAgACAAcwBjAGUAbgBhAHIAaQBvAHMALAAgACAAIAAgACAAIAAgAFYAUwBUAEEAQwBLACgAVABlAHgAdABJAHQAZQBtAFYAYQBsAD8ALABUAGUAeAB0AFcAZQBpAGcAaAB0AHMAPwAsAFQAZQB4AHQAQwBhAHAAYQBjAGkAdAB5AD8ALABTAGgAYQBwAGUATQBpAHMATQBhAHQAYwBoAD8AKQAsAFwAbgBcAG4AIAAgACAAIABlAHgAaQB0ACwAIAAgACAAIAAgACAAIAAgACAAIAAgACAATwBSACgAcwBjAGUAbgBhAHIAaQBvAHMAKQAsAFwAbgAgACAAIAAgAGUAcgByAG8AcgBzACwAIAAgACAAIAAgACAAIAAgACAAIAB7AFwAIgAjAFYAQQBMAFUARQAtAEkAVABFAE0AIQBcACIAOwBcACIAIwBWAEEATABVAEUALQBXAEUASQBHAEgAVABTACEAXAAiADsAXAAiACMAVgBBAEwAVQBFAC0AQwBBAFAAQQBDAEkAVABZACEAXAAiADsAXAAiACMASQBOAFAAVQBUAC0ATQBJAFMATQBBAFQAQwBIACEAXAAiAH0ALABcAG4AXABuACAAIAAgACAAYQBsAGUAcgB0ACwAIAAgACAAIAAgACAAIAAgACAAIAAgAEEAUgBSAEEAWQBUAE8AVABFAFgAVAAoAEYASQBMAFQARQBSACgAZQByAHIAbwByAHMALAAgAHMAYwBlAG4AYQByAGkAbwBzACkAKQAsAFwAbgBcAG4ASQBGACgAVABvAG8ATQBhAG4AeQBJAHQAZQBtAHMAPwAsAFwAIgAjAFQATwBPAC0ATQBBAE4AWQAtAEkAVABFAE0AUwAhAFwAIgAsAFwAbgBcAG4AIAAgACAAIABJAEYAKABlAHgAaQB0ACwAYQBsAGUAcgB0ACwAXABuAFwAbgBMAEUAVAAoAFwAbgAgACAAIAAgAC8ALwAgAEYAbABhAHQAdABlAG4AIABpAG4AcAB1AHQAcwBcAG4AIAAgACAAIABpAHQAZQBtAHMALAAgACAAIAAgACAAIAAgACAAIAAgAFQATwBSAE8AVwAoAGkAdABlAG0AcwApACwAXABuACAAIAAgACAAdgBhAGwAdQBlAF8AbwBmAF8AaQB0AGUAbQBzACwAIABUAE8AUgBPAFcAKAB2AGEAbAB1AGUAXwBvAGYAXwBpAHQAZQBtAHMAKQAsAFwAbgAgACAAIAAgAHcAZQBpAGcAaAB0AHMALAAgACAAIAAgACAAIAAgACAAVABPAFIATwBXACgAdwBlAGkAZwBoAHQAcwApACwAXABuACAAIAAgACAAYwBhAHAAYQBjAGkAdAB5ACwAIAAgACAAIAAgACAAIABJAE4ARABFAFgAKABjAGEAcABhAGMAaQB0AHkALAAgADEALAAgADEAKQAsAFwAbgBcAG4AIAAgACAAIAAvAC8AIABMAGEAYgBlAGwAcwBcAG4AIAAgACAAIABsAGEAYgBlAGwAcwAsACAAIAAgACAAIAAgACAAIAAgAHsAXAAiAEkAdABlAG0AcwBcACIAOwAgAFwAIgBWAGEAbAB1AGUAXAAiADsAIABcACIAVwBlAGkAZwBoAHQAXAAiADsAIABcACIAUABhAGMAawBcACIAfQAsAFwAbgBcAG4AIAAgACAAIAAvAC8AIABFAG4AdQBtAGUAcgBhAHQAaQBvAG4AXABuACAAIAAgACAAbgAsACAAIAAgACAAIAAgACAAIAAgACAAIAAgACAAIABDAE8AVQBOAFQAQQAoAGkAdABlAG0AcwApACwAXABuACAAIAAgACAAQwAsACAAIAAgACAAIAAgACAAIAAgACAAIAAgACAAIABTAEUAUQBVAEUATgBDAEUAKAAyACAAXgAgAG4AIAAtACAAMQApACwAXABuACAAIAAgACAAYgBpAG4ALAAgACAAIAAgACAAIAAgACAAIAAgACAAIABEAGUAYwAyAEIAaQBuALsDKABDACwAIAAxACkALABcAG4AXABuACAAIAAgACAALwAvACAAVwBlAGkAZwBoAHQAIABmAGUAYQBzAGkAYgBpAGwAaQB0AHkAXABuACAAIAAgACAAdwBfAGEAcgByACwAIAAgACAAIAAgACAAIAAgACAAIABiAGkAbgAgACoAIAB3AGUAaQBnAGgAdABzACwAXABuACAAIAAgACAAZgBlAGEAcwBpAGIAbABlAD8ALAAgACAAIAAgACAAIABCAFkAUgBPAFcAKAB3AF8AYQByAHIALAAgAFMAVQBNACkAIAA8AD0AIABjAGEAcABhAGMAaQB0AHkALABcAG4AXABuACAAIAAgACAALwAvACAAVgBhAGwAdQBlACAAYwBvAG0AcAB1AHQAYQB0AGkAbwBuAFwAbgAgACAAIAAgAHYAYQBsAF8AYQByAHIALAAgACAAIAAgACAAIAAgACAARgBJAEwAVABFAFIAKABiAGkAbgAgACoAIAB2AGEAbAB1AGUAXwBvAGYAXwBpAHQAZQBtAHMALAAgAGYAZQBhAHMAaQBiAGwAZQA/ACwAIAAwACkALABcAG4AIAAgACAAIAB0AG8AdABhAGwAcwAsACAAIAAgACAAIAAgACAAIAAgAEIAWQBSAE8AVwAoAHYAYQBsAF8AYQByAHIALAAgAFMAVQBNACkALABcAG4AXABuACAAIAAgACAALwAvACAAUwBlAGwAZQBjAHQAIABvAHAAdABpAG0AYQBsACAAcABhAGMAawAoAHMAKQBcAG4AIAAgACAAIABwAGEAYwBrACwAIAAgACAAIAAgACAAIAAgACAAIAAgAFMASQBHAE4AKABGAEkATABUAEUAUgAoAHYAYQBsAF8AYQByAHIALAAgAE0AQQBYACgAdABvAHQAYQBsAHMAKQAgAD0AIAB0AG8AdABhAGwAcwAsACAAMAApACkALABcAG4AXABuACAAIAAgACAALwAvACAARgBpAG4AYQBsACAAdABhAGIAbABlAFwAbgAgACAAIAAgAGYAaQBuAGEAbAAsACAAIAAgACAAIAAgACAAIAAgACAASQBGAE4AQQAoAEgAUwBUAEEAQwBLACgAbABhAGIAZQBsAHMALAAgAFYAUwBUAEEAQwBLACgAaQB0AGUAbQBzACwAIAB2AGEAbAB1AGUAXwBvAGYAXwBpAHQAZQBtAHMALAAgAHcAZQBpAGcAaAB0AHMALAAgAHAAYQBjAGsAKQApACwAXAAiAFwAIgApACwAXABuAFwAbgAgACAAIAAgAGYAaQBuAGEAbABcAG4AKQApACkAKQApADsAXABuAFwAbgBcAG4AXABuAC8AKgAgAFsAQwBCADAANwBdACAALQAtAC0ALQAtAC0ALQAtAC0ALQAtAC0ALQAtAC0ALQAtAC0ALQAtAC0ALQAtAC0ALQAtAC0ALQAtAC0ALQAtAC0ALQAtAC0ALQAtAC0ALQAtAC0ALQAtAC0ALQAtAC0ALQAtAC0ALQAtAC0ALQAtAC0ALQAtAC0ALQAtAC0ALQAtAC0ALQAtAC0ALQAtAC0ALQBcAG4ARgB1AG4AYwB0AGkAbwBuADoAIAAgACAAIAAgACAAIAAgAFMAdQBiAHMAZQB0AEcAZQBu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RwBlAG4AZQByAGEAdABlAHMAIABhAGwAbAAgAG4AbwBuABEgZQBtAHAAdAB5ACAAcwB1AGIAcwBlAHQAcwAgAG8AZgAgAGEAIABzAHUAcABwAGwAaQBlAGQAIABsAGkAcwB0ACAAdQBzAGkAbgBnACAAYgByAHUAdABlABEgZgBvAHIAYwBlAFwAbgAgACAAIAAgAGIAaQB0AG0AYQBzAGsAaQBuAGcALgAgAEUAYQBjAGgAIAByAG8AdwAgAG8AZgAgAHQAaABlACAAcgBlAHMAdQBsAHQAIAByAGUAcAByAGUAcwBlAG4AdABzACAAbwBuAGUAIABzAHUAYgBzAGUAdAAsACAAZQB4AHAAcgBlAHMAcwBlAGQAIABhAHMAIABhAFwAbgAgACAAIAAgAGMAbwBtAG0AYQARIHMAZQBwAGEAcgBhAHQAZQBkACAAcwB0AHIAaQBuAGcALgAgAFMAdQBwAHAAbwByAHQAcwAgAG4AdQBtAGIAZQByAHMAIABvAHIAIAB0AGUAeAB0ACAAaQB0AGUAbQBzAC4AXABuAFwAbgBQAGEAcgBhAG0AZQB0AGUAcgBzADoAXABuACAAIAAgACAAcwBlAHQAXABuACAAIAAgACAAIAAgACAAIABBAHIAcgBhAHkAIABvAGYAIABpAHQAZQBtAHMAIAAoAG4AdQBtAGIAZQByAHMAIABvAHIAIAB0AGUAeAB0ACkALgAgAEYAbABhAHQAdABlAG4AZQBkACAAdwBpAHQAaAAgAFQATwBSAE8AVwAuAFwAbgBcAG4ATgBvAHQAZQBzADoAXABuACAAIAAgACAAIiAgAE0AYQB4AGkAbQB1AG0AIABpAHQAZQBtACAAYwBvAHUAbgB0ACAAaQBzACAAYwBhAHAAcABlAGQAIABhAHQAIAAyADAALgBcAG4ALQAtAC0ALQAtAC0ALQAtAC0ALQAtAC0ALQAtAC0ALQAtAC0ALQAtAC0ALQAtAC0ALQAtAC0ALQAtAC0ALQAtAC0ALQAtAC0ALQAtAC0ALQAtAC0ALQAtAC0ALQAtAC0ALQAtAC0ALQAtAC0ALQAtAC0ALQAtAC0ALQAtAC0ALQAtAC0ALQAtAC0ALQAtAC0ALQAtAC0ALQAtAC0AKgAvAFwAbgBcAG4AUwB1AGIAcwBlAHQARwBlAG4AuwMgAD0AXABuAEwAQQBNAEIARABBACgAXABuACAAIAAgACAAcwBlAHQALABcAG4AXABuAEkARgAoAFIATwBXAFMAKABzAGUAdAApACAAKgAgAEMATwBMAFUATQBOAFMAKABzAGUAdAApACAAPgAgADIAMAAsAFwAIgAjAFQATwBPAC0ATQBBAE4AWQAtAEkAVABFAE0AUwAhAFwAIgAsAFwAbgBcAG4ATABFAFQAKABcAG4AIAAgACAAIAAvAC8AIABGAGwAYQB0AHQAZQBuACAAaQBuAHAAdQB0AFwAbgAgACAAIAAgAHMAZQB0ACwAIAAgACAAIABUAE8AUgBPAFcAKABzAGUAdAApACwAXABuAFwAbgAgACAAIAAgAC8ALwAgAFQAbwB0AGEAbAAgAGkAdABlAG0AcwBcAG4AIAAgACAAIABuACwAIAAgACAAIAAgACAAQwBPAFUATgBUAEEAKABzAGUAdAApACwAXABuAFwAbgAgACAAIAAgAC8ALwAgAEIAaQB0ACAAbQBhAHMAawBzACAAKABlAHgAYwBsAHUAZABlACAAMAApAFwAbgAgACAAIAAgAEMALAAgACAAIAAgACAAIABTAEUAUQBVAEUATgBDAEUAKAAyACAAXgAgAG4AIAAtACAAMQApACwAXABuACAAIAAgACAAYgBpAG4ALAAgACAAIAAgAEQAZQBjADIAQgBpAG4AuwMoAEMALAAgADEAKQAsAFwAbgBcAG4AIAAgACAAIAAvAC8AIABBAHAAcABsAHkAIABtAGEAcwBrAFwAbgAgACAAIAAgAG0AYQBzAGsAZQBkACwAIABJAEYAKABiAGkAbgAsACAAcwBlAHQALAAgAFwAIgBcACIAKQAsAFwAbgBcAG4AIAAgACAAIAAvAC8AIABDAG8AbgB2AGUAcgB0ACAAZQBhAGMAaAAgAG0AYQBzAGsAZQBkACAAcgBvAHcAIABpAG4AdABvACAAYQAgAGMAbwBtAHAAYQBjAHQAIABzAHUAYgBzAGUAdAAgAHMAdAByAGkAbgBnAFwAbgAgACAAIAAgAGYAaQBuAGEAbAAsACAAIABCAFkAUgBPAFcAKABtAGEAcwBrAGUAZAAsACAATABBAE0AQgBEAEEAKAB2ACwAIABUAEUAWABUAEoATwBJAE4AKABcACIALAAgAFwAIgAsACAAMQAsACAAdgApACkAKQAsAFwAbgBcAG4AIAAgACAAIABmAGkAbgBhAGwAXABuACkAKQApADsAXABuAFwAbgBcAG4AXABuAC8AKgAgAFsAQwBCADAAOABdACAALQAtAC0ALQAtAC0ALQAtAC0ALQAtAC0ALQAtAC0ALQAtAC0ALQAtAC0ALQAtAC0ALQAtAC0ALQAtAC0ALQAtAC0ALQAtAC0ALQAtAC0ALQAtAC0ALQAtAC0ALQAtAC0ALQAtAC0ALQAtAC0ALQAtAC0ALQAtAC0ALQAtAC0ALQAtAC0ALQAtAC0ALQAtAC0ALQBcAG4ARgB1AG4AYwB0AGkAbwBuADoAIAAgACAAIAAgACAAIAAgAFMAdQBiAHMAZQB0AFMAdQBt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UgBlAHQAdQByAG4AcwAgAGEAbABsACAAcwB1AGIAcwBlAHQAcwAgAG8AZgAgAGEAIABuAHUAbQBlAHIAaQBjACAAcwBlAHQAIAB3AGgAbwBzAGUAIABlAGwAZQBtAGUAbgB0AHMAIABzAHUAbQAgAGUAeABhAGMAdABsAHkAIAB0AG8AIABhACAAdABhAHIAZwBlAHQALgBcAG4AIAAgACAAIABVAHMAZQBzACAAYgByAHUAdABlABEgZgBvAHIAYwBlACAAYgBpAHQAbQBhAHMAawBpAG4AZwAgACgAbgAgAGQiIAAyADAAKQAuACAARQBhAGMAaAAgAHMAdQBiAHMAZQB0ACAAaQBzACAAcgBlAHQAdQByAG4AZQBkACAAYQBzACAAYQAgAGMAbwBtAHAAYQBjAHQAXABuACAAIAAgACAAYwBvAG0AbQBhABEgcwBlAHAAYQByAGEAdABlAGQAIABzAHQAcgBpAG4AZwAuAFwAbgBcAG4AUABhAHIAYQBtAGUAdABlAHIAcwA6AFwAbgAgACAAIAAgAHMAZQB0AFwAbgAgACAAIAAgACAAIAAgACAAQQByAHIAYQB5ACAAbwBmACAAbgB1AG0AZQByAGkAYwAgAGkAdABlAG0AcwAuACAARgBsAGEAdAB0AGUAbgBlAGQAIAB3AGkAdABoACAAVABPAFIATwBXAC4AIABUAGUAeAB0ACAAaQBzACAAbgBvAHQAIABhAGwAbABvAHcAZQBkAC4AXABuAFwAbgAgACAAIAAgAHQAYQByAGcAZQB0AFwAbgAgACAAIAAgACAAIAAgACAAUwBjAGEAbABhAHIAIABuAHUAbQBlAHIAaQBjACAAdABhAHIAZwBlAHQAIABzAHUAbQAuAFwAbgBcAG4ATgBvAHQAZQBzADoAXABuACAAIAAgACAAIiAgAEUAbQBwAHQAeQAgAHMAdQBiAHMAZQB0ACAAaQBzACAAZQB4AGMAbAB1AGQAZQBkACAAYgB5ACAAYwBvAG4AcwB0AHIAdQBjAHQAaQBvAG4AIAAoAGIAaQB0AG0AYQBzAGsAIAAwACAAbwBtAGkAdAB0AGUAZAApAC4AXABuACAAIAAgACAAIiAgAFIAZQB0AHUAcgBuAHMAIABcACIAIwBOAE8ALQBTAE8ATABVAFQASQBPAE4AIQBcACIAIABpAGYAIABuAG8AIABzAHUAYgBzAGUAdABzACAAbQBhAHQAYwBoACAAdABoAGUAIAB0AGEAcgBnAGUAdAAuAFwAbgAtAC0ALQAtAC0ALQAtAC0ALQAtAC0ALQAtAC0ALQAtAC0ALQAtAC0ALQAtAC0ALQAtAC0ALQAtAC0ALQAtAC0ALQAtAC0ALQAtAC0ALQAtAC0ALQAtAC0ALQAtAC0ALQAtAC0ALQAtAC0ALQAtAC0ALQAtAC0ALQAtAC0ALQAtAC0ALQAtAC0ALQAtAC0ALQAtAC0ALQAtAC0ALQAqAC8AXABuAFwAbgBTAHUAYgBzAGUAdABTAHUAbQC7AyAAPQBcAG4ATABBAE0AQgBEAEEAKABcAG4AIAAgACAAIABzAGUAdAAsAFwAbgAgACAAIAAgAHQAYQByAGcAZQB0ACwAXABuAFwAbgBMAEUAVAAoAFwAbgAgACAAIAAgAC8ALwAgAE4AbwByAG0AYQBsAGkAegBlACAAcwBjAGEAbABhAHIAXABuACAAIAAgACAAdABhAHIAZwBlAHQALAAgAEkATgBEAEUAWAAoAHQAYQByAGcAZQB0ACwAIAAxACwAIAAxACkALABcAG4AXABuACAAIAAgACAALwAvACAASABhAGwAdABpAG4AZwAgAHMAYwBlAG4AYQByAGkAbwBzAFwAbgAgACAAIAAgAFQAbwBvAE0AYQBuAHkASQB0AGUAbQBzAD8ALAAgAFIATwBXAFMAKABzAGUAdAApACAAKgAgAEMATwBMAFUATQBOAFMAKABzAGUAdAApACAAPgAgADIAMAAsAFwAbgAgACAAIAAgAFQAZQB4AHQAUwBlAHQAPwAsACAAIAAgACAAIAAgAE8AUgAoAEkAUwBFAFIAUgBPAFIAKAAtAC0AcwBlAHQAKQApACwAXABuACAAIAAgACAAVABlAHgAdABUAGEAcgBnAGUAdAA/ACwAIAAgACAASQBTAEUAUgBSAE8AUgAoAC0ALQB0AGEAcgBnAGUAdAApACwAXABuAFwAbgBJAEYAKABUAG8AbwBNAGEAbgB5AEkAdABlAG0AcwA/ACwAIABcACIAIwBUAE8ATwAtAE0AQQBOAFkALQBJAFQARQBNAFMAIQBcACIALABcAG4AXABuACAAIAAgACAASQBGACgAVABlAHgAdABTAGUAdAA/ACwAIABcACIAIwBUAEUAWABUAC0AUwBFAFQAIQBcACIALABcAG4AXABuACAAIAAgACAAIAAgACAAIABJAEYAKABUAGUAeAB0AFQAYQByAGcAZQB0AD8ALAAgAFwAIgAjAFQARQBYAFQALQBUAEEAUgBHAEUAVAAhAFwAIgAsAFwAbgBcAG4ATABFAFQAKABcAG4AIAAgACAAIAAvAC8AIABGAGwAYQB0AHQAZQBuACAAaQBuAHAAdQB0AFwAbgAgACAAIAAgAHMAZQB0ACwAIAAgACAAIAAgACAAVABPAFIATwBXACgALQAtAHMAZQB0ACkALABcAG4AXABuACAAIAAgACAALwAvACAAVABvAHQAYQBsACAAaQB0AGUAbQBzAFwAbgAgACAAIAAgAG4ALAAgACAAIAAgACAAIAAgACAAQwBPAFUATgBUAEEAKABzAGUAdAApACwAXABuAFwAbgAgACAAIAAgAC8ALwAgAEIAaQB0ACAAbQBhAHMAawBzACAAKABlAHgAYwBsAHUAZABlACAAMAApAFwAbgAgACAAIAAgAEMALAAgACAAIAAgACAAIAAgACAAUwBFAFEAVQBFAE4AQwBFACgAMgAgAF4AIABuACAALQAgADEAKQAsAFwAbgAgACAAIAAgAGIAaQBuACwAIAAgACAAIAAgACAARABlAGMAMgBCAGkAbgC7AygAQwAsACAAMQApACwAXABuAFwAbgAgACAAIAAgAC8ALwAgAEEAcABwAGwAeQAgAG0AYQBzAGsAXABuACAAIAAgACAAdgBhAGwAXwBhAHIAcgAsACAAIABJAEYAKABiAGkAbgAsACAAcwBlAHQALAAgADAAKQAsAFwAbgBcAG4AIAAgACAAIAAvAC8AIABMAG8AYwBhAHQAZQAgAHQAYQByAGcAZQB0ACAAcwB1AG0AXABuACAAIAAgACAAYgBvAG8AbAAsACAAIAAgACAAIABCAFkAUgBPAFcAKAB2AGEAbABfAGEAcgByACwAIABTAFUATQApACAAPQAgAHQAYQByAGcAZQB0ACwAXABuACAAIAAgACAAZgBvAHUAbgBkACwAIAAgACAAIABGAEkATABUAEUAUgAoAHYAYQBsAF8AYQByAHIALAAgAGIAbwBvAGwALAAgADAAKQAsAFwAbgBcAG4AIAAgACAAIAAvAC8AIABDAG8AbgB2AGUAcgB0ACAAZQBhAGMAaAAgAHMAdQBiAHMAZQB0ACAAdABvACAAYQAgAGMAbwBtAHAAYQBjAHQAIABzAHQAcgBpAG4AZwBcAG4AIAAgACAAIABDAG8AbgBjAGkAcwBlALsDLAAgAEwAQQBNAEIARABBACgAdgAsACAAVABFAFgAVABKAE8ASQBOACgAXAAiACwAIABcACIALAAgADEALAAgAFQARQBYAFQAKAB2ACwAIABcACIAMAA7AC0AMAA7ADsAXAAiACkAKQApACwAXABuACAAIAAgACAAcgBlAHMAdQBsAHQALAAgACAAIABCAFkAUgBPAFcAKABmAG8AdQBuAGQALAAgAEMAbwBuAGMAaQBzAGUAuwMpACwAXABuAFwAbgAgACAAIAAgAC8ALwAgAEgAYQBuAGQAbABlACAAbgBvACAAbQBhAHQAYwBoAGUAcwBcAG4AIAAgACAAIABmAGkAbgBhAGwALAAgACAAIAAgAEkARgAoAFMAVQBNACgATABFAE4AKAByAGUAcwB1AGwAdAApACkAIAA9ACAAMAAsACAAXAAiACMATgBPAC0AUwBPAEwAVQBUAEkATwBOACEAXAAiACwAIAByAGUAcwB1AGwAdAApACwAXABuAFwAbgAgACAAIAAgAGYAaQBuAGEAbABcAG4AKQApACkAKQApACkAOwBcAG4AXABuAFwAbgBcAG4ALwAvACAAWwBHAEQAXQAgAC0ALQAtAC0ALQAtAC0ALQAtAC0ALQAtAC0ALQAtAC0ALQAtAC0ALQAtAC0ALQAtAC0ALQAtAC0ALQAtAC0ALQAtAC0ALQAtAC0ALQAtAC0ALQAtAC0ALQAtAC0ALQAtAC0ALQAtAC0ALQAtAC0ALQAtAC0ALQAtAC0ALQAtAC0ALQAtAC0ALQAtAC0ALQAtAC0ALQAtAC0ALQBcAG4ALwAvACAALQAtAC0AIwAjACAAMQAwACAAFCAgAEcAcgBpAGQAIABEAGkAYQBnAG4AbwBzAHQ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QAaQBhAGcAbgBvAHMAdABpAGMAcwAgAGMAbwBuAHQAYQBpAG4AcwAgAGYAdQBuAGMAdABpAG8AbgBzACAAdwBoAG8AcwBlACAAcAB1AHIAcABvAHMAZQAgAGkAcwAgAHQAbwAgAGUAeABwAG8AcwBlACwAIABhAG4AbgBvAHQAYQB0AGUALABcAG4AIAAgACAAIABvAHIAIABlAHgAcABsAGEAaQBuACAAdABoAGUAIABpAG4AdABlAHIAbgBhAGwAIABzAHQAcgB1AGMAdAB1AHIAZQAgAG8AZgAgAGEAIABnAHIAaQBkAC4AIABEAGkAYQBnAG4AbwBzAHQAaQBjAHMAIABmAHUAbgBjAHQAaQBvAG4AcwAgAGEAcgBlAFwAbgAgACAAIAAgAHUAcwBlAGQAIABmAG8AcgAgAGQAZQBiAHUAZwBnAGkAbgBnACwAIABpAG4AdAByAG8AcwBwAGUAYwB0AGkAbwBuACwAIAB2AGkAcwB1AGEAbABpAHoAYQB0AGkAbwBuACwAIABhAG4AZAAgAHMAdAByAHUAYwB0AHUAcgBhAGwAIABhAG4AYQBsAHkAcwBpAHMALgBcAG4AXABuAEYAdQBuAGMAdABpAG8AbgBzADoAXABuACAAIAAgACAAIiAgAFIAZQB2AGUAYQBsALsDXABuACAAIAAgACAAIAAgACAAIABpAG4AcwBwAGUAYwB0AHMAIABhACAAYQByAHIAYQB5AF8AMgBEACAAbwBmACAAZABhAHQAYQAgAGEAbgBkACAAcgBlAHQAdQByAG4AcwAgAGUAaQB0AGgAZQByADoAXABuACAAIAAgACAAIAAgACAAIAAgACAAIAAgACIgIABBACAAdABvAHAALQBsAGUAdgBlAGwAIABzAHUAbQBtAGEAcgB5ACAAbwBmACAAcwBlAG0AYQBuAHQAaQBjACAAbQBlAHQAcgBpAGMAcwAgACgATgB1AG0AYgBlAHIAcwAsACAAVABlAHgAdABzACwAIABFAHIAcgBvAHIAcwAsACAAZQB0AGMALgApAFwAbgAgACAAIAAgACAAIAAgACAAIAAgACAAIAAiICAAQQAgAHYAZQByAGIAbwBzAGUALAAgAGMAZQBsAGwALQBiAHkALQBjAGUAbABsACAAbgBhAHIAcgBhAHQAaQBvAG4AIABvAGYAIAB0AGEAZwBzACAAcABlAHIAIABjAGUAbABsAFwAbgAqAC8AXABuAFwAbgBcAG4AXABuAC8AKgAgAFsARwBEADAAMQBdACAALQAtAC0ALQAtAC0ALQAtAC0ALQAtAC0ALQAtAC0ALQAtAC0ALQAtAC0ALQAtAC0ALQAtAC0ALQAtAC0ALQAtAC0ALQAtAC0ALQAtAC0ALQAtAC0ALQAtAC0ALQAtAC0ALQAtAC0ALQAtAC0ALQAtAC0ALQAtAC0ALQAtAC0ALQAtAC0ALQAtAC0ALQAtAC0ALQBcAG4ARgB1AG4AYwB0AGkAbwBuADoAIAAgACAAIAAgACAAIAAgAFIAZQB2AGUAYQBsALsDXABuAEMAYQB0AGUAZwBvAHIAeQA6ACAAIAAgACAAIAAgACAAIABHAHIAaQBkACAARABpAGEAZwBuAG8AcwB0AGkAYwBzAFwAbgBBAHUAdABoAG8AcgA6ACAAIAAgACAAIAAgACAAIAAgACAAUABhAHQAcgBpAGMAawAgAEgALgBcAG4AVgBlAHIAcwBpAG8AbgA6ACAAIAAgACAAIAAgACAAIAAgADEALgAxAFwAbgBcAG4ARABlAHMAYwByAGkAcAB0AGkAbwBuADoAXABuACAAIAAgACAAUgBlAHYAZQBhAGwAuwMgAGkAbgBzAHAAZQBjAHQAcwAgAGEAIABhAHIAcgBhAHkAXwAyAEQAIABvAGYAIABkAGEAdABhACAAYQBuAGQAIAByAGUAdAB1AHIAbgBzACAAZQBpAHQAaABlAHIAOgBcAG4AIAAgACAAIAAgACAAIAAgACIgIABBACAAdABvAHAALQBsAGUAdgBlAGwAIABzAHUAbQBtAGEAcgB5ACAAbwBmACAAcwBlAG0AYQBuAHQAaQBjACAAbQBlAHQAcgBpAGMAcwAgACgATgB1AG0AYgBlAHIAcwAsACAAVABlAHgAdABzACwAIABFAHIAcgBvAHIAcwAsACAAZQB0AGMALgApAFwAbgAgACAAIAAgACAAIAAgACAAIiAgAEEAIAB2AGUAcgBiAG8AcwBlACwAIABjAGUAbABsAC0AYgB5AC0AYwBlAGwAbAAgAG4AYQByAHIAYQB0AGkAbwBuACAAbwBmACAAdABhAGcAcwAgAHAAZQByACAAYwBlAGwAbABcAG4AIAAgACAAIABTAHUAcABwAG8AcgB0AHMAIABvAHAAdABpAG8AbgBhAGwAIABkAGUAbABpAG0AaQB0AGUAcgAgAGMAbwBuAHQAcgBvAGwAIABhAG4AZAAgAGIAbABhAG4AawAtAGEAdwBhAHIAZQAgAG8AcAB0AGkAbQBpAHoAYQB0AGkAbwBuAC4AXABuAFwAbgBQAGEAcgBhAG0AZQB0AGUAcgBzADoAXABuACAAIAAgACAAZABhAHQAYQBcAG4AIAAgACAAIAAgACAAIAAgAEQAYQB0AGEAIAB0AG8AIABiAGUAIABpAG4AcwBwAGUAYwB0AGUAZAAgACgAYQBuAHkAIABzAGMAYQBsAGEAcgAsACAAdgBlAGMAdABvAHIALAAgAG8AcgAgADIARAAgAGEAcgByAGEAeQApAC4AXABuAFwAbgAgACAAIAAgAEkAcwBWAGUAcgBiAG8AcwBlAD8AIAAgAFsAbwBwAHQAaQBvAG4AYQBsAF0AXABuACAAIAAgACAAIAAgACAAIABJAGYAIABUAFIAVQBFACwAIAByAGUAdAB1AHIAbgBzACAAYQAgAGEAcgByAGEAeQBfADIARAAgAG8AZgAgAG4AYQByAHIAYQB0AGEAYgBsAGUAIAB0AGEAZwBzACAAcABlAHIAIABjAGUAbABsAC4AXABuACAAIAAgACAAIAAgACAAIABJAGYAIABvAG0AaQB0AHQAZQBkACwAIAByAGUAdAB1AHIAbgBzACAAYQAgADkA1wAyACAAcwB1AG0AbQBhAHIAeQAgAHQAYQBiAGwAZQAuAFwAbgBcAG4AIAAgACAAIABkAGUAbABpAG0AaQB0AGUAcgAgACAAIABbAG8AcAB0AGkAbwBuAGEAbABdAFwAbgAgACAAIAAgACAAIAAgACAARABlAGwAaQBtAGkAdABlAHIAIAB1AHMAZQBkACAAaQBuACAAdgBlAHIAYgBvAHMAZQAgAG0AbwBkAGUALgAgAEQAZQBmAGEAdQBsAHQAcwAgAHQAbwAgAFwAIgAsACAAXAAiAC4AXABuAFwAbgAtAC0ALQAtAC0ALQAtAC0ALQAtAC0ALQAtAC0ALQAtAC0ALQAtAC0ALQAtAC0ALQAtAC0ALQAtAC0ALQAtAC0ALQAtAC0ALQAtAC0ALQAtAC0ALQAtAC0ALQAtAC0ALQAtAC0ALQAtAC0ALQAtAC0ALQAtAC0ALQAtAC0ALQAtAC0ALQAtAC0ALQAtAC0ALQAtAC0ALQAtAC0ALQAqAC8AXABuAFwAbgBSAGUAdgBlAGEAbAC7AyAAPQBcAG4ATABBAE0AQgBEAEEAKABcAG4AIAAgACAAIABkAGEAdABhACwAIAAgACAAIAAgACAAIAAgAFwAbgAgACAAIAAgAFsASQBzAFYAZQByAGIAbwBzAGUAPwBdACwAXABuACAAIAAgACAAWwBkAGUAbABpAG0AaQB0AGUAcgBdACwAXABuAFwAbgBMAEUAVAAoAFwAbgAgACAAIAAgAC8ALwAgAEQAaQBtAGUAbgBzAGkAbwBuAFwAbgAgACAAIAAgAHcAaQBkAHQAaAAsACAAIAAgACAAIAAgACAAIAAgACAAIAAgACAAIAAgACAAIAAgAEMATwBMAFUATQBOAFMAKABkAGEAdABhACkALABcAG4AXABuACAAIAAgACAALwAvACAAQwBlAGwAbAAgAG0AZQB0AHIAaQBjACAAbABhAGIAZQBsAHMAXABuACAAIAAgACAAbQBlAHQAcgBpAGMAcwAsACAAIAAgACAAIAAgACAAIAAgACAAIAAgACAAIAAgACAAewBcACIATgB1AG0AYgBlAHIAXAAiADsAXABuACAAIAAgACAAIAAgACAAIAAgACAAIAAgACAAIAAgACAAIAAgACAAIAAgACAAIAAgACAAIAAgACAAXAAiAFQAZQB4AHQAXAAiADsAXABuACAAIAAgACAAIAAgACAAIAAgACAAIAAgACAAIAAgACAAIAAgACAAIAAgACAAIAAgACAAIAAgACAAXAAiAE4AdQBtAGIAZQByAC0AcwB0AG8AcgBlAGQALQBhAHMALQB0AGUAeAB0AFwAIgA7AFwAbgAgACAAIAAgACAAIAAgACAAIAAgACAAIAAgACAAIAAgACAAIAAgACAAIAAgACAAIAAgACAAIAAgAFwAIgBFAHIAcgBvAHIAXAAiADsAXABuACAAIAAgACAAIAAgACAAIAAgACAAIAAgACAAIAAgACAAIAAgACAAIAAgACAAIAAgACAAIAAgACAAXAAiAEMAbwBuAHQAYQBpAG4AcwAgAHMAcABhAGMAZQBzAFwAIgA7AFwAbgAgACAAIAAgACAAIAAgACAAIAAgACAAIAAgACAAIAAgACAAIAAgACAAIAAgACAAIAAgACAAIAAgAFwAIgBDAG8AbgB0AGEAaQBuAHMAIABzAHAAZQBjAGkAYQBsACAAYwBoAGEAcgBhAGMAdABlAHIAcwBcACIAOwBcAG4AIAAgACAAIAAgACAAIAAgACAAIAAgACAAIAAgACAAIAAgACAAIAAgACAAIAAgACAAIAAgACAAIABcACIARgBvAHIAbQB1AGwAYQBcACIAOwBcAG4AIAAgACAAIAAgACAAIAAgACAAIAAgACAAIAAgACAAIAAgACAAIAAgACAAIAAgACAAIAAgACAAIABcACIAQgBsAGEAbgBrAFwAIgA7AFwAbgAgACAAIAAgACAAIAAgACAAIAAgACAAIAAgACAAIAAgACAAIAAgACAAIAAgACAAIAAgACAAIAAgAFwAIgBMAG8AZwBpAGMAYQBsAFwAIgB9ACwAXABuAFwAbgAgACAAIAAgAC8ALwAtAC0AIABMAG8AYwBhAGwAIABmAHUAbgBjAHQAaQBvAG4AcwAgAC0ALQBcAG4AXABuACAAIAAgACAALwAvACAARgBsAGEAdAB0AGUAbgAgAG0AYQB0AHIAaQBjAGUAcwAgAGEAbgBkACAAZQBuAHMAdQByAGUAIABiAGkAbgBhAHIAeQAgAGEAcgByAGEAeQAuAFwAbgAgACAAIAAgAEIAaQBuALsDLAAgACAAIAAgACAAIAAgACAAIAAgACAAIAAgACAAIAAgACAAIAAgAEwAQQBNAEIARABBACgAdgAsACAAVABPAEMATwBMACgASQBGAEUAUgBSAE8AUgAoAHYALAAgADAAKQApACkALABcAG4AXABuACAAIAAgACAALwAvACAAUgBlAG0AbwB2AGUAIABlAHIAcgBvAHIAcwAgAGYAcgBvAG0AIABzAGMAYQBsAGEAcgBzAC4AXABuACAAIAAgACAAUgBlAG0AbwB2AGUATgBBALsDLAAgACAAIAAgACAAIAAgACAAIAAgACAAIAAgACAATABBAE0AQgBEAEEAKAB2ACwAIABJAEYATgBBACgAdgAsACAAMAApACkALABcAG4AXABuACAAIAAgACAALwAvACAATwBwAHQAaQBvAG4AYQBsACAAZABlAGwAaQBtAGkAdABlAHIAIABmAG8AcgAgAHYAZQByAGIAbwBzAGUAIAByAGUAcABvAHIAdAAuAFwAbgAgACAAIAAgAGQAZQBsAGkAbQBpAHQAZQByACwAIAAgACAAIAAgACAAIAAgACAAIAAgACAAIAAgAEkARgAoAEkAUwBPAE0ASQBUAFQARQBEACgAZABlAGwAaQBtAGkAdABlAHIAKQAsACAAXAAiACwAIABcACIALAAgAGQAZQBsAGkAbQBpAHQAZQByACkALABcAG4AXABuACAAIAAgACAALwAvACAAVgBlAHIAYgBvAHMAZQAgAHIAZQBwAG8AcgB0ACAALQAgAHIAZQB0AHUAcgBuAHMAIABuAGEAcgByAGEAdABhAGIAbABlACAAdABhAGcAcwAgAGIAeQAgAGMAZQBsAGwALgAgAFQAZQByAG0AaQBuAGEAdABlAHMAIABlAGEAcgBsAHkAIABpAGYAIABiAGwAYQBuAGsALgBcAG4AIAAgACAAIABHAGUAdABEAGUAdABhAGkAbABzALsDLAAgACAAIAAgACAAIAAgACAAIAAgACAAIABMAEEATQBCAEQAQQAoAGEALAAgAGIALAAgAGMALAAgAGQALAAgAGUALAAgAGYALAAgAGcALAAgAGgALAAgAGkALABcAG4AIAAgACAAIAAgACAAIAAgACAAIAAgACAAIAAgACAAIAAgACAAIAAgACAAIAAgACAAIAAgACAAIABMAEUAVAAoAFwAbgAgACAAIAAgACAAIAAgACAAIAAgACAAIAAgACAAIAAgACAAIAAgACAAIAAgACAAIAAgACAAIAAgACAAIAAgACAAbQAsACAAIAAgACAAIAAgAFYAUwBUAEEAQwBLACgAYQAsACAAYgAsACAAYwAsACAAZAAsACAAUgBlAG0AbwB2AGUATgBBALsDKABlACkALAAgAFIAZQBtAG8AdgBlAE4AQQC7AygAZgApACwAIABnACwAIABoACwAIABpACkALABcAG4AIAAgACAAIAAgACAAIAAgACAAIAAgACAAIAAgACAAIAAgACAAIAAgACAAIAAgACAAIAAgACAAIAAgACAAIAAgAGQAZQB0AGEAaQBsACwAIABJAEYAKABoACwAIABcACIAQgBsAGEAbgBrAFwAIgAsACAAVABPAEMATwBMACgASQBGAFMAKABtACwAIABtAGUAdAByAGkAYwBzACkALAAgADIAKQApACwAXABuACAAIAAgACAAIAAgACAAIAAgACAAIAAgACAAIAAgACAAIAAgACAAIAAgACAAIAAgACAAIAAgACAAIAAgACAAIABqAG8AaQBuAGUAZAAsACAAVABFAFgAVABKAE8ASQBOACgAZABlAGwAaQBtAGkAdABlAHIALAAgADEALAAgAGQAZQB0AGEAaQBsACkALABcAG4AIAAgACAAIAAgACAAIAAgACAAIAAgACAAIAAgACAAIAAgACAAIAAgACAAIAAgACAAIAAgACAAIAAgACAAIAAgAGoAbwBpAG4AZQBkACkAKQAsAFwAbgBcAG4AIAAgACAAIAAvAC8AIABDAGUAbABsAHMAIAB3AGkAdABoADoAXABuACAAIAAgACAATgB1AG0AYgBlAHIAcwAsACAAIAAgACAAIAAgACAAIAAgACAAIAAgACAAIAAgAC0ALQBUAE8AQwBPAEwAKABJAFMATgBVAE0AQgBFAFIAKABkAGEAdABhACkAKQAsAFwAbgAgACAAIAAgAFQAZQB4AHQAcwAsACAAIAAgACAAIAAgACAAIAAgACAAIAAgACAAIAAgACAAIAAtAC0AVABPAEMATwBMACgASQBTAFQARQBYAFQAKABkAGEAdABhACkAKQAsAFwAbgAgACAAIAAgAE4AdQBtAGIAZQByAHMAXwBzAHQAbwByAGUAZABfAGEAcwBfAHQAZQB4AHQALAAgAFQATwBDAE8ATAAoAEkAUwBOAFUATQBCAEUAUgAoAEkARgBFAFIAUgBPAFIAKABkAGEAdABhACAAKwAgADAALAAgAFwAIgBcACIAKQApACAAKgAgAEkAUwBUAEUAWABUACgAZABhAHQAYQApACkALABcAG4AIAAgACAAIABDAGUAbABsAHMAXwB3AGkAdABoAF8AZQByAHIAbwByAHMALAAgACAAIAAgACAALQAtAFQATwBDAE8ATAAoAEkAUwBFAFIAUgBPAFIAKABkAGEAdABhACkAKQAsAFwAbgAgACAAIAAgAFMAcABhAGMAZQBzACwAIAAgACAAIAAgACAAIAAgACAAIAAgACAAIAAgACAAIAAtAC0AQgBpAG4AuwMoAEwARQBOACgAVABSAEkATQAoAGQAYQB0AGEAKQApACAAPAA+ACAATABFAE4AKABkAGEAdABhACkAKQAsAFwAbgBcAG4AIAAgACAAIAAvAC8AIABQAGEAdAB0AGUAcgBuACAAbQBhAHQAYwBoAGUAcwAgAGYAbwByACAAcwBwAGUAYwBpAGEAbAAgAGMAaABhAHIAYQBjAHQAZQByAHMAXABuACAAIAAgACAAcABhAHQAdABlAHIAbgAsACAAIAAgACAAIAAgACAAIAAgACAAIAAgACAAIAAgAFwAIgBbAF4AQQAtAFoAYQAtAHoAMAAtADkAIAAuAF0AfABbAFwAXAB4AHsAMAAwAEEAMAB9AFwAXAB4AHsAMgAwADAAQgB9AC0AXABcAHgAewAyADAAMABEAH0AXQB8AFsAXABcAHQAXABcAG4AXABcAHIAXQB8AFsAXABcAHgAewAxAEYANgAwADAAfQAtAFwAXAB4AHsAMQBGADYANABGAH0AXQBcACIALABcAG4AIAAgACAAIABTAHAAZQBjAGkAYQBsAF8AYwBoAGEAcgBhAGMAdABlAHIAcwAsACAAIAAgACAALQAtAEIAaQBuALsDKABSAEUARwBFAFgAVABFAFMAVAAoAGQAYQB0AGEALAAgAHAAYQB0AHQAZQByAG4AKQApACwAXABuAFwAbgAgACAAIAAgAEYAbwByAG0AdQBsAGEAcwAsACAAIAAgACAAIAAgACAAIAAgACAAIAAgACAAIAAtAC0AVABPAEMATwBMACgASQBTAEYATwBSAE0AVQBMAEEAKABkAGEAdABhACkAKQAsAFwAbgAgACAAIAAgAEIAbABhAG4AawBzACwAIAAgACAAIAAgACAAIAAgACAAIAAgACAAIAAgACAAIAAtAC0AVABPAEMATwBMACgASQBTAEIATABBAE4ASwAoAGQAYQB0AGEAKQApACwAXABuACAAIAAgACAATABvAGcAaQBjAGEAbAAsACAAIAAgACAAIAAgACAAIAAgACAAIAAgACAAIAAgAC0ALQBUAE8AQwBPAEwAKABJAFMATABPAEcASQBDAEEATAAoAGQAYQB0AGEAKQApACwAXABuAFwAbgAgACAAIAAgAC8ALwAgAE0AZQB0AHIAaQBjAHMAIABmAGwAYQB0AHQAZQBuAGUAZAAgAHIAbwB3AC0AdwBpAHMAZQAgAGEAbgBkACAAcwB0AGEAYwBrAGUAZAAgAGgAbwByAGkAegBvAG4AdABhAGwAbAB5AC4AXABuACAAIAAgACAAbQBlAHQAcgBpAGMAXwBzAHQAYQBjAGsALAAgACAAIAAgACAAIAAgACAAIAAgAEgAUwBUAEEAQwBLACgAXABuACAAIAAgACAAIAAgACAAIAAgACAAIAAgACAAIAAgACAAIAAgACAAIAAgACAAIAAgACAAIAAgACAAIAAgACAAIABOAHUAbQBiAGUAcgBzACwAXABuACAAIAAgACAAIAAgACAAIAAgACAAIAAgACAAIAAgACAAIAAgACAAIAAgACAAIAAgACAAIAAgACAAIAAgACAAIABUAGUAeAB0AHMALABcAG4AIAAgACAAIAAgACAAIAAgACAAIAAgACAAIAAgACAAIAAgACAAIAAgACAAIAAgACAAIAAgACAAIAAgACAAIAAgAE4AdQBtAGIAZQByAHMAXwBzAHQAbwByAGUAZABfAGEAcwBfAHQAZQB4AHQALABcAG4AIAAgACAAIAAgACAAIAAgACAAIAAgACAAIAAgACAAIAAgACAAIAAgACAAIAAgACAAIAAgACAAIAAgACAAIAAgAEMAZQBsAGwAcwBfAHcAaQB0AGgAXwBlAHIAcgBvAHIAcwAsAFwAbgAgACAAIAAgACAAIAAgACAAIAAgACAAIAAgACAAIAAgACAAIAAgACAAIAAgACAAIAAgACAAIAAgACAAIAAgACAAUwBwAGEAYwBlAHMALABcAG4AIAAgACAAIAAgACAAIAAgACAAIAAgACAAIAAgACAAIAAgACAAIAAgACAAIAAgACAAIAAgACAAIAAgACAAIAAgAFMAcABlAGMAaQBhAGwAXwBjAGgAYQByAGEAYwB0AGUAcgBzACwAXABuACAAIAAgACAAIAAgACAAIAAgACAAIAAgACAAIAAgACAAIAAgACAAIAAgACAAIAAgACAAIAAgACAAIAAgACAAIABGAG8AcgBtAHUAbABhAHMALABcAG4AIAAgACAAIAAgACAAIAAgACAAIAAgACAAIAAgACAAIAAgACAAIAAgACAAIAAgACAAIAAgACAAIAAgACAAIAAgAEIAbABhAG4AawBzACwAXABuACAAIAAgACAAIAAgACAAIAAgACAAIAAgACAAIAAgACAAIAAgACAAIAAgACAAIAAgACAAIAAgACAAIAAgACAAIABMAG8AZwBpAGMAYQBsACkALABcAG4AXABuACAAIAAgACAALwAvACAATQBlAHQAcgBpAGMAcwAgAHMAdQBtAG0AYQByAGkAegBlAGQAIABhAG4AZAAgAGMAbwBuAHYAZQByAHQAZQBkACAAdABvACAAdgBlAHIAdABpAGMAYQBsACAAYQByAHIAYQB5AC4AXABuACAAIAAgACAAdABvAHQAYQBsAHMALAAgACAAIAAgACAAIAAgACAAIAAgACAAIAAgACAAIAAgACAAVABPAEMATwBMACgAQgBZAEMATwBMACgAbQBlAHQAcgBpAGMAXwBzAHQAYQBjAGsALAAgAFMAVQBNACkAKQAsAFwAbgBcAG4AIAAgACAAIAAvAC8ALQAtACAAUgBlAHAAbwByAHQAaQBuAGcAIAAtAC0AXABuAFwAbgAgACAAIAAgAC8ALwAgAFQAbwBwAC0AbABlAHYAZQBsACAAOQDXADIAIABzAHUAbQBtAGEAcgB5ACAAbwBmACAAZABhAHQAYQAuAFwAbgAgACAAIAAgAFMAdQBtAG0AYQByAHkALAAgACAAIAAgACAAIAAgACAAIAAgACAAIAAgACAAIAAgAEwAQQBNAEIARABBACgAUwBPAFIAVAAoAEgAUwBUAEEAQwBLACgAbQBlAHQAcgBpAGMAcwAsACAAdABvAHQAYQBsAHMAKQAsACAAMgAsACAALQAxACkAKQAsAFwAbgBcAG4AIAAgACAAIAAvAC8AIABDAGUAbABsAC0AYgB5AC0AYwBlAGwAbAAgAHIAZQBwAG8AcgB0ACAAbwBmACAAZABhAHQAYQAuAFwAbgAgACAAIAAgAFYAZQByAGIAbwBzAGUALAAgACAAIAAgACAAIAAgACAAIAAgACAAIAAgACAAIAAgAFcAUgBBAFAAUgBPAFcAUwAoAFwAbgAgACAAIAAgACAAIAAgACAAIAAgACAAIAAgACAAIAAgACAAIAAgACAAIAAgACAAIAAgACAAIAAgACAAIAAgACAATQBBAFAAKABcAG4AIAAgACAAIAAgACAAIAAgACAAIAAgACAAIAAgACAAIAAgACAAIAAgACAAIAAgACAAIAAgACAAIAAgACAAIAAgACAAIAAgACAATgB1AG0AYgBlAHIAcwAsAFwAbgAgACAAIAAgACAAIAAgACAAIAAgACAAIAAgACAAIAAgACAAIAAgACAAIAAgACAAIAAgACAAIAAgACAAIAAgACAAIAAgACAAIABUAGUAeAB0AHMALABcAG4AIAAgACAAIAAgACAAIAAgACAAIAAgACAAIAAgACAAIAAgACAAIAAgACAAIAAgACAAIAAgACAAIAAgACAAIAAgACAAIAAgACAATgB1AG0AYgBlAHIAcwBfAHMAdABvAHIAZQBkAF8AYQBzAF8AdABlAHgAdAAsAFwAbgAgACAAIAAgACAAIAAgACAAIAAgACAAIAAgACAAIAAgACAAIAAgACAAIAAgACAAIAAgACAAIAAgACAAIAAgACAAIAAgACAAIABDAGUAbABsAHMAXwB3AGkAdABoAF8AZQByAHIAbwByAHMALABcAG4AIAAgACAAIAAgACAAIAAgACAAIAAgACAAIAAgACAAIAAgACAAIAAgACAAIAAgACAAIAAgACAAIAAgACAAIAAgACAAIAAgACAAUwBwAGEAYwBlAHMALABcAG4AIAAgACAAIAAgACAAIAAgACAAIAAgACAAIAAgACAAIAAgACAAIAAgACAAIAAgACAAIAAgACAAIAAgACAAIAAgACAAIAAgACAAUwBwAGUAYwBpAGEAbABfAGMAaABhAHIAYQBjAHQAZQByAHMALABcAG4AIAAgACAAIAAgACAAIAAgACAAIAAgACAAIAAgACAAIAAgACAAIAAgACAAIAAgACAAIAAgACAAIAAgACAAIAAgACAAIAAgACAARgBvAHIAbQB1AGwAYQBzACwAXABuACAAIAAgACAAIAAgACAAIAAgACAAIAAgACAAIAAgACAAIAAgACAAIAAgACAAIAAgACAAIAAgACAAIAAgACAAIAAgACAAIAAgAEIAbABhAG4AawBzACwAXABuACAAIAAgACAAIAAgACAAIAAgACAAIAAgACAAIAAgACAAIAAgACAAIAAgACAAIAAgACAAIAAgACAAIAAgACAAIAAgACAAIAAgAEwAbwBnAGkAYwBhAGwALABcAG4AIAAgACAAIAAgACAAIAAgACAAIAAgACAAIAAgACAAIAAgACAAIAAgACAAIAAgACAAIAAgACAAIAAgACAAIAAgACAAIAAgACAARwBlAHQARABlAHQAYQBpAGwAcwC7AykALABcAG4AIAAgACAAIAAgACAAIAAgACAAIAAgACAAIAAgACAAIAAgACAAIAAgACAAIAAgACAAIAAgACAAIAAgACAAIAAgAHcAaQBkAHQAaAApACwAXABuAFwAbgAgACAAIAAgAFIAZQBwAG8AcgB0ACwAIAAgACAAIAAgACAAIAAgACAAIAAgACAAIAAgACAAIAAgAEkARgAoAEkAUwBPAE0ASQBUAFQARQBEACgASQBzAFYAZQByAGIAbwBzAGUAPwApACwAIABTAHUAbQBtAGEAcgB5ACgAKQAsACAAVgBlAHIAYgBvAHMAZQApACwAXABuACAAIAAgACAAUgBlAHAAbwByAHQAXABuACkAKQA7AFwAbgBcAG4AXABuAFwAbgAvAC8AIAAtAC0ARQBuAGQAIABvAGYAIABCAGkAZwBTAHAAaQBsAGwAIABNAG8AZAB1AGwAZQAtAC0AIgB9AF0ALAAiAHAAcgBvAGoAZQBjAHQATgBhAG0AZQBzACIAOgBbACIARABHAHIAaQBkALsDIgAsACIAQwBHAHIAaQBkALsDIgAsACIATQBHAHIAaQBkALsDIgAsACIAVABHAHIAaQBkALsDIgAsACIAUABvAGwAYQByAEcAcgBpAGQAuwMiACwAIgBDAGkAcgBjAGwAZQC7AyIALAAiAEQAaQBhAG0AbwBuAGQAuwMiACwAIgBQAGwAdQBzALsDIgAsACIAUAB5AHIAYQBtAGkAZAC7AyIALAAiAFIAaQBuAGcAuwMiACwAIgBTAHEAdQBhAHIAZQC7AyIALAAiAFQAcgBpAGEAbgBnAGwAZQC7AyIALAAiAFIAZQBTAGgAYQBwAGUAMgBEALsDIgAsACIAUgBlAHMAaQB6AGUAuwMiACwAIgBTAGMAYQBuADIARAC7AyIALAAiAFQAcgBhAHYAZQByAHMAZQC7AyIALAAiAFQAYQBrAGUAQgBsAG8AYwBrALsDIgAsACIARABTAHQAYQBjAGsAuwMiACwAIgBXAHIAYQBwAFIAbwB3AHMAMgBEALsDIgAsACIAVwByAGEAcABDAG8AbABzADIARAC7AyIALAAiAFMAdABhAGkAcgBjAGEAcwBlALsDIgAsACIAVgBhAGwAaQBkAGEAdABlAFMAdABhAGkAcgBjAGEAcwBlALsDIgAsACIAVQBuAFAAaQB2AG8AdAC7AyIALAAiAFoAaQBwALsDIgAsACIAUwBsAGkAYwBlAEIAeQBEAGUAZwC7AyIALAAiAFAAYQBkALsDIgAsACIASQBuAHMAdQBsAGEAdABlAFIAbwB3AHMAuwMiACwAIgBJAG4AcwB1AGwAYQB0AGUAQwBvAGwAcwC7AyIALAAiAE0AYQBnAG4AaQBmAHkAuwMiACwAIgBaAG8AbwBtALsDIgAsACIARABlAGwAZQB0AGUAUgBvAHcAcwC7AyIALAAiAEQAZQBsAGUAdABlAEMAbwBsAHMAuwMiACwAIgBEAGUAbABlAHQAZQBXAGgAZQByAGUAuwMiACwAIgBQAGkAbgBjAGgAuwMiACwAIgBSAGUAbQBvAHYAZQC7AyIALAAiAFMAcQB1AGUAZQB6AGUAuwMiACwAIgBLAHIAbwBuAGUAYwBrAGUAcgBQAHIAbwBkALsDIgAsACIARQB4AGMAbAB1AGQAZQC7AyIALAAiAFMAbgBhAHAAuwMiACwAIgBTAGgAaQBmAHQAuwMiACwAIgBTAGgAaQBmAHQAUgBvAHcAcwC7AyIALAAiAFMAaABpAGYAdABDAG8AbABzALsDIgAsACIARQBtAGIAZQBkALsDIgAsACIASwBlAGUAcABSAG8AdwBzALsDIgAsACIASwBlAGUAcABDAG8AbABzALsDIgAsACIAQgBsAG8AYwBrAE0AYQBwALsDIgAsACIAVgBhAGwAaQBkAGEAdABlAEIAbABvAGMAawBNAGEAcAC7AyIALAAiAEMAbwBuAHYAbwBsAHYAZQC7AyIALAAiAEYAbwBsAGQAuwMiACwAIgBKAG8AaQBuADIARAC7AyIALAAiAEUAYwBoAG8AuwMiACwAIgBSAGUAcABlAGEAdABSAG8AdwBzALsDIgAsACIAUgBlAHAAZQBhAHQAQwBvAGwAcwC7AyIALAAiAFQAZQBzAHMAZQBsAGwAYQB0AGUAuwMiACwAIgBTAHQAcgBlAGEAawC7AyIALAAiAEMAbwB1AG4AdABkAG8AdwBuALsDIgAsACIASQBuAHMAdABhAG4AYwBlALsDIgAsACIAVwBhAHYAZQC7AyIALAAiAEIAeQBEAGkAYQBnALsDIgAsACIARABpAGEAZwBNAGEAcAC7AyIALAAiAEQAaQBhAGcASQBuAGQAZQB4ALsDIgAsACIAVgBhAGwAaQBkAGEAdABlAEQAaQBhAGcAuwMiACwAIgBQAGEAaQByAHcAaQBzAGUAuwMiACwAIgBUAHIAaQBwAGwAZQB3AGkAcwBlALsDIgAsACIAUQB1AGEAZAB3AGkAcwBlALsDIgAsACIARwByAG8AdQBwAGIAeQBCAGkAbgC7AyIALAAiAEcAcgBvAHUAcABiAHkARABhAHQAZQC7AyIALAAiAFYAYQBsAGkAZABhAHQAZQBHAEQAuwMiACwAIgBQAGkAdgBvAHQAYgB5AEMAYQB0ALsDIgAsACIARwByAG8AdQBwAEkAbgBkAGUAeAC7AyIALAAiAE8AYwBjAHUAcgByAGUAbgBjAGUAuwMiACwAIgBPAGMAYwB1AHIAcgBlAG4AYwBlAFIAYQBuAGcAZQ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8FA26BC6-5067-4B70-B09C-C0F38F71BFDB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53</vt:i4>
      </vt:variant>
    </vt:vector>
  </HeadingPairs>
  <TitlesOfParts>
    <vt:vector size="74" baseType="lpstr">
      <vt:lpstr>Introduction</vt:lpstr>
      <vt:lpstr>Streak</vt:lpstr>
      <vt:lpstr>Countdown</vt:lpstr>
      <vt:lpstr>Instance</vt:lpstr>
      <vt:lpstr>Wave</vt:lpstr>
      <vt:lpstr>ByDiag</vt:lpstr>
      <vt:lpstr>DiagIndex</vt:lpstr>
      <vt:lpstr>Pairwise</vt:lpstr>
      <vt:lpstr>Triplewise_Quadwise</vt:lpstr>
      <vt:lpstr>GroupbyBin</vt:lpstr>
      <vt:lpstr>GroupbyDate</vt:lpstr>
      <vt:lpstr>PivotbyCat</vt:lpstr>
      <vt:lpstr>GroupIndex</vt:lpstr>
      <vt:lpstr>Occurrence</vt:lpstr>
      <vt:lpstr>OccurrenceRange</vt:lpstr>
      <vt:lpstr>Grain</vt:lpstr>
      <vt:lpstr>MooreAgg</vt:lpstr>
      <vt:lpstr>MooreSelect</vt:lpstr>
      <vt:lpstr>Histogram</vt:lpstr>
      <vt:lpstr>Mode</vt:lpstr>
      <vt:lpstr>ZoneStat</vt:lpstr>
      <vt:lpstr>Activity</vt:lpstr>
      <vt:lpstr>Age</vt:lpstr>
      <vt:lpstr>Age_</vt:lpstr>
      <vt:lpstr>Amount</vt:lpstr>
      <vt:lpstr>Animals</vt:lpstr>
      <vt:lpstr>Board</vt:lpstr>
      <vt:lpstr>Bonus</vt:lpstr>
      <vt:lpstr>Club</vt:lpstr>
      <vt:lpstr>Colors</vt:lpstr>
      <vt:lpstr>Date</vt:lpstr>
      <vt:lpstr>Decision</vt:lpstr>
      <vt:lpstr>Department</vt:lpstr>
      <vt:lpstr>ElevationGrid</vt:lpstr>
      <vt:lpstr>EnteredDate</vt:lpstr>
      <vt:lpstr>Grid</vt:lpstr>
      <vt:lpstr>GridB</vt:lpstr>
      <vt:lpstr>GroupA</vt:lpstr>
      <vt:lpstr>GroupB</vt:lpstr>
      <vt:lpstr>Groups</vt:lpstr>
      <vt:lpstr>Height</vt:lpstr>
      <vt:lpstr>Height_</vt:lpstr>
      <vt:lpstr>Hours</vt:lpstr>
      <vt:lpstr>Item</vt:lpstr>
      <vt:lpstr>Letters</vt:lpstr>
      <vt:lpstr>MatrixDemo</vt:lpstr>
      <vt:lpstr>MixedData</vt:lpstr>
      <vt:lpstr>MVP</vt:lpstr>
      <vt:lpstr>Neighborhood</vt:lpstr>
      <vt:lpstr>Numbers</vt:lpstr>
      <vt:lpstr>Outcome</vt:lpstr>
      <vt:lpstr>OutcomeH</vt:lpstr>
      <vt:lpstr>Player</vt:lpstr>
      <vt:lpstr>Position</vt:lpstr>
      <vt:lpstr>Processed</vt:lpstr>
      <vt:lpstr>Rating</vt:lpstr>
      <vt:lpstr>Reading</vt:lpstr>
      <vt:lpstr>Region</vt:lpstr>
      <vt:lpstr>RegionData</vt:lpstr>
      <vt:lpstr>Result</vt:lpstr>
      <vt:lpstr>ResultH</vt:lpstr>
      <vt:lpstr>Schedule</vt:lpstr>
      <vt:lpstr>Sites</vt:lpstr>
      <vt:lpstr>Sizes</vt:lpstr>
      <vt:lpstr>Snowfall</vt:lpstr>
      <vt:lpstr>Status</vt:lpstr>
      <vt:lpstr>Team</vt:lpstr>
      <vt:lpstr>TeamData</vt:lpstr>
      <vt:lpstr>Time</vt:lpstr>
      <vt:lpstr>Vehicles</vt:lpstr>
      <vt:lpstr>Weather</vt:lpstr>
      <vt:lpstr>WillowTrees</vt:lpstr>
      <vt:lpstr>Worker</vt:lpstr>
      <vt:lpstr>ZoneGrid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Grid Analytics</dc:title>
  <dc:creator>BigSpill Project</dc:creator>
  <dc:description>Demonstration workbook for BigSpill - Grid Analytics</dc:description>
  <dcterms:created xsi:type="dcterms:W3CDTF">2026-07-07T13:58:14Z</dcterms:created>
  <dcterms:modified xsi:type="dcterms:W3CDTF">2026-09-18T12:57:54Z</dcterms:modified>
</cp:coreProperties>
</file>