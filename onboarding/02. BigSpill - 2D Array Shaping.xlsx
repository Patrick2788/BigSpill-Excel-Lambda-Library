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4A991A3D-3FA7-4E3C-88D0-B80A8ABE1135}" xr6:coauthVersionLast="47" xr6:coauthVersionMax="47" xr10:uidLastSave="{00000000-0000-0000-0000-000000000000}"/>
  <bookViews>
    <workbookView xWindow="28680" yWindow="-120" windowWidth="29040" windowHeight="15720" tabRatio="809" xr2:uid="{F2913068-21BA-4B37-A8DC-8B4E02774C41}"/>
  </bookViews>
  <sheets>
    <sheet name="Introduction" sheetId="1" r:id="rId1"/>
    <sheet name="ReShape2D" sheetId="7" r:id="rId2"/>
    <sheet name="Resize" sheetId="2" r:id="rId3"/>
    <sheet name="Traverse" sheetId="4" r:id="rId4"/>
    <sheet name="Scan2D" sheetId="17" r:id="rId5"/>
    <sheet name="Takeblock" sheetId="5" r:id="rId6"/>
    <sheet name="DStack" sheetId="6" r:id="rId7"/>
    <sheet name="WrapCols" sheetId="8" r:id="rId8"/>
    <sheet name="WrapRows" sheetId="19" r:id="rId9"/>
    <sheet name="Staircase" sheetId="9" r:id="rId10"/>
    <sheet name="UnPivot" sheetId="10" r:id="rId11"/>
    <sheet name="Zip" sheetId="11" r:id="rId12"/>
    <sheet name="SliceByDeg" sheetId="12" r:id="rId13"/>
    <sheet name="Pad" sheetId="13" r:id="rId14"/>
    <sheet name="Insulate" sheetId="14" r:id="rId15"/>
    <sheet name="Magnify" sheetId="15" r:id="rId16"/>
    <sheet name="Zoom" sheetId="16" r:id="rId17"/>
  </sheets>
  <definedNames>
    <definedName name="Addresses">WrapRows!$N$10:$O$21</definedName>
    <definedName name="Agent">UnPivot!$B$12:$B$16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vailable">Zip!$L$6:$L$13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lue">DStack!$AL$12:$AP$16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ity">UnPivot!$H$12:$H$15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M">Pad!$B$17:$K$26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ivision">Zip!$D$19:$F$19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een">DStack!$AF$12:$AJ$16</definedName>
    <definedName name="GridJr">Zoom!$C$9:$D$10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D">Zip!$I$6:$I$22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tems">Zip!$J$6:$J$15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June">ReShape2D!$S$7:$AC$9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ernelA">Zoom!$S$9:$U$10</definedName>
    <definedName name="KernelB">Zoom!$X$9:$X$10</definedName>
    <definedName name="KernelC">Zoom!$AC$9:$AD$10</definedName>
    <definedName name="KernelD">Zoom!$AH$9:$AJ$9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ayer1">DStack!$C$12:$G$16</definedName>
    <definedName name="Layer2">DStack!$I$12:$M$16</definedName>
    <definedName name="Layer3">DStack!$O$12:$S$16</definedName>
    <definedName name="Layer4">DStack!$V$12:$W$13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esh">Zoom!$G$9:$I$14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niGrid">Magnify!$B$10:$C$11</definedName>
    <definedName name="MiniVector">Zoom!$L$9:$P$9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nths">Resize!$B$15:$B$26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rdered">Zip!$K$6:$K$20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ople">Zip!$B$17:$B$20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aces">Zip!$D$16:$F$16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rodSales">UnPivot!$T$13:$AA$15</definedName>
    <definedName name="Products">UnPivot!$S$13:$S$15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ainfall">UnPivot!$I$12:$N$15</definedName>
    <definedName name="RainfallMonths">UnPivot!$I$11:$N$11</definedName>
    <definedName name="Red">DStack!$Z$12:$AD$16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gions">UnPivot!$T$11:$AA$12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Roles">WrapCols!$P$9:$AA$11</definedName>
    <definedName name="Sales">UnPivot!$C$12:$E$16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ensorLog">ReShape2D!$S$21:$AG$25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hreeMonth">Staircase!$G$11:$G$22</definedName>
    <definedName name="TimeLog">Takeblock!$B$9:$G$34</definedName>
    <definedName name="TinyGrid">Resize!$C$30:$D$31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Years">UnPivot!$C$11:$E$11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27" i="9" l="1" a="1"/>
  <c r="J27" i="9" s="1"/>
  <c r="P12" i="9" a="1"/>
  <c r="P12" i="9" s="1"/>
  <c r="B12" i="9" a="1"/>
  <c r="B12" i="9" s="1"/>
  <c r="M25" i="19" a="1"/>
  <c r="M25" i="19" s="1"/>
  <c r="P15" i="8" a="1"/>
  <c r="P15" i="8" s="1"/>
  <c r="Z32" i="16" a="1"/>
  <c r="Z32" i="16" s="1"/>
  <c r="Z27" i="16" a="1"/>
  <c r="Z27" i="16" s="1"/>
  <c r="Z18" i="16" a="1"/>
  <c r="Z18" i="16" s="1"/>
  <c r="Q18" i="16" a="1"/>
  <c r="Q18" i="16" s="1"/>
  <c r="E26" i="16" a="1"/>
  <c r="E26" i="16" s="1"/>
  <c r="E18" i="16" a="1"/>
  <c r="E18" i="16" s="1"/>
  <c r="W17" i="15" a="1"/>
  <c r="W17" i="15" s="1"/>
  <c r="W10" i="15" a="1"/>
  <c r="W10" i="15" s="1"/>
  <c r="O10" i="15" a="1"/>
  <c r="O10" i="15" s="1"/>
  <c r="E17" i="15" a="1"/>
  <c r="E17" i="15" s="1"/>
  <c r="E10" i="15" a="1"/>
  <c r="E10" i="15" s="1"/>
  <c r="B12" i="14" a="1"/>
  <c r="B12" i="14" s="1"/>
  <c r="L12" i="14" a="1"/>
  <c r="L12" i="14" s="1"/>
  <c r="N19" i="13" a="1"/>
  <c r="N19" i="13" s="1"/>
  <c r="N4" i="13" a="1"/>
  <c r="N4" i="13" s="1"/>
  <c r="O17" i="15" l="1" a="1"/>
  <c r="O17" i="15" s="1"/>
  <c r="L24" i="14" a="1"/>
  <c r="L24" i="14" s="1"/>
  <c r="E12" i="14" a="1"/>
  <c r="E12" i="14" s="1"/>
  <c r="H12" i="14" a="1"/>
  <c r="H12" i="14" s="1"/>
  <c r="L18" i="14" a="1"/>
  <c r="L18" i="14" s="1"/>
  <c r="B13" i="12" a="1"/>
  <c r="B13" i="12" s="1"/>
  <c r="N17" i="11" a="1"/>
  <c r="N17" i="11" s="1"/>
  <c r="N5" i="11" a="1"/>
  <c r="N5" i="11" s="1"/>
  <c r="B31" i="11" a="1"/>
  <c r="B31" i="11" s="1"/>
  <c r="B25" i="11" a="1"/>
  <c r="B25" i="11" s="1"/>
  <c r="AI13" i="12" l="1" a="1"/>
  <c r="AI13" i="12" s="1"/>
  <c r="O13" i="12" a="1"/>
  <c r="O13" i="12" s="1"/>
  <c r="V13" i="12" a="1"/>
  <c r="V13" i="12" s="1"/>
  <c r="O24" i="12" a="1"/>
  <c r="O24" i="12" s="1"/>
  <c r="V24" i="12" a="1"/>
  <c r="V24" i="12" s="1"/>
  <c r="S20" i="10" a="1"/>
  <c r="S20" i="10" s="1"/>
  <c r="J15" i="10"/>
  <c r="K15" i="10"/>
  <c r="L15" i="10"/>
  <c r="M15" i="10"/>
  <c r="H20" i="10" a="1"/>
  <c r="H20" i="10" s="1"/>
  <c r="B20" i="10" a="1"/>
  <c r="B20" i="10" s="1"/>
  <c r="AB4" i="9" l="1" a="1"/>
  <c r="AB4" i="9" s="1"/>
  <c r="W4" i="9" a="1"/>
  <c r="W4" i="9" s="1"/>
  <c r="J12" i="9" a="1"/>
  <c r="J12" i="9" s="1"/>
  <c r="B11" i="19" a="1"/>
  <c r="D12" i="9" l="1" a="1"/>
  <c r="D12" i="9" s="1"/>
  <c r="B25" i="19" a="1"/>
  <c r="B25" i="19" s="1"/>
  <c r="B11" i="19"/>
  <c r="B10" i="8" a="1"/>
  <c r="B10" i="8" l="1"/>
  <c r="B25" i="8" a="1"/>
  <c r="B25" i="8" s="1"/>
  <c r="B16" i="8" a="1"/>
  <c r="B16" i="8" s="1"/>
  <c r="Z20" i="6" a="1"/>
  <c r="Z20" i="6" s="1"/>
  <c r="D28" i="6" a="1"/>
  <c r="D28" i="6" s="1"/>
  <c r="D20" i="6" a="1"/>
  <c r="D20" i="6" s="1"/>
  <c r="P39" i="5" a="1"/>
  <c r="P39" i="5" s="1"/>
  <c r="P35" i="5" a="1"/>
  <c r="P35" i="5" s="1"/>
  <c r="P28" i="5" a="1"/>
  <c r="P28" i="5" s="1"/>
  <c r="P16" i="5" a="1"/>
  <c r="P16" i="5" s="1"/>
  <c r="P10" i="5" a="1"/>
  <c r="P10" i="5" s="1"/>
  <c r="I25" i="5" a="1"/>
  <c r="I25" i="5" s="1"/>
  <c r="I10" i="5" a="1"/>
  <c r="I10" i="5" s="1"/>
  <c r="AF22" i="17" a="1"/>
  <c r="AF22" i="17" s="1"/>
  <c r="W22" i="17" a="1"/>
  <c r="W22" i="17" s="1"/>
  <c r="C12" i="17" a="1"/>
  <c r="C12" i="17" s="1"/>
  <c r="C22" i="17" a="1"/>
  <c r="C22" i="17" s="1"/>
  <c r="B13" i="4" a="1"/>
  <c r="B13" i="4" s="1"/>
  <c r="P24" i="2" a="1"/>
  <c r="P24" i="2" s="1"/>
  <c r="W24" i="2" a="1"/>
  <c r="W24" i="2" s="1"/>
  <c r="W9" i="2" a="1"/>
  <c r="W9" i="2" s="1"/>
  <c r="P9" i="2" a="1"/>
  <c r="P9" i="2" s="1"/>
  <c r="B9" i="2" a="1"/>
  <c r="B9" i="2" s="1"/>
  <c r="S29" i="7" a="1"/>
  <c r="S29" i="7" s="1"/>
  <c r="S13" i="7" a="1"/>
  <c r="S13" i="7" s="1"/>
  <c r="B8" i="7" a="1"/>
  <c r="B8" i="7" s="1"/>
  <c r="F31" i="2" l="1" a="1"/>
  <c r="F31" i="2" s="1"/>
  <c r="AF11" i="17" a="1"/>
  <c r="AF11" i="17" s="1"/>
  <c r="W11" i="17" a="1"/>
  <c r="W11" i="17" s="1"/>
  <c r="N22" i="17" a="1"/>
  <c r="N22" i="17" s="1"/>
  <c r="N11" i="17" a="1"/>
  <c r="N11" i="17" s="1"/>
  <c r="M13" i="4" a="1"/>
  <c r="M13" i="4" s="1"/>
  <c r="Y13" i="4" a="1"/>
  <c r="Y13" i="4" s="1"/>
  <c r="M26" i="4" a="1"/>
  <c r="M26" i="4" s="1"/>
  <c r="Y26" i="4" a="1"/>
  <c r="Y26" i="4" s="1"/>
  <c r="F21" i="2" a="1"/>
  <c r="F21" i="2" s="1"/>
  <c r="F9" i="2" a="1"/>
  <c r="F9" i="2" s="1"/>
  <c r="H8" i="7" a="1"/>
  <c r="H8" i="7" s="1"/>
  <c r="N8" i="7" a="1"/>
  <c r="N8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<sst xmlns="http://schemas.openxmlformats.org/spreadsheetml/2006/main" count="652" uniqueCount="476">
  <si>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</si>
  <si>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</si>
  <si>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</si>
  <si>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</si>
  <si>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</si>
  <si>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2D Array Shaping</t>
  </si>
  <si>
    <t>ReShape2Dλ</t>
  </si>
  <si>
    <t>Scan2Dλ</t>
  </si>
  <si>
    <t>Traverseλ</t>
  </si>
  <si>
    <t>TakeBlockλ</t>
  </si>
  <si>
    <t>DStackλ</t>
  </si>
  <si>
    <t>WrapRows2Dλ</t>
  </si>
  <si>
    <t>WrapCols2Dλ</t>
  </si>
  <si>
    <t>Staircaseλ</t>
  </si>
  <si>
    <t>UnPivotλ</t>
  </si>
  <si>
    <t>Zipλ</t>
  </si>
  <si>
    <t>SliceByDegλ</t>
  </si>
  <si>
    <t>Padλ</t>
  </si>
  <si>
    <t>InsulateRowsλ</t>
  </si>
  <si>
    <t>InsulateColsλ</t>
  </si>
  <si>
    <t>Magnifyλ</t>
  </si>
  <si>
    <t>Zoomλ</t>
  </si>
  <si>
    <t>Core Shaping Primitives</t>
  </si>
  <si>
    <t>Reflow</t>
  </si>
  <si>
    <t>Padding</t>
  </si>
  <si>
    <t>Interpolation</t>
  </si>
  <si>
    <t>Reshapes a 2D array into a new column width using row‑major order.</t>
  </si>
  <si>
    <t>Repeats a 2D array vertically and/or horizontally by integer repeat counts.</t>
  </si>
  <si>
    <t>Stacks multiple 2D arrays along a "depth" dimension by transposing each input and horizontally concatenating the layers.</t>
  </si>
  <si>
    <t>Constructs diagonal staircase patterns from a vector or 2D array.</t>
  </si>
  <si>
    <t>Converts a matrix into a flattened row‑wise table by providing row labels, column labels, and a value matrix.</t>
  </si>
  <si>
    <t>Zips together 1–4 arrays by flattening each input with TOCOL and aligning them by length.</t>
  </si>
  <si>
    <t>Extracts an angular slice from a 2D array using degree bounds in a 0° - 360° circular system.</t>
  </si>
  <si>
    <t>Applies row and/or column padding to any array.</t>
  </si>
  <si>
    <t>Adds rows of padding before and/or after an input array.</t>
  </si>
  <si>
    <t>Adds columns of padding before and/or after an input array.</t>
  </si>
  <si>
    <t>A traversal‑aware 2D scanning operator that extends Excel’s native SCAN function.</t>
  </si>
  <si>
    <t>Remaps a 2D array into a new traversal order by rotating the traversal axis to one of three diagonal directions.</t>
  </si>
  <si>
    <t>Extracts a rectangular block from a 2D array by specifying an anchor value (start_at) and an optional stopping value (stop_when).</t>
  </si>
  <si>
    <t>Wraps a 2D array into row blocks of a specified height while preserving column width.</t>
  </si>
  <si>
    <t>Wraps a 2D array into column blocks of a specified width while preserving row height.</t>
  </si>
  <si>
    <t>Expands each element of an input array into a block of specified height and width using nearest‑neighbor interpolation.</t>
  </si>
  <si>
    <t>Expands each element of an input array into a block whose size matches the height × width of zoom_kernel.</t>
  </si>
  <si>
    <t>Shaping functions reshape, resize, wrap, pad, traverse, or reflow grids while preserving the structure of the underlying data.</t>
  </si>
  <si>
    <t>=ReShape2Dλ(B5#,2)</t>
  </si>
  <si>
    <t>B5#</t>
  </si>
  <si>
    <t>=ReShape2Dλ(B5#,3,"-")</t>
  </si>
  <si>
    <t>• input: 2D array</t>
  </si>
  <si>
    <t>• new_width: columns in reshaped array</t>
  </si>
  <si>
    <t>June</t>
  </si>
  <si>
    <t>=ReShape2Dλ(June,7,"")</t>
  </si>
  <si>
    <t>Input Grid</t>
  </si>
  <si>
    <t>Reshape new width: 2</t>
  </si>
  <si>
    <t>Reshape new width: 3, pad with "-"</t>
  </si>
  <si>
    <t>P3</t>
  </si>
  <si>
    <t>Power</t>
  </si>
  <si>
    <t>Kettle</t>
  </si>
  <si>
    <t>C1</t>
  </si>
  <si>
    <t>Circuit</t>
  </si>
  <si>
    <t>Stove</t>
  </si>
  <si>
    <t>P1</t>
  </si>
  <si>
    <t>TV</t>
  </si>
  <si>
    <t>R3</t>
  </si>
  <si>
    <t>Reed</t>
  </si>
  <si>
    <t>Closet</t>
  </si>
  <si>
    <t>Open</t>
  </si>
  <si>
    <t>H1</t>
  </si>
  <si>
    <t>Humidity</t>
  </si>
  <si>
    <t>Bathroom</t>
  </si>
  <si>
    <t>M4</t>
  </si>
  <si>
    <t>Motion</t>
  </si>
  <si>
    <t>Kitchen</t>
  </si>
  <si>
    <t>M2</t>
  </si>
  <si>
    <t>Livingroom</t>
  </si>
  <si>
    <t>Timestamp</t>
  </si>
  <si>
    <t>Sensor</t>
  </si>
  <si>
    <t>Sensor Type</t>
  </si>
  <si>
    <t>Location</t>
  </si>
  <si>
    <t>Readings</t>
  </si>
  <si>
    <t>SensorLog</t>
  </si>
  <si>
    <t>=ReShape2Dλ(SensorLog,5)</t>
  </si>
  <si>
    <t>T2</t>
  </si>
  <si>
    <t>Temp</t>
  </si>
  <si>
    <t>Garage</t>
  </si>
  <si>
    <t>• input: array</t>
  </si>
  <si>
    <t>• height: vertical repeat count (If not supplied, no repeat)</t>
  </si>
  <si>
    <t>• width: horizontal repeat count (If not supplied, no repeat)</t>
  </si>
  <si>
    <t>B9#</t>
  </si>
  <si>
    <t>=Resizeλ(B9#,2)</t>
  </si>
  <si>
    <t>=Resizeλ(B9#,,2)</t>
  </si>
  <si>
    <t>=Resizeλ(B9#,3,2)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</si>
  <si>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</si>
  <si>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</si>
  <si>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</si>
  <si>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</si>
  <si>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</si>
  <si>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</si>
  <si>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</si>
  <si>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</si>
  <si>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</si>
  <si>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</si>
  <si>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</si>
  <si>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</si>
  <si>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Months</t>
  </si>
  <si>
    <t>=Resizeλ(Months,,3)</t>
  </si>
  <si>
    <t>=Resizeλ("Q1",10,3)</t>
  </si>
  <si>
    <t>TinyGrid</t>
  </si>
  <si>
    <t>A</t>
  </si>
  <si>
    <t>B</t>
  </si>
  <si>
    <t>C</t>
  </si>
  <si>
    <t>D</t>
  </si>
  <si>
    <t>=Resizeλ(TinyGrid,4,5)</t>
  </si>
  <si>
    <t>=Resizeλ(Months,2)</t>
  </si>
  <si>
    <t>Resizeλ - repeats the entire input array as a block by specified height and width</t>
  </si>
  <si>
    <t>• input: array (Must be 2D)</t>
  </si>
  <si>
    <t>Remap grid to Northeast</t>
  </si>
  <si>
    <t>Remap grid to Southeast</t>
  </si>
  <si>
    <t>Remap grid to Southwest</t>
  </si>
  <si>
    <t>NE</t>
  </si>
  <si>
    <t>SE</t>
  </si>
  <si>
    <t>SW</t>
  </si>
  <si>
    <t>Traverseλ does not rotate the grid - it rotates the traversal axis and remaps the array into that new order.</t>
  </si>
  <si>
    <t>• new_axis: 1, 2, or 3</t>
  </si>
  <si>
    <t>or "NE" Northeast</t>
  </si>
  <si>
    <t>or "SE" Southeast</t>
  </si>
  <si>
    <t>or "SW" Southwest</t>
  </si>
  <si>
    <t>• function: LAMBDA called to scan the array (Same meaning as native SCAN)</t>
  </si>
  <si>
    <t>• array: all input types accepted (1D and 2D arrays, scalars)</t>
  </si>
  <si>
    <t>• initial_value: starting value for the accumulator (Same meaning as native SCAN)</t>
  </si>
  <si>
    <t>• direction: traversal code. Defaults to 0 (standard row-major order)</t>
  </si>
  <si>
    <t>direction codes:</t>
  </si>
  <si>
    <t>Standard row‑major (left → right, top → bottom)</t>
  </si>
  <si>
    <t>Column‑major from NW corner (top → bottom, left → right)</t>
  </si>
  <si>
    <t>NE traversal (column‑major)</t>
  </si>
  <si>
    <t>SE traversal (column‑major, bottom → top)</t>
  </si>
  <si>
    <t>SW traversal (row‑major, right → left)</t>
  </si>
  <si>
    <t>Scan grid in Column-major order from NW corner</t>
  </si>
  <si>
    <t>NW</t>
  </si>
  <si>
    <t>Scan grid in Column-major order from NE corner</t>
  </si>
  <si>
    <t>C12#</t>
  </si>
  <si>
    <t>=Scan2Dλ(0,C12#,SUM,-1)</t>
  </si>
  <si>
    <t>=Scan2Dλ(0,C12#,SUM,1)</t>
  </si>
  <si>
    <t>=Scan2Dλ(0,C12#,SUM,2)</t>
  </si>
  <si>
    <t>=Scan2Dλ(0,C12#,SUM,3)</t>
  </si>
  <si>
    <t>Scan grid in Column-major order from SE corner</t>
  </si>
  <si>
    <t>Scan grid in Row-major order from SW corner</t>
  </si>
  <si>
    <t>Input vector</t>
  </si>
  <si>
    <t>Scan vector in reverse order</t>
  </si>
  <si>
    <t>C22#</t>
  </si>
  <si>
    <t>=Scan2Dλ(10,C22#,SUM,-1)</t>
  </si>
  <si>
    <t>=Scan2Dλ(0,C12#,SUM)</t>
  </si>
  <si>
    <t>Standard scan - Same as =SCAN(0,C12#,SUM)</t>
  </si>
  <si>
    <t>CD Player</t>
  </si>
  <si>
    <t>TimeLog</t>
  </si>
  <si>
    <t>#</t>
  </si>
  <si>
    <t>=TakeBlockλ(TimeLog,7,19)</t>
  </si>
  <si>
    <t>=TakeBlockλ(TimeLog,"Humidity")</t>
  </si>
  <si>
    <t>=TakeBlockλ(TimeLog,"Humidity","Motion")</t>
  </si>
  <si>
    <t>Block begins with "Humidity" and continues to end - stop_when not specified.</t>
  </si>
  <si>
    <t>Block begins with 7 and ends before 19</t>
  </si>
  <si>
    <t>Block begins with "Humidity" and stops before "Motion"</t>
  </si>
  <si>
    <t>=TakeBlockλ(TimeLog,"R3","M2")</t>
  </si>
  <si>
    <t>Block begins with "R3" and stops before "M2"</t>
  </si>
  <si>
    <t>=TakeBlockλ(TimeLog,"CD Player")</t>
  </si>
  <si>
    <t>Block begins with "CD Player" and continues to the end.</t>
  </si>
  <si>
    <t>=TakeBlockλ(TimeLog,"Balcony")</t>
  </si>
  <si>
    <t>=TakeBlockλ(TimeLog,"CD Player","Kettle")</t>
  </si>
  <si>
    <t>No block exists</t>
  </si>
  <si>
    <t>start_at cannot be found - no block to extract</t>
  </si>
  <si>
    <t>TakeBlockλ - Extracts a  block from a 2D array by start_at and stop_when</t>
  </si>
  <si>
    <t>• input: array (must be 2D)</t>
  </si>
  <si>
    <t>• start_at: Anchor value marking the first row of the block</t>
  </si>
  <si>
    <t>• stop_when: Optional stopping value (If omitted, block continues to end)</t>
  </si>
  <si>
    <t>TakeBlockλ returns all columns to the right of the anchor match.</t>
  </si>
  <si>
    <t>If the anchor is found in column 4, the block begins at column 4.</t>
  </si>
  <si>
    <t>Optional</t>
  </si>
  <si>
    <t>• inputs:    array_ 1 - required base array</t>
  </si>
  <si>
    <t>Layer1</t>
  </si>
  <si>
    <t>Layer2</t>
  </si>
  <si>
    <t>Layer3</t>
  </si>
  <si>
    <t>=DStackλ(Layer1,Layer2,Layer3)</t>
  </si>
  <si>
    <t>=DStackλ(Layer1,Layer2,Layer3,Layer4,"X")</t>
  </si>
  <si>
    <t>Layer4</t>
  </si>
  <si>
    <t>Depth stack 3 layers</t>
  </si>
  <si>
    <t>Depth stack 4 layers. 4th layer has fewer elements. Pad with "X"</t>
  </si>
  <si>
    <t>Red</t>
  </si>
  <si>
    <t>Green</t>
  </si>
  <si>
    <t>Blue</t>
  </si>
  <si>
    <t>=DStackλ(Red,Green,Blue)</t>
  </si>
  <si>
    <t>Depth stack 3 RGB channels</t>
  </si>
  <si>
    <t>Data Analyst</t>
  </si>
  <si>
    <t>• new_width: Columns in each wrapped block</t>
  </si>
  <si>
    <t>• new_height: Rows in each wrapped block</t>
  </si>
  <si>
    <t>• pad_with: Fill value used to pad incomplete blocks. Defaults to NA().</t>
  </si>
  <si>
    <t>Optional:</t>
  </si>
  <si>
    <t>B16#</t>
  </si>
  <si>
    <t>=WrapRows2Dλ(B16#,2)</t>
  </si>
  <si>
    <t>Editor</t>
  </si>
  <si>
    <t>Photographer</t>
  </si>
  <si>
    <t>Russ Lenz</t>
  </si>
  <si>
    <t>Deb Beverly</t>
  </si>
  <si>
    <t>Vincent Bagadone</t>
  </si>
  <si>
    <t>Chef</t>
  </si>
  <si>
    <t>Actress</t>
  </si>
  <si>
    <t>Rita Rutledge</t>
  </si>
  <si>
    <t>Saul Varnson</t>
  </si>
  <si>
    <t>Importer</t>
  </si>
  <si>
    <t>Rick Shaw</t>
  </si>
  <si>
    <t>Chauffer</t>
  </si>
  <si>
    <t>Ned Beaumont</t>
  </si>
  <si>
    <t>Nicholas Raymundo</t>
  </si>
  <si>
    <t>Security</t>
  </si>
  <si>
    <t>Lucy Quinn</t>
  </si>
  <si>
    <t>Senior VP</t>
  </si>
  <si>
    <t>1515 Riverside Drive</t>
  </si>
  <si>
    <t>Newton Falls, OH 44444</t>
  </si>
  <si>
    <t>Stella Smith</t>
  </si>
  <si>
    <t>325 Lancashire Rd</t>
  </si>
  <si>
    <t>Podunk, IA 48394</t>
  </si>
  <si>
    <t>9449 Vine Street</t>
  </si>
  <si>
    <t>1234 Elm Street</t>
  </si>
  <si>
    <t>Springfield, IL 62704</t>
  </si>
  <si>
    <t>5678 Maple Avenue</t>
  </si>
  <si>
    <t>Fairview, TX 75069</t>
  </si>
  <si>
    <t>9101 Oak Lane</t>
  </si>
  <si>
    <t>Riverside, CA 92501</t>
  </si>
  <si>
    <t>Roles</t>
  </si>
  <si>
    <t>Addresses</t>
  </si>
  <si>
    <t>• input: array - 2D array or vector</t>
  </si>
  <si>
    <t>• block_size - rows/columns in each staircase block</t>
  </si>
  <si>
    <t>• block_offset - spacing between staircase blocks</t>
  </si>
  <si>
    <t>• IsHorizontal? - toggle for column-wise orientation</t>
  </si>
  <si>
    <t>• IsAntiDiag? - toggle for anti-diagonal layout</t>
  </si>
  <si>
    <t>B12#</t>
  </si>
  <si>
    <t>Input Array</t>
  </si>
  <si>
    <t>=Staircaseλ(B12#,2)</t>
  </si>
  <si>
    <t>ThreeMonth</t>
  </si>
  <si>
    <t>=Staircaseλ(ThreeMonth,3)</t>
  </si>
  <si>
    <t>W4#</t>
  </si>
  <si>
    <t>=Staircaseλ(W4#,14,1)</t>
  </si>
  <si>
    <t>Tracey Joseph</t>
  </si>
  <si>
    <t>Agent</t>
  </si>
  <si>
    <t>inputs</t>
  </si>
  <si>
    <t>• rows - vertical array of row labels</t>
  </si>
  <si>
    <t>• columns - horizontal array of column labels</t>
  </si>
  <si>
    <t>• values - matrix of values to unpivot</t>
  </si>
  <si>
    <t>• ignore - if TRUE, remove blanks, errors, and zeros</t>
  </si>
  <si>
    <t>Peter Joshua</t>
  </si>
  <si>
    <t>Conrad Burns</t>
  </si>
  <si>
    <t>Sylvia Green</t>
  </si>
  <si>
    <t>Deb Harlinson</t>
  </si>
  <si>
    <t>Years</t>
  </si>
  <si>
    <t>Sales</t>
  </si>
  <si>
    <t>=UnPivotλ(Agent,Years,Sales)</t>
  </si>
  <si>
    <t>City</t>
  </si>
  <si>
    <t>Onett</t>
  </si>
  <si>
    <t>Twoson</t>
  </si>
  <si>
    <t>Threed</t>
  </si>
  <si>
    <t>Fourside</t>
  </si>
  <si>
    <t>July</t>
  </si>
  <si>
    <t>Sept</t>
  </si>
  <si>
    <t>RainfallMonths</t>
  </si>
  <si>
    <t>Rainfall</t>
  </si>
  <si>
    <t>=UnPivotλ(City,RainfallMonths,Rainfall,TRUE)</t>
  </si>
  <si>
    <t>UnPivot  Agent, Sales, and Years</t>
  </si>
  <si>
    <t>Q3</t>
  </si>
  <si>
    <t>Q4</t>
  </si>
  <si>
    <t>Widget</t>
  </si>
  <si>
    <t>Rubik's cube</t>
  </si>
  <si>
    <t>Pet rock</t>
  </si>
  <si>
    <t>Products</t>
  </si>
  <si>
    <t>Regions</t>
  </si>
  <si>
    <t>ProdSales</t>
  </si>
  <si>
    <t>=UnPivotλ(Products,Regions,ProdSales,TRUE)</t>
  </si>
  <si>
    <t>Multiple rows for columns</t>
  </si>
  <si>
    <t>Q1</t>
  </si>
  <si>
    <t>Q2</t>
  </si>
  <si>
    <t>E</t>
  </si>
  <si>
    <t>W</t>
  </si>
  <si>
    <t>N</t>
  </si>
  <si>
    <t>S</t>
  </si>
  <si>
    <t>ID</t>
  </si>
  <si>
    <t>Items</t>
  </si>
  <si>
    <t>Places</t>
  </si>
  <si>
    <t>People</t>
  </si>
  <si>
    <t>San Antonio</t>
  </si>
  <si>
    <t>Cheyenne</t>
  </si>
  <si>
    <t>Nashville</t>
  </si>
  <si>
    <t>Zipλ - Zips together 1 - 4 arrays</t>
  </si>
  <si>
    <t>• array_2</t>
  </si>
  <si>
    <t>• array_3</t>
  </si>
  <si>
    <t>• array_4</t>
  </si>
  <si>
    <t>• array_1 - first input array (1D or 2D, scalars also accepted)</t>
  </si>
  <si>
    <t>Tony</t>
  </si>
  <si>
    <t>Rita</t>
  </si>
  <si>
    <t>Carlos</t>
  </si>
  <si>
    <t>Walt</t>
  </si>
  <si>
    <t>Division</t>
  </si>
  <si>
    <t>Atlantic</t>
  </si>
  <si>
    <t>Pacific</t>
  </si>
  <si>
    <t>Midwest</t>
  </si>
  <si>
    <t>=Zipλ(People,Places,Division)</t>
  </si>
  <si>
    <t>=Zipλ(People,Places,Division,,TRUE,"Unknown")</t>
  </si>
  <si>
    <t>Ordered</t>
  </si>
  <si>
    <t>Available</t>
  </si>
  <si>
    <t>Ham sandwich</t>
  </si>
  <si>
    <t>Black coffee</t>
  </si>
  <si>
    <t>Croissant</t>
  </si>
  <si>
    <t>Orange Juice</t>
  </si>
  <si>
    <t>Bacon and Eggs</t>
  </si>
  <si>
    <t>Pancakes</t>
  </si>
  <si>
    <t>Waffles</t>
  </si>
  <si>
    <t>Eggs Benedict</t>
  </si>
  <si>
    <t>Bacon</t>
  </si>
  <si>
    <t>English muffin</t>
  </si>
  <si>
    <t>=Zipλ(ID,Items,Ordered,Available)</t>
  </si>
  <si>
    <t>Zip ID, Items, Ordered, and Available. Zip_longest: TRUE, fill_value: "-"</t>
  </si>
  <si>
    <t>• zip_longest - TRUE to zip until longest array is consumed.</t>
  </si>
  <si>
    <t>If omitted, function zips until shortest is consumed.</t>
  </si>
  <si>
    <t>• fill_value - Value used to pad shorter arrays when zip_longest = TRUE</t>
  </si>
  <si>
    <t>Array inputs</t>
  </si>
  <si>
    <t>Zip People, Places, and Division (Shortest wins)</t>
  </si>
  <si>
    <t>Zip ID, Items, Ordered, and Available (Shortest wins)</t>
  </si>
  <si>
    <t>• input: grid - 2D array to slice</t>
  </si>
  <si>
    <t>• fill_value - Fill value for out-of-slice cells (default = "")</t>
  </si>
  <si>
    <t>Input Grid (Generated with DGridλ for illustrative purposes)</t>
  </si>
  <si>
    <t>• min_degree - Starting degree (0° - 360°)</t>
  </si>
  <si>
    <t>• max_degree - Ending degree (Default = 360°)</t>
  </si>
  <si>
    <t>Number formatting (no decimal places) applied for readability.</t>
  </si>
  <si>
    <t>(Uses degree bounds in a 0° - 360° circular system)</t>
  </si>
  <si>
    <t>SliceByDegλ - Extracts an angular slice from a 2D array</t>
  </si>
  <si>
    <t>Slice: 0° to 45°</t>
  </si>
  <si>
    <t>Slice: 90° to 180°</t>
  </si>
  <si>
    <t>Slice: 250° to End (Not specified, defaults to 360°)</t>
  </si>
  <si>
    <t>Wrap-around slice: 270° to 90°</t>
  </si>
  <si>
    <t>Slice: 225° to 315°, fill_value: "-"</t>
  </si>
  <si>
    <t>Digital Elevation Model - DEM</t>
  </si>
  <si>
    <t>=Padλ(DEM,1)</t>
  </si>
  <si>
    <t>Padλ - Apply row and/or column padding to any array</t>
  </si>
  <si>
    <t>• input: array - input array (1D or 2D, scalars accepted)</t>
  </si>
  <si>
    <t>• rows_before - rows to pad above the array.</t>
  </si>
  <si>
    <t>• pad_with - scalar padding value (default = "")</t>
  </si>
  <si>
    <t>• rows_after - rows to pad below (defaults to rows_before)</t>
  </si>
  <si>
    <t>• cols_before - columns to pad left (defaults to rows_before)</t>
  </si>
  <si>
    <t>• cols_after - columns to pad right (defaults to rows_before)</t>
  </si>
  <si>
    <t>Pad DEM 1 all around (Only rows_before is supplied, other inputs default to rows_before when omitted)</t>
  </si>
  <si>
    <t>=Padλ(DEM,1,1,2,2,0)</t>
  </si>
  <si>
    <t>Designed for padding arrays for both rows and columns.</t>
  </si>
  <si>
    <t>For only row or column padding, please see InsulateRowsλ or InsulateColsλ.</t>
  </si>
  <si>
    <t>InsulateRowsλ - Adds rows of padding before and/or after an input array</t>
  </si>
  <si>
    <t>InsulateColsλ - Adds columns of padding before and/or after an input array</t>
  </si>
  <si>
    <t>• input: array - array (1D or 2D, scalars accepted)</t>
  </si>
  <si>
    <t>• rows_before - rows to pad above array</t>
  </si>
  <si>
    <t>• cols_before - columns to pad to the left</t>
  </si>
  <si>
    <t>• cols_after - cols to pad to the right (defaults to cols_before)</t>
  </si>
  <si>
    <t>=InsulateRowsλ(B12#,2)</t>
  </si>
  <si>
    <t>=InsulateRowsλ(B12#,1,2,0)</t>
  </si>
  <si>
    <t>Insulate cols_before: 2, cols_after: omitted (defaults to col_before's 2)</t>
  </si>
  <si>
    <t>Insulate cols_before:  1, cols_after: 3, pad_with: 0</t>
  </si>
  <si>
    <t>InsulateRowsλ and InsulateColsλ are the row‑only and column‑only primitives used by Padλ.</t>
  </si>
  <si>
    <t>Magnifyλ - Expands each element of an input array into a block of specified height and width using nearest‑neighbor interpolation</t>
  </si>
  <si>
    <t>• input: array - values to be magnified</t>
  </si>
  <si>
    <t>• height: rows for each magnified element</t>
  </si>
  <si>
    <t>• width: columns for each magnified element</t>
  </si>
  <si>
    <t>MiniGrid</t>
  </si>
  <si>
    <t>=Magnifyλ(MiniGrid,2,4)</t>
  </si>
  <si>
    <t>=Magnifyλ(MiniGrid,4,2)</t>
  </si>
  <si>
    <t>O10#</t>
  </si>
  <si>
    <t>=Magnifyλ(O10#,3,2)</t>
  </si>
  <si>
    <t>Input Array (Row indices)</t>
  </si>
  <si>
    <t>=Magnifyλ(W10#,5,5)</t>
  </si>
  <si>
    <t>W10#</t>
  </si>
  <si>
    <t>Zoomλ - Expands each element of an input array into a block whose size matches the height × width of zoom_kernel.</t>
  </si>
  <si>
    <t>GridJr</t>
  </si>
  <si>
    <t>• input: array (1D or 2D, scalars accepted)</t>
  </si>
  <si>
    <t>• zoom_kernel - numeric kernel defining expansion height and width</t>
  </si>
  <si>
    <t>Intended strictly for numeric arrays and numeric kernels.</t>
  </si>
  <si>
    <t>Each expanded block is formed by adding the element value to the zoom_kernel.</t>
  </si>
  <si>
    <t>KernelB</t>
  </si>
  <si>
    <t>=Zoomλ(GridJr,KernelB)</t>
  </si>
  <si>
    <t>Expand GridJ by adding KernelB to each element</t>
  </si>
  <si>
    <t>KernelC</t>
  </si>
  <si>
    <t>=Zoomλ(GridJr,KernelA)</t>
  </si>
  <si>
    <t>Expand GridJr by adding KernelA to each element</t>
  </si>
  <si>
    <t>Mesh</t>
  </si>
  <si>
    <t>=Zoomλ(Mesh,KernelC)</t>
  </si>
  <si>
    <t>Expand Mesh by adding KernelC to each element</t>
  </si>
  <si>
    <t>KernelD</t>
  </si>
  <si>
    <t>=Zoomλ(Mesh,KernelD)</t>
  </si>
  <si>
    <t>Expand Mesh by adding KernelD to each element</t>
  </si>
  <si>
    <t>KernelA</t>
  </si>
  <si>
    <t>MiniVector</t>
  </si>
  <si>
    <t>=Zoomλ(MiniVector,KernelB)</t>
  </si>
  <si>
    <t>=Zoomλ(MiniVector,KernelD)</t>
  </si>
  <si>
    <t>Expan MiniVector by adding KernelD to each element</t>
  </si>
  <si>
    <t>Expand MiniVector by adding KernelB to each element</t>
  </si>
  <si>
    <t>B13#</t>
  </si>
  <si>
    <t>=WrapCols2Dλ(Roles,4)</t>
  </si>
  <si>
    <t>Mariana Trench</t>
  </si>
  <si>
    <t>Malibu</t>
  </si>
  <si>
    <t>Burbank</t>
  </si>
  <si>
    <t>New York City</t>
  </si>
  <si>
    <t>Boston</t>
  </si>
  <si>
    <t>Sioux Falls</t>
  </si>
  <si>
    <t>San Franciso</t>
  </si>
  <si>
    <t>=WrapRows2Dλ(Addresses,4)</t>
  </si>
  <si>
    <t>Sheldrake Industries</t>
  </si>
  <si>
    <t>c/o Jack Sheldrake</t>
  </si>
  <si>
    <t>Joe Mayo</t>
  </si>
  <si>
    <t>Totally Madeup Inc.</t>
  </si>
  <si>
    <t>Sam &amp;</t>
  </si>
  <si>
    <t>E. M. Davis</t>
  </si>
  <si>
    <t>EM Davis Publishing</t>
  </si>
  <si>
    <t>att: D.K. Brown</t>
  </si>
  <si>
    <t>Kenny King's Restaurant</t>
  </si>
  <si>
    <t>c/o K. King</t>
  </si>
  <si>
    <t>Randolph Sporting Goods</t>
  </si>
  <si>
    <t>Cleveland, OH 44122</t>
  </si>
  <si>
    <t>Staircaseλ - Constructs diagonal staircase patterns from a vector or 2D array</t>
  </si>
  <si>
    <t>ReShape2Dλ - Reshapes a 2D array into a new column width using row‑major order</t>
  </si>
  <si>
    <t>Traverseλ - Remaps a 2D array into a new traversal order by rotating the traversal axis to one of three diagonal directions</t>
  </si>
  <si>
    <t>Scan2Dλ - A traversal‑aware 2D scanning extension of Excel’s native SCAN</t>
  </si>
  <si>
    <t>DStackλ - stacks multiple 2D arrays along a "depth" dimension by transposing each input and horizontally concatenating the layers</t>
  </si>
  <si>
    <t>UnPivotλ - Converts a matrix into a flattened row‑wise table by providing row labels, column labels, and a value matrix</t>
  </si>
  <si>
    <t>By default, the length of the shortest array determines zip length</t>
  </si>
  <si>
    <t>Resizeλ</t>
  </si>
  <si>
    <t>Reshape June calendar (new_width = 7, pad_with = "")</t>
  </si>
  <si>
    <t>Reshape Sensor log (new_width = 5. Padding not needed.)</t>
  </si>
  <si>
    <t>Resize TinyGrid (height = 4, width = 5)</t>
  </si>
  <si>
    <t>Resize months (width = 3)</t>
  </si>
  <si>
    <t>Resize months (height = 2)</t>
  </si>
  <si>
    <t>Resize "Q1" (height = 10, width = 3)</t>
  </si>
  <si>
    <t>Resize B9# (height = 3, width = 2)</t>
  </si>
  <si>
    <t>Resize B9# (height = 2)</t>
  </si>
  <si>
    <t>Resize B9# (width = 2)</t>
  </si>
  <si>
    <t>=Traverseλ(B13#,1)</t>
  </si>
  <si>
    <t>=Traverseλ(B13#,3)</t>
  </si>
  <si>
    <t>=Traverseλ(B13#,"SW")</t>
  </si>
  <si>
    <t>=Traverseλ(B13#,2)</t>
  </si>
  <si>
    <t>• pad_with - Fill value for mismatched or missing elements. Defaults to NA().</t>
  </si>
  <si>
    <t>WrapCols2Dλ - Wraps 2D array into column blocks of a specified width</t>
  </si>
  <si>
    <t>B10#</t>
  </si>
  <si>
    <t>=WrapCols2Dλ(B10#,5)</t>
  </si>
  <si>
    <t>=WrapCols2Dλ(B10#,3,"-")</t>
  </si>
  <si>
    <t>Wrap 10 columns wide to new_width = 5</t>
  </si>
  <si>
    <t>Wrap 10 columns wide to new_width = 3, pad_with = "-"</t>
  </si>
  <si>
    <t>Wrap 6 columns wide to new_width = 4</t>
  </si>
  <si>
    <t>Wrap 10 rows tall to new_height = 2</t>
  </si>
  <si>
    <t>Wrap 9 rows tall to new_height = 4</t>
  </si>
  <si>
    <t>WrapRows2Dλ - Wraps 2D array into row blocks of a specified height</t>
  </si>
  <si>
    <t>block_size = 2</t>
  </si>
  <si>
    <t>block_size = 3</t>
  </si>
  <si>
    <t>block_size = 3, IsAntiDiag? = TRUE</t>
  </si>
  <si>
    <t>block_size = 14, block_offset = 1</t>
  </si>
  <si>
    <t>=Staircaseλ(ThreeMonth,3,,,TRUE)</t>
  </si>
  <si>
    <t>=Staircaseλ(ThreeMonth,3,,TRUE)</t>
  </si>
  <si>
    <t>block_size: 3, IsHorizontal? = TRUE</t>
  </si>
  <si>
    <t>UnPivot City, RainfallMonths, Rainfall (ignore = TRUE)</t>
  </si>
  <si>
    <t>UnPivot Products, Regions, and ProdSales (ignore = TRUE)</t>
  </si>
  <si>
    <t>Zip People, Places, and Division, zip_longest: TRUE, fill_value = "Unknown"</t>
  </si>
  <si>
    <t>Inputs</t>
  </si>
  <si>
    <t>=SliceByDegλ(B13#,0,45)</t>
  </si>
  <si>
    <t>=SliceByDegλ(B13#,250)</t>
  </si>
  <si>
    <t>=SliceByDegλ(B13#,225,315,"-")</t>
  </si>
  <si>
    <t>=SliceByDegλ(B13#,90,180)</t>
  </si>
  <si>
    <t>=SliceByDegλ(B13#,270,90,"-")</t>
  </si>
  <si>
    <t>Pad DEM (rows_before = 1, rows_after = 1, cols_before = 2, cols_after = 2, pad_with = 0)</t>
  </si>
  <si>
    <t>rows_before = 1, rows_after = 2, pad_with =0</t>
  </si>
  <si>
    <t>rows_before = 2</t>
  </si>
  <si>
    <t>L12#</t>
  </si>
  <si>
    <t>=InsulateColsλL12#,2)</t>
  </si>
  <si>
    <t>=InsulateColsλ(L12#,1,3,0)</t>
  </si>
  <si>
    <t>Magnify MiniGrid (Height = 2, Width = 4)</t>
  </si>
  <si>
    <t>Magnify MiniGrid (Height = 4, Width = 2)</t>
  </si>
  <si>
    <t>Magnify O10# (Height = 3, Width = 2)</t>
  </si>
  <si>
    <t>Magnify W10# (Height = 5, Width = 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</si>
</sst>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ddd\ m/d"/>
    <numFmt numFmtId="165" formatCode="[$-F400]h:mm:ss\ AM/PM"/>
    <numFmt numFmtId="166" formatCode="_(* #,##0_);_(* \(#,##0\);_(* &quot;-&quot;??_);_(@_)"/>
  </numFmts>
  <fonts count="21">
    <font>
      <sz val="11"/>
      <color theme="1"/>
      <name val="segoe ui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1"/>
      <color theme="1"/>
      <name val="Banschrift"/>
    </font>
    <font>
      <b/>
      <sz val="10"/>
      <color theme="1"/>
      <name val="Segoe UI Variable Display"/>
    </font>
    <font>
      <i/>
      <sz val="10"/>
      <color theme="1"/>
      <name val="Banschrift"/>
    </font>
    <font>
      <sz val="10"/>
      <color theme="1"/>
      <name val="Arial Unicode MS"/>
    </font>
    <font>
      <sz val="11"/>
      <color theme="1"/>
      <name val="Baranschift"/>
    </font>
    <font>
      <sz val="10"/>
      <color theme="1"/>
      <name val="Segoe UI Variable Display"/>
    </font>
    <font>
      <sz val="8"/>
      <name val="segoe ui"/>
      <family val="2"/>
    </font>
    <font>
      <i/>
      <sz val="10"/>
      <color theme="1"/>
      <name val="Segoe UI Variable Display"/>
    </font>
    <font>
      <sz val="10"/>
      <color theme="1"/>
      <name val="segoe ui"/>
      <family val="2"/>
    </font>
    <font>
      <sz val="8"/>
      <color theme="1"/>
      <name val="segoe ui"/>
      <family val="2"/>
    </font>
    <font>
      <sz val="11"/>
      <color theme="1"/>
      <name val="Baranschrift"/>
    </font>
    <font>
      <sz val="10"/>
      <color theme="1"/>
      <name val="Baranschrift"/>
    </font>
    <font>
      <sz val="11"/>
      <color theme="1"/>
      <name val="Baranaschrift"/>
    </font>
    <font>
      <i/>
      <sz val="11"/>
      <color theme="1"/>
      <name val="Segoe UI Variable Display"/>
    </font>
    <font>
      <sz val="11"/>
      <color theme="1"/>
      <name val="Bahnschrift"/>
      <family val="2"/>
    </font>
    <font>
      <sz val="11"/>
      <color theme="1"/>
      <name val="segoe ui"/>
      <family val="2"/>
    </font>
    <font>
      <sz val="11"/>
      <color theme="0"/>
      <name val="Bahnschrift"/>
      <family val="2"/>
    </font>
    <font>
      <sz val="11"/>
      <name val="Bahnschrift"/>
      <family val="2"/>
    </font>
  </fonts>
  <fills count="55">
    <fill>
      <patternFill patternType="none"/>
    </fill>
    <fill>
      <patternFill patternType="gray125"/>
    </fill>
    <fill>
      <patternFill patternType="solid">
        <fgColor rgb="FFB9D9EB"/>
        <bgColor indexed="64"/>
      </patternFill>
    </fill>
    <fill>
      <patternFill patternType="solid">
        <fgColor rgb="FFA0D6B4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2E8D7"/>
        <bgColor indexed="64"/>
      </patternFill>
    </fill>
    <fill>
      <patternFill patternType="solid">
        <fgColor rgb="FFD4E7F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0C01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FE5B4"/>
        <bgColor indexed="64"/>
      </patternFill>
    </fill>
    <fill>
      <patternFill patternType="solid">
        <fgColor rgb="FFFF9393"/>
        <bgColor indexed="64"/>
      </patternFill>
    </fill>
    <fill>
      <patternFill patternType="solid">
        <fgColor rgb="FFABFFAB"/>
        <bgColor indexed="64"/>
      </patternFill>
    </fill>
    <fill>
      <patternFill patternType="solid">
        <fgColor rgb="FF8585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DCD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rgb="FFDFECF9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E5F6DE"/>
        <bgColor indexed="64"/>
      </patternFill>
    </fill>
    <fill>
      <patternFill patternType="solid">
        <fgColor rgb="FFF1E2D3"/>
        <bgColor indexed="64"/>
      </patternFill>
    </fill>
    <fill>
      <patternFill patternType="solid">
        <fgColor rgb="FFFFC993"/>
        <bgColor indexed="64"/>
      </patternFill>
    </fill>
    <fill>
      <patternFill patternType="solid">
        <fgColor rgb="FFFFFFB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BF0F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CDECC6"/>
        <bgColor indexed="64"/>
      </patternFill>
    </fill>
    <fill>
      <patternFill patternType="solid">
        <fgColor rgb="FFB7E3B0"/>
        <bgColor indexed="64"/>
      </patternFill>
    </fill>
    <fill>
      <patternFill patternType="solid">
        <fgColor rgb="FFA3D89A"/>
        <bgColor indexed="64"/>
      </patternFill>
    </fill>
    <fill>
      <patternFill patternType="solid">
        <fgColor rgb="FFF2E3C6"/>
        <bgColor indexed="64"/>
      </patternFill>
    </fill>
    <fill>
      <patternFill patternType="solid">
        <fgColor rgb="FFEAD7B8"/>
        <bgColor indexed="64"/>
      </patternFill>
    </fill>
    <fill>
      <patternFill patternType="solid">
        <fgColor rgb="FFE3CCAA"/>
        <bgColor indexed="64"/>
      </patternFill>
    </fill>
    <fill>
      <patternFill patternType="solid">
        <fgColor rgb="FF8FD6E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medium">
        <color rgb="FFC0C0C0"/>
      </left>
      <right style="thin">
        <color rgb="FFC0C0C0"/>
      </right>
      <top style="medium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medium">
        <color rgb="FFC0C0C0"/>
      </top>
      <bottom style="thin">
        <color rgb="FFC0C0C0"/>
      </bottom>
      <diagonal/>
    </border>
    <border>
      <left style="thin">
        <color rgb="FFC0C0C0"/>
      </left>
      <right style="medium">
        <color rgb="FFC0C0C0"/>
      </right>
      <top style="medium">
        <color rgb="FFC0C0C0"/>
      </top>
      <bottom style="thin">
        <color rgb="FFC0C0C0"/>
      </bottom>
      <diagonal/>
    </border>
    <border>
      <left style="medium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medium">
        <color rgb="FFC0C0C0"/>
      </right>
      <top style="thin">
        <color rgb="FFC0C0C0"/>
      </top>
      <bottom style="thin">
        <color rgb="FFC0C0C0"/>
      </bottom>
      <diagonal/>
    </border>
    <border>
      <left style="medium">
        <color rgb="FFC0C0C0"/>
      </left>
      <right style="thin">
        <color rgb="FFC0C0C0"/>
      </right>
      <top style="thin">
        <color rgb="FFC0C0C0"/>
      </top>
      <bottom style="medium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medium">
        <color rgb="FFC0C0C0"/>
      </bottom>
      <diagonal/>
    </border>
    <border>
      <left style="thin">
        <color rgb="FFC0C0C0"/>
      </left>
      <right style="medium">
        <color rgb="FFC0C0C0"/>
      </right>
      <top style="thin">
        <color rgb="FFC0C0C0"/>
      </top>
      <bottom style="medium">
        <color rgb="FFC0C0C0"/>
      </bottom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28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4" fillId="0" borderId="6" xfId="0" applyFont="1" applyBorder="1" applyAlignment="1">
      <alignment horizontal="left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4" fillId="0" borderId="2" xfId="0" applyFont="1" applyBorder="1" applyAlignment="1">
      <alignment horizontal="left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3" fillId="0" borderId="6" xfId="0" applyFont="1" applyBorder="1" applyAlignment="1">
      <alignment horizontal="center"/>
    </xf>
    <xf numFmtId="0" fontId="0" fillId="0" borderId="5" xfId="0" applyBorder="1"/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8" fillId="0" borderId="0" xfId="0" quotePrefix="1" applyFont="1"/>
    <xf numFmtId="0" fontId="8" fillId="0" borderId="0" xfId="0" applyFont="1"/>
    <xf numFmtId="0" fontId="7" fillId="0" borderId="0" xfId="0" applyFont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4" fillId="0" borderId="3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10" fillId="0" borderId="6" xfId="0" applyFont="1" applyBorder="1" applyAlignment="1">
      <alignment horizontal="center"/>
    </xf>
    <xf numFmtId="0" fontId="8" fillId="0" borderId="6" xfId="0" applyFont="1" applyBorder="1"/>
    <xf numFmtId="0" fontId="0" fillId="0" borderId="3" xfId="0" applyBorder="1"/>
    <xf numFmtId="0" fontId="0" fillId="0" borderId="4" xfId="0" applyBorder="1"/>
    <xf numFmtId="0" fontId="0" fillId="0" borderId="8" xfId="0" applyBorder="1"/>
    <xf numFmtId="0" fontId="0" fillId="0" borderId="9" xfId="0" applyBorder="1"/>
    <xf numFmtId="0" fontId="11" fillId="0" borderId="0" xfId="0" applyFont="1"/>
    <xf numFmtId="0" fontId="8" fillId="0" borderId="0" xfId="0" quotePrefix="1" applyFont="1" applyAlignment="1">
      <alignment horizontal="left"/>
    </xf>
    <xf numFmtId="0" fontId="2" fillId="0" borderId="2" xfId="0" applyFont="1" applyBorder="1"/>
    <xf numFmtId="0" fontId="1" fillId="0" borderId="3" xfId="0" applyFont="1" applyBorder="1"/>
    <xf numFmtId="0" fontId="10" fillId="0" borderId="3" xfId="0" applyFont="1" applyBorder="1"/>
    <xf numFmtId="0" fontId="8" fillId="0" borderId="3" xfId="0" applyFont="1" applyBorder="1"/>
    <xf numFmtId="0" fontId="11" fillId="0" borderId="3" xfId="0" applyFont="1" applyBorder="1"/>
    <xf numFmtId="0" fontId="1" fillId="0" borderId="6" xfId="0" applyFont="1" applyBorder="1"/>
    <xf numFmtId="0" fontId="10" fillId="0" borderId="0" xfId="0" applyFont="1" applyAlignment="1">
      <alignment horizontal="right"/>
    </xf>
    <xf numFmtId="0" fontId="10" fillId="0" borderId="0" xfId="0" applyFont="1"/>
    <xf numFmtId="0" fontId="0" fillId="0" borderId="6" xfId="0" applyBorder="1"/>
    <xf numFmtId="0" fontId="0" fillId="0" borderId="7" xfId="0" applyBorder="1"/>
    <xf numFmtId="0" fontId="0" fillId="0" borderId="2" xfId="0" applyBorder="1"/>
    <xf numFmtId="0" fontId="12" fillId="0" borderId="0" xfId="0" applyFont="1"/>
    <xf numFmtId="0" fontId="8" fillId="0" borderId="6" xfId="0" quotePrefix="1" applyFont="1" applyBorder="1"/>
    <xf numFmtId="0" fontId="11" fillId="0" borderId="8" xfId="0" applyFont="1" applyBorder="1"/>
    <xf numFmtId="0" fontId="13" fillId="0" borderId="0" xfId="0" applyFont="1"/>
    <xf numFmtId="0" fontId="13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5" xfId="0" applyFont="1" applyBorder="1" applyAlignment="1">
      <alignment horizontal="center"/>
    </xf>
    <xf numFmtId="0" fontId="17" fillId="0" borderId="1" xfId="0" applyFont="1" applyBorder="1" applyAlignment="1">
      <alignment horizontal="right"/>
    </xf>
    <xf numFmtId="0" fontId="17" fillId="0" borderId="1" xfId="0" applyFont="1" applyBorder="1"/>
    <xf numFmtId="0" fontId="17" fillId="7" borderId="1" xfId="0" applyFont="1" applyFill="1" applyBorder="1"/>
    <xf numFmtId="0" fontId="17" fillId="8" borderId="1" xfId="0" applyFont="1" applyFill="1" applyBorder="1"/>
    <xf numFmtId="0" fontId="17" fillId="9" borderId="1" xfId="0" applyFont="1" applyFill="1" applyBorder="1"/>
    <xf numFmtId="0" fontId="17" fillId="10" borderId="1" xfId="0" applyFont="1" applyFill="1" applyBorder="1"/>
    <xf numFmtId="165" fontId="17" fillId="0" borderId="1" xfId="0" applyNumberFormat="1" applyFont="1" applyBorder="1"/>
    <xf numFmtId="0" fontId="17" fillId="2" borderId="1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165" fontId="17" fillId="10" borderId="1" xfId="0" applyNumberFormat="1" applyFont="1" applyFill="1" applyBorder="1"/>
    <xf numFmtId="0" fontId="17" fillId="3" borderId="1" xfId="0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/>
    </xf>
    <xf numFmtId="19" fontId="17" fillId="0" borderId="1" xfId="0" applyNumberFormat="1" applyFont="1" applyBorder="1"/>
    <xf numFmtId="0" fontId="17" fillId="0" borderId="0" xfId="0" applyFont="1"/>
    <xf numFmtId="0" fontId="17" fillId="17" borderId="1" xfId="0" applyFont="1" applyFill="1" applyBorder="1" applyAlignment="1">
      <alignment horizontal="center"/>
    </xf>
    <xf numFmtId="0" fontId="17" fillId="18" borderId="1" xfId="0" applyFont="1" applyFill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17" fillId="0" borderId="1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7" fillId="0" borderId="5" xfId="0" applyFont="1" applyBorder="1"/>
    <xf numFmtId="0" fontId="17" fillId="0" borderId="6" xfId="0" applyFont="1" applyBorder="1"/>
    <xf numFmtId="0" fontId="10" fillId="0" borderId="5" xfId="0" applyFont="1" applyBorder="1"/>
    <xf numFmtId="0" fontId="10" fillId="0" borderId="0" xfId="0" quotePrefix="1" applyFont="1"/>
    <xf numFmtId="0" fontId="17" fillId="18" borderId="1" xfId="0" applyFont="1" applyFill="1" applyBorder="1"/>
    <xf numFmtId="0" fontId="17" fillId="24" borderId="1" xfId="0" applyFont="1" applyFill="1" applyBorder="1" applyAlignment="1">
      <alignment horizontal="center"/>
    </xf>
    <xf numFmtId="0" fontId="17" fillId="23" borderId="1" xfId="0" applyFont="1" applyFill="1" applyBorder="1"/>
    <xf numFmtId="0" fontId="17" fillId="25" borderId="1" xfId="0" applyFont="1" applyFill="1" applyBorder="1"/>
    <xf numFmtId="0" fontId="17" fillId="20" borderId="1" xfId="0" applyFont="1" applyFill="1" applyBorder="1" applyAlignment="1">
      <alignment horizontal="center"/>
    </xf>
    <xf numFmtId="0" fontId="17" fillId="21" borderId="1" xfId="0" applyFont="1" applyFill="1" applyBorder="1"/>
    <xf numFmtId="0" fontId="17" fillId="26" borderId="1" xfId="0" applyFont="1" applyFill="1" applyBorder="1"/>
    <xf numFmtId="0" fontId="17" fillId="26" borderId="10" xfId="0" applyFont="1" applyFill="1" applyBorder="1"/>
    <xf numFmtId="0" fontId="17" fillId="26" borderId="11" xfId="0" applyFont="1" applyFill="1" applyBorder="1"/>
    <xf numFmtId="0" fontId="17" fillId="26" borderId="12" xfId="0" applyFont="1" applyFill="1" applyBorder="1"/>
    <xf numFmtId="0" fontId="17" fillId="19" borderId="10" xfId="0" applyFont="1" applyFill="1" applyBorder="1" applyAlignment="1">
      <alignment horizontal="center"/>
    </xf>
    <xf numFmtId="0" fontId="17" fillId="19" borderId="11" xfId="0" applyFont="1" applyFill="1" applyBorder="1" applyAlignment="1">
      <alignment horizontal="center"/>
    </xf>
    <xf numFmtId="0" fontId="17" fillId="19" borderId="12" xfId="0" applyFont="1" applyFill="1" applyBorder="1" applyAlignment="1">
      <alignment horizontal="center"/>
    </xf>
    <xf numFmtId="0" fontId="17" fillId="27" borderId="1" xfId="0" applyFont="1" applyFill="1" applyBorder="1" applyAlignment="1">
      <alignment horizontal="center"/>
    </xf>
    <xf numFmtId="0" fontId="17" fillId="19" borderId="1" xfId="0" applyFont="1" applyFill="1" applyBorder="1" applyAlignment="1">
      <alignment horizontal="right"/>
    </xf>
    <xf numFmtId="0" fontId="17" fillId="29" borderId="1" xfId="0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0" fontId="17" fillId="0" borderId="7" xfId="0" applyFont="1" applyBorder="1"/>
    <xf numFmtId="0" fontId="17" fillId="0" borderId="8" xfId="0" applyFont="1" applyBorder="1"/>
    <xf numFmtId="0" fontId="17" fillId="21" borderId="1" xfId="0" applyFont="1" applyFill="1" applyBorder="1" applyAlignment="1">
      <alignment horizontal="center"/>
    </xf>
    <xf numFmtId="0" fontId="17" fillId="33" borderId="1" xfId="0" applyFont="1" applyFill="1" applyBorder="1" applyAlignment="1">
      <alignment horizontal="center"/>
    </xf>
    <xf numFmtId="0" fontId="17" fillId="21" borderId="2" xfId="0" applyFont="1" applyFill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9" xfId="0" applyFont="1" applyBorder="1"/>
    <xf numFmtId="0" fontId="17" fillId="31" borderId="1" xfId="0" applyFont="1" applyFill="1" applyBorder="1" applyAlignment="1">
      <alignment horizontal="center"/>
    </xf>
    <xf numFmtId="0" fontId="17" fillId="43" borderId="1" xfId="0" applyFont="1" applyFill="1" applyBorder="1" applyAlignment="1">
      <alignment horizontal="center"/>
    </xf>
    <xf numFmtId="0" fontId="17" fillId="47" borderId="1" xfId="0" applyFont="1" applyFill="1" applyBorder="1" applyAlignment="1">
      <alignment horizontal="center"/>
    </xf>
    <xf numFmtId="0" fontId="17" fillId="48" borderId="1" xfId="0" applyFont="1" applyFill="1" applyBorder="1" applyAlignment="1">
      <alignment horizontal="center"/>
    </xf>
    <xf numFmtId="0" fontId="19" fillId="37" borderId="1" xfId="0" applyFont="1" applyFill="1" applyBorder="1" applyAlignment="1">
      <alignment horizontal="center"/>
    </xf>
    <xf numFmtId="0" fontId="19" fillId="38" borderId="1" xfId="0" applyFont="1" applyFill="1" applyBorder="1" applyAlignment="1">
      <alignment horizontal="center"/>
    </xf>
    <xf numFmtId="0" fontId="19" fillId="49" borderId="1" xfId="0" applyFont="1" applyFill="1" applyBorder="1" applyAlignment="1">
      <alignment horizontal="center"/>
    </xf>
    <xf numFmtId="0" fontId="19" fillId="50" borderId="1" xfId="0" applyFont="1" applyFill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0" fontId="20" fillId="0" borderId="9" xfId="0" applyFont="1" applyBorder="1" applyAlignment="1">
      <alignment horizontal="center"/>
    </xf>
    <xf numFmtId="0" fontId="19" fillId="37" borderId="2" xfId="0" applyFont="1" applyFill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19" fillId="38" borderId="2" xfId="0" applyFont="1" applyFill="1" applyBorder="1" applyAlignment="1">
      <alignment horizontal="center"/>
    </xf>
    <xf numFmtId="0" fontId="19" fillId="49" borderId="2" xfId="0" applyFont="1" applyFill="1" applyBorder="1" applyAlignment="1">
      <alignment horizontal="center"/>
    </xf>
    <xf numFmtId="0" fontId="19" fillId="50" borderId="2" xfId="0" applyFont="1" applyFill="1" applyBorder="1" applyAlignment="1">
      <alignment horizontal="center"/>
    </xf>
    <xf numFmtId="0" fontId="17" fillId="21" borderId="10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8" borderId="10" xfId="0" applyFont="1" applyFill="1" applyBorder="1" applyAlignment="1">
      <alignment horizontal="center"/>
    </xf>
    <xf numFmtId="0" fontId="19" fillId="49" borderId="10" xfId="0" applyFont="1" applyFill="1" applyBorder="1" applyAlignment="1">
      <alignment horizontal="center"/>
    </xf>
    <xf numFmtId="0" fontId="17" fillId="51" borderId="1" xfId="0" applyFont="1" applyFill="1" applyBorder="1" applyAlignment="1">
      <alignment horizontal="center"/>
    </xf>
    <xf numFmtId="0" fontId="17" fillId="52" borderId="1" xfId="0" applyFont="1" applyFill="1" applyBorder="1" applyAlignment="1">
      <alignment horizontal="center"/>
    </xf>
    <xf numFmtId="0" fontId="17" fillId="17" borderId="13" xfId="0" applyFont="1" applyFill="1" applyBorder="1" applyAlignment="1">
      <alignment horizontal="center"/>
    </xf>
    <xf numFmtId="0" fontId="17" fillId="0" borderId="14" xfId="0" applyFont="1" applyBorder="1" applyAlignment="1">
      <alignment horizontal="center"/>
    </xf>
    <xf numFmtId="0" fontId="17" fillId="51" borderId="13" xfId="0" applyFont="1" applyFill="1" applyBorder="1" applyAlignment="1">
      <alignment horizontal="center"/>
    </xf>
    <xf numFmtId="0" fontId="17" fillId="52" borderId="13" xfId="0" applyFont="1" applyFill="1" applyBorder="1" applyAlignment="1">
      <alignment horizontal="center"/>
    </xf>
    <xf numFmtId="0" fontId="17" fillId="0" borderId="13" xfId="0" applyFont="1" applyBorder="1" applyAlignment="1">
      <alignment horizontal="center"/>
    </xf>
    <xf numFmtId="0" fontId="17" fillId="33" borderId="13" xfId="0" applyFont="1" applyFill="1" applyBorder="1" applyAlignment="1">
      <alignment horizontal="center"/>
    </xf>
    <xf numFmtId="0" fontId="19" fillId="50" borderId="10" xfId="0" applyFont="1" applyFill="1" applyBorder="1" applyAlignment="1">
      <alignment horizontal="center"/>
    </xf>
    <xf numFmtId="0" fontId="17" fillId="43" borderId="10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8" xfId="0" applyFont="1" applyBorder="1"/>
    <xf numFmtId="0" fontId="7" fillId="0" borderId="9" xfId="0" applyFont="1" applyBorder="1"/>
    <xf numFmtId="0" fontId="1" fillId="0" borderId="6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10" fillId="0" borderId="7" xfId="0" applyFont="1" applyBorder="1"/>
    <xf numFmtId="0" fontId="11" fillId="0" borderId="4" xfId="0" applyFont="1" applyBorder="1"/>
    <xf numFmtId="0" fontId="14" fillId="0" borderId="0" xfId="0" applyFont="1"/>
    <xf numFmtId="0" fontId="11" fillId="0" borderId="5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9" xfId="0" applyFont="1" applyBorder="1"/>
    <xf numFmtId="0" fontId="16" fillId="0" borderId="6" xfId="0" applyFont="1" applyBorder="1"/>
    <xf numFmtId="0" fontId="17" fillId="13" borderId="1" xfId="0" applyFont="1" applyFill="1" applyBorder="1" applyAlignment="1">
      <alignment horizontal="center"/>
    </xf>
    <xf numFmtId="0" fontId="15" fillId="0" borderId="0" xfId="0" applyFont="1"/>
    <xf numFmtId="0" fontId="17" fillId="28" borderId="10" xfId="0" applyFont="1" applyFill="1" applyBorder="1" applyAlignment="1">
      <alignment horizontal="left"/>
    </xf>
    <xf numFmtId="0" fontId="10" fillId="0" borderId="6" xfId="0" applyFont="1" applyBorder="1"/>
    <xf numFmtId="0" fontId="1" fillId="6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0" fillId="0" borderId="2" xfId="0" applyFont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19" fontId="17" fillId="6" borderId="1" xfId="0" applyNumberFormat="1" applyFont="1" applyFill="1" applyBorder="1" applyAlignment="1">
      <alignment horizontal="right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right" vertical="center" wrapText="1"/>
    </xf>
    <xf numFmtId="19" fontId="17" fillId="6" borderId="1" xfId="0" applyNumberFormat="1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right"/>
    </xf>
    <xf numFmtId="19" fontId="17" fillId="6" borderId="1" xfId="0" applyNumberFormat="1" applyFont="1" applyFill="1" applyBorder="1" applyAlignment="1">
      <alignment horizontal="center"/>
    </xf>
    <xf numFmtId="19" fontId="17" fillId="6" borderId="1" xfId="0" applyNumberFormat="1" applyFont="1" applyFill="1" applyBorder="1" applyAlignment="1">
      <alignment horizontal="right"/>
    </xf>
    <xf numFmtId="0" fontId="17" fillId="6" borderId="1" xfId="0" applyFont="1" applyFill="1" applyBorder="1"/>
    <xf numFmtId="0" fontId="5" fillId="0" borderId="0" xfId="0" applyFont="1"/>
    <xf numFmtId="165" fontId="17" fillId="0" borderId="1" xfId="0" applyNumberFormat="1" applyFont="1" applyBorder="1" applyAlignment="1">
      <alignment horizontal="right" vertical="center" wrapText="1"/>
    </xf>
    <xf numFmtId="0" fontId="17" fillId="0" borderId="1" xfId="0" applyFont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right"/>
    </xf>
    <xf numFmtId="164" fontId="17" fillId="6" borderId="1" xfId="0" applyNumberFormat="1" applyFont="1" applyFill="1" applyBorder="1" applyAlignment="1">
      <alignment horizontal="left"/>
    </xf>
    <xf numFmtId="164" fontId="17" fillId="0" borderId="1" xfId="0" applyNumberFormat="1" applyFont="1" applyBorder="1" applyAlignment="1">
      <alignment horizontal="left"/>
    </xf>
    <xf numFmtId="0" fontId="7" fillId="0" borderId="6" xfId="0" applyFont="1" applyBorder="1"/>
    <xf numFmtId="0" fontId="7" fillId="0" borderId="7" xfId="0" applyFont="1" applyBorder="1"/>
    <xf numFmtId="0" fontId="8" fillId="0" borderId="6" xfId="0" quotePrefix="1" applyFont="1" applyBorder="1" applyAlignment="1">
      <alignment horizontal="left"/>
    </xf>
    <xf numFmtId="0" fontId="17" fillId="8" borderId="1" xfId="0" applyFont="1" applyFill="1" applyBorder="1" applyAlignment="1">
      <alignment horizontal="right"/>
    </xf>
    <xf numFmtId="0" fontId="10" fillId="0" borderId="6" xfId="0" applyFont="1" applyBorder="1" applyAlignment="1">
      <alignment horizontal="left"/>
    </xf>
    <xf numFmtId="0" fontId="10" fillId="0" borderId="0" xfId="0" applyFont="1" applyAlignment="1">
      <alignment horizontal="left"/>
    </xf>
    <xf numFmtId="165" fontId="17" fillId="10" borderId="1" xfId="0" applyNumberFormat="1" applyFont="1" applyFill="1" applyBorder="1" applyAlignment="1">
      <alignment horizontal="center"/>
    </xf>
    <xf numFmtId="0" fontId="17" fillId="2" borderId="1" xfId="0" applyFont="1" applyFill="1" applyBorder="1"/>
    <xf numFmtId="0" fontId="17" fillId="11" borderId="1" xfId="0" applyFont="1" applyFill="1" applyBorder="1"/>
    <xf numFmtId="165" fontId="17" fillId="0" borderId="1" xfId="0" applyNumberFormat="1" applyFont="1" applyBorder="1" applyAlignment="1">
      <alignment horizontal="center"/>
    </xf>
    <xf numFmtId="0" fontId="17" fillId="12" borderId="1" xfId="0" applyFont="1" applyFill="1" applyBorder="1" applyAlignment="1">
      <alignment horizontal="center"/>
    </xf>
    <xf numFmtId="0" fontId="17" fillId="14" borderId="1" xfId="0" applyFont="1" applyFill="1" applyBorder="1"/>
    <xf numFmtId="0" fontId="17" fillId="15" borderId="1" xfId="0" applyFont="1" applyFill="1" applyBorder="1"/>
    <xf numFmtId="0" fontId="17" fillId="16" borderId="1" xfId="0" applyFont="1" applyFill="1" applyBorder="1"/>
    <xf numFmtId="0" fontId="17" fillId="53" borderId="1" xfId="0" applyFont="1" applyFill="1" applyBorder="1" applyAlignment="1">
      <alignment horizontal="center"/>
    </xf>
    <xf numFmtId="0" fontId="17" fillId="54" borderId="1" xfId="0" applyFont="1" applyFill="1" applyBorder="1"/>
    <xf numFmtId="0" fontId="17" fillId="19" borderId="1" xfId="0" applyFont="1" applyFill="1" applyBorder="1" applyAlignment="1">
      <alignment horizontal="center"/>
    </xf>
    <xf numFmtId="3" fontId="17" fillId="0" borderId="1" xfId="0" applyNumberFormat="1" applyFont="1" applyBorder="1"/>
    <xf numFmtId="3" fontId="17" fillId="0" borderId="1" xfId="0" applyNumberFormat="1" applyFont="1" applyBorder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17" fillId="34" borderId="1" xfId="0" applyFont="1" applyFill="1" applyBorder="1" applyAlignment="1">
      <alignment horizontal="center"/>
    </xf>
    <xf numFmtId="0" fontId="17" fillId="34" borderId="12" xfId="0" applyFont="1" applyFill="1" applyBorder="1" applyAlignment="1">
      <alignment horizontal="center"/>
    </xf>
    <xf numFmtId="0" fontId="17" fillId="34" borderId="10" xfId="0" applyFont="1" applyFill="1" applyBorder="1" applyAlignment="1">
      <alignment horizontal="center"/>
    </xf>
    <xf numFmtId="0" fontId="17" fillId="34" borderId="11" xfId="0" applyFont="1" applyFill="1" applyBorder="1" applyAlignment="1">
      <alignment horizontal="center"/>
    </xf>
    <xf numFmtId="0" fontId="17" fillId="22" borderId="1" xfId="0" applyFont="1" applyFill="1" applyBorder="1"/>
    <xf numFmtId="0" fontId="17" fillId="20" borderId="1" xfId="0" applyFont="1" applyFill="1" applyBorder="1"/>
    <xf numFmtId="0" fontId="17" fillId="24" borderId="1" xfId="0" applyFont="1" applyFill="1" applyBorder="1"/>
    <xf numFmtId="0" fontId="17" fillId="17" borderId="1" xfId="0" applyFont="1" applyFill="1" applyBorder="1"/>
    <xf numFmtId="0" fontId="17" fillId="19" borderId="1" xfId="0" applyFont="1" applyFill="1" applyBorder="1"/>
    <xf numFmtId="0" fontId="17" fillId="28" borderId="1" xfId="0" applyFont="1" applyFill="1" applyBorder="1"/>
    <xf numFmtId="0" fontId="17" fillId="30" borderId="1" xfId="0" applyFont="1" applyFill="1" applyBorder="1" applyAlignment="1">
      <alignment horizontal="right"/>
    </xf>
    <xf numFmtId="0" fontId="17" fillId="30" borderId="1" xfId="0" applyFont="1" applyFill="1" applyBorder="1"/>
    <xf numFmtId="0" fontId="17" fillId="29" borderId="1" xfId="0" applyFont="1" applyFill="1" applyBorder="1"/>
    <xf numFmtId="1" fontId="17" fillId="19" borderId="1" xfId="0" applyNumberFormat="1" applyFont="1" applyFill="1" applyBorder="1"/>
    <xf numFmtId="1" fontId="17" fillId="11" borderId="1" xfId="0" applyNumberFormat="1" applyFont="1" applyFill="1" applyBorder="1"/>
    <xf numFmtId="1" fontId="17" fillId="32" borderId="1" xfId="0" applyNumberFormat="1" applyFont="1" applyFill="1" applyBorder="1"/>
    <xf numFmtId="1" fontId="17" fillId="18" borderId="1" xfId="0" applyNumberFormat="1" applyFont="1" applyFill="1" applyBorder="1"/>
    <xf numFmtId="1" fontId="17" fillId="34" borderId="1" xfId="0" applyNumberFormat="1" applyFont="1" applyFill="1" applyBorder="1"/>
    <xf numFmtId="0" fontId="17" fillId="32" borderId="1" xfId="0" applyFont="1" applyFill="1" applyBorder="1"/>
    <xf numFmtId="1" fontId="17" fillId="18" borderId="1" xfId="0" applyNumberFormat="1" applyFont="1" applyFill="1" applyBorder="1" applyAlignment="1">
      <alignment horizontal="center"/>
    </xf>
    <xf numFmtId="1" fontId="17" fillId="0" borderId="1" xfId="0" applyNumberFormat="1" applyFont="1" applyBorder="1" applyAlignment="1">
      <alignment horizontal="center"/>
    </xf>
    <xf numFmtId="1" fontId="17" fillId="33" borderId="1" xfId="0" applyNumberFormat="1" applyFont="1" applyFill="1" applyBorder="1" applyAlignment="1">
      <alignment horizontal="center"/>
    </xf>
    <xf numFmtId="1" fontId="17" fillId="32" borderId="1" xfId="0" applyNumberFormat="1" applyFont="1" applyFill="1" applyBorder="1" applyAlignment="1">
      <alignment horizontal="center"/>
    </xf>
    <xf numFmtId="1" fontId="17" fillId="11" borderId="1" xfId="0" applyNumberFormat="1" applyFont="1" applyFill="1" applyBorder="1" applyAlignment="1">
      <alignment horizontal="center"/>
    </xf>
    <xf numFmtId="0" fontId="17" fillId="32" borderId="1" xfId="0" applyFont="1" applyFill="1" applyBorder="1" applyAlignment="1">
      <alignment horizontal="center"/>
    </xf>
    <xf numFmtId="1" fontId="17" fillId="30" borderId="1" xfId="0" applyNumberFormat="1" applyFont="1" applyFill="1" applyBorder="1" applyAlignment="1">
      <alignment horizontal="center"/>
    </xf>
    <xf numFmtId="0" fontId="17" fillId="0" borderId="4" xfId="0" applyFont="1" applyBorder="1"/>
    <xf numFmtId="3" fontId="17" fillId="4" borderId="1" xfId="0" applyNumberFormat="1" applyFont="1" applyFill="1" applyBorder="1"/>
    <xf numFmtId="166" fontId="17" fillId="0" borderId="1" xfId="1" applyNumberFormat="1" applyFont="1" applyFill="1" applyBorder="1" applyAlignment="1"/>
    <xf numFmtId="0" fontId="17" fillId="0" borderId="1" xfId="1" applyNumberFormat="1" applyFont="1" applyFill="1" applyBorder="1" applyAlignment="1">
      <alignment horizontal="center"/>
    </xf>
    <xf numFmtId="166" fontId="17" fillId="0" borderId="1" xfId="1" applyNumberFormat="1" applyFont="1" applyFill="1" applyBorder="1" applyAlignment="1">
      <alignment horizontal="center"/>
    </xf>
    <xf numFmtId="0" fontId="17" fillId="0" borderId="15" xfId="0" applyFont="1" applyBorder="1"/>
    <xf numFmtId="0" fontId="17" fillId="0" borderId="16" xfId="0" applyFont="1" applyBorder="1"/>
    <xf numFmtId="0" fontId="0" fillId="0" borderId="16" xfId="0" applyBorder="1"/>
    <xf numFmtId="0" fontId="0" fillId="0" borderId="17" xfId="0" applyBorder="1"/>
    <xf numFmtId="0" fontId="17" fillId="0" borderId="18" xfId="0" applyFont="1" applyBorder="1"/>
    <xf numFmtId="0" fontId="0" fillId="0" borderId="19" xfId="0" applyBorder="1"/>
    <xf numFmtId="0" fontId="17" fillId="0" borderId="20" xfId="0" applyFont="1" applyBorder="1"/>
    <xf numFmtId="0" fontId="17" fillId="0" borderId="21" xfId="0" applyFont="1" applyBorder="1"/>
    <xf numFmtId="0" fontId="0" fillId="0" borderId="21" xfId="0" applyBorder="1"/>
    <xf numFmtId="0" fontId="0" fillId="0" borderId="22" xfId="0" applyBorder="1"/>
    <xf numFmtId="0" fontId="17" fillId="4" borderId="1" xfId="0" applyFont="1" applyFill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7" fillId="0" borderId="18" xfId="0" applyFont="1" applyBorder="1" applyAlignment="1">
      <alignment horizontal="center"/>
    </xf>
    <xf numFmtId="0" fontId="17" fillId="0" borderId="19" xfId="0" applyFont="1" applyBorder="1" applyAlignment="1">
      <alignment horizontal="center"/>
    </xf>
    <xf numFmtId="0" fontId="17" fillId="0" borderId="20" xfId="0" applyFont="1" applyBorder="1" applyAlignment="1">
      <alignment horizontal="center"/>
    </xf>
    <xf numFmtId="0" fontId="17" fillId="0" borderId="22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17" fillId="0" borderId="21" xfId="0" applyFont="1" applyBorder="1" applyAlignment="1">
      <alignment horizontal="center"/>
    </xf>
    <xf numFmtId="0" fontId="17" fillId="22" borderId="1" xfId="0" applyFont="1" applyFill="1" applyBorder="1" applyAlignment="1">
      <alignment horizontal="center"/>
    </xf>
    <xf numFmtId="0" fontId="17" fillId="35" borderId="1" xfId="0" applyFont="1" applyFill="1" applyBorder="1" applyAlignment="1">
      <alignment horizontal="center"/>
    </xf>
    <xf numFmtId="0" fontId="17" fillId="35" borderId="1" xfId="0" applyFont="1" applyFill="1" applyBorder="1"/>
    <xf numFmtId="0" fontId="17" fillId="36" borderId="1" xfId="0" applyFont="1" applyFill="1" applyBorder="1" applyAlignment="1">
      <alignment horizontal="center"/>
    </xf>
    <xf numFmtId="0" fontId="17" fillId="37" borderId="1" xfId="0" applyFont="1" applyFill="1" applyBorder="1" applyAlignment="1">
      <alignment horizontal="center"/>
    </xf>
    <xf numFmtId="0" fontId="17" fillId="39" borderId="1" xfId="0" applyFont="1" applyFill="1" applyBorder="1" applyAlignment="1">
      <alignment horizontal="center"/>
    </xf>
    <xf numFmtId="0" fontId="17" fillId="38" borderId="1" xfId="0" applyFont="1" applyFill="1" applyBorder="1" applyAlignment="1">
      <alignment horizontal="center"/>
    </xf>
    <xf numFmtId="0" fontId="17" fillId="46" borderId="1" xfId="0" applyFont="1" applyFill="1" applyBorder="1"/>
    <xf numFmtId="0" fontId="17" fillId="40" borderId="1" xfId="0" applyFont="1" applyFill="1" applyBorder="1"/>
    <xf numFmtId="0" fontId="17" fillId="41" borderId="1" xfId="0" applyFont="1" applyFill="1" applyBorder="1"/>
    <xf numFmtId="0" fontId="17" fillId="42" borderId="1" xfId="0" applyFont="1" applyFill="1" applyBorder="1"/>
    <xf numFmtId="0" fontId="17" fillId="43" borderId="1" xfId="0" applyFont="1" applyFill="1" applyBorder="1"/>
    <xf numFmtId="0" fontId="17" fillId="44" borderId="1" xfId="0" applyFont="1" applyFill="1" applyBorder="1"/>
    <xf numFmtId="0" fontId="17" fillId="45" borderId="1" xfId="0" applyFont="1" applyFill="1" applyBorder="1"/>
    <xf numFmtId="0" fontId="10" fillId="0" borderId="11" xfId="0" applyFont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5AF992E9-2CB5-4462-8926-D2A36183B615}"/>
  </tableStyles>
  <colors>
    <mruColors>
      <color rgb="FFC0C0C0"/>
      <color rgb="FFDCDCDC"/>
      <color rgb="FFDAF2D0"/>
      <color rgb="FFD4E7F3"/>
      <color rgb="FFF2E3C6"/>
      <color rgb="FF8FD6E9"/>
      <color rgb="FFB3DCF1"/>
      <color rgb="FFE3CCAA"/>
      <color rgb="FFEAD7B8"/>
      <color rgb="FFA3D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6350</xdr:colOff>
      <xdr:row>0</xdr:row>
      <xdr:rowOff>180975</xdr:rowOff>
    </xdr:from>
    <xdr:to>
      <xdr:col>3</xdr:col>
      <xdr:colOff>1351490</xdr:colOff>
      <xdr:row>5</xdr:row>
      <xdr:rowOff>47625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F491008-39D7-44EF-A68F-9173B2BC35D4}"/>
            </a:ext>
          </a:extLst>
        </xdr:cNvPr>
        <xdr:cNvSpPr>
          <a:spLocks noChangeAspect="1"/>
        </xdr:cNvSpPr>
      </xdr:nvSpPr>
      <xdr:spPr>
        <a:xfrm>
          <a:off x="2282825" y="180975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1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9BC8FF9-D370-4C50-B014-9E7B27F75C25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88FC1986-AC71-4AC1-94C6-7F7DFDAAF5E7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DDA0B-016E-4577-B353-C0BFFD10B570}">
  <sheetPr codeName="Sheet1"/>
  <dimension ref="A6:E35"/>
  <sheetViews>
    <sheetView showGridLines="0" showRowColHeaders="0" tabSelected="1" workbookViewId="0"/>
  </sheetViews>
  <sheetFormatPr defaultColWidth="0" defaultRowHeight="16.5"/>
  <cols>
    <col min="1" max="1" width="7.25" style="1" customWidth="1"/>
    <col min="2" max="2" width="22.58203125" style="1" customWidth="1"/>
    <col min="3" max="3" width="16.6640625" style="1" customWidth="1"/>
    <col min="4" max="4" width="84.08203125" style="1" customWidth="1"/>
    <col min="5" max="5" width="8.6640625" style="1" customWidth="1"/>
    <col min="6" max="16384" width="8.6640625" style="1" hidden="1"/>
  </cols>
  <sheetData>
    <row r="6" spans="2:4" ht="27" customHeight="1"/>
    <row r="7" spans="2:4">
      <c r="C7" s="2" t="s">
        <v>5</v>
      </c>
    </row>
    <row r="8" spans="2:4">
      <c r="C8" s="1" t="s">
        <v>43</v>
      </c>
    </row>
    <row r="10" spans="2:4">
      <c r="C10" s="2" t="s">
        <v>0</v>
      </c>
    </row>
    <row r="11" spans="2:4">
      <c r="C11" s="1" t="s">
        <v>1</v>
      </c>
    </row>
    <row r="12" spans="2:4">
      <c r="C12" s="1" t="s">
        <v>2</v>
      </c>
    </row>
    <row r="15" spans="2:4">
      <c r="C15" s="4" t="s">
        <v>3</v>
      </c>
      <c r="D15" s="4" t="s">
        <v>4</v>
      </c>
    </row>
    <row r="16" spans="2:4" ht="35" customHeight="1">
      <c r="B16" s="5" t="s">
        <v>22</v>
      </c>
      <c r="C16" s="35" t="s">
        <v>6</v>
      </c>
      <c r="D16" s="182" t="s">
        <v>26</v>
      </c>
    </row>
    <row r="17" spans="2:4" ht="35" customHeight="1">
      <c r="B17" s="3"/>
      <c r="C17" s="35" t="s">
        <v>425</v>
      </c>
      <c r="D17" s="182" t="s">
        <v>27</v>
      </c>
    </row>
    <row r="18" spans="2:4" ht="35" customHeight="1">
      <c r="B18" s="3"/>
      <c r="C18" s="35" t="s">
        <v>7</v>
      </c>
      <c r="D18" s="182" t="s">
        <v>36</v>
      </c>
    </row>
    <row r="19" spans="2:4" ht="35" customHeight="1">
      <c r="B19" s="3"/>
      <c r="C19" s="35" t="s">
        <v>8</v>
      </c>
      <c r="D19" s="182" t="s">
        <v>37</v>
      </c>
    </row>
    <row r="20" spans="2:4" ht="35" customHeight="1">
      <c r="B20" s="3"/>
      <c r="C20" s="35" t="s">
        <v>9</v>
      </c>
      <c r="D20" s="182" t="s">
        <v>38</v>
      </c>
    </row>
    <row r="21" spans="2:4" ht="35" customHeight="1">
      <c r="B21" s="3"/>
      <c r="C21" s="35" t="s">
        <v>10</v>
      </c>
      <c r="D21" s="182" t="s">
        <v>28</v>
      </c>
    </row>
    <row r="22" spans="2:4" ht="9" customHeight="1">
      <c r="B22" s="3"/>
      <c r="C22" s="6"/>
      <c r="D22" s="183"/>
    </row>
    <row r="23" spans="2:4" ht="35" customHeight="1">
      <c r="B23" s="5" t="s">
        <v>23</v>
      </c>
      <c r="C23" s="7" t="s">
        <v>11</v>
      </c>
      <c r="D23" s="184" t="s">
        <v>39</v>
      </c>
    </row>
    <row r="24" spans="2:4" ht="35" customHeight="1">
      <c r="B24" s="3"/>
      <c r="C24" s="7" t="s">
        <v>12</v>
      </c>
      <c r="D24" s="184" t="s">
        <v>40</v>
      </c>
    </row>
    <row r="25" spans="2:4" ht="35" customHeight="1">
      <c r="B25" s="3"/>
      <c r="C25" s="7" t="s">
        <v>13</v>
      </c>
      <c r="D25" s="184" t="s">
        <v>29</v>
      </c>
    </row>
    <row r="26" spans="2:4" ht="35" customHeight="1">
      <c r="B26" s="3"/>
      <c r="C26" s="7" t="s">
        <v>14</v>
      </c>
      <c r="D26" s="184" t="s">
        <v>30</v>
      </c>
    </row>
    <row r="27" spans="2:4" ht="35" customHeight="1">
      <c r="B27" s="3"/>
      <c r="C27" s="7" t="s">
        <v>15</v>
      </c>
      <c r="D27" s="184" t="s">
        <v>31</v>
      </c>
    </row>
    <row r="28" spans="2:4" ht="35" customHeight="1">
      <c r="B28" s="3"/>
      <c r="C28" s="7" t="s">
        <v>16</v>
      </c>
      <c r="D28" s="184" t="s">
        <v>32</v>
      </c>
    </row>
    <row r="29" spans="2:4" ht="9.5" customHeight="1">
      <c r="B29" s="3"/>
      <c r="C29" s="6"/>
      <c r="D29" s="183"/>
    </row>
    <row r="30" spans="2:4" ht="35" customHeight="1">
      <c r="B30" s="5" t="s">
        <v>24</v>
      </c>
      <c r="C30" s="8" t="s">
        <v>17</v>
      </c>
      <c r="D30" s="185" t="s">
        <v>33</v>
      </c>
    </row>
    <row r="31" spans="2:4" ht="35" customHeight="1">
      <c r="B31" s="3"/>
      <c r="C31" s="8" t="s">
        <v>18</v>
      </c>
      <c r="D31" s="185" t="s">
        <v>34</v>
      </c>
    </row>
    <row r="32" spans="2:4" ht="35" customHeight="1">
      <c r="B32" s="3"/>
      <c r="C32" s="8" t="s">
        <v>19</v>
      </c>
      <c r="D32" s="185" t="s">
        <v>35</v>
      </c>
    </row>
    <row r="33" spans="2:4" ht="8" customHeight="1">
      <c r="B33" s="3"/>
      <c r="C33" s="6"/>
      <c r="D33" s="183"/>
    </row>
    <row r="34" spans="2:4" ht="35" customHeight="1">
      <c r="B34" s="5" t="s">
        <v>25</v>
      </c>
      <c r="C34" s="9" t="s">
        <v>20</v>
      </c>
      <c r="D34" s="186" t="s">
        <v>41</v>
      </c>
    </row>
    <row r="35" spans="2:4" ht="35" customHeight="1">
      <c r="C35" s="9" t="s">
        <v>21</v>
      </c>
      <c r="D35" s="186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900D-6487-409B-90AE-2A3417EBECB7}">
  <sheetPr codeName="Sheet2">
    <tabColor rgb="FFD4E7F3"/>
  </sheetPr>
  <dimension ref="B1:AG43"/>
  <sheetViews>
    <sheetView workbookViewId="0"/>
  </sheetViews>
  <sheetFormatPr defaultRowHeight="14"/>
  <cols>
    <col min="1" max="1" width="5" style="12" customWidth="1"/>
    <col min="2" max="6" width="3.33203125" style="11" bestFit="1" customWidth="1"/>
    <col min="7" max="7" width="3.5" style="12" customWidth="1"/>
    <col min="8" max="9" width="5.58203125" style="12" customWidth="1"/>
    <col min="10" max="13" width="2.83203125" style="12" customWidth="1"/>
    <col min="14" max="14" width="3.25" style="12" customWidth="1"/>
    <col min="15" max="15" width="3.33203125" style="12" bestFit="1" customWidth="1"/>
    <col min="16" max="16" width="3.83203125" style="12" customWidth="1"/>
    <col min="17" max="17" width="7.1640625" style="12" customWidth="1"/>
    <col min="18" max="18" width="9.6640625" style="12" customWidth="1"/>
    <col min="19" max="19" width="11.33203125" style="12" bestFit="1" customWidth="1"/>
    <col min="20" max="20" width="8.83203125" style="12" bestFit="1" customWidth="1"/>
    <col min="21" max="21" width="11.25" style="12" bestFit="1" customWidth="1"/>
    <col min="22" max="22" width="10" style="12" customWidth="1"/>
    <col min="23" max="23" width="8.33203125" style="12" bestFit="1" customWidth="1"/>
    <col min="24" max="24" width="10.08203125" style="12" bestFit="1" customWidth="1"/>
    <col min="25" max="25" width="8.75" style="12" bestFit="1" customWidth="1"/>
    <col min="26" max="26" width="11.25" style="12" bestFit="1" customWidth="1"/>
    <col min="27" max="27" width="10.58203125" style="12" bestFit="1" customWidth="1"/>
    <col min="28" max="28" width="8.75" style="12" customWidth="1"/>
    <col min="29" max="29" width="10.08203125" style="12" bestFit="1" customWidth="1"/>
    <col min="30" max="30" width="6.75" style="12" bestFit="1" customWidth="1"/>
    <col min="31" max="31" width="11.25" style="12" bestFit="1" customWidth="1"/>
    <col min="32" max="32" width="8.83203125" style="12" bestFit="1" customWidth="1"/>
    <col min="33" max="33" width="8.58203125" style="12" bestFit="1" customWidth="1"/>
    <col min="34" max="16384" width="8.6640625" style="12"/>
  </cols>
  <sheetData>
    <row r="1" spans="2:33" ht="11" customHeight="1"/>
    <row r="2" spans="2:33" ht="16.5">
      <c r="B2" s="160" t="s">
        <v>419</v>
      </c>
      <c r="C2" s="24"/>
      <c r="D2" s="24"/>
      <c r="E2" s="24"/>
      <c r="F2" s="24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4"/>
    </row>
    <row r="3" spans="2:33" ht="16.5">
      <c r="B3" s="166" t="s">
        <v>47</v>
      </c>
      <c r="S3" s="15"/>
    </row>
    <row r="4" spans="2:33" ht="16.5">
      <c r="B4" s="167" t="s">
        <v>48</v>
      </c>
      <c r="C4" s="29"/>
      <c r="D4" s="29"/>
      <c r="E4" s="29"/>
      <c r="F4" s="2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20"/>
    </row>
    <row r="6" spans="2:33" ht="15">
      <c r="B6" s="21" t="s">
        <v>51</v>
      </c>
      <c r="C6" s="24"/>
      <c r="D6" s="24"/>
      <c r="E6" s="24"/>
      <c r="F6" s="24"/>
      <c r="G6" s="13"/>
      <c r="H6" s="37" t="s">
        <v>52</v>
      </c>
      <c r="I6" s="13"/>
      <c r="J6" s="13"/>
      <c r="K6" s="13"/>
      <c r="L6" s="13"/>
      <c r="M6" s="13"/>
      <c r="N6" s="37" t="s">
        <v>53</v>
      </c>
      <c r="O6" s="13"/>
      <c r="P6" s="13"/>
      <c r="Q6" s="13"/>
      <c r="R6" s="14"/>
      <c r="S6" s="187" t="s">
        <v>49</v>
      </c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4"/>
    </row>
    <row r="7" spans="2:33" ht="15">
      <c r="B7" s="39" t="s">
        <v>45</v>
      </c>
      <c r="H7" s="32" t="s">
        <v>44</v>
      </c>
      <c r="N7" s="32" t="s">
        <v>46</v>
      </c>
      <c r="R7" s="15"/>
      <c r="S7" s="201">
        <v>46173</v>
      </c>
      <c r="T7" s="201">
        <v>46174</v>
      </c>
      <c r="U7" s="201">
        <v>46175</v>
      </c>
      <c r="V7" s="201">
        <v>46176</v>
      </c>
      <c r="W7" s="201">
        <v>46177</v>
      </c>
      <c r="X7" s="201">
        <v>46178</v>
      </c>
      <c r="Y7" s="201">
        <v>46179</v>
      </c>
      <c r="Z7" s="201">
        <v>46180</v>
      </c>
      <c r="AA7" s="201">
        <v>46181</v>
      </c>
      <c r="AB7" s="201">
        <v>46182</v>
      </c>
      <c r="AC7" s="201">
        <v>46183</v>
      </c>
      <c r="AG7" s="15"/>
    </row>
    <row r="8" spans="2:33">
      <c r="B8" s="193" cm="1">
        <f t="array" ref="B8:F17">_xlfn.SEQUENCE(10,5)</f>
        <v>1</v>
      </c>
      <c r="C8" s="193">
        <v>2</v>
      </c>
      <c r="D8" s="193">
        <v>3</v>
      </c>
      <c r="E8" s="193">
        <v>4</v>
      </c>
      <c r="F8" s="193">
        <v>5</v>
      </c>
      <c r="H8" s="76" cm="1">
        <f t="array" ref="H8:I32">ReShape2Dλ(_xlfn.ANCHORARRAY(B8),2)</f>
        <v>1</v>
      </c>
      <c r="I8" s="76">
        <v>2</v>
      </c>
      <c r="N8" s="76" cm="1">
        <f t="array" ref="N8:P24">ReShape2Dλ(_xlfn.ANCHORARRAY(B8),3,"-")</f>
        <v>1</v>
      </c>
      <c r="O8" s="76">
        <v>2</v>
      </c>
      <c r="P8" s="76">
        <v>3</v>
      </c>
      <c r="R8" s="15"/>
      <c r="S8" s="201">
        <v>46184</v>
      </c>
      <c r="T8" s="201">
        <v>46185</v>
      </c>
      <c r="U8" s="201">
        <v>46186</v>
      </c>
      <c r="V8" s="201">
        <v>46187</v>
      </c>
      <c r="W8" s="201">
        <v>46188</v>
      </c>
      <c r="X8" s="201">
        <v>46189</v>
      </c>
      <c r="Y8" s="201">
        <v>46190</v>
      </c>
      <c r="Z8" s="201">
        <v>46191</v>
      </c>
      <c r="AA8" s="201">
        <v>46192</v>
      </c>
      <c r="AB8" s="201">
        <v>46193</v>
      </c>
      <c r="AC8" s="201">
        <v>46194</v>
      </c>
      <c r="AG8" s="15"/>
    </row>
    <row r="9" spans="2:33">
      <c r="B9" s="193">
        <v>6</v>
      </c>
      <c r="C9" s="193">
        <v>7</v>
      </c>
      <c r="D9" s="193">
        <v>8</v>
      </c>
      <c r="E9" s="193">
        <v>9</v>
      </c>
      <c r="F9" s="193">
        <v>10</v>
      </c>
      <c r="H9" s="76">
        <v>3</v>
      </c>
      <c r="I9" s="76">
        <v>4</v>
      </c>
      <c r="N9" s="76">
        <v>4</v>
      </c>
      <c r="O9" s="76">
        <v>5</v>
      </c>
      <c r="P9" s="76">
        <v>6</v>
      </c>
      <c r="R9" s="15"/>
      <c r="S9" s="201">
        <v>46195</v>
      </c>
      <c r="T9" s="201">
        <v>46196</v>
      </c>
      <c r="U9" s="201">
        <v>46197</v>
      </c>
      <c r="V9" s="201">
        <v>46198</v>
      </c>
      <c r="W9" s="201">
        <v>46199</v>
      </c>
      <c r="X9" s="201">
        <v>46200</v>
      </c>
      <c r="Y9" s="201">
        <v>46201</v>
      </c>
      <c r="Z9" s="201">
        <v>46202</v>
      </c>
      <c r="AA9" s="201">
        <v>46203</v>
      </c>
      <c r="AB9" s="201">
        <v>46204</v>
      </c>
      <c r="AC9" s="201">
        <v>46205</v>
      </c>
      <c r="AG9" s="15"/>
    </row>
    <row r="10" spans="2:33">
      <c r="B10" s="193">
        <v>11</v>
      </c>
      <c r="C10" s="193">
        <v>12</v>
      </c>
      <c r="D10" s="193">
        <v>13</v>
      </c>
      <c r="E10" s="193">
        <v>14</v>
      </c>
      <c r="F10" s="193">
        <v>15</v>
      </c>
      <c r="H10" s="76">
        <v>5</v>
      </c>
      <c r="I10" s="76">
        <v>6</v>
      </c>
      <c r="N10" s="76">
        <v>7</v>
      </c>
      <c r="O10" s="76">
        <v>8</v>
      </c>
      <c r="P10" s="76">
        <v>9</v>
      </c>
      <c r="R10" s="15"/>
      <c r="S10" s="16"/>
      <c r="AG10" s="15"/>
    </row>
    <row r="11" spans="2:33" ht="15">
      <c r="B11" s="193">
        <v>16</v>
      </c>
      <c r="C11" s="193">
        <v>17</v>
      </c>
      <c r="D11" s="193">
        <v>18</v>
      </c>
      <c r="E11" s="193">
        <v>19</v>
      </c>
      <c r="F11" s="193">
        <v>20</v>
      </c>
      <c r="H11" s="76">
        <v>7</v>
      </c>
      <c r="I11" s="76">
        <v>8</v>
      </c>
      <c r="N11" s="76">
        <v>10</v>
      </c>
      <c r="O11" s="76">
        <v>11</v>
      </c>
      <c r="P11" s="76">
        <v>12</v>
      </c>
      <c r="R11" s="15"/>
      <c r="S11" s="17" t="s">
        <v>426</v>
      </c>
      <c r="AG11" s="15"/>
    </row>
    <row r="12" spans="2:33" ht="15">
      <c r="B12" s="193">
        <v>21</v>
      </c>
      <c r="C12" s="193">
        <v>22</v>
      </c>
      <c r="D12" s="193">
        <v>23</v>
      </c>
      <c r="E12" s="193">
        <v>24</v>
      </c>
      <c r="F12" s="193">
        <v>25</v>
      </c>
      <c r="H12" s="76">
        <v>9</v>
      </c>
      <c r="I12" s="76">
        <v>10</v>
      </c>
      <c r="N12" s="76">
        <v>13</v>
      </c>
      <c r="O12" s="76">
        <v>14</v>
      </c>
      <c r="P12" s="76">
        <v>15</v>
      </c>
      <c r="R12" s="15"/>
      <c r="S12" s="59" t="s">
        <v>50</v>
      </c>
      <c r="AG12" s="15"/>
    </row>
    <row r="13" spans="2:33">
      <c r="B13" s="193">
        <v>26</v>
      </c>
      <c r="C13" s="193">
        <v>27</v>
      </c>
      <c r="D13" s="193">
        <v>28</v>
      </c>
      <c r="E13" s="193">
        <v>29</v>
      </c>
      <c r="F13" s="193">
        <v>30</v>
      </c>
      <c r="H13" s="76">
        <v>11</v>
      </c>
      <c r="I13" s="76">
        <v>12</v>
      </c>
      <c r="N13" s="76">
        <v>16</v>
      </c>
      <c r="O13" s="76">
        <v>17</v>
      </c>
      <c r="P13" s="76">
        <v>18</v>
      </c>
      <c r="R13" s="15"/>
      <c r="S13" s="202" cm="1">
        <f t="array" ref="S13:Y17">ReShape2Dλ(June,7,"")</f>
        <v>46173</v>
      </c>
      <c r="T13" s="202">
        <v>46174</v>
      </c>
      <c r="U13" s="202">
        <v>46175</v>
      </c>
      <c r="V13" s="202">
        <v>46176</v>
      </c>
      <c r="W13" s="202">
        <v>46177</v>
      </c>
      <c r="X13" s="202">
        <v>46178</v>
      </c>
      <c r="Y13" s="202">
        <v>46179</v>
      </c>
      <c r="AG13" s="15"/>
    </row>
    <row r="14" spans="2:33">
      <c r="B14" s="193">
        <v>31</v>
      </c>
      <c r="C14" s="193">
        <v>32</v>
      </c>
      <c r="D14" s="193">
        <v>33</v>
      </c>
      <c r="E14" s="193">
        <v>34</v>
      </c>
      <c r="F14" s="193">
        <v>35</v>
      </c>
      <c r="H14" s="76">
        <v>13</v>
      </c>
      <c r="I14" s="76">
        <v>14</v>
      </c>
      <c r="N14" s="76">
        <v>19</v>
      </c>
      <c r="O14" s="76">
        <v>20</v>
      </c>
      <c r="P14" s="76">
        <v>21</v>
      </c>
      <c r="R14" s="15"/>
      <c r="S14" s="202">
        <v>46180</v>
      </c>
      <c r="T14" s="202">
        <v>46181</v>
      </c>
      <c r="U14" s="202">
        <v>46182</v>
      </c>
      <c r="V14" s="202">
        <v>46183</v>
      </c>
      <c r="W14" s="202">
        <v>46184</v>
      </c>
      <c r="X14" s="202">
        <v>46185</v>
      </c>
      <c r="Y14" s="202">
        <v>46186</v>
      </c>
      <c r="AG14" s="15"/>
    </row>
    <row r="15" spans="2:33">
      <c r="B15" s="193">
        <v>36</v>
      </c>
      <c r="C15" s="193">
        <v>37</v>
      </c>
      <c r="D15" s="193">
        <v>38</v>
      </c>
      <c r="E15" s="193">
        <v>39</v>
      </c>
      <c r="F15" s="193">
        <v>40</v>
      </c>
      <c r="H15" s="76">
        <v>15</v>
      </c>
      <c r="I15" s="76">
        <v>16</v>
      </c>
      <c r="N15" s="76">
        <v>22</v>
      </c>
      <c r="O15" s="76">
        <v>23</v>
      </c>
      <c r="P15" s="76">
        <v>24</v>
      </c>
      <c r="R15" s="15"/>
      <c r="S15" s="202">
        <v>46187</v>
      </c>
      <c r="T15" s="202">
        <v>46188</v>
      </c>
      <c r="U15" s="202">
        <v>46189</v>
      </c>
      <c r="V15" s="202">
        <v>46190</v>
      </c>
      <c r="W15" s="202">
        <v>46191</v>
      </c>
      <c r="X15" s="202">
        <v>46192</v>
      </c>
      <c r="Y15" s="202">
        <v>46193</v>
      </c>
      <c r="AG15" s="15"/>
    </row>
    <row r="16" spans="2:33">
      <c r="B16" s="193">
        <v>41</v>
      </c>
      <c r="C16" s="193">
        <v>42</v>
      </c>
      <c r="D16" s="193">
        <v>43</v>
      </c>
      <c r="E16" s="193">
        <v>44</v>
      </c>
      <c r="F16" s="193">
        <v>45</v>
      </c>
      <c r="H16" s="76">
        <v>17</v>
      </c>
      <c r="I16" s="76">
        <v>18</v>
      </c>
      <c r="N16" s="76">
        <v>25</v>
      </c>
      <c r="O16" s="76">
        <v>26</v>
      </c>
      <c r="P16" s="76">
        <v>27</v>
      </c>
      <c r="R16" s="15"/>
      <c r="S16" s="202">
        <v>46194</v>
      </c>
      <c r="T16" s="202">
        <v>46195</v>
      </c>
      <c r="U16" s="202">
        <v>46196</v>
      </c>
      <c r="V16" s="202">
        <v>46197</v>
      </c>
      <c r="W16" s="202">
        <v>46198</v>
      </c>
      <c r="X16" s="202">
        <v>46199</v>
      </c>
      <c r="Y16" s="202">
        <v>46200</v>
      </c>
      <c r="AG16" s="15"/>
    </row>
    <row r="17" spans="2:33">
      <c r="B17" s="193">
        <v>46</v>
      </c>
      <c r="C17" s="193">
        <v>47</v>
      </c>
      <c r="D17" s="193">
        <v>48</v>
      </c>
      <c r="E17" s="193">
        <v>49</v>
      </c>
      <c r="F17" s="193">
        <v>50</v>
      </c>
      <c r="H17" s="76">
        <v>19</v>
      </c>
      <c r="I17" s="76">
        <v>20</v>
      </c>
      <c r="N17" s="76">
        <v>28</v>
      </c>
      <c r="O17" s="76">
        <v>29</v>
      </c>
      <c r="P17" s="76">
        <v>30</v>
      </c>
      <c r="R17" s="15"/>
      <c r="S17" s="202">
        <v>46201</v>
      </c>
      <c r="T17" s="202">
        <v>46202</v>
      </c>
      <c r="U17" s="202">
        <v>46203</v>
      </c>
      <c r="V17" s="202">
        <v>46204</v>
      </c>
      <c r="W17" s="202">
        <v>46205</v>
      </c>
      <c r="X17" s="202" t="str">
        <v/>
      </c>
      <c r="Y17" s="202" t="str">
        <v/>
      </c>
      <c r="AG17" s="15"/>
    </row>
    <row r="18" spans="2:33">
      <c r="B18" s="26"/>
      <c r="H18" s="76">
        <v>21</v>
      </c>
      <c r="I18" s="76">
        <v>22</v>
      </c>
      <c r="N18" s="76">
        <v>31</v>
      </c>
      <c r="O18" s="76">
        <v>32</v>
      </c>
      <c r="P18" s="76">
        <v>33</v>
      </c>
      <c r="R18" s="15"/>
      <c r="S18" s="18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20"/>
    </row>
    <row r="19" spans="2:33" ht="15">
      <c r="B19" s="26"/>
      <c r="H19" s="76">
        <v>23</v>
      </c>
      <c r="I19" s="76">
        <v>24</v>
      </c>
      <c r="N19" s="76">
        <v>34</v>
      </c>
      <c r="O19" s="76">
        <v>35</v>
      </c>
      <c r="P19" s="76">
        <v>36</v>
      </c>
      <c r="R19" s="15"/>
      <c r="S19" s="187" t="s">
        <v>79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4"/>
    </row>
    <row r="20" spans="2:33">
      <c r="B20" s="26"/>
      <c r="H20" s="76">
        <v>25</v>
      </c>
      <c r="I20" s="76">
        <v>26</v>
      </c>
      <c r="N20" s="76">
        <v>37</v>
      </c>
      <c r="O20" s="76">
        <v>38</v>
      </c>
      <c r="P20" s="76">
        <v>39</v>
      </c>
      <c r="R20" s="15"/>
      <c r="S20" s="73" t="s">
        <v>74</v>
      </c>
      <c r="T20" s="74" t="s">
        <v>75</v>
      </c>
      <c r="U20" s="74" t="s">
        <v>76</v>
      </c>
      <c r="V20" s="74" t="s">
        <v>77</v>
      </c>
      <c r="W20" s="74" t="s">
        <v>78</v>
      </c>
      <c r="X20" s="74" t="s">
        <v>74</v>
      </c>
      <c r="Y20" s="74" t="s">
        <v>75</v>
      </c>
      <c r="Z20" s="74" t="s">
        <v>76</v>
      </c>
      <c r="AA20" s="74" t="s">
        <v>77</v>
      </c>
      <c r="AB20" s="74" t="s">
        <v>78</v>
      </c>
      <c r="AC20" s="74" t="s">
        <v>74</v>
      </c>
      <c r="AD20" s="74" t="s">
        <v>75</v>
      </c>
      <c r="AE20" s="74" t="s">
        <v>76</v>
      </c>
      <c r="AF20" s="74" t="s">
        <v>77</v>
      </c>
      <c r="AG20" s="75" t="s">
        <v>78</v>
      </c>
    </row>
    <row r="21" spans="2:33" ht="16.5">
      <c r="B21" s="26"/>
      <c r="H21" s="76">
        <v>27</v>
      </c>
      <c r="I21" s="76">
        <v>28</v>
      </c>
      <c r="N21" s="76">
        <v>40</v>
      </c>
      <c r="O21" s="76">
        <v>41</v>
      </c>
      <c r="P21" s="76">
        <v>42</v>
      </c>
      <c r="R21" s="27"/>
      <c r="S21" s="189">
        <v>0.55763888888888891</v>
      </c>
      <c r="T21" s="190" t="s">
        <v>54</v>
      </c>
      <c r="U21" s="190" t="s">
        <v>55</v>
      </c>
      <c r="V21" s="190" t="s">
        <v>56</v>
      </c>
      <c r="W21" s="191">
        <v>1.4E-2</v>
      </c>
      <c r="X21" s="192">
        <v>0.55763888888888891</v>
      </c>
      <c r="Y21" s="190" t="s">
        <v>57</v>
      </c>
      <c r="Z21" s="190" t="s">
        <v>58</v>
      </c>
      <c r="AA21" s="188" t="s">
        <v>59</v>
      </c>
      <c r="AB21" s="193">
        <v>5.0000000000000001E-3</v>
      </c>
      <c r="AC21" s="194">
        <v>0.55833333333333335</v>
      </c>
      <c r="AD21" s="188" t="s">
        <v>60</v>
      </c>
      <c r="AE21" s="188" t="s">
        <v>55</v>
      </c>
      <c r="AF21" s="188" t="s">
        <v>61</v>
      </c>
      <c r="AG21" s="193">
        <v>1E-3</v>
      </c>
    </row>
    <row r="22" spans="2:33">
      <c r="B22" s="26"/>
      <c r="H22" s="76">
        <v>29</v>
      </c>
      <c r="I22" s="76">
        <v>30</v>
      </c>
      <c r="N22" s="76">
        <v>43</v>
      </c>
      <c r="O22" s="76">
        <v>44</v>
      </c>
      <c r="P22" s="76">
        <v>45</v>
      </c>
      <c r="R22" s="15"/>
      <c r="S22" s="189">
        <v>0.55833333333333335</v>
      </c>
      <c r="T22" s="190" t="s">
        <v>57</v>
      </c>
      <c r="U22" s="190" t="s">
        <v>58</v>
      </c>
      <c r="V22" s="190" t="s">
        <v>59</v>
      </c>
      <c r="W22" s="191">
        <v>8.9999999999999993E-3</v>
      </c>
      <c r="X22" s="192">
        <v>0.55879629629629635</v>
      </c>
      <c r="Y22" s="190" t="s">
        <v>62</v>
      </c>
      <c r="Z22" s="190" t="s">
        <v>63</v>
      </c>
      <c r="AA22" s="188" t="s">
        <v>64</v>
      </c>
      <c r="AB22" s="193" t="s">
        <v>65</v>
      </c>
      <c r="AC22" s="194">
        <v>0.55902777777777779</v>
      </c>
      <c r="AD22" s="188" t="s">
        <v>60</v>
      </c>
      <c r="AE22" s="188" t="s">
        <v>55</v>
      </c>
      <c r="AF22" s="188" t="s">
        <v>61</v>
      </c>
      <c r="AG22" s="193">
        <v>1E-3</v>
      </c>
    </row>
    <row r="23" spans="2:33">
      <c r="B23" s="26"/>
      <c r="H23" s="76">
        <v>31</v>
      </c>
      <c r="I23" s="76">
        <v>32</v>
      </c>
      <c r="N23" s="76">
        <v>46</v>
      </c>
      <c r="O23" s="76">
        <v>47</v>
      </c>
      <c r="P23" s="76">
        <v>48</v>
      </c>
      <c r="R23" s="15"/>
      <c r="S23" s="195">
        <v>0.55902777777777779</v>
      </c>
      <c r="T23" s="188" t="s">
        <v>57</v>
      </c>
      <c r="U23" s="188" t="s">
        <v>58</v>
      </c>
      <c r="V23" s="188" t="s">
        <v>59</v>
      </c>
      <c r="W23" s="193">
        <v>1.4999999999999999E-2</v>
      </c>
      <c r="X23" s="194">
        <v>0.55972222222222223</v>
      </c>
      <c r="Y23" s="188" t="s">
        <v>57</v>
      </c>
      <c r="Z23" s="188" t="s">
        <v>58</v>
      </c>
      <c r="AA23" s="188" t="s">
        <v>59</v>
      </c>
      <c r="AB23" s="193">
        <v>6.0000000000000001E-3</v>
      </c>
      <c r="AC23" s="194">
        <v>0.55990740740740741</v>
      </c>
      <c r="AD23" s="188" t="s">
        <v>66</v>
      </c>
      <c r="AE23" s="188" t="s">
        <v>67</v>
      </c>
      <c r="AF23" s="188" t="s">
        <v>68</v>
      </c>
      <c r="AG23" s="193">
        <v>37.9</v>
      </c>
    </row>
    <row r="24" spans="2:33">
      <c r="B24" s="26"/>
      <c r="H24" s="76">
        <v>33</v>
      </c>
      <c r="I24" s="76">
        <v>34</v>
      </c>
      <c r="N24" s="76">
        <v>49</v>
      </c>
      <c r="O24" s="76">
        <v>50</v>
      </c>
      <c r="P24" s="76" t="str">
        <v>-</v>
      </c>
      <c r="R24" s="15"/>
      <c r="S24" s="189">
        <v>0.56041666666666667</v>
      </c>
      <c r="T24" s="190" t="s">
        <v>60</v>
      </c>
      <c r="U24" s="190" t="s">
        <v>55</v>
      </c>
      <c r="V24" s="188" t="s">
        <v>61</v>
      </c>
      <c r="W24" s="193">
        <v>1E-3</v>
      </c>
      <c r="X24" s="194">
        <v>0.56041666666666667</v>
      </c>
      <c r="Y24" s="188" t="s">
        <v>57</v>
      </c>
      <c r="Z24" s="188" t="s">
        <v>58</v>
      </c>
      <c r="AA24" s="188" t="s">
        <v>59</v>
      </c>
      <c r="AB24" s="193">
        <v>8.0000000000000002E-3</v>
      </c>
      <c r="AC24" s="194">
        <v>0.56085648148148148</v>
      </c>
      <c r="AD24" s="188" t="s">
        <v>69</v>
      </c>
      <c r="AE24" s="188" t="s">
        <v>70</v>
      </c>
      <c r="AF24" s="188" t="s">
        <v>71</v>
      </c>
      <c r="AG24" s="193">
        <v>1</v>
      </c>
    </row>
    <row r="25" spans="2:33">
      <c r="B25" s="26"/>
      <c r="H25" s="76">
        <v>35</v>
      </c>
      <c r="I25" s="76">
        <v>36</v>
      </c>
      <c r="R25" s="15"/>
      <c r="S25" s="189">
        <v>0.56111111111111112</v>
      </c>
      <c r="T25" s="190" t="s">
        <v>57</v>
      </c>
      <c r="U25" s="190" t="s">
        <v>58</v>
      </c>
      <c r="V25" s="188" t="s">
        <v>59</v>
      </c>
      <c r="W25" s="193">
        <v>6.0000000000000001E-3</v>
      </c>
      <c r="X25" s="194">
        <v>0.56123842592592588</v>
      </c>
      <c r="Y25" s="188" t="s">
        <v>72</v>
      </c>
      <c r="Z25" s="188" t="s">
        <v>70</v>
      </c>
      <c r="AA25" s="196" t="s">
        <v>73</v>
      </c>
      <c r="AB25" s="193">
        <v>1</v>
      </c>
      <c r="AC25" s="195">
        <v>0.56157407407407411</v>
      </c>
      <c r="AD25" s="188" t="s">
        <v>81</v>
      </c>
      <c r="AE25" s="188" t="s">
        <v>82</v>
      </c>
      <c r="AF25" s="188" t="s">
        <v>83</v>
      </c>
      <c r="AG25" s="193">
        <v>72.400000000000006</v>
      </c>
    </row>
    <row r="26" spans="2:33">
      <c r="B26" s="26"/>
      <c r="H26" s="76">
        <v>37</v>
      </c>
      <c r="I26" s="76">
        <v>38</v>
      </c>
      <c r="N26" s="197"/>
      <c r="R26" s="15"/>
      <c r="S26" s="22"/>
      <c r="T26" s="23"/>
      <c r="U26" s="23"/>
      <c r="AG26" s="15"/>
    </row>
    <row r="27" spans="2:33" ht="15">
      <c r="B27" s="26"/>
      <c r="H27" s="76">
        <v>39</v>
      </c>
      <c r="I27" s="76">
        <v>40</v>
      </c>
      <c r="R27" s="15"/>
      <c r="S27" s="17" t="s">
        <v>427</v>
      </c>
      <c r="T27" s="23"/>
      <c r="U27" s="23"/>
      <c r="AG27" s="15"/>
    </row>
    <row r="28" spans="2:33" ht="15">
      <c r="B28" s="26"/>
      <c r="H28" s="76">
        <v>41</v>
      </c>
      <c r="I28" s="76">
        <v>42</v>
      </c>
      <c r="R28" s="15"/>
      <c r="S28" s="59" t="s">
        <v>80</v>
      </c>
      <c r="T28" s="23"/>
      <c r="U28" s="23"/>
      <c r="AG28" s="15"/>
    </row>
    <row r="29" spans="2:33">
      <c r="B29" s="26"/>
      <c r="H29" s="76">
        <v>43</v>
      </c>
      <c r="I29" s="76">
        <v>44</v>
      </c>
      <c r="R29" s="15"/>
      <c r="S29" s="198" cm="1">
        <f t="array" ref="S29:W43">ReShape2Dλ(SensorLog,5)</f>
        <v>0.55763888888888891</v>
      </c>
      <c r="T29" s="199" t="str">
        <v>P3</v>
      </c>
      <c r="U29" s="199" t="str">
        <v>Power</v>
      </c>
      <c r="V29" s="72" t="str">
        <v>Kettle</v>
      </c>
      <c r="W29" s="76">
        <v>1.4E-2</v>
      </c>
      <c r="AB29" s="30"/>
      <c r="AG29" s="15"/>
    </row>
    <row r="30" spans="2:33">
      <c r="B30" s="26"/>
      <c r="H30" s="76">
        <v>45</v>
      </c>
      <c r="I30" s="76">
        <v>46</v>
      </c>
      <c r="R30" s="15"/>
      <c r="S30" s="198">
        <v>0.55763888888888891</v>
      </c>
      <c r="T30" s="199" t="str">
        <v>C1</v>
      </c>
      <c r="U30" s="199" t="str">
        <v>Circuit</v>
      </c>
      <c r="V30" s="72" t="str">
        <v>Stove</v>
      </c>
      <c r="W30" s="76">
        <v>5.0000000000000001E-3</v>
      </c>
      <c r="AG30" s="15"/>
    </row>
    <row r="31" spans="2:33">
      <c r="B31" s="26"/>
      <c r="H31" s="76">
        <v>47</v>
      </c>
      <c r="I31" s="76">
        <v>48</v>
      </c>
      <c r="R31" s="15"/>
      <c r="S31" s="200">
        <v>0.55833333333333335</v>
      </c>
      <c r="T31" s="72" t="str">
        <v>P1</v>
      </c>
      <c r="U31" s="72" t="str">
        <v>Power</v>
      </c>
      <c r="V31" s="72" t="str">
        <v>TV</v>
      </c>
      <c r="W31" s="76">
        <v>1E-3</v>
      </c>
      <c r="AG31" s="15"/>
    </row>
    <row r="32" spans="2:33">
      <c r="B32" s="26"/>
      <c r="H32" s="76">
        <v>49</v>
      </c>
      <c r="I32" s="76">
        <v>50</v>
      </c>
      <c r="R32" s="15"/>
      <c r="S32" s="200">
        <v>0.55833333333333335</v>
      </c>
      <c r="T32" s="72" t="str">
        <v>C1</v>
      </c>
      <c r="U32" s="72" t="str">
        <v>Circuit</v>
      </c>
      <c r="V32" s="72" t="str">
        <v>Stove</v>
      </c>
      <c r="W32" s="76">
        <v>8.9999999999999993E-3</v>
      </c>
      <c r="AG32" s="15"/>
    </row>
    <row r="33" spans="2:33">
      <c r="B33" s="26"/>
      <c r="R33" s="15"/>
      <c r="S33" s="200">
        <v>0.55879629629629635</v>
      </c>
      <c r="T33" s="72" t="str">
        <v>R3</v>
      </c>
      <c r="U33" s="72" t="str">
        <v>Reed</v>
      </c>
      <c r="V33" s="72" t="str">
        <v>Closet</v>
      </c>
      <c r="W33" s="76" t="str">
        <v>Open</v>
      </c>
      <c r="AG33" s="15"/>
    </row>
    <row r="34" spans="2:33">
      <c r="B34" s="26"/>
      <c r="R34" s="15"/>
      <c r="S34" s="200">
        <v>0.55902777777777779</v>
      </c>
      <c r="T34" s="72" t="str">
        <v>P1</v>
      </c>
      <c r="U34" s="72" t="str">
        <v>Power</v>
      </c>
      <c r="V34" s="72" t="str">
        <v>TV</v>
      </c>
      <c r="W34" s="76">
        <v>1E-3</v>
      </c>
      <c r="AG34" s="15"/>
    </row>
    <row r="35" spans="2:33">
      <c r="B35" s="26"/>
      <c r="R35" s="15"/>
      <c r="S35" s="200">
        <v>0.55902777777777779</v>
      </c>
      <c r="T35" s="72" t="str">
        <v>C1</v>
      </c>
      <c r="U35" s="72" t="str">
        <v>Circuit</v>
      </c>
      <c r="V35" s="72" t="str">
        <v>Stove</v>
      </c>
      <c r="W35" s="76">
        <v>1.4999999999999999E-2</v>
      </c>
      <c r="AG35" s="15"/>
    </row>
    <row r="36" spans="2:33">
      <c r="B36" s="26"/>
      <c r="R36" s="15"/>
      <c r="S36" s="200">
        <v>0.55972222222222223</v>
      </c>
      <c r="T36" s="72" t="str">
        <v>C1</v>
      </c>
      <c r="U36" s="72" t="str">
        <v>Circuit</v>
      </c>
      <c r="V36" s="72" t="str">
        <v>Stove</v>
      </c>
      <c r="W36" s="76">
        <v>6.0000000000000001E-3</v>
      </c>
      <c r="AG36" s="15"/>
    </row>
    <row r="37" spans="2:33">
      <c r="B37" s="26"/>
      <c r="R37" s="15"/>
      <c r="S37" s="200">
        <v>0.55990740740740741</v>
      </c>
      <c r="T37" s="72" t="str">
        <v>H1</v>
      </c>
      <c r="U37" s="72" t="str">
        <v>Humidity</v>
      </c>
      <c r="V37" s="72" t="str">
        <v>Bathroom</v>
      </c>
      <c r="W37" s="76">
        <v>37.9</v>
      </c>
      <c r="AG37" s="15"/>
    </row>
    <row r="38" spans="2:33">
      <c r="B38" s="26"/>
      <c r="R38" s="15"/>
      <c r="S38" s="200">
        <v>0.56041666666666667</v>
      </c>
      <c r="T38" s="72" t="str">
        <v>P1</v>
      </c>
      <c r="U38" s="72" t="str">
        <v>Power</v>
      </c>
      <c r="V38" s="72" t="str">
        <v>TV</v>
      </c>
      <c r="W38" s="76">
        <v>1E-3</v>
      </c>
      <c r="AG38" s="15"/>
    </row>
    <row r="39" spans="2:33">
      <c r="B39" s="26"/>
      <c r="R39" s="15"/>
      <c r="S39" s="200">
        <v>0.56041666666666667</v>
      </c>
      <c r="T39" s="72" t="str">
        <v>C1</v>
      </c>
      <c r="U39" s="72" t="str">
        <v>Circuit</v>
      </c>
      <c r="V39" s="72" t="str">
        <v>Stove</v>
      </c>
      <c r="W39" s="76">
        <v>8.0000000000000002E-3</v>
      </c>
      <c r="AG39" s="15"/>
    </row>
    <row r="40" spans="2:33">
      <c r="B40" s="26"/>
      <c r="R40" s="15"/>
      <c r="S40" s="200">
        <v>0.56085648148148148</v>
      </c>
      <c r="T40" s="72" t="str">
        <v>M4</v>
      </c>
      <c r="U40" s="72" t="str">
        <v>Motion</v>
      </c>
      <c r="V40" s="72" t="str">
        <v>Kitchen</v>
      </c>
      <c r="W40" s="76">
        <v>1</v>
      </c>
      <c r="AG40" s="15"/>
    </row>
    <row r="41" spans="2:33">
      <c r="B41" s="26"/>
      <c r="R41" s="15"/>
      <c r="S41" s="200">
        <v>0.56111111111111112</v>
      </c>
      <c r="T41" s="72" t="str">
        <v>C1</v>
      </c>
      <c r="U41" s="72" t="str">
        <v>Circuit</v>
      </c>
      <c r="V41" s="72" t="str">
        <v>Stove</v>
      </c>
      <c r="W41" s="76">
        <v>6.0000000000000001E-3</v>
      </c>
      <c r="AG41" s="15"/>
    </row>
    <row r="42" spans="2:33">
      <c r="B42" s="26"/>
      <c r="R42" s="15"/>
      <c r="S42" s="200">
        <v>0.56123842592592588</v>
      </c>
      <c r="T42" s="72" t="str">
        <v>M2</v>
      </c>
      <c r="U42" s="72" t="str">
        <v>Motion</v>
      </c>
      <c r="V42" s="72" t="str">
        <v>Livingroom</v>
      </c>
      <c r="W42" s="76">
        <v>1</v>
      </c>
      <c r="AG42" s="15"/>
    </row>
    <row r="43" spans="2:33">
      <c r="B43" s="28"/>
      <c r="C43" s="29"/>
      <c r="D43" s="29"/>
      <c r="E43" s="29"/>
      <c r="F43" s="2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20"/>
      <c r="S43" s="200">
        <v>0.56157407407407411</v>
      </c>
      <c r="T43" s="72" t="str">
        <v>T2</v>
      </c>
      <c r="U43" s="72" t="str">
        <v>Temp</v>
      </c>
      <c r="V43" s="72" t="str">
        <v>Garage</v>
      </c>
      <c r="W43" s="76">
        <v>72.400000000000006</v>
      </c>
      <c r="X43" s="19"/>
      <c r="Y43" s="19"/>
      <c r="Z43" s="19"/>
      <c r="AA43" s="19"/>
      <c r="AB43" s="19"/>
      <c r="AC43" s="19"/>
      <c r="AD43" s="19"/>
      <c r="AE43" s="19"/>
      <c r="AF43" s="19"/>
      <c r="AG43" s="20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A5B9-4EEF-461F-B194-03F1F1E40140}">
  <sheetPr codeName="Sheet3">
    <tabColor rgb="FFD4E7F3"/>
  </sheetPr>
  <dimension ref="B2:AG61"/>
  <sheetViews>
    <sheetView zoomScaleNormal="100" workbookViewId="0"/>
  </sheetViews>
  <sheetFormatPr defaultRowHeight="14"/>
  <cols>
    <col min="1" max="1" width="5" style="31" customWidth="1"/>
    <col min="2" max="4" width="6.4140625" style="31" customWidth="1"/>
    <col min="5" max="5" width="8.6640625" style="31"/>
    <col min="6" max="7" width="2.83203125" style="31" customWidth="1"/>
    <col min="8" max="8" width="3.25" style="31" customWidth="1"/>
    <col min="9" max="11" width="3.33203125" style="31" bestFit="1" customWidth="1"/>
    <col min="12" max="12" width="2.83203125" style="31" customWidth="1"/>
    <col min="13" max="14" width="3.33203125" style="31" bestFit="1" customWidth="1"/>
    <col min="15" max="15" width="3.5" style="31" customWidth="1"/>
    <col min="16" max="16" width="4.25" style="31" customWidth="1"/>
    <col min="17" max="18" width="4.25" style="31" bestFit="1" customWidth="1"/>
    <col min="19" max="21" width="8.6640625" style="31"/>
    <col min="22" max="22" width="2.4140625" style="31" customWidth="1"/>
    <col min="23" max="31" width="3.33203125" style="31" customWidth="1"/>
    <col min="32" max="32" width="3.75" style="31" customWidth="1"/>
    <col min="33" max="33" width="5.1640625" style="31" customWidth="1"/>
    <col min="34" max="16384" width="8.6640625" style="31"/>
  </cols>
  <sheetData>
    <row r="2" spans="2:33" ht="16.5">
      <c r="B2" s="160" t="s">
        <v>113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2"/>
    </row>
    <row r="3" spans="2:33" ht="16.5">
      <c r="B3" s="52" t="s">
        <v>84</v>
      </c>
      <c r="AG3" s="163"/>
    </row>
    <row r="4" spans="2:33" ht="16.5">
      <c r="B4" s="52" t="s">
        <v>85</v>
      </c>
      <c r="AG4" s="163"/>
    </row>
    <row r="5" spans="2:33" ht="16.5">
      <c r="B5" s="52" t="s">
        <v>86</v>
      </c>
      <c r="AG5" s="163"/>
    </row>
    <row r="6" spans="2:33">
      <c r="B6" s="204"/>
      <c r="C6" s="164"/>
      <c r="D6" s="164"/>
      <c r="E6" s="164"/>
      <c r="F6" s="164"/>
      <c r="G6" s="164"/>
      <c r="H6" s="164"/>
      <c r="I6" s="164"/>
      <c r="J6" s="164"/>
      <c r="K6" s="164"/>
      <c r="L6" s="164"/>
      <c r="M6" s="164"/>
      <c r="N6" s="164"/>
      <c r="O6" s="164"/>
      <c r="P6" s="164"/>
      <c r="Q6" s="164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  <c r="AD6" s="164"/>
      <c r="AE6" s="164"/>
      <c r="AF6" s="164"/>
      <c r="AG6" s="165"/>
    </row>
    <row r="7" spans="2:33" ht="15">
      <c r="B7" s="17" t="s">
        <v>51</v>
      </c>
      <c r="F7" s="25" t="s">
        <v>432</v>
      </c>
      <c r="P7" s="25" t="s">
        <v>429</v>
      </c>
      <c r="W7" s="25" t="s">
        <v>431</v>
      </c>
      <c r="AG7" s="163"/>
    </row>
    <row r="8" spans="2:33" ht="15">
      <c r="B8" s="17" t="s">
        <v>87</v>
      </c>
      <c r="F8" s="32" t="s">
        <v>90</v>
      </c>
      <c r="P8" s="32" t="s">
        <v>104</v>
      </c>
      <c r="W8" s="32" t="s">
        <v>105</v>
      </c>
      <c r="AG8" s="163"/>
    </row>
    <row r="9" spans="2:33">
      <c r="B9" s="188" cm="1">
        <f t="array" ref="B9:D11">_xlfn.SEQUENCE(3,3,0,5)</f>
        <v>0</v>
      </c>
      <c r="C9" s="188">
        <v>5</v>
      </c>
      <c r="D9" s="188">
        <v>10</v>
      </c>
      <c r="F9" s="72" cm="1">
        <f t="array" ref="F9:K17">Resizeλ(_xlfn.ANCHORARRAY(B9),3,2)</f>
        <v>0</v>
      </c>
      <c r="G9" s="72">
        <v>5</v>
      </c>
      <c r="H9" s="72">
        <v>10</v>
      </c>
      <c r="I9" s="72">
        <v>0</v>
      </c>
      <c r="J9" s="72">
        <v>5</v>
      </c>
      <c r="K9" s="72">
        <v>10</v>
      </c>
      <c r="P9" s="72" t="str" cm="1">
        <f t="array" ref="P9:R20">Resizeλ(Months,,3)</f>
        <v>Jan</v>
      </c>
      <c r="Q9" s="72" t="str">
        <v>Jan</v>
      </c>
      <c r="R9" s="72" t="str">
        <v>Jan</v>
      </c>
      <c r="W9" s="74" t="str" cm="1">
        <f t="array" ref="W9:Y18">Resizeλ("Q1",10,3)</f>
        <v>Q1</v>
      </c>
      <c r="X9" s="74" t="str">
        <v>Q1</v>
      </c>
      <c r="Y9" s="74" t="str">
        <v>Q1</v>
      </c>
      <c r="AG9" s="163"/>
    </row>
    <row r="10" spans="2:33">
      <c r="B10" s="188">
        <v>15</v>
      </c>
      <c r="C10" s="188">
        <v>20</v>
      </c>
      <c r="D10" s="188">
        <v>25</v>
      </c>
      <c r="F10" s="72">
        <v>15</v>
      </c>
      <c r="G10" s="72">
        <v>20</v>
      </c>
      <c r="H10" s="72">
        <v>25</v>
      </c>
      <c r="I10" s="72">
        <v>15</v>
      </c>
      <c r="J10" s="72">
        <v>20</v>
      </c>
      <c r="K10" s="72">
        <v>25</v>
      </c>
      <c r="P10" s="72" t="str">
        <v>Feb</v>
      </c>
      <c r="Q10" s="72" t="str">
        <v>Feb</v>
      </c>
      <c r="R10" s="72" t="str">
        <v>Feb</v>
      </c>
      <c r="W10" s="72" t="str">
        <v>Q1</v>
      </c>
      <c r="X10" s="72" t="str">
        <v>Q1</v>
      </c>
      <c r="Y10" s="72" t="str">
        <v>Q1</v>
      </c>
      <c r="AG10" s="163"/>
    </row>
    <row r="11" spans="2:33">
      <c r="B11" s="188">
        <v>30</v>
      </c>
      <c r="C11" s="188">
        <v>35</v>
      </c>
      <c r="D11" s="188">
        <v>40</v>
      </c>
      <c r="F11" s="72">
        <v>30</v>
      </c>
      <c r="G11" s="72">
        <v>35</v>
      </c>
      <c r="H11" s="72">
        <v>40</v>
      </c>
      <c r="I11" s="72">
        <v>30</v>
      </c>
      <c r="J11" s="72">
        <v>35</v>
      </c>
      <c r="K11" s="72">
        <v>40</v>
      </c>
      <c r="P11" s="72" t="str">
        <v>Mar</v>
      </c>
      <c r="Q11" s="72" t="str">
        <v>Mar</v>
      </c>
      <c r="R11" s="72" t="str">
        <v>Mar</v>
      </c>
      <c r="W11" s="72" t="str">
        <v>Q1</v>
      </c>
      <c r="X11" s="72" t="str">
        <v>Q1</v>
      </c>
      <c r="Y11" s="72" t="str">
        <v>Q1</v>
      </c>
      <c r="AG11" s="163"/>
    </row>
    <row r="12" spans="2:33">
      <c r="B12" s="203"/>
      <c r="F12" s="72">
        <v>0</v>
      </c>
      <c r="G12" s="72">
        <v>5</v>
      </c>
      <c r="H12" s="72">
        <v>10</v>
      </c>
      <c r="I12" s="72">
        <v>0</v>
      </c>
      <c r="J12" s="72">
        <v>5</v>
      </c>
      <c r="K12" s="72">
        <v>10</v>
      </c>
      <c r="P12" s="72" t="str">
        <v>Apr</v>
      </c>
      <c r="Q12" s="72" t="str">
        <v>Apr</v>
      </c>
      <c r="R12" s="72" t="str">
        <v>Apr</v>
      </c>
      <c r="W12" s="72" t="str">
        <v>Q1</v>
      </c>
      <c r="X12" s="72" t="str">
        <v>Q1</v>
      </c>
      <c r="Y12" s="72" t="str">
        <v>Q1</v>
      </c>
      <c r="AG12" s="163"/>
    </row>
    <row r="13" spans="2:33">
      <c r="B13" s="203"/>
      <c r="F13" s="72">
        <v>15</v>
      </c>
      <c r="G13" s="72">
        <v>20</v>
      </c>
      <c r="H13" s="72">
        <v>25</v>
      </c>
      <c r="I13" s="72">
        <v>15</v>
      </c>
      <c r="J13" s="72">
        <v>20</v>
      </c>
      <c r="K13" s="72">
        <v>25</v>
      </c>
      <c r="P13" s="72" t="str">
        <v>May</v>
      </c>
      <c r="Q13" s="72" t="str">
        <v>May</v>
      </c>
      <c r="R13" s="72" t="str">
        <v>May</v>
      </c>
      <c r="W13" s="72" t="str">
        <v>Q1</v>
      </c>
      <c r="X13" s="72" t="str">
        <v>Q1</v>
      </c>
      <c r="Y13" s="72" t="str">
        <v>Q1</v>
      </c>
      <c r="AG13" s="163"/>
    </row>
    <row r="14" spans="2:33" ht="15">
      <c r="B14" s="17" t="s">
        <v>103</v>
      </c>
      <c r="F14" s="72">
        <v>30</v>
      </c>
      <c r="G14" s="72">
        <v>35</v>
      </c>
      <c r="H14" s="72">
        <v>40</v>
      </c>
      <c r="I14" s="72">
        <v>30</v>
      </c>
      <c r="J14" s="72">
        <v>35</v>
      </c>
      <c r="K14" s="72">
        <v>40</v>
      </c>
      <c r="P14" s="72" t="str">
        <v>Jun</v>
      </c>
      <c r="Q14" s="72" t="str">
        <v>Jun</v>
      </c>
      <c r="R14" s="72" t="str">
        <v>Jun</v>
      </c>
      <c r="W14" s="72" t="str">
        <v>Q1</v>
      </c>
      <c r="X14" s="72" t="str">
        <v>Q1</v>
      </c>
      <c r="Y14" s="72" t="str">
        <v>Q1</v>
      </c>
      <c r="AG14" s="163"/>
    </row>
    <row r="15" spans="2:33">
      <c r="B15" s="188" t="s">
        <v>91</v>
      </c>
      <c r="F15" s="72">
        <v>0</v>
      </c>
      <c r="G15" s="72">
        <v>5</v>
      </c>
      <c r="H15" s="72">
        <v>10</v>
      </c>
      <c r="I15" s="72">
        <v>0</v>
      </c>
      <c r="J15" s="72">
        <v>5</v>
      </c>
      <c r="K15" s="72">
        <v>10</v>
      </c>
      <c r="P15" s="72" t="str">
        <v>Jul</v>
      </c>
      <c r="Q15" s="72" t="str">
        <v>Jul</v>
      </c>
      <c r="R15" s="72" t="str">
        <v>Jul</v>
      </c>
      <c r="W15" s="72" t="str">
        <v>Q1</v>
      </c>
      <c r="X15" s="72" t="str">
        <v>Q1</v>
      </c>
      <c r="Y15" s="72" t="str">
        <v>Q1</v>
      </c>
      <c r="AG15" s="163"/>
    </row>
    <row r="16" spans="2:33">
      <c r="B16" s="188" t="s">
        <v>92</v>
      </c>
      <c r="F16" s="72">
        <v>15</v>
      </c>
      <c r="G16" s="72">
        <v>20</v>
      </c>
      <c r="H16" s="72">
        <v>25</v>
      </c>
      <c r="I16" s="72">
        <v>15</v>
      </c>
      <c r="J16" s="72">
        <v>20</v>
      </c>
      <c r="K16" s="72">
        <v>25</v>
      </c>
      <c r="P16" s="72" t="str">
        <v>Aug</v>
      </c>
      <c r="Q16" s="72" t="str">
        <v>Aug</v>
      </c>
      <c r="R16" s="72" t="str">
        <v>Aug</v>
      </c>
      <c r="W16" s="72" t="str">
        <v>Q1</v>
      </c>
      <c r="X16" s="72" t="str">
        <v>Q1</v>
      </c>
      <c r="Y16" s="72" t="str">
        <v>Q1</v>
      </c>
      <c r="AG16" s="163"/>
    </row>
    <row r="17" spans="2:33">
      <c r="B17" s="188" t="s">
        <v>93</v>
      </c>
      <c r="F17" s="72">
        <v>30</v>
      </c>
      <c r="G17" s="72">
        <v>35</v>
      </c>
      <c r="H17" s="72">
        <v>40</v>
      </c>
      <c r="I17" s="72">
        <v>30</v>
      </c>
      <c r="J17" s="72">
        <v>35</v>
      </c>
      <c r="K17" s="72">
        <v>40</v>
      </c>
      <c r="P17" s="72" t="str">
        <v>Sep</v>
      </c>
      <c r="Q17" s="72" t="str">
        <v>Sep</v>
      </c>
      <c r="R17" s="72" t="str">
        <v>Sep</v>
      </c>
      <c r="W17" s="72" t="str">
        <v>Q1</v>
      </c>
      <c r="X17" s="72" t="str">
        <v>Q1</v>
      </c>
      <c r="Y17" s="72" t="str">
        <v>Q1</v>
      </c>
      <c r="AG17" s="163"/>
    </row>
    <row r="18" spans="2:33">
      <c r="B18" s="188" t="s">
        <v>94</v>
      </c>
      <c r="P18" s="72" t="str">
        <v>Oct</v>
      </c>
      <c r="Q18" s="72" t="str">
        <v>Oct</v>
      </c>
      <c r="R18" s="72" t="str">
        <v>Oct</v>
      </c>
      <c r="W18" s="72" t="str">
        <v>Q1</v>
      </c>
      <c r="X18" s="72" t="str">
        <v>Q1</v>
      </c>
      <c r="Y18" s="72" t="str">
        <v>Q1</v>
      </c>
      <c r="AG18" s="163"/>
    </row>
    <row r="19" spans="2:33" ht="15">
      <c r="B19" s="188" t="s">
        <v>95</v>
      </c>
      <c r="F19" s="25" t="s">
        <v>433</v>
      </c>
      <c r="P19" s="72" t="str">
        <v>Nov</v>
      </c>
      <c r="Q19" s="72" t="str">
        <v>Nov</v>
      </c>
      <c r="R19" s="72" t="str">
        <v>Nov</v>
      </c>
      <c r="AG19" s="163"/>
    </row>
    <row r="20" spans="2:33" ht="15">
      <c r="B20" s="188" t="s">
        <v>96</v>
      </c>
      <c r="F20" s="32" t="s">
        <v>88</v>
      </c>
      <c r="P20" s="72" t="str">
        <v>Dec</v>
      </c>
      <c r="Q20" s="72" t="str">
        <v>Dec</v>
      </c>
      <c r="R20" s="72" t="str">
        <v>Dec</v>
      </c>
      <c r="AG20" s="163"/>
    </row>
    <row r="21" spans="2:33">
      <c r="B21" s="188" t="s">
        <v>97</v>
      </c>
      <c r="F21" s="72" cm="1">
        <f t="array" ref="F21:H26">Resizeλ(_xlfn.ANCHORARRAY(B9),2)</f>
        <v>0</v>
      </c>
      <c r="G21" s="72">
        <v>5</v>
      </c>
      <c r="H21" s="72">
        <v>10</v>
      </c>
      <c r="AG21" s="163"/>
    </row>
    <row r="22" spans="2:33" ht="15">
      <c r="B22" s="188" t="s">
        <v>98</v>
      </c>
      <c r="F22" s="72">
        <v>15</v>
      </c>
      <c r="G22" s="72">
        <v>20</v>
      </c>
      <c r="H22" s="72">
        <v>25</v>
      </c>
      <c r="P22" s="25" t="s">
        <v>430</v>
      </c>
      <c r="W22" s="25" t="s">
        <v>428</v>
      </c>
      <c r="AG22" s="163"/>
    </row>
    <row r="23" spans="2:33" ht="15">
      <c r="B23" s="188" t="s">
        <v>99</v>
      </c>
      <c r="F23" s="72">
        <v>30</v>
      </c>
      <c r="G23" s="72">
        <v>35</v>
      </c>
      <c r="H23" s="72">
        <v>40</v>
      </c>
      <c r="P23" s="32" t="s">
        <v>112</v>
      </c>
      <c r="W23" s="32" t="s">
        <v>111</v>
      </c>
      <c r="AG23" s="163"/>
    </row>
    <row r="24" spans="2:33">
      <c r="B24" s="188" t="s">
        <v>100</v>
      </c>
      <c r="F24" s="72">
        <v>0</v>
      </c>
      <c r="G24" s="72">
        <v>5</v>
      </c>
      <c r="H24" s="72">
        <v>10</v>
      </c>
      <c r="P24" s="74" t="str" cm="1">
        <f t="array" ref="P24:P47">Resizeλ(Months,2)</f>
        <v>Jan</v>
      </c>
      <c r="W24" s="72" t="str" cm="1">
        <f t="array" ref="W24:AF31">Resizeλ(TinyGrid,4,5)</f>
        <v>A</v>
      </c>
      <c r="X24" s="72" t="str">
        <v>B</v>
      </c>
      <c r="Y24" s="72" t="str">
        <v>A</v>
      </c>
      <c r="Z24" s="72" t="str">
        <v>B</v>
      </c>
      <c r="AA24" s="72" t="str">
        <v>A</v>
      </c>
      <c r="AB24" s="72" t="str">
        <v>B</v>
      </c>
      <c r="AC24" s="72" t="str">
        <v>A</v>
      </c>
      <c r="AD24" s="72" t="str">
        <v>B</v>
      </c>
      <c r="AE24" s="72" t="str">
        <v>A</v>
      </c>
      <c r="AF24" s="72" t="str">
        <v>B</v>
      </c>
      <c r="AG24" s="163"/>
    </row>
    <row r="25" spans="2:33">
      <c r="B25" s="188" t="s">
        <v>101</v>
      </c>
      <c r="F25" s="72">
        <v>15</v>
      </c>
      <c r="G25" s="72">
        <v>20</v>
      </c>
      <c r="H25" s="72">
        <v>25</v>
      </c>
      <c r="P25" s="72" t="str">
        <v>Feb</v>
      </c>
      <c r="W25" s="72" t="str">
        <v>C</v>
      </c>
      <c r="X25" s="72" t="str">
        <v>D</v>
      </c>
      <c r="Y25" s="72" t="str">
        <v>C</v>
      </c>
      <c r="Z25" s="72" t="str">
        <v>D</v>
      </c>
      <c r="AA25" s="72" t="str">
        <v>C</v>
      </c>
      <c r="AB25" s="72" t="str">
        <v>D</v>
      </c>
      <c r="AC25" s="72" t="str">
        <v>C</v>
      </c>
      <c r="AD25" s="72" t="str">
        <v>D</v>
      </c>
      <c r="AE25" s="72" t="str">
        <v>C</v>
      </c>
      <c r="AF25" s="72" t="str">
        <v>D</v>
      </c>
      <c r="AG25" s="163"/>
    </row>
    <row r="26" spans="2:33">
      <c r="B26" s="188" t="s">
        <v>102</v>
      </c>
      <c r="F26" s="72">
        <v>30</v>
      </c>
      <c r="G26" s="72">
        <v>35</v>
      </c>
      <c r="H26" s="72">
        <v>40</v>
      </c>
      <c r="P26" s="72" t="str">
        <v>Mar</v>
      </c>
      <c r="W26" s="72" t="str">
        <v>A</v>
      </c>
      <c r="X26" s="72" t="str">
        <v>B</v>
      </c>
      <c r="Y26" s="72" t="str">
        <v>A</v>
      </c>
      <c r="Z26" s="72" t="str">
        <v>B</v>
      </c>
      <c r="AA26" s="72" t="str">
        <v>A</v>
      </c>
      <c r="AB26" s="72" t="str">
        <v>B</v>
      </c>
      <c r="AC26" s="72" t="str">
        <v>A</v>
      </c>
      <c r="AD26" s="72" t="str">
        <v>B</v>
      </c>
      <c r="AE26" s="72" t="str">
        <v>A</v>
      </c>
      <c r="AF26" s="72" t="str">
        <v>B</v>
      </c>
      <c r="AG26" s="163"/>
    </row>
    <row r="27" spans="2:33">
      <c r="B27" s="203"/>
      <c r="P27" s="72" t="str">
        <v>Apr</v>
      </c>
      <c r="W27" s="72" t="str">
        <v>C</v>
      </c>
      <c r="X27" s="72" t="str">
        <v>D</v>
      </c>
      <c r="Y27" s="72" t="str">
        <v>C</v>
      </c>
      <c r="Z27" s="72" t="str">
        <v>D</v>
      </c>
      <c r="AA27" s="72" t="str">
        <v>C</v>
      </c>
      <c r="AB27" s="72" t="str">
        <v>D</v>
      </c>
      <c r="AC27" s="72" t="str">
        <v>C</v>
      </c>
      <c r="AD27" s="72" t="str">
        <v>D</v>
      </c>
      <c r="AE27" s="72" t="str">
        <v>C</v>
      </c>
      <c r="AF27" s="72" t="str">
        <v>D</v>
      </c>
      <c r="AG27" s="163"/>
    </row>
    <row r="28" spans="2:33">
      <c r="B28" s="203"/>
      <c r="P28" s="72" t="str">
        <v>May</v>
      </c>
      <c r="W28" s="72" t="str">
        <v>A</v>
      </c>
      <c r="X28" s="72" t="str">
        <v>B</v>
      </c>
      <c r="Y28" s="72" t="str">
        <v>A</v>
      </c>
      <c r="Z28" s="72" t="str">
        <v>B</v>
      </c>
      <c r="AA28" s="72" t="str">
        <v>A</v>
      </c>
      <c r="AB28" s="72" t="str">
        <v>B</v>
      </c>
      <c r="AC28" s="72" t="str">
        <v>A</v>
      </c>
      <c r="AD28" s="72" t="str">
        <v>B</v>
      </c>
      <c r="AE28" s="72" t="str">
        <v>A</v>
      </c>
      <c r="AF28" s="72" t="str">
        <v>B</v>
      </c>
      <c r="AG28" s="163"/>
    </row>
    <row r="29" spans="2:33" ht="15">
      <c r="B29" s="203"/>
      <c r="C29" s="25" t="s">
        <v>106</v>
      </c>
      <c r="F29" s="25" t="s">
        <v>434</v>
      </c>
      <c r="P29" s="72" t="str">
        <v>Jun</v>
      </c>
      <c r="W29" s="72" t="str">
        <v>C</v>
      </c>
      <c r="X29" s="72" t="str">
        <v>D</v>
      </c>
      <c r="Y29" s="72" t="str">
        <v>C</v>
      </c>
      <c r="Z29" s="72" t="str">
        <v>D</v>
      </c>
      <c r="AA29" s="72" t="str">
        <v>C</v>
      </c>
      <c r="AB29" s="72" t="str">
        <v>D</v>
      </c>
      <c r="AC29" s="72" t="str">
        <v>C</v>
      </c>
      <c r="AD29" s="72" t="str">
        <v>D</v>
      </c>
      <c r="AE29" s="72" t="str">
        <v>C</v>
      </c>
      <c r="AF29" s="72" t="str">
        <v>D</v>
      </c>
      <c r="AG29" s="163"/>
    </row>
    <row r="30" spans="2:33" ht="15">
      <c r="B30" s="203"/>
      <c r="C30" s="188" t="s">
        <v>107</v>
      </c>
      <c r="D30" s="188" t="s">
        <v>108</v>
      </c>
      <c r="F30" s="32" t="s">
        <v>89</v>
      </c>
      <c r="P30" s="72" t="str">
        <v>Jul</v>
      </c>
      <c r="W30" s="72" t="str">
        <v>A</v>
      </c>
      <c r="X30" s="72" t="str">
        <v>B</v>
      </c>
      <c r="Y30" s="72" t="str">
        <v>A</v>
      </c>
      <c r="Z30" s="72" t="str">
        <v>B</v>
      </c>
      <c r="AA30" s="72" t="str">
        <v>A</v>
      </c>
      <c r="AB30" s="72" t="str">
        <v>B</v>
      </c>
      <c r="AC30" s="72" t="str">
        <v>A</v>
      </c>
      <c r="AD30" s="72" t="str">
        <v>B</v>
      </c>
      <c r="AE30" s="72" t="str">
        <v>A</v>
      </c>
      <c r="AF30" s="72" t="str">
        <v>B</v>
      </c>
      <c r="AG30" s="163"/>
    </row>
    <row r="31" spans="2:33">
      <c r="B31" s="203"/>
      <c r="C31" s="188" t="s">
        <v>109</v>
      </c>
      <c r="D31" s="188" t="s">
        <v>110</v>
      </c>
      <c r="F31" s="72" cm="1">
        <f t="array" ref="F31:K33">Resizeλ(_xlfn.ANCHORARRAY(B9),,2)</f>
        <v>0</v>
      </c>
      <c r="G31" s="72">
        <v>5</v>
      </c>
      <c r="H31" s="72">
        <v>10</v>
      </c>
      <c r="I31" s="72">
        <v>0</v>
      </c>
      <c r="J31" s="72">
        <v>5</v>
      </c>
      <c r="K31" s="72">
        <v>10</v>
      </c>
      <c r="P31" s="72" t="str">
        <v>Aug</v>
      </c>
      <c r="W31" s="72" t="str">
        <v>C</v>
      </c>
      <c r="X31" s="72" t="str">
        <v>D</v>
      </c>
      <c r="Y31" s="72" t="str">
        <v>C</v>
      </c>
      <c r="Z31" s="72" t="str">
        <v>D</v>
      </c>
      <c r="AA31" s="72" t="str">
        <v>C</v>
      </c>
      <c r="AB31" s="72" t="str">
        <v>D</v>
      </c>
      <c r="AC31" s="72" t="str">
        <v>C</v>
      </c>
      <c r="AD31" s="72" t="str">
        <v>D</v>
      </c>
      <c r="AE31" s="72" t="str">
        <v>C</v>
      </c>
      <c r="AF31" s="72" t="str">
        <v>D</v>
      </c>
      <c r="AG31" s="163"/>
    </row>
    <row r="32" spans="2:33">
      <c r="B32" s="203"/>
      <c r="F32" s="72">
        <v>15</v>
      </c>
      <c r="G32" s="72">
        <v>20</v>
      </c>
      <c r="H32" s="72">
        <v>25</v>
      </c>
      <c r="I32" s="72">
        <v>15</v>
      </c>
      <c r="J32" s="72">
        <v>20</v>
      </c>
      <c r="K32" s="72">
        <v>25</v>
      </c>
      <c r="P32" s="72" t="str">
        <v>Sep</v>
      </c>
      <c r="AG32" s="163"/>
    </row>
    <row r="33" spans="2:33">
      <c r="B33" s="203"/>
      <c r="F33" s="72">
        <v>30</v>
      </c>
      <c r="G33" s="72">
        <v>35</v>
      </c>
      <c r="H33" s="72">
        <v>40</v>
      </c>
      <c r="I33" s="72">
        <v>30</v>
      </c>
      <c r="J33" s="72">
        <v>35</v>
      </c>
      <c r="K33" s="72">
        <v>40</v>
      </c>
      <c r="P33" s="72" t="str">
        <v>Oct</v>
      </c>
      <c r="AG33" s="163"/>
    </row>
    <row r="34" spans="2:33">
      <c r="B34" s="203"/>
      <c r="P34" s="72" t="str">
        <v>Nov</v>
      </c>
      <c r="AG34" s="163"/>
    </row>
    <row r="35" spans="2:33">
      <c r="B35" s="203"/>
      <c r="P35" s="72" t="str">
        <v>Dec</v>
      </c>
      <c r="AG35" s="163"/>
    </row>
    <row r="36" spans="2:33">
      <c r="B36" s="203"/>
      <c r="P36" s="72" t="str">
        <v>Jan</v>
      </c>
      <c r="AG36" s="163"/>
    </row>
    <row r="37" spans="2:33">
      <c r="B37" s="203"/>
      <c r="P37" s="72" t="str">
        <v>Feb</v>
      </c>
      <c r="AG37" s="163"/>
    </row>
    <row r="38" spans="2:33">
      <c r="B38" s="203"/>
      <c r="P38" s="72" t="str">
        <v>Mar</v>
      </c>
      <c r="AG38" s="163"/>
    </row>
    <row r="39" spans="2:33">
      <c r="B39" s="203"/>
      <c r="P39" s="72" t="str">
        <v>Apr</v>
      </c>
      <c r="AG39" s="163"/>
    </row>
    <row r="40" spans="2:33">
      <c r="B40" s="203"/>
      <c r="P40" s="72" t="str">
        <v>May</v>
      </c>
      <c r="AG40" s="163"/>
    </row>
    <row r="41" spans="2:33">
      <c r="B41" s="203"/>
      <c r="P41" s="72" t="str">
        <v>Jun</v>
      </c>
      <c r="AG41" s="163"/>
    </row>
    <row r="42" spans="2:33">
      <c r="B42" s="203"/>
      <c r="P42" s="72" t="str">
        <v>Jul</v>
      </c>
      <c r="AG42" s="163"/>
    </row>
    <row r="43" spans="2:33">
      <c r="B43" s="203"/>
      <c r="P43" s="72" t="str">
        <v>Aug</v>
      </c>
      <c r="AG43" s="163"/>
    </row>
    <row r="44" spans="2:33">
      <c r="B44" s="203"/>
      <c r="P44" s="72" t="str">
        <v>Sep</v>
      </c>
      <c r="AG44" s="163"/>
    </row>
    <row r="45" spans="2:33">
      <c r="B45" s="203"/>
      <c r="P45" s="72" t="str">
        <v>Oct</v>
      </c>
      <c r="AG45" s="163"/>
    </row>
    <row r="46" spans="2:33">
      <c r="B46" s="203"/>
      <c r="P46" s="72" t="str">
        <v>Nov</v>
      </c>
      <c r="AG46" s="163"/>
    </row>
    <row r="47" spans="2:33">
      <c r="B47" s="203"/>
      <c r="P47" s="72" t="str">
        <v>Dec</v>
      </c>
      <c r="AG47" s="163"/>
    </row>
    <row r="48" spans="2:33">
      <c r="B48" s="204"/>
      <c r="C48" s="164"/>
      <c r="D48" s="164"/>
      <c r="E48" s="164"/>
      <c r="F48" s="164"/>
      <c r="G48" s="164"/>
      <c r="H48" s="164"/>
      <c r="I48" s="164"/>
      <c r="J48" s="164"/>
      <c r="K48" s="164"/>
      <c r="L48" s="164"/>
      <c r="M48" s="164"/>
      <c r="N48" s="164"/>
      <c r="O48" s="164"/>
      <c r="P48" s="164"/>
      <c r="Q48" s="164"/>
      <c r="R48" s="164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  <c r="AD48" s="164"/>
      <c r="AE48" s="164"/>
      <c r="AF48" s="164"/>
      <c r="AG48" s="165"/>
    </row>
    <row r="50" spans="16:16">
      <c r="P50" s="34"/>
    </row>
    <row r="51" spans="16:16">
      <c r="P51" s="34"/>
    </row>
    <row r="52" spans="16:16">
      <c r="P52" s="34"/>
    </row>
    <row r="53" spans="16:16">
      <c r="P53" s="34"/>
    </row>
    <row r="54" spans="16:16">
      <c r="P54" s="34"/>
    </row>
    <row r="55" spans="16:16">
      <c r="P55" s="34"/>
    </row>
    <row r="56" spans="16:16">
      <c r="P56" s="34"/>
    </row>
    <row r="57" spans="16:16">
      <c r="P57" s="34"/>
    </row>
    <row r="58" spans="16:16">
      <c r="P58" s="34"/>
    </row>
    <row r="59" spans="16:16">
      <c r="P59" s="34"/>
    </row>
    <row r="60" spans="16:16">
      <c r="P60" s="34"/>
    </row>
    <row r="61" spans="16:16">
      <c r="P61" s="34"/>
    </row>
  </sheetData>
  <phoneticPr fontId="9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6BC82-0B7E-4FD0-8A4E-84F577724F7A}">
  <sheetPr codeName="Sheet4">
    <tabColor rgb="FFD4E7F3"/>
  </sheetPr>
  <dimension ref="B2:AI37"/>
  <sheetViews>
    <sheetView workbookViewId="0"/>
  </sheetViews>
  <sheetFormatPr defaultRowHeight="14"/>
  <cols>
    <col min="1" max="1" width="5" style="12" customWidth="1"/>
    <col min="2" max="2" width="2.83203125" style="12" customWidth="1"/>
    <col min="3" max="10" width="3.33203125" style="12" bestFit="1" customWidth="1"/>
    <col min="11" max="11" width="3.83203125" style="12" customWidth="1"/>
    <col min="12" max="12" width="8.6640625" style="12"/>
    <col min="13" max="35" width="4" style="12" customWidth="1"/>
    <col min="36" max="16384" width="8.6640625" style="12"/>
  </cols>
  <sheetData>
    <row r="2" spans="2:35" ht="16.5">
      <c r="B2" s="160" t="s">
        <v>420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4"/>
    </row>
    <row r="3" spans="2:35" ht="16.5">
      <c r="B3" s="166" t="s">
        <v>114</v>
      </c>
      <c r="AC3" s="15"/>
    </row>
    <row r="4" spans="2:35" ht="16.5">
      <c r="B4" s="166" t="s">
        <v>122</v>
      </c>
      <c r="AC4" s="15"/>
    </row>
    <row r="5" spans="2:35" ht="15">
      <c r="B5" s="16"/>
      <c r="E5" s="33">
        <v>1</v>
      </c>
      <c r="F5" s="33" t="s">
        <v>123</v>
      </c>
      <c r="AC5" s="15"/>
    </row>
    <row r="6" spans="2:35" ht="15">
      <c r="B6" s="16"/>
      <c r="E6" s="33">
        <v>2</v>
      </c>
      <c r="F6" s="33" t="s">
        <v>124</v>
      </c>
      <c r="AC6" s="15"/>
    </row>
    <row r="7" spans="2:35" ht="15">
      <c r="B7" s="16"/>
      <c r="E7" s="33">
        <v>3</v>
      </c>
      <c r="F7" s="33" t="s">
        <v>125</v>
      </c>
      <c r="AC7" s="15"/>
    </row>
    <row r="8" spans="2:35">
      <c r="B8" s="16"/>
      <c r="AC8" s="15"/>
    </row>
    <row r="9" spans="2:35" ht="15">
      <c r="B9" s="170" t="s">
        <v>121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20"/>
    </row>
    <row r="11" spans="2:35" ht="15">
      <c r="B11" s="21" t="s">
        <v>51</v>
      </c>
      <c r="C11" s="13"/>
      <c r="D11" s="13"/>
      <c r="E11" s="13"/>
      <c r="F11" s="13"/>
      <c r="G11" s="13"/>
      <c r="H11" s="13"/>
      <c r="I11" s="13"/>
      <c r="J11" s="13"/>
      <c r="K11" s="13"/>
      <c r="L11" s="14"/>
      <c r="M11" s="21" t="s">
        <v>115</v>
      </c>
      <c r="N11" s="13"/>
      <c r="O11" s="13"/>
      <c r="P11" s="13"/>
      <c r="Q11" s="13"/>
      <c r="R11" s="13"/>
      <c r="S11" s="13"/>
      <c r="T11" s="13"/>
      <c r="U11" s="13"/>
      <c r="V11" s="13"/>
      <c r="W11" s="14"/>
      <c r="X11" s="36"/>
      <c r="Y11" s="37" t="s">
        <v>116</v>
      </c>
      <c r="Z11" s="13"/>
      <c r="AA11" s="13"/>
      <c r="AB11" s="13"/>
      <c r="AC11" s="13"/>
      <c r="AD11" s="13"/>
      <c r="AE11" s="13"/>
      <c r="AF11" s="13"/>
      <c r="AG11" s="13"/>
      <c r="AH11" s="13"/>
      <c r="AI11" s="14"/>
    </row>
    <row r="12" spans="2:35" ht="15">
      <c r="B12" s="207" t="s">
        <v>396</v>
      </c>
      <c r="K12" s="38" t="s">
        <v>118</v>
      </c>
      <c r="L12" s="15"/>
      <c r="M12" s="205" t="s">
        <v>435</v>
      </c>
      <c r="W12" s="15"/>
      <c r="X12" s="16"/>
      <c r="Y12" s="46" t="s">
        <v>438</v>
      </c>
      <c r="AI12" s="15"/>
    </row>
    <row r="13" spans="2:35">
      <c r="B13" s="77" cm="1">
        <f t="array" ref="B13:K22">_xlfn.SEQUENCE(10,10)</f>
        <v>1</v>
      </c>
      <c r="C13" s="77">
        <v>2</v>
      </c>
      <c r="D13" s="77">
        <v>3</v>
      </c>
      <c r="E13" s="77">
        <v>4</v>
      </c>
      <c r="F13" s="77">
        <v>5</v>
      </c>
      <c r="G13" s="77">
        <v>6</v>
      </c>
      <c r="H13" s="77">
        <v>7</v>
      </c>
      <c r="I13" s="77">
        <v>8</v>
      </c>
      <c r="J13" s="77">
        <v>9</v>
      </c>
      <c r="K13" s="78">
        <v>10</v>
      </c>
      <c r="L13" s="15"/>
      <c r="M13" s="78" cm="1">
        <f t="array" ref="M13:V22">Traverseλ(_xlfn.ANCHORARRAY(B13),1)</f>
        <v>10</v>
      </c>
      <c r="N13" s="77">
        <v>20</v>
      </c>
      <c r="O13" s="77">
        <v>30</v>
      </c>
      <c r="P13" s="77">
        <v>40</v>
      </c>
      <c r="Q13" s="77">
        <v>50</v>
      </c>
      <c r="R13" s="77">
        <v>60</v>
      </c>
      <c r="S13" s="77">
        <v>70</v>
      </c>
      <c r="T13" s="77">
        <v>80</v>
      </c>
      <c r="U13" s="77">
        <v>90</v>
      </c>
      <c r="V13" s="77">
        <v>100</v>
      </c>
      <c r="W13" s="15"/>
      <c r="X13" s="16"/>
      <c r="Y13" s="80" cm="1">
        <f t="array" ref="Y13:AH22">Traverseλ(_xlfn.ANCHORARRAY(B13),2)</f>
        <v>100</v>
      </c>
      <c r="Z13" s="77">
        <v>99</v>
      </c>
      <c r="AA13" s="77">
        <v>98</v>
      </c>
      <c r="AB13" s="77">
        <v>97</v>
      </c>
      <c r="AC13" s="77">
        <v>96</v>
      </c>
      <c r="AD13" s="77">
        <v>95</v>
      </c>
      <c r="AE13" s="77">
        <v>94</v>
      </c>
      <c r="AF13" s="77">
        <v>93</v>
      </c>
      <c r="AG13" s="77">
        <v>92</v>
      </c>
      <c r="AH13" s="77">
        <v>91</v>
      </c>
      <c r="AI13" s="15"/>
    </row>
    <row r="14" spans="2:35">
      <c r="B14" s="77">
        <v>11</v>
      </c>
      <c r="C14" s="77">
        <v>12</v>
      </c>
      <c r="D14" s="77">
        <v>13</v>
      </c>
      <c r="E14" s="77">
        <v>14</v>
      </c>
      <c r="F14" s="77">
        <v>15</v>
      </c>
      <c r="G14" s="77">
        <v>16</v>
      </c>
      <c r="H14" s="77">
        <v>17</v>
      </c>
      <c r="I14" s="77">
        <v>18</v>
      </c>
      <c r="J14" s="77">
        <v>19</v>
      </c>
      <c r="K14" s="77">
        <v>20</v>
      </c>
      <c r="L14" s="15"/>
      <c r="M14" s="77">
        <v>9</v>
      </c>
      <c r="N14" s="77">
        <v>19</v>
      </c>
      <c r="O14" s="77">
        <v>29</v>
      </c>
      <c r="P14" s="77">
        <v>39</v>
      </c>
      <c r="Q14" s="77">
        <v>49</v>
      </c>
      <c r="R14" s="77">
        <v>59</v>
      </c>
      <c r="S14" s="77">
        <v>69</v>
      </c>
      <c r="T14" s="77">
        <v>79</v>
      </c>
      <c r="U14" s="77">
        <v>89</v>
      </c>
      <c r="V14" s="77">
        <v>99</v>
      </c>
      <c r="W14" s="15"/>
      <c r="X14" s="16"/>
      <c r="Y14" s="77">
        <v>90</v>
      </c>
      <c r="Z14" s="77">
        <v>89</v>
      </c>
      <c r="AA14" s="77">
        <v>88</v>
      </c>
      <c r="AB14" s="77">
        <v>87</v>
      </c>
      <c r="AC14" s="77">
        <v>86</v>
      </c>
      <c r="AD14" s="77">
        <v>85</v>
      </c>
      <c r="AE14" s="77">
        <v>84</v>
      </c>
      <c r="AF14" s="77">
        <v>83</v>
      </c>
      <c r="AG14" s="77">
        <v>82</v>
      </c>
      <c r="AH14" s="77">
        <v>81</v>
      </c>
      <c r="AI14" s="15"/>
    </row>
    <row r="15" spans="2:35">
      <c r="B15" s="77">
        <v>21</v>
      </c>
      <c r="C15" s="77">
        <v>22</v>
      </c>
      <c r="D15" s="77">
        <v>23</v>
      </c>
      <c r="E15" s="77">
        <v>24</v>
      </c>
      <c r="F15" s="77">
        <v>25</v>
      </c>
      <c r="G15" s="77">
        <v>26</v>
      </c>
      <c r="H15" s="77">
        <v>27</v>
      </c>
      <c r="I15" s="77">
        <v>28</v>
      </c>
      <c r="J15" s="77">
        <v>29</v>
      </c>
      <c r="K15" s="77">
        <v>30</v>
      </c>
      <c r="L15" s="15"/>
      <c r="M15" s="77">
        <v>8</v>
      </c>
      <c r="N15" s="77">
        <v>18</v>
      </c>
      <c r="O15" s="77">
        <v>28</v>
      </c>
      <c r="P15" s="77">
        <v>38</v>
      </c>
      <c r="Q15" s="77">
        <v>48</v>
      </c>
      <c r="R15" s="77">
        <v>58</v>
      </c>
      <c r="S15" s="77">
        <v>68</v>
      </c>
      <c r="T15" s="77">
        <v>78</v>
      </c>
      <c r="U15" s="77">
        <v>88</v>
      </c>
      <c r="V15" s="77">
        <v>98</v>
      </c>
      <c r="W15" s="15"/>
      <c r="X15" s="16"/>
      <c r="Y15" s="77">
        <v>80</v>
      </c>
      <c r="Z15" s="77">
        <v>79</v>
      </c>
      <c r="AA15" s="77">
        <v>78</v>
      </c>
      <c r="AB15" s="77">
        <v>77</v>
      </c>
      <c r="AC15" s="77">
        <v>76</v>
      </c>
      <c r="AD15" s="77">
        <v>75</v>
      </c>
      <c r="AE15" s="77">
        <v>74</v>
      </c>
      <c r="AF15" s="77">
        <v>73</v>
      </c>
      <c r="AG15" s="77">
        <v>72</v>
      </c>
      <c r="AH15" s="77">
        <v>71</v>
      </c>
      <c r="AI15" s="15"/>
    </row>
    <row r="16" spans="2:35">
      <c r="B16" s="77">
        <v>31</v>
      </c>
      <c r="C16" s="77">
        <v>32</v>
      </c>
      <c r="D16" s="77">
        <v>33</v>
      </c>
      <c r="E16" s="77">
        <v>34</v>
      </c>
      <c r="F16" s="77">
        <v>35</v>
      </c>
      <c r="G16" s="77">
        <v>36</v>
      </c>
      <c r="H16" s="77">
        <v>37</v>
      </c>
      <c r="I16" s="77">
        <v>38</v>
      </c>
      <c r="J16" s="77">
        <v>39</v>
      </c>
      <c r="K16" s="77">
        <v>40</v>
      </c>
      <c r="L16" s="15"/>
      <c r="M16" s="77">
        <v>7</v>
      </c>
      <c r="N16" s="77">
        <v>17</v>
      </c>
      <c r="O16" s="77">
        <v>27</v>
      </c>
      <c r="P16" s="77">
        <v>37</v>
      </c>
      <c r="Q16" s="77">
        <v>47</v>
      </c>
      <c r="R16" s="77">
        <v>57</v>
      </c>
      <c r="S16" s="77">
        <v>67</v>
      </c>
      <c r="T16" s="77">
        <v>77</v>
      </c>
      <c r="U16" s="77">
        <v>87</v>
      </c>
      <c r="V16" s="77">
        <v>97</v>
      </c>
      <c r="W16" s="15"/>
      <c r="X16" s="16"/>
      <c r="Y16" s="77">
        <v>70</v>
      </c>
      <c r="Z16" s="77">
        <v>69</v>
      </c>
      <c r="AA16" s="77">
        <v>68</v>
      </c>
      <c r="AB16" s="77">
        <v>67</v>
      </c>
      <c r="AC16" s="77">
        <v>66</v>
      </c>
      <c r="AD16" s="77">
        <v>65</v>
      </c>
      <c r="AE16" s="77">
        <v>64</v>
      </c>
      <c r="AF16" s="77">
        <v>63</v>
      </c>
      <c r="AG16" s="77">
        <v>62</v>
      </c>
      <c r="AH16" s="77">
        <v>61</v>
      </c>
      <c r="AI16" s="15"/>
    </row>
    <row r="17" spans="2:35">
      <c r="B17" s="77">
        <v>41</v>
      </c>
      <c r="C17" s="77">
        <v>42</v>
      </c>
      <c r="D17" s="77">
        <v>43</v>
      </c>
      <c r="E17" s="77">
        <v>44</v>
      </c>
      <c r="F17" s="77">
        <v>45</v>
      </c>
      <c r="G17" s="77">
        <v>46</v>
      </c>
      <c r="H17" s="77">
        <v>47</v>
      </c>
      <c r="I17" s="77">
        <v>48</v>
      </c>
      <c r="J17" s="77">
        <v>49</v>
      </c>
      <c r="K17" s="77">
        <v>50</v>
      </c>
      <c r="L17" s="15"/>
      <c r="M17" s="77">
        <v>6</v>
      </c>
      <c r="N17" s="77">
        <v>16</v>
      </c>
      <c r="O17" s="77">
        <v>26</v>
      </c>
      <c r="P17" s="77">
        <v>36</v>
      </c>
      <c r="Q17" s="77">
        <v>46</v>
      </c>
      <c r="R17" s="77">
        <v>56</v>
      </c>
      <c r="S17" s="77">
        <v>66</v>
      </c>
      <c r="T17" s="77">
        <v>76</v>
      </c>
      <c r="U17" s="77">
        <v>86</v>
      </c>
      <c r="V17" s="77">
        <v>96</v>
      </c>
      <c r="W17" s="15"/>
      <c r="X17" s="16"/>
      <c r="Y17" s="77">
        <v>60</v>
      </c>
      <c r="Z17" s="77">
        <v>59</v>
      </c>
      <c r="AA17" s="77">
        <v>58</v>
      </c>
      <c r="AB17" s="77">
        <v>57</v>
      </c>
      <c r="AC17" s="77">
        <v>56</v>
      </c>
      <c r="AD17" s="77">
        <v>55</v>
      </c>
      <c r="AE17" s="77">
        <v>54</v>
      </c>
      <c r="AF17" s="77">
        <v>53</v>
      </c>
      <c r="AG17" s="77">
        <v>52</v>
      </c>
      <c r="AH17" s="77">
        <v>51</v>
      </c>
      <c r="AI17" s="15"/>
    </row>
    <row r="18" spans="2:35">
      <c r="B18" s="77">
        <v>51</v>
      </c>
      <c r="C18" s="77">
        <v>52</v>
      </c>
      <c r="D18" s="77">
        <v>53</v>
      </c>
      <c r="E18" s="77">
        <v>54</v>
      </c>
      <c r="F18" s="77">
        <v>55</v>
      </c>
      <c r="G18" s="77">
        <v>56</v>
      </c>
      <c r="H18" s="77">
        <v>57</v>
      </c>
      <c r="I18" s="77">
        <v>58</v>
      </c>
      <c r="J18" s="77">
        <v>59</v>
      </c>
      <c r="K18" s="77">
        <v>60</v>
      </c>
      <c r="L18" s="15"/>
      <c r="M18" s="77">
        <v>5</v>
      </c>
      <c r="N18" s="77">
        <v>15</v>
      </c>
      <c r="O18" s="77">
        <v>25</v>
      </c>
      <c r="P18" s="77">
        <v>35</v>
      </c>
      <c r="Q18" s="77">
        <v>45</v>
      </c>
      <c r="R18" s="77">
        <v>55</v>
      </c>
      <c r="S18" s="77">
        <v>65</v>
      </c>
      <c r="T18" s="77">
        <v>75</v>
      </c>
      <c r="U18" s="77">
        <v>85</v>
      </c>
      <c r="V18" s="77">
        <v>95</v>
      </c>
      <c r="W18" s="15"/>
      <c r="X18" s="16"/>
      <c r="Y18" s="77">
        <v>50</v>
      </c>
      <c r="Z18" s="77">
        <v>49</v>
      </c>
      <c r="AA18" s="77">
        <v>48</v>
      </c>
      <c r="AB18" s="77">
        <v>47</v>
      </c>
      <c r="AC18" s="77">
        <v>46</v>
      </c>
      <c r="AD18" s="77">
        <v>45</v>
      </c>
      <c r="AE18" s="77">
        <v>44</v>
      </c>
      <c r="AF18" s="77">
        <v>43</v>
      </c>
      <c r="AG18" s="77">
        <v>42</v>
      </c>
      <c r="AH18" s="77">
        <v>41</v>
      </c>
      <c r="AI18" s="15"/>
    </row>
    <row r="19" spans="2:35">
      <c r="B19" s="77">
        <v>61</v>
      </c>
      <c r="C19" s="77">
        <v>62</v>
      </c>
      <c r="D19" s="77">
        <v>63</v>
      </c>
      <c r="E19" s="77">
        <v>64</v>
      </c>
      <c r="F19" s="77">
        <v>65</v>
      </c>
      <c r="G19" s="77">
        <v>66</v>
      </c>
      <c r="H19" s="77">
        <v>67</v>
      </c>
      <c r="I19" s="77">
        <v>68</v>
      </c>
      <c r="J19" s="77">
        <v>69</v>
      </c>
      <c r="K19" s="77">
        <v>70</v>
      </c>
      <c r="L19" s="15"/>
      <c r="M19" s="77">
        <v>4</v>
      </c>
      <c r="N19" s="77">
        <v>14</v>
      </c>
      <c r="O19" s="77">
        <v>24</v>
      </c>
      <c r="P19" s="77">
        <v>34</v>
      </c>
      <c r="Q19" s="77">
        <v>44</v>
      </c>
      <c r="R19" s="77">
        <v>54</v>
      </c>
      <c r="S19" s="77">
        <v>64</v>
      </c>
      <c r="T19" s="77">
        <v>74</v>
      </c>
      <c r="U19" s="77">
        <v>84</v>
      </c>
      <c r="V19" s="77">
        <v>94</v>
      </c>
      <c r="W19" s="15"/>
      <c r="X19" s="16"/>
      <c r="Y19" s="77">
        <v>40</v>
      </c>
      <c r="Z19" s="77">
        <v>39</v>
      </c>
      <c r="AA19" s="77">
        <v>38</v>
      </c>
      <c r="AB19" s="77">
        <v>37</v>
      </c>
      <c r="AC19" s="77">
        <v>36</v>
      </c>
      <c r="AD19" s="77">
        <v>35</v>
      </c>
      <c r="AE19" s="77">
        <v>34</v>
      </c>
      <c r="AF19" s="77">
        <v>33</v>
      </c>
      <c r="AG19" s="77">
        <v>32</v>
      </c>
      <c r="AH19" s="77">
        <v>31</v>
      </c>
      <c r="AI19" s="15"/>
    </row>
    <row r="20" spans="2:35">
      <c r="B20" s="77">
        <v>71</v>
      </c>
      <c r="C20" s="77">
        <v>72</v>
      </c>
      <c r="D20" s="77">
        <v>73</v>
      </c>
      <c r="E20" s="77">
        <v>74</v>
      </c>
      <c r="F20" s="77">
        <v>75</v>
      </c>
      <c r="G20" s="77">
        <v>76</v>
      </c>
      <c r="H20" s="77">
        <v>77</v>
      </c>
      <c r="I20" s="77">
        <v>78</v>
      </c>
      <c r="J20" s="77">
        <v>79</v>
      </c>
      <c r="K20" s="77">
        <v>80</v>
      </c>
      <c r="L20" s="15"/>
      <c r="M20" s="77">
        <v>3</v>
      </c>
      <c r="N20" s="77">
        <v>13</v>
      </c>
      <c r="O20" s="77">
        <v>23</v>
      </c>
      <c r="P20" s="77">
        <v>33</v>
      </c>
      <c r="Q20" s="77">
        <v>43</v>
      </c>
      <c r="R20" s="77">
        <v>53</v>
      </c>
      <c r="S20" s="77">
        <v>63</v>
      </c>
      <c r="T20" s="77">
        <v>73</v>
      </c>
      <c r="U20" s="77">
        <v>83</v>
      </c>
      <c r="V20" s="77">
        <v>93</v>
      </c>
      <c r="W20" s="15"/>
      <c r="X20" s="16"/>
      <c r="Y20" s="77">
        <v>30</v>
      </c>
      <c r="Z20" s="77">
        <v>29</v>
      </c>
      <c r="AA20" s="77">
        <v>28</v>
      </c>
      <c r="AB20" s="77">
        <v>27</v>
      </c>
      <c r="AC20" s="77">
        <v>26</v>
      </c>
      <c r="AD20" s="77">
        <v>25</v>
      </c>
      <c r="AE20" s="77">
        <v>24</v>
      </c>
      <c r="AF20" s="77">
        <v>23</v>
      </c>
      <c r="AG20" s="77">
        <v>22</v>
      </c>
      <c r="AH20" s="77">
        <v>21</v>
      </c>
      <c r="AI20" s="15"/>
    </row>
    <row r="21" spans="2:35">
      <c r="B21" s="77">
        <v>81</v>
      </c>
      <c r="C21" s="77">
        <v>82</v>
      </c>
      <c r="D21" s="77">
        <v>83</v>
      </c>
      <c r="E21" s="77">
        <v>84</v>
      </c>
      <c r="F21" s="77">
        <v>85</v>
      </c>
      <c r="G21" s="77">
        <v>86</v>
      </c>
      <c r="H21" s="77">
        <v>87</v>
      </c>
      <c r="I21" s="77">
        <v>88</v>
      </c>
      <c r="J21" s="77">
        <v>89</v>
      </c>
      <c r="K21" s="77">
        <v>90</v>
      </c>
      <c r="L21" s="15"/>
      <c r="M21" s="77">
        <v>2</v>
      </c>
      <c r="N21" s="77">
        <v>12</v>
      </c>
      <c r="O21" s="77">
        <v>22</v>
      </c>
      <c r="P21" s="77">
        <v>32</v>
      </c>
      <c r="Q21" s="77">
        <v>42</v>
      </c>
      <c r="R21" s="77">
        <v>52</v>
      </c>
      <c r="S21" s="77">
        <v>62</v>
      </c>
      <c r="T21" s="77">
        <v>72</v>
      </c>
      <c r="U21" s="77">
        <v>82</v>
      </c>
      <c r="V21" s="77">
        <v>92</v>
      </c>
      <c r="W21" s="15"/>
      <c r="X21" s="16"/>
      <c r="Y21" s="77">
        <v>20</v>
      </c>
      <c r="Z21" s="77">
        <v>19</v>
      </c>
      <c r="AA21" s="77">
        <v>18</v>
      </c>
      <c r="AB21" s="77">
        <v>17</v>
      </c>
      <c r="AC21" s="77">
        <v>16</v>
      </c>
      <c r="AD21" s="77">
        <v>15</v>
      </c>
      <c r="AE21" s="77">
        <v>14</v>
      </c>
      <c r="AF21" s="77">
        <v>13</v>
      </c>
      <c r="AG21" s="77">
        <v>12</v>
      </c>
      <c r="AH21" s="77">
        <v>11</v>
      </c>
      <c r="AI21" s="15"/>
    </row>
    <row r="22" spans="2:35">
      <c r="B22" s="79">
        <v>91</v>
      </c>
      <c r="C22" s="77">
        <v>92</v>
      </c>
      <c r="D22" s="77">
        <v>93</v>
      </c>
      <c r="E22" s="77">
        <v>94</v>
      </c>
      <c r="F22" s="77">
        <v>95</v>
      </c>
      <c r="G22" s="77">
        <v>96</v>
      </c>
      <c r="H22" s="77">
        <v>97</v>
      </c>
      <c r="I22" s="77">
        <v>98</v>
      </c>
      <c r="J22" s="77">
        <v>99</v>
      </c>
      <c r="K22" s="80">
        <v>100</v>
      </c>
      <c r="L22" s="15"/>
      <c r="M22" s="77">
        <v>1</v>
      </c>
      <c r="N22" s="77">
        <v>11</v>
      </c>
      <c r="O22" s="77">
        <v>21</v>
      </c>
      <c r="P22" s="77">
        <v>31</v>
      </c>
      <c r="Q22" s="77">
        <v>41</v>
      </c>
      <c r="R22" s="77">
        <v>51</v>
      </c>
      <c r="S22" s="77">
        <v>61</v>
      </c>
      <c r="T22" s="77">
        <v>71</v>
      </c>
      <c r="U22" s="77">
        <v>81</v>
      </c>
      <c r="V22" s="77">
        <v>91</v>
      </c>
      <c r="W22" s="15"/>
      <c r="X22" s="16"/>
      <c r="Y22" s="77">
        <v>10</v>
      </c>
      <c r="Z22" s="77">
        <v>9</v>
      </c>
      <c r="AA22" s="77">
        <v>8</v>
      </c>
      <c r="AB22" s="77">
        <v>7</v>
      </c>
      <c r="AC22" s="77">
        <v>6</v>
      </c>
      <c r="AD22" s="77">
        <v>5</v>
      </c>
      <c r="AE22" s="77">
        <v>4</v>
      </c>
      <c r="AF22" s="77">
        <v>3</v>
      </c>
      <c r="AG22" s="77">
        <v>2</v>
      </c>
      <c r="AH22" s="77">
        <v>1</v>
      </c>
      <c r="AI22" s="15"/>
    </row>
    <row r="23" spans="2:35" ht="15">
      <c r="B23" s="39" t="s">
        <v>120</v>
      </c>
      <c r="K23" s="38" t="s">
        <v>119</v>
      </c>
      <c r="L23" s="15"/>
      <c r="M23" s="16"/>
      <c r="W23" s="15"/>
      <c r="X23" s="16"/>
      <c r="AI23" s="15"/>
    </row>
    <row r="24" spans="2:35" ht="15">
      <c r="B24" s="16"/>
      <c r="L24" s="15"/>
      <c r="M24" s="17" t="s">
        <v>117</v>
      </c>
      <c r="W24" s="15"/>
      <c r="X24" s="16"/>
      <c r="Y24" s="25" t="s">
        <v>117</v>
      </c>
      <c r="AI24" s="15"/>
    </row>
    <row r="25" spans="2:35" ht="15">
      <c r="B25" s="16"/>
      <c r="L25" s="15"/>
      <c r="M25" s="205" t="s">
        <v>436</v>
      </c>
      <c r="W25" s="15"/>
      <c r="X25" s="16"/>
      <c r="Y25" s="46" t="s">
        <v>437</v>
      </c>
      <c r="AI25" s="15"/>
    </row>
    <row r="26" spans="2:35" ht="15">
      <c r="B26" s="40"/>
      <c r="C26" s="33"/>
      <c r="L26" s="15"/>
      <c r="M26" s="206" cm="1">
        <f t="array" ref="M26:V35">Traverseλ(_xlfn.ANCHORARRAY(B13),3)</f>
        <v>91</v>
      </c>
      <c r="N26" s="76">
        <v>81</v>
      </c>
      <c r="O26" s="76">
        <v>71</v>
      </c>
      <c r="P26" s="76">
        <v>61</v>
      </c>
      <c r="Q26" s="76">
        <v>51</v>
      </c>
      <c r="R26" s="76">
        <v>41</v>
      </c>
      <c r="S26" s="76">
        <v>31</v>
      </c>
      <c r="T26" s="76">
        <v>21</v>
      </c>
      <c r="U26" s="76">
        <v>11</v>
      </c>
      <c r="V26" s="76">
        <v>1</v>
      </c>
      <c r="W26" s="15"/>
      <c r="X26" s="16"/>
      <c r="Y26" s="206" cm="1">
        <f t="array" ref="Y26:AH35">Traverseλ(_xlfn.ANCHORARRAY(B13),"SW")</f>
        <v>91</v>
      </c>
      <c r="Z26" s="76">
        <v>81</v>
      </c>
      <c r="AA26" s="76">
        <v>71</v>
      </c>
      <c r="AB26" s="76">
        <v>61</v>
      </c>
      <c r="AC26" s="76">
        <v>51</v>
      </c>
      <c r="AD26" s="76">
        <v>41</v>
      </c>
      <c r="AE26" s="76">
        <v>31</v>
      </c>
      <c r="AF26" s="76">
        <v>21</v>
      </c>
      <c r="AG26" s="76">
        <v>11</v>
      </c>
      <c r="AH26" s="76">
        <v>1</v>
      </c>
      <c r="AI26" s="15"/>
    </row>
    <row r="27" spans="2:35">
      <c r="B27" s="16"/>
      <c r="L27" s="15"/>
      <c r="M27" s="76">
        <v>92</v>
      </c>
      <c r="N27" s="76">
        <v>82</v>
      </c>
      <c r="O27" s="76">
        <v>72</v>
      </c>
      <c r="P27" s="76">
        <v>62</v>
      </c>
      <c r="Q27" s="76">
        <v>52</v>
      </c>
      <c r="R27" s="76">
        <v>42</v>
      </c>
      <c r="S27" s="76">
        <v>32</v>
      </c>
      <c r="T27" s="76">
        <v>22</v>
      </c>
      <c r="U27" s="76">
        <v>12</v>
      </c>
      <c r="V27" s="76">
        <v>2</v>
      </c>
      <c r="W27" s="15"/>
      <c r="X27" s="16"/>
      <c r="Y27" s="76">
        <v>92</v>
      </c>
      <c r="Z27" s="76">
        <v>82</v>
      </c>
      <c r="AA27" s="76">
        <v>72</v>
      </c>
      <c r="AB27" s="76">
        <v>62</v>
      </c>
      <c r="AC27" s="76">
        <v>52</v>
      </c>
      <c r="AD27" s="76">
        <v>42</v>
      </c>
      <c r="AE27" s="76">
        <v>32</v>
      </c>
      <c r="AF27" s="76">
        <v>22</v>
      </c>
      <c r="AG27" s="76">
        <v>12</v>
      </c>
      <c r="AH27" s="76">
        <v>2</v>
      </c>
      <c r="AI27" s="15"/>
    </row>
    <row r="28" spans="2:35">
      <c r="B28" s="16"/>
      <c r="L28" s="15"/>
      <c r="M28" s="76">
        <v>93</v>
      </c>
      <c r="N28" s="76">
        <v>83</v>
      </c>
      <c r="O28" s="76">
        <v>73</v>
      </c>
      <c r="P28" s="76">
        <v>63</v>
      </c>
      <c r="Q28" s="76">
        <v>53</v>
      </c>
      <c r="R28" s="76">
        <v>43</v>
      </c>
      <c r="S28" s="76">
        <v>33</v>
      </c>
      <c r="T28" s="76">
        <v>23</v>
      </c>
      <c r="U28" s="76">
        <v>13</v>
      </c>
      <c r="V28" s="76">
        <v>3</v>
      </c>
      <c r="W28" s="15"/>
      <c r="X28" s="16"/>
      <c r="Y28" s="76">
        <v>93</v>
      </c>
      <c r="Z28" s="76">
        <v>83</v>
      </c>
      <c r="AA28" s="76">
        <v>73</v>
      </c>
      <c r="AB28" s="76">
        <v>63</v>
      </c>
      <c r="AC28" s="76">
        <v>53</v>
      </c>
      <c r="AD28" s="76">
        <v>43</v>
      </c>
      <c r="AE28" s="76">
        <v>33</v>
      </c>
      <c r="AF28" s="76">
        <v>23</v>
      </c>
      <c r="AG28" s="76">
        <v>13</v>
      </c>
      <c r="AH28" s="76">
        <v>3</v>
      </c>
      <c r="AI28" s="15"/>
    </row>
    <row r="29" spans="2:35">
      <c r="B29" s="16"/>
      <c r="L29" s="15"/>
      <c r="M29" s="76">
        <v>94</v>
      </c>
      <c r="N29" s="76">
        <v>84</v>
      </c>
      <c r="O29" s="76">
        <v>74</v>
      </c>
      <c r="P29" s="76">
        <v>64</v>
      </c>
      <c r="Q29" s="76">
        <v>54</v>
      </c>
      <c r="R29" s="76">
        <v>44</v>
      </c>
      <c r="S29" s="76">
        <v>34</v>
      </c>
      <c r="T29" s="76">
        <v>24</v>
      </c>
      <c r="U29" s="76">
        <v>14</v>
      </c>
      <c r="V29" s="76">
        <v>4</v>
      </c>
      <c r="W29" s="15"/>
      <c r="X29" s="16"/>
      <c r="Y29" s="76">
        <v>94</v>
      </c>
      <c r="Z29" s="76">
        <v>84</v>
      </c>
      <c r="AA29" s="76">
        <v>74</v>
      </c>
      <c r="AB29" s="76">
        <v>64</v>
      </c>
      <c r="AC29" s="76">
        <v>54</v>
      </c>
      <c r="AD29" s="76">
        <v>44</v>
      </c>
      <c r="AE29" s="76">
        <v>34</v>
      </c>
      <c r="AF29" s="76">
        <v>24</v>
      </c>
      <c r="AG29" s="76">
        <v>14</v>
      </c>
      <c r="AH29" s="76">
        <v>4</v>
      </c>
      <c r="AI29" s="15"/>
    </row>
    <row r="30" spans="2:35">
      <c r="B30" s="16"/>
      <c r="L30" s="15"/>
      <c r="M30" s="76">
        <v>95</v>
      </c>
      <c r="N30" s="76">
        <v>85</v>
      </c>
      <c r="O30" s="76">
        <v>75</v>
      </c>
      <c r="P30" s="76">
        <v>65</v>
      </c>
      <c r="Q30" s="76">
        <v>55</v>
      </c>
      <c r="R30" s="76">
        <v>45</v>
      </c>
      <c r="S30" s="76">
        <v>35</v>
      </c>
      <c r="T30" s="76">
        <v>25</v>
      </c>
      <c r="U30" s="76">
        <v>15</v>
      </c>
      <c r="V30" s="76">
        <v>5</v>
      </c>
      <c r="W30" s="15"/>
      <c r="X30" s="16"/>
      <c r="Y30" s="76">
        <v>95</v>
      </c>
      <c r="Z30" s="76">
        <v>85</v>
      </c>
      <c r="AA30" s="76">
        <v>75</v>
      </c>
      <c r="AB30" s="76">
        <v>65</v>
      </c>
      <c r="AC30" s="76">
        <v>55</v>
      </c>
      <c r="AD30" s="76">
        <v>45</v>
      </c>
      <c r="AE30" s="76">
        <v>35</v>
      </c>
      <c r="AF30" s="76">
        <v>25</v>
      </c>
      <c r="AG30" s="76">
        <v>15</v>
      </c>
      <c r="AH30" s="76">
        <v>5</v>
      </c>
      <c r="AI30" s="15"/>
    </row>
    <row r="31" spans="2:35">
      <c r="B31" s="16"/>
      <c r="L31" s="15"/>
      <c r="M31" s="76">
        <v>96</v>
      </c>
      <c r="N31" s="76">
        <v>86</v>
      </c>
      <c r="O31" s="76">
        <v>76</v>
      </c>
      <c r="P31" s="76">
        <v>66</v>
      </c>
      <c r="Q31" s="76">
        <v>56</v>
      </c>
      <c r="R31" s="76">
        <v>46</v>
      </c>
      <c r="S31" s="76">
        <v>36</v>
      </c>
      <c r="T31" s="76">
        <v>26</v>
      </c>
      <c r="U31" s="76">
        <v>16</v>
      </c>
      <c r="V31" s="76">
        <v>6</v>
      </c>
      <c r="W31" s="15"/>
      <c r="X31" s="16"/>
      <c r="Y31" s="76">
        <v>96</v>
      </c>
      <c r="Z31" s="76">
        <v>86</v>
      </c>
      <c r="AA31" s="76">
        <v>76</v>
      </c>
      <c r="AB31" s="76">
        <v>66</v>
      </c>
      <c r="AC31" s="76">
        <v>56</v>
      </c>
      <c r="AD31" s="76">
        <v>46</v>
      </c>
      <c r="AE31" s="76">
        <v>36</v>
      </c>
      <c r="AF31" s="76">
        <v>26</v>
      </c>
      <c r="AG31" s="76">
        <v>16</v>
      </c>
      <c r="AH31" s="76">
        <v>6</v>
      </c>
      <c r="AI31" s="15"/>
    </row>
    <row r="32" spans="2:35">
      <c r="B32" s="16"/>
      <c r="L32" s="15"/>
      <c r="M32" s="76">
        <v>97</v>
      </c>
      <c r="N32" s="76">
        <v>87</v>
      </c>
      <c r="O32" s="76">
        <v>77</v>
      </c>
      <c r="P32" s="76">
        <v>67</v>
      </c>
      <c r="Q32" s="76">
        <v>57</v>
      </c>
      <c r="R32" s="76">
        <v>47</v>
      </c>
      <c r="S32" s="76">
        <v>37</v>
      </c>
      <c r="T32" s="76">
        <v>27</v>
      </c>
      <c r="U32" s="76">
        <v>17</v>
      </c>
      <c r="V32" s="76">
        <v>7</v>
      </c>
      <c r="W32" s="15"/>
      <c r="X32" s="16"/>
      <c r="Y32" s="76">
        <v>97</v>
      </c>
      <c r="Z32" s="76">
        <v>87</v>
      </c>
      <c r="AA32" s="76">
        <v>77</v>
      </c>
      <c r="AB32" s="76">
        <v>67</v>
      </c>
      <c r="AC32" s="76">
        <v>57</v>
      </c>
      <c r="AD32" s="76">
        <v>47</v>
      </c>
      <c r="AE32" s="76">
        <v>37</v>
      </c>
      <c r="AF32" s="76">
        <v>27</v>
      </c>
      <c r="AG32" s="76">
        <v>17</v>
      </c>
      <c r="AH32" s="76">
        <v>7</v>
      </c>
      <c r="AI32" s="15"/>
    </row>
    <row r="33" spans="2:35">
      <c r="B33" s="16"/>
      <c r="L33" s="15"/>
      <c r="M33" s="76">
        <v>98</v>
      </c>
      <c r="N33" s="76">
        <v>88</v>
      </c>
      <c r="O33" s="76">
        <v>78</v>
      </c>
      <c r="P33" s="76">
        <v>68</v>
      </c>
      <c r="Q33" s="76">
        <v>58</v>
      </c>
      <c r="R33" s="76">
        <v>48</v>
      </c>
      <c r="S33" s="76">
        <v>38</v>
      </c>
      <c r="T33" s="76">
        <v>28</v>
      </c>
      <c r="U33" s="76">
        <v>18</v>
      </c>
      <c r="V33" s="76">
        <v>8</v>
      </c>
      <c r="W33" s="15"/>
      <c r="X33" s="16"/>
      <c r="Y33" s="76">
        <v>98</v>
      </c>
      <c r="Z33" s="76">
        <v>88</v>
      </c>
      <c r="AA33" s="76">
        <v>78</v>
      </c>
      <c r="AB33" s="76">
        <v>68</v>
      </c>
      <c r="AC33" s="76">
        <v>58</v>
      </c>
      <c r="AD33" s="76">
        <v>48</v>
      </c>
      <c r="AE33" s="76">
        <v>38</v>
      </c>
      <c r="AF33" s="76">
        <v>28</v>
      </c>
      <c r="AG33" s="76">
        <v>18</v>
      </c>
      <c r="AH33" s="76">
        <v>8</v>
      </c>
      <c r="AI33" s="15"/>
    </row>
    <row r="34" spans="2:35">
      <c r="B34" s="16"/>
      <c r="L34" s="15"/>
      <c r="M34" s="76">
        <v>99</v>
      </c>
      <c r="N34" s="76">
        <v>89</v>
      </c>
      <c r="O34" s="76">
        <v>79</v>
      </c>
      <c r="P34" s="76">
        <v>69</v>
      </c>
      <c r="Q34" s="76">
        <v>59</v>
      </c>
      <c r="R34" s="76">
        <v>49</v>
      </c>
      <c r="S34" s="76">
        <v>39</v>
      </c>
      <c r="T34" s="76">
        <v>29</v>
      </c>
      <c r="U34" s="76">
        <v>19</v>
      </c>
      <c r="V34" s="76">
        <v>9</v>
      </c>
      <c r="W34" s="15"/>
      <c r="X34" s="16"/>
      <c r="Y34" s="76">
        <v>99</v>
      </c>
      <c r="Z34" s="76">
        <v>89</v>
      </c>
      <c r="AA34" s="76">
        <v>79</v>
      </c>
      <c r="AB34" s="76">
        <v>69</v>
      </c>
      <c r="AC34" s="76">
        <v>59</v>
      </c>
      <c r="AD34" s="76">
        <v>49</v>
      </c>
      <c r="AE34" s="76">
        <v>39</v>
      </c>
      <c r="AF34" s="76">
        <v>29</v>
      </c>
      <c r="AG34" s="76">
        <v>19</v>
      </c>
      <c r="AH34" s="76">
        <v>9</v>
      </c>
      <c r="AI34" s="15"/>
    </row>
    <row r="35" spans="2:35">
      <c r="B35" s="16"/>
      <c r="L35" s="15"/>
      <c r="M35" s="76">
        <v>100</v>
      </c>
      <c r="N35" s="76">
        <v>90</v>
      </c>
      <c r="O35" s="76">
        <v>80</v>
      </c>
      <c r="P35" s="76">
        <v>70</v>
      </c>
      <c r="Q35" s="76">
        <v>60</v>
      </c>
      <c r="R35" s="76">
        <v>50</v>
      </c>
      <c r="S35" s="76">
        <v>40</v>
      </c>
      <c r="T35" s="76">
        <v>30</v>
      </c>
      <c r="U35" s="76">
        <v>20</v>
      </c>
      <c r="V35" s="76">
        <v>10</v>
      </c>
      <c r="W35" s="15"/>
      <c r="X35" s="16"/>
      <c r="Y35" s="76">
        <v>100</v>
      </c>
      <c r="Z35" s="76">
        <v>90</v>
      </c>
      <c r="AA35" s="76">
        <v>80</v>
      </c>
      <c r="AB35" s="76">
        <v>70</v>
      </c>
      <c r="AC35" s="76">
        <v>60</v>
      </c>
      <c r="AD35" s="76">
        <v>50</v>
      </c>
      <c r="AE35" s="76">
        <v>40</v>
      </c>
      <c r="AF35" s="76">
        <v>30</v>
      </c>
      <c r="AG35" s="76">
        <v>20</v>
      </c>
      <c r="AH35" s="76">
        <v>10</v>
      </c>
      <c r="AI35" s="15"/>
    </row>
    <row r="36" spans="2:35">
      <c r="B36" s="16"/>
      <c r="L36" s="15"/>
      <c r="M36" s="16"/>
      <c r="W36" s="15"/>
      <c r="X36" s="16"/>
      <c r="AI36" s="15"/>
    </row>
    <row r="37" spans="2:35">
      <c r="B37" s="18"/>
      <c r="C37" s="19"/>
      <c r="D37" s="19"/>
      <c r="E37" s="19"/>
      <c r="F37" s="19"/>
      <c r="G37" s="19"/>
      <c r="H37" s="19"/>
      <c r="I37" s="19"/>
      <c r="J37" s="19"/>
      <c r="K37" s="19"/>
      <c r="L37" s="20"/>
      <c r="M37" s="18"/>
      <c r="N37" s="19"/>
      <c r="O37" s="19"/>
      <c r="P37" s="19"/>
      <c r="Q37" s="19"/>
      <c r="R37" s="19"/>
      <c r="S37" s="19"/>
      <c r="T37" s="19"/>
      <c r="U37" s="19"/>
      <c r="V37" s="19"/>
      <c r="W37" s="20"/>
      <c r="X37" s="18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2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835A1-803C-4248-9BDF-F328763D3F98}">
  <sheetPr codeName="Sheet16">
    <tabColor rgb="FFD4E7F3"/>
  </sheetPr>
  <dimension ref="B2:AN33"/>
  <sheetViews>
    <sheetView workbookViewId="0"/>
  </sheetViews>
  <sheetFormatPr defaultRowHeight="16.5"/>
  <cols>
    <col min="1" max="1" width="5" customWidth="1"/>
    <col min="2" max="11" width="4" customWidth="1"/>
    <col min="13" max="17" width="4.83203125" customWidth="1"/>
    <col min="18" max="19" width="5.75" customWidth="1"/>
    <col min="20" max="21" width="5.33203125" customWidth="1"/>
    <col min="22" max="22" width="4.1640625" customWidth="1"/>
    <col min="23" max="23" width="5.58203125" customWidth="1"/>
    <col min="24" max="24" width="5.25" customWidth="1"/>
    <col min="25" max="30" width="5.58203125" bestFit="1" customWidth="1"/>
    <col min="31" max="31" width="4.1640625" customWidth="1"/>
    <col min="32" max="32" width="4.83203125" customWidth="1"/>
    <col min="33" max="33" width="6.25" customWidth="1"/>
    <col min="34" max="34" width="5.75" customWidth="1"/>
    <col min="35" max="35" width="6" customWidth="1"/>
    <col min="36" max="37" width="5.58203125" customWidth="1"/>
    <col min="38" max="38" width="5.25" customWidth="1"/>
    <col min="39" max="39" width="5.5" customWidth="1"/>
    <col min="40" max="40" width="4.75" customWidth="1"/>
  </cols>
  <sheetData>
    <row r="2" spans="2:40">
      <c r="B2" s="47" t="s">
        <v>421</v>
      </c>
      <c r="C2" s="48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9" t="s">
        <v>130</v>
      </c>
      <c r="S2" s="50"/>
      <c r="T2" s="51"/>
      <c r="U2" s="51"/>
      <c r="V2" s="51"/>
      <c r="W2" s="51"/>
      <c r="X2" s="51"/>
      <c r="Y2" s="51"/>
      <c r="Z2" s="41"/>
      <c r="AA2" s="41"/>
      <c r="AB2" s="42"/>
    </row>
    <row r="3" spans="2:40">
      <c r="B3" s="52" t="s">
        <v>128</v>
      </c>
      <c r="C3" s="1"/>
      <c r="R3" s="53">
        <v>0</v>
      </c>
      <c r="S3" s="54" t="s">
        <v>131</v>
      </c>
      <c r="T3" s="45"/>
      <c r="U3" s="45"/>
      <c r="V3" s="45"/>
      <c r="W3" s="45"/>
      <c r="X3" s="45"/>
      <c r="Y3" s="45"/>
      <c r="AB3" s="27"/>
    </row>
    <row r="4" spans="2:40">
      <c r="B4" s="52" t="s">
        <v>127</v>
      </c>
      <c r="C4" s="1"/>
      <c r="R4" s="53">
        <v>-1</v>
      </c>
      <c r="S4" s="54" t="s">
        <v>132</v>
      </c>
      <c r="T4" s="45"/>
      <c r="U4" s="45"/>
      <c r="V4" s="45"/>
      <c r="W4" s="45"/>
      <c r="X4" s="45"/>
      <c r="Y4" s="45"/>
      <c r="AB4" s="27"/>
    </row>
    <row r="5" spans="2:40">
      <c r="B5" s="52" t="s">
        <v>126</v>
      </c>
      <c r="C5" s="1"/>
      <c r="R5" s="53">
        <v>1</v>
      </c>
      <c r="S5" s="54" t="s">
        <v>133</v>
      </c>
      <c r="T5" s="45"/>
      <c r="U5" s="45"/>
      <c r="V5" s="45"/>
      <c r="W5" s="45"/>
      <c r="X5" s="45"/>
      <c r="Y5" s="45"/>
      <c r="AB5" s="27"/>
    </row>
    <row r="6" spans="2:40">
      <c r="B6" s="52" t="s">
        <v>129</v>
      </c>
      <c r="C6" s="1"/>
      <c r="R6" s="53">
        <v>2</v>
      </c>
      <c r="S6" s="54" t="s">
        <v>134</v>
      </c>
      <c r="T6" s="45"/>
      <c r="U6" s="45"/>
      <c r="V6" s="45"/>
      <c r="W6" s="45"/>
      <c r="X6" s="45"/>
      <c r="Y6" s="45"/>
      <c r="AB6" s="27"/>
    </row>
    <row r="7" spans="2:40">
      <c r="B7" s="55"/>
      <c r="R7" s="53">
        <v>3</v>
      </c>
      <c r="S7" s="54" t="s">
        <v>135</v>
      </c>
      <c r="T7" s="45"/>
      <c r="U7" s="45"/>
      <c r="V7" s="45"/>
      <c r="W7" s="45"/>
      <c r="X7" s="45"/>
      <c r="Y7" s="45"/>
      <c r="AB7" s="27"/>
    </row>
    <row r="8" spans="2:40">
      <c r="B8" s="56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AB8" s="27"/>
    </row>
    <row r="9" spans="2:40">
      <c r="B9" s="57"/>
      <c r="C9" s="37" t="s">
        <v>51</v>
      </c>
      <c r="D9" s="41"/>
      <c r="E9" s="41"/>
      <c r="F9" s="41"/>
      <c r="G9" s="41"/>
      <c r="H9" s="41"/>
      <c r="I9" s="41"/>
      <c r="J9" s="41"/>
      <c r="K9" s="41"/>
      <c r="L9" s="42"/>
      <c r="M9" s="57"/>
      <c r="N9" s="37" t="s">
        <v>136</v>
      </c>
      <c r="O9" s="41"/>
      <c r="P9" s="41"/>
      <c r="Q9" s="41"/>
      <c r="R9" s="41"/>
      <c r="S9" s="41"/>
      <c r="T9" s="41"/>
      <c r="U9" s="41"/>
      <c r="V9" s="41"/>
      <c r="W9" s="37" t="s">
        <v>138</v>
      </c>
      <c r="X9" s="41"/>
      <c r="Y9" s="41"/>
      <c r="Z9" s="41"/>
      <c r="AA9" s="41"/>
      <c r="AB9" s="41"/>
      <c r="AC9" s="41"/>
      <c r="AD9" s="41"/>
      <c r="AE9" s="41"/>
      <c r="AF9" s="37" t="s">
        <v>144</v>
      </c>
      <c r="AG9" s="41"/>
      <c r="AH9" s="41"/>
      <c r="AI9" s="41"/>
      <c r="AJ9" s="41"/>
      <c r="AK9" s="41"/>
      <c r="AL9" s="41"/>
      <c r="AM9" s="41"/>
      <c r="AN9" s="42"/>
    </row>
    <row r="10" spans="2:40">
      <c r="B10" s="55"/>
      <c r="C10" s="208" t="s">
        <v>139</v>
      </c>
      <c r="L10" s="27"/>
      <c r="M10" s="55"/>
      <c r="N10" s="32" t="s">
        <v>140</v>
      </c>
      <c r="W10" s="32" t="s">
        <v>141</v>
      </c>
      <c r="AF10" s="32" t="s">
        <v>142</v>
      </c>
      <c r="AM10" s="43"/>
      <c r="AN10" s="27"/>
    </row>
    <row r="11" spans="2:40">
      <c r="B11" s="55"/>
      <c r="C11" s="53" t="s">
        <v>137</v>
      </c>
      <c r="J11" s="38" t="s">
        <v>118</v>
      </c>
      <c r="L11" s="27"/>
      <c r="M11" s="55"/>
      <c r="N11" s="81" cm="1">
        <f t="array" ref="N11:U18">Scan2Dλ(0,_xlfn.ANCHORARRAY(C12),_xleta.SUM,-1)</f>
        <v>0</v>
      </c>
      <c r="O11" s="77">
        <v>450</v>
      </c>
      <c r="P11" s="77">
        <v>916</v>
      </c>
      <c r="Q11" s="77">
        <v>1398</v>
      </c>
      <c r="R11" s="77">
        <v>1896</v>
      </c>
      <c r="S11" s="77">
        <v>2410</v>
      </c>
      <c r="T11" s="77">
        <v>2940</v>
      </c>
      <c r="U11" s="77">
        <v>3486</v>
      </c>
      <c r="V11" s="45"/>
      <c r="W11" s="78" cm="1">
        <f t="array" ref="W11:AD18">Scan2Dλ(0,_xlfn.ANCHORARRAY(C12),_xleta.SUM,1)</f>
        <v>14</v>
      </c>
      <c r="X11" s="77">
        <v>44</v>
      </c>
      <c r="Y11" s="77">
        <v>90</v>
      </c>
      <c r="Z11" s="77">
        <v>152</v>
      </c>
      <c r="AA11" s="77">
        <v>230</v>
      </c>
      <c r="AB11" s="77">
        <v>324</v>
      </c>
      <c r="AC11" s="77">
        <v>434</v>
      </c>
      <c r="AD11" s="77">
        <v>560</v>
      </c>
      <c r="AE11" s="45"/>
      <c r="AF11" s="80" cm="1">
        <f t="array" ref="AF11:AM18">Scan2Dλ(0,_xlfn.ANCHORARRAY(C12),_xleta.SUM,2)</f>
        <v>126</v>
      </c>
      <c r="AG11" s="77">
        <v>250</v>
      </c>
      <c r="AH11" s="77">
        <v>372</v>
      </c>
      <c r="AI11" s="77">
        <v>492</v>
      </c>
      <c r="AJ11" s="77">
        <v>610</v>
      </c>
      <c r="AK11" s="77">
        <v>726</v>
      </c>
      <c r="AL11" s="77">
        <v>840</v>
      </c>
      <c r="AM11" s="77">
        <v>952</v>
      </c>
      <c r="AN11" s="27"/>
    </row>
    <row r="12" spans="2:40">
      <c r="B12" s="55"/>
      <c r="C12" s="81" cm="1">
        <f t="array" ref="C12:J19">_xlfn.SEQUENCE(8,8,0,2)</f>
        <v>0</v>
      </c>
      <c r="D12" s="77">
        <v>2</v>
      </c>
      <c r="E12" s="77">
        <v>4</v>
      </c>
      <c r="F12" s="77">
        <v>6</v>
      </c>
      <c r="G12" s="77">
        <v>8</v>
      </c>
      <c r="H12" s="77">
        <v>10</v>
      </c>
      <c r="I12" s="77">
        <v>12</v>
      </c>
      <c r="J12" s="78">
        <v>14</v>
      </c>
      <c r="L12" s="27"/>
      <c r="M12" s="55"/>
      <c r="N12" s="77">
        <v>16</v>
      </c>
      <c r="O12" s="77">
        <v>468</v>
      </c>
      <c r="P12" s="77">
        <v>936</v>
      </c>
      <c r="Q12" s="77">
        <v>1420</v>
      </c>
      <c r="R12" s="77">
        <v>1920</v>
      </c>
      <c r="S12" s="77">
        <v>2436</v>
      </c>
      <c r="T12" s="77">
        <v>2968</v>
      </c>
      <c r="U12" s="77">
        <v>3516</v>
      </c>
      <c r="V12" s="45"/>
      <c r="W12" s="77">
        <v>572</v>
      </c>
      <c r="X12" s="77">
        <v>600</v>
      </c>
      <c r="Y12" s="77">
        <v>644</v>
      </c>
      <c r="Z12" s="77">
        <v>704</v>
      </c>
      <c r="AA12" s="77">
        <v>780</v>
      </c>
      <c r="AB12" s="77">
        <v>872</v>
      </c>
      <c r="AC12" s="77">
        <v>980</v>
      </c>
      <c r="AD12" s="77">
        <v>1104</v>
      </c>
      <c r="AE12" s="45"/>
      <c r="AF12" s="77">
        <v>1062</v>
      </c>
      <c r="AG12" s="77">
        <v>1170</v>
      </c>
      <c r="AH12" s="77">
        <v>1276</v>
      </c>
      <c r="AI12" s="77">
        <v>1380</v>
      </c>
      <c r="AJ12" s="77">
        <v>1482</v>
      </c>
      <c r="AK12" s="77">
        <v>1582</v>
      </c>
      <c r="AL12" s="77">
        <v>1680</v>
      </c>
      <c r="AM12" s="77">
        <v>1776</v>
      </c>
      <c r="AN12" s="27"/>
    </row>
    <row r="13" spans="2:40">
      <c r="B13" s="55"/>
      <c r="C13" s="77">
        <v>16</v>
      </c>
      <c r="D13" s="77">
        <v>18</v>
      </c>
      <c r="E13" s="77">
        <v>20</v>
      </c>
      <c r="F13" s="77">
        <v>22</v>
      </c>
      <c r="G13" s="77">
        <v>24</v>
      </c>
      <c r="H13" s="77">
        <v>26</v>
      </c>
      <c r="I13" s="77">
        <v>28</v>
      </c>
      <c r="J13" s="77">
        <v>30</v>
      </c>
      <c r="L13" s="27"/>
      <c r="M13" s="55"/>
      <c r="N13" s="77">
        <v>48</v>
      </c>
      <c r="O13" s="77">
        <v>502</v>
      </c>
      <c r="P13" s="77">
        <v>972</v>
      </c>
      <c r="Q13" s="77">
        <v>1458</v>
      </c>
      <c r="R13" s="77">
        <v>1960</v>
      </c>
      <c r="S13" s="77">
        <v>2478</v>
      </c>
      <c r="T13" s="77">
        <v>3012</v>
      </c>
      <c r="U13" s="77">
        <v>3562</v>
      </c>
      <c r="V13" s="45"/>
      <c r="W13" s="77">
        <v>1114</v>
      </c>
      <c r="X13" s="77">
        <v>1140</v>
      </c>
      <c r="Y13" s="77">
        <v>1182</v>
      </c>
      <c r="Z13" s="77">
        <v>1240</v>
      </c>
      <c r="AA13" s="77">
        <v>1314</v>
      </c>
      <c r="AB13" s="77">
        <v>1404</v>
      </c>
      <c r="AC13" s="77">
        <v>1510</v>
      </c>
      <c r="AD13" s="77">
        <v>1632</v>
      </c>
      <c r="AE13" s="45"/>
      <c r="AF13" s="77">
        <v>1870</v>
      </c>
      <c r="AG13" s="77">
        <v>1962</v>
      </c>
      <c r="AH13" s="77">
        <v>2052</v>
      </c>
      <c r="AI13" s="77">
        <v>2140</v>
      </c>
      <c r="AJ13" s="77">
        <v>2226</v>
      </c>
      <c r="AK13" s="77">
        <v>2310</v>
      </c>
      <c r="AL13" s="77">
        <v>2392</v>
      </c>
      <c r="AM13" s="77">
        <v>2472</v>
      </c>
      <c r="AN13" s="27"/>
    </row>
    <row r="14" spans="2:40">
      <c r="B14" s="55"/>
      <c r="C14" s="77">
        <v>32</v>
      </c>
      <c r="D14" s="77">
        <v>34</v>
      </c>
      <c r="E14" s="77">
        <v>36</v>
      </c>
      <c r="F14" s="77">
        <v>38</v>
      </c>
      <c r="G14" s="77">
        <v>40</v>
      </c>
      <c r="H14" s="77">
        <v>42</v>
      </c>
      <c r="I14" s="77">
        <v>44</v>
      </c>
      <c r="J14" s="77">
        <v>46</v>
      </c>
      <c r="L14" s="27"/>
      <c r="M14" s="55"/>
      <c r="N14" s="77">
        <v>96</v>
      </c>
      <c r="O14" s="77">
        <v>552</v>
      </c>
      <c r="P14" s="77">
        <v>1024</v>
      </c>
      <c r="Q14" s="77">
        <v>1512</v>
      </c>
      <c r="R14" s="77">
        <v>2016</v>
      </c>
      <c r="S14" s="77">
        <v>2536</v>
      </c>
      <c r="T14" s="77">
        <v>3072</v>
      </c>
      <c r="U14" s="77">
        <v>3624</v>
      </c>
      <c r="V14" s="45"/>
      <c r="W14" s="77">
        <v>1640</v>
      </c>
      <c r="X14" s="77">
        <v>1664</v>
      </c>
      <c r="Y14" s="77">
        <v>1704</v>
      </c>
      <c r="Z14" s="77">
        <v>1760</v>
      </c>
      <c r="AA14" s="77">
        <v>1832</v>
      </c>
      <c r="AB14" s="77">
        <v>1920</v>
      </c>
      <c r="AC14" s="77">
        <v>2024</v>
      </c>
      <c r="AD14" s="77">
        <v>2144</v>
      </c>
      <c r="AE14" s="45"/>
      <c r="AF14" s="77">
        <v>2550</v>
      </c>
      <c r="AG14" s="77">
        <v>2626</v>
      </c>
      <c r="AH14" s="77">
        <v>2700</v>
      </c>
      <c r="AI14" s="77">
        <v>2772</v>
      </c>
      <c r="AJ14" s="77">
        <v>2842</v>
      </c>
      <c r="AK14" s="77">
        <v>2910</v>
      </c>
      <c r="AL14" s="77">
        <v>2976</v>
      </c>
      <c r="AM14" s="77">
        <v>3040</v>
      </c>
      <c r="AN14" s="27"/>
    </row>
    <row r="15" spans="2:40">
      <c r="B15" s="55"/>
      <c r="C15" s="77">
        <v>48</v>
      </c>
      <c r="D15" s="77">
        <v>50</v>
      </c>
      <c r="E15" s="77">
        <v>52</v>
      </c>
      <c r="F15" s="77">
        <v>54</v>
      </c>
      <c r="G15" s="77">
        <v>56</v>
      </c>
      <c r="H15" s="77">
        <v>58</v>
      </c>
      <c r="I15" s="77">
        <v>60</v>
      </c>
      <c r="J15" s="77">
        <v>62</v>
      </c>
      <c r="K15" s="12"/>
      <c r="L15" s="27"/>
      <c r="M15" s="55"/>
      <c r="N15" s="77">
        <v>160</v>
      </c>
      <c r="O15" s="77">
        <v>618</v>
      </c>
      <c r="P15" s="77">
        <v>1092</v>
      </c>
      <c r="Q15" s="77">
        <v>1582</v>
      </c>
      <c r="R15" s="77">
        <v>2088</v>
      </c>
      <c r="S15" s="77">
        <v>2610</v>
      </c>
      <c r="T15" s="77">
        <v>3148</v>
      </c>
      <c r="U15" s="77">
        <v>3702</v>
      </c>
      <c r="V15" s="45"/>
      <c r="W15" s="77">
        <v>2150</v>
      </c>
      <c r="X15" s="77">
        <v>2172</v>
      </c>
      <c r="Y15" s="77">
        <v>2210</v>
      </c>
      <c r="Z15" s="77">
        <v>2264</v>
      </c>
      <c r="AA15" s="77">
        <v>2334</v>
      </c>
      <c r="AB15" s="77">
        <v>2420</v>
      </c>
      <c r="AC15" s="77">
        <v>2522</v>
      </c>
      <c r="AD15" s="77">
        <v>2640</v>
      </c>
      <c r="AE15" s="45"/>
      <c r="AF15" s="77">
        <v>3102</v>
      </c>
      <c r="AG15" s="77">
        <v>3162</v>
      </c>
      <c r="AH15" s="77">
        <v>3220</v>
      </c>
      <c r="AI15" s="77">
        <v>3276</v>
      </c>
      <c r="AJ15" s="77">
        <v>3330</v>
      </c>
      <c r="AK15" s="77">
        <v>3382</v>
      </c>
      <c r="AL15" s="77">
        <v>3432</v>
      </c>
      <c r="AM15" s="77">
        <v>3480</v>
      </c>
      <c r="AN15" s="27"/>
    </row>
    <row r="16" spans="2:40">
      <c r="B16" s="55"/>
      <c r="C16" s="77">
        <v>64</v>
      </c>
      <c r="D16" s="77">
        <v>66</v>
      </c>
      <c r="E16" s="77">
        <v>68</v>
      </c>
      <c r="F16" s="77">
        <v>70</v>
      </c>
      <c r="G16" s="77">
        <v>72</v>
      </c>
      <c r="H16" s="77">
        <v>74</v>
      </c>
      <c r="I16" s="77">
        <v>76</v>
      </c>
      <c r="J16" s="77">
        <v>78</v>
      </c>
      <c r="K16" s="12"/>
      <c r="L16" s="27"/>
      <c r="M16" s="55"/>
      <c r="N16" s="77">
        <v>240</v>
      </c>
      <c r="O16" s="77">
        <v>700</v>
      </c>
      <c r="P16" s="77">
        <v>1176</v>
      </c>
      <c r="Q16" s="77">
        <v>1668</v>
      </c>
      <c r="R16" s="77">
        <v>2176</v>
      </c>
      <c r="S16" s="77">
        <v>2700</v>
      </c>
      <c r="T16" s="77">
        <v>3240</v>
      </c>
      <c r="U16" s="77">
        <v>3796</v>
      </c>
      <c r="V16" s="45"/>
      <c r="W16" s="77">
        <v>2644</v>
      </c>
      <c r="X16" s="77">
        <v>2664</v>
      </c>
      <c r="Y16" s="77">
        <v>2700</v>
      </c>
      <c r="Z16" s="77">
        <v>2752</v>
      </c>
      <c r="AA16" s="77">
        <v>2820</v>
      </c>
      <c r="AB16" s="77">
        <v>2904</v>
      </c>
      <c r="AC16" s="77">
        <v>3004</v>
      </c>
      <c r="AD16" s="77">
        <v>3120</v>
      </c>
      <c r="AE16" s="45"/>
      <c r="AF16" s="77">
        <v>3526</v>
      </c>
      <c r="AG16" s="77">
        <v>3570</v>
      </c>
      <c r="AH16" s="77">
        <v>3612</v>
      </c>
      <c r="AI16" s="77">
        <v>3652</v>
      </c>
      <c r="AJ16" s="77">
        <v>3690</v>
      </c>
      <c r="AK16" s="77">
        <v>3726</v>
      </c>
      <c r="AL16" s="77">
        <v>3760</v>
      </c>
      <c r="AM16" s="77">
        <v>3792</v>
      </c>
      <c r="AN16" s="27"/>
    </row>
    <row r="17" spans="2:40">
      <c r="B17" s="55"/>
      <c r="C17" s="77">
        <v>80</v>
      </c>
      <c r="D17" s="77">
        <v>82</v>
      </c>
      <c r="E17" s="77">
        <v>84</v>
      </c>
      <c r="F17" s="77">
        <v>86</v>
      </c>
      <c r="G17" s="77">
        <v>88</v>
      </c>
      <c r="H17" s="77">
        <v>90</v>
      </c>
      <c r="I17" s="77">
        <v>92</v>
      </c>
      <c r="J17" s="77">
        <v>94</v>
      </c>
      <c r="K17" s="12"/>
      <c r="L17" s="27"/>
      <c r="M17" s="55"/>
      <c r="N17" s="77">
        <v>336</v>
      </c>
      <c r="O17" s="77">
        <v>798</v>
      </c>
      <c r="P17" s="77">
        <v>1276</v>
      </c>
      <c r="Q17" s="77">
        <v>1770</v>
      </c>
      <c r="R17" s="77">
        <v>2280</v>
      </c>
      <c r="S17" s="77">
        <v>2806</v>
      </c>
      <c r="T17" s="77">
        <v>3348</v>
      </c>
      <c r="U17" s="77">
        <v>3906</v>
      </c>
      <c r="V17" s="45"/>
      <c r="W17" s="77">
        <v>3122</v>
      </c>
      <c r="X17" s="77">
        <v>3140</v>
      </c>
      <c r="Y17" s="77">
        <v>3174</v>
      </c>
      <c r="Z17" s="77">
        <v>3224</v>
      </c>
      <c r="AA17" s="77">
        <v>3290</v>
      </c>
      <c r="AB17" s="77">
        <v>3372</v>
      </c>
      <c r="AC17" s="77">
        <v>3470</v>
      </c>
      <c r="AD17" s="77">
        <v>3584</v>
      </c>
      <c r="AE17" s="45"/>
      <c r="AF17" s="77">
        <v>3822</v>
      </c>
      <c r="AG17" s="77">
        <v>3850</v>
      </c>
      <c r="AH17" s="77">
        <v>3876</v>
      </c>
      <c r="AI17" s="77">
        <v>3900</v>
      </c>
      <c r="AJ17" s="77">
        <v>3922</v>
      </c>
      <c r="AK17" s="77">
        <v>3942</v>
      </c>
      <c r="AL17" s="77">
        <v>3960</v>
      </c>
      <c r="AM17" s="77">
        <v>3976</v>
      </c>
      <c r="AN17" s="27"/>
    </row>
    <row r="18" spans="2:40">
      <c r="B18" s="55"/>
      <c r="C18" s="77">
        <v>96</v>
      </c>
      <c r="D18" s="77">
        <v>98</v>
      </c>
      <c r="E18" s="77">
        <v>100</v>
      </c>
      <c r="F18" s="77">
        <v>102</v>
      </c>
      <c r="G18" s="77">
        <v>104</v>
      </c>
      <c r="H18" s="77">
        <v>106</v>
      </c>
      <c r="I18" s="77">
        <v>108</v>
      </c>
      <c r="J18" s="77">
        <v>110</v>
      </c>
      <c r="K18" s="12"/>
      <c r="L18" s="27"/>
      <c r="M18" s="55"/>
      <c r="N18" s="77">
        <v>448</v>
      </c>
      <c r="O18" s="77">
        <v>912</v>
      </c>
      <c r="P18" s="77">
        <v>1392</v>
      </c>
      <c r="Q18" s="77">
        <v>1888</v>
      </c>
      <c r="R18" s="77">
        <v>2400</v>
      </c>
      <c r="S18" s="77">
        <v>2928</v>
      </c>
      <c r="T18" s="77">
        <v>3472</v>
      </c>
      <c r="U18" s="77">
        <v>4032</v>
      </c>
      <c r="V18" s="60"/>
      <c r="W18" s="77">
        <v>3584</v>
      </c>
      <c r="X18" s="77">
        <v>3600</v>
      </c>
      <c r="Y18" s="77">
        <v>3632</v>
      </c>
      <c r="Z18" s="77">
        <v>3680</v>
      </c>
      <c r="AA18" s="77">
        <v>3744</v>
      </c>
      <c r="AB18" s="77">
        <v>3824</v>
      </c>
      <c r="AC18" s="77">
        <v>3920</v>
      </c>
      <c r="AD18" s="77">
        <v>4032</v>
      </c>
      <c r="AE18" s="60"/>
      <c r="AF18" s="77">
        <v>3990</v>
      </c>
      <c r="AG18" s="77">
        <v>4002</v>
      </c>
      <c r="AH18" s="77">
        <v>4012</v>
      </c>
      <c r="AI18" s="77">
        <v>4020</v>
      </c>
      <c r="AJ18" s="77">
        <v>4026</v>
      </c>
      <c r="AK18" s="77">
        <v>4030</v>
      </c>
      <c r="AL18" s="77">
        <v>4032</v>
      </c>
      <c r="AM18" s="77">
        <v>4032</v>
      </c>
      <c r="AN18" s="27"/>
    </row>
    <row r="19" spans="2:40">
      <c r="B19" s="55"/>
      <c r="C19" s="79">
        <v>112</v>
      </c>
      <c r="D19" s="77">
        <v>114</v>
      </c>
      <c r="E19" s="77">
        <v>116</v>
      </c>
      <c r="F19" s="77">
        <v>118</v>
      </c>
      <c r="G19" s="77">
        <v>120</v>
      </c>
      <c r="H19" s="77">
        <v>122</v>
      </c>
      <c r="I19" s="77">
        <v>124</v>
      </c>
      <c r="J19" s="80">
        <v>126</v>
      </c>
      <c r="K19" s="12"/>
      <c r="L19" s="27"/>
      <c r="M19" s="55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2"/>
      <c r="AN19" s="27"/>
    </row>
    <row r="20" spans="2:40">
      <c r="B20" s="55"/>
      <c r="C20" s="38" t="s">
        <v>120</v>
      </c>
      <c r="D20" s="12"/>
      <c r="E20" s="12"/>
      <c r="F20" s="12"/>
      <c r="G20" s="12"/>
      <c r="H20" s="12"/>
      <c r="I20" s="12"/>
      <c r="J20" s="38" t="s">
        <v>119</v>
      </c>
      <c r="K20" s="12"/>
      <c r="L20" s="27"/>
      <c r="M20" s="55"/>
      <c r="N20" s="25" t="s">
        <v>145</v>
      </c>
      <c r="W20" s="25" t="s">
        <v>147</v>
      </c>
      <c r="AF20" s="25" t="s">
        <v>151</v>
      </c>
      <c r="AM20" s="27"/>
      <c r="AN20" s="27"/>
    </row>
    <row r="21" spans="2:40">
      <c r="B21" s="55"/>
      <c r="C21" s="12"/>
      <c r="D21" s="12"/>
      <c r="E21" s="12"/>
      <c r="F21" s="12"/>
      <c r="G21" s="12"/>
      <c r="H21" s="12"/>
      <c r="I21" s="12"/>
      <c r="J21" s="12"/>
      <c r="K21" s="12"/>
      <c r="L21" s="27"/>
      <c r="M21" s="55"/>
      <c r="N21" s="32" t="s">
        <v>143</v>
      </c>
      <c r="W21" s="46" t="s">
        <v>149</v>
      </c>
      <c r="AF21" s="46" t="s">
        <v>150</v>
      </c>
      <c r="AM21" s="27"/>
      <c r="AN21" s="27"/>
    </row>
    <row r="22" spans="2:40">
      <c r="B22" s="55"/>
      <c r="C22" s="77" cm="1">
        <f t="array" ref="C22:C31">_xlfn.SEQUENCE(10,,0,10)</f>
        <v>0</v>
      </c>
      <c r="E22" s="25" t="s">
        <v>146</v>
      </c>
      <c r="K22" s="12"/>
      <c r="L22" s="27"/>
      <c r="M22" s="55"/>
      <c r="N22" s="79" cm="1">
        <f t="array" ref="N22:U29">Scan2Dλ(0,_xlfn.ANCHORARRAY(C12),_xleta.SUM,3)</f>
        <v>112</v>
      </c>
      <c r="O22" s="77">
        <v>208</v>
      </c>
      <c r="P22" s="77">
        <v>288</v>
      </c>
      <c r="Q22" s="77">
        <v>352</v>
      </c>
      <c r="R22" s="77">
        <v>400</v>
      </c>
      <c r="S22" s="77">
        <v>432</v>
      </c>
      <c r="T22" s="77">
        <v>448</v>
      </c>
      <c r="U22" s="77">
        <v>448</v>
      </c>
      <c r="W22" s="77" cm="1">
        <f t="array" ref="W22:W31">Scan2Dλ(10,_xlfn.ANCHORARRAY(C22),_xleta.SUM,-1)</f>
        <v>100</v>
      </c>
      <c r="AB22" s="58"/>
      <c r="AC22" s="58"/>
      <c r="AD22" s="58"/>
      <c r="AE22" s="58"/>
      <c r="AF22" s="81" cm="1">
        <f t="array" ref="AF22:AM29">Scan2Dλ(0,_xlfn.ANCHORARRAY(C12),_xleta.SUM)</f>
        <v>0</v>
      </c>
      <c r="AG22" s="77">
        <v>2</v>
      </c>
      <c r="AH22" s="77">
        <v>6</v>
      </c>
      <c r="AI22" s="77">
        <v>12</v>
      </c>
      <c r="AJ22" s="77">
        <v>20</v>
      </c>
      <c r="AK22" s="77">
        <v>30</v>
      </c>
      <c r="AL22" s="77">
        <v>42</v>
      </c>
      <c r="AM22" s="77">
        <v>56</v>
      </c>
      <c r="AN22" s="27"/>
    </row>
    <row r="23" spans="2:40">
      <c r="B23" s="55"/>
      <c r="C23" s="77">
        <v>10</v>
      </c>
      <c r="E23" s="208" t="s">
        <v>148</v>
      </c>
      <c r="I23" s="10"/>
      <c r="J23" s="10"/>
      <c r="K23" s="11"/>
      <c r="L23" s="27"/>
      <c r="M23" s="55"/>
      <c r="N23" s="77">
        <v>562</v>
      </c>
      <c r="O23" s="77">
        <v>660</v>
      </c>
      <c r="P23" s="77">
        <v>742</v>
      </c>
      <c r="Q23" s="77">
        <v>808</v>
      </c>
      <c r="R23" s="77">
        <v>858</v>
      </c>
      <c r="S23" s="77">
        <v>892</v>
      </c>
      <c r="T23" s="77">
        <v>910</v>
      </c>
      <c r="U23" s="77">
        <v>912</v>
      </c>
      <c r="W23" s="77">
        <v>180</v>
      </c>
      <c r="AB23" s="58"/>
      <c r="AC23" s="58"/>
      <c r="AD23" s="58"/>
      <c r="AE23" s="58"/>
      <c r="AF23" s="77">
        <v>72</v>
      </c>
      <c r="AG23" s="77">
        <v>90</v>
      </c>
      <c r="AH23" s="77">
        <v>110</v>
      </c>
      <c r="AI23" s="77">
        <v>132</v>
      </c>
      <c r="AJ23" s="77">
        <v>156</v>
      </c>
      <c r="AK23" s="77">
        <v>182</v>
      </c>
      <c r="AL23" s="77">
        <v>210</v>
      </c>
      <c r="AM23" s="77">
        <v>240</v>
      </c>
      <c r="AN23" s="27"/>
    </row>
    <row r="24" spans="2:40">
      <c r="B24" s="55"/>
      <c r="C24" s="77">
        <v>20</v>
      </c>
      <c r="I24" s="10"/>
      <c r="J24" s="10"/>
      <c r="K24" s="11"/>
      <c r="L24" s="27"/>
      <c r="M24" s="55"/>
      <c r="N24" s="77">
        <v>1028</v>
      </c>
      <c r="O24" s="77">
        <v>1128</v>
      </c>
      <c r="P24" s="77">
        <v>1212</v>
      </c>
      <c r="Q24" s="77">
        <v>1280</v>
      </c>
      <c r="R24" s="77">
        <v>1332</v>
      </c>
      <c r="S24" s="77">
        <v>1368</v>
      </c>
      <c r="T24" s="77">
        <v>1388</v>
      </c>
      <c r="U24" s="77">
        <v>1392</v>
      </c>
      <c r="W24" s="77">
        <v>250</v>
      </c>
      <c r="AB24" s="58"/>
      <c r="AC24" s="58"/>
      <c r="AD24" s="58"/>
      <c r="AE24" s="58"/>
      <c r="AF24" s="77">
        <v>272</v>
      </c>
      <c r="AG24" s="77">
        <v>306</v>
      </c>
      <c r="AH24" s="77">
        <v>342</v>
      </c>
      <c r="AI24" s="77">
        <v>380</v>
      </c>
      <c r="AJ24" s="77">
        <v>420</v>
      </c>
      <c r="AK24" s="77">
        <v>462</v>
      </c>
      <c r="AL24" s="77">
        <v>506</v>
      </c>
      <c r="AM24" s="77">
        <v>552</v>
      </c>
      <c r="AN24" s="27"/>
    </row>
    <row r="25" spans="2:40">
      <c r="B25" s="55"/>
      <c r="C25" s="77">
        <v>30</v>
      </c>
      <c r="I25" s="10"/>
      <c r="J25" s="10"/>
      <c r="K25" s="10"/>
      <c r="L25" s="27"/>
      <c r="M25" s="55"/>
      <c r="N25" s="77">
        <v>1510</v>
      </c>
      <c r="O25" s="77">
        <v>1612</v>
      </c>
      <c r="P25" s="77">
        <v>1698</v>
      </c>
      <c r="Q25" s="77">
        <v>1768</v>
      </c>
      <c r="R25" s="77">
        <v>1822</v>
      </c>
      <c r="S25" s="77">
        <v>1860</v>
      </c>
      <c r="T25" s="77">
        <v>1882</v>
      </c>
      <c r="U25" s="77">
        <v>1888</v>
      </c>
      <c r="W25" s="77">
        <v>310</v>
      </c>
      <c r="AB25" s="58"/>
      <c r="AC25" s="58"/>
      <c r="AD25" s="58"/>
      <c r="AE25" s="58"/>
      <c r="AF25" s="77">
        <v>600</v>
      </c>
      <c r="AG25" s="77">
        <v>650</v>
      </c>
      <c r="AH25" s="77">
        <v>702</v>
      </c>
      <c r="AI25" s="77">
        <v>756</v>
      </c>
      <c r="AJ25" s="77">
        <v>812</v>
      </c>
      <c r="AK25" s="77">
        <v>870</v>
      </c>
      <c r="AL25" s="77">
        <v>930</v>
      </c>
      <c r="AM25" s="77">
        <v>992</v>
      </c>
      <c r="AN25" s="27"/>
    </row>
    <row r="26" spans="2:40">
      <c r="B26" s="55"/>
      <c r="C26" s="77">
        <v>40</v>
      </c>
      <c r="K26" s="10"/>
      <c r="L26" s="27"/>
      <c r="M26" s="55"/>
      <c r="N26" s="77">
        <v>2008</v>
      </c>
      <c r="O26" s="77">
        <v>2112</v>
      </c>
      <c r="P26" s="77">
        <v>2200</v>
      </c>
      <c r="Q26" s="77">
        <v>2272</v>
      </c>
      <c r="R26" s="77">
        <v>2328</v>
      </c>
      <c r="S26" s="77">
        <v>2368</v>
      </c>
      <c r="T26" s="77">
        <v>2392</v>
      </c>
      <c r="U26" s="77">
        <v>2400</v>
      </c>
      <c r="W26" s="77">
        <v>360</v>
      </c>
      <c r="AB26" s="58"/>
      <c r="AC26" s="58"/>
      <c r="AD26" s="58"/>
      <c r="AE26" s="58"/>
      <c r="AF26" s="77">
        <v>1056</v>
      </c>
      <c r="AG26" s="77">
        <v>1122</v>
      </c>
      <c r="AH26" s="77">
        <v>1190</v>
      </c>
      <c r="AI26" s="77">
        <v>1260</v>
      </c>
      <c r="AJ26" s="77">
        <v>1332</v>
      </c>
      <c r="AK26" s="77">
        <v>1406</v>
      </c>
      <c r="AL26" s="77">
        <v>1482</v>
      </c>
      <c r="AM26" s="77">
        <v>1560</v>
      </c>
      <c r="AN26" s="27"/>
    </row>
    <row r="27" spans="2:40">
      <c r="B27" s="55"/>
      <c r="C27" s="77">
        <v>50</v>
      </c>
      <c r="K27" s="10"/>
      <c r="L27" s="27"/>
      <c r="M27" s="55"/>
      <c r="N27" s="77">
        <v>2522</v>
      </c>
      <c r="O27" s="77">
        <v>2628</v>
      </c>
      <c r="P27" s="77">
        <v>2718</v>
      </c>
      <c r="Q27" s="77">
        <v>2792</v>
      </c>
      <c r="R27" s="77">
        <v>2850</v>
      </c>
      <c r="S27" s="77">
        <v>2892</v>
      </c>
      <c r="T27" s="77">
        <v>2918</v>
      </c>
      <c r="U27" s="77">
        <v>2928</v>
      </c>
      <c r="W27" s="77">
        <v>400</v>
      </c>
      <c r="AB27" s="58"/>
      <c r="AC27" s="58"/>
      <c r="AD27" s="58"/>
      <c r="AE27" s="58"/>
      <c r="AF27" s="77">
        <v>1640</v>
      </c>
      <c r="AG27" s="77">
        <v>1722</v>
      </c>
      <c r="AH27" s="77">
        <v>1806</v>
      </c>
      <c r="AI27" s="77">
        <v>1892</v>
      </c>
      <c r="AJ27" s="77">
        <v>1980</v>
      </c>
      <c r="AK27" s="77">
        <v>2070</v>
      </c>
      <c r="AL27" s="77">
        <v>2162</v>
      </c>
      <c r="AM27" s="77">
        <v>2256</v>
      </c>
      <c r="AN27" s="27"/>
    </row>
    <row r="28" spans="2:40">
      <c r="B28" s="55"/>
      <c r="C28" s="77">
        <v>60</v>
      </c>
      <c r="H28" s="10"/>
      <c r="I28" s="10"/>
      <c r="J28" s="10"/>
      <c r="K28" s="10"/>
      <c r="L28" s="27"/>
      <c r="M28" s="55"/>
      <c r="N28" s="77">
        <v>3052</v>
      </c>
      <c r="O28" s="77">
        <v>3160</v>
      </c>
      <c r="P28" s="77">
        <v>3252</v>
      </c>
      <c r="Q28" s="77">
        <v>3328</v>
      </c>
      <c r="R28" s="77">
        <v>3388</v>
      </c>
      <c r="S28" s="77">
        <v>3432</v>
      </c>
      <c r="T28" s="77">
        <v>3460</v>
      </c>
      <c r="U28" s="77">
        <v>3472</v>
      </c>
      <c r="W28" s="77">
        <v>430</v>
      </c>
      <c r="AB28" s="58"/>
      <c r="AC28" s="58"/>
      <c r="AD28" s="58"/>
      <c r="AE28" s="58"/>
      <c r="AF28" s="77">
        <v>2352</v>
      </c>
      <c r="AG28" s="77">
        <v>2450</v>
      </c>
      <c r="AH28" s="77">
        <v>2550</v>
      </c>
      <c r="AI28" s="77">
        <v>2652</v>
      </c>
      <c r="AJ28" s="77">
        <v>2756</v>
      </c>
      <c r="AK28" s="77">
        <v>2862</v>
      </c>
      <c r="AL28" s="77">
        <v>2970</v>
      </c>
      <c r="AM28" s="77">
        <v>3080</v>
      </c>
      <c r="AN28" s="27"/>
    </row>
    <row r="29" spans="2:40">
      <c r="B29" s="55"/>
      <c r="C29" s="77">
        <v>70</v>
      </c>
      <c r="H29" s="10"/>
      <c r="I29" s="10"/>
      <c r="J29" s="10"/>
      <c r="K29" s="10"/>
      <c r="L29" s="27"/>
      <c r="M29" s="55"/>
      <c r="N29" s="77">
        <v>3598</v>
      </c>
      <c r="O29" s="77">
        <v>3708</v>
      </c>
      <c r="P29" s="77">
        <v>3802</v>
      </c>
      <c r="Q29" s="77">
        <v>3880</v>
      </c>
      <c r="R29" s="77">
        <v>3942</v>
      </c>
      <c r="S29" s="77">
        <v>3988</v>
      </c>
      <c r="T29" s="77">
        <v>4018</v>
      </c>
      <c r="U29" s="77">
        <v>4032</v>
      </c>
      <c r="W29" s="77">
        <v>450</v>
      </c>
      <c r="AF29" s="77">
        <v>3192</v>
      </c>
      <c r="AG29" s="77">
        <v>3306</v>
      </c>
      <c r="AH29" s="77">
        <v>3422</v>
      </c>
      <c r="AI29" s="77">
        <v>3540</v>
      </c>
      <c r="AJ29" s="77">
        <v>3660</v>
      </c>
      <c r="AK29" s="77">
        <v>3782</v>
      </c>
      <c r="AL29" s="77">
        <v>3906</v>
      </c>
      <c r="AM29" s="77">
        <v>4032</v>
      </c>
      <c r="AN29" s="27"/>
    </row>
    <row r="30" spans="2:40">
      <c r="B30" s="55"/>
      <c r="C30" s="77">
        <v>80</v>
      </c>
      <c r="H30" s="10"/>
      <c r="I30" s="10"/>
      <c r="J30" s="10"/>
      <c r="K30" s="10"/>
      <c r="L30" s="27"/>
      <c r="M30" s="55"/>
      <c r="W30" s="77">
        <v>460</v>
      </c>
      <c r="AM30" s="41"/>
      <c r="AN30" s="27"/>
    </row>
    <row r="31" spans="2:40">
      <c r="B31" s="55"/>
      <c r="C31" s="77">
        <v>90</v>
      </c>
      <c r="H31" s="10"/>
      <c r="I31" s="10"/>
      <c r="J31" s="10"/>
      <c r="K31" s="10"/>
      <c r="L31" s="27"/>
      <c r="M31" s="55"/>
      <c r="W31" s="77">
        <v>460</v>
      </c>
      <c r="AN31" s="27"/>
    </row>
    <row r="32" spans="2:40">
      <c r="B32" s="55"/>
      <c r="L32" s="27"/>
      <c r="M32" s="55"/>
      <c r="AN32" s="27"/>
    </row>
    <row r="33" spans="2:40">
      <c r="B33" s="56"/>
      <c r="C33" s="43"/>
      <c r="D33" s="43"/>
      <c r="E33" s="43"/>
      <c r="F33" s="43"/>
      <c r="G33" s="43"/>
      <c r="H33" s="43"/>
      <c r="I33" s="43"/>
      <c r="J33" s="43"/>
      <c r="K33" s="43"/>
      <c r="L33" s="44"/>
      <c r="M33" s="56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595CE-6254-48A2-BEF1-FC461CE3924C}">
  <sheetPr codeName="Sheet5">
    <tabColor rgb="FFD4E7F3"/>
  </sheetPr>
  <dimension ref="B2:U43"/>
  <sheetViews>
    <sheetView workbookViewId="0"/>
  </sheetViews>
  <sheetFormatPr defaultRowHeight="16.5"/>
  <cols>
    <col min="1" max="1" width="5" customWidth="1"/>
    <col min="3" max="3" width="10.08203125" bestFit="1" customWidth="1"/>
    <col min="4" max="4" width="7.5" bestFit="1" customWidth="1"/>
    <col min="5" max="5" width="11.25" bestFit="1" customWidth="1"/>
    <col min="6" max="6" width="9.75" bestFit="1" customWidth="1"/>
    <col min="7" max="7" width="11.25" bestFit="1" customWidth="1"/>
    <col min="8" max="8" width="7.33203125" customWidth="1"/>
    <col min="9" max="9" width="8.6640625" style="45"/>
    <col min="10" max="10" width="10.08203125" style="45" bestFit="1" customWidth="1"/>
    <col min="11" max="12" width="8.6640625" style="45"/>
    <col min="13" max="13" width="9.75" style="45" bestFit="1" customWidth="1"/>
    <col min="14" max="14" width="8.6640625" style="45"/>
    <col min="15" max="15" width="6.25" style="45" customWidth="1"/>
    <col min="16" max="16" width="13.4140625" style="45" customWidth="1"/>
    <col min="17" max="17" width="10.25" style="45" bestFit="1" customWidth="1"/>
    <col min="18" max="21" width="8.6640625" style="45"/>
  </cols>
  <sheetData>
    <row r="2" spans="2:20">
      <c r="B2" s="47" t="s">
        <v>169</v>
      </c>
      <c r="C2" s="41"/>
      <c r="D2" s="41"/>
      <c r="E2" s="41"/>
      <c r="F2" s="41"/>
      <c r="G2" s="41"/>
      <c r="H2" s="4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171"/>
    </row>
    <row r="3" spans="2:20">
      <c r="B3" s="52" t="s">
        <v>170</v>
      </c>
      <c r="T3" s="173"/>
    </row>
    <row r="4" spans="2:20">
      <c r="B4" s="52" t="s">
        <v>171</v>
      </c>
      <c r="K4" s="54" t="s">
        <v>173</v>
      </c>
      <c r="T4" s="173"/>
    </row>
    <row r="5" spans="2:20">
      <c r="B5" s="52" t="s">
        <v>172</v>
      </c>
      <c r="K5" s="54" t="s">
        <v>174</v>
      </c>
      <c r="T5" s="173"/>
    </row>
    <row r="6" spans="2:20">
      <c r="B6" s="55"/>
      <c r="T6" s="173"/>
    </row>
    <row r="7" spans="2:20">
      <c r="B7" s="56"/>
      <c r="C7" s="43"/>
      <c r="D7" s="43"/>
      <c r="E7" s="43"/>
      <c r="F7" s="43"/>
      <c r="G7" s="43"/>
      <c r="H7" s="43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176"/>
    </row>
    <row r="8" spans="2:20">
      <c r="B8" s="208" t="s">
        <v>153</v>
      </c>
      <c r="I8" s="17" t="s">
        <v>159</v>
      </c>
      <c r="O8" s="173"/>
      <c r="P8" s="17" t="s">
        <v>160</v>
      </c>
      <c r="T8" s="173"/>
    </row>
    <row r="9" spans="2:20">
      <c r="B9" s="72" t="s">
        <v>154</v>
      </c>
      <c r="C9" s="77" t="s">
        <v>74</v>
      </c>
      <c r="D9" s="72" t="s">
        <v>75</v>
      </c>
      <c r="E9" s="72" t="s">
        <v>76</v>
      </c>
      <c r="F9" s="72" t="s">
        <v>77</v>
      </c>
      <c r="G9" s="77" t="s">
        <v>78</v>
      </c>
      <c r="I9" s="59" t="s">
        <v>155</v>
      </c>
      <c r="O9" s="173"/>
      <c r="P9" s="59" t="s">
        <v>157</v>
      </c>
      <c r="Q9" s="172"/>
      <c r="R9" s="172"/>
      <c r="T9" s="173"/>
    </row>
    <row r="10" spans="2:20">
      <c r="B10" s="72">
        <v>1</v>
      </c>
      <c r="C10" s="82">
        <v>0.55763888888888891</v>
      </c>
      <c r="D10" s="72" t="s">
        <v>54</v>
      </c>
      <c r="E10" s="72" t="s">
        <v>55</v>
      </c>
      <c r="F10" s="72" t="s">
        <v>56</v>
      </c>
      <c r="G10" s="72">
        <v>1.4E-2</v>
      </c>
      <c r="I10" s="84" cm="1">
        <f t="array" ref="I10:N21">TakeBlockλ(TimeLog,7,19)</f>
        <v>7</v>
      </c>
      <c r="J10" s="209">
        <v>0.55902777777777779</v>
      </c>
      <c r="K10" s="84" t="str">
        <v>C1</v>
      </c>
      <c r="L10" s="84" t="str">
        <v>Circuit</v>
      </c>
      <c r="M10" s="84" t="str">
        <v>Stove</v>
      </c>
      <c r="N10" s="84">
        <v>1.4999999999999999E-2</v>
      </c>
      <c r="O10" s="173"/>
      <c r="P10" s="86" t="str" cm="1">
        <f t="array" ref="P10:R12">TakeBlockλ(TimeLog,"Humidity","Motion")</f>
        <v>Humidity</v>
      </c>
      <c r="Q10" s="86" t="str">
        <v>Bathroom</v>
      </c>
      <c r="R10" s="86">
        <v>37.9</v>
      </c>
      <c r="T10" s="173"/>
    </row>
    <row r="11" spans="2:20">
      <c r="B11" s="72">
        <v>2</v>
      </c>
      <c r="C11" s="82">
        <v>0.55763888888888891</v>
      </c>
      <c r="D11" s="72" t="s">
        <v>57</v>
      </c>
      <c r="E11" s="72" t="s">
        <v>58</v>
      </c>
      <c r="F11" s="72" t="s">
        <v>59</v>
      </c>
      <c r="G11" s="72">
        <v>5.0000000000000001E-3</v>
      </c>
      <c r="I11" s="72">
        <v>8</v>
      </c>
      <c r="J11" s="212">
        <v>0.55972222222222223</v>
      </c>
      <c r="K11" s="72" t="str">
        <v>C1</v>
      </c>
      <c r="L11" s="72" t="str">
        <v>Circuit</v>
      </c>
      <c r="M11" s="72" t="str">
        <v>Stove</v>
      </c>
      <c r="N11" s="72">
        <v>6.0000000000000001E-3</v>
      </c>
      <c r="O11" s="173"/>
      <c r="P11" s="72" t="str">
        <v>Power</v>
      </c>
      <c r="Q11" s="72" t="str">
        <v>TV</v>
      </c>
      <c r="R11" s="72">
        <v>1E-3</v>
      </c>
      <c r="T11" s="173"/>
    </row>
    <row r="12" spans="2:20">
      <c r="B12" s="72">
        <v>3</v>
      </c>
      <c r="C12" s="82">
        <v>0.55833333333333335</v>
      </c>
      <c r="D12" s="72" t="s">
        <v>60</v>
      </c>
      <c r="E12" s="72" t="s">
        <v>55</v>
      </c>
      <c r="F12" s="72" t="s">
        <v>61</v>
      </c>
      <c r="G12" s="72">
        <v>1E-3</v>
      </c>
      <c r="I12" s="72">
        <v>9</v>
      </c>
      <c r="J12" s="212">
        <v>0.55990740740740741</v>
      </c>
      <c r="K12" s="72" t="str">
        <v>H1</v>
      </c>
      <c r="L12" s="72" t="str">
        <v>Humidity</v>
      </c>
      <c r="M12" s="72" t="str">
        <v>Bathroom</v>
      </c>
      <c r="N12" s="72">
        <v>37.9</v>
      </c>
      <c r="O12" s="173"/>
      <c r="P12" s="72" t="str">
        <v>Circuit</v>
      </c>
      <c r="Q12" s="72" t="str">
        <v>Stove</v>
      </c>
      <c r="R12" s="72">
        <v>8.0000000000000002E-3</v>
      </c>
      <c r="T12" s="173"/>
    </row>
    <row r="13" spans="2:20">
      <c r="B13" s="72">
        <v>4</v>
      </c>
      <c r="C13" s="82">
        <v>0.55833333333333335</v>
      </c>
      <c r="D13" s="72" t="s">
        <v>57</v>
      </c>
      <c r="E13" s="72" t="s">
        <v>58</v>
      </c>
      <c r="F13" s="72" t="s">
        <v>59</v>
      </c>
      <c r="G13" s="72">
        <v>8.9999999999999993E-3</v>
      </c>
      <c r="I13" s="72">
        <v>10</v>
      </c>
      <c r="J13" s="212">
        <v>0.56041666666666667</v>
      </c>
      <c r="K13" s="72" t="str">
        <v>P1</v>
      </c>
      <c r="L13" s="72" t="str">
        <v>Power</v>
      </c>
      <c r="M13" s="72" t="str">
        <v>TV</v>
      </c>
      <c r="N13" s="72">
        <v>1E-3</v>
      </c>
      <c r="O13" s="173"/>
      <c r="P13" s="175"/>
      <c r="Q13" s="60"/>
      <c r="R13" s="60"/>
      <c r="S13" s="60"/>
      <c r="T13" s="176"/>
    </row>
    <row r="14" spans="2:20">
      <c r="B14" s="72">
        <v>5</v>
      </c>
      <c r="C14" s="82">
        <v>0.55879629629629635</v>
      </c>
      <c r="D14" s="83" t="s">
        <v>62</v>
      </c>
      <c r="E14" s="83" t="s">
        <v>63</v>
      </c>
      <c r="F14" s="83" t="s">
        <v>64</v>
      </c>
      <c r="G14" s="83" t="s">
        <v>65</v>
      </c>
      <c r="I14" s="72">
        <v>11</v>
      </c>
      <c r="J14" s="212">
        <v>0.56041666666666667</v>
      </c>
      <c r="K14" s="72" t="str">
        <v>C1</v>
      </c>
      <c r="L14" s="72" t="str">
        <v>Circuit</v>
      </c>
      <c r="M14" s="72" t="str">
        <v>Stove</v>
      </c>
      <c r="N14" s="72">
        <v>8.0000000000000002E-3</v>
      </c>
      <c r="O14" s="173"/>
      <c r="P14" s="21" t="s">
        <v>162</v>
      </c>
      <c r="Q14" s="51"/>
      <c r="R14" s="51"/>
      <c r="S14" s="51"/>
      <c r="T14" s="171"/>
    </row>
    <row r="15" spans="2:20">
      <c r="B15" s="72">
        <v>6</v>
      </c>
      <c r="C15" s="82">
        <v>0.55902777777777779</v>
      </c>
      <c r="D15" s="72" t="s">
        <v>60</v>
      </c>
      <c r="E15" s="72" t="s">
        <v>55</v>
      </c>
      <c r="F15" s="72" t="s">
        <v>61</v>
      </c>
      <c r="G15" s="72">
        <v>1E-3</v>
      </c>
      <c r="I15" s="72">
        <v>12</v>
      </c>
      <c r="J15" s="212">
        <v>0.56085648148148148</v>
      </c>
      <c r="K15" s="72" t="str">
        <v>M4</v>
      </c>
      <c r="L15" s="72" t="str">
        <v>Motion</v>
      </c>
      <c r="M15" s="72" t="str">
        <v>Kitchen</v>
      </c>
      <c r="N15" s="72">
        <v>1</v>
      </c>
      <c r="O15" s="173"/>
      <c r="P15" s="59" t="s">
        <v>161</v>
      </c>
      <c r="T15" s="173"/>
    </row>
    <row r="16" spans="2:20">
      <c r="B16" s="84">
        <v>7</v>
      </c>
      <c r="C16" s="85">
        <v>0.55902777777777779</v>
      </c>
      <c r="D16" s="84" t="s">
        <v>57</v>
      </c>
      <c r="E16" s="84" t="s">
        <v>58</v>
      </c>
      <c r="F16" s="84" t="s">
        <v>59</v>
      </c>
      <c r="G16" s="84">
        <v>1.4999999999999999E-2</v>
      </c>
      <c r="I16" s="72">
        <v>13</v>
      </c>
      <c r="J16" s="212">
        <v>0.56111111111111112</v>
      </c>
      <c r="K16" s="72" t="str">
        <v>C1</v>
      </c>
      <c r="L16" s="72" t="str">
        <v>Circuit</v>
      </c>
      <c r="M16" s="72" t="str">
        <v>Stove</v>
      </c>
      <c r="N16" s="72">
        <v>6.0000000000000001E-3</v>
      </c>
      <c r="O16" s="173"/>
      <c r="P16" s="210" t="str" cm="1">
        <f t="array" ref="P16:S24">TakeBlockλ(TimeLog,"R3","M2")</f>
        <v>R3</v>
      </c>
      <c r="Q16" s="210" t="str">
        <v>Reed</v>
      </c>
      <c r="R16" s="210" t="str">
        <v>Closet</v>
      </c>
      <c r="S16" s="210" t="str">
        <v>Open</v>
      </c>
      <c r="T16" s="173"/>
    </row>
    <row r="17" spans="2:20">
      <c r="B17" s="72">
        <v>8</v>
      </c>
      <c r="C17" s="82">
        <v>0.55972222222222223</v>
      </c>
      <c r="D17" s="72" t="s">
        <v>57</v>
      </c>
      <c r="E17" s="72" t="s">
        <v>58</v>
      </c>
      <c r="F17" s="72" t="s">
        <v>59</v>
      </c>
      <c r="G17" s="72">
        <v>6.0000000000000001E-3</v>
      </c>
      <c r="I17" s="72">
        <v>14</v>
      </c>
      <c r="J17" s="212">
        <v>0.56123842592592588</v>
      </c>
      <c r="K17" s="72" t="str">
        <v>M2</v>
      </c>
      <c r="L17" s="72" t="str">
        <v>Motion</v>
      </c>
      <c r="M17" s="72" t="str">
        <v>Livingroom</v>
      </c>
      <c r="N17" s="72">
        <v>1</v>
      </c>
      <c r="O17" s="173"/>
      <c r="P17" s="77" t="str">
        <v>P1</v>
      </c>
      <c r="Q17" s="77" t="str">
        <v>Power</v>
      </c>
      <c r="R17" s="77" t="str">
        <v>TV</v>
      </c>
      <c r="S17" s="77">
        <v>1E-3</v>
      </c>
      <c r="T17" s="173"/>
    </row>
    <row r="18" spans="2:20">
      <c r="B18" s="72">
        <v>9</v>
      </c>
      <c r="C18" s="82">
        <v>0.55990740740740741</v>
      </c>
      <c r="D18" s="72" t="s">
        <v>66</v>
      </c>
      <c r="E18" s="86" t="s">
        <v>67</v>
      </c>
      <c r="F18" s="86" t="s">
        <v>68</v>
      </c>
      <c r="G18" s="86">
        <v>37.9</v>
      </c>
      <c r="I18" s="72">
        <v>15</v>
      </c>
      <c r="J18" s="212">
        <v>0.56157407407407411</v>
      </c>
      <c r="K18" s="72" t="str">
        <v>T2</v>
      </c>
      <c r="L18" s="72" t="str">
        <v>Temp</v>
      </c>
      <c r="M18" s="72" t="str">
        <v>Garage</v>
      </c>
      <c r="N18" s="72">
        <v>72.400000000000006</v>
      </c>
      <c r="O18" s="173"/>
      <c r="P18" s="77" t="str">
        <v>C1</v>
      </c>
      <c r="Q18" s="77" t="str">
        <v>Circuit</v>
      </c>
      <c r="R18" s="77" t="str">
        <v>Stove</v>
      </c>
      <c r="S18" s="77">
        <v>1.4999999999999999E-2</v>
      </c>
      <c r="T18" s="173"/>
    </row>
    <row r="19" spans="2:20">
      <c r="B19" s="72">
        <v>10</v>
      </c>
      <c r="C19" s="82">
        <v>0.56041666666666667</v>
      </c>
      <c r="D19" s="72" t="s">
        <v>60</v>
      </c>
      <c r="E19" s="72" t="s">
        <v>55</v>
      </c>
      <c r="F19" s="72" t="s">
        <v>61</v>
      </c>
      <c r="G19" s="72">
        <v>1E-3</v>
      </c>
      <c r="I19" s="72">
        <v>16</v>
      </c>
      <c r="J19" s="212">
        <v>0.56158407407407407</v>
      </c>
      <c r="K19" s="72" t="str">
        <v>C1</v>
      </c>
      <c r="L19" s="72" t="str">
        <v>Circuit</v>
      </c>
      <c r="M19" s="72" t="str">
        <v>Stove</v>
      </c>
      <c r="N19" s="72">
        <v>8.9999999999999993E-3</v>
      </c>
      <c r="O19" s="173"/>
      <c r="P19" s="77" t="str">
        <v>C1</v>
      </c>
      <c r="Q19" s="77" t="str">
        <v>Circuit</v>
      </c>
      <c r="R19" s="77" t="str">
        <v>Stove</v>
      </c>
      <c r="S19" s="77">
        <v>6.0000000000000001E-3</v>
      </c>
      <c r="T19" s="173"/>
    </row>
    <row r="20" spans="2:20">
      <c r="B20" s="72">
        <v>11</v>
      </c>
      <c r="C20" s="82">
        <v>0.56041666666666667</v>
      </c>
      <c r="D20" s="72" t="s">
        <v>57</v>
      </c>
      <c r="E20" s="72" t="s">
        <v>58</v>
      </c>
      <c r="F20" s="72" t="s">
        <v>59</v>
      </c>
      <c r="G20" s="72">
        <v>8.0000000000000002E-3</v>
      </c>
      <c r="I20" s="72">
        <v>17</v>
      </c>
      <c r="J20" s="212">
        <v>0.56159407407407402</v>
      </c>
      <c r="K20" s="72" t="str">
        <v>R3</v>
      </c>
      <c r="L20" s="72" t="str">
        <v>Reed</v>
      </c>
      <c r="M20" s="72" t="str">
        <v>Closet</v>
      </c>
      <c r="N20" s="72" t="str">
        <v>Open</v>
      </c>
      <c r="O20" s="173"/>
      <c r="P20" s="77" t="str">
        <v>H1</v>
      </c>
      <c r="Q20" s="77" t="str">
        <v>Humidity</v>
      </c>
      <c r="R20" s="77" t="str">
        <v>Bathroom</v>
      </c>
      <c r="S20" s="77">
        <v>37.9</v>
      </c>
      <c r="T20" s="173"/>
    </row>
    <row r="21" spans="2:20">
      <c r="B21" s="72">
        <v>12</v>
      </c>
      <c r="C21" s="82">
        <v>0.56085648148148148</v>
      </c>
      <c r="D21" s="72" t="s">
        <v>69</v>
      </c>
      <c r="E21" s="72" t="s">
        <v>70</v>
      </c>
      <c r="F21" s="72" t="s">
        <v>71</v>
      </c>
      <c r="G21" s="72">
        <v>1</v>
      </c>
      <c r="I21" s="72">
        <v>18</v>
      </c>
      <c r="J21" s="212">
        <v>0.56160407407407398</v>
      </c>
      <c r="K21" s="72" t="str">
        <v>P1</v>
      </c>
      <c r="L21" s="72" t="str">
        <v>Power</v>
      </c>
      <c r="M21" s="72" t="str">
        <v>TV</v>
      </c>
      <c r="N21" s="72">
        <v>1E-3</v>
      </c>
      <c r="O21" s="173"/>
      <c r="P21" s="77" t="str">
        <v>P1</v>
      </c>
      <c r="Q21" s="77" t="str">
        <v>Power</v>
      </c>
      <c r="R21" s="77" t="str">
        <v>TV</v>
      </c>
      <c r="S21" s="77">
        <v>1E-3</v>
      </c>
      <c r="T21" s="173"/>
    </row>
    <row r="22" spans="2:20">
      <c r="B22" s="72">
        <v>13</v>
      </c>
      <c r="C22" s="82">
        <v>0.56111111111111112</v>
      </c>
      <c r="D22" s="72" t="s">
        <v>57</v>
      </c>
      <c r="E22" s="72" t="s">
        <v>58</v>
      </c>
      <c r="F22" s="72" t="s">
        <v>59</v>
      </c>
      <c r="G22" s="72">
        <v>6.0000000000000001E-3</v>
      </c>
      <c r="I22" s="175"/>
      <c r="J22" s="60"/>
      <c r="K22" s="60"/>
      <c r="L22" s="60"/>
      <c r="M22" s="60"/>
      <c r="N22" s="60"/>
      <c r="O22" s="176"/>
      <c r="P22" s="77" t="str">
        <v>C1</v>
      </c>
      <c r="Q22" s="77" t="str">
        <v>Circuit</v>
      </c>
      <c r="R22" s="77" t="str">
        <v>Stove</v>
      </c>
      <c r="S22" s="77">
        <v>8.0000000000000002E-3</v>
      </c>
      <c r="T22" s="173"/>
    </row>
    <row r="23" spans="2:20">
      <c r="B23" s="72">
        <v>14</v>
      </c>
      <c r="C23" s="82">
        <v>0.56123842592592588</v>
      </c>
      <c r="D23" s="72" t="s">
        <v>72</v>
      </c>
      <c r="E23" s="72" t="s">
        <v>70</v>
      </c>
      <c r="F23" s="72" t="s">
        <v>73</v>
      </c>
      <c r="G23" s="72">
        <v>1</v>
      </c>
      <c r="I23" s="17" t="s">
        <v>158</v>
      </c>
      <c r="O23" s="173"/>
      <c r="P23" s="77" t="str">
        <v>M4</v>
      </c>
      <c r="Q23" s="77" t="str">
        <v>Motion</v>
      </c>
      <c r="R23" s="77" t="str">
        <v>Kitchen</v>
      </c>
      <c r="S23" s="77">
        <v>1</v>
      </c>
      <c r="T23" s="173"/>
    </row>
    <row r="24" spans="2:20">
      <c r="B24" s="72">
        <v>15</v>
      </c>
      <c r="C24" s="82">
        <v>0.56157407407407411</v>
      </c>
      <c r="D24" s="72" t="s">
        <v>81</v>
      </c>
      <c r="E24" s="72" t="s">
        <v>82</v>
      </c>
      <c r="F24" s="72" t="s">
        <v>83</v>
      </c>
      <c r="G24" s="72">
        <v>72.400000000000006</v>
      </c>
      <c r="I24" s="59" t="s">
        <v>156</v>
      </c>
      <c r="O24" s="173"/>
      <c r="P24" s="77" t="str">
        <v>C1</v>
      </c>
      <c r="Q24" s="77" t="str">
        <v>Circuit</v>
      </c>
      <c r="R24" s="77" t="str">
        <v>Stove</v>
      </c>
      <c r="S24" s="77">
        <v>6.0000000000000001E-3</v>
      </c>
      <c r="T24" s="173"/>
    </row>
    <row r="25" spans="2:20">
      <c r="B25" s="72">
        <v>16</v>
      </c>
      <c r="C25" s="82">
        <v>0.56158407407407407</v>
      </c>
      <c r="D25" s="72" t="s">
        <v>57</v>
      </c>
      <c r="E25" s="72" t="s">
        <v>58</v>
      </c>
      <c r="F25" s="72" t="s">
        <v>59</v>
      </c>
      <c r="G25" s="72">
        <v>8.9999999999999993E-3</v>
      </c>
      <c r="I25" s="86" t="str" cm="1">
        <f t="array" ref="I25:K41">TakeBlockλ(TimeLog,"Humidity")</f>
        <v>Humidity</v>
      </c>
      <c r="J25" s="86" t="str">
        <v>Bathroom</v>
      </c>
      <c r="K25" s="86">
        <v>37.9</v>
      </c>
      <c r="O25" s="173"/>
      <c r="P25" s="175"/>
      <c r="Q25" s="60"/>
      <c r="R25" s="60"/>
      <c r="S25" s="60"/>
      <c r="T25" s="176"/>
    </row>
    <row r="26" spans="2:20">
      <c r="B26" s="72">
        <v>17</v>
      </c>
      <c r="C26" s="82">
        <v>0.56159407407407402</v>
      </c>
      <c r="D26" s="72" t="s">
        <v>62</v>
      </c>
      <c r="E26" s="72" t="s">
        <v>63</v>
      </c>
      <c r="F26" s="72" t="s">
        <v>64</v>
      </c>
      <c r="G26" s="72" t="s">
        <v>65</v>
      </c>
      <c r="I26" s="72" t="str">
        <v>Power</v>
      </c>
      <c r="J26" s="72" t="str">
        <v>TV</v>
      </c>
      <c r="K26" s="72">
        <v>1E-3</v>
      </c>
      <c r="O26" s="173"/>
      <c r="P26" s="21" t="s">
        <v>164</v>
      </c>
      <c r="Q26" s="51"/>
      <c r="R26" s="51"/>
      <c r="S26" s="51"/>
      <c r="T26" s="171"/>
    </row>
    <row r="27" spans="2:20">
      <c r="B27" s="72">
        <v>18</v>
      </c>
      <c r="C27" s="82">
        <v>0.56160407407407398</v>
      </c>
      <c r="D27" s="72" t="s">
        <v>60</v>
      </c>
      <c r="E27" s="72" t="s">
        <v>55</v>
      </c>
      <c r="F27" s="72" t="s">
        <v>61</v>
      </c>
      <c r="G27" s="72">
        <v>1E-3</v>
      </c>
      <c r="I27" s="72" t="str">
        <v>Circuit</v>
      </c>
      <c r="J27" s="72" t="str">
        <v>Stove</v>
      </c>
      <c r="K27" s="72">
        <v>8.0000000000000002E-3</v>
      </c>
      <c r="O27" s="173"/>
      <c r="P27" s="59" t="s">
        <v>163</v>
      </c>
      <c r="T27" s="173"/>
    </row>
    <row r="28" spans="2:20">
      <c r="B28" s="72">
        <v>19</v>
      </c>
      <c r="C28" s="82">
        <v>0.56161407407407393</v>
      </c>
      <c r="D28" s="72" t="s">
        <v>57</v>
      </c>
      <c r="E28" s="72" t="s">
        <v>58</v>
      </c>
      <c r="F28" s="72" t="s">
        <v>59</v>
      </c>
      <c r="G28" s="72">
        <v>1.4999999999999999E-2</v>
      </c>
      <c r="I28" s="72" t="str">
        <v>Motion</v>
      </c>
      <c r="J28" s="72" t="str">
        <v>Kitchen</v>
      </c>
      <c r="K28" s="72">
        <v>1</v>
      </c>
      <c r="O28" s="173"/>
      <c r="P28" s="211" t="str" cm="1">
        <f t="array" ref="P28:Q31">TakeBlockλ(TimeLog,"CD Player")</f>
        <v>CD Player</v>
      </c>
      <c r="Q28" s="211">
        <v>1E-3</v>
      </c>
      <c r="T28" s="173"/>
    </row>
    <row r="29" spans="2:20">
      <c r="B29" s="72">
        <v>20</v>
      </c>
      <c r="C29" s="82">
        <v>0.56162407407407389</v>
      </c>
      <c r="D29" s="72" t="s">
        <v>57</v>
      </c>
      <c r="E29" s="72" t="s">
        <v>58</v>
      </c>
      <c r="F29" s="72" t="s">
        <v>59</v>
      </c>
      <c r="G29" s="72">
        <v>6.0000000000000001E-3</v>
      </c>
      <c r="I29" s="72" t="str">
        <v>Circuit</v>
      </c>
      <c r="J29" s="72" t="str">
        <v>Stove</v>
      </c>
      <c r="K29" s="72">
        <v>6.0000000000000001E-3</v>
      </c>
      <c r="O29" s="173"/>
      <c r="P29" s="77" t="str">
        <v>Stove</v>
      </c>
      <c r="Q29" s="77">
        <v>8.0000000000000002E-3</v>
      </c>
      <c r="T29" s="173"/>
    </row>
    <row r="30" spans="2:20">
      <c r="B30" s="72">
        <v>21</v>
      </c>
      <c r="C30" s="82">
        <v>0.56163407407407384</v>
      </c>
      <c r="D30" s="72" t="s">
        <v>66</v>
      </c>
      <c r="E30" s="72" t="s">
        <v>67</v>
      </c>
      <c r="F30" s="72" t="s">
        <v>68</v>
      </c>
      <c r="G30" s="72">
        <v>37.9</v>
      </c>
      <c r="I30" s="72" t="str">
        <v>Motion</v>
      </c>
      <c r="J30" s="72" t="str">
        <v>Livingroom</v>
      </c>
      <c r="K30" s="72">
        <v>1</v>
      </c>
      <c r="O30" s="173"/>
      <c r="P30" s="77" t="str">
        <v>Garage</v>
      </c>
      <c r="Q30" s="77">
        <v>1</v>
      </c>
      <c r="T30" s="173"/>
    </row>
    <row r="31" spans="2:20">
      <c r="B31" s="72">
        <v>22</v>
      </c>
      <c r="C31" s="82">
        <v>0.5616440740740738</v>
      </c>
      <c r="D31" s="72" t="s">
        <v>60</v>
      </c>
      <c r="E31" s="72" t="s">
        <v>55</v>
      </c>
      <c r="F31" s="87" t="s">
        <v>152</v>
      </c>
      <c r="G31" s="87">
        <v>1E-3</v>
      </c>
      <c r="I31" s="72" t="str">
        <v>Temp</v>
      </c>
      <c r="J31" s="72" t="str">
        <v>Garage</v>
      </c>
      <c r="K31" s="72">
        <v>72.400000000000006</v>
      </c>
      <c r="O31" s="173"/>
      <c r="P31" s="77" t="str">
        <v>Stove</v>
      </c>
      <c r="Q31" s="77">
        <v>6.0000000000000001E-3</v>
      </c>
      <c r="T31" s="173"/>
    </row>
    <row r="32" spans="2:20">
      <c r="B32" s="72">
        <v>23</v>
      </c>
      <c r="C32" s="82">
        <v>0.56165407407407375</v>
      </c>
      <c r="D32" s="72" t="s">
        <v>57</v>
      </c>
      <c r="E32" s="72" t="s">
        <v>58</v>
      </c>
      <c r="F32" s="72" t="s">
        <v>59</v>
      </c>
      <c r="G32" s="72">
        <v>8.0000000000000002E-3</v>
      </c>
      <c r="I32" s="72" t="str">
        <v>Circuit</v>
      </c>
      <c r="J32" s="72" t="str">
        <v>Stove</v>
      </c>
      <c r="K32" s="72">
        <v>8.9999999999999993E-3</v>
      </c>
      <c r="O32" s="173"/>
      <c r="P32" s="175"/>
      <c r="Q32" s="60"/>
      <c r="R32" s="60"/>
      <c r="S32" s="60"/>
      <c r="T32" s="176"/>
    </row>
    <row r="33" spans="2:20">
      <c r="B33" s="72">
        <v>24</v>
      </c>
      <c r="C33" s="82">
        <v>0.5616640740740737</v>
      </c>
      <c r="D33" s="72" t="s">
        <v>69</v>
      </c>
      <c r="E33" s="72" t="s">
        <v>70</v>
      </c>
      <c r="F33" s="72" t="s">
        <v>83</v>
      </c>
      <c r="G33" s="72">
        <v>1</v>
      </c>
      <c r="I33" s="72" t="str">
        <v>Reed</v>
      </c>
      <c r="J33" s="72" t="str">
        <v>Closet</v>
      </c>
      <c r="K33" s="72" t="str">
        <v>Open</v>
      </c>
      <c r="O33" s="173"/>
      <c r="P33" s="25" t="s">
        <v>168</v>
      </c>
      <c r="T33" s="173"/>
    </row>
    <row r="34" spans="2:20">
      <c r="B34" s="72">
        <v>25</v>
      </c>
      <c r="C34" s="88">
        <v>0.5618171296296296</v>
      </c>
      <c r="D34" s="72" t="s">
        <v>57</v>
      </c>
      <c r="E34" s="72" t="s">
        <v>58</v>
      </c>
      <c r="F34" s="72" t="s">
        <v>59</v>
      </c>
      <c r="G34" s="72">
        <v>6.0000000000000001E-3</v>
      </c>
      <c r="I34" s="72" t="str">
        <v>Power</v>
      </c>
      <c r="J34" s="72" t="str">
        <v>TV</v>
      </c>
      <c r="K34" s="72">
        <v>1E-3</v>
      </c>
      <c r="O34" s="173"/>
      <c r="P34" s="32" t="s">
        <v>165</v>
      </c>
      <c r="T34" s="173"/>
    </row>
    <row r="35" spans="2:20">
      <c r="I35" s="72" t="str">
        <v>Circuit</v>
      </c>
      <c r="J35" s="72" t="str">
        <v>Stove</v>
      </c>
      <c r="K35" s="72">
        <v>1.4999999999999999E-2</v>
      </c>
      <c r="O35" s="173"/>
      <c r="P35" s="89" t="str" cm="1">
        <f t="array" ref="P35">TakeBlockλ(TimeLog,"Balcony")</f>
        <v>#NO-ANCHOR!</v>
      </c>
      <c r="T35" s="173"/>
    </row>
    <row r="36" spans="2:20">
      <c r="I36" s="72" t="str">
        <v>Circuit</v>
      </c>
      <c r="J36" s="72" t="str">
        <v>Stove</v>
      </c>
      <c r="K36" s="72">
        <v>6.0000000000000001E-3</v>
      </c>
      <c r="O36" s="173"/>
      <c r="T36" s="173"/>
    </row>
    <row r="37" spans="2:20">
      <c r="I37" s="72" t="str">
        <v>Humidity</v>
      </c>
      <c r="J37" s="72" t="str">
        <v>Bathroom</v>
      </c>
      <c r="K37" s="72">
        <v>37.9</v>
      </c>
      <c r="O37" s="173"/>
      <c r="P37" s="25" t="s">
        <v>167</v>
      </c>
      <c r="T37" s="173"/>
    </row>
    <row r="38" spans="2:20">
      <c r="I38" s="72" t="str">
        <v>Power</v>
      </c>
      <c r="J38" s="72" t="str">
        <v>CD Player</v>
      </c>
      <c r="K38" s="72">
        <v>1E-3</v>
      </c>
      <c r="O38" s="173"/>
      <c r="P38" s="32" t="s">
        <v>166</v>
      </c>
      <c r="T38" s="173"/>
    </row>
    <row r="39" spans="2:20">
      <c r="I39" s="72" t="str">
        <v>Circuit</v>
      </c>
      <c r="J39" s="72" t="str">
        <v>Stove</v>
      </c>
      <c r="K39" s="72">
        <v>8.0000000000000002E-3</v>
      </c>
      <c r="O39" s="173"/>
      <c r="P39" s="89" t="str" cm="1">
        <f t="array" ref="P39">TakeBlockλ(TimeLog,"CD Player","Kettle")</f>
        <v>#NO-SLICE!</v>
      </c>
      <c r="T39" s="173"/>
    </row>
    <row r="40" spans="2:20">
      <c r="I40" s="72" t="str">
        <v>Motion</v>
      </c>
      <c r="J40" s="72" t="str">
        <v>Garage</v>
      </c>
      <c r="K40" s="72">
        <v>1</v>
      </c>
      <c r="O40" s="173"/>
      <c r="T40" s="173"/>
    </row>
    <row r="41" spans="2:20">
      <c r="I41" s="72" t="str">
        <v>Circuit</v>
      </c>
      <c r="J41" s="72" t="str">
        <v>Stove</v>
      </c>
      <c r="K41" s="72">
        <v>6.0000000000000001E-3</v>
      </c>
      <c r="O41" s="173"/>
      <c r="T41" s="173"/>
    </row>
    <row r="42" spans="2:20">
      <c r="I42" s="174"/>
      <c r="O42" s="173"/>
      <c r="T42" s="173"/>
    </row>
    <row r="43" spans="2:20">
      <c r="I43" s="175"/>
      <c r="J43" s="60"/>
      <c r="K43" s="60"/>
      <c r="L43" s="60"/>
      <c r="M43" s="60"/>
      <c r="N43" s="60"/>
      <c r="O43" s="176"/>
      <c r="P43" s="60"/>
      <c r="Q43" s="60"/>
      <c r="R43" s="60"/>
      <c r="S43" s="60"/>
      <c r="T43" s="176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D117-956A-4193-8923-475C86B0722C}">
  <sheetPr codeName="Sheet6">
    <tabColor rgb="FFD4E7F3"/>
  </sheetPr>
  <dimension ref="B2:AQ33"/>
  <sheetViews>
    <sheetView workbookViewId="0"/>
  </sheetViews>
  <sheetFormatPr defaultRowHeight="16.5"/>
  <cols>
    <col min="1" max="1" width="5" customWidth="1"/>
    <col min="3" max="13" width="3.83203125" customWidth="1"/>
    <col min="14" max="14" width="4.75" customWidth="1"/>
    <col min="15" max="17" width="3.83203125" customWidth="1"/>
    <col min="18" max="18" width="4.5" customWidth="1"/>
    <col min="19" max="43" width="3.83203125" customWidth="1"/>
  </cols>
  <sheetData>
    <row r="2" spans="2:43">
      <c r="B2" s="47" t="s">
        <v>422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2"/>
    </row>
    <row r="3" spans="2:43">
      <c r="B3" s="52" t="s">
        <v>176</v>
      </c>
      <c r="AQ3" s="27"/>
    </row>
    <row r="4" spans="2:43">
      <c r="B4" s="177" t="s">
        <v>175</v>
      </c>
      <c r="AQ4" s="27"/>
    </row>
    <row r="5" spans="2:43">
      <c r="B5" s="55"/>
      <c r="C5" s="1" t="s">
        <v>289</v>
      </c>
      <c r="AQ5" s="27"/>
    </row>
    <row r="6" spans="2:43">
      <c r="B6" s="55"/>
      <c r="C6" s="1" t="s">
        <v>290</v>
      </c>
      <c r="AQ6" s="27"/>
    </row>
    <row r="7" spans="2:43">
      <c r="B7" s="55"/>
      <c r="C7" s="1" t="s">
        <v>291</v>
      </c>
      <c r="AQ7" s="27"/>
    </row>
    <row r="8" spans="2:43">
      <c r="B8" s="55"/>
      <c r="C8" s="1" t="s">
        <v>439</v>
      </c>
      <c r="AQ8" s="27"/>
    </row>
    <row r="9" spans="2:43">
      <c r="B9" s="56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4"/>
    </row>
    <row r="10" spans="2:43" ht="9" customHeight="1">
      <c r="B10" s="57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2"/>
      <c r="Y10" s="55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2"/>
    </row>
    <row r="11" spans="2:43">
      <c r="B11" s="55"/>
      <c r="C11" s="208" t="s">
        <v>177</v>
      </c>
      <c r="I11" s="208" t="s">
        <v>178</v>
      </c>
      <c r="O11" s="208" t="s">
        <v>179</v>
      </c>
      <c r="V11" s="208" t="s">
        <v>182</v>
      </c>
      <c r="X11" s="27"/>
      <c r="Y11" s="55"/>
      <c r="Z11" s="208" t="s">
        <v>185</v>
      </c>
      <c r="AF11" s="208" t="s">
        <v>186</v>
      </c>
      <c r="AL11" s="208" t="s">
        <v>187</v>
      </c>
      <c r="AQ11" s="27"/>
    </row>
    <row r="12" spans="2:43">
      <c r="B12" s="55"/>
      <c r="C12" s="188">
        <v>1</v>
      </c>
      <c r="D12" s="188">
        <v>2</v>
      </c>
      <c r="E12" s="188">
        <v>3</v>
      </c>
      <c r="F12" s="188">
        <v>4</v>
      </c>
      <c r="G12" s="188">
        <v>5</v>
      </c>
      <c r="H12" s="61"/>
      <c r="I12" s="213">
        <v>101</v>
      </c>
      <c r="J12" s="213">
        <v>102</v>
      </c>
      <c r="K12" s="213">
        <v>103</v>
      </c>
      <c r="L12" s="213">
        <v>104</v>
      </c>
      <c r="M12" s="213">
        <v>105</v>
      </c>
      <c r="N12" s="61"/>
      <c r="O12" s="178">
        <v>201</v>
      </c>
      <c r="P12" s="178">
        <v>202</v>
      </c>
      <c r="Q12" s="178">
        <v>203</v>
      </c>
      <c r="R12" s="178">
        <v>204</v>
      </c>
      <c r="S12" s="178">
        <v>205</v>
      </c>
      <c r="V12" s="87">
        <v>300</v>
      </c>
      <c r="W12" s="87">
        <v>301</v>
      </c>
      <c r="X12" s="27"/>
      <c r="Y12" s="55"/>
      <c r="Z12" s="214">
        <v>255</v>
      </c>
      <c r="AA12" s="214">
        <v>255</v>
      </c>
      <c r="AB12" s="214">
        <v>255</v>
      </c>
      <c r="AC12" s="214">
        <v>255</v>
      </c>
      <c r="AD12" s="214">
        <v>255</v>
      </c>
      <c r="AE12" s="61"/>
      <c r="AF12" s="215">
        <v>50</v>
      </c>
      <c r="AG12" s="215">
        <v>50</v>
      </c>
      <c r="AH12" s="215">
        <v>50</v>
      </c>
      <c r="AI12" s="215">
        <v>50</v>
      </c>
      <c r="AJ12" s="215">
        <v>50</v>
      </c>
      <c r="AK12" s="61"/>
      <c r="AL12" s="216">
        <v>255</v>
      </c>
      <c r="AM12" s="216">
        <v>200</v>
      </c>
      <c r="AN12" s="216">
        <v>150</v>
      </c>
      <c r="AO12" s="216">
        <v>100</v>
      </c>
      <c r="AP12" s="216">
        <v>50</v>
      </c>
      <c r="AQ12" s="27"/>
    </row>
    <row r="13" spans="2:43">
      <c r="B13" s="55"/>
      <c r="C13" s="188">
        <v>6</v>
      </c>
      <c r="D13" s="188">
        <v>7</v>
      </c>
      <c r="E13" s="188">
        <v>8</v>
      </c>
      <c r="F13" s="188">
        <v>9</v>
      </c>
      <c r="G13" s="188">
        <v>10</v>
      </c>
      <c r="H13" s="61"/>
      <c r="I13" s="213">
        <v>106</v>
      </c>
      <c r="J13" s="213">
        <v>107</v>
      </c>
      <c r="K13" s="213">
        <v>108</v>
      </c>
      <c r="L13" s="213">
        <v>109</v>
      </c>
      <c r="M13" s="213">
        <v>110</v>
      </c>
      <c r="N13" s="61"/>
      <c r="O13" s="178">
        <v>206</v>
      </c>
      <c r="P13" s="178">
        <v>207</v>
      </c>
      <c r="Q13" s="178">
        <v>208</v>
      </c>
      <c r="R13" s="178">
        <v>209</v>
      </c>
      <c r="S13" s="178">
        <v>210</v>
      </c>
      <c r="V13" s="87">
        <v>302</v>
      </c>
      <c r="W13" s="87">
        <v>303</v>
      </c>
      <c r="X13" s="27"/>
      <c r="Y13" s="55"/>
      <c r="Z13" s="214">
        <v>200</v>
      </c>
      <c r="AA13" s="214">
        <v>200</v>
      </c>
      <c r="AB13" s="214">
        <v>200</v>
      </c>
      <c r="AC13" s="214">
        <v>200</v>
      </c>
      <c r="AD13" s="214">
        <v>200</v>
      </c>
      <c r="AE13" s="61"/>
      <c r="AF13" s="215">
        <v>100</v>
      </c>
      <c r="AG13" s="215">
        <v>100</v>
      </c>
      <c r="AH13" s="215">
        <v>100</v>
      </c>
      <c r="AI13" s="215">
        <v>100</v>
      </c>
      <c r="AJ13" s="215">
        <v>100</v>
      </c>
      <c r="AK13" s="61"/>
      <c r="AL13" s="216">
        <v>255</v>
      </c>
      <c r="AM13" s="216">
        <v>200</v>
      </c>
      <c r="AN13" s="216">
        <v>150</v>
      </c>
      <c r="AO13" s="216">
        <v>100</v>
      </c>
      <c r="AP13" s="216">
        <v>50</v>
      </c>
      <c r="AQ13" s="27"/>
    </row>
    <row r="14" spans="2:43">
      <c r="B14" s="55"/>
      <c r="C14" s="188">
        <v>11</v>
      </c>
      <c r="D14" s="188">
        <v>12</v>
      </c>
      <c r="E14" s="188">
        <v>13</v>
      </c>
      <c r="F14" s="188">
        <v>14</v>
      </c>
      <c r="G14" s="188">
        <v>15</v>
      </c>
      <c r="H14" s="61"/>
      <c r="I14" s="213">
        <v>111</v>
      </c>
      <c r="J14" s="213">
        <v>112</v>
      </c>
      <c r="K14" s="213">
        <v>113</v>
      </c>
      <c r="L14" s="213">
        <v>114</v>
      </c>
      <c r="M14" s="213">
        <v>115</v>
      </c>
      <c r="N14" s="61"/>
      <c r="O14" s="178">
        <v>211</v>
      </c>
      <c r="P14" s="178">
        <v>212</v>
      </c>
      <c r="Q14" s="178">
        <v>213</v>
      </c>
      <c r="R14" s="178">
        <v>214</v>
      </c>
      <c r="S14" s="178">
        <v>215</v>
      </c>
      <c r="X14" s="27"/>
      <c r="Y14" s="55"/>
      <c r="Z14" s="214">
        <v>150</v>
      </c>
      <c r="AA14" s="214">
        <v>150</v>
      </c>
      <c r="AB14" s="214">
        <v>150</v>
      </c>
      <c r="AC14" s="214">
        <v>150</v>
      </c>
      <c r="AD14" s="214">
        <v>150</v>
      </c>
      <c r="AE14" s="61"/>
      <c r="AF14" s="215">
        <v>150</v>
      </c>
      <c r="AG14" s="215">
        <v>150</v>
      </c>
      <c r="AH14" s="215">
        <v>150</v>
      </c>
      <c r="AI14" s="215">
        <v>150</v>
      </c>
      <c r="AJ14" s="215">
        <v>150</v>
      </c>
      <c r="AK14" s="61"/>
      <c r="AL14" s="216">
        <v>255</v>
      </c>
      <c r="AM14" s="216">
        <v>200</v>
      </c>
      <c r="AN14" s="216">
        <v>150</v>
      </c>
      <c r="AO14" s="216">
        <v>100</v>
      </c>
      <c r="AP14" s="216">
        <v>50</v>
      </c>
      <c r="AQ14" s="27"/>
    </row>
    <row r="15" spans="2:43">
      <c r="B15" s="55"/>
      <c r="C15" s="188">
        <v>16</v>
      </c>
      <c r="D15" s="188">
        <v>17</v>
      </c>
      <c r="E15" s="188">
        <v>18</v>
      </c>
      <c r="F15" s="188">
        <v>19</v>
      </c>
      <c r="G15" s="188">
        <v>20</v>
      </c>
      <c r="H15" s="61"/>
      <c r="I15" s="213">
        <v>116</v>
      </c>
      <c r="J15" s="213">
        <v>117</v>
      </c>
      <c r="K15" s="213">
        <v>118</v>
      </c>
      <c r="L15" s="213">
        <v>119</v>
      </c>
      <c r="M15" s="213">
        <v>120</v>
      </c>
      <c r="N15" s="61"/>
      <c r="O15" s="178">
        <v>216</v>
      </c>
      <c r="P15" s="178">
        <v>217</v>
      </c>
      <c r="Q15" s="178">
        <v>218</v>
      </c>
      <c r="R15" s="178">
        <v>219</v>
      </c>
      <c r="S15" s="178">
        <v>220</v>
      </c>
      <c r="X15" s="27"/>
      <c r="Y15" s="55"/>
      <c r="Z15" s="214">
        <v>100</v>
      </c>
      <c r="AA15" s="214">
        <v>100</v>
      </c>
      <c r="AB15" s="214">
        <v>100</v>
      </c>
      <c r="AC15" s="214">
        <v>100</v>
      </c>
      <c r="AD15" s="214">
        <v>100</v>
      </c>
      <c r="AE15" s="61"/>
      <c r="AF15" s="215">
        <v>200</v>
      </c>
      <c r="AG15" s="215">
        <v>200</v>
      </c>
      <c r="AH15" s="215">
        <v>200</v>
      </c>
      <c r="AI15" s="215">
        <v>200</v>
      </c>
      <c r="AJ15" s="215">
        <v>200</v>
      </c>
      <c r="AK15" s="61"/>
      <c r="AL15" s="216">
        <v>255</v>
      </c>
      <c r="AM15" s="216">
        <v>200</v>
      </c>
      <c r="AN15" s="216">
        <v>150</v>
      </c>
      <c r="AO15" s="216">
        <v>100</v>
      </c>
      <c r="AP15" s="216">
        <v>50</v>
      </c>
      <c r="AQ15" s="27"/>
    </row>
    <row r="16" spans="2:43">
      <c r="B16" s="55"/>
      <c r="C16" s="188">
        <v>21</v>
      </c>
      <c r="D16" s="188">
        <v>22</v>
      </c>
      <c r="E16" s="188">
        <v>23</v>
      </c>
      <c r="F16" s="188">
        <v>24</v>
      </c>
      <c r="G16" s="188">
        <v>25</v>
      </c>
      <c r="H16" s="61"/>
      <c r="I16" s="213">
        <v>121</v>
      </c>
      <c r="J16" s="213">
        <v>122</v>
      </c>
      <c r="K16" s="213">
        <v>123</v>
      </c>
      <c r="L16" s="213">
        <v>124</v>
      </c>
      <c r="M16" s="213">
        <v>125</v>
      </c>
      <c r="N16" s="61"/>
      <c r="O16" s="178">
        <v>221</v>
      </c>
      <c r="P16" s="178">
        <v>222</v>
      </c>
      <c r="Q16" s="178">
        <v>223</v>
      </c>
      <c r="R16" s="178">
        <v>224</v>
      </c>
      <c r="S16" s="178">
        <v>225</v>
      </c>
      <c r="X16" s="27"/>
      <c r="Y16" s="55"/>
      <c r="Z16" s="214">
        <v>50</v>
      </c>
      <c r="AA16" s="214">
        <v>50</v>
      </c>
      <c r="AB16" s="214">
        <v>50</v>
      </c>
      <c r="AC16" s="214">
        <v>50</v>
      </c>
      <c r="AD16" s="214">
        <v>50</v>
      </c>
      <c r="AE16" s="61"/>
      <c r="AF16" s="215">
        <v>255</v>
      </c>
      <c r="AG16" s="215">
        <v>255</v>
      </c>
      <c r="AH16" s="215">
        <v>255</v>
      </c>
      <c r="AI16" s="215">
        <v>255</v>
      </c>
      <c r="AJ16" s="215">
        <v>255</v>
      </c>
      <c r="AK16" s="61"/>
      <c r="AL16" s="216">
        <v>255</v>
      </c>
      <c r="AM16" s="216">
        <v>200</v>
      </c>
      <c r="AN16" s="216">
        <v>150</v>
      </c>
      <c r="AO16" s="216">
        <v>100</v>
      </c>
      <c r="AP16" s="216">
        <v>50</v>
      </c>
      <c r="AQ16" s="27"/>
    </row>
    <row r="17" spans="2:43">
      <c r="B17" s="55"/>
      <c r="X17" s="27"/>
      <c r="Y17" s="55"/>
      <c r="AQ17" s="27"/>
    </row>
    <row r="18" spans="2:43">
      <c r="B18" s="55"/>
      <c r="D18" s="25" t="s">
        <v>183</v>
      </c>
      <c r="X18" s="27"/>
      <c r="Y18" s="55"/>
      <c r="Z18" s="25" t="s">
        <v>189</v>
      </c>
      <c r="AQ18" s="27"/>
    </row>
    <row r="19" spans="2:43">
      <c r="B19" s="55"/>
      <c r="D19" s="32" t="s">
        <v>180</v>
      </c>
      <c r="X19" s="27"/>
      <c r="Y19" s="55"/>
      <c r="Z19" s="32" t="s">
        <v>188</v>
      </c>
      <c r="AQ19" s="27"/>
    </row>
    <row r="20" spans="2:43">
      <c r="B20" s="55"/>
      <c r="D20" s="188" cm="1">
        <f t="array" ref="D20:R24">DStackλ(Layer1,Layer2,Layer3)</f>
        <v>1</v>
      </c>
      <c r="E20" s="72">
        <v>6</v>
      </c>
      <c r="F20" s="72">
        <v>11</v>
      </c>
      <c r="G20" s="72">
        <v>16</v>
      </c>
      <c r="H20" s="72">
        <v>21</v>
      </c>
      <c r="I20" s="213">
        <v>101</v>
      </c>
      <c r="J20" s="72">
        <v>106</v>
      </c>
      <c r="K20" s="72">
        <v>111</v>
      </c>
      <c r="L20" s="72">
        <v>116</v>
      </c>
      <c r="M20" s="72">
        <v>121</v>
      </c>
      <c r="N20" s="178">
        <v>201</v>
      </c>
      <c r="O20" s="72">
        <v>206</v>
      </c>
      <c r="P20" s="72">
        <v>211</v>
      </c>
      <c r="Q20" s="72">
        <v>216</v>
      </c>
      <c r="R20" s="72">
        <v>221</v>
      </c>
      <c r="X20" s="27"/>
      <c r="Y20" s="55"/>
      <c r="Z20" s="214" cm="1">
        <f t="array" ref="Z20:AN24">DStackλ(Red,Green,Blue)</f>
        <v>255</v>
      </c>
      <c r="AA20" s="77">
        <v>200</v>
      </c>
      <c r="AB20" s="77">
        <v>150</v>
      </c>
      <c r="AC20" s="77">
        <v>100</v>
      </c>
      <c r="AD20" s="77">
        <v>50</v>
      </c>
      <c r="AE20" s="215">
        <v>50</v>
      </c>
      <c r="AF20" s="77">
        <v>100</v>
      </c>
      <c r="AG20" s="77">
        <v>150</v>
      </c>
      <c r="AH20" s="77">
        <v>200</v>
      </c>
      <c r="AI20" s="77">
        <v>255</v>
      </c>
      <c r="AJ20" s="216">
        <v>255</v>
      </c>
      <c r="AK20" s="77">
        <v>255</v>
      </c>
      <c r="AL20" s="77">
        <v>255</v>
      </c>
      <c r="AM20" s="77">
        <v>255</v>
      </c>
      <c r="AN20" s="77">
        <v>255</v>
      </c>
      <c r="AQ20" s="27"/>
    </row>
    <row r="21" spans="2:43">
      <c r="B21" s="55"/>
      <c r="D21" s="188">
        <v>2</v>
      </c>
      <c r="E21" s="72">
        <v>7</v>
      </c>
      <c r="F21" s="72">
        <v>12</v>
      </c>
      <c r="G21" s="72">
        <v>17</v>
      </c>
      <c r="H21" s="72">
        <v>22</v>
      </c>
      <c r="I21" s="213">
        <v>102</v>
      </c>
      <c r="J21" s="72">
        <v>107</v>
      </c>
      <c r="K21" s="72">
        <v>112</v>
      </c>
      <c r="L21" s="72">
        <v>117</v>
      </c>
      <c r="M21" s="72">
        <v>122</v>
      </c>
      <c r="N21" s="178">
        <v>202</v>
      </c>
      <c r="O21" s="72">
        <v>207</v>
      </c>
      <c r="P21" s="72">
        <v>212</v>
      </c>
      <c r="Q21" s="72">
        <v>217</v>
      </c>
      <c r="R21" s="72">
        <v>222</v>
      </c>
      <c r="X21" s="27"/>
      <c r="Y21" s="55"/>
      <c r="Z21" s="214">
        <v>255</v>
      </c>
      <c r="AA21" s="77">
        <v>200</v>
      </c>
      <c r="AB21" s="77">
        <v>150</v>
      </c>
      <c r="AC21" s="77">
        <v>100</v>
      </c>
      <c r="AD21" s="77">
        <v>50</v>
      </c>
      <c r="AE21" s="215">
        <v>50</v>
      </c>
      <c r="AF21" s="77">
        <v>100</v>
      </c>
      <c r="AG21" s="77">
        <v>150</v>
      </c>
      <c r="AH21" s="77">
        <v>200</v>
      </c>
      <c r="AI21" s="77">
        <v>255</v>
      </c>
      <c r="AJ21" s="216">
        <v>200</v>
      </c>
      <c r="AK21" s="77">
        <v>200</v>
      </c>
      <c r="AL21" s="77">
        <v>200</v>
      </c>
      <c r="AM21" s="77">
        <v>200</v>
      </c>
      <c r="AN21" s="77">
        <v>200</v>
      </c>
      <c r="AQ21" s="27"/>
    </row>
    <row r="22" spans="2:43">
      <c r="B22" s="55"/>
      <c r="D22" s="188">
        <v>3</v>
      </c>
      <c r="E22" s="72">
        <v>8</v>
      </c>
      <c r="F22" s="72">
        <v>13</v>
      </c>
      <c r="G22" s="72">
        <v>18</v>
      </c>
      <c r="H22" s="72">
        <v>23</v>
      </c>
      <c r="I22" s="213">
        <v>103</v>
      </c>
      <c r="J22" s="72">
        <v>108</v>
      </c>
      <c r="K22" s="72">
        <v>113</v>
      </c>
      <c r="L22" s="72">
        <v>118</v>
      </c>
      <c r="M22" s="72">
        <v>123</v>
      </c>
      <c r="N22" s="178">
        <v>203</v>
      </c>
      <c r="O22" s="72">
        <v>208</v>
      </c>
      <c r="P22" s="72">
        <v>213</v>
      </c>
      <c r="Q22" s="72">
        <v>218</v>
      </c>
      <c r="R22" s="72">
        <v>223</v>
      </c>
      <c r="X22" s="27"/>
      <c r="Y22" s="55"/>
      <c r="Z22" s="214">
        <v>255</v>
      </c>
      <c r="AA22" s="77">
        <v>200</v>
      </c>
      <c r="AB22" s="77">
        <v>150</v>
      </c>
      <c r="AC22" s="77">
        <v>100</v>
      </c>
      <c r="AD22" s="77">
        <v>50</v>
      </c>
      <c r="AE22" s="215">
        <v>50</v>
      </c>
      <c r="AF22" s="77">
        <v>100</v>
      </c>
      <c r="AG22" s="77">
        <v>150</v>
      </c>
      <c r="AH22" s="77">
        <v>200</v>
      </c>
      <c r="AI22" s="77">
        <v>255</v>
      </c>
      <c r="AJ22" s="216">
        <v>150</v>
      </c>
      <c r="AK22" s="77">
        <v>150</v>
      </c>
      <c r="AL22" s="77">
        <v>150</v>
      </c>
      <c r="AM22" s="77">
        <v>150</v>
      </c>
      <c r="AN22" s="77">
        <v>150</v>
      </c>
      <c r="AQ22" s="27"/>
    </row>
    <row r="23" spans="2:43">
      <c r="B23" s="55"/>
      <c r="D23" s="188">
        <v>4</v>
      </c>
      <c r="E23" s="72">
        <v>9</v>
      </c>
      <c r="F23" s="72">
        <v>14</v>
      </c>
      <c r="G23" s="72">
        <v>19</v>
      </c>
      <c r="H23" s="72">
        <v>24</v>
      </c>
      <c r="I23" s="213">
        <v>104</v>
      </c>
      <c r="J23" s="72">
        <v>109</v>
      </c>
      <c r="K23" s="72">
        <v>114</v>
      </c>
      <c r="L23" s="72">
        <v>119</v>
      </c>
      <c r="M23" s="72">
        <v>124</v>
      </c>
      <c r="N23" s="178">
        <v>204</v>
      </c>
      <c r="O23" s="72">
        <v>209</v>
      </c>
      <c r="P23" s="72">
        <v>214</v>
      </c>
      <c r="Q23" s="72">
        <v>219</v>
      </c>
      <c r="R23" s="72">
        <v>224</v>
      </c>
      <c r="X23" s="27"/>
      <c r="Y23" s="55"/>
      <c r="Z23" s="214">
        <v>255</v>
      </c>
      <c r="AA23" s="77">
        <v>200</v>
      </c>
      <c r="AB23" s="77">
        <v>150</v>
      </c>
      <c r="AC23" s="77">
        <v>100</v>
      </c>
      <c r="AD23" s="77">
        <v>50</v>
      </c>
      <c r="AE23" s="215">
        <v>50</v>
      </c>
      <c r="AF23" s="77">
        <v>100</v>
      </c>
      <c r="AG23" s="77">
        <v>150</v>
      </c>
      <c r="AH23" s="77">
        <v>200</v>
      </c>
      <c r="AI23" s="77">
        <v>255</v>
      </c>
      <c r="AJ23" s="216">
        <v>100</v>
      </c>
      <c r="AK23" s="77">
        <v>100</v>
      </c>
      <c r="AL23" s="77">
        <v>100</v>
      </c>
      <c r="AM23" s="77">
        <v>100</v>
      </c>
      <c r="AN23" s="77">
        <v>100</v>
      </c>
      <c r="AQ23" s="27"/>
    </row>
    <row r="24" spans="2:43">
      <c r="B24" s="55"/>
      <c r="D24" s="188">
        <v>5</v>
      </c>
      <c r="E24" s="72">
        <v>10</v>
      </c>
      <c r="F24" s="72">
        <v>15</v>
      </c>
      <c r="G24" s="72">
        <v>20</v>
      </c>
      <c r="H24" s="72">
        <v>25</v>
      </c>
      <c r="I24" s="213">
        <v>105</v>
      </c>
      <c r="J24" s="72">
        <v>110</v>
      </c>
      <c r="K24" s="72">
        <v>115</v>
      </c>
      <c r="L24" s="72">
        <v>120</v>
      </c>
      <c r="M24" s="72">
        <v>125</v>
      </c>
      <c r="N24" s="178">
        <v>205</v>
      </c>
      <c r="O24" s="72">
        <v>210</v>
      </c>
      <c r="P24" s="72">
        <v>215</v>
      </c>
      <c r="Q24" s="72">
        <v>220</v>
      </c>
      <c r="R24" s="72">
        <v>225</v>
      </c>
      <c r="X24" s="27"/>
      <c r="Y24" s="55"/>
      <c r="Z24" s="214">
        <v>255</v>
      </c>
      <c r="AA24" s="77">
        <v>200</v>
      </c>
      <c r="AB24" s="77">
        <v>150</v>
      </c>
      <c r="AC24" s="77">
        <v>100</v>
      </c>
      <c r="AD24" s="77">
        <v>50</v>
      </c>
      <c r="AE24" s="215">
        <v>50</v>
      </c>
      <c r="AF24" s="77">
        <v>100</v>
      </c>
      <c r="AG24" s="77">
        <v>150</v>
      </c>
      <c r="AH24" s="77">
        <v>200</v>
      </c>
      <c r="AI24" s="77">
        <v>255</v>
      </c>
      <c r="AJ24" s="216">
        <v>50</v>
      </c>
      <c r="AK24" s="77">
        <v>50</v>
      </c>
      <c r="AL24" s="77">
        <v>50</v>
      </c>
      <c r="AM24" s="77">
        <v>50</v>
      </c>
      <c r="AN24" s="77">
        <v>50</v>
      </c>
      <c r="AQ24" s="27"/>
    </row>
    <row r="25" spans="2:43">
      <c r="B25" s="55"/>
      <c r="X25" s="27"/>
      <c r="Y25" s="55"/>
      <c r="AQ25" s="27"/>
    </row>
    <row r="26" spans="2:43">
      <c r="B26" s="55"/>
      <c r="D26" s="25" t="s">
        <v>184</v>
      </c>
      <c r="X26" s="27"/>
      <c r="Y26" s="55"/>
      <c r="AQ26" s="27"/>
    </row>
    <row r="27" spans="2:43">
      <c r="B27" s="55"/>
      <c r="D27" s="32" t="s">
        <v>181</v>
      </c>
      <c r="X27" s="27"/>
      <c r="Y27" s="55"/>
      <c r="AQ27" s="27"/>
    </row>
    <row r="28" spans="2:43">
      <c r="B28" s="55"/>
      <c r="D28" s="188" cm="1">
        <f t="array" ref="D28:T32">DStackλ(Layer1,Layer2,Layer3,Layer4,"X")</f>
        <v>1</v>
      </c>
      <c r="E28" s="72">
        <v>6</v>
      </c>
      <c r="F28" s="72">
        <v>11</v>
      </c>
      <c r="G28" s="72">
        <v>16</v>
      </c>
      <c r="H28" s="72">
        <v>21</v>
      </c>
      <c r="I28" s="213">
        <v>101</v>
      </c>
      <c r="J28" s="72">
        <v>106</v>
      </c>
      <c r="K28" s="72">
        <v>111</v>
      </c>
      <c r="L28" s="72">
        <v>116</v>
      </c>
      <c r="M28" s="72">
        <v>121</v>
      </c>
      <c r="N28" s="178">
        <v>201</v>
      </c>
      <c r="O28" s="72">
        <v>206</v>
      </c>
      <c r="P28" s="72">
        <v>211</v>
      </c>
      <c r="Q28" s="72">
        <v>216</v>
      </c>
      <c r="R28" s="72">
        <v>221</v>
      </c>
      <c r="S28" s="87">
        <v>300</v>
      </c>
      <c r="T28" s="72">
        <v>302</v>
      </c>
      <c r="X28" s="27"/>
      <c r="Y28" s="55"/>
      <c r="AQ28" s="27"/>
    </row>
    <row r="29" spans="2:43">
      <c r="B29" s="55"/>
      <c r="D29" s="188">
        <v>2</v>
      </c>
      <c r="E29" s="72">
        <v>7</v>
      </c>
      <c r="F29" s="72">
        <v>12</v>
      </c>
      <c r="G29" s="72">
        <v>17</v>
      </c>
      <c r="H29" s="72">
        <v>22</v>
      </c>
      <c r="I29" s="213">
        <v>102</v>
      </c>
      <c r="J29" s="72">
        <v>107</v>
      </c>
      <c r="K29" s="72">
        <v>112</v>
      </c>
      <c r="L29" s="72">
        <v>117</v>
      </c>
      <c r="M29" s="72">
        <v>122</v>
      </c>
      <c r="N29" s="178">
        <v>202</v>
      </c>
      <c r="O29" s="72">
        <v>207</v>
      </c>
      <c r="P29" s="72">
        <v>212</v>
      </c>
      <c r="Q29" s="72">
        <v>217</v>
      </c>
      <c r="R29" s="72">
        <v>222</v>
      </c>
      <c r="S29" s="87">
        <v>301</v>
      </c>
      <c r="T29" s="72">
        <v>303</v>
      </c>
      <c r="X29" s="27"/>
      <c r="Y29" s="55"/>
      <c r="AQ29" s="27"/>
    </row>
    <row r="30" spans="2:43">
      <c r="B30" s="55"/>
      <c r="D30" s="188">
        <v>3</v>
      </c>
      <c r="E30" s="72">
        <v>8</v>
      </c>
      <c r="F30" s="72">
        <v>13</v>
      </c>
      <c r="G30" s="72">
        <v>18</v>
      </c>
      <c r="H30" s="72">
        <v>23</v>
      </c>
      <c r="I30" s="213">
        <v>103</v>
      </c>
      <c r="J30" s="72">
        <v>108</v>
      </c>
      <c r="K30" s="72">
        <v>113</v>
      </c>
      <c r="L30" s="72">
        <v>118</v>
      </c>
      <c r="M30" s="72">
        <v>123</v>
      </c>
      <c r="N30" s="178">
        <v>203</v>
      </c>
      <c r="O30" s="72">
        <v>208</v>
      </c>
      <c r="P30" s="72">
        <v>213</v>
      </c>
      <c r="Q30" s="72">
        <v>218</v>
      </c>
      <c r="R30" s="72">
        <v>223</v>
      </c>
      <c r="S30" s="72" t="str">
        <v>X</v>
      </c>
      <c r="T30" s="72" t="str">
        <v>X</v>
      </c>
      <c r="X30" s="27"/>
      <c r="Y30" s="55"/>
      <c r="AQ30" s="27"/>
    </row>
    <row r="31" spans="2:43">
      <c r="B31" s="55"/>
      <c r="D31" s="188">
        <v>4</v>
      </c>
      <c r="E31" s="72">
        <v>9</v>
      </c>
      <c r="F31" s="72">
        <v>14</v>
      </c>
      <c r="G31" s="72">
        <v>19</v>
      </c>
      <c r="H31" s="72">
        <v>24</v>
      </c>
      <c r="I31" s="213">
        <v>104</v>
      </c>
      <c r="J31" s="72">
        <v>109</v>
      </c>
      <c r="K31" s="72">
        <v>114</v>
      </c>
      <c r="L31" s="72">
        <v>119</v>
      </c>
      <c r="M31" s="72">
        <v>124</v>
      </c>
      <c r="N31" s="178">
        <v>204</v>
      </c>
      <c r="O31" s="72">
        <v>209</v>
      </c>
      <c r="P31" s="72">
        <v>214</v>
      </c>
      <c r="Q31" s="72">
        <v>219</v>
      </c>
      <c r="R31" s="72">
        <v>224</v>
      </c>
      <c r="S31" s="72" t="str">
        <v>X</v>
      </c>
      <c r="T31" s="72" t="str">
        <v>X</v>
      </c>
      <c r="X31" s="27"/>
      <c r="Y31" s="55"/>
      <c r="AQ31" s="27"/>
    </row>
    <row r="32" spans="2:43">
      <c r="B32" s="55"/>
      <c r="D32" s="188">
        <v>5</v>
      </c>
      <c r="E32" s="72">
        <v>10</v>
      </c>
      <c r="F32" s="72">
        <v>15</v>
      </c>
      <c r="G32" s="72">
        <v>20</v>
      </c>
      <c r="H32" s="72">
        <v>25</v>
      </c>
      <c r="I32" s="213">
        <v>105</v>
      </c>
      <c r="J32" s="72">
        <v>110</v>
      </c>
      <c r="K32" s="72">
        <v>115</v>
      </c>
      <c r="L32" s="72">
        <v>120</v>
      </c>
      <c r="M32" s="72">
        <v>125</v>
      </c>
      <c r="N32" s="178">
        <v>205</v>
      </c>
      <c r="O32" s="72">
        <v>210</v>
      </c>
      <c r="P32" s="72">
        <v>215</v>
      </c>
      <c r="Q32" s="72">
        <v>220</v>
      </c>
      <c r="R32" s="72">
        <v>225</v>
      </c>
      <c r="S32" s="72" t="str">
        <v>X</v>
      </c>
      <c r="T32" s="72" t="str">
        <v>X</v>
      </c>
      <c r="X32" s="27"/>
      <c r="Y32" s="55"/>
      <c r="AQ32" s="27"/>
    </row>
    <row r="33" spans="2:43">
      <c r="B33" s="56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4"/>
      <c r="Y33" s="56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4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7DED9-5FA8-4E76-8C74-CF7C534F4C68}">
  <sheetPr codeName="Sheet7">
    <tabColor rgb="FFA0D6B4"/>
  </sheetPr>
  <dimension ref="B2:BS57"/>
  <sheetViews>
    <sheetView zoomScaleNormal="100" workbookViewId="0"/>
  </sheetViews>
  <sheetFormatPr defaultRowHeight="16.5"/>
  <cols>
    <col min="1" max="1" width="5" customWidth="1"/>
    <col min="2" max="11" width="3.58203125" customWidth="1"/>
    <col min="12" max="12" width="3.83203125" customWidth="1"/>
    <col min="13" max="14" width="3.58203125" customWidth="1"/>
    <col min="15" max="15" width="15.83203125" customWidth="1"/>
    <col min="16" max="16" width="23.25" customWidth="1"/>
    <col min="17" max="17" width="14" bestFit="1" customWidth="1"/>
    <col min="18" max="18" width="12.33203125" bestFit="1" customWidth="1"/>
    <col min="19" max="19" width="9" bestFit="1" customWidth="1"/>
    <col min="20" max="20" width="12.33203125" bestFit="1" customWidth="1"/>
    <col min="21" max="21" width="12.83203125" style="10" bestFit="1" customWidth="1"/>
    <col min="22" max="22" width="8.33203125" style="10" bestFit="1" customWidth="1"/>
    <col min="23" max="23" width="9" style="10" bestFit="1" customWidth="1"/>
    <col min="24" max="24" width="17.83203125" style="10" bestFit="1" customWidth="1"/>
    <col min="25" max="25" width="11.83203125" style="10" bestFit="1" customWidth="1"/>
    <col min="26" max="26" width="11.75" style="10" bestFit="1" customWidth="1"/>
    <col min="27" max="27" width="6.75" style="10" bestFit="1" customWidth="1"/>
    <col min="28" max="28" width="14.5" style="10" customWidth="1"/>
    <col min="29" max="32" width="3.83203125" style="10" customWidth="1"/>
    <col min="33" max="33" width="7.9140625" style="10" customWidth="1"/>
    <col min="34" max="34" width="27.08203125" style="10" bestFit="1" customWidth="1"/>
    <col min="35" max="35" width="17.83203125" style="10" bestFit="1" customWidth="1"/>
    <col min="36" max="36" width="16.75" style="10" bestFit="1" customWidth="1"/>
    <col min="37" max="37" width="17" style="10" bestFit="1" customWidth="1"/>
    <col min="38" max="38" width="21.5" style="10" bestFit="1" customWidth="1"/>
    <col min="39" max="39" width="17.75" style="10" bestFit="1" customWidth="1"/>
    <col min="40" max="40" width="20.83203125" style="10" bestFit="1" customWidth="1"/>
    <col min="41" max="41" width="7.33203125" style="10" bestFit="1" customWidth="1"/>
    <col min="42" max="71" width="13.33203125" style="10" customWidth="1"/>
  </cols>
  <sheetData>
    <row r="2" spans="2:27">
      <c r="B2" s="47" t="s">
        <v>440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2"/>
    </row>
    <row r="3" spans="2:27">
      <c r="B3" s="52" t="s">
        <v>114</v>
      </c>
      <c r="O3" s="27"/>
    </row>
    <row r="4" spans="2:27">
      <c r="B4" s="52" t="s">
        <v>191</v>
      </c>
      <c r="O4" s="27"/>
    </row>
    <row r="5" spans="2:27">
      <c r="B5" s="177" t="s">
        <v>175</v>
      </c>
      <c r="O5" s="27"/>
    </row>
    <row r="6" spans="2:27">
      <c r="B6" s="52" t="s">
        <v>193</v>
      </c>
      <c r="O6" s="27"/>
    </row>
    <row r="7" spans="2:27">
      <c r="B7" s="56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4"/>
    </row>
    <row r="8" spans="2:27">
      <c r="B8" s="21" t="s">
        <v>51</v>
      </c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2"/>
      <c r="P8" s="222" t="s">
        <v>226</v>
      </c>
      <c r="Q8" s="41"/>
      <c r="R8" s="63"/>
      <c r="S8" s="63"/>
      <c r="T8" s="63"/>
      <c r="U8" s="63"/>
      <c r="V8" s="63"/>
      <c r="W8" s="63"/>
      <c r="X8" s="63"/>
      <c r="Y8" s="63"/>
      <c r="Z8" s="63"/>
      <c r="AA8" s="64"/>
    </row>
    <row r="9" spans="2:27">
      <c r="B9" s="207" t="s">
        <v>441</v>
      </c>
      <c r="C9" s="10"/>
      <c r="D9" s="10"/>
      <c r="E9" s="10"/>
      <c r="F9" s="10"/>
      <c r="O9" s="27"/>
      <c r="P9" s="217" t="s">
        <v>199</v>
      </c>
      <c r="Q9" s="218" t="s">
        <v>398</v>
      </c>
      <c r="R9" s="219" t="s">
        <v>198</v>
      </c>
      <c r="S9" s="220">
        <v>220000</v>
      </c>
      <c r="T9" s="217" t="s">
        <v>204</v>
      </c>
      <c r="U9" s="218" t="s">
        <v>400</v>
      </c>
      <c r="V9" s="219" t="s">
        <v>203</v>
      </c>
      <c r="W9" s="221">
        <v>3300000</v>
      </c>
      <c r="X9" s="217" t="s">
        <v>209</v>
      </c>
      <c r="Y9" s="218" t="s">
        <v>402</v>
      </c>
      <c r="Z9" s="219" t="s">
        <v>190</v>
      </c>
      <c r="AA9" s="221">
        <v>90000</v>
      </c>
    </row>
    <row r="10" spans="2:27">
      <c r="B10" s="188" cm="1">
        <f t="array" ref="B10:K11">_xlfn.SEQUENCE(2,10)</f>
        <v>1</v>
      </c>
      <c r="C10" s="188">
        <v>2</v>
      </c>
      <c r="D10" s="188">
        <v>3</v>
      </c>
      <c r="E10" s="188">
        <v>4</v>
      </c>
      <c r="F10" s="188">
        <v>5</v>
      </c>
      <c r="G10" s="196">
        <v>6</v>
      </c>
      <c r="H10" s="196">
        <v>7</v>
      </c>
      <c r="I10" s="196">
        <v>8</v>
      </c>
      <c r="J10" s="196">
        <v>9</v>
      </c>
      <c r="K10" s="196">
        <v>10</v>
      </c>
      <c r="O10" s="27"/>
      <c r="P10" s="217" t="s">
        <v>200</v>
      </c>
      <c r="Q10" s="218" t="s">
        <v>399</v>
      </c>
      <c r="R10" s="219" t="s">
        <v>197</v>
      </c>
      <c r="S10" s="220">
        <v>300000</v>
      </c>
      <c r="T10" s="217" t="s">
        <v>205</v>
      </c>
      <c r="U10" s="218" t="s">
        <v>401</v>
      </c>
      <c r="V10" s="219" t="s">
        <v>206</v>
      </c>
      <c r="W10" s="221">
        <v>4500000</v>
      </c>
      <c r="X10" s="217" t="s">
        <v>212</v>
      </c>
      <c r="Y10" s="218" t="s">
        <v>403</v>
      </c>
      <c r="Z10" s="219" t="s">
        <v>213</v>
      </c>
      <c r="AA10" s="221">
        <v>101000</v>
      </c>
    </row>
    <row r="11" spans="2:27">
      <c r="B11" s="72">
        <v>11</v>
      </c>
      <c r="C11" s="72">
        <v>12</v>
      </c>
      <c r="D11" s="72">
        <v>13</v>
      </c>
      <c r="E11" s="72">
        <v>14</v>
      </c>
      <c r="F11" s="77">
        <v>15</v>
      </c>
      <c r="G11" s="77">
        <v>16</v>
      </c>
      <c r="H11" s="77">
        <v>17</v>
      </c>
      <c r="I11" s="77">
        <v>18</v>
      </c>
      <c r="J11" s="77">
        <v>19</v>
      </c>
      <c r="K11" s="77">
        <v>20</v>
      </c>
      <c r="O11" s="27"/>
      <c r="P11" s="217" t="s">
        <v>201</v>
      </c>
      <c r="Q11" s="218" t="s">
        <v>286</v>
      </c>
      <c r="R11" s="219" t="s">
        <v>202</v>
      </c>
      <c r="S11" s="220">
        <v>124000</v>
      </c>
      <c r="T11" s="217" t="s">
        <v>207</v>
      </c>
      <c r="U11" s="218" t="s">
        <v>401</v>
      </c>
      <c r="V11" s="219" t="s">
        <v>208</v>
      </c>
      <c r="W11" s="221">
        <v>112000</v>
      </c>
      <c r="X11" s="217" t="s">
        <v>210</v>
      </c>
      <c r="Y11" s="218" t="s">
        <v>404</v>
      </c>
      <c r="Z11" s="219" t="s">
        <v>211</v>
      </c>
      <c r="AA11" s="221">
        <v>85000</v>
      </c>
    </row>
    <row r="12" spans="2:27">
      <c r="B12" s="70"/>
      <c r="C12" s="10"/>
      <c r="D12" s="10"/>
      <c r="E12" s="10"/>
      <c r="O12" s="27"/>
      <c r="P12" s="55"/>
      <c r="AA12" s="65"/>
    </row>
    <row r="13" spans="2:27">
      <c r="B13" s="55"/>
      <c r="E13" s="10"/>
      <c r="O13" s="27"/>
      <c r="P13" s="17" t="s">
        <v>446</v>
      </c>
      <c r="Q13" s="179"/>
      <c r="AA13" s="65"/>
    </row>
    <row r="14" spans="2:27">
      <c r="B14" s="17" t="s">
        <v>444</v>
      </c>
      <c r="O14" s="27"/>
      <c r="P14" s="59" t="s">
        <v>397</v>
      </c>
      <c r="Q14" s="179"/>
      <c r="AA14" s="65"/>
    </row>
    <row r="15" spans="2:27">
      <c r="B15" s="59" t="s">
        <v>442</v>
      </c>
      <c r="O15" s="27"/>
      <c r="P15" s="217" t="str" cm="1">
        <f t="array" ref="P15:S23">WrapCols2Dλ(Roles,4)</f>
        <v>Russ Lenz</v>
      </c>
      <c r="Q15" s="218" t="str">
        <v>Mariana Trench</v>
      </c>
      <c r="R15" s="219" t="str">
        <v>Photographer</v>
      </c>
      <c r="S15" s="220">
        <v>220000</v>
      </c>
      <c r="AA15" s="65"/>
    </row>
    <row r="16" spans="2:27">
      <c r="B16" s="196" cm="1">
        <f t="array" ref="B16:F19">WrapCols2Dλ(_xlfn.ANCHORARRAY(B10),5)</f>
        <v>1</v>
      </c>
      <c r="C16" s="196">
        <v>2</v>
      </c>
      <c r="D16" s="196">
        <v>3</v>
      </c>
      <c r="E16" s="196">
        <v>4</v>
      </c>
      <c r="F16" s="196">
        <v>5</v>
      </c>
      <c r="O16" s="27"/>
      <c r="P16" s="72" t="str">
        <v>Deb Beverly</v>
      </c>
      <c r="Q16" s="72" t="str">
        <v>Malibu</v>
      </c>
      <c r="R16" s="77" t="str">
        <v>Editor</v>
      </c>
      <c r="S16" s="220">
        <v>300000</v>
      </c>
      <c r="AA16" s="65"/>
    </row>
    <row r="17" spans="2:27">
      <c r="B17" s="77">
        <v>11</v>
      </c>
      <c r="C17" s="77">
        <v>12</v>
      </c>
      <c r="D17" s="77">
        <v>13</v>
      </c>
      <c r="E17" s="77">
        <v>14</v>
      </c>
      <c r="F17" s="77">
        <v>15</v>
      </c>
      <c r="O17" s="27"/>
      <c r="P17" s="72" t="str">
        <v>Vincent Bagadone</v>
      </c>
      <c r="Q17" s="72" t="str">
        <v>Cheyenne</v>
      </c>
      <c r="R17" s="77" t="str">
        <v>Chef</v>
      </c>
      <c r="S17" s="220">
        <v>124000</v>
      </c>
      <c r="AA17" s="65"/>
    </row>
    <row r="18" spans="2:27">
      <c r="B18" s="196">
        <v>6</v>
      </c>
      <c r="C18" s="196">
        <v>7</v>
      </c>
      <c r="D18" s="196">
        <v>8</v>
      </c>
      <c r="E18" s="196">
        <v>9</v>
      </c>
      <c r="F18" s="196">
        <v>10</v>
      </c>
      <c r="O18" s="27"/>
      <c r="P18" s="72" t="str">
        <v>Rita Rutledge</v>
      </c>
      <c r="Q18" s="72" t="str">
        <v>Burbank</v>
      </c>
      <c r="R18" s="77" t="str">
        <v>Actress</v>
      </c>
      <c r="S18" s="220">
        <v>3300000</v>
      </c>
      <c r="AA18" s="65"/>
    </row>
    <row r="19" spans="2:27">
      <c r="B19" s="77">
        <v>16</v>
      </c>
      <c r="C19" s="77">
        <v>17</v>
      </c>
      <c r="D19" s="77">
        <v>18</v>
      </c>
      <c r="E19" s="77">
        <v>19</v>
      </c>
      <c r="F19" s="77">
        <v>20</v>
      </c>
      <c r="O19" s="27"/>
      <c r="P19" s="72" t="str">
        <v>Saul Varnson</v>
      </c>
      <c r="Q19" s="72" t="str">
        <v>New York City</v>
      </c>
      <c r="R19" s="77" t="str">
        <v>Importer</v>
      </c>
      <c r="S19" s="220">
        <v>4500000</v>
      </c>
      <c r="AA19" s="65"/>
    </row>
    <row r="20" spans="2:27">
      <c r="B20" s="55"/>
      <c r="O20" s="27"/>
      <c r="P20" s="72" t="str">
        <v>Rick Shaw</v>
      </c>
      <c r="Q20" s="72" t="str">
        <v>New York City</v>
      </c>
      <c r="R20" s="77" t="str">
        <v>Chauffer</v>
      </c>
      <c r="S20" s="220">
        <v>112000</v>
      </c>
      <c r="AA20" s="65"/>
    </row>
    <row r="21" spans="2:27">
      <c r="B21" s="55"/>
      <c r="O21" s="27"/>
      <c r="P21" s="72" t="str">
        <v>Ned Beaumont</v>
      </c>
      <c r="Q21" s="72" t="str">
        <v>Boston</v>
      </c>
      <c r="R21" s="77" t="str">
        <v>Data Analyst</v>
      </c>
      <c r="S21" s="220">
        <v>90000</v>
      </c>
      <c r="AA21" s="65"/>
    </row>
    <row r="22" spans="2:27">
      <c r="B22" s="55"/>
      <c r="O22" s="27"/>
      <c r="P22" s="72" t="str">
        <v>Lucy Quinn</v>
      </c>
      <c r="Q22" s="72" t="str">
        <v>Sioux Falls</v>
      </c>
      <c r="R22" s="77" t="str">
        <v>Senior VP</v>
      </c>
      <c r="S22" s="220">
        <v>101000</v>
      </c>
      <c r="AA22" s="65"/>
    </row>
    <row r="23" spans="2:27">
      <c r="B23" s="17" t="s">
        <v>445</v>
      </c>
      <c r="O23" s="27"/>
      <c r="P23" s="72" t="str">
        <v>Nicholas Raymundo</v>
      </c>
      <c r="Q23" s="72" t="str">
        <v>San Franciso</v>
      </c>
      <c r="R23" s="77" t="str">
        <v>Security</v>
      </c>
      <c r="S23" s="220">
        <v>85000</v>
      </c>
      <c r="AA23" s="65"/>
    </row>
    <row r="24" spans="2:27">
      <c r="B24" s="59" t="s">
        <v>443</v>
      </c>
      <c r="O24" s="27"/>
      <c r="P24" s="55"/>
      <c r="AA24" s="65"/>
    </row>
    <row r="25" spans="2:27">
      <c r="B25" s="196" cm="1">
        <f t="array" ref="B25:D32">WrapCols2Dλ(_xlfn.ANCHORARRAY(B10),3,"-")</f>
        <v>1</v>
      </c>
      <c r="C25" s="196">
        <v>2</v>
      </c>
      <c r="D25" s="196">
        <v>3</v>
      </c>
      <c r="O25" s="27"/>
      <c r="P25" s="55"/>
      <c r="AA25" s="65"/>
    </row>
    <row r="26" spans="2:27">
      <c r="B26" s="77">
        <v>11</v>
      </c>
      <c r="C26" s="77">
        <v>12</v>
      </c>
      <c r="D26" s="77">
        <v>13</v>
      </c>
      <c r="O26" s="27"/>
      <c r="P26" s="55"/>
      <c r="AA26" s="65"/>
    </row>
    <row r="27" spans="2:27">
      <c r="B27" s="196">
        <v>4</v>
      </c>
      <c r="C27" s="196">
        <v>5</v>
      </c>
      <c r="D27" s="196">
        <v>6</v>
      </c>
      <c r="E27" s="10"/>
      <c r="F27" s="10"/>
      <c r="O27" s="27"/>
      <c r="P27" s="55"/>
      <c r="AA27" s="65"/>
    </row>
    <row r="28" spans="2:27">
      <c r="B28" s="77">
        <v>14</v>
      </c>
      <c r="C28" s="77">
        <v>15</v>
      </c>
      <c r="D28" s="77">
        <v>16</v>
      </c>
      <c r="E28" s="10"/>
      <c r="F28" s="10"/>
      <c r="O28" s="27"/>
      <c r="P28" s="55"/>
      <c r="AA28" s="65"/>
    </row>
    <row r="29" spans="2:27">
      <c r="B29" s="196">
        <v>7</v>
      </c>
      <c r="C29" s="196">
        <v>8</v>
      </c>
      <c r="D29" s="196">
        <v>9</v>
      </c>
      <c r="E29" s="10"/>
      <c r="F29" s="10"/>
      <c r="O29" s="27"/>
      <c r="P29" s="55"/>
      <c r="AA29" s="65"/>
    </row>
    <row r="30" spans="2:27">
      <c r="B30" s="77">
        <v>17</v>
      </c>
      <c r="C30" s="77">
        <v>18</v>
      </c>
      <c r="D30" s="77">
        <v>19</v>
      </c>
      <c r="E30" s="10"/>
      <c r="F30" s="10"/>
      <c r="O30" s="27"/>
      <c r="P30" s="55"/>
      <c r="AA30" s="65"/>
    </row>
    <row r="31" spans="2:27">
      <c r="B31" s="196">
        <v>10</v>
      </c>
      <c r="C31" s="77" t="str">
        <v>-</v>
      </c>
      <c r="D31" s="77" t="str">
        <v>-</v>
      </c>
      <c r="E31" s="10"/>
      <c r="F31" s="10"/>
      <c r="O31" s="27"/>
      <c r="P31" s="55"/>
      <c r="AA31" s="65"/>
    </row>
    <row r="32" spans="2:27">
      <c r="B32" s="77">
        <v>20</v>
      </c>
      <c r="C32" s="77" t="str">
        <v>-</v>
      </c>
      <c r="D32" s="77" t="str">
        <v>-</v>
      </c>
      <c r="E32" s="10"/>
      <c r="F32" s="10"/>
      <c r="O32" s="27"/>
      <c r="P32" s="55"/>
      <c r="AA32" s="65"/>
    </row>
    <row r="33" spans="2:27">
      <c r="B33" s="71"/>
      <c r="C33" s="67"/>
      <c r="D33" s="67"/>
      <c r="E33" s="67"/>
      <c r="F33" s="67"/>
      <c r="G33" s="43"/>
      <c r="H33" s="43"/>
      <c r="I33" s="43"/>
      <c r="J33" s="43"/>
      <c r="K33" s="43"/>
      <c r="L33" s="43"/>
      <c r="M33" s="43"/>
      <c r="N33" s="43"/>
      <c r="O33" s="44"/>
      <c r="P33" s="56"/>
      <c r="Q33" s="43"/>
      <c r="R33" s="43"/>
      <c r="S33" s="43"/>
      <c r="T33" s="43"/>
      <c r="U33" s="67"/>
      <c r="V33" s="67"/>
      <c r="W33" s="67"/>
      <c r="X33" s="67"/>
      <c r="Y33" s="67"/>
      <c r="Z33" s="67"/>
      <c r="AA33" s="68"/>
    </row>
    <row r="34" spans="2:27">
      <c r="B34" s="10"/>
      <c r="C34" s="10"/>
      <c r="D34" s="10"/>
      <c r="E34" s="10"/>
      <c r="F34" s="10"/>
    </row>
    <row r="35" spans="2:27">
      <c r="B35" s="10"/>
      <c r="C35" s="10"/>
      <c r="D35" s="10"/>
      <c r="E35" s="10"/>
      <c r="F35" s="10"/>
    </row>
    <row r="36" spans="2:27">
      <c r="B36" s="10"/>
      <c r="C36" s="10"/>
      <c r="D36" s="10"/>
      <c r="E36" s="10"/>
      <c r="F36" s="10"/>
    </row>
    <row r="37" spans="2:27">
      <c r="B37" s="10"/>
      <c r="C37" s="10"/>
      <c r="D37" s="10"/>
      <c r="E37" s="10"/>
      <c r="F37" s="10"/>
    </row>
    <row r="38" spans="2:27">
      <c r="B38" s="10"/>
      <c r="C38" s="10"/>
      <c r="D38" s="10"/>
      <c r="E38" s="10"/>
      <c r="F38" s="10"/>
      <c r="W38"/>
    </row>
    <row r="39" spans="2:27">
      <c r="B39" s="10"/>
      <c r="C39" s="10"/>
      <c r="D39" s="10"/>
      <c r="E39" s="10"/>
      <c r="F39" s="10"/>
      <c r="W39"/>
      <c r="Z39"/>
    </row>
    <row r="40" spans="2:27">
      <c r="B40" s="10"/>
      <c r="C40" s="10"/>
      <c r="D40" s="10"/>
      <c r="E40" s="10"/>
      <c r="F40" s="10"/>
    </row>
    <row r="41" spans="2:27">
      <c r="B41" s="10"/>
      <c r="C41" s="10"/>
      <c r="D41" s="10"/>
      <c r="E41" s="10"/>
      <c r="F41" s="10"/>
    </row>
    <row r="42" spans="2:27">
      <c r="B42" s="10"/>
      <c r="C42" s="10"/>
      <c r="D42" s="10"/>
      <c r="E42" s="10"/>
      <c r="F42" s="10"/>
    </row>
    <row r="43" spans="2:27">
      <c r="B43" s="10"/>
      <c r="C43" s="10"/>
      <c r="D43" s="10"/>
      <c r="E43" s="10"/>
      <c r="F43" s="10"/>
    </row>
    <row r="44" spans="2:27">
      <c r="B44" s="10"/>
      <c r="C44" s="10"/>
      <c r="D44" s="10"/>
      <c r="E44" s="10"/>
      <c r="F44" s="10"/>
    </row>
    <row r="45" spans="2:27">
      <c r="B45" s="10"/>
      <c r="C45" s="10"/>
      <c r="D45" s="10"/>
      <c r="E45" s="10"/>
      <c r="F45" s="10"/>
    </row>
    <row r="46" spans="2:27">
      <c r="B46" s="10"/>
      <c r="C46" s="10"/>
      <c r="D46" s="10"/>
      <c r="E46" s="10"/>
      <c r="F46" s="10"/>
    </row>
    <row r="47" spans="2:27">
      <c r="B47" s="10"/>
      <c r="C47" s="10"/>
      <c r="D47" s="10"/>
      <c r="E47" s="10"/>
      <c r="F47" s="10"/>
    </row>
    <row r="48" spans="2:27">
      <c r="B48" s="10"/>
      <c r="C48" s="10"/>
      <c r="D48" s="10"/>
      <c r="E48" s="10"/>
      <c r="F48" s="10"/>
    </row>
    <row r="49" spans="2:6">
      <c r="B49" s="10"/>
      <c r="C49" s="10"/>
      <c r="D49" s="10"/>
      <c r="E49" s="10"/>
      <c r="F49" s="10"/>
    </row>
    <row r="50" spans="2:6">
      <c r="B50" s="10"/>
      <c r="C50" s="10"/>
      <c r="D50" s="10"/>
      <c r="E50" s="10"/>
      <c r="F50" s="10"/>
    </row>
    <row r="51" spans="2:6">
      <c r="B51" s="10"/>
      <c r="C51" s="10"/>
      <c r="D51" s="10"/>
      <c r="E51" s="10"/>
      <c r="F51" s="10"/>
    </row>
    <row r="52" spans="2:6">
      <c r="B52" s="10"/>
      <c r="C52" s="10"/>
      <c r="D52" s="10"/>
      <c r="E52" s="10"/>
      <c r="F52" s="10"/>
    </row>
    <row r="53" spans="2:6">
      <c r="B53" s="10"/>
      <c r="C53" s="10"/>
      <c r="D53" s="10"/>
      <c r="E53" s="10"/>
      <c r="F53" s="10"/>
    </row>
    <row r="54" spans="2:6">
      <c r="B54" s="10"/>
      <c r="C54" s="10"/>
      <c r="D54" s="10"/>
      <c r="E54" s="10"/>
      <c r="F54" s="10"/>
    </row>
    <row r="55" spans="2:6">
      <c r="B55" s="10"/>
      <c r="C55" s="10"/>
      <c r="D55" s="10"/>
      <c r="E55" s="10"/>
      <c r="F55" s="10"/>
    </row>
    <row r="56" spans="2:6">
      <c r="B56" s="10"/>
      <c r="C56" s="10"/>
      <c r="D56" s="10"/>
      <c r="E56" s="10"/>
      <c r="F56" s="10"/>
    </row>
    <row r="57" spans="2:6">
      <c r="B57" s="10"/>
      <c r="C57" s="10"/>
      <c r="D57" s="10"/>
      <c r="E57" s="10"/>
      <c r="F57" s="10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0BDA2-4111-4855-80B6-8D5011F8ACE3}">
  <sheetPr>
    <tabColor rgb="FFA0D6B4"/>
  </sheetPr>
  <dimension ref="B2:S29"/>
  <sheetViews>
    <sheetView workbookViewId="0"/>
  </sheetViews>
  <sheetFormatPr defaultRowHeight="16.5"/>
  <cols>
    <col min="1" max="1" width="5" customWidth="1"/>
    <col min="2" max="11" width="3.58203125" customWidth="1"/>
    <col min="13" max="13" width="27.25" customWidth="1"/>
    <col min="14" max="14" width="22" bestFit="1" customWidth="1"/>
    <col min="15" max="15" width="22.5" bestFit="1" customWidth="1"/>
    <col min="16" max="16" width="18.33203125" bestFit="1" customWidth="1"/>
    <col min="17" max="17" width="22" bestFit="1" customWidth="1"/>
    <col min="18" max="18" width="22.5" bestFit="1" customWidth="1"/>
    <col min="19" max="19" width="4" customWidth="1"/>
  </cols>
  <sheetData>
    <row r="2" spans="2:19">
      <c r="B2" s="47" t="s">
        <v>449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42"/>
    </row>
    <row r="3" spans="2:19">
      <c r="B3" s="52" t="s">
        <v>114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27"/>
    </row>
    <row r="4" spans="2:19">
      <c r="B4" s="52" t="s">
        <v>192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27"/>
    </row>
    <row r="5" spans="2:19">
      <c r="B5" s="177" t="s">
        <v>194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27"/>
    </row>
    <row r="6" spans="2:19">
      <c r="B6" s="52" t="s">
        <v>193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27"/>
    </row>
    <row r="7" spans="2:19">
      <c r="B7" s="7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27"/>
    </row>
    <row r="8" spans="2:19">
      <c r="B8" s="71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43"/>
      <c r="O8" s="43"/>
      <c r="P8" s="67"/>
      <c r="Q8" s="67"/>
      <c r="R8" s="67"/>
      <c r="S8" s="44"/>
    </row>
    <row r="9" spans="2:19">
      <c r="B9" s="21" t="s">
        <v>51</v>
      </c>
      <c r="C9" s="63"/>
      <c r="D9" s="63"/>
      <c r="E9" s="63"/>
      <c r="F9" s="63"/>
      <c r="G9" s="63"/>
      <c r="H9" s="63"/>
      <c r="I9" s="63"/>
      <c r="J9" s="63"/>
      <c r="K9" s="63"/>
      <c r="L9" s="64"/>
      <c r="M9" s="69"/>
      <c r="N9" s="223" t="s">
        <v>227</v>
      </c>
      <c r="O9" s="63"/>
      <c r="P9" s="63"/>
      <c r="Q9" s="63"/>
      <c r="R9" s="63"/>
      <c r="S9" s="42"/>
    </row>
    <row r="10" spans="2:19">
      <c r="B10" s="207" t="s">
        <v>195</v>
      </c>
      <c r="D10" s="10"/>
      <c r="E10" s="10"/>
      <c r="F10" s="10"/>
      <c r="G10" s="10"/>
      <c r="H10" s="10"/>
      <c r="I10" s="10"/>
      <c r="J10" s="10"/>
      <c r="K10" s="10"/>
      <c r="L10" s="65"/>
      <c r="M10" s="55"/>
      <c r="N10" s="91" t="s">
        <v>406</v>
      </c>
      <c r="O10" s="91" t="s">
        <v>409</v>
      </c>
      <c r="P10" s="10"/>
      <c r="Q10" s="10"/>
      <c r="R10" s="10"/>
      <c r="S10" s="27"/>
    </row>
    <row r="11" spans="2:19">
      <c r="B11" s="178" cm="1">
        <f t="array" ref="B11:C20">_xlfn.SEQUENCE(10,2)</f>
        <v>1</v>
      </c>
      <c r="C11" s="72">
        <v>2</v>
      </c>
      <c r="D11" s="10"/>
      <c r="E11" s="10"/>
      <c r="F11" s="10"/>
      <c r="G11" s="10"/>
      <c r="H11" s="10"/>
      <c r="I11" s="10"/>
      <c r="J11" s="10"/>
      <c r="K11" s="10"/>
      <c r="L11" s="65"/>
      <c r="M11" s="55"/>
      <c r="N11" s="72" t="s">
        <v>407</v>
      </c>
      <c r="O11" s="72" t="s">
        <v>408</v>
      </c>
      <c r="P11" s="10"/>
      <c r="Q11" s="10"/>
      <c r="R11" s="10"/>
      <c r="S11" s="27"/>
    </row>
    <row r="12" spans="2:19">
      <c r="B12" s="178">
        <v>3</v>
      </c>
      <c r="C12" s="72">
        <v>4</v>
      </c>
      <c r="D12" s="10"/>
      <c r="E12" s="10"/>
      <c r="F12" s="10"/>
      <c r="G12" s="10"/>
      <c r="H12" s="10"/>
      <c r="I12" s="10"/>
      <c r="J12" s="10"/>
      <c r="K12" s="10"/>
      <c r="L12" s="65"/>
      <c r="M12" s="55"/>
      <c r="N12" s="130" t="s">
        <v>214</v>
      </c>
      <c r="O12" s="130" t="s">
        <v>220</v>
      </c>
      <c r="P12" s="10"/>
      <c r="Q12" s="10"/>
      <c r="R12" s="10"/>
      <c r="S12" s="27"/>
    </row>
    <row r="13" spans="2:19">
      <c r="B13" s="178">
        <v>5</v>
      </c>
      <c r="C13" s="72">
        <v>6</v>
      </c>
      <c r="D13" s="10"/>
      <c r="E13" s="10"/>
      <c r="F13" s="10"/>
      <c r="G13" s="10"/>
      <c r="H13" s="10"/>
      <c r="I13" s="10"/>
      <c r="J13" s="10"/>
      <c r="K13" s="10"/>
      <c r="L13" s="65"/>
      <c r="M13" s="55"/>
      <c r="N13" s="131" t="s">
        <v>215</v>
      </c>
      <c r="O13" s="131" t="s">
        <v>221</v>
      </c>
      <c r="P13" s="10"/>
      <c r="Q13" s="10"/>
      <c r="R13" s="10"/>
      <c r="S13" s="27"/>
    </row>
    <row r="14" spans="2:19">
      <c r="B14" s="178">
        <v>7</v>
      </c>
      <c r="C14" s="72">
        <v>8</v>
      </c>
      <c r="D14" s="10"/>
      <c r="E14" s="10"/>
      <c r="F14" s="10"/>
      <c r="G14" s="10"/>
      <c r="H14" s="10"/>
      <c r="I14" s="10"/>
      <c r="J14" s="10"/>
      <c r="K14" s="10"/>
      <c r="L14" s="65"/>
      <c r="M14" s="55"/>
      <c r="N14" s="91" t="s">
        <v>410</v>
      </c>
      <c r="O14" s="91" t="s">
        <v>412</v>
      </c>
      <c r="P14" s="10"/>
      <c r="Q14" s="10"/>
      <c r="R14" s="10"/>
      <c r="S14" s="27"/>
    </row>
    <row r="15" spans="2:19">
      <c r="B15" s="178">
        <v>9</v>
      </c>
      <c r="C15" s="72">
        <v>10</v>
      </c>
      <c r="D15" s="10"/>
      <c r="E15" s="10"/>
      <c r="F15" s="10"/>
      <c r="G15" s="10"/>
      <c r="H15" s="10"/>
      <c r="I15" s="10"/>
      <c r="J15" s="10"/>
      <c r="K15" s="10"/>
      <c r="L15" s="65"/>
      <c r="M15" s="55"/>
      <c r="N15" s="72" t="s">
        <v>216</v>
      </c>
      <c r="O15" s="72" t="s">
        <v>411</v>
      </c>
      <c r="P15" s="10"/>
      <c r="Q15" s="10"/>
      <c r="R15" s="10"/>
      <c r="S15" s="27"/>
    </row>
    <row r="16" spans="2:19">
      <c r="B16" s="178">
        <v>11</v>
      </c>
      <c r="C16" s="72">
        <v>12</v>
      </c>
      <c r="D16" s="10"/>
      <c r="E16" s="10"/>
      <c r="F16" s="10"/>
      <c r="G16" s="10"/>
      <c r="H16" s="10"/>
      <c r="I16" s="10"/>
      <c r="J16" s="10"/>
      <c r="K16" s="10"/>
      <c r="L16" s="65"/>
      <c r="M16" s="55"/>
      <c r="N16" s="130" t="s">
        <v>217</v>
      </c>
      <c r="O16" s="130" t="s">
        <v>222</v>
      </c>
      <c r="P16" s="10"/>
      <c r="Q16" s="10"/>
      <c r="R16" s="10"/>
      <c r="S16" s="27"/>
    </row>
    <row r="17" spans="2:19">
      <c r="B17" s="178">
        <v>13</v>
      </c>
      <c r="C17" s="72">
        <v>14</v>
      </c>
      <c r="D17" s="10"/>
      <c r="E17" s="10"/>
      <c r="F17" s="10"/>
      <c r="G17" s="10"/>
      <c r="H17" s="10"/>
      <c r="I17" s="10"/>
      <c r="J17" s="10"/>
      <c r="K17" s="10"/>
      <c r="L17" s="65"/>
      <c r="M17" s="55"/>
      <c r="N17" s="131" t="s">
        <v>218</v>
      </c>
      <c r="O17" s="131" t="s">
        <v>223</v>
      </c>
      <c r="P17" s="10"/>
      <c r="Q17" s="10"/>
      <c r="R17" s="10"/>
      <c r="S17" s="27"/>
    </row>
    <row r="18" spans="2:19">
      <c r="B18" s="178">
        <v>15</v>
      </c>
      <c r="C18" s="72">
        <v>16</v>
      </c>
      <c r="D18" s="10"/>
      <c r="E18" s="10"/>
      <c r="F18" s="10"/>
      <c r="G18" s="10"/>
      <c r="H18" s="10"/>
      <c r="I18" s="10"/>
      <c r="J18" s="10"/>
      <c r="K18" s="10"/>
      <c r="L18" s="65"/>
      <c r="M18" s="55"/>
      <c r="N18" s="91" t="s">
        <v>414</v>
      </c>
      <c r="O18" s="91" t="s">
        <v>416</v>
      </c>
      <c r="P18" s="10"/>
      <c r="Q18" s="10"/>
      <c r="R18" s="10"/>
      <c r="S18" s="27"/>
    </row>
    <row r="19" spans="2:19">
      <c r="B19" s="178">
        <v>17</v>
      </c>
      <c r="C19" s="72">
        <v>18</v>
      </c>
      <c r="D19" s="10"/>
      <c r="E19" s="10"/>
      <c r="F19" s="10"/>
      <c r="G19" s="10"/>
      <c r="H19" s="10"/>
      <c r="I19" s="10"/>
      <c r="J19" s="10"/>
      <c r="K19" s="10"/>
      <c r="L19" s="65"/>
      <c r="M19" s="55"/>
      <c r="N19" s="72" t="s">
        <v>415</v>
      </c>
      <c r="O19" s="72" t="s">
        <v>413</v>
      </c>
      <c r="P19" s="10"/>
      <c r="Q19" s="10"/>
      <c r="R19" s="10"/>
      <c r="S19" s="27"/>
    </row>
    <row r="20" spans="2:19">
      <c r="B20" s="178">
        <v>19</v>
      </c>
      <c r="C20" s="72">
        <v>20</v>
      </c>
      <c r="D20" s="10"/>
      <c r="E20" s="10"/>
      <c r="F20" s="10"/>
      <c r="G20" s="10"/>
      <c r="H20" s="10"/>
      <c r="I20" s="10"/>
      <c r="J20" s="10"/>
      <c r="K20" s="10"/>
      <c r="L20" s="65"/>
      <c r="M20" s="55"/>
      <c r="N20" s="130" t="s">
        <v>219</v>
      </c>
      <c r="O20" s="130" t="s">
        <v>224</v>
      </c>
      <c r="P20" s="10"/>
      <c r="Q20" s="10"/>
      <c r="R20" s="10"/>
      <c r="S20" s="27"/>
    </row>
    <row r="21" spans="2:19">
      <c r="B21" s="55"/>
      <c r="C21" s="10"/>
      <c r="D21" s="10"/>
      <c r="E21" s="10"/>
      <c r="F21" s="10"/>
      <c r="G21" s="10"/>
      <c r="H21" s="10"/>
      <c r="I21" s="10"/>
      <c r="J21" s="10"/>
      <c r="K21" s="10"/>
      <c r="L21" s="65"/>
      <c r="M21" s="70"/>
      <c r="N21" s="131" t="s">
        <v>417</v>
      </c>
      <c r="O21" s="131" t="s">
        <v>225</v>
      </c>
      <c r="P21" s="10"/>
      <c r="Q21" s="10"/>
      <c r="R21" s="10"/>
      <c r="S21" s="27"/>
    </row>
    <row r="22" spans="2:19">
      <c r="B22" s="55"/>
      <c r="C22" s="10"/>
      <c r="D22" s="10"/>
      <c r="E22" s="10"/>
      <c r="F22" s="10"/>
      <c r="G22" s="10"/>
      <c r="H22" s="10"/>
      <c r="I22" s="10"/>
      <c r="J22" s="10"/>
      <c r="K22" s="10"/>
      <c r="L22" s="65"/>
      <c r="M22" s="70"/>
      <c r="N22" s="10"/>
      <c r="O22" s="10"/>
      <c r="P22" s="10"/>
      <c r="Q22" s="10"/>
      <c r="R22" s="10"/>
      <c r="S22" s="27"/>
    </row>
    <row r="23" spans="2:19">
      <c r="B23" s="17" t="s">
        <v>447</v>
      </c>
      <c r="L23" s="65"/>
      <c r="M23" s="17" t="s">
        <v>448</v>
      </c>
      <c r="N23" s="10"/>
      <c r="O23" s="10"/>
      <c r="P23" s="10"/>
      <c r="Q23" s="10"/>
      <c r="R23" s="10"/>
      <c r="S23" s="27"/>
    </row>
    <row r="24" spans="2:19">
      <c r="B24" s="59" t="s">
        <v>196</v>
      </c>
      <c r="L24" s="65"/>
      <c r="M24" s="168" t="s">
        <v>405</v>
      </c>
      <c r="N24" s="74"/>
      <c r="O24" s="74"/>
      <c r="P24" s="74"/>
      <c r="Q24" s="74"/>
      <c r="R24" s="74"/>
      <c r="S24" s="27"/>
    </row>
    <row r="25" spans="2:19">
      <c r="B25" s="178" cm="1">
        <f t="array" ref="B25:K26">WrapRows2Dλ(_xlfn.ANCHORARRAY(B11),2)</f>
        <v>1</v>
      </c>
      <c r="C25" s="72">
        <v>2</v>
      </c>
      <c r="D25" s="178">
        <v>5</v>
      </c>
      <c r="E25" s="72">
        <v>6</v>
      </c>
      <c r="F25" s="178">
        <v>9</v>
      </c>
      <c r="G25" s="72">
        <v>10</v>
      </c>
      <c r="H25" s="178">
        <v>13</v>
      </c>
      <c r="I25" s="72">
        <v>14</v>
      </c>
      <c r="J25" s="178">
        <v>17</v>
      </c>
      <c r="K25" s="72">
        <v>18</v>
      </c>
      <c r="L25" s="65"/>
      <c r="M25" s="91" t="str" cm="1">
        <f t="array" ref="M25:R28">WrapRows2Dλ(Addresses,4)</f>
        <v>Sheldrake Industries</v>
      </c>
      <c r="N25" s="72" t="str">
        <v>Totally Madeup Inc.</v>
      </c>
      <c r="O25" s="72" t="str">
        <v>Sam &amp;</v>
      </c>
      <c r="P25" s="72" t="str">
        <v>EM Davis Publishing</v>
      </c>
      <c r="Q25" s="72" t="str">
        <v>Kenny King's Restaurant</v>
      </c>
      <c r="R25" s="72" t="str">
        <v>Randolph Sporting Goods</v>
      </c>
      <c r="S25" s="27"/>
    </row>
    <row r="26" spans="2:19">
      <c r="B26" s="178">
        <v>3</v>
      </c>
      <c r="C26" s="72">
        <v>4</v>
      </c>
      <c r="D26" s="178">
        <v>7</v>
      </c>
      <c r="E26" s="72">
        <v>8</v>
      </c>
      <c r="F26" s="178">
        <v>11</v>
      </c>
      <c r="G26" s="72">
        <v>12</v>
      </c>
      <c r="H26" s="178">
        <v>15</v>
      </c>
      <c r="I26" s="72">
        <v>16</v>
      </c>
      <c r="J26" s="178">
        <v>19</v>
      </c>
      <c r="K26" s="72">
        <v>20</v>
      </c>
      <c r="L26" s="65"/>
      <c r="M26" s="72" t="str">
        <v>c/o Jack Sheldrake</v>
      </c>
      <c r="N26" s="72" t="str">
        <v>Joe Mayo</v>
      </c>
      <c r="O26" s="72" t="str">
        <v>Stella Smith</v>
      </c>
      <c r="P26" s="72" t="str">
        <v>E. M. Davis</v>
      </c>
      <c r="Q26" s="72" t="str">
        <v>c/o K. King</v>
      </c>
      <c r="R26" s="72" t="str">
        <v>att: D.K. Brown</v>
      </c>
      <c r="S26" s="27"/>
    </row>
    <row r="27" spans="2:19">
      <c r="B27" s="55"/>
      <c r="C27" s="10"/>
      <c r="D27" s="10"/>
      <c r="E27" s="10"/>
      <c r="F27" s="10"/>
      <c r="G27" s="10"/>
      <c r="H27" s="10"/>
      <c r="I27" s="10"/>
      <c r="J27" s="10"/>
      <c r="K27" s="10"/>
      <c r="L27" s="65"/>
      <c r="M27" s="130" t="str">
        <v>1515 Riverside Drive</v>
      </c>
      <c r="N27" s="72" t="str">
        <v>1234 Elm Street</v>
      </c>
      <c r="O27" s="72" t="str">
        <v>325 Lancashire Rd</v>
      </c>
      <c r="P27" s="72" t="str">
        <v>5678 Maple Avenue</v>
      </c>
      <c r="Q27" s="72" t="str">
        <v>9449 Vine Street</v>
      </c>
      <c r="R27" s="72" t="str">
        <v>9101 Oak Lane</v>
      </c>
      <c r="S27" s="27"/>
    </row>
    <row r="28" spans="2:19">
      <c r="B28" s="55"/>
      <c r="L28" s="27"/>
      <c r="M28" s="131" t="str">
        <v>Newton Falls, OH 44444</v>
      </c>
      <c r="N28" s="72" t="str">
        <v>Springfield, IL 62704</v>
      </c>
      <c r="O28" s="72" t="str">
        <v>Podunk, IA 48394</v>
      </c>
      <c r="P28" s="72" t="str">
        <v>Fairview, TX 75069</v>
      </c>
      <c r="Q28" s="72" t="str">
        <v>Cleveland, OH 44122</v>
      </c>
      <c r="R28" s="72" t="str">
        <v>Riverside, CA 92501</v>
      </c>
      <c r="S28" s="27"/>
    </row>
    <row r="29" spans="2:19">
      <c r="B29" s="56"/>
      <c r="C29" s="43"/>
      <c r="D29" s="43"/>
      <c r="E29" s="43"/>
      <c r="F29" s="43"/>
      <c r="G29" s="43"/>
      <c r="H29" s="43"/>
      <c r="I29" s="43"/>
      <c r="J29" s="43"/>
      <c r="K29" s="43"/>
      <c r="L29" s="44"/>
      <c r="M29" s="56"/>
      <c r="N29" s="43"/>
      <c r="O29" s="43"/>
      <c r="P29" s="43"/>
      <c r="Q29" s="43"/>
      <c r="R29" s="43"/>
      <c r="S29" s="44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DD783-4D9D-4C8B-95DC-1C14F8D1350F}">
  <sheetPr codeName="Sheet8">
    <tabColor rgb="FFA0D6B4"/>
  </sheetPr>
  <dimension ref="B2:AO33"/>
  <sheetViews>
    <sheetView workbookViewId="0"/>
  </sheetViews>
  <sheetFormatPr defaultRowHeight="16.5"/>
  <cols>
    <col min="1" max="1" width="5" customWidth="1"/>
    <col min="2" max="2" width="4.9140625" customWidth="1"/>
    <col min="6" max="6" width="5.9140625" customWidth="1"/>
    <col min="7" max="7" width="4.33203125" bestFit="1" customWidth="1"/>
    <col min="8" max="8" width="5.83203125" customWidth="1"/>
    <col min="9" max="9" width="4.33203125" bestFit="1" customWidth="1"/>
    <col min="10" max="10" width="4.33203125" customWidth="1"/>
    <col min="11" max="12" width="4.25" style="10" bestFit="1" customWidth="1"/>
    <col min="13" max="13" width="3.58203125" bestFit="1" customWidth="1"/>
    <col min="14" max="14" width="4.25" bestFit="1" customWidth="1"/>
    <col min="15" max="15" width="3.5" style="10" bestFit="1" customWidth="1"/>
    <col min="16" max="16" width="3.83203125" style="10" bestFit="1" customWidth="1"/>
    <col min="17" max="17" width="4.08203125" style="10" bestFit="1" customWidth="1"/>
    <col min="18" max="18" width="3.83203125" style="10" bestFit="1" customWidth="1"/>
    <col min="19" max="19" width="4.08203125" style="10" bestFit="1" customWidth="1"/>
    <col min="20" max="20" width="3.83203125" style="10" bestFit="1" customWidth="1"/>
    <col min="21" max="21" width="7.1640625" style="10" customWidth="1"/>
    <col min="22" max="22" width="3.83203125" style="10" bestFit="1" customWidth="1"/>
    <col min="23" max="23" width="4.08203125" style="10" bestFit="1" customWidth="1"/>
    <col min="24" max="24" width="3.83203125" style="10" bestFit="1" customWidth="1"/>
    <col min="25" max="25" width="4.33203125" style="10" bestFit="1" customWidth="1"/>
    <col min="26" max="26" width="3.5" style="10" bestFit="1" customWidth="1"/>
    <col min="27" max="27" width="4.33203125" style="10" bestFit="1" customWidth="1"/>
    <col min="28" max="32" width="3.33203125" style="10" bestFit="1" customWidth="1"/>
    <col min="33" max="41" width="3.33203125" bestFit="1" customWidth="1"/>
  </cols>
  <sheetData>
    <row r="2" spans="2:41">
      <c r="B2" s="47" t="s">
        <v>418</v>
      </c>
      <c r="C2" s="41"/>
      <c r="D2" s="41"/>
      <c r="E2" s="41"/>
      <c r="F2" s="41"/>
      <c r="G2" s="41"/>
      <c r="H2" s="41"/>
      <c r="I2" s="41"/>
      <c r="J2" s="41"/>
      <c r="K2" s="63"/>
      <c r="L2" s="63"/>
      <c r="M2" s="41"/>
      <c r="N2" s="41"/>
      <c r="O2" s="63"/>
      <c r="P2" s="63"/>
      <c r="Q2" s="63"/>
      <c r="R2" s="63"/>
      <c r="S2" s="63"/>
      <c r="T2" s="63"/>
      <c r="U2" s="64"/>
      <c r="V2" s="69"/>
      <c r="W2" s="37" t="s">
        <v>234</v>
      </c>
      <c r="X2" s="63"/>
      <c r="Y2" s="63"/>
      <c r="Z2" s="63"/>
      <c r="AA2" s="63"/>
      <c r="AB2" s="37" t="s">
        <v>453</v>
      </c>
      <c r="AC2" s="63"/>
      <c r="AD2" s="63"/>
      <c r="AE2" s="63"/>
      <c r="AF2" s="63"/>
      <c r="AG2" s="41"/>
      <c r="AH2" s="41"/>
      <c r="AI2" s="41"/>
      <c r="AJ2" s="41"/>
      <c r="AK2" s="41"/>
      <c r="AL2" s="41"/>
      <c r="AM2" s="41"/>
      <c r="AN2" s="41"/>
      <c r="AO2" s="42"/>
    </row>
    <row r="3" spans="2:41">
      <c r="B3" s="52" t="s">
        <v>228</v>
      </c>
      <c r="U3" s="65"/>
      <c r="V3" s="70"/>
      <c r="W3" s="208" t="s">
        <v>238</v>
      </c>
      <c r="AB3" s="169" t="s">
        <v>239</v>
      </c>
      <c r="AO3" s="27"/>
    </row>
    <row r="4" spans="2:41">
      <c r="B4" s="52" t="s">
        <v>229</v>
      </c>
      <c r="U4" s="65"/>
      <c r="V4" s="70"/>
      <c r="W4" s="226" cm="1">
        <f t="array" ref="W4:Z10">_xlfn.SEQUENCE(7,4)</f>
        <v>1</v>
      </c>
      <c r="X4" s="227">
        <v>2</v>
      </c>
      <c r="Y4" s="227">
        <v>3</v>
      </c>
      <c r="Z4" s="225">
        <v>4</v>
      </c>
      <c r="AB4" s="72" cm="1">
        <f t="array" ref="AB4:AO32">Staircaseλ(_xlfn.ANCHORARRAY(W4),14,1)</f>
        <v>1</v>
      </c>
      <c r="AC4" s="72" t="str">
        <v/>
      </c>
      <c r="AD4" s="72" t="str">
        <v/>
      </c>
      <c r="AE4" s="72" t="str">
        <v/>
      </c>
      <c r="AF4" s="72" t="str">
        <v/>
      </c>
      <c r="AG4" s="72" t="str">
        <v/>
      </c>
      <c r="AH4" s="72" t="str">
        <v/>
      </c>
      <c r="AI4" s="72" t="str">
        <v/>
      </c>
      <c r="AJ4" s="72" t="str">
        <v/>
      </c>
      <c r="AK4" s="72" t="str">
        <v/>
      </c>
      <c r="AL4" s="72" t="str">
        <v/>
      </c>
      <c r="AM4" s="72" t="str">
        <v/>
      </c>
      <c r="AN4" s="72" t="str">
        <v/>
      </c>
      <c r="AO4" s="72" t="str">
        <v/>
      </c>
    </row>
    <row r="5" spans="2:41">
      <c r="B5" s="177" t="s">
        <v>175</v>
      </c>
      <c r="U5" s="65"/>
      <c r="V5" s="70"/>
      <c r="W5" s="226">
        <v>5</v>
      </c>
      <c r="X5" s="227">
        <v>6</v>
      </c>
      <c r="Y5" s="227">
        <v>7</v>
      </c>
      <c r="Z5" s="225">
        <v>8</v>
      </c>
      <c r="AB5" s="72" t="str">
        <v/>
      </c>
      <c r="AC5" s="72">
        <v>2</v>
      </c>
      <c r="AD5" s="72" t="str">
        <v/>
      </c>
      <c r="AE5" s="72" t="str">
        <v/>
      </c>
      <c r="AF5" s="72" t="str">
        <v/>
      </c>
      <c r="AG5" s="72" t="str">
        <v/>
      </c>
      <c r="AH5" s="72" t="str">
        <v/>
      </c>
      <c r="AI5" s="72" t="str">
        <v/>
      </c>
      <c r="AJ5" s="72" t="str">
        <v/>
      </c>
      <c r="AK5" s="72" t="str">
        <v/>
      </c>
      <c r="AL5" s="72" t="str">
        <v/>
      </c>
      <c r="AM5" s="72" t="str">
        <v/>
      </c>
      <c r="AN5" s="72" t="str">
        <v/>
      </c>
      <c r="AO5" s="72" t="str">
        <v/>
      </c>
    </row>
    <row r="6" spans="2:41">
      <c r="B6" s="52" t="s">
        <v>230</v>
      </c>
      <c r="U6" s="65"/>
      <c r="V6" s="70"/>
      <c r="W6" s="226">
        <v>9</v>
      </c>
      <c r="X6" s="227">
        <v>10</v>
      </c>
      <c r="Y6" s="227">
        <v>11</v>
      </c>
      <c r="Z6" s="225">
        <v>12</v>
      </c>
      <c r="AB6" s="72" t="str">
        <v/>
      </c>
      <c r="AC6" s="72" t="str">
        <v/>
      </c>
      <c r="AD6" s="72">
        <v>3</v>
      </c>
      <c r="AE6" s="72" t="str">
        <v/>
      </c>
      <c r="AF6" s="72" t="str">
        <v/>
      </c>
      <c r="AG6" s="72" t="str">
        <v/>
      </c>
      <c r="AH6" s="72" t="str">
        <v/>
      </c>
      <c r="AI6" s="72" t="str">
        <v/>
      </c>
      <c r="AJ6" s="72" t="str">
        <v/>
      </c>
      <c r="AK6" s="72" t="str">
        <v/>
      </c>
      <c r="AL6" s="72" t="str">
        <v/>
      </c>
      <c r="AM6" s="72" t="str">
        <v/>
      </c>
      <c r="AN6" s="72" t="str">
        <v/>
      </c>
      <c r="AO6" s="72" t="str">
        <v/>
      </c>
    </row>
    <row r="7" spans="2:41">
      <c r="B7" s="52" t="s">
        <v>231</v>
      </c>
      <c r="U7" s="65"/>
      <c r="V7" s="70"/>
      <c r="W7" s="226">
        <v>13</v>
      </c>
      <c r="X7" s="227">
        <v>14</v>
      </c>
      <c r="Y7" s="227">
        <v>15</v>
      </c>
      <c r="Z7" s="225">
        <v>16</v>
      </c>
      <c r="AB7" s="72" t="str">
        <v/>
      </c>
      <c r="AC7" s="72" t="str">
        <v/>
      </c>
      <c r="AD7" s="72" t="str">
        <v/>
      </c>
      <c r="AE7" s="72">
        <v>4</v>
      </c>
      <c r="AF7" s="72" t="str">
        <v/>
      </c>
      <c r="AG7" s="72" t="str">
        <v/>
      </c>
      <c r="AH7" s="72" t="str">
        <v/>
      </c>
      <c r="AI7" s="72" t="str">
        <v/>
      </c>
      <c r="AJ7" s="72" t="str">
        <v/>
      </c>
      <c r="AK7" s="72" t="str">
        <v/>
      </c>
      <c r="AL7" s="72" t="str">
        <v/>
      </c>
      <c r="AM7" s="72" t="str">
        <v/>
      </c>
      <c r="AN7" s="72" t="str">
        <v/>
      </c>
      <c r="AO7" s="72" t="str">
        <v/>
      </c>
    </row>
    <row r="8" spans="2:41">
      <c r="B8" s="52" t="s">
        <v>232</v>
      </c>
      <c r="U8" s="65"/>
      <c r="V8" s="70"/>
      <c r="W8" s="226">
        <v>17</v>
      </c>
      <c r="X8" s="227">
        <v>18</v>
      </c>
      <c r="Y8" s="227">
        <v>19</v>
      </c>
      <c r="Z8" s="225">
        <v>20</v>
      </c>
      <c r="AB8" s="72" t="str">
        <v/>
      </c>
      <c r="AC8" s="72" t="str">
        <v/>
      </c>
      <c r="AD8" s="72" t="str">
        <v/>
      </c>
      <c r="AE8" s="72" t="str">
        <v/>
      </c>
      <c r="AF8" s="72">
        <v>5</v>
      </c>
      <c r="AG8" s="72" t="str">
        <v/>
      </c>
      <c r="AH8" s="72" t="str">
        <v/>
      </c>
      <c r="AI8" s="72" t="str">
        <v/>
      </c>
      <c r="AJ8" s="72" t="str">
        <v/>
      </c>
      <c r="AK8" s="72" t="str">
        <v/>
      </c>
      <c r="AL8" s="72" t="str">
        <v/>
      </c>
      <c r="AM8" s="72" t="str">
        <v/>
      </c>
      <c r="AN8" s="72" t="str">
        <v/>
      </c>
      <c r="AO8" s="72" t="str">
        <v/>
      </c>
    </row>
    <row r="9" spans="2:41">
      <c r="B9" s="56"/>
      <c r="C9" s="43"/>
      <c r="D9" s="43"/>
      <c r="E9" s="43"/>
      <c r="F9" s="43"/>
      <c r="G9" s="43"/>
      <c r="H9" s="43"/>
      <c r="I9" s="43"/>
      <c r="J9" s="43"/>
      <c r="K9" s="67"/>
      <c r="L9" s="67"/>
      <c r="M9" s="43"/>
      <c r="N9" s="43"/>
      <c r="O9" s="67"/>
      <c r="P9" s="67"/>
      <c r="Q9" s="67"/>
      <c r="R9" s="67"/>
      <c r="S9" s="67"/>
      <c r="T9" s="67"/>
      <c r="U9" s="68"/>
      <c r="V9" s="70"/>
      <c r="W9" s="226">
        <v>21</v>
      </c>
      <c r="X9" s="227">
        <v>22</v>
      </c>
      <c r="Y9" s="227">
        <v>23</v>
      </c>
      <c r="Z9" s="225">
        <v>24</v>
      </c>
      <c r="AB9" s="72" t="str">
        <v/>
      </c>
      <c r="AC9" s="72" t="str">
        <v/>
      </c>
      <c r="AD9" s="72" t="str">
        <v/>
      </c>
      <c r="AE9" s="72" t="str">
        <v/>
      </c>
      <c r="AF9" s="72" t="str">
        <v/>
      </c>
      <c r="AG9" s="72">
        <v>6</v>
      </c>
      <c r="AH9" s="72" t="str">
        <v/>
      </c>
      <c r="AI9" s="72" t="str">
        <v/>
      </c>
      <c r="AJ9" s="72" t="str">
        <v/>
      </c>
      <c r="AK9" s="72" t="str">
        <v/>
      </c>
      <c r="AL9" s="72" t="str">
        <v/>
      </c>
      <c r="AM9" s="72" t="str">
        <v/>
      </c>
      <c r="AN9" s="72" t="str">
        <v/>
      </c>
      <c r="AO9" s="72" t="str">
        <v/>
      </c>
    </row>
    <row r="10" spans="2:41">
      <c r="B10" s="21" t="s">
        <v>234</v>
      </c>
      <c r="C10" s="41"/>
      <c r="D10" s="37" t="s">
        <v>450</v>
      </c>
      <c r="E10" s="41"/>
      <c r="F10" s="42"/>
      <c r="G10" s="223" t="s">
        <v>236</v>
      </c>
      <c r="H10" s="41"/>
      <c r="I10" s="41"/>
      <c r="J10" s="37" t="s">
        <v>451</v>
      </c>
      <c r="K10" s="63"/>
      <c r="L10" s="63"/>
      <c r="M10" s="41"/>
      <c r="N10" s="41"/>
      <c r="O10" s="63"/>
      <c r="P10" s="37" t="s">
        <v>452</v>
      </c>
      <c r="Q10" s="63"/>
      <c r="R10" s="63"/>
      <c r="S10" s="63"/>
      <c r="T10" s="63"/>
      <c r="U10" s="64"/>
      <c r="V10" s="70"/>
      <c r="W10" s="226">
        <v>25</v>
      </c>
      <c r="X10" s="227">
        <v>26</v>
      </c>
      <c r="Y10" s="227">
        <v>27</v>
      </c>
      <c r="Z10" s="225">
        <v>28</v>
      </c>
      <c r="AB10" s="72" t="str">
        <v/>
      </c>
      <c r="AC10" s="72" t="str">
        <v/>
      </c>
      <c r="AD10" s="72" t="str">
        <v/>
      </c>
      <c r="AE10" s="72" t="str">
        <v/>
      </c>
      <c r="AF10" s="72" t="str">
        <v/>
      </c>
      <c r="AG10" s="72" t="str">
        <v/>
      </c>
      <c r="AH10" s="72">
        <v>7</v>
      </c>
      <c r="AI10" s="72" t="str">
        <v/>
      </c>
      <c r="AJ10" s="72" t="str">
        <v/>
      </c>
      <c r="AK10" s="72" t="str">
        <v/>
      </c>
      <c r="AL10" s="72" t="str">
        <v/>
      </c>
      <c r="AM10" s="72" t="str">
        <v/>
      </c>
      <c r="AN10" s="72" t="str">
        <v/>
      </c>
      <c r="AO10" s="72" t="str">
        <v/>
      </c>
    </row>
    <row r="11" spans="2:41">
      <c r="B11" s="207" t="s">
        <v>233</v>
      </c>
      <c r="D11" s="32" t="s">
        <v>235</v>
      </c>
      <c r="F11" s="27"/>
      <c r="G11" s="225" t="s">
        <v>91</v>
      </c>
      <c r="H11" s="10"/>
      <c r="I11" s="10"/>
      <c r="J11" s="32" t="s">
        <v>237</v>
      </c>
      <c r="P11" s="32" t="s">
        <v>454</v>
      </c>
      <c r="U11" s="65"/>
      <c r="V11" s="70"/>
      <c r="AA11" s="62"/>
      <c r="AB11" s="72" t="str">
        <v/>
      </c>
      <c r="AC11" s="72" t="str">
        <v/>
      </c>
      <c r="AD11" s="72" t="str">
        <v/>
      </c>
      <c r="AE11" s="72" t="str">
        <v/>
      </c>
      <c r="AF11" s="72" t="str">
        <v/>
      </c>
      <c r="AG11" s="72" t="str">
        <v/>
      </c>
      <c r="AH11" s="72" t="str">
        <v/>
      </c>
      <c r="AI11" s="72">
        <v>8</v>
      </c>
      <c r="AJ11" s="72" t="str">
        <v/>
      </c>
      <c r="AK11" s="72" t="str">
        <v/>
      </c>
      <c r="AL11" s="72" t="str">
        <v/>
      </c>
      <c r="AM11" s="72" t="str">
        <v/>
      </c>
      <c r="AN11" s="72" t="str">
        <v/>
      </c>
      <c r="AO11" s="72" t="str">
        <v/>
      </c>
    </row>
    <row r="12" spans="2:41">
      <c r="B12" s="224" cm="1">
        <f t="array" ref="B12:B27">_xlfn.SEQUENCE(16)</f>
        <v>1</v>
      </c>
      <c r="D12" s="72" cm="1">
        <f t="array" ref="D12:E27">Staircaseλ(_xlfn.ANCHORARRAY(B12),2)</f>
        <v>1</v>
      </c>
      <c r="E12" s="72" t="str">
        <v/>
      </c>
      <c r="F12" s="27"/>
      <c r="G12" s="225" t="s">
        <v>92</v>
      </c>
      <c r="H12" s="10"/>
      <c r="I12" s="10"/>
      <c r="J12" s="77" t="str" cm="1">
        <f t="array" ref="J12:L23">Staircaseλ(ThreeMonth,3)</f>
        <v>Jan</v>
      </c>
      <c r="K12" s="72" t="str">
        <v/>
      </c>
      <c r="L12" s="72" t="str">
        <v/>
      </c>
      <c r="P12" s="72" t="str" cm="1">
        <f t="array" ref="P12:R23">Staircaseλ(ThreeMonth,3,,,TRUE)</f>
        <v/>
      </c>
      <c r="Q12" s="72" t="str">
        <v/>
      </c>
      <c r="R12" s="72" t="str">
        <v>Jan</v>
      </c>
      <c r="U12" s="65"/>
      <c r="V12" s="70"/>
      <c r="AA12" s="62"/>
      <c r="AB12" s="72" t="str">
        <v/>
      </c>
      <c r="AC12" s="72" t="str">
        <v/>
      </c>
      <c r="AD12" s="72" t="str">
        <v/>
      </c>
      <c r="AE12" s="72" t="str">
        <v/>
      </c>
      <c r="AF12" s="72" t="str">
        <v/>
      </c>
      <c r="AG12" s="72" t="str">
        <v/>
      </c>
      <c r="AH12" s="72" t="str">
        <v/>
      </c>
      <c r="AI12" s="72" t="str">
        <v/>
      </c>
      <c r="AJ12" s="72">
        <v>9</v>
      </c>
      <c r="AK12" s="72" t="str">
        <v/>
      </c>
      <c r="AL12" s="72" t="str">
        <v/>
      </c>
      <c r="AM12" s="72" t="str">
        <v/>
      </c>
      <c r="AN12" s="72" t="str">
        <v/>
      </c>
      <c r="AO12" s="72" t="str">
        <v/>
      </c>
    </row>
    <row r="13" spans="2:41">
      <c r="B13" s="224">
        <v>2</v>
      </c>
      <c r="D13" s="72" t="str">
        <v/>
      </c>
      <c r="E13" s="72">
        <v>2</v>
      </c>
      <c r="F13" s="27"/>
      <c r="G13" s="225" t="s">
        <v>93</v>
      </c>
      <c r="H13" s="10"/>
      <c r="I13" s="10"/>
      <c r="J13" s="77" t="str">
        <v/>
      </c>
      <c r="K13" s="72" t="str">
        <v>Feb</v>
      </c>
      <c r="L13" s="72" t="str">
        <v/>
      </c>
      <c r="P13" s="72" t="str">
        <v/>
      </c>
      <c r="Q13" s="72" t="str">
        <v>Feb</v>
      </c>
      <c r="R13" s="72" t="str">
        <v/>
      </c>
      <c r="U13" s="65"/>
      <c r="V13" s="70"/>
      <c r="AA13" s="62"/>
      <c r="AB13" s="72" t="str">
        <v/>
      </c>
      <c r="AC13" s="72" t="str">
        <v/>
      </c>
      <c r="AD13" s="72" t="str">
        <v/>
      </c>
      <c r="AE13" s="72" t="str">
        <v/>
      </c>
      <c r="AF13" s="72" t="str">
        <v/>
      </c>
      <c r="AG13" s="72" t="str">
        <v/>
      </c>
      <c r="AH13" s="72" t="str">
        <v/>
      </c>
      <c r="AI13" s="72" t="str">
        <v/>
      </c>
      <c r="AJ13" s="72" t="str">
        <v/>
      </c>
      <c r="AK13" s="72">
        <v>10</v>
      </c>
      <c r="AL13" s="72" t="str">
        <v/>
      </c>
      <c r="AM13" s="72" t="str">
        <v/>
      </c>
      <c r="AN13" s="72" t="str">
        <v/>
      </c>
      <c r="AO13" s="72" t="str">
        <v/>
      </c>
    </row>
    <row r="14" spans="2:41">
      <c r="B14" s="224">
        <v>3</v>
      </c>
      <c r="D14" s="72">
        <v>3</v>
      </c>
      <c r="E14" s="72" t="str">
        <v/>
      </c>
      <c r="F14" s="27"/>
      <c r="G14" s="225" t="s">
        <v>94</v>
      </c>
      <c r="H14" s="10"/>
      <c r="I14" s="10"/>
      <c r="J14" s="77" t="str">
        <v/>
      </c>
      <c r="K14" s="72" t="str">
        <v/>
      </c>
      <c r="L14" s="72" t="str">
        <v>Mar</v>
      </c>
      <c r="P14" s="72" t="str">
        <v>Mar</v>
      </c>
      <c r="Q14" s="72" t="str">
        <v/>
      </c>
      <c r="R14" s="72" t="str">
        <v/>
      </c>
      <c r="U14" s="65"/>
      <c r="V14" s="70"/>
      <c r="AB14" s="72" t="str">
        <v/>
      </c>
      <c r="AC14" s="72" t="str">
        <v/>
      </c>
      <c r="AD14" s="72" t="str">
        <v/>
      </c>
      <c r="AE14" s="72" t="str">
        <v/>
      </c>
      <c r="AF14" s="72" t="str">
        <v/>
      </c>
      <c r="AG14" s="72" t="str">
        <v/>
      </c>
      <c r="AH14" s="72" t="str">
        <v/>
      </c>
      <c r="AI14" s="72" t="str">
        <v/>
      </c>
      <c r="AJ14" s="72" t="str">
        <v/>
      </c>
      <c r="AK14" s="72" t="str">
        <v/>
      </c>
      <c r="AL14" s="72">
        <v>11</v>
      </c>
      <c r="AM14" s="72" t="str">
        <v/>
      </c>
      <c r="AN14" s="72" t="str">
        <v/>
      </c>
      <c r="AO14" s="72" t="str">
        <v/>
      </c>
    </row>
    <row r="15" spans="2:41">
      <c r="B15" s="224">
        <v>4</v>
      </c>
      <c r="D15" s="72" t="str">
        <v/>
      </c>
      <c r="E15" s="72">
        <v>4</v>
      </c>
      <c r="F15" s="27"/>
      <c r="G15" s="225" t="s">
        <v>95</v>
      </c>
      <c r="H15" s="10"/>
      <c r="I15" s="10"/>
      <c r="J15" s="77" t="str">
        <v>Apr</v>
      </c>
      <c r="K15" s="72" t="str">
        <v/>
      </c>
      <c r="L15" s="72" t="str">
        <v/>
      </c>
      <c r="P15" s="72" t="str">
        <v/>
      </c>
      <c r="Q15" s="72" t="str">
        <v/>
      </c>
      <c r="R15" s="72" t="str">
        <v>Apr</v>
      </c>
      <c r="U15" s="65"/>
      <c r="V15" s="70"/>
      <c r="AB15" s="72" t="str">
        <v/>
      </c>
      <c r="AC15" s="72" t="str">
        <v/>
      </c>
      <c r="AD15" s="72" t="str">
        <v/>
      </c>
      <c r="AE15" s="72" t="str">
        <v/>
      </c>
      <c r="AF15" s="72" t="str">
        <v/>
      </c>
      <c r="AG15" s="72" t="str">
        <v/>
      </c>
      <c r="AH15" s="72" t="str">
        <v/>
      </c>
      <c r="AI15" s="72" t="str">
        <v/>
      </c>
      <c r="AJ15" s="72" t="str">
        <v/>
      </c>
      <c r="AK15" s="72" t="str">
        <v/>
      </c>
      <c r="AL15" s="72" t="str">
        <v/>
      </c>
      <c r="AM15" s="72">
        <v>12</v>
      </c>
      <c r="AN15" s="72" t="str">
        <v/>
      </c>
      <c r="AO15" s="72" t="str">
        <v/>
      </c>
    </row>
    <row r="16" spans="2:41">
      <c r="B16" s="224">
        <v>5</v>
      </c>
      <c r="D16" s="72">
        <v>5</v>
      </c>
      <c r="E16" s="72" t="str">
        <v/>
      </c>
      <c r="F16" s="27"/>
      <c r="G16" s="225" t="s">
        <v>96</v>
      </c>
      <c r="H16" s="10"/>
      <c r="I16" s="10"/>
      <c r="J16" s="77" t="str">
        <v/>
      </c>
      <c r="K16" s="72" t="str">
        <v>May</v>
      </c>
      <c r="L16" s="72" t="str">
        <v/>
      </c>
      <c r="P16" s="72" t="str">
        <v/>
      </c>
      <c r="Q16" s="72" t="str">
        <v>May</v>
      </c>
      <c r="R16" s="72" t="str">
        <v/>
      </c>
      <c r="U16" s="65"/>
      <c r="V16" s="70"/>
      <c r="AB16" s="72" t="str">
        <v/>
      </c>
      <c r="AC16" s="72" t="str">
        <v/>
      </c>
      <c r="AD16" s="72" t="str">
        <v/>
      </c>
      <c r="AE16" s="72" t="str">
        <v/>
      </c>
      <c r="AF16" s="72" t="str">
        <v/>
      </c>
      <c r="AG16" s="72" t="str">
        <v/>
      </c>
      <c r="AH16" s="72" t="str">
        <v/>
      </c>
      <c r="AI16" s="72" t="str">
        <v/>
      </c>
      <c r="AJ16" s="72" t="str">
        <v/>
      </c>
      <c r="AK16" s="72" t="str">
        <v/>
      </c>
      <c r="AL16" s="72" t="str">
        <v/>
      </c>
      <c r="AM16" s="72" t="str">
        <v/>
      </c>
      <c r="AN16" s="72">
        <v>13</v>
      </c>
      <c r="AO16" s="72" t="str">
        <v/>
      </c>
    </row>
    <row r="17" spans="2:41">
      <c r="B17" s="224">
        <v>6</v>
      </c>
      <c r="D17" s="72" t="str">
        <v/>
      </c>
      <c r="E17" s="72">
        <v>6</v>
      </c>
      <c r="F17" s="27"/>
      <c r="G17" s="225" t="s">
        <v>97</v>
      </c>
      <c r="J17" s="77" t="str">
        <v/>
      </c>
      <c r="K17" s="72" t="str">
        <v/>
      </c>
      <c r="L17" s="72" t="str">
        <v>Jun</v>
      </c>
      <c r="P17" s="72" t="str">
        <v>Jun</v>
      </c>
      <c r="Q17" s="72" t="str">
        <v/>
      </c>
      <c r="R17" s="72" t="str">
        <v/>
      </c>
      <c r="U17" s="65"/>
      <c r="V17" s="70"/>
      <c r="AB17" s="72" t="str">
        <v/>
      </c>
      <c r="AC17" s="72" t="str">
        <v/>
      </c>
      <c r="AD17" s="72" t="str">
        <v/>
      </c>
      <c r="AE17" s="72" t="str">
        <v/>
      </c>
      <c r="AF17" s="72" t="str">
        <v/>
      </c>
      <c r="AG17" s="72" t="str">
        <v/>
      </c>
      <c r="AH17" s="72" t="str">
        <v/>
      </c>
      <c r="AI17" s="72" t="str">
        <v/>
      </c>
      <c r="AJ17" s="72" t="str">
        <v/>
      </c>
      <c r="AK17" s="72" t="str">
        <v/>
      </c>
      <c r="AL17" s="72" t="str">
        <v/>
      </c>
      <c r="AM17" s="72" t="str">
        <v/>
      </c>
      <c r="AN17" s="72" t="str">
        <v/>
      </c>
      <c r="AO17" s="72">
        <v>14</v>
      </c>
    </row>
    <row r="18" spans="2:41">
      <c r="B18" s="224">
        <v>7</v>
      </c>
      <c r="D18" s="72">
        <v>7</v>
      </c>
      <c r="E18" s="72" t="str">
        <v/>
      </c>
      <c r="F18" s="27"/>
      <c r="G18" s="225" t="s">
        <v>98</v>
      </c>
      <c r="J18" s="77" t="str">
        <v>Jul</v>
      </c>
      <c r="K18" s="72" t="str">
        <v/>
      </c>
      <c r="L18" s="72" t="str">
        <v/>
      </c>
      <c r="P18" s="72" t="str">
        <v/>
      </c>
      <c r="Q18" s="72" t="str">
        <v/>
      </c>
      <c r="R18" s="72" t="str">
        <v>Jul</v>
      </c>
      <c r="U18" s="65"/>
      <c r="V18" s="70"/>
      <c r="AB18" s="72" t="str">
        <v/>
      </c>
      <c r="AC18" s="72" t="str">
        <v/>
      </c>
      <c r="AD18" s="72" t="str">
        <v/>
      </c>
      <c r="AE18" s="72" t="str">
        <v/>
      </c>
      <c r="AF18" s="72" t="str">
        <v/>
      </c>
      <c r="AG18" s="72" t="str">
        <v/>
      </c>
      <c r="AH18" s="72" t="str">
        <v/>
      </c>
      <c r="AI18" s="72" t="str">
        <v/>
      </c>
      <c r="AJ18" s="72" t="str">
        <v/>
      </c>
      <c r="AK18" s="72" t="str">
        <v/>
      </c>
      <c r="AL18" s="72" t="str">
        <v/>
      </c>
      <c r="AM18" s="72" t="str">
        <v/>
      </c>
      <c r="AN18" s="72" t="str">
        <v/>
      </c>
      <c r="AO18" s="72" t="str">
        <v/>
      </c>
    </row>
    <row r="19" spans="2:41">
      <c r="B19" s="224">
        <v>8</v>
      </c>
      <c r="D19" s="72" t="str">
        <v/>
      </c>
      <c r="E19" s="72">
        <v>8</v>
      </c>
      <c r="F19" s="27"/>
      <c r="G19" s="225" t="s">
        <v>99</v>
      </c>
      <c r="J19" s="77" t="str">
        <v/>
      </c>
      <c r="K19" s="72" t="str">
        <v>Aug</v>
      </c>
      <c r="L19" s="72" t="str">
        <v/>
      </c>
      <c r="P19" s="72" t="str">
        <v/>
      </c>
      <c r="Q19" s="72" t="str">
        <v>Aug</v>
      </c>
      <c r="R19" s="72" t="str">
        <v/>
      </c>
      <c r="U19" s="65"/>
      <c r="V19" s="70"/>
      <c r="AB19" s="72">
        <v>15</v>
      </c>
      <c r="AC19" s="72" t="str">
        <v/>
      </c>
      <c r="AD19" s="72" t="str">
        <v/>
      </c>
      <c r="AE19" s="72" t="str">
        <v/>
      </c>
      <c r="AF19" s="72" t="str">
        <v/>
      </c>
      <c r="AG19" s="72" t="str">
        <v/>
      </c>
      <c r="AH19" s="72" t="str">
        <v/>
      </c>
      <c r="AI19" s="72" t="str">
        <v/>
      </c>
      <c r="AJ19" s="72" t="str">
        <v/>
      </c>
      <c r="AK19" s="72" t="str">
        <v/>
      </c>
      <c r="AL19" s="72" t="str">
        <v/>
      </c>
      <c r="AM19" s="72" t="str">
        <v/>
      </c>
      <c r="AN19" s="72" t="str">
        <v/>
      </c>
      <c r="AO19" s="72" t="str">
        <v/>
      </c>
    </row>
    <row r="20" spans="2:41">
      <c r="B20" s="224">
        <v>9</v>
      </c>
      <c r="D20" s="72">
        <v>9</v>
      </c>
      <c r="E20" s="72" t="str">
        <v/>
      </c>
      <c r="F20" s="27"/>
      <c r="G20" s="225" t="s">
        <v>100</v>
      </c>
      <c r="J20" s="77" t="str">
        <v/>
      </c>
      <c r="K20" s="72" t="str">
        <v/>
      </c>
      <c r="L20" s="72" t="str">
        <v>Sep</v>
      </c>
      <c r="P20" s="72" t="str">
        <v>Sep</v>
      </c>
      <c r="Q20" s="72" t="str">
        <v/>
      </c>
      <c r="R20" s="72" t="str">
        <v/>
      </c>
      <c r="U20" s="65"/>
      <c r="V20" s="70"/>
      <c r="AB20" s="72" t="str">
        <v/>
      </c>
      <c r="AC20" s="72">
        <v>16</v>
      </c>
      <c r="AD20" s="72" t="str">
        <v/>
      </c>
      <c r="AE20" s="72" t="str">
        <v/>
      </c>
      <c r="AF20" s="72" t="str">
        <v/>
      </c>
      <c r="AG20" s="72" t="str">
        <v/>
      </c>
      <c r="AH20" s="72" t="str">
        <v/>
      </c>
      <c r="AI20" s="72" t="str">
        <v/>
      </c>
      <c r="AJ20" s="72" t="str">
        <v/>
      </c>
      <c r="AK20" s="72" t="str">
        <v/>
      </c>
      <c r="AL20" s="72" t="str">
        <v/>
      </c>
      <c r="AM20" s="72" t="str">
        <v/>
      </c>
      <c r="AN20" s="72" t="str">
        <v/>
      </c>
      <c r="AO20" s="72" t="str">
        <v/>
      </c>
    </row>
    <row r="21" spans="2:41">
      <c r="B21" s="224">
        <v>10</v>
      </c>
      <c r="D21" s="72" t="str">
        <v/>
      </c>
      <c r="E21" s="72">
        <v>10</v>
      </c>
      <c r="F21" s="27"/>
      <c r="G21" s="225" t="s">
        <v>101</v>
      </c>
      <c r="J21" s="77" t="str">
        <v>Oct</v>
      </c>
      <c r="K21" s="72" t="str">
        <v/>
      </c>
      <c r="L21" s="72" t="str">
        <v/>
      </c>
      <c r="P21" s="72" t="str">
        <v/>
      </c>
      <c r="Q21" s="72" t="str">
        <v/>
      </c>
      <c r="R21" s="72" t="str">
        <v>Oct</v>
      </c>
      <c r="U21" s="65"/>
      <c r="V21" s="70"/>
      <c r="AB21" s="72" t="str">
        <v/>
      </c>
      <c r="AC21" s="72" t="str">
        <v/>
      </c>
      <c r="AD21" s="72">
        <v>17</v>
      </c>
      <c r="AE21" s="72" t="str">
        <v/>
      </c>
      <c r="AF21" s="72" t="str">
        <v/>
      </c>
      <c r="AG21" s="72" t="str">
        <v/>
      </c>
      <c r="AH21" s="72" t="str">
        <v/>
      </c>
      <c r="AI21" s="72" t="str">
        <v/>
      </c>
      <c r="AJ21" s="72" t="str">
        <v/>
      </c>
      <c r="AK21" s="72" t="str">
        <v/>
      </c>
      <c r="AL21" s="72" t="str">
        <v/>
      </c>
      <c r="AM21" s="72" t="str">
        <v/>
      </c>
      <c r="AN21" s="72" t="str">
        <v/>
      </c>
      <c r="AO21" s="72" t="str">
        <v/>
      </c>
    </row>
    <row r="22" spans="2:41">
      <c r="B22" s="224">
        <v>11</v>
      </c>
      <c r="D22" s="72">
        <v>11</v>
      </c>
      <c r="E22" s="72" t="str">
        <v/>
      </c>
      <c r="F22" s="27"/>
      <c r="G22" s="225" t="s">
        <v>102</v>
      </c>
      <c r="J22" s="77" t="str">
        <v/>
      </c>
      <c r="K22" s="72" t="str">
        <v>Nov</v>
      </c>
      <c r="L22" s="72" t="str">
        <v/>
      </c>
      <c r="P22" s="72" t="str">
        <v/>
      </c>
      <c r="Q22" s="72" t="str">
        <v>Nov</v>
      </c>
      <c r="R22" s="72" t="str">
        <v/>
      </c>
      <c r="U22" s="65"/>
      <c r="V22" s="70"/>
      <c r="AB22" s="72" t="str">
        <v/>
      </c>
      <c r="AC22" s="72" t="str">
        <v/>
      </c>
      <c r="AD22" s="72" t="str">
        <v/>
      </c>
      <c r="AE22" s="72">
        <v>18</v>
      </c>
      <c r="AF22" s="72" t="str">
        <v/>
      </c>
      <c r="AG22" s="72" t="str">
        <v/>
      </c>
      <c r="AH22" s="72" t="str">
        <v/>
      </c>
      <c r="AI22" s="72" t="str">
        <v/>
      </c>
      <c r="AJ22" s="72" t="str">
        <v/>
      </c>
      <c r="AK22" s="72" t="str">
        <v/>
      </c>
      <c r="AL22" s="72" t="str">
        <v/>
      </c>
      <c r="AM22" s="72" t="str">
        <v/>
      </c>
      <c r="AN22" s="72" t="str">
        <v/>
      </c>
      <c r="AO22" s="72" t="str">
        <v/>
      </c>
    </row>
    <row r="23" spans="2:41">
      <c r="B23" s="224">
        <v>12</v>
      </c>
      <c r="D23" s="72" t="str">
        <v/>
      </c>
      <c r="E23" s="72">
        <v>12</v>
      </c>
      <c r="F23" s="27"/>
      <c r="J23" s="77" t="str">
        <v/>
      </c>
      <c r="K23" s="72" t="str">
        <v/>
      </c>
      <c r="L23" s="72" t="str">
        <v>Dec</v>
      </c>
      <c r="P23" s="72" t="str">
        <v>Dec</v>
      </c>
      <c r="Q23" s="72" t="str">
        <v/>
      </c>
      <c r="R23" s="72" t="str">
        <v/>
      </c>
      <c r="U23" s="65"/>
      <c r="V23" s="70"/>
      <c r="AB23" s="72" t="str">
        <v/>
      </c>
      <c r="AC23" s="72" t="str">
        <v/>
      </c>
      <c r="AD23" s="72" t="str">
        <v/>
      </c>
      <c r="AE23" s="72" t="str">
        <v/>
      </c>
      <c r="AF23" s="72">
        <v>19</v>
      </c>
      <c r="AG23" s="72" t="str">
        <v/>
      </c>
      <c r="AH23" s="72" t="str">
        <v/>
      </c>
      <c r="AI23" s="72" t="str">
        <v/>
      </c>
      <c r="AJ23" s="72" t="str">
        <v/>
      </c>
      <c r="AK23" s="72" t="str">
        <v/>
      </c>
      <c r="AL23" s="72" t="str">
        <v/>
      </c>
      <c r="AM23" s="72" t="str">
        <v/>
      </c>
      <c r="AN23" s="72" t="str">
        <v/>
      </c>
      <c r="AO23" s="72" t="str">
        <v/>
      </c>
    </row>
    <row r="24" spans="2:41">
      <c r="B24" s="224">
        <v>13</v>
      </c>
      <c r="D24" s="72">
        <v>13</v>
      </c>
      <c r="E24" s="72" t="str">
        <v/>
      </c>
      <c r="F24" s="27"/>
      <c r="J24" s="61"/>
      <c r="K24" s="62"/>
      <c r="L24" s="62"/>
      <c r="U24" s="65"/>
      <c r="V24" s="70"/>
      <c r="AB24" s="72" t="str">
        <v/>
      </c>
      <c r="AC24" s="72" t="str">
        <v/>
      </c>
      <c r="AD24" s="72" t="str">
        <v/>
      </c>
      <c r="AE24" s="72" t="str">
        <v/>
      </c>
      <c r="AF24" s="72" t="str">
        <v/>
      </c>
      <c r="AG24" s="72">
        <v>20</v>
      </c>
      <c r="AH24" s="72" t="str">
        <v/>
      </c>
      <c r="AI24" s="72" t="str">
        <v/>
      </c>
      <c r="AJ24" s="72" t="str">
        <v/>
      </c>
      <c r="AK24" s="72" t="str">
        <v/>
      </c>
      <c r="AL24" s="72" t="str">
        <v/>
      </c>
      <c r="AM24" s="72" t="str">
        <v/>
      </c>
      <c r="AN24" s="72" t="str">
        <v/>
      </c>
      <c r="AO24" s="72" t="str">
        <v/>
      </c>
    </row>
    <row r="25" spans="2:41">
      <c r="B25" s="224">
        <v>14</v>
      </c>
      <c r="D25" s="72" t="str">
        <v/>
      </c>
      <c r="E25" s="72">
        <v>14</v>
      </c>
      <c r="F25" s="27"/>
      <c r="J25" s="25" t="s">
        <v>456</v>
      </c>
      <c r="M25" s="10"/>
      <c r="N25" s="10"/>
      <c r="U25" s="65"/>
      <c r="V25" s="70"/>
      <c r="AB25" s="72" t="str">
        <v/>
      </c>
      <c r="AC25" s="72" t="str">
        <v/>
      </c>
      <c r="AD25" s="72" t="str">
        <v/>
      </c>
      <c r="AE25" s="72" t="str">
        <v/>
      </c>
      <c r="AF25" s="72" t="str">
        <v/>
      </c>
      <c r="AG25" s="72" t="str">
        <v/>
      </c>
      <c r="AH25" s="72">
        <v>21</v>
      </c>
      <c r="AI25" s="72" t="str">
        <v/>
      </c>
      <c r="AJ25" s="72" t="str">
        <v/>
      </c>
      <c r="AK25" s="72" t="str">
        <v/>
      </c>
      <c r="AL25" s="72" t="str">
        <v/>
      </c>
      <c r="AM25" s="72" t="str">
        <v/>
      </c>
      <c r="AN25" s="72" t="str">
        <v/>
      </c>
      <c r="AO25" s="72" t="str">
        <v/>
      </c>
    </row>
    <row r="26" spans="2:41">
      <c r="B26" s="224">
        <v>15</v>
      </c>
      <c r="D26" s="72">
        <v>15</v>
      </c>
      <c r="E26" s="72" t="str">
        <v/>
      </c>
      <c r="F26" s="27"/>
      <c r="J26" s="32" t="s">
        <v>455</v>
      </c>
      <c r="L26" s="62"/>
      <c r="M26" s="62"/>
      <c r="N26" s="62"/>
      <c r="O26" s="62"/>
      <c r="P26" s="62"/>
      <c r="Q26" s="62"/>
      <c r="R26" s="62"/>
      <c r="S26" s="62"/>
      <c r="T26" s="62"/>
      <c r="U26" s="66"/>
      <c r="V26" s="70"/>
      <c r="AB26" s="72" t="str">
        <v/>
      </c>
      <c r="AC26" s="72" t="str">
        <v/>
      </c>
      <c r="AD26" s="72" t="str">
        <v/>
      </c>
      <c r="AE26" s="72" t="str">
        <v/>
      </c>
      <c r="AF26" s="72" t="str">
        <v/>
      </c>
      <c r="AG26" s="72" t="str">
        <v/>
      </c>
      <c r="AH26" s="72" t="str">
        <v/>
      </c>
      <c r="AI26" s="72">
        <v>22</v>
      </c>
      <c r="AJ26" s="72" t="str">
        <v/>
      </c>
      <c r="AK26" s="72" t="str">
        <v/>
      </c>
      <c r="AL26" s="72" t="str">
        <v/>
      </c>
      <c r="AM26" s="72" t="str">
        <v/>
      </c>
      <c r="AN26" s="72" t="str">
        <v/>
      </c>
      <c r="AO26" s="72" t="str">
        <v/>
      </c>
    </row>
    <row r="27" spans="2:41">
      <c r="B27" s="224">
        <v>16</v>
      </c>
      <c r="D27" s="72" t="str">
        <v/>
      </c>
      <c r="E27" s="72">
        <v>16</v>
      </c>
      <c r="F27" s="27"/>
      <c r="J27" s="72" t="str" cm="1">
        <f t="array" ref="J27:U29">Staircaseλ(ThreeMonth,3,,TRUE)</f>
        <v>Jan</v>
      </c>
      <c r="K27" s="72" t="str">
        <v/>
      </c>
      <c r="L27" s="72" t="str">
        <v/>
      </c>
      <c r="M27" s="72" t="str">
        <v>Apr</v>
      </c>
      <c r="N27" s="72" t="str">
        <v/>
      </c>
      <c r="O27" s="72" t="str">
        <v/>
      </c>
      <c r="P27" s="72" t="str">
        <v>Jul</v>
      </c>
      <c r="Q27" s="72" t="str">
        <v/>
      </c>
      <c r="R27" s="72" t="str">
        <v/>
      </c>
      <c r="S27" s="72" t="str">
        <v>Oct</v>
      </c>
      <c r="T27" s="72" t="str">
        <v/>
      </c>
      <c r="U27" s="72" t="str">
        <v/>
      </c>
      <c r="V27" s="70"/>
      <c r="AB27" s="72" t="str">
        <v/>
      </c>
      <c r="AC27" s="72" t="str">
        <v/>
      </c>
      <c r="AD27" s="72" t="str">
        <v/>
      </c>
      <c r="AE27" s="72" t="str">
        <v/>
      </c>
      <c r="AF27" s="72" t="str">
        <v/>
      </c>
      <c r="AG27" s="72" t="str">
        <v/>
      </c>
      <c r="AH27" s="72" t="str">
        <v/>
      </c>
      <c r="AI27" s="72" t="str">
        <v/>
      </c>
      <c r="AJ27" s="72">
        <v>23</v>
      </c>
      <c r="AK27" s="72" t="str">
        <v/>
      </c>
      <c r="AL27" s="72" t="str">
        <v/>
      </c>
      <c r="AM27" s="72" t="str">
        <v/>
      </c>
      <c r="AN27" s="72" t="str">
        <v/>
      </c>
      <c r="AO27" s="72" t="str">
        <v/>
      </c>
    </row>
    <row r="28" spans="2:41">
      <c r="B28" s="55"/>
      <c r="F28" s="27"/>
      <c r="J28" s="72" t="str">
        <v/>
      </c>
      <c r="K28" s="72" t="str">
        <v>Feb</v>
      </c>
      <c r="L28" s="72" t="str">
        <v/>
      </c>
      <c r="M28" s="72" t="str">
        <v/>
      </c>
      <c r="N28" s="72" t="str">
        <v>May</v>
      </c>
      <c r="O28" s="72" t="str">
        <v/>
      </c>
      <c r="P28" s="72" t="str">
        <v/>
      </c>
      <c r="Q28" s="72" t="str">
        <v>Aug</v>
      </c>
      <c r="R28" s="72" t="str">
        <v/>
      </c>
      <c r="S28" s="72" t="str">
        <v/>
      </c>
      <c r="T28" s="72" t="str">
        <v>Nov</v>
      </c>
      <c r="U28" s="72" t="str">
        <v/>
      </c>
      <c r="V28" s="70"/>
      <c r="AB28" s="72" t="str">
        <v/>
      </c>
      <c r="AC28" s="72" t="str">
        <v/>
      </c>
      <c r="AD28" s="72" t="str">
        <v/>
      </c>
      <c r="AE28" s="72" t="str">
        <v/>
      </c>
      <c r="AF28" s="72" t="str">
        <v/>
      </c>
      <c r="AG28" s="72" t="str">
        <v/>
      </c>
      <c r="AH28" s="72" t="str">
        <v/>
      </c>
      <c r="AI28" s="72" t="str">
        <v/>
      </c>
      <c r="AJ28" s="72" t="str">
        <v/>
      </c>
      <c r="AK28" s="72">
        <v>24</v>
      </c>
      <c r="AL28" s="72" t="str">
        <v/>
      </c>
      <c r="AM28" s="72" t="str">
        <v/>
      </c>
      <c r="AN28" s="72" t="str">
        <v/>
      </c>
      <c r="AO28" s="72" t="str">
        <v/>
      </c>
    </row>
    <row r="29" spans="2:41">
      <c r="B29" s="55"/>
      <c r="F29" s="27"/>
      <c r="J29" s="72" t="str">
        <v/>
      </c>
      <c r="K29" s="72" t="str">
        <v/>
      </c>
      <c r="L29" s="72" t="str">
        <v>Mar</v>
      </c>
      <c r="M29" s="72" t="str">
        <v/>
      </c>
      <c r="N29" s="72" t="str">
        <v/>
      </c>
      <c r="O29" s="72" t="str">
        <v>Jun</v>
      </c>
      <c r="P29" s="72" t="str">
        <v/>
      </c>
      <c r="Q29" s="72" t="str">
        <v/>
      </c>
      <c r="R29" s="72" t="str">
        <v>Sep</v>
      </c>
      <c r="S29" s="72" t="str">
        <v/>
      </c>
      <c r="T29" s="72" t="str">
        <v/>
      </c>
      <c r="U29" s="72" t="str">
        <v>Dec</v>
      </c>
      <c r="V29" s="70"/>
      <c r="AB29" s="72" t="str">
        <v/>
      </c>
      <c r="AC29" s="72" t="str">
        <v/>
      </c>
      <c r="AD29" s="72" t="str">
        <v/>
      </c>
      <c r="AE29" s="72" t="str">
        <v/>
      </c>
      <c r="AF29" s="72" t="str">
        <v/>
      </c>
      <c r="AG29" s="72" t="str">
        <v/>
      </c>
      <c r="AH29" s="72" t="str">
        <v/>
      </c>
      <c r="AI29" s="72" t="str">
        <v/>
      </c>
      <c r="AJ29" s="72" t="str">
        <v/>
      </c>
      <c r="AK29" s="72" t="str">
        <v/>
      </c>
      <c r="AL29" s="72">
        <v>25</v>
      </c>
      <c r="AM29" s="72" t="str">
        <v/>
      </c>
      <c r="AN29" s="72" t="str">
        <v/>
      </c>
      <c r="AO29" s="72" t="str">
        <v/>
      </c>
    </row>
    <row r="30" spans="2:41">
      <c r="B30" s="55"/>
      <c r="F30" s="27"/>
      <c r="U30" s="65"/>
      <c r="V30" s="70"/>
      <c r="AB30" s="72" t="str">
        <v/>
      </c>
      <c r="AC30" s="72" t="str">
        <v/>
      </c>
      <c r="AD30" s="72" t="str">
        <v/>
      </c>
      <c r="AE30" s="72" t="str">
        <v/>
      </c>
      <c r="AF30" s="72" t="str">
        <v/>
      </c>
      <c r="AG30" s="72" t="str">
        <v/>
      </c>
      <c r="AH30" s="72" t="str">
        <v/>
      </c>
      <c r="AI30" s="72" t="str">
        <v/>
      </c>
      <c r="AJ30" s="72" t="str">
        <v/>
      </c>
      <c r="AK30" s="72" t="str">
        <v/>
      </c>
      <c r="AL30" s="72" t="str">
        <v/>
      </c>
      <c r="AM30" s="72">
        <v>26</v>
      </c>
      <c r="AN30" s="72" t="str">
        <v/>
      </c>
      <c r="AO30" s="72" t="str">
        <v/>
      </c>
    </row>
    <row r="31" spans="2:41">
      <c r="B31" s="55"/>
      <c r="F31" s="27"/>
      <c r="U31" s="65"/>
      <c r="V31" s="70"/>
      <c r="AB31" s="72" t="str">
        <v/>
      </c>
      <c r="AC31" s="72" t="str">
        <v/>
      </c>
      <c r="AD31" s="72" t="str">
        <v/>
      </c>
      <c r="AE31" s="72" t="str">
        <v/>
      </c>
      <c r="AF31" s="72" t="str">
        <v/>
      </c>
      <c r="AG31" s="72" t="str">
        <v/>
      </c>
      <c r="AH31" s="72" t="str">
        <v/>
      </c>
      <c r="AI31" s="72" t="str">
        <v/>
      </c>
      <c r="AJ31" s="72" t="str">
        <v/>
      </c>
      <c r="AK31" s="72" t="str">
        <v/>
      </c>
      <c r="AL31" s="72" t="str">
        <v/>
      </c>
      <c r="AM31" s="72" t="str">
        <v/>
      </c>
      <c r="AN31" s="72">
        <v>27</v>
      </c>
      <c r="AO31" s="72" t="str">
        <v/>
      </c>
    </row>
    <row r="32" spans="2:41">
      <c r="B32" s="55"/>
      <c r="F32" s="27"/>
      <c r="U32" s="65"/>
      <c r="V32" s="70"/>
      <c r="AB32" s="72" t="str">
        <v/>
      </c>
      <c r="AC32" s="72" t="str">
        <v/>
      </c>
      <c r="AD32" s="72" t="str">
        <v/>
      </c>
      <c r="AE32" s="72" t="str">
        <v/>
      </c>
      <c r="AF32" s="72" t="str">
        <v/>
      </c>
      <c r="AG32" s="72" t="str">
        <v/>
      </c>
      <c r="AH32" s="72" t="str">
        <v/>
      </c>
      <c r="AI32" s="72" t="str">
        <v/>
      </c>
      <c r="AJ32" s="72" t="str">
        <v/>
      </c>
      <c r="AK32" s="72" t="str">
        <v/>
      </c>
      <c r="AL32" s="72" t="str">
        <v/>
      </c>
      <c r="AM32" s="72" t="str">
        <v/>
      </c>
      <c r="AN32" s="72" t="str">
        <v/>
      </c>
      <c r="AO32" s="72">
        <v>28</v>
      </c>
    </row>
    <row r="33" spans="2:41">
      <c r="B33" s="56"/>
      <c r="C33" s="43"/>
      <c r="D33" s="43"/>
      <c r="E33" s="43"/>
      <c r="F33" s="44"/>
      <c r="G33" s="43"/>
      <c r="H33" s="43"/>
      <c r="I33" s="43"/>
      <c r="J33" s="43"/>
      <c r="K33" s="67"/>
      <c r="L33" s="67"/>
      <c r="M33" s="43"/>
      <c r="N33" s="43"/>
      <c r="O33" s="67"/>
      <c r="P33" s="67"/>
      <c r="Q33" s="67"/>
      <c r="R33" s="67"/>
      <c r="S33" s="67"/>
      <c r="T33" s="67"/>
      <c r="U33" s="68"/>
      <c r="V33" s="71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43"/>
      <c r="AH33" s="43"/>
      <c r="AI33" s="43"/>
      <c r="AJ33" s="43"/>
      <c r="AK33" s="43"/>
      <c r="AL33" s="43"/>
      <c r="AM33" s="43"/>
      <c r="AN33" s="43"/>
      <c r="AO33" s="44"/>
    </row>
  </sheetData>
  <phoneticPr fontId="9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99575-164F-4F29-B534-8E27B8AB33B0}">
  <sheetPr codeName="Sheet9">
    <tabColor rgb="FFA0D6B4"/>
  </sheetPr>
  <dimension ref="B2:AB38"/>
  <sheetViews>
    <sheetView workbookViewId="0"/>
  </sheetViews>
  <sheetFormatPr defaultRowHeight="16.5"/>
  <cols>
    <col min="1" max="1" width="5" customWidth="1"/>
    <col min="2" max="2" width="15.08203125" bestFit="1" customWidth="1"/>
    <col min="3" max="3" width="9.6640625" customWidth="1"/>
    <col min="4" max="5" width="9.58203125" bestFit="1" customWidth="1"/>
    <col min="6" max="6" width="5.75" bestFit="1" customWidth="1"/>
    <col min="7" max="7" width="4" customWidth="1"/>
    <col min="8" max="8" width="9.58203125" bestFit="1" customWidth="1"/>
    <col min="9" max="15" width="5.58203125" bestFit="1" customWidth="1"/>
    <col min="16" max="16" width="2.4140625" customWidth="1"/>
    <col min="17" max="17" width="2.6640625" customWidth="1"/>
    <col min="18" max="18" width="2.83203125" customWidth="1"/>
    <col min="19" max="19" width="13.1640625" customWidth="1"/>
    <col min="20" max="20" width="5" bestFit="1" customWidth="1"/>
    <col min="21" max="22" width="4.5" bestFit="1" customWidth="1"/>
    <col min="23" max="23" width="3.5" bestFit="1" customWidth="1"/>
    <col min="24" max="24" width="3.58203125" bestFit="1" customWidth="1"/>
    <col min="25" max="25" width="3.33203125" bestFit="1" customWidth="1"/>
    <col min="26" max="26" width="3.83203125" bestFit="1" customWidth="1"/>
    <col min="27" max="27" width="4.08203125" bestFit="1" customWidth="1"/>
    <col min="28" max="28" width="11.83203125" customWidth="1"/>
  </cols>
  <sheetData>
    <row r="2" spans="2:28">
      <c r="B2" s="47" t="s">
        <v>423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2"/>
    </row>
    <row r="3" spans="2:28">
      <c r="B3" s="52" t="s">
        <v>242</v>
      </c>
      <c r="AB3" s="27"/>
    </row>
    <row r="4" spans="2:28">
      <c r="B4" s="52" t="s">
        <v>243</v>
      </c>
      <c r="AB4" s="27"/>
    </row>
    <row r="5" spans="2:28">
      <c r="B5" s="52" t="s">
        <v>244</v>
      </c>
      <c r="AB5" s="27"/>
    </row>
    <row r="6" spans="2:28">
      <c r="B6" s="52" t="s">
        <v>245</v>
      </c>
      <c r="AB6" s="27"/>
    </row>
    <row r="7" spans="2:28">
      <c r="B7" s="177" t="s">
        <v>175</v>
      </c>
      <c r="AB7" s="27"/>
    </row>
    <row r="8" spans="2:28">
      <c r="B8" s="52" t="s">
        <v>246</v>
      </c>
      <c r="AB8" s="27"/>
    </row>
    <row r="9" spans="2:28">
      <c r="B9" s="56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4"/>
    </row>
    <row r="10" spans="2:28">
      <c r="B10" s="57"/>
      <c r="C10" s="95" t="s">
        <v>251</v>
      </c>
      <c r="D10" s="41"/>
      <c r="E10" s="41"/>
      <c r="F10" s="42"/>
      <c r="G10" s="57"/>
      <c r="H10" s="41"/>
      <c r="I10" s="49" t="s">
        <v>261</v>
      </c>
      <c r="J10" s="41"/>
      <c r="K10" s="41"/>
      <c r="L10" s="41"/>
      <c r="M10" s="41"/>
      <c r="N10" s="41"/>
      <c r="O10" s="41"/>
      <c r="P10" s="41"/>
      <c r="Q10" s="41"/>
      <c r="R10" s="57"/>
      <c r="S10" s="41"/>
      <c r="T10" s="49" t="s">
        <v>271</v>
      </c>
      <c r="U10" s="41"/>
      <c r="V10" s="41"/>
      <c r="W10" s="41"/>
      <c r="X10" s="41"/>
      <c r="Y10" s="41"/>
      <c r="Z10" s="41"/>
      <c r="AA10" s="41"/>
      <c r="AB10" s="42"/>
    </row>
    <row r="11" spans="2:28">
      <c r="B11" s="72" t="s">
        <v>241</v>
      </c>
      <c r="C11" s="105">
        <v>2020</v>
      </c>
      <c r="D11" s="105">
        <v>2021</v>
      </c>
      <c r="E11" s="105">
        <v>2022</v>
      </c>
      <c r="F11" s="75"/>
      <c r="G11" s="73"/>
      <c r="H11" s="72" t="s">
        <v>254</v>
      </c>
      <c r="I11" s="102" t="s">
        <v>94</v>
      </c>
      <c r="J11" s="102" t="s">
        <v>95</v>
      </c>
      <c r="K11" s="102" t="s">
        <v>96</v>
      </c>
      <c r="L11" s="102" t="s">
        <v>259</v>
      </c>
      <c r="M11" s="102" t="s">
        <v>98</v>
      </c>
      <c r="N11" s="102" t="s">
        <v>260</v>
      </c>
      <c r="O11" s="74"/>
      <c r="P11" s="74"/>
      <c r="Q11" s="74"/>
      <c r="R11" s="55"/>
      <c r="S11" s="77"/>
      <c r="T11" s="90" t="s">
        <v>275</v>
      </c>
      <c r="U11" s="90" t="s">
        <v>276</v>
      </c>
      <c r="V11" s="90" t="s">
        <v>265</v>
      </c>
      <c r="W11" s="90" t="s">
        <v>266</v>
      </c>
      <c r="X11" s="90" t="s">
        <v>275</v>
      </c>
      <c r="Y11" s="90" t="s">
        <v>276</v>
      </c>
      <c r="Z11" s="90" t="s">
        <v>265</v>
      </c>
      <c r="AA11" s="90" t="s">
        <v>266</v>
      </c>
      <c r="AB11" s="27"/>
    </row>
    <row r="12" spans="2:28">
      <c r="B12" s="106" t="s">
        <v>248</v>
      </c>
      <c r="C12" s="107">
        <v>125000</v>
      </c>
      <c r="D12" s="107">
        <v>134137</v>
      </c>
      <c r="E12" s="107">
        <v>142728</v>
      </c>
      <c r="F12" s="96" t="s">
        <v>252</v>
      </c>
      <c r="G12" s="98"/>
      <c r="H12" s="103" t="s">
        <v>255</v>
      </c>
      <c r="I12" s="104">
        <v>0.46</v>
      </c>
      <c r="J12" s="104">
        <v>2.2000000000000002</v>
      </c>
      <c r="K12" s="104">
        <v>1.8</v>
      </c>
      <c r="L12" s="104">
        <v>0</v>
      </c>
      <c r="M12" s="104">
        <v>1.82</v>
      </c>
      <c r="N12" s="104">
        <v>2.79</v>
      </c>
      <c r="O12" s="54" t="s">
        <v>262</v>
      </c>
      <c r="R12" s="55"/>
      <c r="S12" s="77" t="s">
        <v>270</v>
      </c>
      <c r="T12" s="90" t="s">
        <v>277</v>
      </c>
      <c r="U12" s="90" t="s">
        <v>278</v>
      </c>
      <c r="V12" s="90" t="s">
        <v>279</v>
      </c>
      <c r="W12" s="90" t="s">
        <v>280</v>
      </c>
      <c r="X12" s="90" t="s">
        <v>118</v>
      </c>
      <c r="Y12" s="90" t="s">
        <v>119</v>
      </c>
      <c r="Z12" s="90" t="s">
        <v>120</v>
      </c>
      <c r="AA12" s="90" t="s">
        <v>137</v>
      </c>
      <c r="AB12" s="27"/>
    </row>
    <row r="13" spans="2:28">
      <c r="B13" s="106" t="s">
        <v>240</v>
      </c>
      <c r="C13" s="107">
        <v>65000</v>
      </c>
      <c r="D13" s="107">
        <v>70962</v>
      </c>
      <c r="E13" s="107">
        <v>75924</v>
      </c>
      <c r="F13" s="97"/>
      <c r="G13" s="98"/>
      <c r="H13" s="103" t="s">
        <v>256</v>
      </c>
      <c r="I13" s="104">
        <v>0.99</v>
      </c>
      <c r="J13" s="104">
        <v>2.2999999999999998</v>
      </c>
      <c r="K13" s="104">
        <v>2.1</v>
      </c>
      <c r="L13" s="104">
        <v>0</v>
      </c>
      <c r="M13" s="104">
        <v>0</v>
      </c>
      <c r="N13" s="104">
        <v>0</v>
      </c>
      <c r="R13" s="55"/>
      <c r="S13" s="101" t="s">
        <v>267</v>
      </c>
      <c r="T13" s="77">
        <v>64</v>
      </c>
      <c r="U13" s="77">
        <v>9</v>
      </c>
      <c r="V13" s="77">
        <v>79</v>
      </c>
      <c r="W13" s="77">
        <v>35</v>
      </c>
      <c r="X13" s="77">
        <v>9</v>
      </c>
      <c r="Y13" s="77">
        <v>68</v>
      </c>
      <c r="Z13" s="77">
        <v>33</v>
      </c>
      <c r="AA13" s="77">
        <v>4</v>
      </c>
      <c r="AB13" s="99" t="s">
        <v>272</v>
      </c>
    </row>
    <row r="14" spans="2:28">
      <c r="B14" s="106" t="s">
        <v>247</v>
      </c>
      <c r="C14" s="107">
        <v>60000</v>
      </c>
      <c r="D14" s="107">
        <v>64207</v>
      </c>
      <c r="E14" s="107">
        <v>68857</v>
      </c>
      <c r="F14" s="97"/>
      <c r="G14" s="98"/>
      <c r="H14" s="103" t="s">
        <v>257</v>
      </c>
      <c r="I14" s="104">
        <v>1.1000000000000001</v>
      </c>
      <c r="J14" s="104">
        <v>1.44</v>
      </c>
      <c r="K14" s="104">
        <v>3.17</v>
      </c>
      <c r="L14" s="104">
        <v>2.78</v>
      </c>
      <c r="M14" s="104">
        <v>1.31</v>
      </c>
      <c r="N14" s="104">
        <v>3.98</v>
      </c>
      <c r="R14" s="55"/>
      <c r="S14" s="101" t="s">
        <v>268</v>
      </c>
      <c r="T14" s="77">
        <v>52</v>
      </c>
      <c r="U14" s="77">
        <v>21</v>
      </c>
      <c r="V14" s="77">
        <v>22</v>
      </c>
      <c r="W14" s="77">
        <v>62</v>
      </c>
      <c r="X14" s="77">
        <v>63</v>
      </c>
      <c r="Y14" s="77">
        <v>70</v>
      </c>
      <c r="Z14" s="77">
        <v>92</v>
      </c>
      <c r="AA14" s="77">
        <v>80</v>
      </c>
      <c r="AB14" s="27"/>
    </row>
    <row r="15" spans="2:28">
      <c r="B15" s="106" t="s">
        <v>249</v>
      </c>
      <c r="C15" s="107">
        <v>4500</v>
      </c>
      <c r="D15" s="107">
        <v>4517</v>
      </c>
      <c r="E15" s="107">
        <v>4656</v>
      </c>
      <c r="F15" s="97"/>
      <c r="G15" s="98"/>
      <c r="H15" s="103" t="s">
        <v>258</v>
      </c>
      <c r="I15" s="104">
        <v>2.1</v>
      </c>
      <c r="J15" s="104" t="e">
        <f>NA()</f>
        <v>#N/A</v>
      </c>
      <c r="K15" s="104" t="e">
        <f>NA()</f>
        <v>#N/A</v>
      </c>
      <c r="L15" s="104" t="e">
        <f>NA()</f>
        <v>#N/A</v>
      </c>
      <c r="M15" s="104" t="e">
        <f>NA()</f>
        <v>#N/A</v>
      </c>
      <c r="N15" s="104">
        <v>0.75</v>
      </c>
      <c r="R15" s="55"/>
      <c r="S15" s="101" t="s">
        <v>269</v>
      </c>
      <c r="T15" s="77">
        <v>0</v>
      </c>
      <c r="U15" s="77">
        <v>100</v>
      </c>
      <c r="V15" s="77">
        <v>0</v>
      </c>
      <c r="W15" s="77">
        <v>0</v>
      </c>
      <c r="X15" s="77">
        <v>0</v>
      </c>
      <c r="Y15" s="77">
        <v>0</v>
      </c>
      <c r="Z15" s="77">
        <v>0</v>
      </c>
      <c r="AA15" s="77">
        <v>0</v>
      </c>
      <c r="AB15" s="27"/>
    </row>
    <row r="16" spans="2:28">
      <c r="B16" s="106" t="s">
        <v>250</v>
      </c>
      <c r="C16" s="107">
        <v>2500</v>
      </c>
      <c r="D16" s="107">
        <v>2745</v>
      </c>
      <c r="E16" s="107">
        <v>2893</v>
      </c>
      <c r="F16" s="97"/>
      <c r="G16" s="98"/>
      <c r="H16" s="89"/>
      <c r="I16" s="89"/>
      <c r="R16" s="55"/>
      <c r="AB16" s="27"/>
    </row>
    <row r="17" spans="2:28">
      <c r="B17" s="55"/>
      <c r="C17" s="89"/>
      <c r="D17" s="89"/>
      <c r="E17" s="89"/>
      <c r="F17" s="97"/>
      <c r="G17" s="98"/>
      <c r="H17" s="89"/>
      <c r="I17" s="89"/>
      <c r="R17" s="55"/>
      <c r="T17" s="100" t="s">
        <v>274</v>
      </c>
      <c r="AB17" s="27"/>
    </row>
    <row r="18" spans="2:28">
      <c r="B18" s="17" t="s">
        <v>264</v>
      </c>
      <c r="C18" s="89"/>
      <c r="D18" s="89"/>
      <c r="E18" s="89"/>
      <c r="F18" s="97"/>
      <c r="G18" s="98"/>
      <c r="H18" s="25" t="s">
        <v>457</v>
      </c>
      <c r="I18" s="89"/>
      <c r="R18" s="55"/>
      <c r="S18" s="25" t="s">
        <v>458</v>
      </c>
      <c r="AB18" s="27"/>
    </row>
    <row r="19" spans="2:28">
      <c r="B19" s="59" t="s">
        <v>253</v>
      </c>
      <c r="E19" s="89"/>
      <c r="F19" s="97"/>
      <c r="G19" s="98"/>
      <c r="H19" s="32" t="s">
        <v>263</v>
      </c>
      <c r="I19" s="89"/>
      <c r="R19" s="55"/>
      <c r="S19" s="32" t="s">
        <v>273</v>
      </c>
      <c r="AB19" s="27"/>
    </row>
    <row r="20" spans="2:28">
      <c r="B20" s="228" t="str" cm="1">
        <f t="array" ref="B20:D34">UnPivotλ(Agent,Years,Sales)</f>
        <v>Conrad Burns</v>
      </c>
      <c r="C20" s="107">
        <v>2020</v>
      </c>
      <c r="D20" s="229">
        <v>125000</v>
      </c>
      <c r="E20" s="89"/>
      <c r="F20" s="97"/>
      <c r="G20" s="98"/>
      <c r="H20" s="103" t="str" cm="1">
        <f t="array" ref="H20:J35">UnPivotλ(City,RainfallMonths,Rainfall,TRUE)</f>
        <v>Onett</v>
      </c>
      <c r="I20" s="230" t="str">
        <v>Apr</v>
      </c>
      <c r="J20" s="104">
        <v>0.46</v>
      </c>
      <c r="R20" s="55"/>
      <c r="S20" s="101" t="str" cm="1">
        <f t="array" ref="S20:V36">UnPivotλ(Products,Regions,ProdSales,TRUE)</f>
        <v>Widget</v>
      </c>
      <c r="T20" s="231" t="str">
        <v>Q1</v>
      </c>
      <c r="U20" s="231" t="str">
        <v>E</v>
      </c>
      <c r="V20" s="77">
        <v>64</v>
      </c>
      <c r="AB20" s="27"/>
    </row>
    <row r="21" spans="2:28">
      <c r="B21" s="228" t="str">
        <v>Conrad Burns</v>
      </c>
      <c r="C21" s="107">
        <v>2021</v>
      </c>
      <c r="D21" s="229">
        <v>134137</v>
      </c>
      <c r="F21" s="27"/>
      <c r="G21" s="55"/>
      <c r="H21" s="103" t="str">
        <v>Onett</v>
      </c>
      <c r="I21" s="230" t="str">
        <v>May</v>
      </c>
      <c r="J21" s="104">
        <v>2.2000000000000002</v>
      </c>
      <c r="R21" s="55"/>
      <c r="S21" s="101" t="str">
        <v>Widget</v>
      </c>
      <c r="T21" s="231" t="str">
        <v>Q2</v>
      </c>
      <c r="U21" s="231" t="str">
        <v>W</v>
      </c>
      <c r="V21" s="77">
        <v>9</v>
      </c>
      <c r="AB21" s="27"/>
    </row>
    <row r="22" spans="2:28">
      <c r="B22" s="228" t="str">
        <v>Conrad Burns</v>
      </c>
      <c r="C22" s="107">
        <v>2022</v>
      </c>
      <c r="D22" s="229">
        <v>142728</v>
      </c>
      <c r="F22" s="27"/>
      <c r="G22" s="55"/>
      <c r="H22" s="103" t="str">
        <v>Onett</v>
      </c>
      <c r="I22" s="230" t="str">
        <v>Jun</v>
      </c>
      <c r="J22" s="104">
        <v>1.8</v>
      </c>
      <c r="R22" s="55"/>
      <c r="S22" s="101" t="str">
        <v>Widget</v>
      </c>
      <c r="T22" s="231" t="str">
        <v>Q3</v>
      </c>
      <c r="U22" s="231" t="str">
        <v>N</v>
      </c>
      <c r="V22" s="77">
        <v>79</v>
      </c>
      <c r="AB22" s="27"/>
    </row>
    <row r="23" spans="2:28">
      <c r="B23" s="228" t="str">
        <v>Tracey Joseph</v>
      </c>
      <c r="C23" s="107">
        <v>2020</v>
      </c>
      <c r="D23" s="229">
        <v>65000</v>
      </c>
      <c r="F23" s="27"/>
      <c r="G23" s="55"/>
      <c r="H23" s="103" t="str">
        <v>Onett</v>
      </c>
      <c r="I23" s="230" t="str">
        <v>Aug</v>
      </c>
      <c r="J23" s="104">
        <v>1.82</v>
      </c>
      <c r="R23" s="55"/>
      <c r="S23" s="101" t="str">
        <v>Widget</v>
      </c>
      <c r="T23" s="231" t="str">
        <v>Q4</v>
      </c>
      <c r="U23" s="231" t="str">
        <v>S</v>
      </c>
      <c r="V23" s="77">
        <v>35</v>
      </c>
      <c r="AB23" s="27"/>
    </row>
    <row r="24" spans="2:28">
      <c r="B24" s="228" t="str">
        <v>Tracey Joseph</v>
      </c>
      <c r="C24" s="107">
        <v>2021</v>
      </c>
      <c r="D24" s="229">
        <v>70962</v>
      </c>
      <c r="F24" s="27"/>
      <c r="G24" s="55"/>
      <c r="H24" s="103" t="str">
        <v>Onett</v>
      </c>
      <c r="I24" s="230" t="str">
        <v>Sept</v>
      </c>
      <c r="J24" s="104">
        <v>2.79</v>
      </c>
      <c r="R24" s="55"/>
      <c r="S24" s="101" t="str">
        <v>Widget</v>
      </c>
      <c r="T24" s="231" t="str">
        <v>Q1</v>
      </c>
      <c r="U24" s="231" t="str">
        <v>NE</v>
      </c>
      <c r="V24" s="77">
        <v>9</v>
      </c>
      <c r="AB24" s="27"/>
    </row>
    <row r="25" spans="2:28">
      <c r="B25" s="228" t="str">
        <v>Tracey Joseph</v>
      </c>
      <c r="C25" s="107">
        <v>2022</v>
      </c>
      <c r="D25" s="229">
        <v>75924</v>
      </c>
      <c r="F25" s="27"/>
      <c r="G25" s="55"/>
      <c r="H25" s="103" t="str">
        <v>Twoson</v>
      </c>
      <c r="I25" s="230" t="str">
        <v>Apr</v>
      </c>
      <c r="J25" s="104">
        <v>0.99</v>
      </c>
      <c r="R25" s="55"/>
      <c r="S25" s="101" t="str">
        <v>Widget</v>
      </c>
      <c r="T25" s="231" t="str">
        <v>Q2</v>
      </c>
      <c r="U25" s="231" t="str">
        <v>SE</v>
      </c>
      <c r="V25" s="77">
        <v>68</v>
      </c>
      <c r="AB25" s="27"/>
    </row>
    <row r="26" spans="2:28">
      <c r="B26" s="228" t="str">
        <v>Peter Joshua</v>
      </c>
      <c r="C26" s="107">
        <v>2020</v>
      </c>
      <c r="D26" s="229">
        <v>60000</v>
      </c>
      <c r="F26" s="27"/>
      <c r="G26" s="55"/>
      <c r="H26" s="103" t="str">
        <v>Twoson</v>
      </c>
      <c r="I26" s="230" t="str">
        <v>May</v>
      </c>
      <c r="J26" s="104">
        <v>2.2999999999999998</v>
      </c>
      <c r="R26" s="55"/>
      <c r="S26" s="101" t="str">
        <v>Widget</v>
      </c>
      <c r="T26" s="231" t="str">
        <v>Q3</v>
      </c>
      <c r="U26" s="231" t="str">
        <v>SW</v>
      </c>
      <c r="V26" s="77">
        <v>33</v>
      </c>
      <c r="AB26" s="27"/>
    </row>
    <row r="27" spans="2:28">
      <c r="B27" s="228" t="str">
        <v>Peter Joshua</v>
      </c>
      <c r="C27" s="107">
        <v>2021</v>
      </c>
      <c r="D27" s="229">
        <v>64207</v>
      </c>
      <c r="F27" s="27"/>
      <c r="G27" s="55"/>
      <c r="H27" s="103" t="str">
        <v>Twoson</v>
      </c>
      <c r="I27" s="230" t="str">
        <v>Jun</v>
      </c>
      <c r="J27" s="104">
        <v>2.1</v>
      </c>
      <c r="R27" s="55"/>
      <c r="S27" s="101" t="str">
        <v>Widget</v>
      </c>
      <c r="T27" s="231" t="str">
        <v>Q4</v>
      </c>
      <c r="U27" s="231" t="str">
        <v>NW</v>
      </c>
      <c r="V27" s="77">
        <v>4</v>
      </c>
      <c r="AB27" s="27"/>
    </row>
    <row r="28" spans="2:28">
      <c r="B28" s="228" t="str">
        <v>Peter Joshua</v>
      </c>
      <c r="C28" s="107">
        <v>2022</v>
      </c>
      <c r="D28" s="229">
        <v>68857</v>
      </c>
      <c r="F28" s="27"/>
      <c r="G28" s="55"/>
      <c r="H28" s="103" t="str">
        <v>Threed</v>
      </c>
      <c r="I28" s="230" t="str">
        <v>Apr</v>
      </c>
      <c r="J28" s="104">
        <v>1.1000000000000001</v>
      </c>
      <c r="R28" s="55"/>
      <c r="S28" s="101" t="str">
        <v>Rubik's cube</v>
      </c>
      <c r="T28" s="231" t="str">
        <v>Q1</v>
      </c>
      <c r="U28" s="231" t="str">
        <v>E</v>
      </c>
      <c r="V28" s="77">
        <v>52</v>
      </c>
      <c r="AB28" s="27"/>
    </row>
    <row r="29" spans="2:28">
      <c r="B29" s="228" t="str">
        <v>Sylvia Green</v>
      </c>
      <c r="C29" s="107">
        <v>2020</v>
      </c>
      <c r="D29" s="229">
        <v>4500</v>
      </c>
      <c r="F29" s="27"/>
      <c r="G29" s="55"/>
      <c r="H29" s="103" t="str">
        <v>Threed</v>
      </c>
      <c r="I29" s="230" t="str">
        <v>May</v>
      </c>
      <c r="J29" s="104">
        <v>1.44</v>
      </c>
      <c r="R29" s="55"/>
      <c r="S29" s="101" t="str">
        <v>Rubik's cube</v>
      </c>
      <c r="T29" s="231" t="str">
        <v>Q2</v>
      </c>
      <c r="U29" s="231" t="str">
        <v>W</v>
      </c>
      <c r="V29" s="77">
        <v>21</v>
      </c>
      <c r="AB29" s="27"/>
    </row>
    <row r="30" spans="2:28">
      <c r="B30" s="228" t="str">
        <v>Sylvia Green</v>
      </c>
      <c r="C30" s="107">
        <v>2021</v>
      </c>
      <c r="D30" s="229">
        <v>4517</v>
      </c>
      <c r="F30" s="27"/>
      <c r="G30" s="55"/>
      <c r="H30" s="103" t="str">
        <v>Threed</v>
      </c>
      <c r="I30" s="230" t="str">
        <v>Jun</v>
      </c>
      <c r="J30" s="104">
        <v>3.17</v>
      </c>
      <c r="R30" s="55"/>
      <c r="S30" s="101" t="str">
        <v>Rubik's cube</v>
      </c>
      <c r="T30" s="231" t="str">
        <v>Q3</v>
      </c>
      <c r="U30" s="231" t="str">
        <v>N</v>
      </c>
      <c r="V30" s="77">
        <v>22</v>
      </c>
      <c r="AB30" s="27"/>
    </row>
    <row r="31" spans="2:28">
      <c r="B31" s="228" t="str">
        <v>Sylvia Green</v>
      </c>
      <c r="C31" s="107">
        <v>2022</v>
      </c>
      <c r="D31" s="229">
        <v>4656</v>
      </c>
      <c r="F31" s="27"/>
      <c r="G31" s="55"/>
      <c r="H31" s="103" t="str">
        <v>Threed</v>
      </c>
      <c r="I31" s="230" t="str">
        <v>July</v>
      </c>
      <c r="J31" s="104">
        <v>2.78</v>
      </c>
      <c r="R31" s="55"/>
      <c r="S31" s="101" t="str">
        <v>Rubik's cube</v>
      </c>
      <c r="T31" s="231" t="str">
        <v>Q4</v>
      </c>
      <c r="U31" s="231" t="str">
        <v>S</v>
      </c>
      <c r="V31" s="77">
        <v>62</v>
      </c>
      <c r="AB31" s="27"/>
    </row>
    <row r="32" spans="2:28">
      <c r="B32" s="228" t="str">
        <v>Deb Harlinson</v>
      </c>
      <c r="C32" s="107">
        <v>2020</v>
      </c>
      <c r="D32" s="229">
        <v>2500</v>
      </c>
      <c r="F32" s="27"/>
      <c r="G32" s="55"/>
      <c r="H32" s="103" t="str">
        <v>Threed</v>
      </c>
      <c r="I32" s="230" t="str">
        <v>Aug</v>
      </c>
      <c r="J32" s="104">
        <v>1.31</v>
      </c>
      <c r="R32" s="55"/>
      <c r="S32" s="101" t="str">
        <v>Rubik's cube</v>
      </c>
      <c r="T32" s="231" t="str">
        <v>Q1</v>
      </c>
      <c r="U32" s="231" t="str">
        <v>NE</v>
      </c>
      <c r="V32" s="77">
        <v>63</v>
      </c>
      <c r="AB32" s="27"/>
    </row>
    <row r="33" spans="2:28">
      <c r="B33" s="228" t="str">
        <v>Deb Harlinson</v>
      </c>
      <c r="C33" s="107">
        <v>2021</v>
      </c>
      <c r="D33" s="229">
        <v>2745</v>
      </c>
      <c r="F33" s="27"/>
      <c r="G33" s="55"/>
      <c r="H33" s="103" t="str">
        <v>Threed</v>
      </c>
      <c r="I33" s="230" t="str">
        <v>Sept</v>
      </c>
      <c r="J33" s="104">
        <v>3.98</v>
      </c>
      <c r="R33" s="55"/>
      <c r="S33" s="101" t="str">
        <v>Rubik's cube</v>
      </c>
      <c r="T33" s="231" t="str">
        <v>Q2</v>
      </c>
      <c r="U33" s="231" t="str">
        <v>SE</v>
      </c>
      <c r="V33" s="77">
        <v>70</v>
      </c>
      <c r="AB33" s="27"/>
    </row>
    <row r="34" spans="2:28">
      <c r="B34" s="228" t="str">
        <v>Deb Harlinson</v>
      </c>
      <c r="C34" s="107">
        <v>2022</v>
      </c>
      <c r="D34" s="229">
        <v>2893</v>
      </c>
      <c r="F34" s="27"/>
      <c r="G34" s="55"/>
      <c r="H34" s="103" t="str">
        <v>Fourside</v>
      </c>
      <c r="I34" s="230" t="str">
        <v>Apr</v>
      </c>
      <c r="J34" s="104">
        <v>2.1</v>
      </c>
      <c r="R34" s="55"/>
      <c r="S34" s="101" t="str">
        <v>Rubik's cube</v>
      </c>
      <c r="T34" s="231" t="str">
        <v>Q3</v>
      </c>
      <c r="U34" s="231" t="str">
        <v>SW</v>
      </c>
      <c r="V34" s="77">
        <v>92</v>
      </c>
      <c r="AB34" s="27"/>
    </row>
    <row r="35" spans="2:28">
      <c r="B35" s="55"/>
      <c r="F35" s="27"/>
      <c r="G35" s="55"/>
      <c r="H35" s="103" t="str">
        <v>Fourside</v>
      </c>
      <c r="I35" s="230" t="str">
        <v>Sept</v>
      </c>
      <c r="J35" s="104">
        <v>0.75</v>
      </c>
      <c r="R35" s="55"/>
      <c r="S35" s="101" t="str">
        <v>Rubik's cube</v>
      </c>
      <c r="T35" s="231" t="str">
        <v>Q4</v>
      </c>
      <c r="U35" s="231" t="str">
        <v>NW</v>
      </c>
      <c r="V35" s="77">
        <v>80</v>
      </c>
      <c r="AB35" s="27"/>
    </row>
    <row r="36" spans="2:28">
      <c r="B36" s="55"/>
      <c r="F36" s="27"/>
      <c r="G36" s="55"/>
      <c r="R36" s="55"/>
      <c r="S36" s="101" t="str">
        <v>Pet rock</v>
      </c>
      <c r="T36" s="231" t="str">
        <v>Q2</v>
      </c>
      <c r="U36" s="231" t="str">
        <v>W</v>
      </c>
      <c r="V36" s="77">
        <v>100</v>
      </c>
      <c r="AB36" s="27"/>
    </row>
    <row r="37" spans="2:28">
      <c r="B37" s="55"/>
      <c r="F37" s="27"/>
      <c r="G37" s="55"/>
      <c r="R37" s="55"/>
      <c r="AB37" s="27"/>
    </row>
    <row r="38" spans="2:28">
      <c r="B38" s="56"/>
      <c r="C38" s="43"/>
      <c r="D38" s="43"/>
      <c r="E38" s="43"/>
      <c r="F38" s="44"/>
      <c r="G38" s="56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56"/>
      <c r="S38" s="43"/>
      <c r="T38" s="43"/>
      <c r="U38" s="43"/>
      <c r="V38" s="43"/>
      <c r="W38" s="43"/>
      <c r="X38" s="43"/>
      <c r="Y38" s="43"/>
      <c r="Z38" s="43"/>
      <c r="AA38" s="43"/>
      <c r="AB38" s="44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A36D4-F6C5-4C09-91F2-61C344131B02}">
  <sheetPr codeName="Sheet10">
    <tabColor rgb="FFA0D6B4"/>
  </sheetPr>
  <dimension ref="B2:S35"/>
  <sheetViews>
    <sheetView workbookViewId="0"/>
  </sheetViews>
  <sheetFormatPr defaultRowHeight="16.5"/>
  <cols>
    <col min="1" max="1" width="5" customWidth="1"/>
    <col min="3" max="4" width="11" bestFit="1" customWidth="1"/>
    <col min="8" max="8" width="2" customWidth="1"/>
    <col min="9" max="9" width="10.6640625" customWidth="1"/>
    <col min="10" max="10" width="14.5" bestFit="1" customWidth="1"/>
    <col min="11" max="11" width="8.75" bestFit="1" customWidth="1"/>
    <col min="12" max="12" width="8.83203125" bestFit="1" customWidth="1"/>
    <col min="13" max="13" width="4.25" customWidth="1"/>
    <col min="15" max="15" width="14.5" bestFit="1" customWidth="1"/>
    <col min="19" max="19" width="6.25" customWidth="1"/>
  </cols>
  <sheetData>
    <row r="2" spans="2:19">
      <c r="B2" s="47" t="s">
        <v>288</v>
      </c>
      <c r="C2" s="41"/>
      <c r="D2" s="41"/>
      <c r="E2" s="41"/>
      <c r="F2" s="41"/>
      <c r="G2" s="41"/>
      <c r="H2" s="42"/>
      <c r="I2" s="57"/>
      <c r="J2" s="41"/>
      <c r="K2" s="41"/>
      <c r="L2" s="41"/>
      <c r="M2" s="41"/>
      <c r="N2" s="41"/>
      <c r="O2" s="41"/>
      <c r="P2" s="41"/>
      <c r="Q2" s="41"/>
      <c r="R2" s="41"/>
      <c r="S2" s="42"/>
    </row>
    <row r="3" spans="2:19">
      <c r="B3" s="181" t="s">
        <v>424</v>
      </c>
      <c r="H3" s="27"/>
      <c r="I3" s="55"/>
      <c r="J3" s="117" t="s">
        <v>320</v>
      </c>
      <c r="N3" s="25" t="s">
        <v>322</v>
      </c>
      <c r="O3" s="89"/>
      <c r="P3" s="89"/>
      <c r="Q3" s="89"/>
      <c r="S3" s="27"/>
    </row>
    <row r="4" spans="2:19">
      <c r="B4" s="177" t="s">
        <v>460</v>
      </c>
      <c r="H4" s="27"/>
      <c r="I4" s="55"/>
      <c r="N4" s="32" t="s">
        <v>315</v>
      </c>
      <c r="O4" s="89"/>
      <c r="P4" s="89"/>
      <c r="Q4" s="89"/>
      <c r="S4" s="27"/>
    </row>
    <row r="5" spans="2:19">
      <c r="B5" s="52" t="s">
        <v>292</v>
      </c>
      <c r="H5" s="27"/>
      <c r="I5" s="73" t="s">
        <v>281</v>
      </c>
      <c r="J5" s="74" t="s">
        <v>282</v>
      </c>
      <c r="K5" s="74" t="s">
        <v>303</v>
      </c>
      <c r="L5" s="74" t="s">
        <v>304</v>
      </c>
      <c r="N5" s="114" cm="1">
        <f t="array" ref="N5:Q12">Zipλ(ID,Items,Ordered,Available)</f>
        <v>1001</v>
      </c>
      <c r="O5" s="233" t="str">
        <v>Ham sandwich</v>
      </c>
      <c r="P5" s="235">
        <v>57</v>
      </c>
      <c r="Q5" s="236">
        <v>100</v>
      </c>
      <c r="S5" s="27"/>
    </row>
    <row r="6" spans="2:19">
      <c r="B6" s="177" t="s">
        <v>175</v>
      </c>
      <c r="H6" s="27"/>
      <c r="I6" s="114">
        <v>1001</v>
      </c>
      <c r="J6" s="180" t="s">
        <v>305</v>
      </c>
      <c r="K6" s="115">
        <v>57</v>
      </c>
      <c r="L6" s="116">
        <v>100</v>
      </c>
      <c r="N6" s="72">
        <v>1002</v>
      </c>
      <c r="O6" s="77" t="str">
        <v>Black coffee</v>
      </c>
      <c r="P6" s="77">
        <v>23</v>
      </c>
      <c r="Q6" s="77">
        <v>30</v>
      </c>
      <c r="S6" s="27"/>
    </row>
    <row r="7" spans="2:19">
      <c r="B7" s="52" t="s">
        <v>289</v>
      </c>
      <c r="H7" s="27"/>
      <c r="I7" s="114">
        <v>1002</v>
      </c>
      <c r="J7" s="180" t="s">
        <v>306</v>
      </c>
      <c r="K7" s="115">
        <v>23</v>
      </c>
      <c r="L7" s="116">
        <v>30</v>
      </c>
      <c r="N7" s="72">
        <v>1003</v>
      </c>
      <c r="O7" s="77" t="str">
        <v>Croissant</v>
      </c>
      <c r="P7" s="77">
        <v>89</v>
      </c>
      <c r="Q7" s="77">
        <v>50</v>
      </c>
      <c r="S7" s="27"/>
    </row>
    <row r="8" spans="2:19">
      <c r="B8" s="52" t="s">
        <v>290</v>
      </c>
      <c r="H8" s="27"/>
      <c r="I8" s="114">
        <v>1003</v>
      </c>
      <c r="J8" s="180" t="s">
        <v>307</v>
      </c>
      <c r="K8" s="115">
        <v>89</v>
      </c>
      <c r="L8" s="116">
        <v>50</v>
      </c>
      <c r="N8" s="72">
        <v>1004</v>
      </c>
      <c r="O8" s="77" t="str">
        <v>Orange Juice</v>
      </c>
      <c r="P8" s="77">
        <v>12</v>
      </c>
      <c r="Q8" s="77">
        <v>20</v>
      </c>
      <c r="S8" s="27"/>
    </row>
    <row r="9" spans="2:19">
      <c r="B9" s="52" t="s">
        <v>291</v>
      </c>
      <c r="H9" s="27"/>
      <c r="I9" s="114">
        <v>1004</v>
      </c>
      <c r="J9" s="180" t="s">
        <v>308</v>
      </c>
      <c r="K9" s="115">
        <v>12</v>
      </c>
      <c r="L9" s="116">
        <v>20</v>
      </c>
      <c r="N9" s="72">
        <v>1005</v>
      </c>
      <c r="O9" s="77" t="str">
        <v>Bacon and Eggs</v>
      </c>
      <c r="P9" s="77">
        <v>45</v>
      </c>
      <c r="Q9" s="77">
        <v>45</v>
      </c>
      <c r="S9" s="27"/>
    </row>
    <row r="10" spans="2:19">
      <c r="B10" s="52" t="s">
        <v>317</v>
      </c>
      <c r="H10" s="27"/>
      <c r="I10" s="114">
        <v>1005</v>
      </c>
      <c r="J10" s="180" t="s">
        <v>309</v>
      </c>
      <c r="K10" s="115">
        <v>45</v>
      </c>
      <c r="L10" s="116">
        <v>45</v>
      </c>
      <c r="N10" s="72">
        <v>1006</v>
      </c>
      <c r="O10" s="77" t="str">
        <v>Pancakes</v>
      </c>
      <c r="P10" s="77">
        <v>78</v>
      </c>
      <c r="Q10" s="77">
        <v>100</v>
      </c>
      <c r="S10" s="27"/>
    </row>
    <row r="11" spans="2:19">
      <c r="B11" s="40" t="s">
        <v>318</v>
      </c>
      <c r="H11" s="27"/>
      <c r="I11" s="114">
        <v>1006</v>
      </c>
      <c r="J11" s="180" t="s">
        <v>310</v>
      </c>
      <c r="K11" s="115">
        <v>78</v>
      </c>
      <c r="L11" s="116">
        <v>100</v>
      </c>
      <c r="N11" s="72">
        <v>1007</v>
      </c>
      <c r="O11" s="77" t="str">
        <v>Waffles</v>
      </c>
      <c r="P11" s="77">
        <v>34</v>
      </c>
      <c r="Q11" s="77">
        <v>125</v>
      </c>
      <c r="S11" s="27"/>
    </row>
    <row r="12" spans="2:19">
      <c r="B12" s="52" t="s">
        <v>319</v>
      </c>
      <c r="H12" s="27"/>
      <c r="I12" s="114">
        <v>1007</v>
      </c>
      <c r="J12" s="180" t="s">
        <v>311</v>
      </c>
      <c r="K12" s="115">
        <v>34</v>
      </c>
      <c r="L12" s="116">
        <v>125</v>
      </c>
      <c r="N12" s="72">
        <v>1008</v>
      </c>
      <c r="O12" s="77" t="str">
        <v>Eggs Benedict</v>
      </c>
      <c r="P12" s="77">
        <v>66</v>
      </c>
      <c r="Q12" s="77">
        <v>230</v>
      </c>
      <c r="S12" s="27"/>
    </row>
    <row r="13" spans="2:19">
      <c r="B13" s="56"/>
      <c r="C13" s="43"/>
      <c r="D13" s="43"/>
      <c r="E13" s="43"/>
      <c r="F13" s="43"/>
      <c r="G13" s="43"/>
      <c r="H13" s="44"/>
      <c r="I13" s="114">
        <v>1008</v>
      </c>
      <c r="J13" s="180" t="s">
        <v>312</v>
      </c>
      <c r="K13" s="115">
        <v>66</v>
      </c>
      <c r="L13" s="116">
        <v>230</v>
      </c>
      <c r="S13" s="27"/>
    </row>
    <row r="14" spans="2:19">
      <c r="B14" s="57"/>
      <c r="C14" s="37" t="s">
        <v>320</v>
      </c>
      <c r="D14" s="41"/>
      <c r="E14" s="41"/>
      <c r="F14" s="41"/>
      <c r="G14" s="41"/>
      <c r="H14" s="42"/>
      <c r="I14" s="114">
        <v>1009</v>
      </c>
      <c r="J14" s="180" t="s">
        <v>313</v>
      </c>
      <c r="K14" s="115">
        <v>29</v>
      </c>
      <c r="L14" s="74"/>
      <c r="S14" s="27"/>
    </row>
    <row r="15" spans="2:19">
      <c r="B15" s="55"/>
      <c r="D15" s="89"/>
      <c r="E15" s="208" t="s">
        <v>283</v>
      </c>
      <c r="F15" s="89"/>
      <c r="H15" s="27"/>
      <c r="I15" s="114">
        <v>1010</v>
      </c>
      <c r="J15" s="180" t="s">
        <v>314</v>
      </c>
      <c r="K15" s="115">
        <v>91</v>
      </c>
      <c r="L15" s="74"/>
      <c r="N15" s="25" t="s">
        <v>316</v>
      </c>
      <c r="S15" s="27"/>
    </row>
    <row r="16" spans="2:19">
      <c r="B16" s="207" t="s">
        <v>284</v>
      </c>
      <c r="D16" s="108" t="s">
        <v>285</v>
      </c>
      <c r="E16" s="109" t="s">
        <v>286</v>
      </c>
      <c r="F16" s="110" t="s">
        <v>287</v>
      </c>
      <c r="H16" s="27"/>
      <c r="I16" s="114">
        <v>1011</v>
      </c>
      <c r="J16" s="74"/>
      <c r="K16" s="115">
        <v>53</v>
      </c>
      <c r="L16" s="74"/>
      <c r="N16" s="32" t="s">
        <v>315</v>
      </c>
      <c r="S16" s="27"/>
    </row>
    <row r="17" spans="2:19">
      <c r="B17" s="106" t="s">
        <v>293</v>
      </c>
      <c r="H17" s="27"/>
      <c r="I17" s="114">
        <v>1012</v>
      </c>
      <c r="J17" s="74"/>
      <c r="K17" s="115">
        <v>18</v>
      </c>
      <c r="L17" s="74"/>
      <c r="N17" s="114" cm="1">
        <f t="array" ref="N17:Q33">Zipλ(ID,Items,Ordered,Available,TRUE,"-")</f>
        <v>1001</v>
      </c>
      <c r="O17" s="233" t="str">
        <v>Ham sandwich</v>
      </c>
      <c r="P17" s="234">
        <v>57</v>
      </c>
      <c r="Q17" s="116">
        <v>100</v>
      </c>
      <c r="S17" s="27"/>
    </row>
    <row r="18" spans="2:19">
      <c r="B18" s="106" t="s">
        <v>294</v>
      </c>
      <c r="D18" s="89"/>
      <c r="E18" s="208" t="s">
        <v>297</v>
      </c>
      <c r="F18" s="89"/>
      <c r="H18" s="27"/>
      <c r="I18" s="114">
        <v>1013</v>
      </c>
      <c r="J18" s="74"/>
      <c r="K18" s="115">
        <v>72</v>
      </c>
      <c r="L18" s="74"/>
      <c r="N18" s="72">
        <v>1002</v>
      </c>
      <c r="O18" s="77" t="str">
        <v>Black coffee</v>
      </c>
      <c r="P18" s="76">
        <v>23</v>
      </c>
      <c r="Q18" s="76">
        <v>30</v>
      </c>
      <c r="S18" s="27"/>
    </row>
    <row r="19" spans="2:19">
      <c r="B19" s="106" t="s">
        <v>295</v>
      </c>
      <c r="D19" s="111" t="s">
        <v>298</v>
      </c>
      <c r="E19" s="112" t="s">
        <v>299</v>
      </c>
      <c r="F19" s="113" t="s">
        <v>300</v>
      </c>
      <c r="H19" s="27"/>
      <c r="I19" s="114">
        <v>1014</v>
      </c>
      <c r="J19" s="74"/>
      <c r="K19" s="115">
        <v>37</v>
      </c>
      <c r="L19" s="74"/>
      <c r="N19" s="72">
        <v>1003</v>
      </c>
      <c r="O19" s="77" t="str">
        <v>Croissant</v>
      </c>
      <c r="P19" s="76">
        <v>89</v>
      </c>
      <c r="Q19" s="76">
        <v>50</v>
      </c>
      <c r="S19" s="27"/>
    </row>
    <row r="20" spans="2:19">
      <c r="B20" s="106" t="s">
        <v>296</v>
      </c>
      <c r="H20" s="27"/>
      <c r="I20" s="114">
        <v>1015</v>
      </c>
      <c r="J20" s="74"/>
      <c r="K20" s="115">
        <v>84</v>
      </c>
      <c r="L20" s="74"/>
      <c r="N20" s="72">
        <v>1004</v>
      </c>
      <c r="O20" s="77" t="str">
        <v>Orange Juice</v>
      </c>
      <c r="P20" s="76">
        <v>12</v>
      </c>
      <c r="Q20" s="76">
        <v>20</v>
      </c>
      <c r="S20" s="27"/>
    </row>
    <row r="21" spans="2:19">
      <c r="B21" s="55"/>
      <c r="H21" s="27"/>
      <c r="I21" s="114">
        <v>1016</v>
      </c>
      <c r="J21" s="74"/>
      <c r="K21" s="74"/>
      <c r="L21" s="74"/>
      <c r="N21" s="72">
        <v>1005</v>
      </c>
      <c r="O21" s="77" t="str">
        <v>Bacon and Eggs</v>
      </c>
      <c r="P21" s="76">
        <v>45</v>
      </c>
      <c r="Q21" s="76">
        <v>45</v>
      </c>
      <c r="S21" s="27"/>
    </row>
    <row r="22" spans="2:19">
      <c r="B22" s="55"/>
      <c r="H22" s="27"/>
      <c r="I22" s="114">
        <v>1017</v>
      </c>
      <c r="J22" s="74"/>
      <c r="K22" s="74"/>
      <c r="L22" s="74"/>
      <c r="N22" s="72">
        <v>1006</v>
      </c>
      <c r="O22" s="77" t="str">
        <v>Pancakes</v>
      </c>
      <c r="P22" s="76">
        <v>78</v>
      </c>
      <c r="Q22" s="76">
        <v>100</v>
      </c>
      <c r="S22" s="27"/>
    </row>
    <row r="23" spans="2:19">
      <c r="B23" s="17" t="s">
        <v>321</v>
      </c>
      <c r="H23" s="27"/>
      <c r="N23" s="72">
        <v>1007</v>
      </c>
      <c r="O23" s="77" t="str">
        <v>Waffles</v>
      </c>
      <c r="P23" s="76">
        <v>34</v>
      </c>
      <c r="Q23" s="76">
        <v>125</v>
      </c>
      <c r="S23" s="27"/>
    </row>
    <row r="24" spans="2:19">
      <c r="B24" s="59" t="s">
        <v>301</v>
      </c>
      <c r="H24" s="27"/>
      <c r="I24" s="55"/>
      <c r="N24" s="72">
        <v>1008</v>
      </c>
      <c r="O24" s="77" t="str">
        <v>Eggs Benedict</v>
      </c>
      <c r="P24" s="76">
        <v>66</v>
      </c>
      <c r="Q24" s="76">
        <v>230</v>
      </c>
      <c r="S24" s="27"/>
    </row>
    <row r="25" spans="2:19">
      <c r="B25" s="106" t="str" cm="1">
        <f t="array" ref="B25:D27">Zipλ(People,Places,Division)</f>
        <v>Tony</v>
      </c>
      <c r="C25" s="107" t="str">
        <v>San Antonio</v>
      </c>
      <c r="D25" s="232" t="str">
        <v>Atlantic</v>
      </c>
      <c r="H25" s="27"/>
      <c r="I25" s="55"/>
      <c r="N25" s="72">
        <v>1009</v>
      </c>
      <c r="O25" s="77" t="str">
        <v>Bacon</v>
      </c>
      <c r="P25" s="76">
        <v>29</v>
      </c>
      <c r="Q25" s="76" t="str">
        <v>-</v>
      </c>
      <c r="S25" s="27"/>
    </row>
    <row r="26" spans="2:19">
      <c r="B26" s="77" t="str">
        <v>Rita</v>
      </c>
      <c r="C26" s="77" t="str">
        <v>Cheyenne</v>
      </c>
      <c r="D26" s="77" t="str">
        <v>Pacific</v>
      </c>
      <c r="H26" s="27"/>
      <c r="I26" s="55"/>
      <c r="N26" s="72">
        <v>1010</v>
      </c>
      <c r="O26" s="77" t="str">
        <v>English muffin</v>
      </c>
      <c r="P26" s="76">
        <v>91</v>
      </c>
      <c r="Q26" s="76" t="str">
        <v>-</v>
      </c>
      <c r="S26" s="27"/>
    </row>
    <row r="27" spans="2:19">
      <c r="B27" s="77" t="str">
        <v>Carlos</v>
      </c>
      <c r="C27" s="77" t="str">
        <v>Nashville</v>
      </c>
      <c r="D27" s="77" t="str">
        <v>Midwest</v>
      </c>
      <c r="H27" s="27"/>
      <c r="I27" s="55"/>
      <c r="N27" s="72">
        <v>1011</v>
      </c>
      <c r="O27" s="72" t="str">
        <v>-</v>
      </c>
      <c r="P27" s="76">
        <v>53</v>
      </c>
      <c r="Q27" s="76" t="str">
        <v>-</v>
      </c>
      <c r="S27" s="27"/>
    </row>
    <row r="28" spans="2:19">
      <c r="B28" s="55"/>
      <c r="H28" s="27"/>
      <c r="I28" s="55"/>
      <c r="N28" s="72">
        <v>1012</v>
      </c>
      <c r="O28" s="72" t="str">
        <v>-</v>
      </c>
      <c r="P28" s="76">
        <v>18</v>
      </c>
      <c r="Q28" s="76" t="str">
        <v>-</v>
      </c>
      <c r="S28" s="27"/>
    </row>
    <row r="29" spans="2:19">
      <c r="B29" s="17" t="s">
        <v>459</v>
      </c>
      <c r="H29" s="27"/>
      <c r="I29" s="55"/>
      <c r="N29" s="72">
        <v>1013</v>
      </c>
      <c r="O29" s="72" t="str">
        <v>-</v>
      </c>
      <c r="P29" s="76">
        <v>72</v>
      </c>
      <c r="Q29" s="76" t="str">
        <v>-</v>
      </c>
      <c r="S29" s="27"/>
    </row>
    <row r="30" spans="2:19">
      <c r="B30" s="59" t="s">
        <v>302</v>
      </c>
      <c r="H30" s="27"/>
      <c r="I30" s="55"/>
      <c r="N30" s="72">
        <v>1014</v>
      </c>
      <c r="O30" s="72" t="str">
        <v>-</v>
      </c>
      <c r="P30" s="76">
        <v>37</v>
      </c>
      <c r="Q30" s="76" t="str">
        <v>-</v>
      </c>
      <c r="S30" s="27"/>
    </row>
    <row r="31" spans="2:19">
      <c r="B31" s="106" t="str" cm="1">
        <f t="array" ref="B31:D34">Zipλ(People,Places,Division,,TRUE,"Unknown")</f>
        <v>Tony</v>
      </c>
      <c r="C31" s="107" t="str">
        <v>San Antonio</v>
      </c>
      <c r="D31" s="232" t="str">
        <v>Atlantic</v>
      </c>
      <c r="H31" s="27"/>
      <c r="I31" s="55"/>
      <c r="N31" s="72">
        <v>1015</v>
      </c>
      <c r="O31" s="72" t="str">
        <v>-</v>
      </c>
      <c r="P31" s="76">
        <v>84</v>
      </c>
      <c r="Q31" s="76" t="str">
        <v>-</v>
      </c>
      <c r="S31" s="27"/>
    </row>
    <row r="32" spans="2:19">
      <c r="B32" s="77" t="str">
        <v>Rita</v>
      </c>
      <c r="C32" s="77" t="str">
        <v>Cheyenne</v>
      </c>
      <c r="D32" s="77" t="str">
        <v>Pacific</v>
      </c>
      <c r="H32" s="27"/>
      <c r="I32" s="55"/>
      <c r="N32" s="72">
        <v>1016</v>
      </c>
      <c r="O32" s="72" t="str">
        <v>-</v>
      </c>
      <c r="P32" s="76" t="str">
        <v>-</v>
      </c>
      <c r="Q32" s="76" t="str">
        <v>-</v>
      </c>
      <c r="S32" s="27"/>
    </row>
    <row r="33" spans="2:19">
      <c r="B33" s="77" t="str">
        <v>Carlos</v>
      </c>
      <c r="C33" s="77" t="str">
        <v>Nashville</v>
      </c>
      <c r="D33" s="77" t="str">
        <v>Midwest</v>
      </c>
      <c r="H33" s="27"/>
      <c r="I33" s="55"/>
      <c r="N33" s="72">
        <v>1017</v>
      </c>
      <c r="O33" s="72" t="str">
        <v>-</v>
      </c>
      <c r="P33" s="76" t="str">
        <v>-</v>
      </c>
      <c r="Q33" s="76" t="str">
        <v>-</v>
      </c>
      <c r="S33" s="27"/>
    </row>
    <row r="34" spans="2:19">
      <c r="B34" s="77" t="str">
        <v>Walt</v>
      </c>
      <c r="C34" s="77" t="str">
        <v>Unknown</v>
      </c>
      <c r="D34" s="77" t="str">
        <v>Unknown</v>
      </c>
      <c r="H34" s="27"/>
      <c r="I34" s="55"/>
      <c r="S34" s="27"/>
    </row>
    <row r="35" spans="2:19">
      <c r="B35" s="56"/>
      <c r="C35" s="43"/>
      <c r="D35" s="43"/>
      <c r="E35" s="43"/>
      <c r="F35" s="43"/>
      <c r="G35" s="43"/>
      <c r="H35" s="44"/>
      <c r="I35" s="56"/>
      <c r="J35" s="43"/>
      <c r="K35" s="43"/>
      <c r="L35" s="43"/>
      <c r="M35" s="43"/>
      <c r="N35" s="43"/>
      <c r="O35" s="43"/>
      <c r="P35" s="43"/>
      <c r="Q35" s="43"/>
      <c r="R35" s="43"/>
      <c r="S35" s="44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52C9-2D79-4E7A-83AB-F70913514EC9}">
  <sheetPr codeName="Sheet11">
    <tabColor rgb="FFA0D6B4"/>
  </sheetPr>
  <dimension ref="B2:AP31"/>
  <sheetViews>
    <sheetView workbookViewId="0"/>
  </sheetViews>
  <sheetFormatPr defaultRowHeight="16.5"/>
  <cols>
    <col min="1" max="1" width="5" customWidth="1"/>
    <col min="2" max="2" width="4.75" customWidth="1"/>
    <col min="3" max="7" width="4.5" bestFit="1" customWidth="1"/>
    <col min="8" max="9" width="3.9140625" bestFit="1" customWidth="1"/>
    <col min="10" max="10" width="4" bestFit="1" customWidth="1"/>
    <col min="11" max="13" width="3.9140625" bestFit="1" customWidth="1"/>
    <col min="14" max="14" width="5.4140625" customWidth="1"/>
    <col min="15" max="20" width="3.83203125" bestFit="1" customWidth="1"/>
    <col min="21" max="21" width="3.9140625" customWidth="1"/>
    <col min="22" max="22" width="5" customWidth="1"/>
    <col min="23" max="27" width="4.5" bestFit="1" customWidth="1"/>
    <col min="28" max="28" width="3.25" bestFit="1" customWidth="1"/>
    <col min="29" max="33" width="3.33203125" bestFit="1" customWidth="1"/>
    <col min="34" max="34" width="4.6640625" customWidth="1"/>
    <col min="35" max="35" width="4.25" customWidth="1"/>
    <col min="36" max="36" width="4.33203125" customWidth="1"/>
    <col min="37" max="37" width="4.25" bestFit="1" customWidth="1"/>
    <col min="38" max="40" width="3.83203125" bestFit="1" customWidth="1"/>
  </cols>
  <sheetData>
    <row r="2" spans="2:42">
      <c r="B2" s="160" t="s">
        <v>330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2"/>
    </row>
    <row r="3" spans="2:42">
      <c r="B3" s="40" t="s">
        <v>329</v>
      </c>
      <c r="AP3" s="27"/>
    </row>
    <row r="4" spans="2:42">
      <c r="B4" s="52" t="s">
        <v>323</v>
      </c>
      <c r="AP4" s="27"/>
    </row>
    <row r="5" spans="2:42">
      <c r="B5" s="52" t="s">
        <v>326</v>
      </c>
      <c r="AP5" s="27"/>
    </row>
    <row r="6" spans="2:42">
      <c r="B6" s="177" t="s">
        <v>175</v>
      </c>
      <c r="AP6" s="27"/>
    </row>
    <row r="7" spans="2:42">
      <c r="B7" s="52" t="s">
        <v>327</v>
      </c>
      <c r="AP7" s="27"/>
    </row>
    <row r="8" spans="2:42">
      <c r="B8" s="52" t="s">
        <v>324</v>
      </c>
      <c r="AP8" s="27"/>
    </row>
    <row r="9" spans="2:42">
      <c r="B9" s="56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4"/>
    </row>
    <row r="10" spans="2:42">
      <c r="B10" s="57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2"/>
      <c r="O10" s="57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2"/>
    </row>
    <row r="11" spans="2:42">
      <c r="B11" s="17" t="s">
        <v>325</v>
      </c>
      <c r="N11" s="27"/>
      <c r="O11" s="17" t="s">
        <v>331</v>
      </c>
      <c r="V11" s="25" t="s">
        <v>333</v>
      </c>
      <c r="AI11" s="25" t="s">
        <v>335</v>
      </c>
      <c r="AP11" s="27"/>
    </row>
    <row r="12" spans="2:42">
      <c r="B12" s="59" t="s">
        <v>396</v>
      </c>
      <c r="C12" s="119"/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27"/>
      <c r="O12" s="59" t="s">
        <v>461</v>
      </c>
      <c r="V12" s="32" t="s">
        <v>462</v>
      </c>
      <c r="AI12" s="32" t="s">
        <v>463</v>
      </c>
      <c r="AP12" s="27"/>
    </row>
    <row r="13" spans="2:42">
      <c r="B13" s="237" cm="1">
        <f t="array" ref="B13:M24">DGridλ(_xlfn.SEQUENCE(12,12))</f>
        <v>225</v>
      </c>
      <c r="C13" s="237">
        <v>219.28940686250036</v>
      </c>
      <c r="D13" s="237">
        <v>212.47119229084848</v>
      </c>
      <c r="E13" s="237">
        <v>204.44395478041653</v>
      </c>
      <c r="F13" s="237">
        <v>195.25511870305778</v>
      </c>
      <c r="G13" s="237">
        <v>185.19442890773479</v>
      </c>
      <c r="H13" s="238">
        <v>174.80557109226515</v>
      </c>
      <c r="I13" s="238">
        <v>164.74488129694225</v>
      </c>
      <c r="J13" s="238">
        <v>155.55604521958344</v>
      </c>
      <c r="K13" s="238">
        <v>147.52880770915152</v>
      </c>
      <c r="L13" s="238">
        <v>140.71059313749964</v>
      </c>
      <c r="M13" s="238">
        <v>135</v>
      </c>
      <c r="N13" s="27"/>
      <c r="O13" s="243" cm="1">
        <f t="array" ref="O13:T18">SliceByDegλ(_xlfn.ANCHORARRAY(B13),0,45)</f>
        <v>45</v>
      </c>
      <c r="P13" s="244" t="str">
        <v/>
      </c>
      <c r="Q13" s="244" t="str">
        <v/>
      </c>
      <c r="R13" s="244" t="str">
        <v/>
      </c>
      <c r="S13" s="244" t="str">
        <v/>
      </c>
      <c r="T13" s="244" t="str">
        <v/>
      </c>
      <c r="V13" s="245" cm="1">
        <f t="array" ref="V13:AA20">SliceByDegλ(_xlfn.ANCHORARRAY(B13),250)</f>
        <v>254.74488129694222</v>
      </c>
      <c r="W13" s="245">
        <v>251.56505117707798</v>
      </c>
      <c r="X13" s="244" t="str">
        <v/>
      </c>
      <c r="Y13" s="244" t="str">
        <v/>
      </c>
      <c r="Z13" s="244" t="str">
        <v/>
      </c>
      <c r="AA13" s="244" t="str">
        <v/>
      </c>
      <c r="AI13" s="249" cm="1">
        <f t="array" ref="AI13:AN24">SliceByDegλ(_xlfn.ANCHORARRAY(B13),225,315,"-")</f>
        <v>225</v>
      </c>
      <c r="AJ13" s="244" t="str">
        <v>-</v>
      </c>
      <c r="AK13" s="244" t="str">
        <v>-</v>
      </c>
      <c r="AL13" s="244" t="str">
        <v>-</v>
      </c>
      <c r="AM13" s="244" t="str">
        <v>-</v>
      </c>
      <c r="AN13" s="244" t="str">
        <v>-</v>
      </c>
      <c r="AP13" s="27"/>
    </row>
    <row r="14" spans="2:42">
      <c r="B14" s="237">
        <v>230.71059313749964</v>
      </c>
      <c r="C14" s="237">
        <v>225</v>
      </c>
      <c r="D14" s="237">
        <v>217.8749836510982</v>
      </c>
      <c r="E14" s="237">
        <v>209.05460409907715</v>
      </c>
      <c r="F14" s="237">
        <v>198.434948822922</v>
      </c>
      <c r="G14" s="237">
        <v>186.34019174590989</v>
      </c>
      <c r="H14" s="238">
        <v>173.65980825409008</v>
      </c>
      <c r="I14" s="238">
        <v>161.56505117707798</v>
      </c>
      <c r="J14" s="238">
        <v>150.94539590092285</v>
      </c>
      <c r="K14" s="238">
        <v>142.1250163489018</v>
      </c>
      <c r="L14" s="238">
        <v>135</v>
      </c>
      <c r="M14" s="238">
        <v>129.28940686250036</v>
      </c>
      <c r="N14" s="27"/>
      <c r="O14" s="243">
        <v>18.434948822922024</v>
      </c>
      <c r="P14" s="243">
        <v>45</v>
      </c>
      <c r="Q14" s="244" t="str">
        <v/>
      </c>
      <c r="R14" s="244" t="str">
        <v/>
      </c>
      <c r="S14" s="244" t="str">
        <v/>
      </c>
      <c r="T14" s="244" t="str">
        <v/>
      </c>
      <c r="V14" s="245">
        <v>264.80557109226521</v>
      </c>
      <c r="W14" s="245">
        <v>263.65980825409008</v>
      </c>
      <c r="X14" s="245">
        <v>261.86989764584405</v>
      </c>
      <c r="Y14" s="245">
        <v>258.69006752597977</v>
      </c>
      <c r="Z14" s="245">
        <v>251.56505117707798</v>
      </c>
      <c r="AA14" s="244" t="str">
        <v/>
      </c>
      <c r="AI14" s="249">
        <v>230.71059313749964</v>
      </c>
      <c r="AJ14" s="249">
        <v>225</v>
      </c>
      <c r="AK14" s="244" t="str">
        <v>-</v>
      </c>
      <c r="AL14" s="244" t="str">
        <v>-</v>
      </c>
      <c r="AM14" s="244" t="str">
        <v>-</v>
      </c>
      <c r="AN14" s="244" t="str">
        <v>-</v>
      </c>
      <c r="AP14" s="27"/>
    </row>
    <row r="15" spans="2:42">
      <c r="B15" s="237">
        <v>237.52880770915152</v>
      </c>
      <c r="C15" s="237">
        <v>232.1250163489018</v>
      </c>
      <c r="D15" s="237">
        <v>225</v>
      </c>
      <c r="E15" s="237">
        <v>215.53767779197437</v>
      </c>
      <c r="F15" s="237">
        <v>203.19859051364818</v>
      </c>
      <c r="G15" s="237">
        <v>188.13010235415598</v>
      </c>
      <c r="H15" s="238">
        <v>171.86989764584405</v>
      </c>
      <c r="I15" s="238">
        <v>156.80140948635176</v>
      </c>
      <c r="J15" s="238">
        <v>144.46232220802563</v>
      </c>
      <c r="K15" s="238">
        <v>135</v>
      </c>
      <c r="L15" s="238">
        <v>127.8749836510982</v>
      </c>
      <c r="M15" s="238">
        <v>122.47119229084848</v>
      </c>
      <c r="N15" s="27"/>
      <c r="O15" s="243">
        <v>11.309932474020229</v>
      </c>
      <c r="P15" s="243">
        <v>30.963756532073546</v>
      </c>
      <c r="Q15" s="243">
        <v>45</v>
      </c>
      <c r="R15" s="244" t="str">
        <v/>
      </c>
      <c r="S15" s="244" t="str">
        <v/>
      </c>
      <c r="T15" s="244" t="str">
        <v/>
      </c>
      <c r="V15" s="246">
        <v>275.19442890773479</v>
      </c>
      <c r="W15" s="246">
        <v>276.34019174590992</v>
      </c>
      <c r="X15" s="246">
        <v>278.13010235415595</v>
      </c>
      <c r="Y15" s="246">
        <v>281.30993247402023</v>
      </c>
      <c r="Z15" s="246">
        <v>288.43494882292202</v>
      </c>
      <c r="AA15" s="246">
        <v>315</v>
      </c>
      <c r="AI15" s="249">
        <v>237.52880770915152</v>
      </c>
      <c r="AJ15" s="249">
        <v>232.1250163489018</v>
      </c>
      <c r="AK15" s="249">
        <v>225</v>
      </c>
      <c r="AL15" s="244" t="str">
        <v>-</v>
      </c>
      <c r="AM15" s="244" t="str">
        <v>-</v>
      </c>
      <c r="AN15" s="244" t="str">
        <v>-</v>
      </c>
      <c r="AP15" s="27"/>
    </row>
    <row r="16" spans="2:42">
      <c r="B16" s="237">
        <v>245.55604521958347</v>
      </c>
      <c r="C16" s="237">
        <v>240.94539590092285</v>
      </c>
      <c r="D16" s="237">
        <v>234.46232220802563</v>
      </c>
      <c r="E16" s="237">
        <v>225</v>
      </c>
      <c r="F16" s="237">
        <v>210.96375653207352</v>
      </c>
      <c r="G16" s="237">
        <v>191.30993247402023</v>
      </c>
      <c r="H16" s="238">
        <v>168.69006752597977</v>
      </c>
      <c r="I16" s="238">
        <v>149.03624346792651</v>
      </c>
      <c r="J16" s="238">
        <v>135</v>
      </c>
      <c r="K16" s="238">
        <v>125.53767779197437</v>
      </c>
      <c r="L16" s="238">
        <v>119.05460409907715</v>
      </c>
      <c r="M16" s="238">
        <v>114.44395478041656</v>
      </c>
      <c r="N16" s="27"/>
      <c r="O16" s="243">
        <v>8.1301023541559516</v>
      </c>
      <c r="P16" s="243">
        <v>23.198590513648185</v>
      </c>
      <c r="Q16" s="243">
        <v>35.537677791974374</v>
      </c>
      <c r="R16" s="243">
        <v>45</v>
      </c>
      <c r="S16" s="244" t="str">
        <v/>
      </c>
      <c r="T16" s="244" t="str">
        <v/>
      </c>
      <c r="V16" s="246">
        <v>285.25511870305775</v>
      </c>
      <c r="W16" s="246">
        <v>288.43494882292202</v>
      </c>
      <c r="X16" s="246">
        <v>293.19859051364818</v>
      </c>
      <c r="Y16" s="246">
        <v>300.96375653207349</v>
      </c>
      <c r="Z16" s="246">
        <v>315</v>
      </c>
      <c r="AA16" s="246">
        <v>341.56505117707798</v>
      </c>
      <c r="AI16" s="249">
        <v>245.55604521958347</v>
      </c>
      <c r="AJ16" s="249">
        <v>240.94539590092285</v>
      </c>
      <c r="AK16" s="249">
        <v>234.46232220802563</v>
      </c>
      <c r="AL16" s="249">
        <v>225</v>
      </c>
      <c r="AM16" s="244" t="str">
        <v>-</v>
      </c>
      <c r="AN16" s="244" t="str">
        <v>-</v>
      </c>
      <c r="AP16" s="27"/>
    </row>
    <row r="17" spans="2:42">
      <c r="B17" s="237">
        <v>254.74488129694222</v>
      </c>
      <c r="C17" s="237">
        <v>251.56505117707798</v>
      </c>
      <c r="D17" s="237">
        <v>246.80140948635182</v>
      </c>
      <c r="E17" s="237">
        <v>239.03624346792648</v>
      </c>
      <c r="F17" s="237">
        <v>225</v>
      </c>
      <c r="G17" s="237">
        <v>198.434948822922</v>
      </c>
      <c r="H17" s="238">
        <v>161.56505117707798</v>
      </c>
      <c r="I17" s="238">
        <v>135</v>
      </c>
      <c r="J17" s="238">
        <v>120.96375653207349</v>
      </c>
      <c r="K17" s="238">
        <v>113.19859051364818</v>
      </c>
      <c r="L17" s="238">
        <v>108.43494882292202</v>
      </c>
      <c r="M17" s="238">
        <v>105.25511870305775</v>
      </c>
      <c r="N17" s="27"/>
      <c r="O17" s="243">
        <v>6.3401917459099195</v>
      </c>
      <c r="P17" s="243">
        <v>18.434948822922024</v>
      </c>
      <c r="Q17" s="243">
        <v>29.054604099077153</v>
      </c>
      <c r="R17" s="243">
        <v>37.874983651098205</v>
      </c>
      <c r="S17" s="243">
        <v>45</v>
      </c>
      <c r="T17" s="244" t="str">
        <v/>
      </c>
      <c r="V17" s="246">
        <v>294.44395478041656</v>
      </c>
      <c r="W17" s="246">
        <v>299.05460409907715</v>
      </c>
      <c r="X17" s="246">
        <v>305.53767779197437</v>
      </c>
      <c r="Y17" s="246">
        <v>315</v>
      </c>
      <c r="Z17" s="246">
        <v>329.03624346792645</v>
      </c>
      <c r="AA17" s="246">
        <v>348.69006752597977</v>
      </c>
      <c r="AI17" s="249">
        <v>254.74488129694222</v>
      </c>
      <c r="AJ17" s="249">
        <v>251.56505117707798</v>
      </c>
      <c r="AK17" s="249">
        <v>246.80140948635182</v>
      </c>
      <c r="AL17" s="249">
        <v>239.03624346792648</v>
      </c>
      <c r="AM17" s="249">
        <v>225</v>
      </c>
      <c r="AN17" s="244" t="str">
        <v>-</v>
      </c>
      <c r="AP17" s="27"/>
    </row>
    <row r="18" spans="2:42">
      <c r="B18" s="237">
        <v>264.80557109226521</v>
      </c>
      <c r="C18" s="237">
        <v>263.65980825409008</v>
      </c>
      <c r="D18" s="237">
        <v>261.86989764584405</v>
      </c>
      <c r="E18" s="237">
        <v>258.69006752597977</v>
      </c>
      <c r="F18" s="237">
        <v>251.56505117707798</v>
      </c>
      <c r="G18" s="237">
        <v>225</v>
      </c>
      <c r="H18" s="238">
        <v>135</v>
      </c>
      <c r="I18" s="238">
        <v>108.43494882292202</v>
      </c>
      <c r="J18" s="238">
        <v>101.30993247402023</v>
      </c>
      <c r="K18" s="238">
        <v>98.130102354155952</v>
      </c>
      <c r="L18" s="238">
        <v>96.34019174590992</v>
      </c>
      <c r="M18" s="238">
        <v>95.194428907734789</v>
      </c>
      <c r="N18" s="27"/>
      <c r="O18" s="243">
        <v>5.1944289077347889</v>
      </c>
      <c r="P18" s="243">
        <v>15.255118703057747</v>
      </c>
      <c r="Q18" s="243">
        <v>24.443954780416561</v>
      </c>
      <c r="R18" s="243">
        <v>32.471192290848478</v>
      </c>
      <c r="S18" s="243">
        <v>39.289406862500357</v>
      </c>
      <c r="T18" s="243">
        <v>45</v>
      </c>
      <c r="V18" s="246">
        <v>302.47119229084848</v>
      </c>
      <c r="W18" s="246">
        <v>307.8749836510982</v>
      </c>
      <c r="X18" s="246">
        <v>315</v>
      </c>
      <c r="Y18" s="246">
        <v>324.46232220802563</v>
      </c>
      <c r="Z18" s="246">
        <v>336.80140948635182</v>
      </c>
      <c r="AA18" s="246">
        <v>351.86989764584405</v>
      </c>
      <c r="AI18" s="249">
        <v>264.80557109226521</v>
      </c>
      <c r="AJ18" s="249">
        <v>263.65980825409008</v>
      </c>
      <c r="AK18" s="249">
        <v>261.86989764584405</v>
      </c>
      <c r="AL18" s="249">
        <v>258.69006752597977</v>
      </c>
      <c r="AM18" s="249">
        <v>251.56505117707798</v>
      </c>
      <c r="AN18" s="249">
        <v>225</v>
      </c>
      <c r="AP18" s="27"/>
    </row>
    <row r="19" spans="2:42">
      <c r="B19" s="239">
        <v>275.19442890773479</v>
      </c>
      <c r="C19" s="239">
        <v>276.34019174590992</v>
      </c>
      <c r="D19" s="239">
        <v>278.13010235415595</v>
      </c>
      <c r="E19" s="239">
        <v>281.30993247402023</v>
      </c>
      <c r="F19" s="239">
        <v>288.43494882292202</v>
      </c>
      <c r="G19" s="239">
        <v>315</v>
      </c>
      <c r="H19" s="240">
        <v>45</v>
      </c>
      <c r="I19" s="240">
        <v>71.565051177077976</v>
      </c>
      <c r="J19" s="240">
        <v>78.690067525979771</v>
      </c>
      <c r="K19" s="240">
        <v>81.869897645844048</v>
      </c>
      <c r="L19" s="240">
        <v>83.65980825409008</v>
      </c>
      <c r="M19" s="240">
        <v>84.805571092265211</v>
      </c>
      <c r="N19" s="27"/>
      <c r="O19" s="55"/>
      <c r="V19" s="246">
        <v>309.28940686250036</v>
      </c>
      <c r="W19" s="246">
        <v>315</v>
      </c>
      <c r="X19" s="246">
        <v>322.1250163489018</v>
      </c>
      <c r="Y19" s="246">
        <v>330.94539590092285</v>
      </c>
      <c r="Z19" s="246">
        <v>341.56505117707798</v>
      </c>
      <c r="AA19" s="246">
        <v>353.65980825409008</v>
      </c>
      <c r="AI19" s="246">
        <v>275.19442890773479</v>
      </c>
      <c r="AJ19" s="246">
        <v>276.34019174590992</v>
      </c>
      <c r="AK19" s="246">
        <v>278.13010235415595</v>
      </c>
      <c r="AL19" s="246">
        <v>281.30993247402023</v>
      </c>
      <c r="AM19" s="246">
        <v>288.43494882292202</v>
      </c>
      <c r="AN19" s="246">
        <v>315</v>
      </c>
      <c r="AP19" s="27"/>
    </row>
    <row r="20" spans="2:42">
      <c r="B20" s="239">
        <v>285.25511870305775</v>
      </c>
      <c r="C20" s="239">
        <v>288.43494882292202</v>
      </c>
      <c r="D20" s="239">
        <v>293.19859051364818</v>
      </c>
      <c r="E20" s="239">
        <v>300.96375653207349</v>
      </c>
      <c r="F20" s="239">
        <v>315</v>
      </c>
      <c r="G20" s="239">
        <v>341.56505117707798</v>
      </c>
      <c r="H20" s="240">
        <v>18.434948822922024</v>
      </c>
      <c r="I20" s="240">
        <v>45</v>
      </c>
      <c r="J20" s="240">
        <v>59.036243467926511</v>
      </c>
      <c r="K20" s="240">
        <v>66.801409486351815</v>
      </c>
      <c r="L20" s="240">
        <v>71.565051177077976</v>
      </c>
      <c r="M20" s="240">
        <v>74.744881296942253</v>
      </c>
      <c r="N20" s="27"/>
      <c r="V20" s="246">
        <v>315</v>
      </c>
      <c r="W20" s="246">
        <v>320.71059313749964</v>
      </c>
      <c r="X20" s="246">
        <v>327.52880770915152</v>
      </c>
      <c r="Y20" s="246">
        <v>335.55604521958344</v>
      </c>
      <c r="Z20" s="246">
        <v>344.74488129694225</v>
      </c>
      <c r="AA20" s="246">
        <v>354.80557109226521</v>
      </c>
      <c r="AI20" s="246">
        <v>285.25511870305775</v>
      </c>
      <c r="AJ20" s="246">
        <v>288.43494882292202</v>
      </c>
      <c r="AK20" s="246">
        <v>293.19859051364818</v>
      </c>
      <c r="AL20" s="246">
        <v>300.96375653207349</v>
      </c>
      <c r="AM20" s="246">
        <v>315</v>
      </c>
      <c r="AN20" s="244" t="str">
        <v>-</v>
      </c>
      <c r="AP20" s="27"/>
    </row>
    <row r="21" spans="2:42">
      <c r="B21" s="239">
        <v>294.44395478041656</v>
      </c>
      <c r="C21" s="239">
        <v>299.05460409907715</v>
      </c>
      <c r="D21" s="239">
        <v>305.53767779197437</v>
      </c>
      <c r="E21" s="239">
        <v>315</v>
      </c>
      <c r="F21" s="239">
        <v>329.03624346792645</v>
      </c>
      <c r="G21" s="239">
        <v>348.69006752597977</v>
      </c>
      <c r="H21" s="240">
        <v>11.309932474020229</v>
      </c>
      <c r="I21" s="240">
        <v>30.963756532073546</v>
      </c>
      <c r="J21" s="240">
        <v>45</v>
      </c>
      <c r="K21" s="241">
        <v>54.462322208025626</v>
      </c>
      <c r="L21" s="240">
        <v>60.945395900922847</v>
      </c>
      <c r="M21" s="240">
        <v>65.556045219583439</v>
      </c>
      <c r="N21" s="27"/>
      <c r="AI21" s="246">
        <v>294.44395478041656</v>
      </c>
      <c r="AJ21" s="246">
        <v>299.05460409907715</v>
      </c>
      <c r="AK21" s="246">
        <v>305.53767779197437</v>
      </c>
      <c r="AL21" s="246">
        <v>315</v>
      </c>
      <c r="AM21" s="244" t="str">
        <v>-</v>
      </c>
      <c r="AN21" s="244" t="str">
        <v>-</v>
      </c>
      <c r="AP21" s="27"/>
    </row>
    <row r="22" spans="2:42">
      <c r="B22" s="239">
        <v>302.47119229084848</v>
      </c>
      <c r="C22" s="239">
        <v>307.8749836510982</v>
      </c>
      <c r="D22" s="239">
        <v>315</v>
      </c>
      <c r="E22" s="239">
        <v>324.46232220802563</v>
      </c>
      <c r="F22" s="239">
        <v>336.80140948635182</v>
      </c>
      <c r="G22" s="239">
        <v>351.86989764584405</v>
      </c>
      <c r="H22" s="240">
        <v>8.1301023541559516</v>
      </c>
      <c r="I22" s="240">
        <v>23.198590513648185</v>
      </c>
      <c r="J22" s="240">
        <v>35.537677791974374</v>
      </c>
      <c r="K22" s="240">
        <v>45</v>
      </c>
      <c r="L22" s="240">
        <v>52.125016348901795</v>
      </c>
      <c r="M22" s="240">
        <v>57.528807709151522</v>
      </c>
      <c r="N22" s="27"/>
      <c r="O22" s="17" t="s">
        <v>332</v>
      </c>
      <c r="V22" s="25" t="s">
        <v>334</v>
      </c>
      <c r="AI22" s="246">
        <v>302.47119229084848</v>
      </c>
      <c r="AJ22" s="246">
        <v>307.8749836510982</v>
      </c>
      <c r="AK22" s="246">
        <v>315</v>
      </c>
      <c r="AL22" s="244" t="str">
        <v>-</v>
      </c>
      <c r="AM22" s="244" t="str">
        <v>-</v>
      </c>
      <c r="AN22" s="244" t="str">
        <v>-</v>
      </c>
      <c r="AP22" s="27"/>
    </row>
    <row r="23" spans="2:42">
      <c r="B23" s="239">
        <v>309.28940686250036</v>
      </c>
      <c r="C23" s="239">
        <v>315</v>
      </c>
      <c r="D23" s="239">
        <v>322.1250163489018</v>
      </c>
      <c r="E23" s="239">
        <v>330.94539590092285</v>
      </c>
      <c r="F23" s="239">
        <v>341.56505117707798</v>
      </c>
      <c r="G23" s="239">
        <v>353.65980825409008</v>
      </c>
      <c r="H23" s="240">
        <v>6.3401917459099195</v>
      </c>
      <c r="I23" s="240">
        <v>18.434948822922024</v>
      </c>
      <c r="J23" s="240">
        <v>29.054604099077153</v>
      </c>
      <c r="K23" s="240">
        <v>37.874983651098205</v>
      </c>
      <c r="L23" s="240">
        <v>45</v>
      </c>
      <c r="M23" s="240">
        <v>50.710593137499643</v>
      </c>
      <c r="N23" s="27"/>
      <c r="O23" s="59" t="s">
        <v>464</v>
      </c>
      <c r="V23" s="32" t="s">
        <v>465</v>
      </c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I23" s="246">
        <v>309.28940686250036</v>
      </c>
      <c r="AJ23" s="246">
        <v>315</v>
      </c>
      <c r="AK23" s="244" t="str">
        <v>-</v>
      </c>
      <c r="AL23" s="244" t="str">
        <v>-</v>
      </c>
      <c r="AM23" s="244" t="str">
        <v>-</v>
      </c>
      <c r="AN23" s="244" t="str">
        <v>-</v>
      </c>
      <c r="AP23" s="27"/>
    </row>
    <row r="24" spans="2:42">
      <c r="B24" s="242">
        <v>315</v>
      </c>
      <c r="C24" s="242">
        <v>320.71059313749964</v>
      </c>
      <c r="D24" s="242">
        <v>327.52880770915152</v>
      </c>
      <c r="E24" s="242">
        <v>335.55604521958344</v>
      </c>
      <c r="F24" s="242">
        <v>344.74488129694225</v>
      </c>
      <c r="G24" s="242">
        <v>354.80557109226521</v>
      </c>
      <c r="H24" s="101">
        <v>5.1944289077347889</v>
      </c>
      <c r="I24" s="101">
        <v>15.255118703057747</v>
      </c>
      <c r="J24" s="101">
        <v>24.443954780416561</v>
      </c>
      <c r="K24" s="101">
        <v>32.471192290848478</v>
      </c>
      <c r="L24" s="101">
        <v>39.289406862500357</v>
      </c>
      <c r="M24" s="101">
        <v>45</v>
      </c>
      <c r="N24" s="27"/>
      <c r="O24" s="247" cm="1">
        <f t="array" ref="O24:T29">SliceByDegλ(_xlfn.ANCHORARRAY(B13),90,180)</f>
        <v>174.80557109226515</v>
      </c>
      <c r="P24" s="247">
        <v>164.74488129694225</v>
      </c>
      <c r="Q24" s="247">
        <v>155.55604521958344</v>
      </c>
      <c r="R24" s="247">
        <v>147.52880770915152</v>
      </c>
      <c r="S24" s="247">
        <v>140.71059313749964</v>
      </c>
      <c r="T24" s="247">
        <v>135</v>
      </c>
      <c r="V24" s="246" cm="1">
        <f t="array" ref="V24:AG29">SliceByDegλ(_xlfn.ANCHORARRAY(B13),270,90,"-")</f>
        <v>275.19442890773479</v>
      </c>
      <c r="W24" s="246">
        <v>276.34019174590992</v>
      </c>
      <c r="X24" s="246">
        <v>278.13010235415595</v>
      </c>
      <c r="Y24" s="246">
        <v>281.30993247402023</v>
      </c>
      <c r="Z24" s="246">
        <v>288.43494882292202</v>
      </c>
      <c r="AA24" s="246">
        <v>315</v>
      </c>
      <c r="AB24" s="243">
        <v>45</v>
      </c>
      <c r="AC24" s="243">
        <v>71.565051177077976</v>
      </c>
      <c r="AD24" s="243">
        <v>78.690067525979771</v>
      </c>
      <c r="AE24" s="243">
        <v>81.869897645844048</v>
      </c>
      <c r="AF24" s="243">
        <v>83.65980825409008</v>
      </c>
      <c r="AG24" s="243">
        <v>84.805571092265211</v>
      </c>
      <c r="AI24" s="246">
        <v>315</v>
      </c>
      <c r="AJ24" s="244" t="str">
        <v>-</v>
      </c>
      <c r="AK24" s="244" t="str">
        <v>-</v>
      </c>
      <c r="AL24" s="244" t="str">
        <v>-</v>
      </c>
      <c r="AM24" s="244" t="str">
        <v>-</v>
      </c>
      <c r="AN24" s="244" t="str">
        <v>-</v>
      </c>
      <c r="AP24" s="27"/>
    </row>
    <row r="25" spans="2:42">
      <c r="B25" s="55"/>
      <c r="N25" s="27"/>
      <c r="O25" s="247">
        <v>173.65980825409008</v>
      </c>
      <c r="P25" s="247">
        <v>161.56505117707798</v>
      </c>
      <c r="Q25" s="247">
        <v>150.94539590092285</v>
      </c>
      <c r="R25" s="247">
        <v>142.1250163489018</v>
      </c>
      <c r="S25" s="247">
        <v>135</v>
      </c>
      <c r="T25" s="247">
        <v>129.28940686250036</v>
      </c>
      <c r="V25" s="246">
        <v>285.25511870305775</v>
      </c>
      <c r="W25" s="246">
        <v>288.43494882292202</v>
      </c>
      <c r="X25" s="246">
        <v>293.19859051364818</v>
      </c>
      <c r="Y25" s="246">
        <v>300.96375653207349</v>
      </c>
      <c r="Z25" s="246">
        <v>315</v>
      </c>
      <c r="AA25" s="246">
        <v>341.56505117707798</v>
      </c>
      <c r="AB25" s="243">
        <v>18.434948822922024</v>
      </c>
      <c r="AC25" s="243">
        <v>45</v>
      </c>
      <c r="AD25" s="243">
        <v>59.036243467926511</v>
      </c>
      <c r="AE25" s="243">
        <v>66.801409486351815</v>
      </c>
      <c r="AF25" s="243">
        <v>71.565051177077976</v>
      </c>
      <c r="AG25" s="243">
        <v>74.744881296942253</v>
      </c>
      <c r="AP25" s="27"/>
    </row>
    <row r="26" spans="2:42">
      <c r="B26" s="55"/>
      <c r="N26" s="27"/>
      <c r="O26" s="247">
        <v>171.86989764584405</v>
      </c>
      <c r="P26" s="247">
        <v>156.80140948635176</v>
      </c>
      <c r="Q26" s="247">
        <v>144.46232220802563</v>
      </c>
      <c r="R26" s="247">
        <v>135</v>
      </c>
      <c r="S26" s="247">
        <v>127.8749836510982</v>
      </c>
      <c r="T26" s="247">
        <v>122.47119229084848</v>
      </c>
      <c r="V26" s="246">
        <v>294.44395478041656</v>
      </c>
      <c r="W26" s="246">
        <v>299.05460409907715</v>
      </c>
      <c r="X26" s="246">
        <v>305.53767779197437</v>
      </c>
      <c r="Y26" s="246">
        <v>315</v>
      </c>
      <c r="Z26" s="246">
        <v>329.03624346792645</v>
      </c>
      <c r="AA26" s="246">
        <v>348.69006752597977</v>
      </c>
      <c r="AB26" s="243">
        <v>11.309932474020229</v>
      </c>
      <c r="AC26" s="243">
        <v>30.963756532073546</v>
      </c>
      <c r="AD26" s="243">
        <v>45</v>
      </c>
      <c r="AE26" s="243">
        <v>54.462322208025626</v>
      </c>
      <c r="AF26" s="243">
        <v>60.945395900922847</v>
      </c>
      <c r="AG26" s="243">
        <v>65.556045219583439</v>
      </c>
      <c r="AP26" s="27"/>
    </row>
    <row r="27" spans="2:42">
      <c r="B27" s="55"/>
      <c r="C27" s="100" t="s">
        <v>328</v>
      </c>
      <c r="N27" s="27"/>
      <c r="O27" s="247">
        <v>168.69006752597977</v>
      </c>
      <c r="P27" s="247">
        <v>149.03624346792651</v>
      </c>
      <c r="Q27" s="247">
        <v>135</v>
      </c>
      <c r="R27" s="247">
        <v>125.53767779197437</v>
      </c>
      <c r="S27" s="247">
        <v>119.05460409907715</v>
      </c>
      <c r="T27" s="247">
        <v>114.44395478041656</v>
      </c>
      <c r="V27" s="246">
        <v>302.47119229084848</v>
      </c>
      <c r="W27" s="246">
        <v>307.8749836510982</v>
      </c>
      <c r="X27" s="246">
        <v>315</v>
      </c>
      <c r="Y27" s="246">
        <v>324.46232220802563</v>
      </c>
      <c r="Z27" s="246">
        <v>336.80140948635182</v>
      </c>
      <c r="AA27" s="246">
        <v>351.86989764584405</v>
      </c>
      <c r="AB27" s="243">
        <v>8.1301023541559516</v>
      </c>
      <c r="AC27" s="243">
        <v>23.198590513648185</v>
      </c>
      <c r="AD27" s="243">
        <v>35.537677791974374</v>
      </c>
      <c r="AE27" s="243">
        <v>45</v>
      </c>
      <c r="AF27" s="243">
        <v>52.125016348901795</v>
      </c>
      <c r="AG27" s="243">
        <v>57.528807709151522</v>
      </c>
      <c r="AP27" s="27"/>
    </row>
    <row r="28" spans="2:42">
      <c r="B28" s="55"/>
      <c r="N28" s="27"/>
      <c r="O28" s="247">
        <v>161.56505117707798</v>
      </c>
      <c r="P28" s="247">
        <v>135</v>
      </c>
      <c r="Q28" s="247">
        <v>120.96375653207349</v>
      </c>
      <c r="R28" s="247">
        <v>113.19859051364818</v>
      </c>
      <c r="S28" s="247">
        <v>108.43494882292202</v>
      </c>
      <c r="T28" s="247">
        <v>105.25511870305775</v>
      </c>
      <c r="V28" s="246">
        <v>309.28940686250036</v>
      </c>
      <c r="W28" s="246">
        <v>315</v>
      </c>
      <c r="X28" s="246">
        <v>322.1250163489018</v>
      </c>
      <c r="Y28" s="246">
        <v>330.94539590092285</v>
      </c>
      <c r="Z28" s="246">
        <v>341.56505117707798</v>
      </c>
      <c r="AA28" s="246">
        <v>353.65980825409008</v>
      </c>
      <c r="AB28" s="243">
        <v>6.3401917459099195</v>
      </c>
      <c r="AC28" s="243">
        <v>18.434948822922024</v>
      </c>
      <c r="AD28" s="243">
        <v>29.054604099077153</v>
      </c>
      <c r="AE28" s="243">
        <v>37.874983651098205</v>
      </c>
      <c r="AF28" s="243">
        <v>45</v>
      </c>
      <c r="AG28" s="243">
        <v>50.710593137499643</v>
      </c>
      <c r="AP28" s="27"/>
    </row>
    <row r="29" spans="2:42">
      <c r="B29" s="55"/>
      <c r="N29" s="27"/>
      <c r="O29" s="247">
        <v>135</v>
      </c>
      <c r="P29" s="247">
        <v>108.43494882292202</v>
      </c>
      <c r="Q29" s="247">
        <v>101.30993247402023</v>
      </c>
      <c r="R29" s="247">
        <v>98.130102354155952</v>
      </c>
      <c r="S29" s="247">
        <v>96.34019174590992</v>
      </c>
      <c r="T29" s="247">
        <v>95.194428907734789</v>
      </c>
      <c r="V29" s="248">
        <v>315</v>
      </c>
      <c r="W29" s="248">
        <v>320.71059313749964</v>
      </c>
      <c r="X29" s="248">
        <v>327.52880770915152</v>
      </c>
      <c r="Y29" s="248">
        <v>335.55604521958344</v>
      </c>
      <c r="Z29" s="248">
        <v>344.74488129694225</v>
      </c>
      <c r="AA29" s="248">
        <v>354.80557109226521</v>
      </c>
      <c r="AB29" s="91">
        <v>5.1944289077347889</v>
      </c>
      <c r="AC29" s="91">
        <v>15.255118703057747</v>
      </c>
      <c r="AD29" s="91">
        <v>24.443954780416561</v>
      </c>
      <c r="AE29" s="91">
        <v>32.471192290848478</v>
      </c>
      <c r="AF29" s="91">
        <v>39.289406862500357</v>
      </c>
      <c r="AG29" s="91">
        <v>45</v>
      </c>
      <c r="AP29" s="27"/>
    </row>
    <row r="30" spans="2:42">
      <c r="B30" s="55"/>
      <c r="N30" s="27"/>
      <c r="O30" s="55"/>
      <c r="AP30" s="27"/>
    </row>
    <row r="31" spans="2:42">
      <c r="B31" s="56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4"/>
      <c r="O31" s="56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4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B8D2C-105B-4807-8B74-3D052665701C}">
  <sheetPr codeName="Sheet12">
    <tabColor rgb="FFDCDCDC"/>
  </sheetPr>
  <dimension ref="B2:AB32"/>
  <sheetViews>
    <sheetView workbookViewId="0"/>
  </sheetViews>
  <sheetFormatPr defaultRowHeight="16.5"/>
  <cols>
    <col min="1" max="1" width="5" customWidth="1"/>
    <col min="2" max="2" width="5.4140625" customWidth="1"/>
    <col min="3" max="5" width="6.58203125" bestFit="1" customWidth="1"/>
    <col min="6" max="6" width="6.75" bestFit="1" customWidth="1"/>
    <col min="7" max="11" width="6.58203125" bestFit="1" customWidth="1"/>
    <col min="12" max="12" width="2.9140625" customWidth="1"/>
    <col min="13" max="13" width="2.58203125" customWidth="1"/>
    <col min="14" max="27" width="6.75" customWidth="1"/>
    <col min="28" max="28" width="5.1640625" customWidth="1"/>
  </cols>
  <sheetData>
    <row r="2" spans="2:28">
      <c r="B2" s="160" t="s">
        <v>338</v>
      </c>
      <c r="C2" s="41"/>
      <c r="D2" s="41"/>
      <c r="E2" s="41"/>
      <c r="F2" s="41"/>
      <c r="G2" s="41"/>
      <c r="H2" s="41"/>
      <c r="I2" s="41"/>
      <c r="J2" s="41"/>
      <c r="K2" s="41"/>
      <c r="L2" s="42"/>
      <c r="M2" s="57"/>
      <c r="N2" s="37" t="s">
        <v>345</v>
      </c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2"/>
    </row>
    <row r="3" spans="2:28" ht="17" thickBot="1">
      <c r="B3" s="52" t="s">
        <v>339</v>
      </c>
      <c r="L3" s="27"/>
      <c r="M3" s="55"/>
      <c r="N3" s="32" t="s">
        <v>337</v>
      </c>
      <c r="AB3" s="27"/>
    </row>
    <row r="4" spans="2:28">
      <c r="B4" s="52" t="s">
        <v>340</v>
      </c>
      <c r="L4" s="27"/>
      <c r="M4" s="55"/>
      <c r="N4" s="255" t="str" cm="1">
        <f t="array" ref="N4:Y15">Padλ(DEM,1)</f>
        <v/>
      </c>
      <c r="O4" s="256" t="str">
        <v/>
      </c>
      <c r="P4" s="256" t="str">
        <v/>
      </c>
      <c r="Q4" s="256" t="str">
        <v/>
      </c>
      <c r="R4" s="256" t="str">
        <v/>
      </c>
      <c r="S4" s="256" t="str">
        <v/>
      </c>
      <c r="T4" s="256" t="str">
        <v/>
      </c>
      <c r="U4" s="256" t="str">
        <v/>
      </c>
      <c r="V4" s="257" t="str">
        <v/>
      </c>
      <c r="W4" s="257" t="str">
        <v/>
      </c>
      <c r="X4" s="257" t="str">
        <v/>
      </c>
      <c r="Y4" s="258" t="str">
        <v/>
      </c>
      <c r="AB4" s="27"/>
    </row>
    <row r="5" spans="2:28">
      <c r="B5" s="177" t="s">
        <v>175</v>
      </c>
      <c r="L5" s="27"/>
      <c r="M5" s="55"/>
      <c r="N5" s="259" t="str">
        <v/>
      </c>
      <c r="O5" s="252">
        <v>2097.9499999999998</v>
      </c>
      <c r="P5" s="252">
        <v>2098.41</v>
      </c>
      <c r="Q5" s="252">
        <v>2098.94</v>
      </c>
      <c r="R5" s="252">
        <v>2098.58</v>
      </c>
      <c r="S5" s="252">
        <v>2098.37</v>
      </c>
      <c r="T5" s="252">
        <v>2098.77</v>
      </c>
      <c r="U5" s="252">
        <v>2100.75</v>
      </c>
      <c r="V5" s="252">
        <v>2103.1999999999998</v>
      </c>
      <c r="W5" s="252">
        <v>2105.86</v>
      </c>
      <c r="X5" s="252">
        <v>2107.85</v>
      </c>
      <c r="Y5" s="260" t="str">
        <v/>
      </c>
      <c r="AB5" s="27"/>
    </row>
    <row r="6" spans="2:28">
      <c r="B6" s="52" t="s">
        <v>342</v>
      </c>
      <c r="L6" s="27"/>
      <c r="M6" s="55"/>
      <c r="N6" s="259" t="str">
        <v/>
      </c>
      <c r="O6" s="252">
        <v>2096.34</v>
      </c>
      <c r="P6" s="252">
        <v>2097.0500000000002</v>
      </c>
      <c r="Q6" s="252">
        <v>2097.0300000000002</v>
      </c>
      <c r="R6" s="252">
        <v>2097.16</v>
      </c>
      <c r="S6" s="252">
        <v>2096.88</v>
      </c>
      <c r="T6" s="252">
        <v>2097.84</v>
      </c>
      <c r="U6" s="252">
        <v>2099.79</v>
      </c>
      <c r="V6" s="252">
        <v>2103.13</v>
      </c>
      <c r="W6" s="252">
        <v>2105.2399999999998</v>
      </c>
      <c r="X6" s="252">
        <v>2107.3000000000002</v>
      </c>
      <c r="Y6" s="260" t="str">
        <v/>
      </c>
      <c r="AB6" s="27"/>
    </row>
    <row r="7" spans="2:28">
      <c r="B7" s="52" t="s">
        <v>343</v>
      </c>
      <c r="L7" s="27"/>
      <c r="M7" s="55"/>
      <c r="N7" s="259" t="str">
        <v/>
      </c>
      <c r="O7" s="252">
        <v>2094.6999999999998</v>
      </c>
      <c r="P7" s="252">
        <v>2095.54</v>
      </c>
      <c r="Q7" s="252">
        <v>2095.63</v>
      </c>
      <c r="R7" s="252">
        <v>2095.69</v>
      </c>
      <c r="S7" s="252">
        <v>2095.88</v>
      </c>
      <c r="T7" s="252">
        <v>2097.36</v>
      </c>
      <c r="U7" s="252">
        <v>2099.7199999999998</v>
      </c>
      <c r="V7" s="252">
        <v>2102.8000000000002</v>
      </c>
      <c r="W7" s="252">
        <v>2105.15</v>
      </c>
      <c r="X7" s="252">
        <v>2106.87</v>
      </c>
      <c r="Y7" s="260" t="str">
        <v/>
      </c>
      <c r="AB7" s="27"/>
    </row>
    <row r="8" spans="2:28">
      <c r="B8" s="52" t="s">
        <v>344</v>
      </c>
      <c r="L8" s="27"/>
      <c r="M8" s="55"/>
      <c r="N8" s="259" t="str">
        <v/>
      </c>
      <c r="O8" s="252">
        <v>2093.4699999999998</v>
      </c>
      <c r="P8" s="252">
        <v>2094.13</v>
      </c>
      <c r="Q8" s="252">
        <v>2094.3200000000002</v>
      </c>
      <c r="R8" s="252">
        <v>2094.58</v>
      </c>
      <c r="S8" s="252">
        <v>2095.5300000000002</v>
      </c>
      <c r="T8" s="252">
        <v>2097.2800000000002</v>
      </c>
      <c r="U8" s="252">
        <v>2099.1</v>
      </c>
      <c r="V8" s="252">
        <v>2101.59</v>
      </c>
      <c r="W8" s="252">
        <v>2104.2199999999998</v>
      </c>
      <c r="X8" s="252">
        <v>2105.86</v>
      </c>
      <c r="Y8" s="260" t="str">
        <v/>
      </c>
      <c r="AB8" s="27"/>
    </row>
    <row r="9" spans="2:28">
      <c r="B9" s="52" t="s">
        <v>341</v>
      </c>
      <c r="L9" s="27"/>
      <c r="M9" s="55"/>
      <c r="N9" s="259" t="str">
        <v/>
      </c>
      <c r="O9" s="252">
        <v>2091.6</v>
      </c>
      <c r="P9" s="252">
        <v>2093.16</v>
      </c>
      <c r="Q9" s="252">
        <v>2093.14</v>
      </c>
      <c r="R9" s="252">
        <v>2093.5100000000002</v>
      </c>
      <c r="S9" s="252">
        <v>2094.35</v>
      </c>
      <c r="T9" s="252">
        <v>2096.04</v>
      </c>
      <c r="U9" s="252">
        <v>2097.87</v>
      </c>
      <c r="V9" s="252">
        <v>2099.4699999999998</v>
      </c>
      <c r="W9" s="252">
        <v>2101.25</v>
      </c>
      <c r="X9" s="252">
        <v>2103.5300000000002</v>
      </c>
      <c r="Y9" s="260" t="str">
        <v/>
      </c>
      <c r="AB9" s="27"/>
    </row>
    <row r="10" spans="2:28">
      <c r="B10" s="55"/>
      <c r="L10" s="27"/>
      <c r="M10" s="55"/>
      <c r="N10" s="259" t="str">
        <v/>
      </c>
      <c r="O10" s="252">
        <v>2089.25</v>
      </c>
      <c r="P10" s="252">
        <v>2090.46</v>
      </c>
      <c r="Q10" s="252">
        <v>2090.35</v>
      </c>
      <c r="R10" s="252">
        <v>2091.42</v>
      </c>
      <c r="S10" s="252">
        <v>2093.38</v>
      </c>
      <c r="T10" s="252">
        <v>2094.92</v>
      </c>
      <c r="U10" s="252">
        <v>2096.37</v>
      </c>
      <c r="V10" s="252">
        <v>2097.8000000000002</v>
      </c>
      <c r="W10" s="252">
        <v>2099.2800000000002</v>
      </c>
      <c r="X10" s="252">
        <v>2100.73</v>
      </c>
      <c r="Y10" s="260" t="str">
        <v/>
      </c>
      <c r="AB10" s="27"/>
    </row>
    <row r="11" spans="2:28">
      <c r="B11" s="177" t="s">
        <v>347</v>
      </c>
      <c r="L11" s="27"/>
      <c r="M11" s="55"/>
      <c r="N11" s="259" t="str">
        <v/>
      </c>
      <c r="O11" s="252">
        <v>2089.9699999999998</v>
      </c>
      <c r="P11" s="252">
        <v>2090.59</v>
      </c>
      <c r="Q11" s="252">
        <v>2091.0700000000002</v>
      </c>
      <c r="R11" s="252">
        <v>2091.38</v>
      </c>
      <c r="S11" s="252">
        <v>2092.0700000000002</v>
      </c>
      <c r="T11" s="252">
        <v>2092.4899999999998</v>
      </c>
      <c r="U11" s="252">
        <v>2095.06</v>
      </c>
      <c r="V11" s="252">
        <v>2096.59</v>
      </c>
      <c r="W11" s="252">
        <v>2098.12</v>
      </c>
      <c r="X11" s="252">
        <v>2099.1999999999998</v>
      </c>
      <c r="Y11" s="260" t="str">
        <v/>
      </c>
      <c r="AB11" s="27"/>
    </row>
    <row r="12" spans="2:28">
      <c r="B12" s="177" t="s">
        <v>348</v>
      </c>
      <c r="L12" s="27"/>
      <c r="M12" s="55"/>
      <c r="N12" s="259" t="str">
        <v/>
      </c>
      <c r="O12" s="252">
        <v>2095.31</v>
      </c>
      <c r="P12" s="252">
        <v>2095.54</v>
      </c>
      <c r="Q12" s="252">
        <v>2096</v>
      </c>
      <c r="R12" s="252">
        <v>2092.9899999999998</v>
      </c>
      <c r="S12" s="252">
        <v>2092.08</v>
      </c>
      <c r="T12" s="252">
        <v>2092.69</v>
      </c>
      <c r="U12" s="252">
        <v>2093.4299999999998</v>
      </c>
      <c r="V12" s="252">
        <v>2093.48</v>
      </c>
      <c r="W12" s="252">
        <v>2095.0100000000002</v>
      </c>
      <c r="X12" s="252">
        <v>2094.58</v>
      </c>
      <c r="Y12" s="260" t="str">
        <v/>
      </c>
      <c r="AB12" s="27"/>
    </row>
    <row r="13" spans="2:28">
      <c r="B13" s="55"/>
      <c r="L13" s="97"/>
      <c r="M13" s="98"/>
      <c r="N13" s="259" t="str">
        <v/>
      </c>
      <c r="O13" s="252">
        <v>2099.1799999999998</v>
      </c>
      <c r="P13" s="252">
        <v>2099.7199999999998</v>
      </c>
      <c r="Q13" s="252">
        <v>2098.9499999999998</v>
      </c>
      <c r="R13" s="252">
        <v>2099.8000000000002</v>
      </c>
      <c r="S13" s="252">
        <v>2097.0500000000002</v>
      </c>
      <c r="T13" s="252">
        <v>2095.3200000000002</v>
      </c>
      <c r="U13" s="252">
        <v>2093.48</v>
      </c>
      <c r="V13" s="252">
        <v>2093.64</v>
      </c>
      <c r="W13" s="252">
        <v>2094.2600000000002</v>
      </c>
      <c r="X13" s="252">
        <v>2094.6</v>
      </c>
      <c r="Y13" s="260" t="str">
        <v/>
      </c>
      <c r="AB13" s="27"/>
    </row>
    <row r="14" spans="2:28">
      <c r="B14" s="56"/>
      <c r="C14" s="43"/>
      <c r="D14" s="43"/>
      <c r="E14" s="43"/>
      <c r="F14" s="43"/>
      <c r="G14" s="43"/>
      <c r="H14" s="43"/>
      <c r="I14" s="43"/>
      <c r="J14" s="43"/>
      <c r="K14" s="43"/>
      <c r="L14" s="127"/>
      <c r="M14" s="98"/>
      <c r="N14" s="259" t="str">
        <v/>
      </c>
      <c r="O14" s="252">
        <v>2099.9699999999998</v>
      </c>
      <c r="P14" s="252">
        <v>2101.15</v>
      </c>
      <c r="Q14" s="252">
        <v>2101.8000000000002</v>
      </c>
      <c r="R14" s="252">
        <v>2102.5700000000002</v>
      </c>
      <c r="S14" s="252">
        <v>2102.08</v>
      </c>
      <c r="T14" s="252">
        <v>2100.5700000000002</v>
      </c>
      <c r="U14" s="252">
        <v>2097.17</v>
      </c>
      <c r="V14" s="252">
        <v>2094.87</v>
      </c>
      <c r="W14" s="252">
        <v>2094.8000000000002</v>
      </c>
      <c r="X14" s="252">
        <v>2095.61</v>
      </c>
      <c r="Y14" s="260" t="str">
        <v/>
      </c>
      <c r="AB14" s="27"/>
    </row>
    <row r="15" spans="2:28" ht="17" thickBot="1">
      <c r="B15" s="57"/>
      <c r="C15" s="41"/>
      <c r="D15" s="41"/>
      <c r="E15" s="41"/>
      <c r="F15" s="41"/>
      <c r="G15" s="41"/>
      <c r="H15" s="41"/>
      <c r="I15" s="41"/>
      <c r="J15" s="41"/>
      <c r="K15" s="41"/>
      <c r="L15" s="250"/>
      <c r="M15" s="98"/>
      <c r="N15" s="261" t="str">
        <v/>
      </c>
      <c r="O15" s="262" t="str">
        <v/>
      </c>
      <c r="P15" s="262" t="str">
        <v/>
      </c>
      <c r="Q15" s="262" t="str">
        <v/>
      </c>
      <c r="R15" s="262" t="str">
        <v/>
      </c>
      <c r="S15" s="262" t="str">
        <v/>
      </c>
      <c r="T15" s="262" t="str">
        <v/>
      </c>
      <c r="U15" s="262" t="str">
        <v/>
      </c>
      <c r="V15" s="263" t="str">
        <v/>
      </c>
      <c r="W15" s="263" t="str">
        <v/>
      </c>
      <c r="X15" s="263" t="str">
        <v/>
      </c>
      <c r="Y15" s="264" t="str">
        <v/>
      </c>
      <c r="AB15" s="27"/>
    </row>
    <row r="16" spans="2:28">
      <c r="B16" s="17" t="s">
        <v>336</v>
      </c>
      <c r="L16" s="97"/>
      <c r="M16" s="98"/>
      <c r="AB16" s="27"/>
    </row>
    <row r="17" spans="2:28">
      <c r="B17" s="251">
        <v>2097.9499999999998</v>
      </c>
      <c r="C17" s="251">
        <v>2098.41</v>
      </c>
      <c r="D17" s="251">
        <v>2098.94</v>
      </c>
      <c r="E17" s="251">
        <v>2098.58</v>
      </c>
      <c r="F17" s="251">
        <v>2098.37</v>
      </c>
      <c r="G17" s="251">
        <v>2098.77</v>
      </c>
      <c r="H17" s="251">
        <v>2100.75</v>
      </c>
      <c r="I17" s="251">
        <v>2103.1999999999998</v>
      </c>
      <c r="J17" s="251">
        <v>2105.86</v>
      </c>
      <c r="K17" s="251">
        <v>2107.85</v>
      </c>
      <c r="L17" s="97"/>
      <c r="M17" s="98"/>
      <c r="N17" s="25" t="s">
        <v>466</v>
      </c>
      <c r="AB17" s="27"/>
    </row>
    <row r="18" spans="2:28">
      <c r="B18" s="251">
        <v>2096.34</v>
      </c>
      <c r="C18" s="251">
        <v>2097.0500000000002</v>
      </c>
      <c r="D18" s="251">
        <v>2097.0300000000002</v>
      </c>
      <c r="E18" s="251">
        <v>2097.16</v>
      </c>
      <c r="F18" s="251">
        <v>2096.88</v>
      </c>
      <c r="G18" s="251">
        <v>2097.84</v>
      </c>
      <c r="H18" s="251">
        <v>2099.79</v>
      </c>
      <c r="I18" s="251">
        <v>2103.13</v>
      </c>
      <c r="J18" s="251">
        <v>2105.2399999999998</v>
      </c>
      <c r="K18" s="251">
        <v>2107.3000000000002</v>
      </c>
      <c r="L18" s="97"/>
      <c r="M18" s="98"/>
      <c r="N18" s="32" t="s">
        <v>346</v>
      </c>
      <c r="AB18" s="27"/>
    </row>
    <row r="19" spans="2:28">
      <c r="B19" s="251">
        <v>2094.6999999999998</v>
      </c>
      <c r="C19" s="251">
        <v>2095.54</v>
      </c>
      <c r="D19" s="251">
        <v>2095.63</v>
      </c>
      <c r="E19" s="251">
        <v>2095.69</v>
      </c>
      <c r="F19" s="251">
        <v>2095.88</v>
      </c>
      <c r="G19" s="251">
        <v>2097.36</v>
      </c>
      <c r="H19" s="251">
        <v>2099.7199999999998</v>
      </c>
      <c r="I19" s="251">
        <v>2102.8000000000002</v>
      </c>
      <c r="J19" s="251">
        <v>2105.15</v>
      </c>
      <c r="K19" s="251">
        <v>2106.87</v>
      </c>
      <c r="L19" s="97"/>
      <c r="M19" s="98"/>
      <c r="N19" s="253" cm="1">
        <f t="array" ref="N19:AA30">Padλ(DEM,1,1,2,2,0)</f>
        <v>0</v>
      </c>
      <c r="O19" s="253">
        <v>0</v>
      </c>
      <c r="P19" s="253">
        <v>0</v>
      </c>
      <c r="Q19" s="253">
        <v>0</v>
      </c>
      <c r="R19" s="253">
        <v>0</v>
      </c>
      <c r="S19" s="253">
        <v>0</v>
      </c>
      <c r="T19" s="253">
        <v>0</v>
      </c>
      <c r="U19" s="253">
        <v>0</v>
      </c>
      <c r="V19" s="253">
        <v>0</v>
      </c>
      <c r="W19" s="253">
        <v>0</v>
      </c>
      <c r="X19" s="253">
        <v>0</v>
      </c>
      <c r="Y19" s="253">
        <v>0</v>
      </c>
      <c r="Z19" s="253">
        <v>0</v>
      </c>
      <c r="AA19" s="253">
        <v>0</v>
      </c>
      <c r="AB19" s="27"/>
    </row>
    <row r="20" spans="2:28">
      <c r="B20" s="251">
        <v>2093.4699999999998</v>
      </c>
      <c r="C20" s="251">
        <v>2094.13</v>
      </c>
      <c r="D20" s="251">
        <v>2094.3200000000002</v>
      </c>
      <c r="E20" s="251">
        <v>2094.58</v>
      </c>
      <c r="F20" s="251">
        <v>2095.5300000000002</v>
      </c>
      <c r="G20" s="251">
        <v>2097.2800000000002</v>
      </c>
      <c r="H20" s="251">
        <v>2099.1</v>
      </c>
      <c r="I20" s="251">
        <v>2101.59</v>
      </c>
      <c r="J20" s="251">
        <v>2104.2199999999998</v>
      </c>
      <c r="K20" s="251">
        <v>2105.86</v>
      </c>
      <c r="L20" s="97"/>
      <c r="M20" s="98"/>
      <c r="N20" s="253">
        <v>0</v>
      </c>
      <c r="O20" s="253">
        <v>0</v>
      </c>
      <c r="P20" s="254">
        <v>2097.9499999999998</v>
      </c>
      <c r="Q20" s="254">
        <v>2098.41</v>
      </c>
      <c r="R20" s="254">
        <v>2098.94</v>
      </c>
      <c r="S20" s="254">
        <v>2098.58</v>
      </c>
      <c r="T20" s="254">
        <v>2098.37</v>
      </c>
      <c r="U20" s="254">
        <v>2098.77</v>
      </c>
      <c r="V20" s="254">
        <v>2100.75</v>
      </c>
      <c r="W20" s="254">
        <v>2103.1999999999998</v>
      </c>
      <c r="X20" s="254">
        <v>2105.86</v>
      </c>
      <c r="Y20" s="254">
        <v>2107.85</v>
      </c>
      <c r="Z20" s="253">
        <v>0</v>
      </c>
      <c r="AA20" s="253">
        <v>0</v>
      </c>
      <c r="AB20" s="27"/>
    </row>
    <row r="21" spans="2:28">
      <c r="B21" s="251">
        <v>2091.6</v>
      </c>
      <c r="C21" s="251">
        <v>2093.16</v>
      </c>
      <c r="D21" s="251">
        <v>2093.14</v>
      </c>
      <c r="E21" s="251">
        <v>2093.5100000000002</v>
      </c>
      <c r="F21" s="251">
        <v>2094.35</v>
      </c>
      <c r="G21" s="251">
        <v>2096.04</v>
      </c>
      <c r="H21" s="251">
        <v>2097.87</v>
      </c>
      <c r="I21" s="251">
        <v>2099.4699999999998</v>
      </c>
      <c r="J21" s="251">
        <v>2101.25</v>
      </c>
      <c r="K21" s="251">
        <v>2103.5300000000002</v>
      </c>
      <c r="L21" s="97"/>
      <c r="M21" s="98"/>
      <c r="N21" s="253">
        <v>0</v>
      </c>
      <c r="O21" s="253">
        <v>0</v>
      </c>
      <c r="P21" s="254">
        <v>2096.34</v>
      </c>
      <c r="Q21" s="254">
        <v>2097.0500000000002</v>
      </c>
      <c r="R21" s="254">
        <v>2097.0300000000002</v>
      </c>
      <c r="S21" s="254">
        <v>2097.16</v>
      </c>
      <c r="T21" s="254">
        <v>2096.88</v>
      </c>
      <c r="U21" s="254">
        <v>2097.84</v>
      </c>
      <c r="V21" s="254">
        <v>2099.79</v>
      </c>
      <c r="W21" s="254">
        <v>2103.13</v>
      </c>
      <c r="X21" s="254">
        <v>2105.2399999999998</v>
      </c>
      <c r="Y21" s="254">
        <v>2107.3000000000002</v>
      </c>
      <c r="Z21" s="253">
        <v>0</v>
      </c>
      <c r="AA21" s="253">
        <v>0</v>
      </c>
      <c r="AB21" s="27"/>
    </row>
    <row r="22" spans="2:28">
      <c r="B22" s="251">
        <v>2089.25</v>
      </c>
      <c r="C22" s="251">
        <v>2090.46</v>
      </c>
      <c r="D22" s="251">
        <v>2090.35</v>
      </c>
      <c r="E22" s="251">
        <v>2091.42</v>
      </c>
      <c r="F22" s="251">
        <v>2093.38</v>
      </c>
      <c r="G22" s="251">
        <v>2094.92</v>
      </c>
      <c r="H22" s="251">
        <v>2096.37</v>
      </c>
      <c r="I22" s="251">
        <v>2097.8000000000002</v>
      </c>
      <c r="J22" s="251">
        <v>2099.2800000000002</v>
      </c>
      <c r="K22" s="251">
        <v>2100.73</v>
      </c>
      <c r="L22" s="97"/>
      <c r="M22" s="98"/>
      <c r="N22" s="253">
        <v>0</v>
      </c>
      <c r="O22" s="253">
        <v>0</v>
      </c>
      <c r="P22" s="254">
        <v>2094.6999999999998</v>
      </c>
      <c r="Q22" s="254">
        <v>2095.54</v>
      </c>
      <c r="R22" s="254">
        <v>2095.63</v>
      </c>
      <c r="S22" s="254">
        <v>2095.69</v>
      </c>
      <c r="T22" s="254">
        <v>2095.88</v>
      </c>
      <c r="U22" s="254">
        <v>2097.36</v>
      </c>
      <c r="V22" s="254">
        <v>2099.7199999999998</v>
      </c>
      <c r="W22" s="254">
        <v>2102.8000000000002</v>
      </c>
      <c r="X22" s="254">
        <v>2105.15</v>
      </c>
      <c r="Y22" s="254">
        <v>2106.87</v>
      </c>
      <c r="Z22" s="253">
        <v>0</v>
      </c>
      <c r="AA22" s="253">
        <v>0</v>
      </c>
      <c r="AB22" s="27"/>
    </row>
    <row r="23" spans="2:28">
      <c r="B23" s="251">
        <v>2089.9699999999998</v>
      </c>
      <c r="C23" s="251">
        <v>2090.59</v>
      </c>
      <c r="D23" s="251">
        <v>2091.0700000000002</v>
      </c>
      <c r="E23" s="251">
        <v>2091.38</v>
      </c>
      <c r="F23" s="251">
        <v>2092.0700000000002</v>
      </c>
      <c r="G23" s="251">
        <v>2092.4899999999998</v>
      </c>
      <c r="H23" s="251">
        <v>2095.06</v>
      </c>
      <c r="I23" s="251">
        <v>2096.59</v>
      </c>
      <c r="J23" s="251">
        <v>2098.12</v>
      </c>
      <c r="K23" s="251">
        <v>2099.1999999999998</v>
      </c>
      <c r="L23" s="97"/>
      <c r="M23" s="98"/>
      <c r="N23" s="253">
        <v>0</v>
      </c>
      <c r="O23" s="253">
        <v>0</v>
      </c>
      <c r="P23" s="254">
        <v>2093.4699999999998</v>
      </c>
      <c r="Q23" s="254">
        <v>2094.13</v>
      </c>
      <c r="R23" s="254">
        <v>2094.3200000000002</v>
      </c>
      <c r="S23" s="254">
        <v>2094.58</v>
      </c>
      <c r="T23" s="254">
        <v>2095.5300000000002</v>
      </c>
      <c r="U23" s="254">
        <v>2097.2800000000002</v>
      </c>
      <c r="V23" s="254">
        <v>2099.1</v>
      </c>
      <c r="W23" s="254">
        <v>2101.59</v>
      </c>
      <c r="X23" s="254">
        <v>2104.2199999999998</v>
      </c>
      <c r="Y23" s="254">
        <v>2105.86</v>
      </c>
      <c r="Z23" s="253">
        <v>0</v>
      </c>
      <c r="AA23" s="253">
        <v>0</v>
      </c>
      <c r="AB23" s="27"/>
    </row>
    <row r="24" spans="2:28">
      <c r="B24" s="251">
        <v>2095.31</v>
      </c>
      <c r="C24" s="251">
        <v>2095.54</v>
      </c>
      <c r="D24" s="251">
        <v>2096</v>
      </c>
      <c r="E24" s="251">
        <v>2092.9899999999998</v>
      </c>
      <c r="F24" s="251">
        <v>2092.08</v>
      </c>
      <c r="G24" s="251">
        <v>2092.69</v>
      </c>
      <c r="H24" s="251">
        <v>2093.4299999999998</v>
      </c>
      <c r="I24" s="251">
        <v>2093.48</v>
      </c>
      <c r="J24" s="251">
        <v>2095.0100000000002</v>
      </c>
      <c r="K24" s="251">
        <v>2094.58</v>
      </c>
      <c r="L24" s="97"/>
      <c r="M24" s="98"/>
      <c r="N24" s="253">
        <v>0</v>
      </c>
      <c r="O24" s="253">
        <v>0</v>
      </c>
      <c r="P24" s="254">
        <v>2091.6</v>
      </c>
      <c r="Q24" s="254">
        <v>2093.16</v>
      </c>
      <c r="R24" s="254">
        <v>2093.14</v>
      </c>
      <c r="S24" s="254">
        <v>2093.5100000000002</v>
      </c>
      <c r="T24" s="254">
        <v>2094.35</v>
      </c>
      <c r="U24" s="254">
        <v>2096.04</v>
      </c>
      <c r="V24" s="254">
        <v>2097.87</v>
      </c>
      <c r="W24" s="254">
        <v>2099.4699999999998</v>
      </c>
      <c r="X24" s="254">
        <v>2101.25</v>
      </c>
      <c r="Y24" s="254">
        <v>2103.5300000000002</v>
      </c>
      <c r="Z24" s="253">
        <v>0</v>
      </c>
      <c r="AA24" s="253">
        <v>0</v>
      </c>
      <c r="AB24" s="27"/>
    </row>
    <row r="25" spans="2:28">
      <c r="B25" s="251">
        <v>2099.1799999999998</v>
      </c>
      <c r="C25" s="251">
        <v>2099.7199999999998</v>
      </c>
      <c r="D25" s="251">
        <v>2098.9499999999998</v>
      </c>
      <c r="E25" s="251">
        <v>2099.8000000000002</v>
      </c>
      <c r="F25" s="251">
        <v>2097.0500000000002</v>
      </c>
      <c r="G25" s="251">
        <v>2095.3200000000002</v>
      </c>
      <c r="H25" s="251">
        <v>2093.48</v>
      </c>
      <c r="I25" s="251">
        <v>2093.64</v>
      </c>
      <c r="J25" s="251">
        <v>2094.2600000000002</v>
      </c>
      <c r="K25" s="251">
        <v>2094.6</v>
      </c>
      <c r="L25" s="97"/>
      <c r="M25" s="98"/>
      <c r="N25" s="253">
        <v>0</v>
      </c>
      <c r="O25" s="253">
        <v>0</v>
      </c>
      <c r="P25" s="254">
        <v>2089.25</v>
      </c>
      <c r="Q25" s="254">
        <v>2090.46</v>
      </c>
      <c r="R25" s="254">
        <v>2090.35</v>
      </c>
      <c r="S25" s="254">
        <v>2091.42</v>
      </c>
      <c r="T25" s="254">
        <v>2093.38</v>
      </c>
      <c r="U25" s="254">
        <v>2094.92</v>
      </c>
      <c r="V25" s="254">
        <v>2096.37</v>
      </c>
      <c r="W25" s="254">
        <v>2097.8000000000002</v>
      </c>
      <c r="X25" s="254">
        <v>2099.2800000000002</v>
      </c>
      <c r="Y25" s="254">
        <v>2100.73</v>
      </c>
      <c r="Z25" s="253">
        <v>0</v>
      </c>
      <c r="AA25" s="253">
        <v>0</v>
      </c>
      <c r="AB25" s="27"/>
    </row>
    <row r="26" spans="2:28">
      <c r="B26" s="251">
        <v>2099.9699999999998</v>
      </c>
      <c r="C26" s="251">
        <v>2101.15</v>
      </c>
      <c r="D26" s="251">
        <v>2101.8000000000002</v>
      </c>
      <c r="E26" s="251">
        <v>2102.5700000000002</v>
      </c>
      <c r="F26" s="251">
        <v>2102.08</v>
      </c>
      <c r="G26" s="251">
        <v>2100.5700000000002</v>
      </c>
      <c r="H26" s="251">
        <v>2097.17</v>
      </c>
      <c r="I26" s="251">
        <v>2094.87</v>
      </c>
      <c r="J26" s="251">
        <v>2094.8000000000002</v>
      </c>
      <c r="K26" s="251">
        <v>2095.61</v>
      </c>
      <c r="L26" s="97"/>
      <c r="M26" s="98"/>
      <c r="N26" s="253">
        <v>0</v>
      </c>
      <c r="O26" s="253">
        <v>0</v>
      </c>
      <c r="P26" s="254">
        <v>2089.9699999999998</v>
      </c>
      <c r="Q26" s="254">
        <v>2090.59</v>
      </c>
      <c r="R26" s="254">
        <v>2091.0700000000002</v>
      </c>
      <c r="S26" s="254">
        <v>2091.38</v>
      </c>
      <c r="T26" s="254">
        <v>2092.0700000000002</v>
      </c>
      <c r="U26" s="254">
        <v>2092.4899999999998</v>
      </c>
      <c r="V26" s="254">
        <v>2095.06</v>
      </c>
      <c r="W26" s="254">
        <v>2096.59</v>
      </c>
      <c r="X26" s="254">
        <v>2098.12</v>
      </c>
      <c r="Y26" s="254">
        <v>2099.1999999999998</v>
      </c>
      <c r="Z26" s="253">
        <v>0</v>
      </c>
      <c r="AA26" s="253">
        <v>0</v>
      </c>
      <c r="AB26" s="27"/>
    </row>
    <row r="27" spans="2:28">
      <c r="B27" s="98"/>
      <c r="C27" s="89"/>
      <c r="D27" s="89"/>
      <c r="E27" s="89"/>
      <c r="F27" s="89"/>
      <c r="G27" s="89"/>
      <c r="H27" s="89"/>
      <c r="I27" s="89"/>
      <c r="J27" s="89"/>
      <c r="K27" s="89"/>
      <c r="L27" s="97"/>
      <c r="M27" s="98"/>
      <c r="N27" s="253">
        <v>0</v>
      </c>
      <c r="O27" s="253">
        <v>0</v>
      </c>
      <c r="P27" s="254">
        <v>2095.31</v>
      </c>
      <c r="Q27" s="254">
        <v>2095.54</v>
      </c>
      <c r="R27" s="254">
        <v>2096</v>
      </c>
      <c r="S27" s="254">
        <v>2092.9899999999998</v>
      </c>
      <c r="T27" s="254">
        <v>2092.08</v>
      </c>
      <c r="U27" s="254">
        <v>2092.69</v>
      </c>
      <c r="V27" s="254">
        <v>2093.4299999999998</v>
      </c>
      <c r="W27" s="254">
        <v>2093.48</v>
      </c>
      <c r="X27" s="254">
        <v>2095.0100000000002</v>
      </c>
      <c r="Y27" s="254">
        <v>2094.58</v>
      </c>
      <c r="Z27" s="253">
        <v>0</v>
      </c>
      <c r="AA27" s="253">
        <v>0</v>
      </c>
      <c r="AB27" s="27"/>
    </row>
    <row r="28" spans="2:28">
      <c r="B28" s="98"/>
      <c r="C28" s="89"/>
      <c r="D28" s="89"/>
      <c r="E28" s="89"/>
      <c r="F28" s="89"/>
      <c r="G28" s="89"/>
      <c r="H28" s="89"/>
      <c r="I28" s="89"/>
      <c r="J28" s="89"/>
      <c r="K28" s="89"/>
      <c r="L28" s="97"/>
      <c r="M28" s="98"/>
      <c r="N28" s="253">
        <v>0</v>
      </c>
      <c r="O28" s="253">
        <v>0</v>
      </c>
      <c r="P28" s="254">
        <v>2099.1799999999998</v>
      </c>
      <c r="Q28" s="254">
        <v>2099.7199999999998</v>
      </c>
      <c r="R28" s="254">
        <v>2098.9499999999998</v>
      </c>
      <c r="S28" s="254">
        <v>2099.8000000000002</v>
      </c>
      <c r="T28" s="254">
        <v>2097.0500000000002</v>
      </c>
      <c r="U28" s="254">
        <v>2095.3200000000002</v>
      </c>
      <c r="V28" s="254">
        <v>2093.48</v>
      </c>
      <c r="W28" s="254">
        <v>2093.64</v>
      </c>
      <c r="X28" s="254">
        <v>2094.2600000000002</v>
      </c>
      <c r="Y28" s="254">
        <v>2094.6</v>
      </c>
      <c r="Z28" s="253">
        <v>0</v>
      </c>
      <c r="AA28" s="253">
        <v>0</v>
      </c>
      <c r="AB28" s="27"/>
    </row>
    <row r="29" spans="2:28">
      <c r="B29" s="98"/>
      <c r="C29" s="89"/>
      <c r="D29" s="89"/>
      <c r="E29" s="89"/>
      <c r="F29" s="89"/>
      <c r="G29" s="89"/>
      <c r="H29" s="89"/>
      <c r="I29" s="89"/>
      <c r="J29" s="89"/>
      <c r="K29" s="89"/>
      <c r="L29" s="97"/>
      <c r="M29" s="98"/>
      <c r="N29" s="253">
        <v>0</v>
      </c>
      <c r="O29" s="253">
        <v>0</v>
      </c>
      <c r="P29" s="254">
        <v>2099.9699999999998</v>
      </c>
      <c r="Q29" s="254">
        <v>2101.15</v>
      </c>
      <c r="R29" s="254">
        <v>2101.8000000000002</v>
      </c>
      <c r="S29" s="254">
        <v>2102.5700000000002</v>
      </c>
      <c r="T29" s="254">
        <v>2102.08</v>
      </c>
      <c r="U29" s="254">
        <v>2100.5700000000002</v>
      </c>
      <c r="V29" s="254">
        <v>2097.17</v>
      </c>
      <c r="W29" s="254">
        <v>2094.87</v>
      </c>
      <c r="X29" s="254">
        <v>2094.8000000000002</v>
      </c>
      <c r="Y29" s="254">
        <v>2095.61</v>
      </c>
      <c r="Z29" s="253">
        <v>0</v>
      </c>
      <c r="AA29" s="253">
        <v>0</v>
      </c>
      <c r="AB29" s="27"/>
    </row>
    <row r="30" spans="2:28">
      <c r="B30" s="98"/>
      <c r="C30" s="89"/>
      <c r="D30" s="89"/>
      <c r="E30" s="89"/>
      <c r="F30" s="89"/>
      <c r="G30" s="89"/>
      <c r="H30" s="89"/>
      <c r="I30" s="89"/>
      <c r="J30" s="89"/>
      <c r="K30" s="89"/>
      <c r="L30" s="97"/>
      <c r="M30" s="98"/>
      <c r="N30" s="253">
        <v>0</v>
      </c>
      <c r="O30" s="253">
        <v>0</v>
      </c>
      <c r="P30" s="253">
        <v>0</v>
      </c>
      <c r="Q30" s="253">
        <v>0</v>
      </c>
      <c r="R30" s="253">
        <v>0</v>
      </c>
      <c r="S30" s="253">
        <v>0</v>
      </c>
      <c r="T30" s="253">
        <v>0</v>
      </c>
      <c r="U30" s="253">
        <v>0</v>
      </c>
      <c r="V30" s="253">
        <v>0</v>
      </c>
      <c r="W30" s="253">
        <v>0</v>
      </c>
      <c r="X30" s="253">
        <v>0</v>
      </c>
      <c r="Y30" s="253">
        <v>0</v>
      </c>
      <c r="Z30" s="253">
        <v>0</v>
      </c>
      <c r="AA30" s="253">
        <v>0</v>
      </c>
      <c r="AB30" s="27"/>
    </row>
    <row r="31" spans="2:28">
      <c r="B31" s="98"/>
      <c r="C31" s="89"/>
      <c r="D31" s="89"/>
      <c r="E31" s="89"/>
      <c r="F31" s="89"/>
      <c r="G31" s="89"/>
      <c r="H31" s="89"/>
      <c r="I31" s="89"/>
      <c r="J31" s="89"/>
      <c r="K31" s="89"/>
      <c r="L31" s="97"/>
      <c r="M31" s="98"/>
      <c r="AB31" s="27"/>
    </row>
    <row r="32" spans="2:28">
      <c r="B32" s="120"/>
      <c r="C32" s="121"/>
      <c r="D32" s="121"/>
      <c r="E32" s="121"/>
      <c r="F32" s="121"/>
      <c r="G32" s="121"/>
      <c r="H32" s="121"/>
      <c r="I32" s="121"/>
      <c r="J32" s="121"/>
      <c r="K32" s="121"/>
      <c r="L32" s="127"/>
      <c r="M32" s="120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3A3C5-FB57-45CB-9BFC-3A0C11ECC989}">
  <sheetPr codeName="Sheet13">
    <tabColor rgb="FFDCDCDC"/>
  </sheetPr>
  <dimension ref="B2:AB29"/>
  <sheetViews>
    <sheetView workbookViewId="0"/>
  </sheetViews>
  <sheetFormatPr defaultRowHeight="16.5"/>
  <cols>
    <col min="1" max="1" width="5" customWidth="1"/>
    <col min="3" max="3" width="7.4140625" customWidth="1"/>
    <col min="4" max="4" width="4" customWidth="1"/>
    <col min="7" max="7" width="12" customWidth="1"/>
    <col min="10" max="10" width="21.1640625" customWidth="1"/>
    <col min="11" max="11" width="7.25" customWidth="1"/>
    <col min="12" max="25" width="3.58203125" customWidth="1"/>
  </cols>
  <sheetData>
    <row r="2" spans="2:28">
      <c r="B2" s="160" t="s">
        <v>349</v>
      </c>
      <c r="C2" s="41"/>
      <c r="D2" s="41"/>
      <c r="E2" s="41"/>
      <c r="F2" s="41"/>
      <c r="G2" s="41"/>
      <c r="H2" s="41"/>
      <c r="I2" s="41"/>
      <c r="J2" s="42"/>
      <c r="K2" s="160" t="s">
        <v>350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2"/>
    </row>
    <row r="3" spans="2:28">
      <c r="B3" s="52" t="s">
        <v>351</v>
      </c>
      <c r="J3" s="27"/>
      <c r="K3" s="52" t="s">
        <v>351</v>
      </c>
      <c r="AA3" s="27"/>
    </row>
    <row r="4" spans="2:28">
      <c r="B4" s="52" t="s">
        <v>352</v>
      </c>
      <c r="J4" s="27"/>
      <c r="K4" s="52" t="s">
        <v>353</v>
      </c>
      <c r="AA4" s="27"/>
    </row>
    <row r="5" spans="2:28">
      <c r="B5" s="177" t="s">
        <v>175</v>
      </c>
      <c r="J5" s="27"/>
      <c r="K5" s="177" t="s">
        <v>175</v>
      </c>
      <c r="AA5" s="27"/>
    </row>
    <row r="6" spans="2:28">
      <c r="B6" s="52" t="s">
        <v>342</v>
      </c>
      <c r="J6" s="27"/>
      <c r="K6" s="52" t="s">
        <v>354</v>
      </c>
      <c r="AA6" s="27"/>
    </row>
    <row r="7" spans="2:28">
      <c r="B7" s="52" t="s">
        <v>341</v>
      </c>
      <c r="J7" s="27"/>
      <c r="K7" s="52" t="s">
        <v>341</v>
      </c>
      <c r="AA7" s="27"/>
    </row>
    <row r="8" spans="2:28">
      <c r="B8" s="56"/>
      <c r="C8" s="43"/>
      <c r="D8" s="43"/>
      <c r="E8" s="43"/>
      <c r="F8" s="43"/>
      <c r="G8" s="43"/>
      <c r="H8" s="43"/>
      <c r="I8" s="43"/>
      <c r="J8" s="44"/>
      <c r="K8" s="56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4"/>
    </row>
    <row r="9" spans="2:28">
      <c r="B9" s="57"/>
      <c r="C9" s="41"/>
      <c r="D9" s="41"/>
      <c r="E9" s="41"/>
      <c r="F9" s="41"/>
      <c r="G9" s="41"/>
      <c r="H9" s="41"/>
      <c r="I9" s="41"/>
      <c r="J9" s="42"/>
      <c r="K9" s="57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2"/>
      <c r="AB9" s="55"/>
    </row>
    <row r="10" spans="2:28">
      <c r="B10" s="17" t="s">
        <v>234</v>
      </c>
      <c r="E10" s="25" t="s">
        <v>468</v>
      </c>
      <c r="H10" s="25" t="s">
        <v>467</v>
      </c>
      <c r="J10" s="27"/>
      <c r="K10" s="55"/>
      <c r="L10" s="25" t="s">
        <v>234</v>
      </c>
      <c r="AA10" s="27"/>
      <c r="AB10" s="55"/>
    </row>
    <row r="11" spans="2:28" ht="17" thickBot="1">
      <c r="B11" s="207" t="s">
        <v>233</v>
      </c>
      <c r="E11" s="32" t="s">
        <v>355</v>
      </c>
      <c r="H11" s="32" t="s">
        <v>356</v>
      </c>
      <c r="J11" s="27"/>
      <c r="K11" s="55"/>
      <c r="L11" s="208" t="s">
        <v>469</v>
      </c>
      <c r="AA11" s="27"/>
      <c r="AB11" s="55"/>
    </row>
    <row r="12" spans="2:28">
      <c r="B12" s="265" cm="1">
        <f t="array" ref="B12:C21">_xlfn.SEQUENCE(10,2)</f>
        <v>1</v>
      </c>
      <c r="C12" s="265">
        <v>2</v>
      </c>
      <c r="D12" s="10"/>
      <c r="E12" s="266" t="str" cm="1">
        <f t="array" ref="E12:F25">InsulateRowsλ(_xlfn.ANCHORARRAY(B12),2)</f>
        <v/>
      </c>
      <c r="F12" s="267" t="str">
        <v/>
      </c>
      <c r="H12" s="72" cm="1">
        <f t="array" ref="H12:I24">InsulateRowsλ(_xlfn.ANCHORARRAY(B12),1,2,0)</f>
        <v>0</v>
      </c>
      <c r="I12" s="72">
        <v>0</v>
      </c>
      <c r="J12" s="27"/>
      <c r="K12" s="55"/>
      <c r="L12" s="265" cm="1">
        <f t="array" ref="L12:U13">_xlfn.SEQUENCE(2,10)</f>
        <v>1</v>
      </c>
      <c r="M12" s="265">
        <v>2</v>
      </c>
      <c r="N12" s="265">
        <v>3</v>
      </c>
      <c r="O12" s="265">
        <v>4</v>
      </c>
      <c r="P12" s="265">
        <v>5</v>
      </c>
      <c r="Q12" s="265">
        <v>6</v>
      </c>
      <c r="R12" s="265">
        <v>7</v>
      </c>
      <c r="S12" s="265">
        <v>8</v>
      </c>
      <c r="T12" s="265">
        <v>9</v>
      </c>
      <c r="U12" s="265">
        <v>10</v>
      </c>
      <c r="AA12" s="27"/>
      <c r="AB12" s="55"/>
    </row>
    <row r="13" spans="2:28">
      <c r="B13" s="265">
        <v>3</v>
      </c>
      <c r="C13" s="265">
        <v>4</v>
      </c>
      <c r="D13" s="10"/>
      <c r="E13" s="268" t="str">
        <v/>
      </c>
      <c r="F13" s="269" t="str">
        <v/>
      </c>
      <c r="H13" s="72">
        <v>1</v>
      </c>
      <c r="I13" s="72">
        <v>2</v>
      </c>
      <c r="J13" s="27"/>
      <c r="K13" s="55"/>
      <c r="L13" s="265">
        <v>11</v>
      </c>
      <c r="M13" s="265">
        <v>12</v>
      </c>
      <c r="N13" s="265">
        <v>13</v>
      </c>
      <c r="O13" s="265">
        <v>14</v>
      </c>
      <c r="P13" s="265">
        <v>15</v>
      </c>
      <c r="Q13" s="265">
        <v>16</v>
      </c>
      <c r="R13" s="265">
        <v>17</v>
      </c>
      <c r="S13" s="265">
        <v>18</v>
      </c>
      <c r="T13" s="265">
        <v>19</v>
      </c>
      <c r="U13" s="265">
        <v>20</v>
      </c>
      <c r="AA13" s="27"/>
      <c r="AB13" s="55"/>
    </row>
    <row r="14" spans="2:28">
      <c r="B14" s="265">
        <v>5</v>
      </c>
      <c r="C14" s="265">
        <v>6</v>
      </c>
      <c r="D14" s="10"/>
      <c r="E14" s="268">
        <v>1</v>
      </c>
      <c r="F14" s="269">
        <v>2</v>
      </c>
      <c r="H14" s="72">
        <v>3</v>
      </c>
      <c r="I14" s="72">
        <v>4</v>
      </c>
      <c r="J14" s="27"/>
      <c r="K14" s="55"/>
      <c r="AA14" s="27"/>
      <c r="AB14" s="55"/>
    </row>
    <row r="15" spans="2:28">
      <c r="B15" s="265">
        <v>7</v>
      </c>
      <c r="C15" s="265">
        <v>8</v>
      </c>
      <c r="D15" s="10"/>
      <c r="E15" s="268">
        <v>3</v>
      </c>
      <c r="F15" s="269">
        <v>4</v>
      </c>
      <c r="H15" s="72">
        <v>5</v>
      </c>
      <c r="I15" s="72">
        <v>6</v>
      </c>
      <c r="J15" s="27"/>
      <c r="K15" s="55"/>
      <c r="AA15" s="27"/>
      <c r="AB15" s="55"/>
    </row>
    <row r="16" spans="2:28">
      <c r="B16" s="265">
        <v>9</v>
      </c>
      <c r="C16" s="265">
        <v>10</v>
      </c>
      <c r="D16" s="10"/>
      <c r="E16" s="268">
        <v>5</v>
      </c>
      <c r="F16" s="269">
        <v>6</v>
      </c>
      <c r="H16" s="72">
        <v>7</v>
      </c>
      <c r="I16" s="72">
        <v>8</v>
      </c>
      <c r="J16" s="27"/>
      <c r="K16" s="55"/>
      <c r="L16" s="25" t="s">
        <v>357</v>
      </c>
      <c r="AA16" s="27"/>
      <c r="AB16" s="55"/>
    </row>
    <row r="17" spans="2:28" ht="17" thickBot="1">
      <c r="B17" s="265">
        <v>11</v>
      </c>
      <c r="C17" s="265">
        <v>12</v>
      </c>
      <c r="D17" s="10"/>
      <c r="E17" s="268">
        <v>7</v>
      </c>
      <c r="F17" s="269">
        <v>8</v>
      </c>
      <c r="H17" s="72">
        <v>9</v>
      </c>
      <c r="I17" s="72">
        <v>10</v>
      </c>
      <c r="J17" s="27"/>
      <c r="K17" s="55"/>
      <c r="L17" s="32" t="s">
        <v>470</v>
      </c>
      <c r="AA17" s="27"/>
      <c r="AB17" s="55"/>
    </row>
    <row r="18" spans="2:28">
      <c r="B18" s="265">
        <v>13</v>
      </c>
      <c r="C18" s="265">
        <v>14</v>
      </c>
      <c r="D18" s="10"/>
      <c r="E18" s="268">
        <v>9</v>
      </c>
      <c r="F18" s="269">
        <v>10</v>
      </c>
      <c r="H18" s="72">
        <v>11</v>
      </c>
      <c r="I18" s="72">
        <v>12</v>
      </c>
      <c r="J18" s="27"/>
      <c r="K18" s="55"/>
      <c r="L18" s="266" t="str" cm="1">
        <f t="array" ref="L18:Y19">InsulateColsλ(_xlfn.ANCHORARRAY(L12),2)</f>
        <v/>
      </c>
      <c r="M18" s="272" t="str">
        <v/>
      </c>
      <c r="N18" s="272">
        <v>1</v>
      </c>
      <c r="O18" s="272">
        <v>2</v>
      </c>
      <c r="P18" s="272">
        <v>3</v>
      </c>
      <c r="Q18" s="272">
        <v>4</v>
      </c>
      <c r="R18" s="272">
        <v>5</v>
      </c>
      <c r="S18" s="272">
        <v>6</v>
      </c>
      <c r="T18" s="272">
        <v>7</v>
      </c>
      <c r="U18" s="272">
        <v>8</v>
      </c>
      <c r="V18" s="272">
        <v>9</v>
      </c>
      <c r="W18" s="272">
        <v>10</v>
      </c>
      <c r="X18" s="272" t="str">
        <v/>
      </c>
      <c r="Y18" s="267" t="str">
        <v/>
      </c>
      <c r="AA18" s="27"/>
      <c r="AB18" s="55"/>
    </row>
    <row r="19" spans="2:28" ht="17" thickBot="1">
      <c r="B19" s="265">
        <v>15</v>
      </c>
      <c r="C19" s="265">
        <v>16</v>
      </c>
      <c r="D19" s="10"/>
      <c r="E19" s="268">
        <v>11</v>
      </c>
      <c r="F19" s="269">
        <v>12</v>
      </c>
      <c r="H19" s="72">
        <v>13</v>
      </c>
      <c r="I19" s="72">
        <v>14</v>
      </c>
      <c r="J19" s="27"/>
      <c r="K19" s="55"/>
      <c r="L19" s="270" t="str">
        <v/>
      </c>
      <c r="M19" s="273" t="str">
        <v/>
      </c>
      <c r="N19" s="273">
        <v>11</v>
      </c>
      <c r="O19" s="273">
        <v>12</v>
      </c>
      <c r="P19" s="273">
        <v>13</v>
      </c>
      <c r="Q19" s="273">
        <v>14</v>
      </c>
      <c r="R19" s="273">
        <v>15</v>
      </c>
      <c r="S19" s="273">
        <v>16</v>
      </c>
      <c r="T19" s="273">
        <v>17</v>
      </c>
      <c r="U19" s="273">
        <v>18</v>
      </c>
      <c r="V19" s="273">
        <v>19</v>
      </c>
      <c r="W19" s="273">
        <v>20</v>
      </c>
      <c r="X19" s="273" t="str">
        <v/>
      </c>
      <c r="Y19" s="271" t="str">
        <v/>
      </c>
      <c r="AA19" s="27"/>
      <c r="AB19" s="55"/>
    </row>
    <row r="20" spans="2:28">
      <c r="B20" s="265">
        <v>17</v>
      </c>
      <c r="C20" s="265">
        <v>18</v>
      </c>
      <c r="D20" s="10"/>
      <c r="E20" s="268">
        <v>13</v>
      </c>
      <c r="F20" s="269">
        <v>14</v>
      </c>
      <c r="H20" s="72">
        <v>15</v>
      </c>
      <c r="I20" s="72">
        <v>16</v>
      </c>
      <c r="J20" s="27"/>
      <c r="K20" s="55"/>
      <c r="AA20" s="27"/>
      <c r="AB20" s="55"/>
    </row>
    <row r="21" spans="2:28">
      <c r="B21" s="265">
        <v>19</v>
      </c>
      <c r="C21" s="265">
        <v>20</v>
      </c>
      <c r="D21" s="10"/>
      <c r="E21" s="268">
        <v>15</v>
      </c>
      <c r="F21" s="269">
        <v>16</v>
      </c>
      <c r="H21" s="72">
        <v>17</v>
      </c>
      <c r="I21" s="72">
        <v>18</v>
      </c>
      <c r="J21" s="27"/>
      <c r="K21" s="55"/>
      <c r="AA21" s="27"/>
      <c r="AB21" s="55"/>
    </row>
    <row r="22" spans="2:28">
      <c r="B22" s="55"/>
      <c r="E22" s="268">
        <v>17</v>
      </c>
      <c r="F22" s="269">
        <v>18</v>
      </c>
      <c r="H22" s="72">
        <v>19</v>
      </c>
      <c r="I22" s="72">
        <v>20</v>
      </c>
      <c r="J22" s="27"/>
      <c r="K22" s="55"/>
      <c r="L22" s="25" t="s">
        <v>358</v>
      </c>
      <c r="AA22" s="27"/>
      <c r="AB22" s="55"/>
    </row>
    <row r="23" spans="2:28">
      <c r="B23" s="55"/>
      <c r="E23" s="268">
        <v>19</v>
      </c>
      <c r="F23" s="269">
        <v>20</v>
      </c>
      <c r="H23" s="72">
        <v>0</v>
      </c>
      <c r="I23" s="72">
        <v>0</v>
      </c>
      <c r="J23" s="27"/>
      <c r="K23" s="55"/>
      <c r="L23" s="32" t="s">
        <v>471</v>
      </c>
      <c r="AA23" s="27"/>
      <c r="AB23" s="55"/>
    </row>
    <row r="24" spans="2:28">
      <c r="B24" s="55"/>
      <c r="E24" s="268" t="str">
        <v/>
      </c>
      <c r="F24" s="269" t="str">
        <v/>
      </c>
      <c r="H24" s="72">
        <v>0</v>
      </c>
      <c r="I24" s="72">
        <v>0</v>
      </c>
      <c r="J24" s="27"/>
      <c r="K24" s="55"/>
      <c r="L24" s="72" cm="1">
        <f t="array" ref="L24:Y25">InsulateColsλ(_xlfn.ANCHORARRAY(L12),1,3,0)</f>
        <v>0</v>
      </c>
      <c r="M24" s="72">
        <v>1</v>
      </c>
      <c r="N24" s="72">
        <v>2</v>
      </c>
      <c r="O24" s="72">
        <v>3</v>
      </c>
      <c r="P24" s="72">
        <v>4</v>
      </c>
      <c r="Q24" s="72">
        <v>5</v>
      </c>
      <c r="R24" s="72">
        <v>6</v>
      </c>
      <c r="S24" s="72">
        <v>7</v>
      </c>
      <c r="T24" s="72">
        <v>8</v>
      </c>
      <c r="U24" s="72">
        <v>9</v>
      </c>
      <c r="V24" s="72">
        <v>10</v>
      </c>
      <c r="W24" s="72">
        <v>0</v>
      </c>
      <c r="X24" s="72">
        <v>0</v>
      </c>
      <c r="Y24" s="72">
        <v>0</v>
      </c>
      <c r="AA24" s="27"/>
      <c r="AB24" s="55"/>
    </row>
    <row r="25" spans="2:28" ht="17" thickBot="1">
      <c r="B25" s="55"/>
      <c r="E25" s="270" t="str">
        <v/>
      </c>
      <c r="F25" s="271" t="str">
        <v/>
      </c>
      <c r="J25" s="27"/>
      <c r="K25" s="55"/>
      <c r="L25" s="72">
        <v>0</v>
      </c>
      <c r="M25" s="72">
        <v>11</v>
      </c>
      <c r="N25" s="72">
        <v>12</v>
      </c>
      <c r="O25" s="72">
        <v>13</v>
      </c>
      <c r="P25" s="72">
        <v>14</v>
      </c>
      <c r="Q25" s="72">
        <v>15</v>
      </c>
      <c r="R25" s="72">
        <v>16</v>
      </c>
      <c r="S25" s="72">
        <v>17</v>
      </c>
      <c r="T25" s="72">
        <v>18</v>
      </c>
      <c r="U25" s="72">
        <v>19</v>
      </c>
      <c r="V25" s="72">
        <v>20</v>
      </c>
      <c r="W25" s="72">
        <v>0</v>
      </c>
      <c r="X25" s="72">
        <v>0</v>
      </c>
      <c r="Y25" s="72">
        <v>0</v>
      </c>
      <c r="AA25" s="27"/>
      <c r="AB25" s="55"/>
    </row>
    <row r="26" spans="2:28">
      <c r="B26" s="55"/>
      <c r="J26" s="27"/>
      <c r="K26" s="55"/>
      <c r="AA26" s="27"/>
      <c r="AB26" s="55"/>
    </row>
    <row r="27" spans="2:28">
      <c r="B27" s="55"/>
      <c r="K27" s="55"/>
      <c r="AA27" s="27"/>
      <c r="AB27" s="55"/>
    </row>
    <row r="28" spans="2:28">
      <c r="B28" s="55"/>
      <c r="E28" s="54" t="s">
        <v>359</v>
      </c>
      <c r="J28" s="27"/>
      <c r="K28" s="55"/>
      <c r="AA28" s="27"/>
      <c r="AB28" s="55"/>
    </row>
    <row r="29" spans="2:28">
      <c r="B29" s="56"/>
      <c r="C29" s="43"/>
      <c r="D29" s="43"/>
      <c r="E29" s="43"/>
      <c r="F29" s="43"/>
      <c r="G29" s="43"/>
      <c r="H29" s="43"/>
      <c r="I29" s="43"/>
      <c r="J29" s="44"/>
      <c r="K29" s="56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4"/>
      <c r="AB29" s="55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E310D-2674-4457-80B1-403CA73D05F5}">
  <sheetPr codeName="Sheet14">
    <tabColor rgb="FFF2E8D7"/>
  </sheetPr>
  <dimension ref="B2:AL32"/>
  <sheetViews>
    <sheetView workbookViewId="0"/>
  </sheetViews>
  <sheetFormatPr defaultRowHeight="16.5"/>
  <cols>
    <col min="1" max="1" width="5" customWidth="1"/>
    <col min="2" max="3" width="2.58203125" customWidth="1"/>
    <col min="5" max="12" width="2.58203125" customWidth="1"/>
    <col min="13" max="13" width="13.58203125" customWidth="1"/>
    <col min="14" max="14" width="1.58203125" customWidth="1"/>
    <col min="15" max="20" width="2.58203125" customWidth="1"/>
    <col min="23" max="37" width="2.58203125" customWidth="1"/>
  </cols>
  <sheetData>
    <row r="2" spans="2:38">
      <c r="B2" s="160" t="s">
        <v>360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2"/>
    </row>
    <row r="3" spans="2:38">
      <c r="B3" s="52" t="s">
        <v>361</v>
      </c>
      <c r="AL3" s="27"/>
    </row>
    <row r="4" spans="2:38">
      <c r="B4" s="52" t="s">
        <v>362</v>
      </c>
      <c r="AL4" s="27"/>
    </row>
    <row r="5" spans="2:38">
      <c r="B5" s="52" t="s">
        <v>363</v>
      </c>
      <c r="AL5" s="27"/>
    </row>
    <row r="6" spans="2:38">
      <c r="B6" s="52"/>
      <c r="AL6" s="27"/>
    </row>
    <row r="7" spans="2:38">
      <c r="B7" s="56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4"/>
    </row>
    <row r="8" spans="2:38">
      <c r="B8" s="21" t="s">
        <v>234</v>
      </c>
      <c r="C8" s="41"/>
      <c r="D8" s="41"/>
      <c r="E8" s="37" t="s">
        <v>472</v>
      </c>
      <c r="F8" s="41"/>
      <c r="G8" s="41"/>
      <c r="H8" s="41"/>
      <c r="I8" s="41"/>
      <c r="J8" s="41"/>
      <c r="K8" s="41"/>
      <c r="L8" s="41"/>
      <c r="M8" s="42"/>
      <c r="N8" s="57"/>
      <c r="O8" s="37" t="s">
        <v>369</v>
      </c>
      <c r="P8" s="41"/>
      <c r="Q8" s="41"/>
      <c r="R8" s="41"/>
      <c r="S8" s="41"/>
      <c r="T8" s="41"/>
      <c r="U8" s="41"/>
      <c r="V8" s="42"/>
      <c r="W8" s="21" t="s">
        <v>234</v>
      </c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2"/>
    </row>
    <row r="9" spans="2:38">
      <c r="B9" s="207" t="s">
        <v>364</v>
      </c>
      <c r="E9" s="32" t="s">
        <v>365</v>
      </c>
      <c r="M9" s="27"/>
      <c r="N9" s="55"/>
      <c r="O9" s="208" t="s">
        <v>367</v>
      </c>
      <c r="V9" s="27"/>
      <c r="W9" s="207" t="s">
        <v>371</v>
      </c>
      <c r="AL9" s="27"/>
    </row>
    <row r="10" spans="2:38">
      <c r="B10" s="122">
        <v>1</v>
      </c>
      <c r="C10" s="90">
        <v>2</v>
      </c>
      <c r="E10" s="274" cm="1">
        <f t="array" ref="E10:L13">Magnifyλ(MiniGrid,2,4)</f>
        <v>1</v>
      </c>
      <c r="F10" s="274">
        <v>1</v>
      </c>
      <c r="G10" s="274">
        <v>1</v>
      </c>
      <c r="H10" s="274">
        <v>1</v>
      </c>
      <c r="I10" s="275">
        <v>2</v>
      </c>
      <c r="J10" s="275">
        <v>2</v>
      </c>
      <c r="K10" s="276">
        <v>2</v>
      </c>
      <c r="L10" s="276">
        <v>2</v>
      </c>
      <c r="M10" s="27"/>
      <c r="N10" s="55"/>
      <c r="O10" s="122" cm="1">
        <f t="array" ref="O10:Q13">MGridλ(_xlfn.SEQUENCE(4,3))</f>
        <v>1</v>
      </c>
      <c r="P10" s="122">
        <v>1</v>
      </c>
      <c r="Q10" s="122">
        <v>1</v>
      </c>
      <c r="V10" s="27"/>
      <c r="W10" s="281" cm="1">
        <f t="array" ref="W10:Y12">_xlfn.SEQUENCE(3,3)</f>
        <v>1</v>
      </c>
      <c r="X10" s="210">
        <v>2</v>
      </c>
      <c r="Y10" s="196">
        <v>3</v>
      </c>
      <c r="AL10" s="27"/>
    </row>
    <row r="11" spans="2:38">
      <c r="B11" s="123">
        <v>3</v>
      </c>
      <c r="C11" s="91">
        <v>4</v>
      </c>
      <c r="E11" s="274">
        <v>1</v>
      </c>
      <c r="F11" s="274">
        <v>1</v>
      </c>
      <c r="G11" s="274">
        <v>1</v>
      </c>
      <c r="H11" s="274">
        <v>1</v>
      </c>
      <c r="I11" s="275">
        <v>2</v>
      </c>
      <c r="J11" s="275">
        <v>2</v>
      </c>
      <c r="K11" s="276">
        <v>2</v>
      </c>
      <c r="L11" s="276">
        <v>2</v>
      </c>
      <c r="M11" s="27"/>
      <c r="N11" s="55"/>
      <c r="O11" s="278">
        <v>2</v>
      </c>
      <c r="P11" s="278">
        <v>2</v>
      </c>
      <c r="Q11" s="278">
        <v>2</v>
      </c>
      <c r="V11" s="27"/>
      <c r="W11" s="282">
        <v>4</v>
      </c>
      <c r="X11" s="283">
        <v>5</v>
      </c>
      <c r="Y11" s="284">
        <v>6</v>
      </c>
      <c r="AL11" s="27"/>
    </row>
    <row r="12" spans="2:38">
      <c r="B12" s="55"/>
      <c r="E12" s="277">
        <v>3</v>
      </c>
      <c r="F12" s="277">
        <v>3</v>
      </c>
      <c r="G12" s="277">
        <v>3</v>
      </c>
      <c r="H12" s="277">
        <v>3</v>
      </c>
      <c r="I12" s="91">
        <v>4</v>
      </c>
      <c r="J12" s="91">
        <v>4</v>
      </c>
      <c r="K12" s="101">
        <v>4</v>
      </c>
      <c r="L12" s="101">
        <v>4</v>
      </c>
      <c r="M12" s="27"/>
      <c r="N12" s="55"/>
      <c r="O12" s="279">
        <v>3</v>
      </c>
      <c r="P12" s="279">
        <v>3</v>
      </c>
      <c r="Q12" s="279">
        <v>3</v>
      </c>
      <c r="V12" s="27"/>
      <c r="W12" s="285">
        <v>7</v>
      </c>
      <c r="X12" s="286">
        <v>8</v>
      </c>
      <c r="Y12" s="287">
        <v>9</v>
      </c>
      <c r="AL12" s="27"/>
    </row>
    <row r="13" spans="2:38">
      <c r="B13" s="55"/>
      <c r="E13" s="277">
        <v>3</v>
      </c>
      <c r="F13" s="277">
        <v>3</v>
      </c>
      <c r="G13" s="277">
        <v>3</v>
      </c>
      <c r="H13" s="277">
        <v>3</v>
      </c>
      <c r="I13" s="91">
        <v>4</v>
      </c>
      <c r="J13" s="91">
        <v>4</v>
      </c>
      <c r="K13" s="101">
        <v>4</v>
      </c>
      <c r="L13" s="101">
        <v>4</v>
      </c>
      <c r="M13" s="27"/>
      <c r="N13" s="55"/>
      <c r="O13" s="280">
        <v>4</v>
      </c>
      <c r="P13" s="280">
        <v>4</v>
      </c>
      <c r="Q13" s="280">
        <v>4</v>
      </c>
      <c r="V13" s="27"/>
      <c r="W13" s="55"/>
      <c r="AL13" s="27"/>
    </row>
    <row r="14" spans="2:38">
      <c r="B14" s="55"/>
      <c r="M14" s="27"/>
      <c r="N14" s="55"/>
      <c r="V14" s="27"/>
      <c r="W14" s="55"/>
      <c r="AL14" s="27"/>
    </row>
    <row r="15" spans="2:38">
      <c r="B15" s="55"/>
      <c r="E15" s="25" t="s">
        <v>473</v>
      </c>
      <c r="M15" s="27"/>
      <c r="N15" s="55"/>
      <c r="O15" s="25" t="s">
        <v>474</v>
      </c>
      <c r="V15" s="27"/>
      <c r="W15" s="17" t="s">
        <v>475</v>
      </c>
      <c r="AL15" s="27"/>
    </row>
    <row r="16" spans="2:38">
      <c r="B16" s="55"/>
      <c r="E16" s="32" t="s">
        <v>366</v>
      </c>
      <c r="M16" s="27"/>
      <c r="N16" s="55"/>
      <c r="O16" s="32" t="s">
        <v>368</v>
      </c>
      <c r="V16" s="27"/>
      <c r="W16" s="59" t="s">
        <v>370</v>
      </c>
      <c r="AL16" s="27"/>
    </row>
    <row r="17" spans="2:38">
      <c r="B17" s="55"/>
      <c r="E17" s="274" cm="1">
        <f t="array" ref="E17:H24">Magnifyλ(MiniGrid,4,2)</f>
        <v>1</v>
      </c>
      <c r="F17" s="274">
        <v>1</v>
      </c>
      <c r="G17" s="275">
        <v>2</v>
      </c>
      <c r="H17" s="275">
        <v>2</v>
      </c>
      <c r="M17" s="27"/>
      <c r="N17" s="55"/>
      <c r="O17" s="122" cm="1">
        <f t="array" ref="O17:T28">Magnifyλ(_xlfn.ANCHORARRAY(O10),3,2)</f>
        <v>1</v>
      </c>
      <c r="P17" s="72">
        <v>1</v>
      </c>
      <c r="Q17" s="72">
        <v>1</v>
      </c>
      <c r="R17" s="72">
        <v>1</v>
      </c>
      <c r="S17" s="72">
        <v>1</v>
      </c>
      <c r="T17" s="72">
        <v>1</v>
      </c>
      <c r="V17" s="27"/>
      <c r="W17" s="281" cm="1">
        <f t="array" ref="W17:AK31">Magnifyλ(_xlfn.ANCHORARRAY(W10),5,5)</f>
        <v>1</v>
      </c>
      <c r="X17" s="77">
        <v>1</v>
      </c>
      <c r="Y17" s="77">
        <v>1</v>
      </c>
      <c r="Z17" s="77">
        <v>1</v>
      </c>
      <c r="AA17" s="77">
        <v>1</v>
      </c>
      <c r="AB17" s="210">
        <v>2</v>
      </c>
      <c r="AC17" s="77">
        <v>2</v>
      </c>
      <c r="AD17" s="77">
        <v>2</v>
      </c>
      <c r="AE17" s="77">
        <v>2</v>
      </c>
      <c r="AF17" s="77">
        <v>2</v>
      </c>
      <c r="AG17" s="196">
        <v>3</v>
      </c>
      <c r="AH17" s="77">
        <v>3</v>
      </c>
      <c r="AI17" s="77">
        <v>3</v>
      </c>
      <c r="AJ17" s="77">
        <v>3</v>
      </c>
      <c r="AK17" s="77">
        <v>3</v>
      </c>
      <c r="AL17" s="27"/>
    </row>
    <row r="18" spans="2:38">
      <c r="B18" s="55"/>
      <c r="E18" s="274">
        <v>1</v>
      </c>
      <c r="F18" s="274">
        <v>1</v>
      </c>
      <c r="G18" s="275">
        <v>2</v>
      </c>
      <c r="H18" s="275">
        <v>2</v>
      </c>
      <c r="M18" s="27"/>
      <c r="N18" s="55"/>
      <c r="O18" s="72">
        <v>1</v>
      </c>
      <c r="P18" s="72">
        <v>1</v>
      </c>
      <c r="Q18" s="72">
        <v>1</v>
      </c>
      <c r="R18" s="72">
        <v>1</v>
      </c>
      <c r="S18" s="72">
        <v>1</v>
      </c>
      <c r="T18" s="72">
        <v>1</v>
      </c>
      <c r="V18" s="27"/>
      <c r="W18" s="77">
        <v>1</v>
      </c>
      <c r="X18" s="77">
        <v>1</v>
      </c>
      <c r="Y18" s="77">
        <v>1</v>
      </c>
      <c r="Z18" s="77">
        <v>1</v>
      </c>
      <c r="AA18" s="77">
        <v>1</v>
      </c>
      <c r="AB18" s="77">
        <v>2</v>
      </c>
      <c r="AC18" s="77">
        <v>2</v>
      </c>
      <c r="AD18" s="77">
        <v>2</v>
      </c>
      <c r="AE18" s="77">
        <v>2</v>
      </c>
      <c r="AF18" s="77">
        <v>2</v>
      </c>
      <c r="AG18" s="77">
        <v>3</v>
      </c>
      <c r="AH18" s="77">
        <v>3</v>
      </c>
      <c r="AI18" s="77">
        <v>3</v>
      </c>
      <c r="AJ18" s="77">
        <v>3</v>
      </c>
      <c r="AK18" s="77">
        <v>3</v>
      </c>
      <c r="AL18" s="27"/>
    </row>
    <row r="19" spans="2:38">
      <c r="B19" s="55"/>
      <c r="E19" s="274">
        <v>1</v>
      </c>
      <c r="F19" s="274">
        <v>1</v>
      </c>
      <c r="G19" s="275">
        <v>2</v>
      </c>
      <c r="H19" s="275">
        <v>2</v>
      </c>
      <c r="M19" s="27"/>
      <c r="N19" s="55"/>
      <c r="O19" s="72">
        <v>1</v>
      </c>
      <c r="P19" s="72">
        <v>1</v>
      </c>
      <c r="Q19" s="72">
        <v>1</v>
      </c>
      <c r="R19" s="72">
        <v>1</v>
      </c>
      <c r="S19" s="72">
        <v>1</v>
      </c>
      <c r="T19" s="72">
        <v>1</v>
      </c>
      <c r="V19" s="27"/>
      <c r="W19" s="77">
        <v>1</v>
      </c>
      <c r="X19" s="77">
        <v>1</v>
      </c>
      <c r="Y19" s="77">
        <v>1</v>
      </c>
      <c r="Z19" s="77">
        <v>1</v>
      </c>
      <c r="AA19" s="77">
        <v>1</v>
      </c>
      <c r="AB19" s="77">
        <v>2</v>
      </c>
      <c r="AC19" s="77">
        <v>2</v>
      </c>
      <c r="AD19" s="77">
        <v>2</v>
      </c>
      <c r="AE19" s="77">
        <v>2</v>
      </c>
      <c r="AF19" s="77">
        <v>2</v>
      </c>
      <c r="AG19" s="77">
        <v>3</v>
      </c>
      <c r="AH19" s="77">
        <v>3</v>
      </c>
      <c r="AI19" s="77">
        <v>3</v>
      </c>
      <c r="AJ19" s="77">
        <v>3</v>
      </c>
      <c r="AK19" s="77">
        <v>3</v>
      </c>
      <c r="AL19" s="27"/>
    </row>
    <row r="20" spans="2:38">
      <c r="B20" s="55"/>
      <c r="E20" s="274">
        <v>1</v>
      </c>
      <c r="F20" s="274">
        <v>1</v>
      </c>
      <c r="G20" s="275">
        <v>2</v>
      </c>
      <c r="H20" s="275">
        <v>2</v>
      </c>
      <c r="M20" s="27"/>
      <c r="N20" s="55"/>
      <c r="O20" s="278">
        <v>2</v>
      </c>
      <c r="P20" s="72">
        <v>2</v>
      </c>
      <c r="Q20" s="72">
        <v>2</v>
      </c>
      <c r="R20" s="72">
        <v>2</v>
      </c>
      <c r="S20" s="72">
        <v>2</v>
      </c>
      <c r="T20" s="72">
        <v>2</v>
      </c>
      <c r="V20" s="27"/>
      <c r="W20" s="77">
        <v>1</v>
      </c>
      <c r="X20" s="77">
        <v>1</v>
      </c>
      <c r="Y20" s="77">
        <v>1</v>
      </c>
      <c r="Z20" s="77">
        <v>1</v>
      </c>
      <c r="AA20" s="77">
        <v>1</v>
      </c>
      <c r="AB20" s="77">
        <v>2</v>
      </c>
      <c r="AC20" s="77">
        <v>2</v>
      </c>
      <c r="AD20" s="77">
        <v>2</v>
      </c>
      <c r="AE20" s="77">
        <v>2</v>
      </c>
      <c r="AF20" s="77">
        <v>2</v>
      </c>
      <c r="AG20" s="77">
        <v>3</v>
      </c>
      <c r="AH20" s="77">
        <v>3</v>
      </c>
      <c r="AI20" s="77">
        <v>3</v>
      </c>
      <c r="AJ20" s="77">
        <v>3</v>
      </c>
      <c r="AK20" s="77">
        <v>3</v>
      </c>
      <c r="AL20" s="27"/>
    </row>
    <row r="21" spans="2:38">
      <c r="B21" s="55"/>
      <c r="E21" s="277">
        <v>3</v>
      </c>
      <c r="F21" s="277">
        <v>3</v>
      </c>
      <c r="G21" s="91">
        <v>4</v>
      </c>
      <c r="H21" s="91">
        <v>4</v>
      </c>
      <c r="M21" s="27"/>
      <c r="N21" s="55"/>
      <c r="O21" s="72">
        <v>2</v>
      </c>
      <c r="P21" s="72">
        <v>2</v>
      </c>
      <c r="Q21" s="72">
        <v>2</v>
      </c>
      <c r="R21" s="72">
        <v>2</v>
      </c>
      <c r="S21" s="72">
        <v>2</v>
      </c>
      <c r="T21" s="72">
        <v>2</v>
      </c>
      <c r="V21" s="27"/>
      <c r="W21" s="77">
        <v>1</v>
      </c>
      <c r="X21" s="77">
        <v>1</v>
      </c>
      <c r="Y21" s="77">
        <v>1</v>
      </c>
      <c r="Z21" s="77">
        <v>1</v>
      </c>
      <c r="AA21" s="77">
        <v>1</v>
      </c>
      <c r="AB21" s="77">
        <v>2</v>
      </c>
      <c r="AC21" s="77">
        <v>2</v>
      </c>
      <c r="AD21" s="77">
        <v>2</v>
      </c>
      <c r="AE21" s="77">
        <v>2</v>
      </c>
      <c r="AF21" s="77">
        <v>2</v>
      </c>
      <c r="AG21" s="77">
        <v>3</v>
      </c>
      <c r="AH21" s="77">
        <v>3</v>
      </c>
      <c r="AI21" s="77">
        <v>3</v>
      </c>
      <c r="AJ21" s="77">
        <v>3</v>
      </c>
      <c r="AK21" s="77">
        <v>3</v>
      </c>
      <c r="AL21" s="27"/>
    </row>
    <row r="22" spans="2:38">
      <c r="B22" s="55"/>
      <c r="E22" s="277">
        <v>3</v>
      </c>
      <c r="F22" s="277">
        <v>3</v>
      </c>
      <c r="G22" s="91">
        <v>4</v>
      </c>
      <c r="H22" s="91">
        <v>4</v>
      </c>
      <c r="M22" s="27"/>
      <c r="N22" s="55"/>
      <c r="O22" s="72">
        <v>2</v>
      </c>
      <c r="P22" s="72">
        <v>2</v>
      </c>
      <c r="Q22" s="72">
        <v>2</v>
      </c>
      <c r="R22" s="72">
        <v>2</v>
      </c>
      <c r="S22" s="72">
        <v>2</v>
      </c>
      <c r="T22" s="72">
        <v>2</v>
      </c>
      <c r="V22" s="27"/>
      <c r="W22" s="282">
        <v>4</v>
      </c>
      <c r="X22" s="77">
        <v>4</v>
      </c>
      <c r="Y22" s="77">
        <v>4</v>
      </c>
      <c r="Z22" s="77">
        <v>4</v>
      </c>
      <c r="AA22" s="77">
        <v>4</v>
      </c>
      <c r="AB22" s="283">
        <v>5</v>
      </c>
      <c r="AC22" s="77">
        <v>5</v>
      </c>
      <c r="AD22" s="77">
        <v>5</v>
      </c>
      <c r="AE22" s="77">
        <v>5</v>
      </c>
      <c r="AF22" s="77">
        <v>5</v>
      </c>
      <c r="AG22" s="284">
        <v>6</v>
      </c>
      <c r="AH22" s="77">
        <v>6</v>
      </c>
      <c r="AI22" s="77">
        <v>6</v>
      </c>
      <c r="AJ22" s="77">
        <v>6</v>
      </c>
      <c r="AK22" s="77">
        <v>6</v>
      </c>
      <c r="AL22" s="27"/>
    </row>
    <row r="23" spans="2:38">
      <c r="B23" s="55"/>
      <c r="E23" s="277">
        <v>3</v>
      </c>
      <c r="F23" s="277">
        <v>3</v>
      </c>
      <c r="G23" s="91">
        <v>4</v>
      </c>
      <c r="H23" s="91">
        <v>4</v>
      </c>
      <c r="M23" s="27"/>
      <c r="N23" s="55"/>
      <c r="O23" s="279">
        <v>3</v>
      </c>
      <c r="P23" s="72">
        <v>3</v>
      </c>
      <c r="Q23" s="72">
        <v>3</v>
      </c>
      <c r="R23" s="72">
        <v>3</v>
      </c>
      <c r="S23" s="72">
        <v>3</v>
      </c>
      <c r="T23" s="72">
        <v>3</v>
      </c>
      <c r="V23" s="27"/>
      <c r="W23" s="77">
        <v>4</v>
      </c>
      <c r="X23" s="77">
        <v>4</v>
      </c>
      <c r="Y23" s="77">
        <v>4</v>
      </c>
      <c r="Z23" s="77">
        <v>4</v>
      </c>
      <c r="AA23" s="77">
        <v>4</v>
      </c>
      <c r="AB23" s="77">
        <v>5</v>
      </c>
      <c r="AC23" s="77">
        <v>5</v>
      </c>
      <c r="AD23" s="77">
        <v>5</v>
      </c>
      <c r="AE23" s="77">
        <v>5</v>
      </c>
      <c r="AF23" s="77">
        <v>5</v>
      </c>
      <c r="AG23" s="77">
        <v>6</v>
      </c>
      <c r="AH23" s="77">
        <v>6</v>
      </c>
      <c r="AI23" s="77">
        <v>6</v>
      </c>
      <c r="AJ23" s="77">
        <v>6</v>
      </c>
      <c r="AK23" s="77">
        <v>6</v>
      </c>
      <c r="AL23" s="27"/>
    </row>
    <row r="24" spans="2:38">
      <c r="B24" s="55"/>
      <c r="E24" s="277">
        <v>3</v>
      </c>
      <c r="F24" s="277">
        <v>3</v>
      </c>
      <c r="G24" s="91">
        <v>4</v>
      </c>
      <c r="H24" s="91">
        <v>4</v>
      </c>
      <c r="M24" s="27"/>
      <c r="N24" s="55"/>
      <c r="O24" s="72">
        <v>3</v>
      </c>
      <c r="P24" s="72">
        <v>3</v>
      </c>
      <c r="Q24" s="72">
        <v>3</v>
      </c>
      <c r="R24" s="72">
        <v>3</v>
      </c>
      <c r="S24" s="72">
        <v>3</v>
      </c>
      <c r="T24" s="72">
        <v>3</v>
      </c>
      <c r="V24" s="27"/>
      <c r="W24" s="77">
        <v>4</v>
      </c>
      <c r="X24" s="77">
        <v>4</v>
      </c>
      <c r="Y24" s="77">
        <v>4</v>
      </c>
      <c r="Z24" s="77">
        <v>4</v>
      </c>
      <c r="AA24" s="77">
        <v>4</v>
      </c>
      <c r="AB24" s="77">
        <v>5</v>
      </c>
      <c r="AC24" s="77">
        <v>5</v>
      </c>
      <c r="AD24" s="77">
        <v>5</v>
      </c>
      <c r="AE24" s="77">
        <v>5</v>
      </c>
      <c r="AF24" s="77">
        <v>5</v>
      </c>
      <c r="AG24" s="77">
        <v>6</v>
      </c>
      <c r="AH24" s="77">
        <v>6</v>
      </c>
      <c r="AI24" s="77">
        <v>6</v>
      </c>
      <c r="AJ24" s="77">
        <v>6</v>
      </c>
      <c r="AK24" s="77">
        <v>6</v>
      </c>
      <c r="AL24" s="27"/>
    </row>
    <row r="25" spans="2:38">
      <c r="B25" s="55"/>
      <c r="M25" s="27"/>
      <c r="N25" s="55"/>
      <c r="O25" s="72">
        <v>3</v>
      </c>
      <c r="P25" s="72">
        <v>3</v>
      </c>
      <c r="Q25" s="72">
        <v>3</v>
      </c>
      <c r="R25" s="72">
        <v>3</v>
      </c>
      <c r="S25" s="72">
        <v>3</v>
      </c>
      <c r="T25" s="72">
        <v>3</v>
      </c>
      <c r="V25" s="27"/>
      <c r="W25" s="77">
        <v>4</v>
      </c>
      <c r="X25" s="77">
        <v>4</v>
      </c>
      <c r="Y25" s="77">
        <v>4</v>
      </c>
      <c r="Z25" s="77">
        <v>4</v>
      </c>
      <c r="AA25" s="77">
        <v>4</v>
      </c>
      <c r="AB25" s="77">
        <v>5</v>
      </c>
      <c r="AC25" s="77">
        <v>5</v>
      </c>
      <c r="AD25" s="77">
        <v>5</v>
      </c>
      <c r="AE25" s="77">
        <v>5</v>
      </c>
      <c r="AF25" s="77">
        <v>5</v>
      </c>
      <c r="AG25" s="77">
        <v>6</v>
      </c>
      <c r="AH25" s="77">
        <v>6</v>
      </c>
      <c r="AI25" s="77">
        <v>6</v>
      </c>
      <c r="AJ25" s="77">
        <v>6</v>
      </c>
      <c r="AK25" s="77">
        <v>6</v>
      </c>
      <c r="AL25" s="27"/>
    </row>
    <row r="26" spans="2:38">
      <c r="B26" s="55"/>
      <c r="M26" s="27"/>
      <c r="N26" s="55"/>
      <c r="O26" s="280">
        <v>4</v>
      </c>
      <c r="P26" s="72">
        <v>4</v>
      </c>
      <c r="Q26" s="72">
        <v>4</v>
      </c>
      <c r="R26" s="72">
        <v>4</v>
      </c>
      <c r="S26" s="72">
        <v>4</v>
      </c>
      <c r="T26" s="72">
        <v>4</v>
      </c>
      <c r="V26" s="27"/>
      <c r="W26" s="77">
        <v>4</v>
      </c>
      <c r="X26" s="77">
        <v>4</v>
      </c>
      <c r="Y26" s="77">
        <v>4</v>
      </c>
      <c r="Z26" s="77">
        <v>4</v>
      </c>
      <c r="AA26" s="77">
        <v>4</v>
      </c>
      <c r="AB26" s="77">
        <v>5</v>
      </c>
      <c r="AC26" s="77">
        <v>5</v>
      </c>
      <c r="AD26" s="77">
        <v>5</v>
      </c>
      <c r="AE26" s="77">
        <v>5</v>
      </c>
      <c r="AF26" s="77">
        <v>5</v>
      </c>
      <c r="AG26" s="77">
        <v>6</v>
      </c>
      <c r="AH26" s="77">
        <v>6</v>
      </c>
      <c r="AI26" s="77">
        <v>6</v>
      </c>
      <c r="AJ26" s="77">
        <v>6</v>
      </c>
      <c r="AK26" s="77">
        <v>6</v>
      </c>
      <c r="AL26" s="27"/>
    </row>
    <row r="27" spans="2:38">
      <c r="B27" s="55"/>
      <c r="M27" s="27"/>
      <c r="N27" s="55"/>
      <c r="O27" s="72">
        <v>4</v>
      </c>
      <c r="P27" s="72">
        <v>4</v>
      </c>
      <c r="Q27" s="72">
        <v>4</v>
      </c>
      <c r="R27" s="72">
        <v>4</v>
      </c>
      <c r="S27" s="72">
        <v>4</v>
      </c>
      <c r="T27" s="72">
        <v>4</v>
      </c>
      <c r="V27" s="27"/>
      <c r="W27" s="285">
        <v>7</v>
      </c>
      <c r="X27" s="77">
        <v>7</v>
      </c>
      <c r="Y27" s="77">
        <v>7</v>
      </c>
      <c r="Z27" s="77">
        <v>7</v>
      </c>
      <c r="AA27" s="77">
        <v>7</v>
      </c>
      <c r="AB27" s="286">
        <v>8</v>
      </c>
      <c r="AC27" s="77">
        <v>8</v>
      </c>
      <c r="AD27" s="77">
        <v>8</v>
      </c>
      <c r="AE27" s="77">
        <v>8</v>
      </c>
      <c r="AF27" s="77">
        <v>8</v>
      </c>
      <c r="AG27" s="287">
        <v>9</v>
      </c>
      <c r="AH27" s="77">
        <v>9</v>
      </c>
      <c r="AI27" s="77">
        <v>9</v>
      </c>
      <c r="AJ27" s="77">
        <v>9</v>
      </c>
      <c r="AK27" s="77">
        <v>9</v>
      </c>
      <c r="AL27" s="27"/>
    </row>
    <row r="28" spans="2:38">
      <c r="B28" s="55"/>
      <c r="M28" s="27"/>
      <c r="N28" s="55"/>
      <c r="O28" s="72">
        <v>4</v>
      </c>
      <c r="P28" s="72">
        <v>4</v>
      </c>
      <c r="Q28" s="72">
        <v>4</v>
      </c>
      <c r="R28" s="72">
        <v>4</v>
      </c>
      <c r="S28" s="72">
        <v>4</v>
      </c>
      <c r="T28" s="72">
        <v>4</v>
      </c>
      <c r="V28" s="27"/>
      <c r="W28" s="77">
        <v>7</v>
      </c>
      <c r="X28" s="77">
        <v>7</v>
      </c>
      <c r="Y28" s="77">
        <v>7</v>
      </c>
      <c r="Z28" s="77">
        <v>7</v>
      </c>
      <c r="AA28" s="77">
        <v>7</v>
      </c>
      <c r="AB28" s="77">
        <v>8</v>
      </c>
      <c r="AC28" s="77">
        <v>8</v>
      </c>
      <c r="AD28" s="77">
        <v>8</v>
      </c>
      <c r="AE28" s="77">
        <v>8</v>
      </c>
      <c r="AF28" s="77">
        <v>8</v>
      </c>
      <c r="AG28" s="77">
        <v>9</v>
      </c>
      <c r="AH28" s="77">
        <v>9</v>
      </c>
      <c r="AI28" s="77">
        <v>9</v>
      </c>
      <c r="AJ28" s="77">
        <v>9</v>
      </c>
      <c r="AK28" s="77">
        <v>9</v>
      </c>
      <c r="AL28" s="27"/>
    </row>
    <row r="29" spans="2:38">
      <c r="B29" s="55"/>
      <c r="M29" s="27"/>
      <c r="N29" s="55"/>
      <c r="V29" s="27"/>
      <c r="W29" s="77">
        <v>7</v>
      </c>
      <c r="X29" s="77">
        <v>7</v>
      </c>
      <c r="Y29" s="77">
        <v>7</v>
      </c>
      <c r="Z29" s="77">
        <v>7</v>
      </c>
      <c r="AA29" s="77">
        <v>7</v>
      </c>
      <c r="AB29" s="77">
        <v>8</v>
      </c>
      <c r="AC29" s="77">
        <v>8</v>
      </c>
      <c r="AD29" s="77">
        <v>8</v>
      </c>
      <c r="AE29" s="77">
        <v>8</v>
      </c>
      <c r="AF29" s="77">
        <v>8</v>
      </c>
      <c r="AG29" s="77">
        <v>9</v>
      </c>
      <c r="AH29" s="77">
        <v>9</v>
      </c>
      <c r="AI29" s="77">
        <v>9</v>
      </c>
      <c r="AJ29" s="77">
        <v>9</v>
      </c>
      <c r="AK29" s="77">
        <v>9</v>
      </c>
      <c r="AL29" s="27"/>
    </row>
    <row r="30" spans="2:38">
      <c r="B30" s="55"/>
      <c r="M30" s="27"/>
      <c r="N30" s="55"/>
      <c r="V30" s="27"/>
      <c r="W30" s="77">
        <v>7</v>
      </c>
      <c r="X30" s="77">
        <v>7</v>
      </c>
      <c r="Y30" s="77">
        <v>7</v>
      </c>
      <c r="Z30" s="77">
        <v>7</v>
      </c>
      <c r="AA30" s="77">
        <v>7</v>
      </c>
      <c r="AB30" s="77">
        <v>8</v>
      </c>
      <c r="AC30" s="77">
        <v>8</v>
      </c>
      <c r="AD30" s="77">
        <v>8</v>
      </c>
      <c r="AE30" s="77">
        <v>8</v>
      </c>
      <c r="AF30" s="77">
        <v>8</v>
      </c>
      <c r="AG30" s="77">
        <v>9</v>
      </c>
      <c r="AH30" s="77">
        <v>9</v>
      </c>
      <c r="AI30" s="77">
        <v>9</v>
      </c>
      <c r="AJ30" s="77">
        <v>9</v>
      </c>
      <c r="AK30" s="77">
        <v>9</v>
      </c>
      <c r="AL30" s="27"/>
    </row>
    <row r="31" spans="2:38">
      <c r="B31" s="55"/>
      <c r="M31" s="27"/>
      <c r="N31" s="55"/>
      <c r="V31" s="27"/>
      <c r="W31" s="77">
        <v>7</v>
      </c>
      <c r="X31" s="77">
        <v>7</v>
      </c>
      <c r="Y31" s="77">
        <v>7</v>
      </c>
      <c r="Z31" s="77">
        <v>7</v>
      </c>
      <c r="AA31" s="77">
        <v>7</v>
      </c>
      <c r="AB31" s="77">
        <v>8</v>
      </c>
      <c r="AC31" s="77">
        <v>8</v>
      </c>
      <c r="AD31" s="77">
        <v>8</v>
      </c>
      <c r="AE31" s="77">
        <v>8</v>
      </c>
      <c r="AF31" s="77">
        <v>8</v>
      </c>
      <c r="AG31" s="77">
        <v>9</v>
      </c>
      <c r="AH31" s="77">
        <v>9</v>
      </c>
      <c r="AI31" s="77">
        <v>9</v>
      </c>
      <c r="AJ31" s="77">
        <v>9</v>
      </c>
      <c r="AK31" s="77">
        <v>9</v>
      </c>
      <c r="AL31" s="27"/>
    </row>
    <row r="32" spans="2:38">
      <c r="B32" s="56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4"/>
      <c r="N32" s="56"/>
      <c r="O32" s="43"/>
      <c r="P32" s="43"/>
      <c r="Q32" s="43"/>
      <c r="R32" s="43"/>
      <c r="S32" s="43"/>
      <c r="T32" s="43"/>
      <c r="U32" s="43"/>
      <c r="V32" s="44"/>
      <c r="W32" s="56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4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55BEE-78AA-40FE-B1AC-C7C3DF369BD4}">
  <sheetPr codeName="Sheet15">
    <tabColor rgb="FFF2E8D7"/>
  </sheetPr>
  <dimension ref="B2:AO49"/>
  <sheetViews>
    <sheetView workbookViewId="0"/>
  </sheetViews>
  <sheetFormatPr defaultRowHeight="16.5"/>
  <cols>
    <col min="1" max="1" width="5" customWidth="1"/>
    <col min="2" max="11" width="3.08203125" customWidth="1"/>
    <col min="12" max="14" width="3.83203125" customWidth="1"/>
    <col min="15" max="15" width="4.83203125" customWidth="1"/>
    <col min="16" max="16" width="3.33203125" customWidth="1"/>
    <col min="17" max="22" width="4.08203125" customWidth="1"/>
    <col min="23" max="23" width="4.58203125" bestFit="1" customWidth="1"/>
    <col min="24" max="24" width="4.5" bestFit="1" customWidth="1"/>
    <col min="25" max="25" width="6.9140625" customWidth="1"/>
    <col min="26" max="26" width="3.83203125" customWidth="1"/>
    <col min="27" max="27" width="4.5" customWidth="1"/>
    <col min="28" max="28" width="4.5" bestFit="1" customWidth="1"/>
    <col min="29" max="29" width="3.83203125" customWidth="1"/>
    <col min="30" max="31" width="4.58203125" customWidth="1"/>
    <col min="32" max="32" width="3.83203125" customWidth="1"/>
    <col min="33" max="34" width="4.5" bestFit="1" customWidth="1"/>
    <col min="35" max="35" width="3.83203125" customWidth="1"/>
    <col min="36" max="37" width="4.5" bestFit="1" customWidth="1"/>
    <col min="38" max="40" width="3.83203125" customWidth="1"/>
    <col min="41" max="41" width="4.5" customWidth="1"/>
  </cols>
  <sheetData>
    <row r="2" spans="2:41">
      <c r="B2" s="160" t="s">
        <v>372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2"/>
    </row>
    <row r="3" spans="2:41">
      <c r="B3" s="52" t="s">
        <v>374</v>
      </c>
      <c r="AO3" s="27"/>
    </row>
    <row r="4" spans="2:41">
      <c r="B4" s="52" t="s">
        <v>375</v>
      </c>
      <c r="AO4" s="27"/>
    </row>
    <row r="5" spans="2:41">
      <c r="B5" s="181" t="s">
        <v>377</v>
      </c>
      <c r="AO5" s="27"/>
    </row>
    <row r="6" spans="2:41">
      <c r="B6" s="181" t="s">
        <v>376</v>
      </c>
      <c r="AO6" s="27"/>
    </row>
    <row r="7" spans="2:41">
      <c r="B7" s="56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4"/>
    </row>
    <row r="8" spans="2:41">
      <c r="B8" s="57"/>
      <c r="C8" s="288" t="s">
        <v>373</v>
      </c>
      <c r="D8" s="41"/>
      <c r="E8" s="41"/>
      <c r="F8" s="41"/>
      <c r="G8" s="223" t="s">
        <v>384</v>
      </c>
      <c r="H8" s="41"/>
      <c r="I8" s="41"/>
      <c r="J8" s="41"/>
      <c r="K8" s="41"/>
      <c r="L8" s="288" t="s">
        <v>391</v>
      </c>
      <c r="M8" s="41"/>
      <c r="N8" s="41"/>
      <c r="O8" s="41"/>
      <c r="P8" s="41"/>
      <c r="Q8" s="41"/>
      <c r="R8" s="41"/>
      <c r="S8" s="288" t="s">
        <v>390</v>
      </c>
      <c r="T8" s="41"/>
      <c r="U8" s="41"/>
      <c r="V8" s="41"/>
      <c r="W8" s="41"/>
      <c r="X8" s="288" t="s">
        <v>378</v>
      </c>
      <c r="Y8" s="41"/>
      <c r="Z8" s="41"/>
      <c r="AA8" s="41"/>
      <c r="AB8" s="41"/>
      <c r="AC8" s="223" t="s">
        <v>381</v>
      </c>
      <c r="AD8" s="41"/>
      <c r="AE8" s="41"/>
      <c r="AF8" s="41"/>
      <c r="AG8" s="41"/>
      <c r="AH8" s="223" t="s">
        <v>387</v>
      </c>
      <c r="AI8" s="41"/>
      <c r="AJ8" s="41"/>
      <c r="AK8" s="41"/>
      <c r="AL8" s="41"/>
      <c r="AM8" s="41"/>
      <c r="AN8" s="41"/>
      <c r="AO8" s="27"/>
    </row>
    <row r="9" spans="2:41">
      <c r="B9" s="55"/>
      <c r="C9" s="128">
        <v>1</v>
      </c>
      <c r="D9" s="90">
        <v>2</v>
      </c>
      <c r="G9" s="72">
        <v>1</v>
      </c>
      <c r="H9" s="72">
        <v>1</v>
      </c>
      <c r="I9" s="72">
        <v>1</v>
      </c>
      <c r="L9" s="90">
        <v>1</v>
      </c>
      <c r="M9" s="150">
        <v>2</v>
      </c>
      <c r="N9" s="151">
        <v>3</v>
      </c>
      <c r="O9" s="129">
        <v>4</v>
      </c>
      <c r="P9" s="123">
        <v>5</v>
      </c>
      <c r="S9" s="72">
        <v>10</v>
      </c>
      <c r="T9" s="72">
        <v>20</v>
      </c>
      <c r="U9" s="72">
        <v>30</v>
      </c>
      <c r="X9" s="72">
        <v>10</v>
      </c>
      <c r="AC9" s="72">
        <v>1</v>
      </c>
      <c r="AD9" s="72">
        <v>5</v>
      </c>
      <c r="AH9" s="72">
        <v>100</v>
      </c>
      <c r="AI9" s="72">
        <v>200</v>
      </c>
      <c r="AJ9" s="72">
        <v>300</v>
      </c>
      <c r="AO9" s="27"/>
    </row>
    <row r="10" spans="2:41">
      <c r="B10" s="55"/>
      <c r="C10" s="129">
        <v>3</v>
      </c>
      <c r="D10" s="91">
        <v>4</v>
      </c>
      <c r="G10" s="122">
        <v>2</v>
      </c>
      <c r="H10" s="122">
        <v>2</v>
      </c>
      <c r="I10" s="122">
        <v>2</v>
      </c>
      <c r="L10" s="74"/>
      <c r="M10" s="74"/>
      <c r="N10" s="74"/>
      <c r="S10" s="72">
        <v>40</v>
      </c>
      <c r="T10" s="72">
        <v>50</v>
      </c>
      <c r="U10" s="72">
        <v>60</v>
      </c>
      <c r="X10" s="72">
        <v>50</v>
      </c>
      <c r="AC10" s="72">
        <v>10</v>
      </c>
      <c r="AD10" s="72">
        <v>15</v>
      </c>
      <c r="AO10" s="27"/>
    </row>
    <row r="11" spans="2:41">
      <c r="B11" s="55"/>
      <c r="G11" s="132">
        <v>3</v>
      </c>
      <c r="H11" s="132">
        <v>3</v>
      </c>
      <c r="I11" s="132">
        <v>3</v>
      </c>
      <c r="L11" s="74"/>
      <c r="M11" s="74"/>
      <c r="N11" s="74"/>
      <c r="Y11" s="74"/>
      <c r="AO11" s="27"/>
    </row>
    <row r="12" spans="2:41">
      <c r="B12" s="55"/>
      <c r="G12" s="133">
        <v>4</v>
      </c>
      <c r="H12" s="133">
        <v>4</v>
      </c>
      <c r="I12" s="133">
        <v>4</v>
      </c>
      <c r="AO12" s="27"/>
    </row>
    <row r="13" spans="2:41">
      <c r="B13" s="55"/>
      <c r="G13" s="134">
        <v>5</v>
      </c>
      <c r="H13" s="134">
        <v>5</v>
      </c>
      <c r="I13" s="134">
        <v>5</v>
      </c>
      <c r="AO13" s="27"/>
    </row>
    <row r="14" spans="2:41">
      <c r="B14" s="55"/>
      <c r="G14" s="135">
        <v>6</v>
      </c>
      <c r="H14" s="135">
        <v>6</v>
      </c>
      <c r="I14" s="135">
        <v>6</v>
      </c>
      <c r="AO14" s="27"/>
    </row>
    <row r="15" spans="2:41" ht="11" customHeight="1">
      <c r="B15" s="55"/>
      <c r="O15" s="43"/>
      <c r="AO15" s="44"/>
    </row>
    <row r="16" spans="2:41">
      <c r="B16" s="57"/>
      <c r="C16" s="41"/>
      <c r="D16" s="41"/>
      <c r="E16" s="37" t="s">
        <v>383</v>
      </c>
      <c r="F16" s="41"/>
      <c r="G16" s="41"/>
      <c r="H16" s="41"/>
      <c r="I16" s="41"/>
      <c r="J16" s="41"/>
      <c r="K16" s="41"/>
      <c r="L16" s="41"/>
      <c r="M16" s="41"/>
      <c r="N16" s="41"/>
      <c r="O16" s="42"/>
      <c r="P16" s="57"/>
      <c r="Q16" s="37" t="s">
        <v>386</v>
      </c>
      <c r="R16" s="41"/>
      <c r="S16" s="41"/>
      <c r="T16" s="41"/>
      <c r="U16" s="41"/>
      <c r="V16" s="41"/>
      <c r="W16" s="41"/>
      <c r="X16" s="41"/>
      <c r="Y16" s="41"/>
      <c r="Z16" s="37" t="s">
        <v>389</v>
      </c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27"/>
    </row>
    <row r="17" spans="2:41">
      <c r="B17" s="55"/>
      <c r="E17" s="32" t="s">
        <v>382</v>
      </c>
      <c r="O17" s="27"/>
      <c r="P17" s="55"/>
      <c r="Q17" s="32" t="s">
        <v>385</v>
      </c>
      <c r="Z17" s="32" t="s">
        <v>388</v>
      </c>
      <c r="AO17" s="27"/>
    </row>
    <row r="18" spans="2:41">
      <c r="B18" s="55"/>
      <c r="E18" s="128" cm="1">
        <f t="array" ref="E18:J21">Zoomλ(GridJr,KernelA)</f>
        <v>11</v>
      </c>
      <c r="F18" s="128">
        <v>21</v>
      </c>
      <c r="G18" s="128">
        <v>31</v>
      </c>
      <c r="H18" s="90">
        <v>12</v>
      </c>
      <c r="I18" s="90">
        <v>22</v>
      </c>
      <c r="J18" s="90">
        <v>32</v>
      </c>
      <c r="O18" s="27"/>
      <c r="P18" s="55"/>
      <c r="Q18" s="136" cm="1">
        <f t="array" ref="Q18:V29">Zoomλ(Mesh,KernelC)</f>
        <v>2</v>
      </c>
      <c r="R18" s="137">
        <v>6</v>
      </c>
      <c r="S18" s="137">
        <v>2</v>
      </c>
      <c r="T18" s="137">
        <v>6</v>
      </c>
      <c r="U18" s="137">
        <v>2</v>
      </c>
      <c r="V18" s="138">
        <v>6</v>
      </c>
      <c r="Z18" s="92" cm="1">
        <f t="array" ref="Z18:AH23">Zoomλ(Mesh,KernelD)</f>
        <v>101</v>
      </c>
      <c r="AA18" s="93">
        <v>201</v>
      </c>
      <c r="AB18" s="93">
        <v>301</v>
      </c>
      <c r="AC18" s="93">
        <v>101</v>
      </c>
      <c r="AD18" s="93">
        <v>201</v>
      </c>
      <c r="AE18" s="93">
        <v>301</v>
      </c>
      <c r="AF18" s="93">
        <v>101</v>
      </c>
      <c r="AG18" s="93">
        <v>201</v>
      </c>
      <c r="AH18" s="94">
        <v>301</v>
      </c>
      <c r="AO18" s="27"/>
    </row>
    <row r="19" spans="2:41">
      <c r="B19" s="55"/>
      <c r="E19" s="128">
        <v>41</v>
      </c>
      <c r="F19" s="128">
        <v>51</v>
      </c>
      <c r="G19" s="128">
        <v>61</v>
      </c>
      <c r="H19" s="90">
        <v>42</v>
      </c>
      <c r="I19" s="90">
        <v>52</v>
      </c>
      <c r="J19" s="90">
        <v>62</v>
      </c>
      <c r="O19" s="27"/>
      <c r="P19" s="55"/>
      <c r="Q19" s="125">
        <v>11</v>
      </c>
      <c r="R19" s="139">
        <v>16</v>
      </c>
      <c r="S19" s="139">
        <v>11</v>
      </c>
      <c r="T19" s="139">
        <v>16</v>
      </c>
      <c r="U19" s="139">
        <v>11</v>
      </c>
      <c r="V19" s="140">
        <v>16</v>
      </c>
      <c r="Z19" s="146">
        <v>102</v>
      </c>
      <c r="AA19" s="93">
        <v>202</v>
      </c>
      <c r="AB19" s="93">
        <v>302</v>
      </c>
      <c r="AC19" s="93">
        <v>102</v>
      </c>
      <c r="AD19" s="93">
        <v>202</v>
      </c>
      <c r="AE19" s="93">
        <v>302</v>
      </c>
      <c r="AF19" s="93">
        <v>102</v>
      </c>
      <c r="AG19" s="93">
        <v>202</v>
      </c>
      <c r="AH19" s="94">
        <v>302</v>
      </c>
      <c r="AO19" s="27"/>
    </row>
    <row r="20" spans="2:41">
      <c r="B20" s="55"/>
      <c r="E20" s="129">
        <v>13</v>
      </c>
      <c r="F20" s="129">
        <v>23</v>
      </c>
      <c r="G20" s="129">
        <v>33</v>
      </c>
      <c r="H20" s="91">
        <v>14</v>
      </c>
      <c r="I20" s="91">
        <v>24</v>
      </c>
      <c r="J20" s="91">
        <v>34</v>
      </c>
      <c r="O20" s="27"/>
      <c r="P20" s="55"/>
      <c r="Q20" s="124">
        <v>3</v>
      </c>
      <c r="R20" s="137">
        <v>7</v>
      </c>
      <c r="S20" s="137">
        <v>3</v>
      </c>
      <c r="T20" s="137">
        <v>7</v>
      </c>
      <c r="U20" s="137">
        <v>3</v>
      </c>
      <c r="V20" s="138">
        <v>7</v>
      </c>
      <c r="Z20" s="147">
        <v>103</v>
      </c>
      <c r="AA20" s="93">
        <v>203</v>
      </c>
      <c r="AB20" s="93">
        <v>303</v>
      </c>
      <c r="AC20" s="93">
        <v>103</v>
      </c>
      <c r="AD20" s="93">
        <v>203</v>
      </c>
      <c r="AE20" s="93">
        <v>303</v>
      </c>
      <c r="AF20" s="93">
        <v>103</v>
      </c>
      <c r="AG20" s="93">
        <v>203</v>
      </c>
      <c r="AH20" s="94">
        <v>303</v>
      </c>
      <c r="AO20" s="27"/>
    </row>
    <row r="21" spans="2:41">
      <c r="B21" s="55"/>
      <c r="E21" s="129">
        <v>43</v>
      </c>
      <c r="F21" s="129">
        <v>53</v>
      </c>
      <c r="G21" s="129">
        <v>63</v>
      </c>
      <c r="H21" s="91">
        <v>44</v>
      </c>
      <c r="I21" s="91">
        <v>54</v>
      </c>
      <c r="J21" s="91">
        <v>64</v>
      </c>
      <c r="O21" s="27"/>
      <c r="P21" s="55"/>
      <c r="Q21" s="125">
        <v>12</v>
      </c>
      <c r="R21" s="139">
        <v>17</v>
      </c>
      <c r="S21" s="139">
        <v>12</v>
      </c>
      <c r="T21" s="139">
        <v>17</v>
      </c>
      <c r="U21" s="139">
        <v>12</v>
      </c>
      <c r="V21" s="140">
        <v>17</v>
      </c>
      <c r="Z21" s="148">
        <v>104</v>
      </c>
      <c r="AA21" s="93">
        <v>204</v>
      </c>
      <c r="AB21" s="93">
        <v>304</v>
      </c>
      <c r="AC21" s="93">
        <v>104</v>
      </c>
      <c r="AD21" s="93">
        <v>204</v>
      </c>
      <c r="AE21" s="93">
        <v>304</v>
      </c>
      <c r="AF21" s="93">
        <v>104</v>
      </c>
      <c r="AG21" s="93">
        <v>204</v>
      </c>
      <c r="AH21" s="94">
        <v>304</v>
      </c>
      <c r="AO21" s="27"/>
    </row>
    <row r="22" spans="2:41">
      <c r="B22" s="55"/>
      <c r="O22" s="27"/>
      <c r="P22" s="55"/>
      <c r="Q22" s="141">
        <v>4</v>
      </c>
      <c r="R22" s="137">
        <v>8</v>
      </c>
      <c r="S22" s="137">
        <v>4</v>
      </c>
      <c r="T22" s="137">
        <v>8</v>
      </c>
      <c r="U22" s="137">
        <v>4</v>
      </c>
      <c r="V22" s="138">
        <v>8</v>
      </c>
      <c r="W22" s="74"/>
      <c r="X22" s="74"/>
      <c r="Y22" s="74"/>
      <c r="Z22" s="149">
        <v>105</v>
      </c>
      <c r="AA22" s="93">
        <v>205</v>
      </c>
      <c r="AB22" s="93">
        <v>305</v>
      </c>
      <c r="AC22" s="93">
        <v>105</v>
      </c>
      <c r="AD22" s="93">
        <v>205</v>
      </c>
      <c r="AE22" s="93">
        <v>305</v>
      </c>
      <c r="AF22" s="93">
        <v>105</v>
      </c>
      <c r="AG22" s="93">
        <v>205</v>
      </c>
      <c r="AH22" s="94">
        <v>305</v>
      </c>
      <c r="AO22" s="27"/>
    </row>
    <row r="23" spans="2:41">
      <c r="B23" s="55"/>
      <c r="O23" s="27"/>
      <c r="P23" s="55"/>
      <c r="Q23" s="142">
        <v>13</v>
      </c>
      <c r="R23" s="139">
        <v>18</v>
      </c>
      <c r="S23" s="139">
        <v>13</v>
      </c>
      <c r="T23" s="139">
        <v>18</v>
      </c>
      <c r="U23" s="139">
        <v>13</v>
      </c>
      <c r="V23" s="140">
        <v>18</v>
      </c>
      <c r="W23" s="74"/>
      <c r="X23" s="74"/>
      <c r="Y23" s="74"/>
      <c r="Z23" s="158">
        <v>106</v>
      </c>
      <c r="AA23" s="93">
        <v>206</v>
      </c>
      <c r="AB23" s="93">
        <v>306</v>
      </c>
      <c r="AC23" s="93">
        <v>106</v>
      </c>
      <c r="AD23" s="93">
        <v>206</v>
      </c>
      <c r="AE23" s="93">
        <v>306</v>
      </c>
      <c r="AF23" s="93">
        <v>106</v>
      </c>
      <c r="AG23" s="93">
        <v>206</v>
      </c>
      <c r="AH23" s="94">
        <v>306</v>
      </c>
      <c r="AO23" s="27"/>
    </row>
    <row r="24" spans="2:41">
      <c r="B24" s="55"/>
      <c r="E24" s="25" t="s">
        <v>380</v>
      </c>
      <c r="O24" s="27"/>
      <c r="P24" s="55"/>
      <c r="Q24" s="143">
        <v>5</v>
      </c>
      <c r="R24" s="137">
        <v>9</v>
      </c>
      <c r="S24" s="137">
        <v>5</v>
      </c>
      <c r="T24" s="137">
        <v>9</v>
      </c>
      <c r="U24" s="137">
        <v>5</v>
      </c>
      <c r="V24" s="138">
        <v>9</v>
      </c>
      <c r="W24" s="74"/>
      <c r="X24" s="74"/>
      <c r="Y24" s="74"/>
      <c r="AO24" s="27"/>
    </row>
    <row r="25" spans="2:41">
      <c r="B25" s="55"/>
      <c r="E25" s="32" t="s">
        <v>379</v>
      </c>
      <c r="O25" s="27"/>
      <c r="P25" s="55"/>
      <c r="Q25" s="142">
        <v>14</v>
      </c>
      <c r="R25" s="139">
        <v>19</v>
      </c>
      <c r="S25" s="139">
        <v>14</v>
      </c>
      <c r="T25" s="139">
        <v>19</v>
      </c>
      <c r="U25" s="139">
        <v>14</v>
      </c>
      <c r="V25" s="140">
        <v>19</v>
      </c>
      <c r="W25" s="74"/>
      <c r="X25" s="74"/>
      <c r="Y25" s="74"/>
      <c r="Z25" s="25" t="s">
        <v>395</v>
      </c>
      <c r="AO25" s="27"/>
    </row>
    <row r="26" spans="2:41">
      <c r="B26" s="55"/>
      <c r="E26" s="128" cm="1">
        <f t="array" ref="E26:F29">Zoomλ(GridJr,KernelB)</f>
        <v>11</v>
      </c>
      <c r="F26" s="90">
        <v>12</v>
      </c>
      <c r="O26" s="27"/>
      <c r="P26" s="55"/>
      <c r="Q26" s="144">
        <v>6</v>
      </c>
      <c r="R26" s="137">
        <v>10</v>
      </c>
      <c r="S26" s="137">
        <v>6</v>
      </c>
      <c r="T26" s="137">
        <v>10</v>
      </c>
      <c r="U26" s="137">
        <v>6</v>
      </c>
      <c r="V26" s="138">
        <v>10</v>
      </c>
      <c r="W26" s="74"/>
      <c r="X26" s="74"/>
      <c r="Y26" s="74"/>
      <c r="Z26" s="32" t="s">
        <v>392</v>
      </c>
      <c r="AO26" s="27"/>
    </row>
    <row r="27" spans="2:41">
      <c r="B27" s="55"/>
      <c r="E27" s="128">
        <v>51</v>
      </c>
      <c r="F27" s="90">
        <v>52</v>
      </c>
      <c r="O27" s="27"/>
      <c r="P27" s="55"/>
      <c r="Q27" s="125">
        <v>15</v>
      </c>
      <c r="R27" s="139">
        <v>20</v>
      </c>
      <c r="S27" s="139">
        <v>15</v>
      </c>
      <c r="T27" s="139">
        <v>20</v>
      </c>
      <c r="U27" s="139">
        <v>15</v>
      </c>
      <c r="V27" s="140">
        <v>20</v>
      </c>
      <c r="W27" s="74"/>
      <c r="X27" s="74"/>
      <c r="Y27" s="74"/>
      <c r="Z27" s="152" cm="1">
        <f t="array" ref="Z27:AD28">Zoomλ(MiniVector,KernelB)</f>
        <v>11</v>
      </c>
      <c r="AA27" s="154">
        <v>12</v>
      </c>
      <c r="AB27" s="155">
        <v>13</v>
      </c>
      <c r="AC27" s="156">
        <v>14</v>
      </c>
      <c r="AD27" s="157">
        <v>15</v>
      </c>
      <c r="AO27" s="27"/>
    </row>
    <row r="28" spans="2:41">
      <c r="B28" s="55"/>
      <c r="E28" s="129">
        <v>13</v>
      </c>
      <c r="F28" s="91">
        <v>14</v>
      </c>
      <c r="O28" s="27"/>
      <c r="P28" s="55"/>
      <c r="Q28" s="145">
        <v>7</v>
      </c>
      <c r="R28" s="137">
        <v>11</v>
      </c>
      <c r="S28" s="137">
        <v>7</v>
      </c>
      <c r="T28" s="137">
        <v>11</v>
      </c>
      <c r="U28" s="137">
        <v>7</v>
      </c>
      <c r="V28" s="138">
        <v>11</v>
      </c>
      <c r="W28" s="74"/>
      <c r="X28" s="74"/>
      <c r="Y28" s="74"/>
      <c r="Z28" s="153">
        <v>51</v>
      </c>
      <c r="AA28" s="153">
        <v>52</v>
      </c>
      <c r="AB28" s="153">
        <v>53</v>
      </c>
      <c r="AC28" s="153">
        <v>54</v>
      </c>
      <c r="AD28" s="153">
        <v>55</v>
      </c>
      <c r="AO28" s="27"/>
    </row>
    <row r="29" spans="2:41">
      <c r="B29" s="55"/>
      <c r="E29" s="129">
        <v>53</v>
      </c>
      <c r="F29" s="91">
        <v>54</v>
      </c>
      <c r="O29" s="27"/>
      <c r="P29" s="55"/>
      <c r="Q29" s="125">
        <v>16</v>
      </c>
      <c r="R29" s="139">
        <v>21</v>
      </c>
      <c r="S29" s="139">
        <v>16</v>
      </c>
      <c r="T29" s="139">
        <v>21</v>
      </c>
      <c r="U29" s="139">
        <v>16</v>
      </c>
      <c r="V29" s="140">
        <v>21</v>
      </c>
      <c r="W29" s="74"/>
      <c r="X29" s="74"/>
      <c r="Y29" s="74"/>
      <c r="AO29" s="27"/>
    </row>
    <row r="30" spans="2:41">
      <c r="B30" s="55"/>
      <c r="O30" s="27"/>
      <c r="P30" s="55"/>
      <c r="Z30" s="25" t="s">
        <v>394</v>
      </c>
      <c r="AO30" s="27"/>
    </row>
    <row r="31" spans="2:41">
      <c r="B31" s="55"/>
      <c r="O31" s="27"/>
      <c r="P31" s="55"/>
      <c r="Z31" s="32" t="s">
        <v>393</v>
      </c>
      <c r="AA31" s="89"/>
      <c r="AB31" s="89"/>
      <c r="AC31" s="89"/>
      <c r="AD31" s="89"/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27"/>
    </row>
    <row r="32" spans="2:41">
      <c r="B32" s="55"/>
      <c r="O32" s="27"/>
      <c r="P32" s="55"/>
      <c r="W32" s="74"/>
      <c r="X32" s="74"/>
      <c r="Y32" s="74"/>
      <c r="Z32" s="90" cm="1">
        <f t="array" ref="Z32:AN32">Zoomλ(MiniVector,KernelD)</f>
        <v>101</v>
      </c>
      <c r="AA32" s="93">
        <v>201</v>
      </c>
      <c r="AB32" s="94">
        <v>301</v>
      </c>
      <c r="AC32" s="150">
        <v>102</v>
      </c>
      <c r="AD32" s="93">
        <v>202</v>
      </c>
      <c r="AE32" s="94">
        <v>302</v>
      </c>
      <c r="AF32" s="151">
        <v>103</v>
      </c>
      <c r="AG32" s="93">
        <v>203</v>
      </c>
      <c r="AH32" s="94">
        <v>303</v>
      </c>
      <c r="AI32" s="159">
        <v>104</v>
      </c>
      <c r="AJ32" s="93">
        <v>204</v>
      </c>
      <c r="AK32" s="94">
        <v>304</v>
      </c>
      <c r="AL32" s="123">
        <v>105</v>
      </c>
      <c r="AM32" s="93">
        <v>205</v>
      </c>
      <c r="AN32" s="94">
        <v>305</v>
      </c>
      <c r="AO32" s="27"/>
    </row>
    <row r="33" spans="2:41">
      <c r="B33" s="56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4"/>
      <c r="P33" s="56"/>
      <c r="Q33" s="126"/>
      <c r="R33" s="126"/>
      <c r="S33" s="126"/>
      <c r="T33" s="126"/>
      <c r="U33" s="126"/>
      <c r="V33" s="126"/>
      <c r="W33" s="126"/>
      <c r="X33" s="126"/>
      <c r="Y33" s="126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4"/>
    </row>
    <row r="34" spans="2:41">
      <c r="Q34" s="74"/>
      <c r="R34" s="74"/>
      <c r="S34" s="74"/>
      <c r="T34" s="74"/>
      <c r="U34" s="74"/>
      <c r="V34" s="74"/>
      <c r="W34" s="74"/>
      <c r="X34" s="74"/>
      <c r="Y34" s="74"/>
    </row>
    <row r="35" spans="2:41">
      <c r="Q35" s="74"/>
      <c r="R35" s="74"/>
      <c r="S35" s="74"/>
      <c r="T35" s="74"/>
      <c r="U35" s="74"/>
      <c r="V35" s="74"/>
      <c r="W35" s="74"/>
      <c r="X35" s="74"/>
      <c r="Y35" s="74"/>
    </row>
    <row r="36" spans="2:41">
      <c r="Q36" s="74"/>
      <c r="R36" s="74"/>
      <c r="S36" s="74"/>
      <c r="T36" s="74"/>
      <c r="U36" s="74"/>
      <c r="V36" s="74"/>
      <c r="W36" s="74"/>
      <c r="X36" s="74"/>
      <c r="Y36" s="74"/>
    </row>
    <row r="37" spans="2:41">
      <c r="Q37" s="74"/>
      <c r="R37" s="74"/>
      <c r="S37" s="74"/>
      <c r="T37" s="74"/>
      <c r="U37" s="74"/>
      <c r="V37" s="74"/>
      <c r="W37" s="74"/>
      <c r="X37" s="74"/>
      <c r="Y37" s="74"/>
    </row>
    <row r="38" spans="2:41">
      <c r="Q38" s="74"/>
      <c r="R38" s="74"/>
      <c r="S38" s="74"/>
      <c r="T38" s="74"/>
      <c r="U38" s="74"/>
      <c r="V38" s="74"/>
      <c r="W38" s="74"/>
      <c r="X38" s="74"/>
      <c r="Y38" s="74"/>
    </row>
    <row r="39" spans="2:41">
      <c r="Q39" s="74"/>
      <c r="R39" s="74"/>
      <c r="S39" s="74"/>
      <c r="T39" s="74"/>
      <c r="U39" s="74"/>
      <c r="V39" s="74"/>
      <c r="W39" s="74"/>
      <c r="X39" s="74"/>
      <c r="Y39" s="74"/>
    </row>
    <row r="40" spans="2:41">
      <c r="Q40" s="74"/>
      <c r="R40" s="74"/>
      <c r="S40" s="74"/>
      <c r="T40" s="74"/>
      <c r="U40" s="74"/>
      <c r="V40" s="74"/>
      <c r="W40" s="74"/>
      <c r="X40" s="74"/>
      <c r="Y40" s="74"/>
    </row>
    <row r="41" spans="2:41">
      <c r="Q41" s="74"/>
      <c r="R41" s="74"/>
      <c r="S41" s="74"/>
      <c r="T41" s="74"/>
      <c r="U41" s="74"/>
      <c r="V41" s="74"/>
      <c r="W41" s="74"/>
      <c r="X41" s="74"/>
      <c r="Y41" s="74"/>
    </row>
    <row r="42" spans="2:41">
      <c r="Q42" s="74"/>
      <c r="R42" s="74"/>
      <c r="S42" s="74"/>
      <c r="T42" s="74"/>
      <c r="U42" s="74"/>
      <c r="V42" s="74"/>
      <c r="W42" s="74"/>
      <c r="X42" s="74"/>
      <c r="Y42" s="74"/>
    </row>
    <row r="43" spans="2:41">
      <c r="Q43" s="74"/>
      <c r="R43" s="74"/>
      <c r="S43" s="74"/>
      <c r="T43" s="74"/>
      <c r="U43" s="74"/>
      <c r="V43" s="74"/>
      <c r="W43" s="74"/>
      <c r="X43" s="74"/>
      <c r="Y43" s="74"/>
    </row>
    <row r="44" spans="2:41">
      <c r="Q44" s="74"/>
      <c r="R44" s="74"/>
      <c r="S44" s="74"/>
      <c r="T44" s="74"/>
      <c r="U44" s="74"/>
      <c r="V44" s="74"/>
      <c r="W44" s="74"/>
      <c r="X44" s="74"/>
      <c r="Y44" s="74"/>
    </row>
    <row r="45" spans="2:41">
      <c r="Q45" s="74"/>
      <c r="R45" s="74"/>
      <c r="S45" s="74"/>
      <c r="T45" s="74"/>
      <c r="U45" s="74"/>
      <c r="V45" s="74"/>
      <c r="W45" s="74"/>
      <c r="X45" s="74"/>
      <c r="Y45" s="74"/>
    </row>
    <row r="46" spans="2:41">
      <c r="Q46" s="74"/>
      <c r="R46" s="74"/>
      <c r="S46" s="74"/>
      <c r="T46" s="74"/>
      <c r="U46" s="74"/>
      <c r="V46" s="74"/>
      <c r="W46" s="74"/>
      <c r="X46" s="74"/>
      <c r="Y46" s="74"/>
    </row>
    <row r="47" spans="2:41">
      <c r="Q47" s="74"/>
      <c r="R47" s="74"/>
      <c r="S47" s="74"/>
      <c r="T47" s="74"/>
      <c r="U47" s="74"/>
      <c r="V47" s="74"/>
      <c r="W47" s="74"/>
      <c r="X47" s="74"/>
      <c r="Y47" s="74"/>
    </row>
    <row r="48" spans="2:41">
      <c r="W48" s="74"/>
      <c r="X48" s="74"/>
      <c r="Y48" s="74"/>
    </row>
    <row r="49" spans="23:25">
      <c r="W49" s="74"/>
      <c r="X49" s="74"/>
      <c r="Y49" s="74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BfACAAIAAgACAAIAAgACAAIABfAF8AXwBfAF8AIAAgACAAIAAgACAAIABfACAAXwAgAF8AIABcAG4AIAB8ACAAIABfACAAXABcACgAXwApACAAIAAgACAAIAAgAC8AIABfAF8AXwBfAHwAIAAgACAAIAAgACgAXwApACAAfAAgAHwAXABuACAAfAAgAHwAXwApACAAfABfACAAIABfAF8AIABfAHwAIAAoAF8AXwBfACAAIABfACAAXwBfACAAIABfAHwAIAB8ACAAfABcAG4AIAB8ACAAIABfACAAPAB8ACAAfAAvACAAXwBgACAAfABcAFwAXwBfAF8AIABcAFwAfAAgACcAXwAgAFwAXAB8ACAAfAAgAHwAIAB8AFwAbgAgAHwAIAB8AF8AKQAgAHwAIAB8ACAAKABfAHwAIAB8AF8AXwBfAF8AKQAgAHwAIAB8AF8AKQAgAHwAIAB8ACAAfAAgAHwAXABuACAAfABfAF8AXwBfAC8AfABfAHwAXABcAF8AXwAsACAAfABfAF8AXwBfAF8ALwB8ACAALgBfAF8ALwB8AF8AfABfAHwAXwB8AFwAbgAgACAAIAAgACAAIAAgACAAIAAgACAAXwBfAC8AIAB8ACAAIAAgACAAIAAgAHwAIAB8ACAAIAAgACAAIAAgACAAIAAgACAAXABuACAAIAAgACAAIAAgACAAIAAgACAAfABfAF8AXwAvACAAIAAgACAAIAAgACAAfABfAHwAIAAgACAAIAAgACAAIAAgACAAIABcAG4AXABuAFwAbgBNAG8AZAB1AGwAZQA6ACAAIABCAGkAZwBTAHAAaQBsAGwAXABuAFIAZQBwAG8AOgAgACAAIAAgAGgAdAB0AHAAcwA6AC8ALwBnAGkAdABoAHUAYgAuAGMAbwBtAC8AUABhAHQAcgBpAGMAawAyADcAOAA4AC8AQgBpAGcAUwBwAGkAbABsAC0ARQB4AGMAZQBsAC0ATABhAG0AYgBkAGEALQBMAGkAYgByAGEAcgB5AFwAbgBMAGkAYwBlAG4AcwBlADoAIABNAEkAVAAgACgAcwBlAGUAIABMAEkAQwBFAE4AUwBFACAAZgBpAGwAZQApAFwAbgBBAHUAdABoAG8AcgA6ACAAIABQAGEAdAByAGkAYwBrACAASAAuAFwAbgBEAGEAdABlADoAIAAgACAAIAA5AC8AMwAvADIAMAAyADYAXABuAFwAbgBWAGUAcgBzAGkAbwBuACAAaABpAHMAdABvAHIAeQA6AFwAbgAgACAAIAAgADcALwA2AC8AMgAwADIANgAgABMgIABJAG4AaQB0AGkAYQBsACAAcgBlAGwAZQBhAHMAZQBcAG4AIAAgACAAIAA5AC8AMwAvADIAMAAyADYAIAATICAAQQBkAGQAZQBkACAAVAByAGkAcABsAGUAdwBpAHMAZQC7AyAAYQBuAGQAIABRAHUAYQBkAHcAaQBzAGUAuwMgAHQAbwAgAEcAcgBpAGQAIABBAG4AYQBsAHkAdABpAGMAcwBcAG4AIAAgACAAIAAgACAAIAAgACAAIAAgACAAIAAgACAAVQBwAGQAYQB0AGUAZAAgAEcAcgBpAGQAIABBAG4AYQBsAHkAdABpAGMAcwAgAGMAYQB0AGUAZwBvAHIAeQAgAGIAbABvAGMAawBcAG4AIAAgACAAIAAgACAAIAAgACAAIAAgACAAIAAgACAAVQBwAGQAYQB0AGUAZAAgAFQAZQBzAHMAZQBsAGwAYQB0AGUAuwMgAHQAbwAgAGEAYwBjAGUAcAB0ACAAMQBEACAAYQByAHIAYQB5AHMAXABuAFwAbgBEAGUAcABlAG4AZABlAG4AYwBpAGUAcwA6AFwAbgAgACAAIAAgAE4AbwBuAGUAXABuAFwAbgBEAGUAcwBjAHIAaQBwAHQAaQBvAG4AOgBcAG4AIAAgACAAIABDAG8AcgBlACAAbQBvAGQAdQBsAGUAIABhAGcAZwByAGUAZwBhAHQAbwByACAAZgBvAHIAIABhAGwAbAAgAEIAaQBnAFMAcABpAGwAbAAgAGYAdQBuAGMAdABpAG8AbgBzAC4AXABuAFwAbgBQAHUAcgBwAG8AcwBlADoAXABuACAAIAAgACAAUAByAG8AdgBpAGQAZQBzACAAYQAgAHMAaQBuAGcAbABlACAAaQBtAHAAbwByAHQAIABwAG8AaQBuAHQAIABmAG8AcgAgAHQAaABlACAAZQBuAHQAaQByAGUAIABsAGkAYgByAGEAcgB5AC4AXABuAFwAbgBDAG8AbgB0AGUAbgB0AHMAOgBcAG4AIAAgACAAIABHAHIAaQBkAHcAbwByAGsALAAgAEcAcgBpAGQAIABHAGUAbwBtAGUAdAByAHkALAAgADIARAAgAEEAcgByAGEAeQAgAFMAaABhAHAAaQBuAGcALAAgAEcAcgBpAGQAIABBAGwAZwBlAGIAcgBhACwAXABuACAAIAAgACAAUgBlAHAAZQB0AGkAdABpAG8AbgAsACAARwByAGkAZAAgAEEAbgBhAGwAeQB0AGkAYwBzACwAIABUAGUAeAB0ACwAIABFAG4AZwBpAG4AZQBlAHIAaQBuAGcALABcAG4AIAAgACAAIABDAG8AbQBiAGkAbgBhAHQAbwByAGkAYwBzACwAIABEAGkAYQBnAG4AbwBzAHQAaQBjAHMAXAB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YQByAHIAYQB5AF8AMgBEACAAaQBuAHQAbwAgAGEAIABmAGwAYQB0AHQAZQBuAGUAZAAgAHIAbwB3ABEgdwBpAHMAZQAgAHQAYQBiAGwAZQAgAGIAeQAgAHAAcgBvAHYAaQBkAGkAbgBnACAAcgBvAHcAIABsAGEAYgBlAGwAcwAsAFwAbgAgACAAIAAgAGMAbwBsAHUAbQBuACAAbABhAGIAZQBsAHMALAAgAGEAbgBkACAAYQAgAHYAYQBsAHUAZQAgAGEAcgByAGEAeQBfADIARAAuACAATwBwAHQAaQBvAG4AYQBsACAAZgBpAGwAdABlAHIAaQBuAGcAIAByAGUAbQBvAHYAZQBzACAAYgBsAGEAbgBrAHMALABcAG4AIAAgACAAIABlAHIAcgBvAHIAcwAsACAAYQBuAGQAIAB6AGUAcgBvAHMALgBcAG4AXABuAFAAYQByAGEAbQBlAHQAZQByAHMAOgBcAG4AIAAgACAAIAByAG8AdwBzACAAIAAgACAAIAAgACAAIAAtACAAVgBlAHIAdABpAGMAYQBsACAAYQByAHIAYQB5ACAAbwBmACAAcgBvAHcAIABsAGEAYgBlAGwAcwAuAFwAbgAgACAAIAAgAGMAbwBsAHUAbQBuAHMAIAAgACAAIAAgAC0AIABIAG8AcgBpAHoAbwBuAHQAYQBsACAAYQByAHIAYQB5ACAAbwBmACAAYwBvAGwAdQBtAG4AIABsAGEAYgBlAGwAcwAuAFwAbgAgACAAIAAgAHYAYQBsAHUAZQBzACAAIAAgACAAIAAgAC0AIABhAHIAcgBhAHkAXwAyAEQ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YQByAHIAYQB5AF8AMgBEACAAbwBmACAAcwBoAGkAZgB0AGUAZAAgAHQAdQBwAGwAZQBzAC4AXABuAFwAbgBOAG8AdABlAHMAOgBcAG4AIAAgACAAIAAiICAATwB1AHQAcAB1AHQAIABvAHIAaQBlAG4AdABhAHQAaQBvAG4AIABtAGEAdABjAGgAZQBzACAAaQBuAHAAdQB0ADoAXABuACAAIAAgACAAIAAgACAAIAAgACAALQAgAFMAYwBhAGwAYQByAHMAIACSISAAdgBlAHIAdABpAGMAYQBsAFwAbgAgACAAIAAgACAAIAAgACAAIAAgAC0AIABWAGUAcgB0AGkAYwBhAGwAIABhAHIAcgBhAHkAcwAgAJIhIAB2AGUAcgB0AGkAYwBhAGwAXABuACAAIAAgACAAIAAgACAAIAAgACAALQAgAEgAbwByAGkAegBvAG4AdABhAGwAIABhAHIAcgBhAHkAcwAgAJIhIABoAG8AcgBpAHoAbwBuAHQAYQBsAFwAbgAgACAAIAAgACIgIABNAHUAbAB0AGkAESBzAGgAaQBmAHQAIABpAG4AcAB1AHQAcwAgAHIAZQB0AHUAcgBuACAAYQAgAHMAdABhAGMAawBlAGQAIABhAHIAcgBhAHkAXwAyAEQAIABvAGYAIABzAGgAaQBmAHQAZQBkACAAcgBlAHMAdQBsAHQAcwAuAFwAbgAtAC0ALQAtAC0ALQAtAC0ALQAtAC0ALQAtAC0ALQAtAC0ALQAtAC0ALQAtAC0ALQAtAC0ALQAtAC0ALQAtAC0ALQAtAC0ALQAtAC0ALQAtAC0ALQAtAC0ALQAtAC0ALQAtAC0ALQAtAC0ALQAtAC0ALQAtAC0ALQAtAC0ALQAtAC0ALQAtAC0ALQAtAC0ALQAtAC0ALQAtAC0ALQAqAC8AXABuAFwAbgBTAGgAaQBmAHQAuwMgAD0AXABuAEwAQQBNAEIARABBACgAXABuACAAIAAgACAAdAB1AHAAbABlACwAXABuACAAIAAgACAAWwBzAGgAaQBmAHQAXwBiAHkAXQAsAFwAbgBMAEUAVAAoAFwAbgAgACAAIAAgAC8ALwAgAFMAaABhAHAAZQAgAGMAbABhAHMAcwBpAGYAaQBjAGEAdABpAG8AbgBcAG4AIAAgACAAIABoACwAIAAgACAAIAAgACAAIAAgACAAIAAgACAAIAAgACAAIAAgACAAUgBPAFcAUwAoAHQAdQBwAGwAZQApACwAXABuACAAIAAgACAAdwAsACAAIAAgACAAIAAgACAAIAAgACAAIAAgACAAIAAgACAAIAAgAEMATwBMAFUATQBOAFMAKAB0AHUAcABsAGUAKQAsAFwAbgAgACAAIAAgAEkAcwBTAGMAYQBsAGEAcgA/ACwAIAAgACAAIAAgACAAIAAgACAAIABBAE4ARAAoAGgAIAA9ACAAMQAsACAAdwAgAD0AIAAxACkALABcAG4AIAAgACAAIABJAHMAVgBlAHIAdABpAGMAYQBsAD8ALAAgACAAIAAgACAAIAAgACAAQQBOAEQAKABoACAAPgAgADEALAAgAHcAIAA9ACAAMQApACwAXABuAFwAbgAgACAAIAAgAC8ALwAgAE4AbwByAG0AYQBsAGkAegBlACAAdAB1AHAAbABlACAAkiEgAHYAZQByAHQAaQBjAGEAbAAgAGEAcgByAGEAeQBcAG4AIAAgACAAIAB0AHUAcABsAGUALAAgACAAIAAgACAAIAAgACAAIAAgACAAIAAgACAAVABPAEMATwBMACgASQBGACgASQBzAFMAYwBhAGwAYQByAD8ALABFAHgAcABsAG8AZABlALsDKAB0AHUAcABsAGUAKQAsAHQAdQBwAGwAZQApACkALABcAG4AXABuACAAIAAgACAALwAvACAATgBvAHIAbQBhAGwAaQB6AGUAIABzAGgAaQBmAHQAXwBiAHkAIACSISAAdgBlAHIAdABpAGMAYQBsACAAYQByAHIAYQB5AFwAbgAgACAAIAAgAHMAaABpAGYAdABfAGIAeQAsACAAIAAgACAAIAAgACAAIAAgACAAIABUAE8AQwBPAEwAKABJAEYAKABJAFMATwBNAEkAVABUAEUARAAoAHMAaABpAGYAdABfAGIAeQApACwAIAAxACwAIABzAGgAaQBmAHQAXwBiAHkAKQApACwAXABuACAAIAAgACAASQBzAE0AdQBsAHQAaQBTAGgAaQBmAHQAPwAsACAAIAAgACAAIAAgAEMATwBVAE4AVABBACgAcwBoAGkAZgB0AF8AYgB5ACkAIAA+ACAAMQAsAFwAbgBcAG4AIAAgACAAIAAvAC8AIABTAGMAZQBuAGEAcgBpAG8AcwBcAG4AIAAgACAAIABJAHMAMQBFAGwAZQBtAGUAbgB0AD8ALAAgACAAIAAgACAAIAAgACAAQwBPAFUATgBUAEEAKAB0AHUAcABsAGUAKQAgAD0AIAAxACwAXABuACAAIAAgACAASQBzAFQAZQB4AHQAUwBoAGkAZgB0AD8ALAAgACAAIAAgACAAIAAgAE8AUgAoAEkAUwBUAEUAWABUACgAcwBoAGkAZgB0AF8AYgB5ACkAKQAsAFwAbgBcAG4ALwAvACAATABvAGcAaQBjACAAZwBhAHQAZQBcAG4AIAAgACAAIABJAEYAKABJAHMAMQBFAGwAZQBtAGUAbgB0AD8ALAAgAHQAdQBwAGwAZQAsAFwAbgBcAG4AIAAgACAAIAAgACAAIAAgAEkARgAoAEkAcwBUAGUAeAB0AFMAaABpAGYAdAA/ACwAIABcACIAIwBUAEUAWABUAC0AUwBIAEkARgBUACEAXAAiACwAXABuAFwAbgBMAEUAVAAoAFwAbgAgACAAIAAgAC8ALwAgAFQAdQBwAGwAZQAgAGwAZQBuAGcAdABoAFwAbgAgACAAIAAgAG4ALAAgACAAIAAgACAAIAAgACAAIAAgAEMATwBVAE4AVABBACgAdAB1AHAAbABlACkALABcAG4AXABuACAAIAAgACAALwAvACAAMAARIGIAYQBzAGUAZAAgAGkAbgBkAGUAeAAgAHMAZQBxAHUAZQBuAGMAZQBcAG4AIAAgACAAIABpACwAIAAgACAAIAAgACAAIAAgACAAIABTAEUAUQBVAEUATgBDAEUAKAAsACAAbgAsACAAMAAsACAAMQApACwAXABuAFwAbgAgACAAIAAgAC8ALwAgAEMAaQByAGMAdQBsAGEAcgAgAGkAbgBkAGUAeAAgAHMAZQBsAGUAYwB0AGkAbwBuAFwAbgAgACAAIAAgAGkAZAB4ACwAIAAgACAAIAAgACAAIAAgAE0ATwBEACgAaQAgACsAIABzAGgAaQBmAHQAXwBiAHkALAAgAG4AKQAgACsAIAAxACwAXABuAFwAbgAgACAAIAAgAC8ALwAgAEEAcABwAGwAeQAgAHMAaABpAGYAdABcAG4AIAAgACAAIABzAGgAaQBmAHQAZQBkACwAIAAgACAAIABJAE4ARABFAFgAKAB0AHUAcABsAGUALAAgAGkAZAB4ACkALABcAG4AXABuACAAIAAgACAALwAvACAAUgBlAHMAdABvAHIAZQAgAG8AcgBpAGUAbgB0AGEAdABpAG8AbgBcAG4AIAAgACAAIAByAGUAcwB1AGwAdAAsACAAIAAgACAAIABJAEYAKABJAHMATQB1AGwAdABpAFMAaABpAGYAdAA/ACwAIABzAGgAaQBmAHQAZQBkACwAXABuACAAIAAgACAAIAAgACAAIAAgACAAIAAgACAAIAAgACAAIAAgACAAIAAgACAAIAAgACAAIAAgACAASQBGACgATwBSACgASQBzAFMAYwBhAGwAYQByAD8ALAAgAEkAcwBWAGUAcgB0AGkAYwBhAGwAPwApACwAXABuACAAIAAgACAAIAAgACAAIAAgACAAIAAgACAAIAAgACAAIAAgACAAIAAgACAAIAAgACAAIAAgACAAIAAgACAAIABUAE8AQwBPAEwAKABzAGgAaQBmAHQAZQBkACkALABcAG4AIAAgACAAIAAgACAAIAAgACAAIAAgACAAIAAgACAAIAAgACAAIAAgACAAIAAgACAAIAAgACAAIAAgACAAIAAgAFQATwBSAE8AVwAoAHMAaABpAGYAdABlAGQAKQApACkALABcAG4AXABuACAAIAAgACAAcgBlAHMAdQBsAHQAXABuACkAKQApACkAKQA7AFwAbgBcAG4AXABuAFwAbgAvACoAIABbAEcAQQAxADEAXQAgAC0ALQAtAC0ALQAtAC0ALQAtAC0ALQAtAC0ALQAtAC0ALQAtAC0ALQAtAC0ALQAtAC0ALQAtAC0ALQAtAC0ALQAtAC0ALQAtAC0ALQAtAC0ALQAtAC0ALQAtAC0ALQAtAC0ALQAtAC0ALQAtAC0ALQAtAC0ALQAtAC0ALQAtAC0ALQAtAC0ALQAtAC0ALQAtAC0AXABuAEYAdQBuAGMAdABpAG8AbgA6ACAAIAAgACAAIABTAGgAaQBmAHQAUgBvAHcAcwC7A1wAbgBDAGEAdABlAGcAbwByAHkAOgAgACAAIAAgACAARwByAGkAZAAgAEEAbABnAGUAYgByAGEAIAAoAFIAbwBsAGwAaQBuAGcAKQBcAG4AQQB1AHQAaABvAHIAOgAgACAAIAAgACAAIAAgAFAAYQB0AHIAaQBjAGsAIABIAC4AXABuAFYAZQByAHMAaQBvAG4AOgAgACAAIAAgACAAIAAxAC4AMQBcAG4ARABlAHAAZQBuAGQAZQBuAGMAaQBlAHMAOgAgAFMAaABpAGYAdAC7AywAIABNAEcAcgBpAGQAuwMsACAAUgBlAHMAaQB6AGUAuwNcAG4AXABuAEQAZQBzAGMAcgBpAHAAdABpAG8AbgA6AFwAbgAgACAAIAAgAFAAZQByAGYAbwByAG0AcwAgAGEAIABjAGkAcgBjAHUAbABhAHIAIABoAG8AcgBpAHoAbwBuAHQAYQBsACAAcwBoAGkAZgB0ACAAbwBuACAAZQBhAGMAaAAgAHIAbwB3ACAAbwBmACAAYQAgADIARAAgAGEAcgByAGEAeQAuACAAVABoAGUAIABzAGgAaQBmAHQAXwBiAHkAXABuACAAIAAgACAAdgBhAGwAdQBlACAAZABlAHQAZQByAG0AaQBuAGUAcwAgAGgAbwB3ACAAbQBhAG4AeQAgAHAAbwBzAGkAdABpAG8AbgBzACAAZQBhAGMAaAAgAHIAbwB3ACAAaQBzACAAcgBvAHQAYQB0AGUAZAA6AFwAbgAgACAAIAAgACAAIAAgACAAIiAgAFAAbwBzAGkAdABpAHYAZQAgAJIhIABzAGgAaQBmAHQAIABsAGUAZgB0AFwAbgAgACAAIAAgACAAIAAgACAAIiAgAE4AZQBnAGEAdABpAHYAZQAgAJIhIABzAGgAaQBmAHQAIAByAGkAZwBoAHQ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SAG8AdwBzALsDKABhAHIAcgBhAHkALAAgADEAKQBcAG4AIAAgACAAIAAgACAAIAAgAJIhIAB7AFwAIgBNAGEAdABoAFwAIgAsAFwAIgBCAFwAIgAsAFwAIgBCAG8AYgBcACIAOwBcAG4AIAAgACAAIAAgACAAIAAgACAAIAAgAFwAIgBQAGgAeQBzAGkAYwBzAFwAIgAsAFwAIgBBAFwAIgAsAFwAIgBEAGUAYgBcACIAOwBcAG4AIAAgACAAIAAgACAAIAAgACAAIAAgAFwAIgBIAGkAcwB0AG8AcgB5AFwAIgAsAFwAIgBCAFwAIgAsAFwAIgBTAHUAZQBcACIAOwBcAG4AIAAgACAAIAAgACAAIAAgACAAIAAgAFwAIgBDAGgAZQBtAGkAcwB0AHIAeQBcACIALABcACIAQwBcACIALABcACIASgBvAGUAXAAiAH0AXABuAFwAbgAgACAAIAAgAD0AUwBoAGkAZgB0AFIAbwB3AHMAuwMoAGEAcgByAGEAeQAsACAALQAxACkAXABuACAAIAAgACAAIAAgACAAIACSISAAewBcACIAQgBcACIALABcACIAQgBvAGIAXAAiACwAXAAiAE0AYQB0AGgAXAAiADsAXABuACAAIAAgACAAIAAgACAAIAAgACAAIABcACIAQQBcACIALABcACIARABlAGIAXAAiACwAXAAiAFAAaAB5AHMAaQBjAHMAXAAiADsAXABuACAAIAAgACAAIAAgACAAIAAgACAAIABcACIAQgBcACIALABcACIAUwB1AGUAXAAiACwAXAAiAEgAaQBzAHQAbwByAHkAXAAiADsAXABuACAAIAAgACAAIAAgACAAIAAgACAAIABcACIAQwBcACIALABcACIASgBvAGUAXAAiACwAXAAiAEMAaABlAG0AaQBzAHQAcgB5AFwAIgB9AFwAbgAtAC0ALQAtAC0ALQAtAC0ALQAtAC0ALQAtAC0ALQAtAC0ALQAtAC0ALQAtAC0ALQAtAC0ALQAtAC0ALQAtAC0ALQAtAC0ALQAtAC0ALQAtAC0ALQAtAC0ALQAtAC0ALQAtAC0ALQAtAC0ALQAtAC0ALQAtAC0ALQAtAC0ALQAtAC0ALQAtAC0ALQAtAC0ALQAtAC0ALQAtAC0ALQAqAC8AXABuAFwAbgBTAGgAaQBmAHQAUgBvAHcAcwC7AyAAPQBcAG4ATABBAE0AQgBEAEEAKABcAG4AIAAgACAAIABhAHIAcgBhAHkAXwAyAEQALABcAG4AIAAgACAAIABbAHMAaABpAGYAdABfAGIAeQBdACwAXABuAEwARQBUACgAXABuACAAIAAgACAALwAvACAARABpAG0AZQBuAHMAaQBvAG4AcwBcAG4AIAAgACAAIABoACwAIAAgACAAIAAgACAAIAAgAFIATwBXAFMAKABhAHIAcgBhAHkAXwAyAEQAKQAsAFwAbgAgACAAIAAgAHcALAAgACAAIAAgACAAIAAgACAAQwBPAEwAVQBNAE4AUwAoAGEAcgByAGEAeQBfADIARAApACwAXABuAFwAbgAgACAAIAAgAC8ALwAgADEARAAgAGEAcgByAGEAeQBzACAALwAgAHMAYwBhAGwAYQByAHMAIABoAGEAbgBkAGwAZQBkACAAYgB5ACAAUwBoAGkAZgB0ALsDXABuACAAIAAgACAASQBzADEARAA/ACwAIAAgACAAIABPAFIAKABoACAAPQAgADEALAAgAHcAIAA9ACAAMQApACwAXABuAFwAbgAgACAAIAAgAEkARgAoAEkAcwAxAEQAPwAsAFMAaABpAGYAdAC7AygAYQByAHIAYQB5AF8AMgBEACwAIABzAGgAaQBmAHQAXwBiAHkAKQAsAFwAbgBcAG4ATABFAFQAKABcAG4AIAAgACAAIAAvAC8AIABSAG8AdwAgAGkAbgBkAGkAYwBlAHMAIAByAGUAbQBhAGkAbgAgAGYAaQB4AGUAZABcAG4AIAAgACAAIABpACwAIAAgACAAIAAgACAAIAAgAE0ARwByAGkAZAC7AygAYQByAHIAYQB5AF8AMgBEACkALABcAG4AXABuACAAIAAgACAALwAvACAAQwBvAGwAdQBtAG4AIABpAG4AZABpAGMAZQBzACAAYQByAGUAIABjAGkAcgBjAHUAbABhAHIAbAB5ACAAcwBoAGkAZgB0AGUAZABcAG4AIAAgACAAIABqACwAIAAgACAAIAAgACAAIAAgAFIAZQBzAGkAegBlALsDKABTAGgAaQBmAHQAuwMoAFMARQBRAFUARQBOAEMARQAoACwAIAB3ACkALAAgAHMAaABpAGYAdABfAGIAeQApACwAaAApACwAXABuAFwAbgAgACAAIAAgAHIAZQBzAHUAbAB0ACwAIAAgACAASQBOAEQARQBYACgAYQByAHIAYQB5AF8AMgBEACwAIABpACwAIABqACkALABcAG4AXABuACAAIAAgACAAcgBlAHMAdQBsAHQAXABuACkAKQApACkAOwBcAG4AXABuAFwAbgBcAG4ALwAqACAAWwBHAEEAMQAyAF0AIAAtAC0ALQAtAC0ALQAtAC0ALQAtAC0ALQAtAC0ALQAtAC0ALQAtAC0ALQAtAC0ALQAtAC0ALQAtAC0ALQAtAC0ALQAtAC0ALQAtAC0ALQAtAC0ALQAtAC0ALQAtAC0ALQAtAC0ALQAtAC0ALQAtAC0ALQAtAC0ALQAtAC0ALQAtAC0ALQAtAC0ALQAtAC0ALQAtAFwAbgBGAHUAbgBjAHQAaQBvAG4AOgAgACAAIAAgACAAUwBoAGkAZgB0AEMAbwBs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dgBlAHIAdABpAGMAYQBsACAAcwBoAGkAZgB0ACAAbwBuACAAZQBhAGMAaAAgAGMAbwBsAHUAbQBuACAAbwBmACAAYQAgADIARAAgAGEAcgByAGEAeQAuACAAVABoAGUAIABzAGgAaQBmAHQAXwBiAHkAXABuACAAIAAgACAAdgBhAGwAdQBlACAAZABlAHQAZQByAG0AaQBuAGUAcwAgAGgAbwB3ACAAbQBhAG4AeQAgAHAAbwBzAGkAdABpAG8AbgBzACAAZQBhAGMAaAAgAGMAbwBsAHUAbQBuACAAaQBzACAAcgBvAHQAYQB0AGUAZAA6AFwAbgAgACAAIAAgACAAIAAgACAAIiAgAFAAbwBzAGkAdABpAHYAZQAgAJIhIABzAGgAaQBmAHQAIAB1AHAAXABuACAAIAAgACAAIAAgACAAIAAiICAATgBlAGcAYQB0AGkAdgBlACAAkiEgAHMAaABpAGYAdAAgAGQAbwB3AG4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DAG8AbABzALsDKABhAHIAcgBhAHkALAAgADEAKQBcAG4AIAAgACAAIAAgACAAIAAgAJIhIAB7AFwAIgBEAGUAYgBcACIALABcACIAUABoAHkAcwBpAGMAcwBcACIALABcACIAQQBcACIAOwBcAG4AIAAgACAAIAAgACAAIAAgACAAIAAgAFwAIgBTAHUAZQBcACIALABcACIASABpAHMAdABvAHIAeQBcACIALABcACIAQgBcACIAOwBcAG4AIAAgACAAIAAgACAAIAAgACAAIAAgAFwAIgBKAG8AZQBcACIALABcACIAQwBoAGUAbQBpAHMAdAByAHkAXAAiACwAXAAiAEMAXAAiADsAXABuACAAIAAgACAAIAAgACAAIAAgACAAIABcACIAQgBvAGIAXAAiACwAXAAiAE0AYQB0AGgAXAAiACwAXAAiAEIAXAAiAH0AXABuAFwAbgAgACAAIAAgAD0AUwBoAGkAZgB0AEMAbwBsAHMAuwMoAGEAcgByAGEAeQAsACAALQAxACkAXABuACAAIAAgACAAIAAgACAAIACSISAAewBcACIASgBvAGUAXAAiACwAXAAiAEMAaABlAG0AaQBzAHQAcgB5AFwAIgAsAFwAIgBDAFwAIgA7AFwAbgAgACAAIAAgACAAIAAgACAAIAAgACAAXAAiAEIAbwBiAFwAIgAsAFwAIgBNAGEAdABoAFwAIgAsAFwAIgBCAFwAIgA7AFwAbgAgACAAIAAgACAAIAAgACAAIAAgACAAXAAiAEQAZQBiAFwAIgAsAFwAIgBQAGgAeQBzAGkAYwBzAFwAIgAsAFwAIgBBAFwAIgA7AFwAbgAgACAAIAAgACAAIAAgACAAIAAgACAAXAAiAFMAdQBlAFwAIgAsAFwAIgBIAGkAcwB0AG8AcgB5AFwAIgAsAFwAIgBCAFwAIgB9AFwAbgAtAC0ALQAtAC0ALQAtAC0ALQAtAC0ALQAtAC0ALQAtAC0ALQAtAC0ALQAtAC0ALQAtAC0ALQAtAC0ALQAtAC0ALQAtAC0ALQAtAC0ALQAtAC0ALQAtAC0ALQAtAC0ALQAtAC0ALQAtAC0ALQAtAC0ALQAtAC0ALQAtAC0ALQAtAC0ALQAtAC0ALQAtAC0ALQAtAC0ALQAtAC0ALQAqAC8AXABuAFwAbgBTAGgAaQBmAHQAQwBvAGwAcwC7AyAAPQBcAG4ATABBAE0AQgBEAEEAKABcAG4AIAAgACAAIABhAHIAcgBhAHkAXwAyAEQALABcAG4AIAAgACAAIABbAHMAaABpAGYAdABfAGIAeQBdACwAXABuAEwARQBUACgAXABuACAAIAAgACAALwAvACAARABpAG0AZQBuAHMAaQBvAG4AcwBcAG4AIAAgACAAIABoACwAIAAgACAAIAAgACAAIAAgACAAIAAgAFIATwBXAFMAKABhAHIAcgBhAHkAXwAyAEQAKQAsAFwAbgAgACAAIAAgAHcALAAgACAAIAAgACAAIAAgACAAIAAgACAAQwBPAEwAVQBNAE4AUwAoAGEAcgByAGEAeQBfADIARAApACwAXABuAFwAbgAgACAAIAAgAC8ALwAgADEARAAgAGEAcgByAGEAeQBzACAALwAgAHMAYwBhAGwAYQByAHMAIABoAGEAbgBkAGwAZQBkACAAYgB5ACAAUwBoAGkAZgB0ALsDXABuACAAIAAgACAASQBzADEARAA/ACwAIAAgACAAIAAgACAAIABPAFIAKABoACAAPQAgADEALAAgAHcAIAA9ACAAMQApACwAXABuAFwAbgAgACAAIAAgAEkARgAoAEkAcwAxAEQAPwAsAFMAaABpAGYAdAC7AygAYQByAHIAYQB5AF8AMgBE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hAHIAcgBhAHkAXwAyAEQALAAgADEAKQAsAFwAbgBcAG4AIAAgACAAIAByAGUAcwB1AGwAdAAsACAAIAAgACAAIAAgAEkATgBEAEUAWAAoAGEAcgByAGEAeQBfADIARAAsACAAaQAsACAAagApACwAXABuAFwAbgAgACAAIAAgAHIAZQBzAHUAbAB0AFwAbgApACkAKQApADsAXABuAFwAbgBcAG4AXABuAC8AKgAgAFsARwBBADEAMwBdACAALQAtAC0ALQAtAC0ALQAtAC0ALQAtAC0ALQAtAC0ALQAtAC0ALQAtAC0ALQAtAC0ALQAtAC0ALQAtAC0ALQAtAC0ALQAtAC0ALQAtAC0ALQAtAC0ALQAtAC0ALQAtAC0ALQAtAC0ALQAtAC0ALQAtAC0ALQAtAC0ALQAtAC0ALQAtAC0ALQAtAC0ALQAtAC0ALQBcAG4ARgB1AG4AYwB0AGkAbwBuADoAIAAgACAAIAAgAEUAbQBiAGUAZAC7A1wAbgBDAGEAdABlAGcAbwByAHkAOgAgACAAIAAgACAARwByAGkAZAAgAEEAbABnAGUAYgByAGEAIAAoAFMAZQBsAGUAYwB0AGkAbwBuACkAXABuAEEAdQB0AGgAbwByADoAIAAgACAAIAAgACAAIABQAGEAdAByAGkAYwBrACAASAAuAFwAbgBWAGUAcgBzAGkAbwBuADoAIAAgACAAIAAgACAAMQAuADEAXABuAFwAbgBEAGUAcwBjAHIAaQBwAHQAaQBvAG4AOgBcAG4AIAAgACAAIABFAG0AYgBlAGQAcwAgAGEAIABzAHUAcABwAGwAaQBlAGQAIABhAHIAcgBhAHkAIABpAG4AdABvACAAYQAgADIARAAgAGgAbwBzAHQAIABhAHIAcgBhAHkAIABhAHQAIABhACAAcwBwAGUAYwBpAGYAaQBlAGQAIAByAG8AdwAgAG8AcgAgAGMAbwBsAHUAbQBuAFwAbgAgACAAIAAgAGkAbgBkAGUAeAAuACAARQBtAGIAZQBkALsDIABzAHUAcABwAG8AcgB0AHMAIABzAGMAYQBsAGEAcgBzACwAIAAxAEQAIABhAHIAcgBhAHkAcwAsACAAYQBuAGQAIAAyAEQAIABhAHIAcgBhAHkAcwAuACAAVABoAGUAIABlAG0AYgBlAGQAZABlAGQAIABhAHIAcgBhAHkAXABuACAAIAAgACAAaQBzACAAYQB1AHQAbwBtAGEAdABpAGMAYQBsAGwAeQAgAGUAeABwAGEAbgBkAGUAZAAgAGEAcwAgAG4AZQBlAGQAZQBkACAAdABvACAAbQBhAGkAbgB0AGEAaQBuACAAcgBlAGMAdABhAG4AZwB1AGwAYQByAGkAdAB5ACAAYQBuAGQAIABhAHYAbwBpAGQAXABuACAAIAAgACAAagBhAGcAZwBlAGQAIAByAGUAcwB1AGwAdABzAC4AXABuAFwAbgBQAGEAcgBhAG0AZQB0AGUAcgBzADoAXABuACAAIAAgACAAYQByAHIAYQB5ACAAIAAgACAAIAAgACAAIAAgAC0AIABSAGUAcQB1AGkAcgBlAGQAIAAxAEQAIABvAHIAIAAyAEQAIABoAG8AcwB0ACAAYQByAHIAYQB5AC4AXABuACAAIAAgACAAZQBtAGIAZQBkAF8AYQByAHIAYQB5ACAAIAAgAC0AIABBAHIAcgBhAHkAIAB0AG8AIABlAG0AYgBlAGQAIAB3AGkAdABoAGkAbgAgAHQAaABlACAAaABvAHMAdAAgAGEAcgByAGEAeQAuAFwAbgAgACAAIAAgAFsAcgBvAHcAXwBpAG4AZABlAHgAXQAgACAAIAAtACAATwBwAHQAaQBvAG4AYQBsACAAcgBvAHcAIABwAG8AcwBpAHQAaQBvAG4AIABmAG8AcgAgAGkAbgBzAGUAcgB0AGkAbwBuAC4AXABuACAAIAAgACAAWwBjAG8AbABfAGkAbgBkAGUAeABdACAAIAAgAC0AIABPAHAAdABpAG8AbgBhAGwAIABjAG8AbAB1AG0AbgAgAHAAbwBzAGkAdABpAG8AbgAgAGYAbwByACAAaQBuAHMAZQByAHQAaQBvAG4ALgBcAG4AIAAgACAAIAAgACAAIAAgACAAIAAgACAAIAAgACAAIAAgACAAIAAgACIgIABJAGYAIABiAG8AdABoACAAYQByAGUAIABzAHUAcABwAGwAaQBlAGQALAAgAHIAbwB3AF8AaQBuAGQAZQB4ACAAdABhAGsAZQBzACAAcAByAGUAYwBlAGQAZQBuAGMAZQAuAFwAbgBcAG4ATgB1AGEAbgBjAGUAcwA6AFwAbgAgACAAIAAgACIgIABTAGMAYQBsAGEAcgBzACAAZQB4AHAAYQBuAGQAIABoAG8AcgBpAHoAbwBuAHQAYQBsAGwAeQAgAHcAaABlAG4AIABpAG4AcwBlAHIAdABlAGQAIABiAHkAIAByAG8AdwBfAGkAbgBkAGUAeAAsACAAdgBlAHIAdABpAGMAYQBsAGwAeQAgAHcAaABlAG4AXABuACAAIAAgACAAIAAgAGkAbgBzAGUAcgB0AGUAZAAgAGIAeQAgAGMAbwBsAF8AaQBuAGQAZQB4AC4AXABuACAAIAAgACAAIiAgADEARAAvADIARAAgAGUAbQBiAGUAZABfAGEAcgByAGEAeQAgAGkAbgBwAHUAdABzACAAdABoAGEAdAAgAGQAbwAgAG4AbwB0ACAAbQBhAHQAYwBoACAAaABvAHMAdAAgAHcAaQBkAHQAaAAvAGgAZQBpAGcAaAB0ACAAYQByAGUAIABwAGEAZABkAGUAZABcAG4AIAAgACAAIAAgACAAdwBpAHQAaAAgAFwAIgBcACIAIAB0AG8AIABtAGEAaQBuAHQAYQBpAG4AIAByAGUAYwB0AGEAbgBnAHUAbABhAHIAaQB0AHkALgBcAG4AIAAgACAAIAAiICAAXAAiACMAUgBPAFcALwBDAE8ATAAtAEkATgBEAEUAWABcACIAIABpAHMAIAByAGUAdAB1AHIAbgBlAGQAIABmAG8AcgAgAG4AbwBuABEgbgB1AG0AZQByAGkAYwAgAG8AcgAgAG8AdQB0ABEgbwBmABEgYgBvAHUAbgBkAHMAIABpAG4AZABpAGMAZQBzAC4AXABuACAAIAAgACAAIiAgAFMAYwBhAGwAYQByAHMAIABjAGEAbgBuAG8AdAAgAHMAZQByAHYAZQAgAGEAcwAgAGgAbwBzAHQAIABhAHIAcgBhAHkAcwA7ACAAXAAiACMAUwBDAEEATABBAFIAIQBcACIAIABpAHMAIAByAGUAdAB1AHIAbgBlAGQALgBcAG4ALQAtAC0ALQAtAC0ALQAtAC0ALQAtAC0ALQAtAC0ALQAtAC0ALQAtAC0ALQAtAC0ALQAtAC0ALQAtAC0ALQAtAC0ALQAtAC0ALQAtAC0ALQAtAC0ALQAtAC0ALQAtAC0ALQAtAC0ALQAtAC0ALQAtAC0ALQAtAC0ALQAtAC0ALQAtAC0ALQAtAC0ALQAtAC0ALQAtAC0ALQAtAC0AKgAvAFwAbgBcAG4ARQBtAGIAZQBkALsDIAA9AFwAbgBMAEEATQBCAEQAQQAoAFwAbgAgACAAIAAgAGEAcgByAGEAeQAsAFwAbgAgACAAIAAgAGUAbQBiAGUAZABfAGEAcgByAGEAeQAsAFwAbgAgACAAIAAgAFsAcgBvAHcAXwBpAG4AZABlAHgAXQAsAFwAbgAgACAAIAAgAFsAYwBvAGwAXwBpAG4AZABlAHgAXQAsAFwAbgBMAEUAVAAoAFwAbgAgACAAIAAgAC8ALwAgAEgAbwBzAHQAIABkAGkAbQBlAG4AcwBpAG8AbgBzAFwAbgAgACAAIAAgAGgALAAgACAAIAAgACAAIAAgACAAIAAgACAAIAAgACAAIAAgACAAIABSAE8AVwBTACgAYQByAHIAYQB5ACkALABcAG4AIAAgACAAIAB3ACwAIAAgACAAIAAgACAAIAAgACAAIAAgACAAIAAgACAAIAAgACAAQwBPAEwAVQBNAE4AUwAoAGEAcgByAGEAeQApACwAXABuAFwAbgAgACAAIAAgAC8ALwAgAEUAbQBiAGUAZAAgAGQAaQBtAGUAbgBzAGkAbwBuAHMAXABuACAAIAAgACAAaACCICwAIAAgACAAIAAgACAAIAAgACAAIAAgACAAIAAgACAAIAAgAFIATwBXAFMAKABlAG0AYgBlAGQAXwBhAHIAcgBhAHkAKQAsAFwAbgAgACAAIAAgAHcAgiAsACAAIAAgACAAIAAgACAAIAAgACAAIAAgACAAIAAgACAAIABDAE8ATABVAE0ATgBTACgAZQBtAGIAZQBkAF8AYQByAHIAYQB5ACkALABcAG4AXABuACAAIAAgACAALwAvACAAUABhAHIAYQBtAGUAdABlAHIAIABwAHIAZQBzAGUAbgBjAGUAXABuACAAIAAgACAAUgBvAHcARQBtAGIAZQBkAD8ALAAgACAAIAAgACAAIAAgACAAIAAgAE4ATwBUACgASQBTAE8ATQBJAFQAVABFAEQAKAByAG8AdwBfAGkAbgBkAGUAeAApACkALABcAG4AIAAgACAAIABDAG8AbABFAG0AYgBlAGQAPwAsACAAIAAgACAAIAAgACAAIAAgACAATgBPAFQAKABJAFMATwBNAEkAVABUAEUARAAoAGMAbwBsAF8AaQBuAGQAZQB4ACkAKQAsAFwAbgAgACAAIAAgAFIAQwBFAG0AYgBlAGQAPwAsACAAIAAgACAAIAAgACAAIAAgACAAIABBAE4ARAAoAFIAbwB3AEUAbQBiAGUAZAA/ACwAIABDAG8AbABFAG0AYgBlAGQAPwApACwAXABuAFwAbgAgACAAIAAgAC8ALwAgAEkAbgB2AGEAbABpAGQAIABlAG0AYgBlAGQAIABzAGkAegBlACAAKABlAG0AYgBlAGQAIABsAGEAcgBnAGUAcgAgAHQAaABhAG4AIABoAG8AcwB0ACkAXABuACAAIAAgACAASQBuAHYAYQBsAGkAZABFAG0AYgBlAGQAPwAsACAAIAAgACAAIAAgAEkARgAoAEEATgBEACgAUgBvAHcARQBtAGIAZQBkAD8ALAAgAHcAgiAgAD4AIAB3ACkALAAgAFQAUgBVAEUALABcAG4AIAAgACAAIAAgACAAIAAgACAAIAAgACAAIAAgACAAIAAgACAAIAAgACAAIAAgACAAIAAgACAAIABJAEYAKABBAE4ARAAoAEMAbwBsAEUAbQBiAGUAZAA/ACwAIABoAIIgIAA+ACAAaAApACwAIABUAFIAVQBFACwAXABuACAAIAAgACAAIAAgACAAIAAgACAAIAAgACAAIAAgACAAIAAgACAAIAAgACAAIAAgACAAIAAgACAAIAAgACAAIABJAEYAKABBAE4ARAAoAFIAQwBFAG0AYgBlAGQAPwAsACAATwBSACgAaACCICAAPgAgAGgALAAgAHcAgiAgAD4AIAB3ACkAKQAsAFwAbgAgACAAIAAgACAAIAAgACAAIAAgACAAIAAgACAAIAAgACAAIAAgACAAIAAgACAAIAAgACAAIAAgACAAIAAgACAAIAAgACAAIABUAFIAVQBFACwAXABuACAAIAAgACAAIAAgACAAIAAgACAAIAAgACAAIAAgACAAIAAgACAAIAAgACAAIAAgACAAIAAgACAAIAAgACAAIAAgACAAIAAgAEYAQQBMAFMARQApACkAKQAsAFwAbgBcAG4AIAAgACAAIAAvAC8AIABJAG4AZABlAHgAIAB2AGEAbABpAGQAYQB0AGkAbwBuAFwAbgAgACAAIAAgAEkAbgB2AGEAbABpAGQASQBkAHgAPwAsACAAIAAgACAAIAAgACAAIABPAFIAKABJAFMAVABFAFgAVAAoAHIAbwB3AF8AaQBuAGQAZQB4ACkALABcAG4AIAAgACAAIAAgACAAIAAgACAAIAAgACAAIAAgACAAIAAgACAAIAAgACAAIAAgACAAIAAgACAASQBTAFQARQBYAFQAKABjAG8AbABfAGkAbgBkAGUAeAApACwAXABuACAAIAAgACAAIAAgACAAIAAgACAAIAAgACAAIAAgACAAIAAgACAAIAAgACAAIAAgACAAIAAgAEEATgBEACgATgBPAFQAKABJAFMATwBNAEkAVABUAEUARAAoAHIAbwB3AF8AaQBuAGQAZQB4ACkAKQAsAFwAbgAgACAAIAAgACAAIAAgACAAIAAgACAAIAAgACAAIAAgACAAIAAgACAAIAAgACAAIAAgACAAIABPAFIAKAByAG8AdwBfAGkAbgBkAGUAeAAgADwAIAAxACwAIAByAG8AdwBfAGkAbgBkAGUAeAAgAD4AIABoACkAKQAsAFwAbgAgACAAIAAgACAAIAAgACAAIAAgACAAIAAgACAAIAAgACAAIAAgACAAIAAgACAAIAAgACAAIABBAE4ARAAoAE4ATwBUACgASQBTAE8ATQBJAFQAVABFAEQAKABjAG8AbABfAGkAbgBkAGUAeAApACkALABcAG4AIAAgACAAIAAgACAAIAAgACAAIAAgACAAIAAgACAAIAAgACAAIAAgACAAIAAgACAAIAAgACAATwBSACgAYwBvAGwAXwBpAG4AZABlAHgAIAA8ACAAMQAsACAAYwBvAGwAXwBpAG4AZABlAHgAIAA+ACAAdwApACkAKQAsAFwAbgBcAG4AIAAgACAAIAAvAC8AIABIAG8AcwB0ACAAYwBhAG4AbgBvAHQAIABiAGUAIABzAGMAYQBsAGEAcgBcAG4AIAAgACAAIABJAHMAUwBjAGEAbABhAHIAPwAsACAAIAAgACAAIAAgACAAIAAgACAAQQBOAEQAKABoACAAPQAgADEALAAgAHcAIAA9ACAAMQApACwAXABuAFwAbgAvAC8AIABMAG8AZwBpAGMAIABnAGEAdABlAFwAbgAgACAAIAAgAEkARgAoAEkAbgB2AGEAbABpAGQASQBkAHgAPwAsACAAXAAiACMAUgBPAFcALwBDAE8ATAAtAEkATgBEAEUAWABcACIALABcAG4AXABuACAAIAAgACAAIAAgACAAIABJAEYAKABJAG4AdgBhAGwAaQBkAEUAbQBiAGUAZAA/ACwAIABcACIAIwBFAE0AQgBFAEQAIQBcACIALABcAG4AXABuACAAIAAgACAAIAAgACAAIAAgACAAIAAgAEkARgAoAEkAcwBTAGMAYQBsAGEAcgA/ACwAIABcACIAIwBTAEMAQQBMAEEAUgAhAFwAIgAsAFwAbgBcAG4ATABFAFQAKABcAG4AIAAgACAAIAAvAC8AIABEAGkAcgBlAGMAdABpAG8AbgA6ACAAdgBlAHIAdABpAGMAYQBsACAAaQBuAHMAZQByAHQAaQBvAG4AIAB1AG4AbABlAHMAcwAgAG8AbgBsAHkAIABjAG8AbABfAGkAbgBkAGUAeAAgAGkAcwAgAHAAcgBvAHYAaQBkAGUAZABcAG4AIAAgACAAIABJAHMAVgBlAHIAdABpAGMAYQBsAD8ALAAgACAAIAAgACAAIAAgACAATwBSACgATgBPAFQAKABJAFMATwBNAEkAVABUAEUARAAoAHIAbwB3AF8AaQBuAGQAZQB4ACkAKQAsACAASQBTAE8ATQBJAFQAVABFAEQAKABjAG8AbABfAGkAbgBkAGUAeAApACkALABcAG4AXABuACAAIAAgACAALwAvACAAUwB0AGEAYwBrACAAZgB1AG4AYwB0AGkAbwBuAFwAbgAgACAAIAAgAFMAdABhAGMAawC7AywAIAAgACAAIAAgACAAIAAgACAAIAAgACAAIABJAEYAKABJAHMAVgBlAHIAdABpAGMAYQBsAD8ALAAgAFYAUwBUAEEAQwBLACwAIABIAFMAVABBAEMASwApACwAXABuAFwAbgAgACAAIAAgAC8ALwAgAFMAYwBhAGwAYQByACAAZQBtAGIAZQBkAD8AXABuACAAIAAgACAASQBzAEkAbgBjAFMAYwBhAGwAYQByAD8ALAAgACAAIAAgACAAIAAgAEEATgBEACgAaACCICAAPQAgADEALAAgAHcAgiAgAD0AIAAxACkALABcAG4AXABuACAAIAAgACAALwAvACAASQBuAHMAZQByAHQAaQBvAG4AIABpAG4AZABlAHgAXABuACAAIAAgACAAaQBkAHgALAAgACAAIAAgACAAIAAgACAAIAAgACAAIAAgACAAIAAgAEkARgAoAEkAcwBWAGUAcgB0AGkAYwBhAGwAPwAsACAAcgBvAHcAXwBpAG4AZABlAHgALAAgAGMAbwBsAF8AaQBuAGQAZQB4ACkALABcAG4AIAAgACAAIABtAGEAeABfAGQAaQBtACwAIAAgACAAIAAgACAAIAAgACAAIAAgACAAMQAgACsAIABJAEYAKABJAHMAVgBlAHIAdABpAGMAYQBsAD8ALAAgAGgALAAgAHcAKQAsAFwAbgBcAG4AIAAgACAAIAAvAC8AIABTAHAAbABpAHQAIABoAG8AcwB0ACAAYQByAHIAYQB5AFwAbgAgACAAIAAgAGIAbABvAGMAawBfAGEALAAgACAAIAAgACAAIAAgACAAIAAgACAAIABJAEYAKABJAHMAVgBlAHIAdABpAGMAYQBsAD8ALABcAG4AIAAgACAAIAAgACAAIAAgACAAIAAgACAAIAAgACAAIAAgACAAIAAgACAAIAAgACAAIAAgACAAIABUAEEASwBFACgAYQByAHIAYQB5ACwAIABpAGQAeAAgAC0AIAAxACkALABcAG4AIAAgACAAIAAgACAAIAAgACAAIAAgACAAIAAgACAAIAAgACAAIAAgACAAIAAgACAAIAAgACAAIABUAEEASwBFACgAYQByAHIAYQB5ACwAIAAsACAAaQBkAHgAIAAtACAAMQApACkALABcAG4AXABuACAAIAAgACAAYgBsAG8AYwBrAF8AYgAsACAAIAAgACAAIAAgACAAIAAgACAAIAAgAEkARgAoAEkAcwBWAGUAcgB0AGkAYwBhAGwAPwAsAFwAbgAgACAAIAAgACAAIAAgACAAIAAgACAAIAAgACAAIAAgACAAIAAgACAAIAAgACAAIAAgACAAIAAgAFQAQQBLAEUAKABhAHIAcgBhAHkALAAgAC0AKAAxACAAKwAgAGgAIAAtACAAaQBkAHgAKQApACwAXABuACAAIAAgACAAIAAgACAAIAAgACAAIAAgACAAIAAgACAAIAAgACAAIAAgACAAIAAgACAAIAAgACAAVABBAEsARQAoAGEAcgByAGEAeQAsACAALAAgAC0AKAAxACAAKwAgAHcAIAAtACAAaQBkAHgAKQApACkALABcAG4AXABuACAAIAAgACAALwAvACAAUwB0AGEAbgBkAGEAcgBkACAAaQBuAHMAZQByAHQAaQBvAG4AIAAoAHQAbwBwACAAbwByACAAYgBvAHQAdABvAG0AKQBcAG4AIAAgACAAIABJAHMAUwB0AGEAbgBkAGEAcgBkAD8ALAAgACAAIAAgACAAIAAgACAATwBSACgAaQBkAHgAIAA9ACAAMQAsACAAaQBkAHgAIAA9ACAAbQBhAHgAXwBkAGkAbQApACwAXABuAFwAbgAgACAAIAAgAC8ALwAgAEUAeABwAGEAbgBzAGkAbwBuACAAcgB1AGwAZQBzAFwAbgAgACAAIAAgAGUAeABwAF8AcwBjAGEAbABhAHIAXwB3AGkAZAB0AGgALAAgACAAIABFAFgAUABBAE4ARAAoAGUAbQBiAGUAZABfAGEAcgByAGEAeQAsACAALAAgAHcALAAgAGUAbQBiAGUAZABfAGEAcgByAGEAeQApACwAXABuACAAIAAgACAAZQB4AHAAXwB3AGkAZAB0AGgALAAgACAAIAAgACAAIAAgACAAIAAgAEUAWABQAEEATgBEACgAZQBtAGIAZQBkAF8AYQByAHIAYQB5ACwAIAAsACAAdwAsACAAXAAiAFwAIgApACwAXABuACAAIAAgACAAZQB4AHAAXwBzAGMAYQBsAGEAcgBfAGgAZQBpAGcAaAB0ACwAIAAgAEUAWABQAEEATgBEACgAZQBtAGIAZQBkAF8AYQByAHIAYQB5ACwAIABoACwAIAAsACAAZQBtAGIAZQBkAF8AYQByAHIAYQB5ACkALABcAG4AIAAgACAAIABlAHgAcABfAGgAZQBpAGcAaAB0ACwAIAAgACAAIAAgACAAIAAgACAARQBYAFAAQQBOAEQAKABlAG0AYgBlAGQAXwBhAHIAcgBhAHkALAAgAGgALAAgACwAIABcACIAXAAiACkALABcAG4AXABuACAAIAAgACAALwAvACAAUABhAGQAIABlAG0AYgBlAGQAXwBhAHIAcgBhAHkAIAB0AG8AIABhAHYAbwBpAGQAIABkAGkAbQBlAG4AcwBpAG8AbgAgAG0AaQBzAG0AYQB0AGMAaABcAG4AIAAgACAAIABlAG0AYgBlAGQAXwBhAHIAcgBhAHkALAAgACAAIAAgACAAIAAgACAASQBGACgASQBzAFYAZQByAHQAaQBjAGEAbAA/ACAAKgAgAEkAcwBJAG4AYwBTAGMAYQBsAGEAcgA/ACwAIABlAHgAcABfAHMAYwBhAGwAYQByAF8AdwBpAGQAdABoACwAXABuACAAIAAgACAAIAAgACAAIAAgACAAIAAgACAAIAAgACAAIAAgACAAIAAgACAAIAAgACAAIAAgACAASQBGACgASQBzAFYAZQByAHQAaQBjAGEAbAA/ACwAIABlAHgAcABfAHcAaQBkAHQAaAAsAFwAbgAgACAAIAAgACAAIAAgACAAIAAgACAAIAAgACAAIAAgACAAIAAgACAAIAAgACAAIAAgACAAIAAgACAAIAAgACAASQBGACgASQBzAEkAbgBjAFMAYwBhAGwAYQByAD8ALAAgAGUAeABwAF8AcwBjAGEAbABhAHIAXwBoAGUAaQBnAGgAdAAsAFwAbgAgACAAIAAgACAAIAAgACAAIAAgACAAIAAgACAAIAAgACAAIAAgACAAIAAgACAAIAAgACAAIAAgACAAIAAgACAAIAAgACAAIABlAHgAcABfAGgAZQBpAGcAaAB0ACkAKQApACwAXABuAFwAbgAgACAAIAAgAC8ALwAgAFMAdABhAG4AZABhAHIAZAAgAHYAcwAgAG0AaQBkABEgYQByAHIAYQB5ACAAaQBuAHMAZQByAHQAaQBvAG4AXABuACAAIAAgACAAcwB0AGEAbgBkAGEAcgBkACwAIAAgACAAIAAgACAAIAAgACAAIAAgAEkARgAoAGkAZAB4ACAAPQAgADEALABTAHQAYQBjAGsAuwMoAGUAbQBiAGUAZABfAGEAcgByAGEAeQAsACAAYQByAHIAYQB5ACkALABcAG4AIAAgACAAIAAgACAAIAAgACAAIAAgACAAIAAgACAAIAAgACAAIAAgACAAIAAgACAAIAAgACAAIABTAHQAYQBjAGsAuwMoAGEAcgByAGEAeQAsACAAZQBtAGIAZQBkAF8AYQByAHIAYQB5ACkAKQAsAFwAbgBcAG4AIAAgACAAIABzAHQAYQBjAGsALAAgACAAIAAgACAAIAAgACAAIAAgACAAIAAgACAAUwB0AGEAYwBrALsDKABiAGwAbwBjAGsAXwBhACwAIABlAG0AYgBlAGQAXwBhAHIAcgBhAHkALAAgAGIAbABvAGMAawBfAGIAKQAsAFwAbgBcAG4AIAAgACAAIAByAGUAcwB1AGwAdAAsACAAIAAgACAAIAAgACAAIAAgACAAIAAgACAASQBGACgASQBzAFMAdABhAG4AZABhAHIAZAA/ACwAIABzAHQAYQBuAGQAYQByAGQALAAgAHMAdABhAGMAawApACwAXABuAFwAbgAgACAAIAAgAHIAZQBzAHUAbAB0AFwAbgApACkAKQApACkAKQA7AFwAbgBcAG4AXABuAFwAbgAvACoAIABbAEcAQQAxADQAXQAgAC0ALQAtAC0ALQAtAC0ALQAtAC0ALQAtAC0ALQAtAC0ALQAtAC0ALQAtAC0ALQAtAC0ALQAtAC0ALQAtAC0ALQAtAC0ALQAtAC0ALQAtAC0ALQAtAC0ALQAtAC0ALQAtAC0ALQAtAC0ALQAtAC0ALQAtAC0ALQAtAC0ALQAtAC0ALQAtAC0ALQAtAC0ALQAtAC0AXABuAEYAdQBuAGMAdABpAG8AbgA6ACAAIAAgACAAIABLAGUAZQBwAFIAbwB3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yAG8AdwBzACAAZgByAG8AbQAgAGEAIAAyAEQAIABhAHIAcgBhAHkAIABiAGEAcwBlAGQAIABvAG4AIABjAG8AbgB0AGkAZwB1AG8AdQBzACAAcwB1AGIAZwByAG8AdQBwACAAcgB1AG4AcwAuACAAQQAgAHAAbwBzAGkAdABpAHYAZQBcAG4AIAAgACAAIABrAGUAZQBwACAAdgBhAGwAdQBlACAAcgBlAHQAYQBpAG4AcwAgAHIAbwB3AHMAIABmAHIAbwBtACAAdABoAGUAIAB0AG8AcAAgAG8AZgAgAGUAYQBjAGgAIABzAHUAYgBnAHIAbwB1AHAAIAByAHUAbgA7ACAAYQAgAG4AZQBnAGEAdABpAHYAZQAgAGsAZQBlAHAAXABuACAAIAAgACAAdgBhAGwAdQBlACAAcgBlAHQAYQBpAG4AcwAgAHIAbwB3AHMAIABmAHIAbwBtACAAdABoAGUAIABiAG8AdAB0AG8AbQ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0AG8AcAAgAG8AZgAgAGUAYQBjAGgAIAByAHUAbgBcAG4AIAAgACAAIAAgACAAIAAgACAAIAAgACAAIAAgACAAIAAgACAAIAAgACAAIAAgACAAIAAgADwAIAAwACAAkiEgAGsAZQBlAHA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rAGUAZQBwACAAbQB1AHMAdAAgAGIAZQAgAGEAIABzAGMAYQBsAGEAcgA7ACAAdABlAHgAdAAgAG8AcgAgAHYAZQBjAHQAbwByACAAaQBuAHAAdQB0AHMAIABoAGEAbAB0ACAAdwBpAHQAaAAgAGEAbgAgAGUAcgByAG8AcgAuAFwAbgAtAC0ALQAtAC0ALQAtAC0ALQAtAC0ALQAtAC0ALQAtAC0ALQAtAC0ALQAtAC0ALQAtAC0ALQAtAC0ALQAtAC0ALQAtAC0ALQAtAC0ALQAtAC0ALQAtAC0ALQAtAC0ALQAtAC0ALQAtAC0ALQAtAC0ALQAtAC0ALQAtAC0ALQAtAC0ALQAtAC0ALQAtAC0ALQAtAC0ALQAtAC0ALQAqAC8AXABuAFwAbgBLAGUAZQBwAFIAbwB3AHMAuwMgAD0AXABuAEwAQQBNAEIARABBACgAXABuACAAIAAgACAAYQByAHIAYQB5ACwAXABuACAAIAAgACAAawBlAGUAcA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GsAZQBlAHA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dABvAHAALAAgABMgYgBvAHQAdABvAG0AXABuACAAIAAgACAAcwAsACAAIAAgACAAIAAgACAAIAAgACAAIAAgACAAIAAgACAAIAAgAFMASQBHAE4AKABrAGUAZQBw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awBlAGUAcAAsACAAIAAgACAAIAAgACAAIAAgACAAIAAgACAAIAAgAEEAQgBTACgAawBlAGUAcA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BkIiAAawBlAGUAcABcAG4AIAAgACAAIABrAGUAZQBwAD8ALAAgACAAIAAgACAAIAAgACAAIAAgACAAIAAgACAAaQBkAHgAIAA8AD0AIABrAGUAZQBwACwAXABuAFwAbgAgACAAIAAgAHIAZQBzAHUAbAB0ACwAIAAgACAAIAAgACAAIAAgACAAIAAgACAAIABGAEkATABUAEUAUgAoAGEAcgByAGEAeQAsACAAawBlAGUAcAA/ACkALABcAG4AXABuACAAIAAgACAAcgBlAHMAdQBsAHQAXABuACkAKQApACkAKQA7AFwAbgBcAG4AXABuAFwAbgAvACoAIABbAEcAQQAxADUAXQAgAC0ALQAtAC0ALQAtAC0ALQAtAC0ALQAtAC0ALQAtAC0ALQAtAC0ALQAtAC0ALQAtAC0ALQAtAC0ALQAtAC0ALQAtAC0ALQAtAC0ALQAtAC0ALQAtAC0ALQAtAC0ALQAtAC0ALQAtAC0ALQAtAC0ALQAtAC0ALQAtAC0ALQAtAC0ALQAtAC0ALQAtAC0ALQAtAC0AXABuAEYAdQBuAGMAdABpAG8AbgA6ACAAIAAgACAAIABLAGUAZQBwAEMAbwBs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jAG8AbAB1AG0AbgBzACAAZgByAG8AbQAgAGEAIAAyAEQAIABhAHIAcgBhAHkAIABiAGEAcwBlAGQAIABvAG4AIABjAG8AbgB0AGkAZwB1AG8AdQBzACAAcwB1AGIAZwByAG8AdQBwACAAcgB1AG4AcwAuACAAQQAgAHAAbwBzAGkAdABpAHYAZQBcAG4AIAAgACAAIABrAGUAZQBwACAAdgBhAGwAdQBlACAAcgBlAHQAYQBpAG4AcwAgAGMAbwBsAHUAbQBuAHMAIABmAHIAbwBtACAAdABoAGUAIABsAGUAZgB0ACAAbwBmACAAZQBhAGMAaAAgAHMAdQBiAGcAcgBvAHUAcAAgAHIAdQBuADsAIABhACAAbgBlAGcAYQB0AGkAdgBlAFwAbgAgACAAIAAgAGsAZQBlAHAAIAB2AGEAbAB1AGUAIAByAGUAdABhAGkAbgBzACAAYwBvAGwAdQBtAG4AcwAgAGYAcgBvAG0AIAB0AGgAZQAgAHIAaQBnAGgAdA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sAGUAZgB0ACAAbwBmACAAZQBhAGMAaAAgAHIAdQBuAFwAbgAgACAAIAAgACAAIAAgACAAIAAgACAAIAAgACAAIAAgACAAIAAgACAAIAAgACAAIAAgACAAPAAgADAAIACSISAAawBlAGUAcA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DAG8AbA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awBlAGUAcA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sAZQBlAHAAKQAsAFwAbgAgACAAIAAgAE4AbwB0AFMAYwBhAGwAYQByAD8ALAAgACAAIAAgACAAIAAgACAAIABBAE4ARAAoAE4ATwBUACgASQBzAFQAZQB4AHQAPwApACwAIABDAE8AVQBOAFQAQQAoAGsAZQBlAHA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LwAvACAATABvAGcAaQBjACAAZwBhAHQAZQBcAG4AIAAgACAAIABJAEYAKABPAG4AZQBTAHUAYgBHAHIAbwB1AHAAPwAsACAARABpAHMAYwBhAHIAZAAsAFwAbgBcAG4AIAAgACAAIAAgACAAIAAgAEkARgAoAGgAYQBsAHQALAAgAGEAbABlAHIAdAAsAFwAbgBcAG4ATABFAFQAKABcAG4AIAAgACAAIAAvAC8AIABEAGkAcgBlAGMAdABpAG8AbgA6ACAAKwBsAGUAZgB0ACwAIAATIHIAaQBnAGgAdABcAG4AIAAgACAAIABzACwAIAAgACAAIAAgACAAIAAgACAAIAAgACAAIAAgACAAIAAgACAAUwBJAEcATgAoAGsAZQBlAHAAKQAsAFwAbgBcAG4AIAAgACAAIAAvAC8AIABSAHUAbgAgAGkAbgBkAGkAYwBlAHMAIAAoAGgAbwByAGkAegBvAG4AdABhAGwAKQBcAG4AIAAgACAAIABhAHMAYwBlAG4AZAAsACAAIAAgACAAIAAgACAAIAAgACAAIAAgACAAUwB0AHIAZQBhAGsAuwMoAGEAdABfAGUAYQBjAGgAXwBjAGgAYQBuAGcAZQAsACAAVABSAFUARQApACwAXABuACAAIAAgACAAZABlAHMAYwBlAG4AZAAsACAAIAAgACAAIAAgACAAIAAgACAAIAAgAEMAbwB1AG4AdABkAG8AdwBuALsDKABhAHQAXwBlAGEAYwBoAF8AYwBoAGEAbgBnAGUALAAgAFQAUgBVAE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ZCIgAGsAZQBlAHAAXABuACAAIAAgACAAawBlAGUAcAA/ACwAIAAgACAAIAAgACAAIAAgACAAIAAgACAAIAAgAGkAZAB4ACAAPAA9ACAAawBlAGUAcA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QA2AF0AIAAtAC0ALQAtAC0ALQAtAC0ALQAtAC0ALQAtAC0ALQAtAC0ALQAtAC0ALQAtAC0ALQAtAC0ALQAtAC0ALQAtAC0ALQAtAC0ALQAtAC0ALQAtAC0ALQAtAC0ALQAtAC0ALQAtAC0ALQAtAC0ALQAtAC0ALQAtAC0ALQAtAC0ALQAtAC0ALQAtAC0ALQAtAC0ALQAtAFwAbgBGAHUAbgBjAHQAaQBvAG4AOgAgACAAIAAgACAAQgBsAG8AYwBrAE0AYQBw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YAYQBsAGkAZABhAHQAZQBCAGwAbwBjAGsATQBhAHAAuwNcAG4AXABuAEQAZQBzAGMAcgBpAHAAdABpAG8AbgA6AFwAbgAgACAAIAAgAFIAZQBzAGgAYQBwAGUAcwAgAGEAIABhAHIAcgBhAHkAXwAyAEQ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YQByAHIAYQB5AF8AMgBEACAAIAAgACAAIAAgACAAIAAgACAAIAAgACAAIAAgAC0AIABJAG4AcAB1AHQAIABhAHIAcgBhAHkAXwAyAEQALgBcAG4AIAAgACAAIABkAGUAcAB0AGgAIAAgACAAIAAgACAAIAAgACAAIAAgACAAIAAgACAAIAAtACAASABlAGkAZwBoAHQAIABvAGYAIABlAGEAYwBoACAAYgBsAG8AYwBrAC4AXABuACAAIAAgACAAdwBpAGQAdABoACAAIAAgACAAIAAgACAAIAAgACAAIAAgACAAIAAgACAALQAgAFcAaQBkAHQAaAAgAG8AZgAgAGUAYQBjAGgAIABiAGwAbwBjAGsALgBcAG4AIAAgACAAIABbAHIAZQBfAHMAaABhAHAAZQBfAGIAeQBfAGMAbwBsAHUAbQBuAD8AXQAtACAASQBmACAAVABSAFUARQAsACAAcgBlAHMAaABhAHAAZQAgAGMAbwBsAHUAbQBuABEgdwBpAHMAZQA7ACAAZQBsAHMAZQAgAHIAbwB3ABEgdwBpAHMAZQAuAFwAbgAgACAAIAAgAFsAdAByAGEAbgBzAHAAbwBzAGUAXwBhAG4AYwBoAG8AcgBzAD8AXQAgAC0AIABJAGYAIABUAFIAVQBFACwAIAB0AHIAYQBuAHMAcABvAHMAZQAgAHIAbwB3AC8AYwBvAGwAdQBtAG4AIABhAG4AYwBoAG8AcgAgAGcAcgBpAGQAcwAuAFwAbgBcAG4ATgBvAHQAZQBzADoAXABuACAAIAAgACAAIiAgAFYAYQBsAGkAZABhAHQAZQBCAGwAbwBjAGsATQBhAHAAuwMgAGUAbgBmAG8AcgBjAGUAcwAgAHMAdAByAGkAYwB0ACAAcwBoAGEAcABlACAAYwBvAG0AcABhAHQAaQBiAGkAbABpAHQAeQAuAFwAbgAgACAAIAAgACIgIABBAG4AYwBoAG8AcgBzACAAZABlAGYAaQBuAGUAIAB0AGgAZQAgAHQAbwBwABEgbABlAGYAdAAgAGMAbwByAG4AZQByACAAbwBmACAAZQBhAGMAaAAgAGIAbABvAGMAawAuAFwAbgAgACAAIAAgACIgIABPAHUAdABwAHUAdAAgAGkAcwAgAGEAbAB3AGEAeQBzACAAcgBlAGMAdABhAG4AZwB1AGwAYQByACAAYQBuAGQAIABmAHUAbABsAHkAIAB0AGkAbABlAGQALgBcAG4ALQAtAC0ALQAtAC0ALQAtAC0ALQAtAC0ALQAtAC0ALQAtAC0ALQAtAC0ALQAtAC0ALQAtAC0ALQAtAC0ALQAtAC0ALQAtAC0ALQAtAC0ALQAtAC0ALQAtAC0ALQAtAC0ALQAtAC0ALQAtAC0ALQAtAC0ALQAtAC0ALQAtAC0ALQAtAC0ALQAtAC0ALQAtAC0ALQAtAC0ALQAtAC0AKgAvAFwAbgBcAG4AQgBsAG8AYwBrAE0AYQBwALsDIAA9AFwAbgBMAEEATQBCAEQAQQAoAFwAbgAgACAAIAAgAGEAcgByAGEAeQBfADIAR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hAHIAcgBhAHkAXwAyAEQALAAgAGQAZQBwAHQAaAAsACAAdwBpAGQAdABoACwAIAByAGUAXwBzAGgAYQBwAGUAXwBiAHkAXwBjAG8AbAB1AG0AbgA/ACwAXABuAFwAbgBMAEUAVAAoAFwAbgAgACAAIAAgAC8ALwAgAEIAbABvAGMAawAgAGcAcgBpAGQAIABkAGkAbQBlAG4AcwBpAG8AbgBzAFwAbgAgACAAIAAgAHgALAAgACAAIAAgACAAIAAgACAAIAAgACAAIAAgAFIATwBVAE4ARABVAFAAKABSAE8AVwBTACgAYQByAHIAYQB5AF8AMgBEACkAIAAvACAAZABlAHAAdABoACwAIAAwACkALAAgACAAIAAgACAALwAvACAAYgBsAG8AYwBrACAAcgBvAHcAcwBcAG4AIAAgACAAIAB5ACwAIAAgACAAIAAgACAAIAAgACAAIAAgACAAIABSAE8AVQBOAEQAVQBQACgAQwBPAEwAVQBNAE4AUwAoAGEAcgByAGEAeQBfADIAR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hAHIAcgBhAHkAXwAyAEQALAAgAHIAbwB3AF8AaQBuAGQAaQBjAGUAcwAsACAAYwBvAGwAXwBpAG4AZABpAGMAZQBzACkALABcAG4AXABuACAAIAAgACAALwAvACAATwBwAHQAaQBvAG4AYQBsACAAYwBvAGwAdQBtAG4AESB3AGkAcwBlACAAcgBlAHMAaABhAHAAZQBcAG4AIAAgACAAIAByAGUAcwB1AGwAdAAsACAAIAAgACAAIAAgACAAIABJAEYAKAByAGUAXwBzAGgAYQBwAGUAXwBiAHkAXwBjAG8AbAB1AG0AbgA/ACwAIABUAFIAQQBOAFMAUABPAFMARQAoAHIAZQBzAGgAYQBwAGUAZAApACwAIAByAGUAcwBoAGEAcABlAGQAKQAsAFwAbgBcAG4AIAAgACAAIAByAGUAcwB1AGwAdABcAG4AKQApACkAOwBcAG4AXABuAFwAbgBcAG4ALwAqACAAWwBHAEEAESBDAE8AUgBFAF0AIAAtAC0ALQAtAC0ALQAtAC0ALQAtAC0ALQAtAC0ALQAtAC0ALQAtAC0ALQAtAC0ALQAtAC0ALQAtAC0ALQAtAC0ALQAtAC0ALQAtAC0ALQAtAC0ALQAtAC0ALQAtAC0ALQAtAC0ALQAtAC0ALQAtAC0ALQAtAC0ALQAtAC0ALQAtAC0ALQAtAC0ALQAtAFwAbgBGAHUAbgBjAHQAaQBvAG4AOgAgACAAIAAgACAAVgBhAGwAaQBkAGEAdABlAEIAbABvAGMAawBNAGEAcAC7A1wAbgBDAGEAdABlAGcAbwByAHkAOgAgACAAIAAgACAARwByAGkAZAAgAEEAbABnAGUAYgByAGE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GwAbwBjAGsATQBhAHAAuwMuACAARQBuAHMAdQByAGUAcwAgAHQAaABlACAAYQByAHIAYQB5AF8AMgBEACAAaQBzACAAdgBhAGwAaQBkACwAIABiAGwAbwBjAGsAIABkAGkAbQBlAG4AcwBpAG8AbgBzAFwAbgAgACAAIAAgAGEAcgBlACAAYwBvAG0AcABhAHQAaQBiAGwAZQAsACAAcgBlAHMAaABhAHAAaQBuAGcAIAB3AGkAbABsACAAbgBvAHQAIABzAHAAaQBsAGwALAAgAGEAbgBkACAAdABoAGUAIABiAGwAbwBjAGsAIABnAGUAbwBtAGUAdAByAHkAIAB0AGkAbABlAHMAIAB0AGgAZQBcAG4AIAAgACAAIABhAHIAcgBhAHkAXwAyAEQAIABjAGwAZQBhAG4AbAB5AC4AXABuAFwAbgBQAGEAcgBhAG0AZQB0AGUAcgBzADoAXABuACAAIAAgACAAYQByAHIAYQB5AF8AMgBEACAAIAAgACAAIAAgACAAIAAgACAAIAAgACAAIAAgAC0AIABJAG4AcAB1AHQAIABhAHIAcgBhAHkAXwAyAEQALgBcAG4AIAAgACAAIABkAGUAcAB0AGgAIAAgACAAIAAgACAAIAAgACAAIAAgACAAIAAgACAAIAAtACAAQgBsAG8AYwBrACAAaABlAGkAZwBoAHQALgBcAG4AIAAgACAAIAB3AGkAZAB0AGgAIAAgACAAIAAgACAAIAAgACAAIAAgACAAIAAgACAAIAAtACAAQgBsAG8AYwBrACAAdwBpAGQAdABoAC4AXABuACAAIAAgACAAcgBlAF8AcwBoAGEAcABlAF8AYgB5AF8AYwBvAGwAdQBtAG4APwAgACAALQAgAE8AcAB0AGkAbwBuAGEAbAAgAGYAbABhAGcAIABmAG8AcgAgAGMAbwBsAHUAbQBuABEgdwBpAHMAZQAgAHIAZQBzAGgAYQBwAGUALgBcAG4AIAAgACAAIABvAG4AXwB2AGEAbABpAGQAIAAgACAAIAAgACAAIAAgACAAIAAgACAAIAAtACAARQB4AHAAcgBlAHMAcwBpAG8AbgAgAHQAbwAgAGUAdgBhAGwAdQBhAHQAZQAgAHcAaABlAG4AIAB2AGEAbABpAGQAYQB0AGkAbwBuACAAcABhAHMAcwBlAHMALgBcAG4AXABuAE4AbwB0AGUAcwA6AFwAbgAgACAAIAAgACIgIABFAG4AcwB1AHIAZQBzACAAYQByAHIAYQB5AF8AMgBE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YQByAHIAYQB5AF8AMgBEACwAXABuACAAIAAgACAAZABlAHAAdABoACwAXABuACAAIAAgACAAdwBpAGQAdABoACwAXABuACAAIAAgACAAcgBlAF8AcwBoAGEAcABlAF8AYgB5AF8AYwBvAGwAdQBtAG4APwAsAFwAbgAgACAAIAAgAG8AbgBfAHYAYQBsAGkAZAAsAFwAbgBcAG4AIAAgACAAIAAvAC8AIABNAHUAcwB0ACAAYgBlACAAYQBuACAAYQByAHIAYQB5AFwAbgAgACAAIAAgAEkARgAoAE4ATwBUACgAVABZAFAARQAoAGEAcgByAGEAeQBfADIARAApACAAPQAgADYANAApACwAXAAiACMAYQByAHIAYQB5AF8AMgBEACEAXAAiACwAXABuAFwAbgAgACAAIAAgAC8ALwAgAFMAcABpAGwAbAARIHIAaQBzAGsAIAB3AGgAZQBuACAAcgBlAHMAaABhAHAAaQBuAGcAIABiAHkAIABjAG8AbAB1AG0AbgBcAG4AIAAgACAAIABJAEYAKAAoAHIAZQBfAHMAaABhAHAAZQBfAGIAeQBfAGMAbwBsAHUAbQBuAD8AKQAgACoAIABcAG4AIAAgACAAIAAgACAAIAAoAFIATwBXAFMAKABhAHIAcgBhAHkAXwAyAEQAKQAgACoAIABDAE8ATABVAE0ATgBTACgAYQByAHIAYQB5AF8AMgBEACkAIAAvACAAKAB3AGkAZAB0AGgAIAAqACAAZABlAHAAdABoACkAXgAyACAAPgAgADEANgAzADgANAApACwAXAAiACMAUwBQAEkATABMAC0AUgBJAFMASwAhAFwAIgAsAFwAbgBcAG4AIAAgACAAIAAvAC8AIABNAHUAcwB0ACAAdABpAGwAZQAgAGMAbABlAGEAbgBsAHkAXABuACAAIAAgACAASQBGACgAKABNAE8ARAAoAFIATwBXAFMAKABhAHIAcgBhAHkAXwAyAEQAKQAsACAAZABlAHAAdABoACkAIAA8AD4AIAAwACkAIAArACgATQBPAEQAKABDAE8ATABVAE0ATgBTACgAYQByAHIAYQB5AF8AMgBEACkALAAgAHcAaQBkAHQAaAApACAAPAA+ACAAMAApACwAXAAiACMAQgBMAE8AQwBLACAATQBJAFMATQBBAFQAQwBIACEAXAAiACwAXABuAFwAbgAgACAAIAAgAC8ALwAgAEIAbABvAGMAawAgAHMAaQB6AGUAIABtAHUAcwB0ACAAYgBlACAAdgBhAGwAaQBkAFwAbgAgACAAIAAgAEkARgAoAE8AUgAoAEEATgBEACgAdwBpAGQAdABoACAAPQAgADEALAAgAGQAZQBwAHQAaAAgAD0AIAAxACkALABkAGUAcAB0AGgAIAA+ACAAUgBPAFcAUwAoAGEAcgByAGEAeQBfADIARAApACwAXABuACAAIAAgACAAIAAgACAAIAAgACAAIAAgACAAIAB3AGkAZAB0AGgAIAA+ACAAQwBPAEwAVQBNAE4AUwAoAGEAcgByAGEAeQBfADIAR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1wAbgBcAG4AIAAgACAAIAAgACAAIAAgACIgIABOAGUAaQBnAGgAYgBvAHIAaABvAG8AZABzAFwAbgAgACAAIAAgACAAIAAgACAAIAAgACAAIAAgACAARwByAGEAaQBuALsDLAAgAE0AbwBvAHIAZQBBAGcAZwC7AywAIABNAG8AbwByAGUAUwBlAGwAZQBjAHQAuwNcAG4AXABuACAAIAAgACAAIAAgACAAIAAiICAAUwB0AGEAdABpAHMAdABpAGMAcwBcAG4AIAAgACAAIAAgACAAIAAgACAAIAAgACAAIAAgAEgAaQBzAHQAbwBnAHIAYQBtALsDLAAgAE0AbwBkAGUAuwMsACAAWgBvAG4AZQBTAHQAYQB0ALsDXABuACoALwBcAG4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EAcgByAGEAeQBfADIARAAuACAATwBwAHQAaQBvAG4AYQBsACAAcgBvAHcAESB3AGkAcwBlACAAcwB0AGEAYwBrAGkAbgBnACAAaQBzAFwAbgAgACAAIAAgAHMAdQBwAHAAbwByAHQAZQBkAC4AXABuAFwAbgBQAGEAcgBhAG0AZQB0AGUAcgBzADoAXABuACAAIAAgACAAYQByAHIAYQB5ACAAIAAgACAAIAAgACAAIAAgACAAIAAgACAAIAAgAC0AIAAyAEQAIABpAG4AcAB1AHQAIABhAHIAcgBhAHkALgBcAG4AIAAgACAAIABbAHIAbwB3AF8AdwBpAHMAZQBfAHMAdABhAGMAawA/AF0AIAAgACAALQAgAEkAZgAgAFQAUgBVAEUALAAgAGQAaQBhAGcAbwBuAGEAbABzACAAYQByAGUAIABzAHQAYQBjAGsAZQBkACAAdgBlAHIAdABpAGMAYQBsAGwAeQAuAFwAbgBcAG4ATgBvAHQAZQBzADoAXABuACAAIAAgACAAIiAgAEUAcQB1AGkAdgBhAGwAZQBuAHQAIAB0AG8AIABjAGEAbABsAGkAbgBnACAAQgB5AEQAaQBhAGcAuwMoAGEAcgByAGEAeQAsACAALAAgAHIAbwB3AF8AdwBpAHMAZQBfAHMAdABhAGMAawA/ACkALgBcAG4ALQAtAC0ALQAtAC0ALQAtAC0ALQAtAC0ALQAtAC0ALQAtAC0ALQAtAC0ALQAtAC0ALQAtAC0ALQAtAC0ALQAtAC0ALQAtAC0ALQAtAC0ALQAtAC0ALQAtAC0ALQAtAC0ALQAtAC0ALQAtAC0ALQAtAC0ALQAtAC0ALQAtAC0ALQAtAC0ALQAtAC0ALQAtAC0ALQAtAC0ALQAtAC0AKgAvAFwAbgBcAG4ARABpAGEAZwBNAGEAcAC7AyAAPQBcAG4ATABBAE0AQgBEAEEAKABcAG4AIAAgACAAIABhAHIAcgBhAHkALABcAG4AIAAgACAAIABbAHIAbwB3AF8AdwBpAHMAZQBfAHMAdABhAGMAawA/AF0ALABcAG4AIAAgACAAIABCAHkARABpAGEAZwC7AygAYQByAHIAYQB5ACwAIAAsACAAcgBvAHcAXwB3AGkAcwBlAF8AcwB0AGEAYwBrAD8AKQApADsAXABuAFwAbgBcAG4AXABuAC8AKgAgAFsARwBSADAANQBdACAALQAtAC0ALQAtAC0ALQAtAC0ALQAtAC0ALQAtAC0ALQAtAC0ALQAtAC0ALQAtAC0ALQAtAC0ALQAtAC0ALQAtAC0ALQAtAC0ALQAtAC0ALQAtAC0ALQAtAC0ALQAtAC0ALQAtAC0ALQAtAC0ALQAtAC0ALQAtAC0ALQAtAC0ALQAtAC0ALQAtAC0ALQAtAC0ALQBcAG4ARgB1AG4AYwB0AGkAbwBuADoAIAAgACAAIAAgAEQAaQBhAGcASQBuAGQAZQB4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UAeAB0AHIAYQBjAHQAcwAgAGEAIABzAGkAbgBnAGwAZQAgAGQAaQBhAGcAbwBuAGEAbAAgAG8AcgAgAGEAbgB0AGkAESBkAGkAYQBnAG8AbgBhAGwAIAB2AGUAYwB0AG8AcgAgAGYAcgBvAG0AIABhACAAMgBEACAAYQByAHIAYQB5AC4AXABuACAAIAAgACAAUABvAHMAaQB0AGkAdgBlACAAYwBvAGwAXwBpAG4AZABlAHgAIABzAGUAbABlAGMAdABzACAAYQAgAHMAdABhAG4AZABhAHIAZAAgACgAUwBFABEgZABpAHIAZQBjAHQAaQBvAG4AKQAgAGQAaQBhAGcAbwBuAGEAbAAuAFwAbgAgACAAIAAgAE4AZQBnAGEAdABpAHYAZQAgAGMAbwBsAF8AaQBuAGQAZQB4ACAAcwBlAGwAZQBjAHQAcwAgAGEAbgAgAGEAbgB0AGkAESBkAGkAYQBnAG8AbgBhAGwAIAAoAFMAVwARIGQAaQByAGUAYwB0AGkAbwBuACkALgBcAG4AXABuAFAAYQByAGEAbQBlAHQAZQByAHMAOgBcAG4AIAAgACAAIABhAHIAcgBhAHkAIAAgACAAIAAgACAAIAAtACAAMgBEACAAaQBuAHAAdQB0ACAAYQByAHIAYQB5ACAAKABzAGMAYQBsAGEAcgBzACAAbgBvAHQAIABhAGMAYwBlAHAAdABlAGQAKQAuAFwAbgAgACAAIAAgAGMAbwBsAF8AaQBuAGQAZQB4ACAAIAAgAC0AIABTAHQAYQByAHQAaQBuAGcAIABjAG8AbAB1AG0AbgAgAGkAbgBkAGUAeAAuACAATgBlAGcAYQB0AGkAdgBlACAAdgBhAGwAdQBlAHMAIABpAG4AZABpAGMAYQB0AGUAXABuACAAIAAgACAAIAAgACAAIAAgACAAIAAgACAAIAAgACAAIAAgACAAYQBuAHQAaQARIGQAaQBhAGcAbwBuAGEAbAAgAGUAeAB0AHIAYQBjAHQAaQBvAG4ALgBcAG4AXABuAE4AbwB0AGUAcwA6AFwAbgAgACAAIAAgACIgIABPAHUAdABwAHUAdAAgAGkAcwAgAGEAbAB3AGEAeQBzACAAYQAgADEARAAgAHYAZQBjAHQAbwByACAAbwBmACAAbABlAG4AZwB0AGgAIABrACAAPQAgAGQAaQBhAGcAbwBuAGEAbAAgAGwAZQBuAGcAdABoAC4AXABuAC0ALQAtAC0ALQAtAC0ALQAtAC0ALQAtAC0ALQAtAC0ALQAtAC0ALQAtAC0ALQAtAC0ALQAtAC0ALQAtAC0ALQAtAC0ALQAtAC0ALQAtAC0ALQAtAC0ALQAtAC0ALQAtAC0ALQAtAC0ALQAtAC0ALQAtAC0ALQAtAC0ALQAtAC0ALQAtAC0ALQAtAC0ALQAtAC0ALQAtAC0ALQAtACoALwBcAG4AXABuAEQAaQBhAGcASQBuAGQAZQB4ALsDIAA9AFwAbgBMAEEATQBCAEQAQQAoAFwAbgAgACAAIAAgAGEAcgByAGEAeQAsAFwAbgAgACAAIAAgAGMAbwBsAF8AaQBuAGQAZQB4ACwAXABuAFwAbgBWAGEAbABpAGQAYQB0AGUARABpAGEAZwC7AygAYQByAHIAYQB5ACwAIABjAG8AbABfAGkAbgBkAGUAeAAsACAALAAgACwAXABuAFwAbgBMAEUAVAAoAFwAbgAgACAAIAAgAC8ALwAgAEQAaQBtAGUAbgBzAGkAbwBuAHMAXABuACAAIAAgACAAaAAsACAAIAAgACAAIAAgACAAUgBPAFcAUwAoAGEAcgByAGEAeQApACwAXABuACAAIAAgACAAdwAsACAAIAAgACAAIAAgACAAQwBPAEwAVQBNAE4AUwAoAGEAcgByAGEAeQApACwAXABuAFwAbgAgACAAIAAgAC8ALwAgAEQAaQByAGUAYwB0AGkAbwBuADoAIAArADEAIAA9ACAAUwBFACwAIAATIDEAIAA9ACAAUwBXAFwAbgAgACAAIAAgAHMALAAgACAAIAAgACAAIAAgAFMASQBHAE4AKABjAG8AbABfAGkAbgBkAGUAeAApACwAXABuAFwAbgAgACAAIAAgAC8ALwAgAEQAaQBhAGcAbwBuAGEAbAAgAGwAZQBuAGcAdABoAFwAbgAgACAAIAAgAGsALAAgACAAIAAgACAAIAAgAEkARgAoAHMAIAA+ACAAMAAsAE0ASQBOACgAaAAsACAAdwAgACsAIAAxACAALQAgAGMAbwBsAF8AaQBuAGQAZQB4ACkALABcAG4AIAAgACAAIAAgACAAIAAgACAAIAAgACAAIAAgACAAIAAgACAAIAAgACAAIABNAEkATgAoAGgALAAgAEEAQgBTACgAYwBvAGwAXwBpAG4AZABlAHgAKQApACkALABcAG4AXABuACAAIAAgACAALwAvACAAUwB0AGEAcgB0AGkAbgBnACAAYwBvAGwAdQBtAG4AXABuACAAIAAgACAAcwB0AGEAcgB0ACwAIAAgACAASQBGACgAcwAgADwAIAAwACwAIABBAEIAUwAoAGMAbwBsAF8AaQBuAGQAZQB4ACkALAAgAGMAbwBsAF8AaQBuAGQAZQB4ACkALABcAG4AXABuACAAIAAgACAALwAvACAARABlAGYAZQByAHIAZQBkACAAaQBuAGQAZQB4ACAAZwBlAG4AZQByAGEAdABvAHIAcwBcAG4AIAAgACAAIAB4ACwAIAAgACAAIAAgACAAIABMAEEATQBCAEQAQQAoAFMARQBRAFUARQBOAEMARQAoAGsAKQApACwAXABuACAAIAAgACAAeQAsACAAIAAgACAAIAAgACAATABBAE0AQgBEAEEAKABTAEUAUQBVAEUATgBDAEUAKABrACwAIAAsACAAcwB0AGEAcgB0ACwAIABzACkAKQAsAFwAbgBcAG4AIAAgACAAIAAvAC8AIABFAHgAdAByAGEAYwB0ACAAZABpAGEAZwBvAG4AYQBsAFwAbgAgACAAIAAgAGQAZQBsAGkAdgBlAHIALAAgAEkATgBEAEUAWAAoAGEAcgByAGEAeQAsACAAeAAoACkALAAgAHkAKAApACkALABcAG4AXABuACAAIAAgACAAZABlAGwAaQB2AGUAcg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QAaQBhAGc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eQBEAGkAYQBnALsDLAAgAEQAaQBhAGcATQBhAHAAuwMsACAAYQBuAGQAIABEAGkAYQBnAEkAbgBkAGUAeAC7Ay4AIABFAG4AcwB1AHIAZQBzACAAdABoAGEAdAAgAHQAaABlAFwAbgAgACAAIAAgAGEAcgByAGEAeQAgAGkAcwAgAGEAIAB2AGEAbABpAGQAIAAyAEQAIABzAHQAcgB1AGMAdAB1AHIAZQAsACAAdABoAGEAdAAgAGMAbwBsAHUAbQBuACAAaQBuAGQAaQBjAGUAcwAgACgAdwBoAGUAbgAgAHMAdQBwAHAAbABpAGUAZAApACAAYQByAGUAXABuACAAIAAgACAAdwBpAHQAaABpAG4AIABiAG8AdQBuAGQAcwAsACAAYQBuAGQAIAB0AGgAYQB0ACAAYQBuAHkAIABzAHUAcABwAGwAaQBlAGQAIABmAHUAbgBjAHQAaQBvAG4AIABpAHMAIABhACAAdgBhAGwAaQBkACAATABBAE0AQgBEAEEALwBFAFQAQQBcAG4AIAAgACAAIABmAHUAbgBjAHQAaQBvAG4ALgBcAG4AXABuAFAAYQByAGEAbQBlAHQAZQByAHMAOgBcAG4AIAAgACAAIABhAHIAcgBhAHkAIAAgACAAIAAgACAAIAAgACAAIAAgACAAIAAgACAALQAgADIARAAgAGkAbgBwAHUAdAAgAGEAcgByAGEAeQAuAFwAbgAgACAAIAAgAFsAYwBvAGwAXwBpAG4AZABlAHgAXQAgACAAIAAgACAAIAAgACAAIAAtACAAUwB0AGEAcgB0AGkAbgBnACAAYwBvAGwAdQBtAG4AIABpAG4AZABlAHgAIAAoAEQAaQBhAGcASQBuAGQAZQB4ALsDIABvAG4AbAB5ACkALgBcAG4AIAAgACAAIABbAGYAdQBuAGMAdABpAG8AbgBdACAAIAAgACAAIAAgACAAIAAgACAALQAgAEUAVABBACAAbwByACAATABBAE0AQgBEAEEAIAAoAEIAeQBEAGkAYQBnALsDIABvAG4AbAB5ACkALgBcAG4AIAAgACAAIABbAHIAbwB3AF8AdwBpAHMAZQBfAHMAdABhAGMAawA/AF0AIAAgACAALQAgAE8AcgBpAGUAbgB0AGEAdABpAG8AbgAgAGYAbABhAGcAIAAoAEIAeQBEAGkAYQBnALsDIAAvACAARABpAGEAZwBNAGEAcAC7AykALgBcAG4AIAAgACAAIABbAG8AbgBfAHYAYQBsAGkAZABdACAAIAAgACAAIAAgACAAIAAgACAALQAgAEUAeABwAHIAZQBzAHMAaQBvAG4AIAB0AG8AIABlAHYAYQBsAHUAYQB0AGUAIAB3AGgAZQBuACAAaQBuAHAAdQB0AHMAIABhAHIAZQAgAHYAYQBsAGkAZAAuAFwAbgBcAG4ATgBvAHQAZQBzADoAXABuACAAIAAgACAAIiAgAFMAYwBhAGwAYQByAHMAIABhAG4AZAAgAG4AbwBuABEgYQByAHIAYQB5AHMAIABhAHIAZQAgAHIAZQBqAGUAYwB0AGUAZAAuAFwAbgAgACAAIAAgACIgIABjAG8AbABfAGkAbgBkAGUAeAAgAD0AIAAwACAAaQBzACAAaQBuAHYAYQBsAGkAZAAgAGIAeQAgAGQAZQBzAGkAZwBuAC4AXABuACAAIAAgACAAIiAgAEYAdQBuAGMAdABpAG8AbgAgAHYAYQBsAGkAZABhAHQAaQBvAG4AIAB1AHMAZQBzACAAYQAgAHMAYQBmAGUAIABUAFkAUABFABEgYgBhAHMAZQBkACAAaQBuAHYAbwBjAGEAdABpAG8AbgAgAHQAZQBzAHQALgBcAG4AIAAgACAAIAAiICAAUgBvAHUAdABpAG4AZwAgAGwAbwBnAGkAYwAgAGQAZQB0AGUAcgBtAGkAbgBlAHMAIAB3AGgAaQBjAGgAIABvAHAAZQByAGEAdABvAHIAIABpAHMAIABiAGUAaQBuAGcAIAB2AGEAbABpAGQAYQB0AGUAZAAuAFwAbgAtAC0ALQAtAC0ALQAtAC0ALQAtAC0ALQAtAC0ALQAtAC0ALQAtAC0ALQAtAC0ALQAtAC0ALQAtAC0ALQAtAC0ALQAtAC0ALQAtAC0ALQAtAC0ALQAtAC0ALQAtAC0ALQAtAC0ALQAtAC0ALQAtAC0ALQAtAC0ALQAtAC0ALQAtAC0ALQAtAC0ALQAtAC0ALQAtAC0ALQAtAC0ALQAqAC8AXABuAFwAbgBWAGEAbABpAGQAYQB0AGUARABpAGEAZwC7AyAAPQBcAG4ATABBAE0AQgBEAEEAKABcAG4AIAAgACAAIABhAHIAcgBhAHkALABcAG4AIAAgACAAIABbAGMAbwBsAF8AaQBuAGQAZQB4AF0ALABcAG4AIAAgACAAIABbAGYAdQBuAGMAdABpAG8AbgBdACwAXABuACAAIAAgACAAWwByAG8AdwBfAHcAaQBzAGUAXwBzAHQAYQBjAGsAPwBdACwAXABuACAAIAAgACAAWwBvAG4AXwB2AGEAbABpAGQAXQAsAFwAbgBMAEUAVAAoAFwAbgAgACAAIAAgAC8ALwAgAC0ALQAtACAAQQByAHIAYQB5ACAAdgBhAGwAaQBkAGEAdABpAG8AbgAgAC0ALQAtAFwAbgAgACAAIAAgAEkAcwBBAHIAcgBhAHkAPwAsACAAIAAgACAAIAAgACAAIAAgACAAIAAgACAAIAAgAFQAWQBQAEUAKABhAHIAcgBhAHkAKQAgAD0AIAA2ADQALABcAG4AIAAgACAAIABOAG8AdABfAEEAcgByAGEAeQAsACAAIAAgACAAIAAgACAAIAAgACAAIAAgACAAIABOAE8AVAAoAEkAcwBBAHIAcgBhAHkAPwApACwAXABuAFwAbgAgACAAIAAgAC8ALwAgAC0ALQAtACAAQwBvAGwAdQBtAG4AIABpAG4AZABlAHgAIAB2AGEAbABpAGQAYQB0AGkAbwBuACAAKABEAGkAYQBnAEkAbgBkAGUAeAC7AyAAbwBuAGwAeQApACAALQAtAC0AXABuACAAIAAgACAATgBvAF8AQwBvAGwAXwBJAG4AZABlAHgALAAgACAAIAAgACAAIAAgACAAIAAgACAASQBTAE8ATQBJAFQAVABFAEQAKABjAG8AbABfAGkAbgBkAGUAeAApACwAXABuACAAIAAgACAAQwBvAGwASQBuAGQAZQB4AF8ASQBuAGMAbAB1AGQAZQBkACwAIAAgACAAIAAgACAATgBPAFQAKABOAG8AXwBDAG8AbABfAEkAbgBkAGUAeAApACwAXABuACAAIAAgACAATgBvAHQAXwBWAGEAbABpAGQAXwBDAG8AbABJAG4AZABlAHgAPwAsACAAIAAgACAATgBPAFQAKABBAE4ARAAoAGMAbwBsAF8AaQBuAGQAZQB4ACAAPAA+ACAAMAAsAFwAbgAgACAAIAAgACAAIAAgACAAIAAgACAAIAAgACAAIAAgACAAIAAgACAAIAAgACAAIAAgACAAIAAgACAAIAAgACAAIAAgACAAIABBAEIAUwAoAGMAbwBsAF8AaQBuAGQAZQB4ACkAIAA8AD0AIABDAE8ATABVAE0ATgBTACgAYQByAHIAYQB5ACkAKQApACwAXABuAFwAbgAgACAAIAAgAC8ALwAgAC0ALQAtACAARgB1AG4AYwB0AGkAbwBuACAAdgBhAGwAaQBkAGEAdABpAG8AbgAgACgAQgB5AEQAaQBhAGcAuwMgAG8AbgBsAHkAKQAgAC0ALQAtAFwAbgAgACAAIAAgAE4AbwBfAEYAdQBuAGMAdABpAG8AbgAsACAAIAAgACAAIAAgACAAIAAgACAAIAAgAEkAUwBPAE0ASQBUAFQARQBEACgAZgB1AG4AYwB0AGkAbwBuACkALABcAG4AIAAgACAAIABGAHUAbgBjAHQAaQBvAG4AXwBJAG4AYwBsAHUAZABlAGQALAAgACAAIAAgACAAIABOAE8AVAAoAE4AbwBfAEYAdQBuAGMAdABpAG8AbgApACwAXABuAFwAbgAgACAAIAAgAC8ALwAgAFMAYQBmAGUAIABmAHUAbgBjAHQAaQBvAG4AIAB2AGEAbABpAGQAYQB0AGkAbwBuADoAIABlAG4AcwB1AHIAZQAgAGYAdQBuAGMAdABpAG8AbgAgAGkAcwAgAGMAYQBsAGwAYQBiAGwAZQBcAG4AIAAgACAAIABJAG4AdgBhAGwAaQBkAF8ARgB1AG4AYwB0AGkAbwBuAD8ALAAgACAAIAAgACAAIABBAE4ARAAoAEYAdQBuAGMAdABpAG8AbgBfAEkAbgBjAGwAdQBkAGUAZAAsAFwAbgAgACAAIAAgACAAIAAgACAAIAAgACAAIAAgACAAIAAgACAAIAAgACAAIAAgACAAIAAgACAAIAAgACAAIAAgACAASQBTAEUAUgBSAE8AUgAoAEIAWQBSAE8AVwAoAHsAMQAsADEAfQAsACAAZgB1AG4AYwB0AGkAbwBuACkAKQApACwAXABuAFwAbgAgACAAIAAgAC8ALwAgAC0ALQAtACAATwByAGkAZQBuAHQAYQB0AGkAbwBuACAAZgBsAGEAZwAgACgARABpAGEAZwBNAGEAcAC7AyAALwAgAEIAeQBEAGkAYQBnALsDKQAgAC0ALQAtAFwAbgAgACAAIAAgAFIAbwB3AFcAaQBzAGUAUwB0AGEAYwBrAD8ALAAgACAAIAAgACAAIAAgACAAIAAgAE4ATwBUACgASQBTAE8ATQBJAFQAVABFAEQAKAByAG8AdwBfAHcAaQBzAGUAXwBzAHQAYQBjAGsAPwApACkALABcAG4AXABuACAAIAAgACAALwAvACAALQAtAC0AIABEAGUAdABlAHIAbQBpAG4AZQAgAHcAaABpAGMAaAAgAG8AcABlAHIAYQB0AG8AcgAgAGkAcwAgAGIAZQBpAG4AZwAgAHYAYQBsAGkAZABhAHQAZQBkACAALQAtAC0AXABuACAAIAAgACAASQBzAEQAaQBhAGcASQBuAGQAZQB4AD8ALAAgACAAIAAgACAAIAAgACAAIAAgACAAQwBvAGwASQBuAGQAZQB4AF8ASQBuAGMAbAB1AGQAZQBkACwAXABuACAAIAAgACAASQBzAEIAeQBEAGkAYQBnAD8ALAAgACAAIAAgACAAIAAgACAAIAAgACAAIAAgACAAQQBOAEQAKABOAG8AXwBDAG8AbABfAEkAbgBkAGUAeAAsACAARgB1AG4AYwB0AGkAbwBuAF8ASQBuAGMAbAB1AGQAZQBkACkALABcAG4AIAAgACAAIABJAHMARABpAGEAZwBNAGEAcAA/ACwAIAAgACAAIAAgACAAIAAgACAAIAAgACAAIABBAE4ARAAoAE4AbwBfAEMAbwBsAF8ASQBuAGQAZQB4ACwAIABOAG8AXwBGAHUAbgBjAHQAaQBvAG4AKQAsAFwAbgBcAG4AIAAgACAAIAAvAC8AIAAtAC0ALQAgAEwAbwBnAGkAYwAgAGcAYQB0AGUAcwAgAC0ALQAtAFwAbgAgACAAIAAgAC8ALwAgAEQAaQBhAGcASQBuAGQAZQB4ALsDXABuACAAIAAgACAAZwBhAHQAZQBfAEQAaQBhAGcASQBuAGQAZQB4ACwAIAAgACAAIAAgACAAIAAgACAASQBGACgATgBvAHQAXwBBAHIAcgBhAHkALAAgACAAIAAgACAAIAAgACAAIAAgACAAXAAiACMATgBPAFQALQBBAFIAUgBBAFkAIQBcACIALABcAG4AIAAgACAAIAAgACAAIAAgACAAIAAgACAAIAAgACAAIAAgACAAIAAgACAAIAAgACAAIAAgACAAIAAgACAAIAAgAEkARgAoAE4AbwB0AF8AVgBhAGwAaQBkAF8AQwBvAGwASQBuAGQAZQB4AD8ALAAgAFwAIgAjAEMATwBMAFUATQBOAC0ASQBOAEQARQBYACEAXAAiACwAXABuACAAIAAgACAAIAAgACAAIAAgACAAIAAgACAAIAAgACAAIAAgACAAIAAgACAAIAAgACAAIAAgACAAIAAgACAAIAAgACAAIAAgAG8AbgBfAHYAYQBsAGkAZAApACkALABcAG4AXABuACAAIAAgACAALwAvACAAQgB5AEQAaQBhAGcAuwNcAG4AIAAgACAAIABnAGEAdABlAF8AQgB5AEQAaQBhAGcALAAgACAAIAAgACAAIAAgACAAIAAgACAAIABJAEYAKABOAG8AdABfAEEAcgByAGEAeQAsACAAIAAgACAAIAAgACAAIAAgACAAIABcACIAIwBOAE8AVAAtAEEAUgBSAEEAWQAhAFwAIgAsAFwAbgAgACAAIAAgACAAIAAgACAAIAAgACAAIAAgACAAIAAgACAAIAAgACAAIAAgACAAIAAgACAAIAAgACAAIAAgACAASQBGACgASQBuAHYAYQBsAGkAZABfAEYAdQBuAGMAdABpAG8AbgA/ACwAIABcACIAIwBGAFUATgBDAFQASQBPAE4AIQBcACIALABcAG4AIAAgACAAIAAgACAAIAAgACAAIAAgACAAIAAgACAAIAAgACAAIAAgACAAIAAgACAAIAAgACAAIAAgACAAIAAgACAAIAAgACAAbwBuAF8AdgBhAGwAaQBkACkAKQAsAFwAbgBcAG4AIAAgACAAIAAvAC8AIABEAGkAYQBnAE0AYQBwALsDXABuACAAIAAgACAAZwBhAHQAZQBfAEQAaQBhAGcATQBhAHAALAAgACAAIAAgACAAIAAgACAAIAAgACAASQBGACgATgBvAHQAXwBBAHIAcgBhAHkALAAgACAAIAAgACAAIAAgACAAIAAgACAAXAAiACMATgBPAFQALQBBAFIAUgBBAFkAIQBcACIALABcAG4AIAAgACAAIAAgACAAIAAgACAAIAAgACAAIAAgACAAIAAgACAAIAAgACAAIAAgACAAIAAgACAAIAAgACAAIAAgAG8AbgBfAHYAYQBsAGkAZAApACwAXABuAFwAbgAgACAAIAAgAC8ALwAgAC0ALQAtACAAUgBvAHUAdABlACAAdABvACAAYwBvAHIAcgBlAGMAdAAgAGcAYQB0AGUAIAAtAC0ALQBcAG4AIAAgACAAIABkAGUAYwBpAGQAZQAsACAAIAAgACAAIAAgACAAIAAgACAAIAAgACAAIAAgACAAIABJAEYAKABJAHMARABpAGEAZwBJAG4AZABlAHgAPwAsACAAZwBhAHQAZQBfAEQAaQBhAGcASQBuAGQAZQB4ACwAXABuAFwAbgAgACAAIAAgACAAIAAgACAAIAAgACAAIAAgACAAIAAgACAAIAAgACAAIAAgACAAIAAgACAAIAAgACAAIAAgACAASQBGACgASQBzAEQAaQBhAGcATQBhAHAAPwAsACAAZwBhAHQAZQBfAEQAaQBhAGcATQBhAHAALABcAG4AXABuACAAIAAgACAAIAAgACAAIAAgACAAIAAgACAAIAAgACAAIAAgACAAIAAgACAAIAAgACAAIAAgACAAIAAgACAAIAAgACAAIAAgAEkARgAoAEkAcwBCAHkARABpAGEAZwA/ACwAIABnAGEAdABlAF8AQgB5AEQAaQBhAGcALABcAG4AXABuACAAIAAgACAAIAAgACAAIAAgACAAIAAgACAAIAAgACAAIAAgACAAIAAgACAAIAAgACAAIAAgACAAIAAgACAAIAAgACAAIAAgACAAIAAgACAAXAAiACMAVQBOAFIATwBVAFQARQBEACEAXAAiACkAKQApACwAXABuAFwAbgAgACAAIAAgAGQAZQBjAGkAZABlAFwAbgApACkAOwBcAG4AXABuAFwAbgBcAG4ALwAqACAAWwBHAFIAMAA2AF0AIAAtAC0ALQAtAC0ALQAtAC0ALQAtAC0ALQAtAC0ALQAtAC0ALQAtAC0ALQAtAC0ALQAtAC0ALQAtAC0ALQAtAC0ALQAtAC0ALQAtAC0ALQAtAC0ALQAtAC0ALQAtAC0ALQAtAC0ALQAtAC0ALQAtAC0ALQAtAC0ALQAtAC0ALQAtAC0ALQAtAC0ALQAtAC0ALQAtAFwAbgBGAHUAbgBjAHQAaQBvAG4AOgAgACAAIAAgACAAUABhAGkAcgB3AGkAcw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RQBjAGgAbwC7AywAIABSAGUAcwBpAHoAZQC7A1wAbgBcAG4ARABlAHMAYwByAGkAcAB0AGkAbwBuADoAXABuACAAIAAgACAAQwByAGUAYQB0AGUAcwAgAHYAZQByAHQAaQBjAGEAbAAgAHAAYQBpAHIAcwAgAGYAcgBvAG0AIAAxAEQAIABhAG4AZAAgAHMAYwBhAGwAYQByACAAaQBuAHAAdQB0AHMALgAgAEkAbgBwAHUAdABzACAAYQByAGUAIABmAGwAYQB0AHQAZQBuAGUAZAAgAHcAaQB0AGgAXABuACAAIAAgACAAVABPAEMATwBMACAAdABvACAAbgBvAHIAbQBhAGwAaQB6AGUAIABvAHIAaQBlAG4AdABhAHQAaQBvAG4ALgAgADIARAAgAGEAcgByAGEAeQBzACAAYQByAGUAIABzAHQAcgBpAGMAdABsAHkAIABwAHIAbwBoAGkAYgBpAHQAZQBkAC4AXABuAFwAbgBQAGEAcgBhAG0AZQB0AGUAcgBzADoAXABuACAAIAAgACAAdgBlAGMAdABvAHIAXwAxACAAIAAgACAALQAgADEARAAgAHYAZQBjAHQAbwByACAAbwByACAAcwBjAGEAbABhAHIALgBcAG4AIAAgACAAIAB2AGUAYwB0AG8AcgBfADIAIAAgACAAIAAtACAAMQBEACAAdgBlAGMAdABvAHIAIABvAHIAIABzAGMAYQBsAGEAcgAuAFwAbgAtAC0ALQAtAC0ALQAtAC0ALQAtAC0ALQAtAC0ALQAtAC0ALQAtAC0ALQAtAC0ALQAtAC0ALQAtAC0ALQAtAC0ALQAtAC0ALQAtAC0ALQAtAC0ALQAtAC0ALQAtAC0ALQAtAC0ALQAtAC0ALQAtAC0ALQAtAC0ALQAtAC0ALQAtAC0ALQAtAC0ALQAtAC0ALQAtAC0ALQAtAC0ALQAqAC8AXABuAFwAbgBQAGEAaQByAHcAaQBzAGUAuwM9AFwAbgBMAEEATQBCAEQAQQAoAFwAbgAgACAAIAAgAHYAZQBjAHQAbwByAF8AMQAsAFwAbgAgACAAIAAgAHYAZQBjAHQAbwByAF8AMgAsAFwAbgBcAG4ATABFAFQAKABcAG4AIAAgACAAIAAvAC8AIABGAGwAYQB0AHQAZQBuACAAaQBuAHAAdQB0AHMAXABuACAAIAAgACAAdgAsACAAIAAgACAAIAAgACAAIAAgACAAVABPAEMATwBMACgAdgBlAGMAdABvAHIAXwAxACkALABcAG4AIAAgACAAIAB2AIIgLAAgACAAIAAgACAAIAAgACAAIABUAE8AQwBPAEwAKAB2AGUAYwB0AG8AcgBfADIAKQAsAFwAbgBcAG4AIAAgACAAIAAvAC8AIABFAGwAZQBtAGUAbgB0ACAAYwBvAHUAbgB0AHMAXABuACAAIAAgACAAawAsACAAIAAgACAAIAAgACAAIAAgACAAQwBPAFUATgBUAEEAKAB2ACkALABcAG4AIAAgACAAIABrAIIgLAAgACAAIAAgACAAIAAgACAAIABDAE8AVQBOAFQAQQAoAHYAgiApACwAXABuAFwAbgAgACAAIAAgAC8ALwAgAEgAYQBsAHQAaQBuAGcAIABzAGMAZQBuAGEAcgBpAG8AcwBcAG4AIAAgACAAIABJAHMAMgBEAEkAbgBwAHUAdAA/ACwAIABPAFIAKABBAE4ARAAoAFIATwBXAFMAKAB2AGUAYwB0AG8AcgBfADEAKQA+ADEALAAgAEMATwBMAFUATQBOAFMAKAB2AGUAYwB0AG8AcgBfADEAKQA+ADEAKQAsAFwAbgAgACAAIAAgACAAIAAgACAAIAAgACAAIAAgACAAIAAgACAAIAAgAEEATgBEACgAUgBPAFcAUwAoAHYAZQBjAHQAbwByAF8AMgApAD4AMQAsACAAQwBPAEwAVQBNAE4AUwAoAHYAZQBjAHQAbwByAF8AMgApAD4AMQApACkALABcAG4AXABuACAAIAAgACAASQBzADIAQgBpAGcAPwAsACAAIAAgACAAawAgACoAIABrAIIgIAA+ACAAMQAwADAAMAAwADAAMAAsAFwAbgBcAG4ASQBGACgASQBzADIARABJAG4AcAB1AHQAPwAsACAAIAAjAFYAQQBMAFUARQAhACwAXABuAFwAbgAgACAAIAAgAEkARgAoAEkAcwAyAEIAaQBnAD8ALAAgACAAIAAgACAAIwBOAFUATQAhACwAXABuAFwAbgBMAEUAVAAoAFwAbgAgACAAIAAgAC8ALwAgAEMAYQByAHQAZQBzAGkAYQBuACAAZQB4AHAAYQBuAHMAaQBvAG4AXABuACAAIAAgACAAeAAsACAAIAAgACAAIAAgAEUAYwBoAG8AuwMoAHYALAAgAGsAgiApACwAXABuACAAIAAgACAAeQAsACAAIAAgACAAIAAgAFIAZQBzAGkAegBlALsDKAB2AIIgLAAgAGsAKQAsAFwAbgAgACAAIAAgAHAAYQBpAHIAcwAsACAAIABIAFMAVABBAEMASwAoAHgALAAgAHkAKQAsAFwAbgBcAG4AIAAgACAAIABwAGEAaQByAHMAXABuACAAIAAgACAAXABuACkAKQApACkAKQA7AFwAbgBcAG4AXABuAFwAbgAvACoAIABbAEcAUgAwADYAYQBdACAALQAtAC0ALQAtAC0ALQAtAC0ALQAtAC0ALQAtAC0ALQAtAC0ALQAtAC0ALQAtAC0ALQAtAC0ALQAtAC0ALQAtAC0ALQAtAC0ALQAtAC0ALQAtAC0ALQAtAC0ALQAtAC0ALQAtAC0ALQAtAC0ALQAtAC0ALQAtAC0ALQAtAC0ALQAtAC0ALQAtAC0ALQAtAC0ALQBcAG4ARgB1AG4AYwB0AGkAbwBuADoAIAAgACAAIAAgACAAIAAgAFQAcgBpAHAAbABl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QAGEAaQByAHcAaQBzAGUAuwNcAG4AXABuAEQAZQBzAGMAcgBpAHAAdABpAG8AbgA6AFwAbgAgACAAIAAgAEcAZQBuAGUAcgBhAHQAZQBzACAAdABoAGUAIABDAGEAcgB0AGUAcwBpAGEAbgAgAHAAcgBvAGQAdQBjAHQAIABvAGYAIAAzACAAcwBlAHQAcwAuACAAQQBsAGwAIABpAG4AcAB1AHQAcwAgAGEAcgBlACAAZgBsAGEAdAB0AGUAbgBlAGQAIABhAG4AZABcAG4AIAAgACAAIAB0AGgAZQAgAHIAZQBzAHUAbAB0AGkAbgBnACAAdAByAGkAcABsAGUAcwAgAHAAcgBlAHMAZQByAHYAZQAgAHQAaABlACAAbwByAGQAZQByACAAbwBmACAAdABoAGUAIABzAHUAcABwAGwAaQBlAGQAIABzAGUAdABzAC4AXABuAFwAbgAgACAAIAAgAFQAcgBpAHAAbABlAHcAaQBzAGUAuwMgAGUAeAB0AGUAbgBkAHMAIABQAGEAaQByAHcAaQBzAGUAuwMgAHQAbwAgAGEAIAAzABEgYQB4AGkAcwAgAGYAYQBiAHIAaQBjADoAXABuACAAIAAgACAAIAAgACAAIAAiICAAcwBlAHQAXwAxACAA1wAgAHMAZQB0AF8AMgAgANcAIABzAGUAdABfADMAXABuACAAIAAgACAAVABoAGUAIABvAHUAdABwAHUAdAAgAGkAcwAgAGEAIABzAHAAaQBsAGwAIAB3AGgAZQByAGUAIABlAGEAYwBoACAAcgBvAHcAIAByAGUAcAByAGUAcwBlAG4AdABzACAAbwBuAGUAIABvAHIAZABlAHIAZQBkACAAdAByAGkAcABsAGUALgBcAG4AXABuAEYAbwByAG0AdQBsAGEAOgAgAD0AVAByAGkAcABsAGUAdwBpAHMAZQC7AygAewBcACIAZABvAGcAXAAiADsAXAAiAGMAYQB0AFwAIgA7AFwAIgBiAGkAcgBkAFwAIgB9ACwAewBcACIAYQBcACIAOwBcACIAYgBcACIAOwBcACIAYwBcACIAfQAsAHsAMQA7ADIAfQApAFwAbgBcAG4AUgBlAHMAdQBsAHQAOgBcAG4AIAAgACAAIAB7AFwAIgBkAG8AZwBcACIALABcACIAYQBcACIALAAxADsAXABuACAAIAAgACAAIABcACIAZABvAGcAXAAiACwAXAAiAGEAXAAiACwAMgA7AFwAbgAgACAAIAAgACAAXAAiAGQAbwBnAFwAIgAsAFwAIgBiAFwAIgAsADEAOwBcAG4AIAAgACAAIAAgAFwAIgBkAG8AZwBcACIALABcACIAYgBcACIALAAyADsAXABuACAAIAAgACAAIABcACIAZABvAGcAXAAiACwAXAAiAGMAXAAiACwAMQA7AFwAbgAgACAAIAAgACAAXAAiAGQAbwBnAFwAIgAsAFwAIgBjAFwAIgAsADIAOwBcAG4AIAAgACAAIAAgAFwAIgBjAGEAdABcACIALABcACIAYQBcACIALAAxADsAXABuACAAIAAgACAAIABcACIAYwBhAHQAXAAiACwAXAAiAGEAXAAiACwAMgA7AFwAbgAgACAAIAAgACAAXAAiAGMAYQB0AFwAIgAsAFwAIgBiAFwAIgAsADEAOwBcAG4AIAAgACAAIAAgAFwAIgBjAGEAdABcACIALABcACIAYgBcACIALAAyADsAXABuACAAIAAgACAAIABcACIAYwBhAHQAXAAiACwAXAAiAGMAXAAiACwAMQA7AFwAbgAgACAAIAAgACAAXAAiAGMAYQB0AFwAIgAsAFwAIgBjAFwAIgAsADIAOwBcAG4AIAAgACAAIAAgAFwAIgBiAGkAcgBkAFwAIgAsAFwAIgBhAFwAIgAsADEAOwBcAG4AIAAgACAAIAAgAFwAIgBiAGkAcgBkAFwAIgAsAFwAIgBhAFwAIgAsADIAOwBcAG4AIAAgACAAIAAgAFwAIgBiAGkAcgBkAFwAIgAsAFwAIgBiAFwAIgAsADEAOwBcAG4AIAAgACAAIAAgAFwAIgBiAGkAcgBkAFwAIgAsAFwAIgBiAFwAIgAsADIAOwBcAG4AIAAgACAAIAAgAFwAIgBiAGkAcgBkAFwAIgAsAFwAIgBjAFwAIgAsADEAOwBcAG4AIAAgACAAIAAgAFwAIgBiAGkAcgBkAFwAIgAsAFwAIgBjAFwAIgAsADIAfQ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tAC0ALQAtAC0ALQAtAC0ALQAtAC0ALQAtAC0ALQAtAC0ALQAtAC0ALQAtAC0ALQAtAC0ALQAtAC0ALQAtAC0ALQAtAC0ALQAtAC0ALQAtAC0ALQAtAC0ALQAtAC0ALQAtAC0ALQAtAC0ALQAtAC0ALQAtAC0ALQAtAC0ALQAtAC0ALQAtAC0ALQAtAC0ALQAtAC0ALQAtAC0ALQAqAC8AXABuAFwAbgBUAHIAaQBwAGwAZQB3AGkAcwBlALsDPQBcAG4ATABBAE0AQgBEAEEAKABcAG4AIAAgACAAIABzAGUAdABfADEALABcAG4AIAAgACAAIABzAGUAdABfADIALABcAG4AIAAgACAAIABzAGUAdABfADMALABcAG4ATABFAFQAKABcAG4AIAAgACAAIAAvAC8AIABGAGwAYQB0AHQAZQBuACAAYQBsAGwAIABpAG4AcAB1AHQAcwBcAG4AIAAgACAAIABzAGUAdABfADEALAAgACAAIABUAE8AQwBPAEwAKABzAGUAdABfADEAKQAsAFwAbgAgACAAIAAgAHMAZQB0AF8AMgAsACAAIAAgAFQATwBDAE8ATAAoAHMAZQB0AF8AMgApACwAXABuACAAIAAgACAAcwBlAHQAXwAzACwAIAAgACAAVABPAEMATwBMACgAcwBlAHQAXwAzACkALABcAG4AXABuACAAIAAgACAALwAvACAAUwBlAHQAIABpAHQAZQBtACAAYwBvAHUAbgB0AHMAXABuACAAIAAgACAAawCBICwAIAAgACAAIAAgACAAUgBPAFcAUwAoAHMAZQB0AF8AMQApACwAXABuACAAIAAgACAAawCCICwAIAAgACAAIAAgACAAUgBPAFcAUwAoAHMAZQB0AF8AMgApACwAXABuACAAIAAgACAAawCDICwAIAAgACAAIAAgACAAUgBPAFcAUwAoAHMAZQB0AF8AMwApACwAXABuAFwAbgAgACAAIAAgAC8ALwAgAEQAZQB0AGUAcgBtAGkAbgBlACAAaQBmACAAcwBlAHQAXwAyACAAaQBzACAAcwBjAGEAbABhAHIAXABuACAAIAAgACAAcwB3AGEAcAA/ACwAIAAgACAAawCCICAAPQAgADEALABcAG4AIAAgACAAIABcAG4AIAAgACAAIAAvAC8AIABDAHIAZQBhAHQAZQAgAHAAYQBpAHIAcwAgAGYAcgBvAG0AIABmAGkAcgBzAHQAIAB0AHcAbwAgAHMAZQB0AHMAXABuACAAIAAgACAAcABhAGkAcgBzACwAIAAgACAASQBGACgAcwB3AGEAcAA/ACwAIABQAGEAaQByAHcAaQBzAGUAuwMoAHMAZQB0AF8AMgAsAHMAZQB0AF8AMQApACwAXABuACAAIAAgACAAIAAgACAAIAAgACAAIAAgACAAIAAgACAAIAAgACAAIAAgACAAIABQAGEAaQByAHcAaQBzAGUAuwMoAHMAZQB0AF8AMQAsAHMAZQB0AF8AMgApACkALABcAG4AIAAgACAAIABcAG4AIAAgACAAIAAvAC8AIABzAGUAdABzACAAZQB4AHAAYQBuAGQAZQBkAFwAbgAgACAAIAAgAGEALAAgACAAIAAgACAAIAAgAEkARgAoAHMAdwBhAHAAPwAsAFQAQQBLAEUAKABwAGEAaQByAHMALAAsAC0AMQApACwAVABBAEsARQAoAHAAYQBpAHIAcwAsACwAMQApACkALABcAG4AIAAgACAAIABiACwAIAAgACAAIAAgACAAIABJAEYAKABzAHcAYQBwAD8ALABUAEEASwBFACgAcABhAGkAcgBzACwALAAxACkALABUAEEASwBFACgAcABhAGkAcgBzACwALAAtADEAKQApACwAXABuAFwAbgAgACAAIAAgAC8ALwAgAFAAYQBpAHIAcwAgAGYAcgBvAG0AIABzAGUAdABfADEAIABlAHgAcABhAG4AZABlAGQAIAArACAAcwBlAHQAXwAzAFwAbgAgACAAIAAgAHQAaAByAGkAYwBlACwAIAAgAEkARgAoAGsAgyAgADwAPgAgADEALAAgAFAAYQBpAHIAdwBpAHMAZQC7AygAYQAsAHMAZQB0AF8AMwApACwAUABhAGkAcgB3AGkAcwBlALsDKABzAGUAdABfADMALABhACkAKQAsAFwAbgBcAG4AIAAgACAAIAAvAC8AIABQAGEAaQByAHMAIABmAHIAbwBtACAAcwBlAHQAXwAyACAAZQB4AHAAYQBuAGQAZQBkACAAKwAgAHMAZQB0AF8AMwBcAG4AIAAgACAAIAB0AGgAcgBpAGMAZQBfACwAIABJAEYAKABrAIMgIAA8AD4AIAAxACwAIABQAGEAaQByAHcAaQBzAGUAuwMoAGIALABzAGUAdABfADMAKQAsAFAAYQBpAHIAdwBpAHMAZQC7AygAcwBlAHQAXwAzACwAYgApACkALABcAG4AXABuACAAIAAgACAALwAvACAAUwBlAGwAZQBjAHQAaQBvAG4AXABuACAAIAAgACAAYwBvAGwAcwAsACAAIAAgACAASQBGACgAawCDICAAPQAgADEALAAxACwALQAxACkALABcAG4AIAAgACAAIABhAF8ALAAgACAAIAAgACAAIABEAFIATwBQACgAdABoAHIAaQBjAGUALAAsAGMAbwBsAHMAKQAsAFwAbgAgACAAIAAgAGIAXwAsACAAIAAgACAAIAAgAEQAUgBPAFAAKAB0AGgAcgBpAGMAZQBfACwALABjAG8AbABzACkALABcAG4AIAAgACAAIABjAF8ALAAgACAAIAAgACAAIABUAEEASwBFACgAdABoAHIAaQBjAGUALAAsAGMAbwBsAHMAKQAsAFwAbgAgACAAIAAgAFwAbgAgACAAIAAgAC8ALwAgAFIAZQBzAHQAbwByAGUAIABvAHIAZABlAHIAIAB0AG8AIABtAGEAdABjAGgAIABpAG4AcAB1AHQAIABvAHIAZABlAHIAXABuACAAIAAgACAAZgBpAG4AYQBsACwAIAAgACAASABTAFQAQQBDAEsAKABhAF8ALABiAF8ALABjAF8AKQAsAFwAbgAgACAAIAAgAGYAaQBuAGEAbABcAG4AKQApADsAXABuAFwAbgBcAG4AXABuAC8AKgAgAFsARwBSADAANgBiAF0AIAAtAC0ALQAtAC0ALQAtAC0ALQAtAC0ALQAtAC0ALQAtAC0ALQAtAC0ALQAtAC0ALQAtAC0ALQAtAC0ALQAtAC0ALQAtAC0ALQAtAC0ALQAtAC0ALQAtAC0ALQAtAC0ALQAtAC0ALQAtAC0ALQAtAC0ALQAtAC0ALQAtAC0ALQAtAC0ALQAtAC0ALQAtAC0ALQAtAFwAbgBGAHUAbgBjAHQAaQBvAG4AOgAgACAAIAAgACAAIAAgACAAUQB1AGEAZA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gBlAHAAZQBhAHQAUgBvAHcAcwC7AywAIABSAGUAcwBpAHoAZQC7AywAIABUAHIAaQBwAGwAZQB3AGkAcwBlALsDXABuAFwAbgBEAGUAcwBjAHIAaQBwAHQAaQBvAG4AOgBcAG4AIAAgACAAIABHAGUAbgBlAHIAYQB0AGUAcwAgAHQAaABlACAAQwBhAHIAdABlAHMAaQBhAG4AIABwAHIAbwBkAHUAYwB0ACAAbwBmACAANAAgAHMAZQB0AHMALgAgAEEAbABsACAAaQBuAHAAdQB0AHMAIABhAHIAZQAgAGYAbABhAHQAdABlAG4AZQBkACAAYQBuAGQAXABuACAAIAAgACAAdABoAGUAIAByAGUAcwB1AGwAdABpAG4AZwAgAHEAdQBhAGQAcgB1AHAAbABlAHMAIABwAHIAZQBzAGUAcgB2AGUAIAB0AGgAZQAgAG8AcgBkAGUAcgAgAG8AZgAgAHQAaABlACAAcwB1AHAAcABsAGkAZQBkACAAcwBlAHQAcwAuAFwAbgBcAG4AIAAgACAAIABRAHUAYQBkAHcAaQBzAGUAuwMgAGUAeAB0AGUAbgBkAHMAIABUAHIAaQBwAGwAZQB3AGkAcwBlALsDIAB0AG8AIABhACAANAARIGEAeABpAHMAIABmAGEAYgByAGkAYwA6AFwAbgAgACAAIAAgACAAIAAgACAAIiAgAHMAZQB0AF8AMQAgANcAIABzAGUAdABfADIAIADXACAAcwBlAHQAXwAzACAA1wAgAHMAZQB0AF8ANABcAG4AIAAgACAAIABUAGgAZQAgAG8AdQB0AHAAdQB0ACAAaQBzACAAYQAgAHMAcABpAGwAbAAgAHIAYQBuAGcAZQAgAHcAaABlAHIAZQAgAGUAYQBjAGgAIAByAG8AdwAgAHIAZQBwAHIAZQBzAGUAbgB0AHMAIABvAG4AZQAgAG8AcgBkAGUAcgBlAGQAIABxAHUAYQBkAHIAdQBwAGwAZQAu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AAIAAgACAAcwBlAHQAXwA0AFwAbgAtAC0ALQAtAC0ALQAtAC0ALQAtAC0ALQAtAC0ALQAtAC0ALQAtAC0ALQAtAC0ALQAtAC0ALQAtAC0ALQAtAC0ALQAtAC0ALQAtAC0ALQAtAC0ALQAtAC0ALQAtAC0ALQAtAC0ALQAtAC0ALQAtAC0ALQAtAC0ALQAtAC0ALQAtAC0ALQAtAC0ALQAtAC0ALQAtAC0ALQAtAC0ALQAqAC8AXABuAFwAbgBRAHUAYQBkAHcAaQBzAGUAuwM9AFwAbgBMAEEATQBCAEQAQQAoAFwAbgAgACAAIAAgAHMAZQB0AF8AMQAsAFwAbgAgACAAIAAgAHMAZQB0AF8AMgAsAFwAbgAgACAAIAAgAHMAZQB0AF8AMwAsAFwAbgAgACAAIAAgAHMAZQB0AF8ANAAsAFwAbgBMAEUAVAAoAFwAbgAgACAAIAAgAC8ALwAgAEYAbABhAHQAdABlAG4AIABhAGwAbAAgAGkAbgBwAHUAdABzAFwAbgAgACAAIAAgAHMAZQB0AF8AMQAsACAAIABUAE8AQwBPAEwAKABzAGUAdABfADEAKQAsAFwAbgAgACAAIAAgAHMAZQB0AF8AMgAsACAAIABUAE8AQwBPAEwAKABzAGUAdABfADIAKQAsAFwAbgAgACAAIAAgAHMAZQB0AF8AMwAsACAAIABUAE8AQwBPAEwAKABzAGUAdABfADMAKQAsAFwAbgAgACAAIAAgAHMAZQB0AF8ANAAsACAAIABUAE8AQwBPAEwAKABzAGUAdABfADQAKQAsAFwAbgBcAG4AIAAgACAAIAAvAC8AIABFAHgAcABhAG4AcwBpAG8AbgAgAGMAbwB1AG4AdABcAG4AIAAgACAAIABrACwAIAAgACAAIAAgACAAUgBPAFcAUwAoAHMAZQB0AF8ANAApACwAXABuAFwAbgAgACAAIAAgAC8ALwAgAE4AbwByAG0AYQBsAGkAegBlACAAcwBlAHQAIAA0ACAAaQBmACAAcwBjAGEAbABhAHIAIAB0AG8AIABhAHYAbwBpAGQAIABUAE8AQwBPAEwAIABoAGEAbgBkAG8AZgBmACAAdABvACAAUgBlAHMAaQB6AGUAuwNcAG4AIAAgACAAIABkACwAIAAgACAAIAAgACAASQBGACgAawAgADwAPgAgADEALABzAGUAdABfADQALABJAE4ARABFAFgAKABzAGUAdABfADQALAAxACkAKQAsAFwAbgBcAG4AIAAgACAAIAAvAC8AIABUAHIAaQBwAGwAZQBzAFwAbgAgACAAIAAgAHQAaAByAGkAYwBlACwAIABUAHIAaQBwAGwAZQB3AGkAcwBlALsDKABzAGUAdABfADEALABzAGUAdABfADIALABzAGUAdABfADMAKQAsAFwAbgAgACAAIAAgAFwAbgAgACAAIAAgAC8ALwAgAEUAeABwAGEAbgBkACAAdAByAGkAcABsAGUAIAByAG8AdwBzACAAYgB5ACAAdABvAHQAYQBsACAAaQB0AGUAbQBzACAAaQBuACAAcwBlAHQAIAA0AFwAbgAgACAAIAAgAHQAaAByAGkAYwBlAF8ALABSAGUAcABlAGEAdABSAG8AdwBzALsDKAB0AGgAcgBpAGMAZQAsAGsAKQAsAFwAbgAgACAAIAAgAGsAgiAsACAAIAAgACAAIABSAE8AVwBTACgAdABoAHIAaQBjAGUAXwApACwAXABuAFwAbgAgACAAIAAgAC8ALwAgAEUAeABwAGEAbgBkACAAcwBlAHQAIAA0ACAAdABvACAAbQBhAHQAYwBoACAAbABlAG4AZwB0AGgAIABvAGYAIAB0AHIAaQBwAGwAZQBcAG4AIAAgACAAIABmAG8AdQByACwAIAAgACAAUgBlAHMAaQB6AGUAuwMoAGQALABrAIIgIAAvACAAawApACwAXABuAFwAbgAgACAAIAAgAC8ALwAgAFMAdABhAGMAawAgAGEAbgBkACAAZABpAHMAcABsAGEAeQBcAG4AIAAgACAAIABmAGkAbgBhAGwALAAgACAASABTAFQAQQBDAEsAKAB0AGgAcgBpAGMAZQBfACwAZgBvAHUAcgApACwAXABuACAAIAAgACAAZgBpAG4AYQBsAFwAbgBcAG4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CAHkARABpAGEAZwC7AyIALAAiAEQAaQBhAGcATQBhAHAAuwMiACwAIgBEAGkAYQBnAEkAbgBkAGUAeAC7AyIALAAiAFYAYQBsAGkAZABhAHQAZQBEAGkAYQBnALsDIgAsACIAUABhAGkAcgB3AGkAcwBlALsDIgAsACIAVAByAGkAcABsAGUAdwBpAHMAZQC7AyIALAAiAFEAdQBhAGQ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88FC1986-AC71-4AC1-94C6-7F7DFDAAF5E7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40</vt:i4>
      </vt:variant>
    </vt:vector>
  </HeadingPairs>
  <TitlesOfParts>
    <vt:vector size="57" baseType="lpstr">
      <vt:lpstr>Introduction</vt:lpstr>
      <vt:lpstr>ReShape2D</vt:lpstr>
      <vt:lpstr>Resize</vt:lpstr>
      <vt:lpstr>Traverse</vt:lpstr>
      <vt:lpstr>Scan2D</vt:lpstr>
      <vt:lpstr>Takeblock</vt:lpstr>
      <vt:lpstr>DStack</vt:lpstr>
      <vt:lpstr>WrapCols</vt:lpstr>
      <vt:lpstr>WrapRows</vt:lpstr>
      <vt:lpstr>Staircase</vt:lpstr>
      <vt:lpstr>UnPivot</vt:lpstr>
      <vt:lpstr>Zip</vt:lpstr>
      <vt:lpstr>SliceByDeg</vt:lpstr>
      <vt:lpstr>Pad</vt:lpstr>
      <vt:lpstr>Insulate</vt:lpstr>
      <vt:lpstr>Magnify</vt:lpstr>
      <vt:lpstr>Zoom</vt:lpstr>
      <vt:lpstr>Addresses</vt:lpstr>
      <vt:lpstr>Agent</vt:lpstr>
      <vt:lpstr>Available</vt:lpstr>
      <vt:lpstr>Blue</vt:lpstr>
      <vt:lpstr>City</vt:lpstr>
      <vt:lpstr>DEM</vt:lpstr>
      <vt:lpstr>Division</vt:lpstr>
      <vt:lpstr>Green</vt:lpstr>
      <vt:lpstr>GridJr</vt:lpstr>
      <vt:lpstr>ID</vt:lpstr>
      <vt:lpstr>Items</vt:lpstr>
      <vt:lpstr>June</vt:lpstr>
      <vt:lpstr>KernelA</vt:lpstr>
      <vt:lpstr>KernelB</vt:lpstr>
      <vt:lpstr>KernelC</vt:lpstr>
      <vt:lpstr>KernelD</vt:lpstr>
      <vt:lpstr>Layer1</vt:lpstr>
      <vt:lpstr>Layer2</vt:lpstr>
      <vt:lpstr>Layer3</vt:lpstr>
      <vt:lpstr>Layer4</vt:lpstr>
      <vt:lpstr>Mesh</vt:lpstr>
      <vt:lpstr>MiniGrid</vt:lpstr>
      <vt:lpstr>MiniVector</vt:lpstr>
      <vt:lpstr>Months</vt:lpstr>
      <vt:lpstr>Ordered</vt:lpstr>
      <vt:lpstr>People</vt:lpstr>
      <vt:lpstr>Places</vt:lpstr>
      <vt:lpstr>ProdSales</vt:lpstr>
      <vt:lpstr>Products</vt:lpstr>
      <vt:lpstr>Rainfall</vt:lpstr>
      <vt:lpstr>RainfallMonths</vt:lpstr>
      <vt:lpstr>Red</vt:lpstr>
      <vt:lpstr>Regions</vt:lpstr>
      <vt:lpstr>Roles</vt:lpstr>
      <vt:lpstr>Sales</vt:lpstr>
      <vt:lpstr>SensorLog</vt:lpstr>
      <vt:lpstr>ThreeMonth</vt:lpstr>
      <vt:lpstr>TimeLog</vt:lpstr>
      <vt:lpstr>TinyGrid</vt:lpstr>
      <vt:lpstr>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- 2D Array Shaping</dc:title>
  <dc:creator>BigSpill Project</dc:creator>
  <dc:description>Demonstration workbook for BigSpill - 2D Array Shaping</dc:description>
  <dcterms:created xsi:type="dcterms:W3CDTF">2026-07-07T13:08:24Z</dcterms:created>
  <dcterms:modified xsi:type="dcterms:W3CDTF">2026-09-04T13:34:46Z</dcterms:modified>
</cp:coreProperties>
</file>