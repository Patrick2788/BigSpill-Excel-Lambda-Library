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5002CED5-6CB3-4FF7-911E-015A4B71B810}" xr6:coauthVersionLast="47" xr6:coauthVersionMax="47" xr10:uidLastSave="{00000000-0000-0000-0000-000000000000}"/>
  <bookViews>
    <workbookView xWindow="28680" yWindow="-120" windowWidth="29040" windowHeight="15720" xr2:uid="{F575435A-963E-468D-A6C1-E150EB02C993}"/>
  </bookViews>
  <sheets>
    <sheet name="Introduction" sheetId="1" r:id="rId1"/>
    <sheet name="Align" sheetId="3" r:id="rId2"/>
    <sheet name="Align_Distinct" sheetId="4" r:id="rId3"/>
    <sheet name="Align_Unique" sheetId="9" r:id="rId4"/>
    <sheet name="Coalesce" sheetId="5" r:id="rId5"/>
    <sheet name="Explode" sheetId="6" r:id="rId6"/>
    <sheet name="Numbers_Text_Only" sheetId="7" r:id="rId7"/>
    <sheet name="Split" sheetId="8" r:id="rId8"/>
  </sheets>
  <definedNames>
    <definedName name="ABC_array">Align!$C$10:$E$12</definedName>
    <definedName name="Addresses">Split!$C$14:$C$21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pril">Coalesce!$C$13:$E$16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Align!$C$16:$E$23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el">Explode!$L$8:$N$8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ebruary">Coalesce!$K$13:$M$16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elloWorld">Explode!$C$9:$C$11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anuary">Coalesce!$O$13:$Q$16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rch">Coalesce!$G$13:$I$16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xed2D">Numbers_Text_Only!$B$24:$D$25</definedName>
    <definedName name="MixedInput">Numbers_Text_Only!$C$16:$C$20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">Explode!$B$23:$D$24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QR_array">Align_Distinct!$C$10:$E$12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ST_array">Align_Unique!$C$26:$E$28</definedName>
    <definedName name="ScalarInput">Explode!$C$15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ats">Split!$C$25:$C$35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25" i="8" l="1" a="1"/>
  <c r="E25" i="8" s="1"/>
  <c r="E14" i="8" l="1" a="1"/>
  <c r="E14" i="8" s="1"/>
  <c r="L12" i="7" a="1"/>
  <c r="L12" i="7" s="1"/>
  <c r="F12" i="7" a="1"/>
  <c r="F12" i="7" s="1"/>
  <c r="F16" i="7" a="1"/>
  <c r="F16" i="7" s="1"/>
  <c r="L16" i="7" a="1"/>
  <c r="L16" i="7" s="1"/>
  <c r="L25" i="7" a="1"/>
  <c r="L25" i="7" s="1"/>
  <c r="F25" i="7" a="1"/>
  <c r="F25" i="7" s="1"/>
  <c r="F16" i="6" a="1"/>
  <c r="F16" i="6" s="1"/>
  <c r="J24" i="6" a="1"/>
  <c r="J24" i="6" s="1"/>
  <c r="F24" i="6" a="1"/>
  <c r="F24" i="6" s="1"/>
  <c r="P9" i="6" a="1"/>
  <c r="P9" i="6" s="1"/>
  <c r="F9" i="6" a="1"/>
  <c r="F9" i="6" s="1"/>
  <c r="I20" i="5" a="1"/>
  <c r="I20" i="5" s="1"/>
  <c r="E20" i="5" a="1"/>
  <c r="E20" i="5" s="1"/>
  <c r="G26" i="9" a="1"/>
  <c r="G26" i="9" s="1"/>
  <c r="K10" i="4" a="1"/>
  <c r="K10" i="4" s="1"/>
  <c r="G10" i="4" a="1"/>
  <c r="G10" i="4" s="1"/>
  <c r="G16" i="4" a="1"/>
  <c r="G16" i="4" s="1"/>
  <c r="C16" i="9" a="1"/>
  <c r="C16" i="9" s="1"/>
  <c r="C10" i="9" a="1"/>
  <c r="C10" i="9" s="1"/>
  <c r="C16" i="4" a="1"/>
  <c r="C16" i="4" s="1"/>
  <c r="G16" i="3" a="1"/>
  <c r="G16" i="3" s="1"/>
  <c r="K10" i="3" a="1"/>
  <c r="K10" i="3" s="1"/>
  <c r="G10" i="3" a="1"/>
  <c r="G10" i="3" s="1"/>
  <c r="G10" i="9" l="1" a="1"/>
  <c r="G10" i="9" s="1"/>
  <c r="G16" i="9" a="1"/>
  <c r="G16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<sst xmlns="http://schemas.openxmlformats.org/spreadsheetml/2006/main" count="257" uniqueCount="190">
  <si>
    <t>Grid Analytics</t>
  </si>
  <si>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</si>
  <si>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</si>
  <si>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</si>
  <si>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</si>
  <si>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</si>
  <si>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Alignλ</t>
  </si>
  <si>
    <t>AlignDistinctλ</t>
  </si>
  <si>
    <t>AlignUniqueλ</t>
  </si>
  <si>
    <t>Coalesceλ</t>
  </si>
  <si>
    <t>Explodeλ</t>
  </si>
  <si>
    <t>NumbersOnlyλ</t>
  </si>
  <si>
    <t>TextOnlyλ</t>
  </si>
  <si>
    <t>Splitλ</t>
  </si>
  <si>
    <t>Sorts each row alphabetically (default) or each column when by_col = TRUE.</t>
  </si>
  <si>
    <t>Calls Alignλ to alphabetically sort each row or column, then returns distinct values along the same orientation.</t>
  </si>
  <si>
    <t>Calls Alignλ to alphabetically sort each row or column, then returns unique values along the same orientation.</t>
  </si>
  <si>
    <t>Returns the first non‑empty value across multiple 2D arrays (2 to 4 inputs).</t>
  </si>
  <si>
    <t>Converts a scalar, 1D array, or 2D array into an exploded character array.</t>
  </si>
  <si>
    <t>Extracts numeric characters (0-9) from a scalar, 1D array, or 2D array.</t>
  </si>
  <si>
    <t>Extracts non‑numeric characters from a scalar, 1D array, or 2D array.</t>
  </si>
  <si>
    <t>Splits 1D text arrays into tokens using a specified delimiter and can return a 2D spill.</t>
  </si>
  <si>
    <t>This category provides operators that overcome common limitations in Excel's native text engine</t>
  </si>
  <si>
    <t>(e.g., TEXTSPLIT cannot spill 2D results; BYROW cannot deploy SORT to align columns).</t>
  </si>
  <si>
    <t>• input: array - 2D array to be aligned</t>
  </si>
  <si>
    <t>Optional</t>
  </si>
  <si>
    <t>• by_col - If TRUE, sort each column top-to-bottom. If omitted, sort each row left-to-right</t>
  </si>
  <si>
    <t>Alpha</t>
  </si>
  <si>
    <t>Charlie</t>
  </si>
  <si>
    <t>Bravo</t>
  </si>
  <si>
    <t>ABC_array</t>
  </si>
  <si>
    <t>=Alignλ(ABC_array)</t>
  </si>
  <si>
    <t>Align each row left-to-right</t>
  </si>
  <si>
    <t>=Alignλ(ABC_array,TRUE)</t>
  </si>
  <si>
    <t>Align each row top-to-bottom (by_col = TRUE)</t>
  </si>
  <si>
    <t>Gold</t>
  </si>
  <si>
    <t>Silver</t>
  </si>
  <si>
    <t>Bronze</t>
  </si>
  <si>
    <t>Red</t>
  </si>
  <si>
    <t>Green</t>
  </si>
  <si>
    <t>Blue</t>
  </si>
  <si>
    <t>White</t>
  </si>
  <si>
    <t>Yellow</t>
  </si>
  <si>
    <t>Purple</t>
  </si>
  <si>
    <t>Colors</t>
  </si>
  <si>
    <t>=Alignλ(Colors)</t>
  </si>
  <si>
    <t>Align each row left-to-right (Row position is preserved)</t>
  </si>
  <si>
    <t>Alignλ - Sorts each row alphabetically (default) or each column when by_col = TRUE</t>
  </si>
  <si>
    <t>C10#</t>
  </si>
  <si>
    <t>C16#</t>
  </si>
  <si>
    <t>AlignDistinctλ - Calls Alignλ to alphabetically sort each row or column, then returns distinct values along the same orientation</t>
  </si>
  <si>
    <t>• input: array - 2D array to be aligned and deduplicated</t>
  </si>
  <si>
    <t>• by_col - If TRUE, operate column-wise. If omitted, row-wise.</t>
  </si>
  <si>
    <t>AlignUniqueλ - Calls Alignλ to alphabetically sort each row or column, then returns unique values along the same orientation</t>
  </si>
  <si>
    <t>=AlignDistinctλ(C16#)</t>
  </si>
  <si>
    <t>Papa</t>
  </si>
  <si>
    <t>Quebec</t>
  </si>
  <si>
    <t>Romeo</t>
  </si>
  <si>
    <t>Quick</t>
  </si>
  <si>
    <t>PQR_Array</t>
  </si>
  <si>
    <t>=AlignDistinctλ(PQR_array)</t>
  </si>
  <si>
    <t>=AlignDistinctλ(PQR_array,TRUE)</t>
  </si>
  <si>
    <t>Row-wise distinct</t>
  </si>
  <si>
    <t>Column-wise distinct</t>
  </si>
  <si>
    <t>=AlignUniqueλ(C10#)</t>
  </si>
  <si>
    <t>Row-wise Unique</t>
  </si>
  <si>
    <t>=AlignUniqueλ(C16#)</t>
  </si>
  <si>
    <t>Row-wise Unique (Row position preserved)</t>
  </si>
  <si>
    <t>Roger</t>
  </si>
  <si>
    <t>Tango</t>
  </si>
  <si>
    <t>Sierra</t>
  </si>
  <si>
    <t>RST_array</t>
  </si>
  <si>
    <t>=AlignUniqueλ(RST_array,TRUE)</t>
  </si>
  <si>
    <t>Column-wise Unique (by_col = TRUE)</t>
  </si>
  <si>
    <t>Coalesceλ - Returns the first non‑empty value across multiple 2D arrays (2 to 4 inputs)</t>
  </si>
  <si>
    <t>Inputs</t>
  </si>
  <si>
    <t>• array_1 - Required 2D array</t>
  </si>
  <si>
    <t>• array_2 - Required 2D array</t>
  </si>
  <si>
    <t>• array_3 - Required 2D array</t>
  </si>
  <si>
    <t>• array_4 - Required 2D array</t>
  </si>
  <si>
    <t>• fill_value - Scalar used when all arrays supply an empty value</t>
  </si>
  <si>
    <t>Employee</t>
  </si>
  <si>
    <t>EID</t>
  </si>
  <si>
    <t>January</t>
  </si>
  <si>
    <t>February</t>
  </si>
  <si>
    <t>March</t>
  </si>
  <si>
    <t>April</t>
  </si>
  <si>
    <t>Johnson</t>
  </si>
  <si>
    <t>Watts</t>
  </si>
  <si>
    <t>Jacobs</t>
  </si>
  <si>
    <t>Status</t>
  </si>
  <si>
    <t>Active</t>
  </si>
  <si>
    <t>On Leave</t>
  </si>
  <si>
    <t>Terminated</t>
  </si>
  <si>
    <t>Unknown</t>
  </si>
  <si>
    <t>ZZZZ</t>
  </si>
  <si>
    <t>=Coalesceλ(April,March,February,January)</t>
  </si>
  <si>
    <t>See previous</t>
  </si>
  <si>
    <t>Coalesce April, March, February, January</t>
  </si>
  <si>
    <t>=Coalesceλ(April,March,February,January,"See Previous","Active"</t>
  </si>
  <si>
    <t>Coalesce April, March, February, January (ignore = "See Previous", fill_value  = "Active")</t>
  </si>
  <si>
    <t>• ignore - Value treated as empty during evaluation</t>
  </si>
  <si>
    <t>Explodeλ - Converts a scalar, 1D array, or 2D array into an exploded character array</t>
  </si>
  <si>
    <t>• input: array - array (1D or 2D, scalars accepted)</t>
  </si>
  <si>
    <t>• explode_2D_bycol - If TRUE, explode 2D arrays width-wise. If omitted, explode row-wise.</t>
  </si>
  <si>
    <t>Hello</t>
  </si>
  <si>
    <t>World</t>
  </si>
  <si>
    <t>Demo</t>
  </si>
  <si>
    <t>HelloWorld</t>
  </si>
  <si>
    <t>=Explodeλ(HelloWorld)</t>
  </si>
  <si>
    <t>This</t>
  </si>
  <si>
    <t>is</t>
  </si>
  <si>
    <t>Excel</t>
  </si>
  <si>
    <t>Excel!</t>
  </si>
  <si>
    <t>=Explodeλ(Excel)</t>
  </si>
  <si>
    <t>Explode 1D array (Horizontal)</t>
  </si>
  <si>
    <t>Explode 1D array (Vertical)</t>
  </si>
  <si>
    <t>ONE</t>
  </si>
  <si>
    <t>TWO</t>
  </si>
  <si>
    <t>THREE</t>
  </si>
  <si>
    <t>FOUR</t>
  </si>
  <si>
    <t>FIVE</t>
  </si>
  <si>
    <t>SIX</t>
  </si>
  <si>
    <t>=Explodeλ(Numbers)</t>
  </si>
  <si>
    <t>Explode 2D array</t>
  </si>
  <si>
    <t>=Explodeλ(Numbers,TRUE)</t>
  </si>
  <si>
    <t>Explode 2D array (explode_2D_bycol = TRUE)</t>
  </si>
  <si>
    <t>Numbers</t>
  </si>
  <si>
    <t>ScalarInput</t>
  </si>
  <si>
    <t>=Explodeλ(ScalarInput)</t>
  </si>
  <si>
    <t>Explode Scalar</t>
  </si>
  <si>
    <t>• input: array - Scalar or array (1D or 2D)</t>
  </si>
  <si>
    <t>NumbersOnlyλ - Extracts numeric characters (0–9)</t>
  </si>
  <si>
    <t>TextOnlyλ - Extracts non-numeric characters</t>
  </si>
  <si>
    <t>MixedInput</t>
  </si>
  <si>
    <t>RQT5432</t>
  </si>
  <si>
    <t>RQT2959</t>
  </si>
  <si>
    <t>SLC5783</t>
  </si>
  <si>
    <t>SLC5785</t>
  </si>
  <si>
    <t>=NumbersOnlyλ(MixedInput)</t>
  </si>
  <si>
    <t>1040WCA</t>
  </si>
  <si>
    <t>=TextOnlyλ(MixedInput)</t>
  </si>
  <si>
    <t>Text</t>
  </si>
  <si>
    <t>=TextOnlyλ(MixedInput,TRUE)</t>
  </si>
  <si>
    <t>Mixed2D</t>
  </si>
  <si>
    <t>40WC</t>
  </si>
  <si>
    <t>R2D2</t>
  </si>
  <si>
    <t>R1C1</t>
  </si>
  <si>
    <t>HAL 9000</t>
  </si>
  <si>
    <t>Excel 365</t>
  </si>
  <si>
    <t>ALL Text</t>
  </si>
  <si>
    <t>=NumbersOnlyλ(Mixed2D,TRUE)</t>
  </si>
  <si>
    <t>Numbers from 2D array</t>
  </si>
  <si>
    <t>Text from 2D array</t>
  </si>
  <si>
    <t>=NumbersOnlyλ("123A456B")</t>
  </si>
  <si>
    <t>=TextOnlyλ("123A456B")</t>
  </si>
  <si>
    <t>Both functions use the same parameter:</t>
  </si>
  <si>
    <t>Scalars &gt;&gt;&gt;</t>
  </si>
  <si>
    <t>Splitλ - Splits 1D text arrays into tokens using a specified delimiter</t>
  </si>
  <si>
    <t>Capable of returning 2D spills</t>
  </si>
  <si>
    <t>• input: array - A 1D array (vertical or horizontal)</t>
  </si>
  <si>
    <t>• delimiter - Delimiter used to split each text element</t>
  </si>
  <si>
    <t>• if_not_found - value returned when a text element contains no delimiter. If omitted, defaults to "".</t>
  </si>
  <si>
    <t>123 Maple St|Springfield|IL|62704</t>
  </si>
  <si>
    <t>456 Oak Ave|Madison|WI|53703</t>
  </si>
  <si>
    <t>789 Pine Rd|Columbus|OH|43215</t>
  </si>
  <si>
    <t>101 Elm St|Denver|CO|80203</t>
  </si>
  <si>
    <t>202 Birch Blvd|Austin|TX|78701</t>
  </si>
  <si>
    <t>303 Cedar Ln|Seattle|WA|98101</t>
  </si>
  <si>
    <t>404 Spruce Dr|Boston|MA|02108</t>
  </si>
  <si>
    <t>505 Walnut Ct|Portland|OR|97205</t>
  </si>
  <si>
    <t>Addresses</t>
  </si>
  <si>
    <t>=Splitλ(Addresses,"|")</t>
  </si>
  <si>
    <t>Split on pipe delimiter</t>
  </si>
  <si>
    <t>Stats</t>
  </si>
  <si>
    <t>Player,,FG,,,,FGA,,FG%,,3P,,3PA,,3P%,,REB,,AST,,,,PTS</t>
  </si>
  <si>
    <t>LeBron James,, 10,, 20,, 50%,, 3,, 7,, 42.9%,, 8,, 7,, 28</t>
  </si>
  <si>
    <t>Stephen Curry,,,, 12,, 25,, 48%,, 5,, 11,, 45.5%,, 5,, 6,, 30</t>
  </si>
  <si>
    <t>James Harden,, 8,, 19,, 42.1%,, 6,, 14,, 42.9%,, 6,, 8,, 26</t>
  </si>
  <si>
    <t>Kawhi Leonard,, 7,, 16,, 43.8%,, 2,, 6,, 33.3%,, 6,, 4,, 24</t>
  </si>
  <si>
    <t>Luka Doncic,, 9,, 21,, 42.9%,, 3,, 8,, 37.5%,, 8,, 9,, 28</t>
  </si>
  <si>
    <t>Oscar Robertson,, ,, ,, ,, ,, ,, ,, 11,, 12,, 30</t>
  </si>
  <si>
    <t>Sleepy Floyd,, ,, ,, ,, ,, ,, ,, 4,, 3,, 15</t>
  </si>
  <si>
    <t>Vernon Maxwell</t>
  </si>
  <si>
    <t>=Splitλ(Stats,",","-",TRUE)</t>
  </si>
  <si>
    <t>Split on comma delimiter (if_not_found = "-", treat_consecutive_delimiters_as_one = TRUE)</t>
  </si>
  <si>
    <t>Splitλ requires a 1D array.  2D arrays should be flattened before splitting.</t>
  </si>
  <si>
    <t>• treat_consecutive_delimiters_as_one - If TRUE, collapse runs of consecutive delimiters before splitting</t>
  </si>
  <si>
    <t>Benoit Benjamin,, 9,, 18,, 50%,, 2,, 5,, 40%,, 12,, 7,, 26</t>
  </si>
  <si>
    <t>Flip Murray,, 8,, 20,, 40%,, 4,, 10,, 40%,, 4,, 7,,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</si>
</sst>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b/>
      <sz val="11"/>
      <color indexed="8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Segoe UI Variable Display"/>
    </font>
  </fonts>
  <fills count="8">
    <fill>
      <patternFill patternType="none"/>
    </fill>
    <fill>
      <patternFill patternType="gray125"/>
    </fill>
    <fill>
      <patternFill patternType="solid">
        <fgColor rgb="FFA9B7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D4DE"/>
        <bgColor indexed="64"/>
      </patternFill>
    </fill>
  </fills>
  <borders count="1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2" borderId="1" xfId="0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5" xfId="0" applyFont="1" applyBorder="1"/>
    <xf numFmtId="0" fontId="8" fillId="0" borderId="0" xfId="0" applyFont="1"/>
    <xf numFmtId="0" fontId="6" fillId="0" borderId="0" xfId="0" applyFont="1"/>
    <xf numFmtId="0" fontId="5" fillId="0" borderId="0" xfId="0" quotePrefix="1" applyFont="1"/>
    <xf numFmtId="0" fontId="7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2" xfId="0" applyFont="1" applyBorder="1"/>
    <xf numFmtId="0" fontId="5" fillId="0" borderId="8" xfId="0" applyFont="1" applyBorder="1"/>
    <xf numFmtId="0" fontId="7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7" fillId="0" borderId="1" xfId="0" applyFont="1" applyBorder="1" applyAlignment="1">
      <alignment horizontal="left"/>
    </xf>
    <xf numFmtId="0" fontId="0" fillId="0" borderId="2" xfId="0" applyBorder="1"/>
    <xf numFmtId="0" fontId="3" fillId="0" borderId="5" xfId="0" applyFont="1" applyBorder="1"/>
    <xf numFmtId="0" fontId="9" fillId="0" borderId="0" xfId="0" applyFont="1"/>
    <xf numFmtId="0" fontId="9" fillId="0" borderId="6" xfId="0" applyFont="1" applyBorder="1"/>
    <xf numFmtId="0" fontId="9" fillId="0" borderId="0" xfId="0" quotePrefix="1" applyFont="1"/>
    <xf numFmtId="0" fontId="8" fillId="0" borderId="3" xfId="0" applyFont="1" applyBorder="1"/>
    <xf numFmtId="0" fontId="9" fillId="0" borderId="3" xfId="0" applyFont="1" applyBorder="1"/>
    <xf numFmtId="0" fontId="7" fillId="0" borderId="8" xfId="0" applyFont="1" applyBorder="1"/>
    <xf numFmtId="0" fontId="0" fillId="2" borderId="1" xfId="0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/>
    </xf>
    <xf numFmtId="0" fontId="7" fillId="7" borderId="1" xfId="0" applyFont="1" applyFill="1" applyBorder="1"/>
    <xf numFmtId="1" fontId="7" fillId="7" borderId="1" xfId="0" applyNumberFormat="1" applyFont="1" applyFill="1" applyBorder="1" applyAlignment="1">
      <alignment horizontal="center"/>
    </xf>
    <xf numFmtId="0" fontId="7" fillId="7" borderId="10" xfId="0" applyFont="1" applyFill="1" applyBorder="1"/>
    <xf numFmtId="0" fontId="7" fillId="7" borderId="11" xfId="0" applyFont="1" applyFill="1" applyBorder="1"/>
    <xf numFmtId="0" fontId="7" fillId="7" borderId="12" xfId="0" applyFont="1" applyFill="1" applyBorder="1"/>
    <xf numFmtId="0" fontId="7" fillId="7" borderId="1" xfId="0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DB99D9D-8B61-4EDB-84F7-ED507D2344B8}"/>
  </tableStyles>
  <colors>
    <mruColors>
      <color rgb="FFCCD4DE"/>
      <color rgb="FFBDC8D5"/>
      <color rgb="FFC0C0C0"/>
      <color rgb="FFA9B7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15875</xdr:colOff>
      <xdr:row>0</xdr:row>
      <xdr:rowOff>190500</xdr:rowOff>
    </xdr:from>
    <xdr:to>
      <xdr:col>3</xdr:col>
      <xdr:colOff>1361015</xdr:colOff>
      <xdr:row>5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FBD37EA-88B4-451B-9BFB-D199C411D14E}"/>
            </a:ext>
          </a:extLst>
        </xdr:cNvPr>
        <xdr:cNvSpPr>
          <a:spLocks noChangeAspect="1"/>
        </xdr:cNvSpPr>
      </xdr:nvSpPr>
      <xdr:spPr>
        <a:xfrm>
          <a:off x="1539875" y="1905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1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FAF220-BBAC-44A7-886C-C8E9EAB03475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565BFE6C-3862-40D0-AB12-19A68FD10EF4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05829-83CB-4BC5-BB3E-C24004783041}">
  <sheetPr>
    <tabColor theme="0"/>
  </sheetPr>
  <dimension ref="A2:E25"/>
  <sheetViews>
    <sheetView showGridLines="0" showRowColHeaders="0" tabSelected="1" workbookViewId="0"/>
  </sheetViews>
  <sheetFormatPr defaultColWidth="0" defaultRowHeight="16.5" x14ac:dyDescent="0.45"/>
  <cols>
    <col min="1" max="1" width="8.6640625" customWidth="1"/>
    <col min="2" max="2" width="11.33203125" bestFit="1" customWidth="1"/>
    <col min="3" max="3" width="16.6640625" customWidth="1"/>
    <col min="4" max="4" width="90.08203125" customWidth="1"/>
    <col min="5" max="5" width="8.6640625" customWidth="1"/>
    <col min="6" max="16384" width="8.6640625" hidden="1"/>
  </cols>
  <sheetData>
    <row r="2" spans="2:4" x14ac:dyDescent="0.45">
      <c r="B2" s="1"/>
      <c r="C2" s="1"/>
      <c r="D2" s="2"/>
    </row>
    <row r="3" spans="2:4" x14ac:dyDescent="0.45">
      <c r="B3" s="1"/>
      <c r="C3" s="1"/>
      <c r="D3" s="2"/>
    </row>
    <row r="4" spans="2:4" x14ac:dyDescent="0.45">
      <c r="B4" s="1"/>
      <c r="C4" s="1"/>
      <c r="D4" s="2"/>
    </row>
    <row r="5" spans="2:4" x14ac:dyDescent="0.45">
      <c r="B5" s="1"/>
      <c r="C5" s="1"/>
      <c r="D5" s="2"/>
    </row>
    <row r="6" spans="2:4" x14ac:dyDescent="0.45">
      <c r="B6" s="1"/>
      <c r="C6" s="1"/>
      <c r="D6" s="2"/>
    </row>
    <row r="7" spans="2:4" x14ac:dyDescent="0.45">
      <c r="B7" s="1"/>
      <c r="C7" s="1"/>
      <c r="D7" s="2"/>
    </row>
    <row r="8" spans="2:4" x14ac:dyDescent="0.45">
      <c r="B8" s="1"/>
      <c r="C8" s="3" t="s">
        <v>0</v>
      </c>
      <c r="D8" s="2"/>
    </row>
    <row r="9" spans="2:4" x14ac:dyDescent="0.45">
      <c r="B9" s="1"/>
      <c r="C9" s="1" t="s">
        <v>22</v>
      </c>
      <c r="D9" s="2"/>
    </row>
    <row r="10" spans="2:4" x14ac:dyDescent="0.45">
      <c r="B10" s="1"/>
      <c r="C10" s="1" t="s">
        <v>23</v>
      </c>
      <c r="D10" s="2"/>
    </row>
    <row r="11" spans="2:4" x14ac:dyDescent="0.45">
      <c r="B11" s="1"/>
      <c r="C11" s="1"/>
      <c r="D11" s="2"/>
    </row>
    <row r="12" spans="2:4" x14ac:dyDescent="0.45">
      <c r="B12" s="1"/>
      <c r="C12" s="3" t="s">
        <v>1</v>
      </c>
      <c r="D12" s="2"/>
    </row>
    <row r="13" spans="2:4" x14ac:dyDescent="0.45">
      <c r="B13" s="1"/>
      <c r="C13" s="1" t="s">
        <v>2</v>
      </c>
      <c r="D13" s="2"/>
    </row>
    <row r="14" spans="2:4" x14ac:dyDescent="0.45">
      <c r="B14" s="1"/>
      <c r="C14" s="1" t="s">
        <v>3</v>
      </c>
      <c r="D14" s="2"/>
    </row>
    <row r="15" spans="2:4" x14ac:dyDescent="0.45">
      <c r="B15" s="1"/>
      <c r="C15" s="1"/>
      <c r="D15" s="2"/>
    </row>
    <row r="16" spans="2:4" x14ac:dyDescent="0.45">
      <c r="B16" s="1"/>
      <c r="C16" s="1"/>
      <c r="D16" s="2"/>
    </row>
    <row r="17" spans="2:4" x14ac:dyDescent="0.45">
      <c r="B17" s="1"/>
      <c r="C17" s="5" t="s">
        <v>4</v>
      </c>
      <c r="D17" s="6" t="s">
        <v>5</v>
      </c>
    </row>
    <row r="18" spans="2:4" ht="33" customHeight="1" x14ac:dyDescent="0.45">
      <c r="B18" s="3"/>
      <c r="C18" s="46" t="s">
        <v>6</v>
      </c>
      <c r="D18" s="8" t="s">
        <v>14</v>
      </c>
    </row>
    <row r="19" spans="2:4" ht="33" customHeight="1" x14ac:dyDescent="0.45">
      <c r="B19" s="4"/>
      <c r="C19" s="46" t="s">
        <v>7</v>
      </c>
      <c r="D19" s="8" t="s">
        <v>15</v>
      </c>
    </row>
    <row r="20" spans="2:4" ht="33" customHeight="1" x14ac:dyDescent="0.45">
      <c r="C20" s="46" t="s">
        <v>8</v>
      </c>
      <c r="D20" s="7" t="s">
        <v>16</v>
      </c>
    </row>
    <row r="21" spans="2:4" ht="33" customHeight="1" x14ac:dyDescent="0.45">
      <c r="C21" s="46" t="s">
        <v>9</v>
      </c>
      <c r="D21" s="7" t="s">
        <v>17</v>
      </c>
    </row>
    <row r="22" spans="2:4" ht="33" customHeight="1" x14ac:dyDescent="0.45">
      <c r="C22" s="46" t="s">
        <v>10</v>
      </c>
      <c r="D22" s="7" t="s">
        <v>18</v>
      </c>
    </row>
    <row r="23" spans="2:4" ht="33" customHeight="1" x14ac:dyDescent="0.45">
      <c r="C23" s="46" t="s">
        <v>11</v>
      </c>
      <c r="D23" s="7" t="s">
        <v>19</v>
      </c>
    </row>
    <row r="24" spans="2:4" ht="33" customHeight="1" x14ac:dyDescent="0.45">
      <c r="C24" s="46" t="s">
        <v>12</v>
      </c>
      <c r="D24" s="7" t="s">
        <v>20</v>
      </c>
    </row>
    <row r="25" spans="2:4" ht="33" customHeight="1" x14ac:dyDescent="0.45">
      <c r="C25" s="46" t="s">
        <v>13</v>
      </c>
      <c r="D25" s="7" t="s">
        <v>21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2E462-4080-43E8-BF1B-87BC4D8CDDC7}">
  <sheetPr>
    <tabColor rgb="FFA9B7C8"/>
  </sheetPr>
  <dimension ref="B2:O24"/>
  <sheetViews>
    <sheetView workbookViewId="0"/>
  </sheetViews>
  <sheetFormatPr defaultRowHeight="16.5" x14ac:dyDescent="0.45"/>
  <cols>
    <col min="1" max="1" width="5" customWidth="1"/>
    <col min="3" max="3" width="12.5" customWidth="1"/>
    <col min="4" max="4" width="10.33203125" customWidth="1"/>
    <col min="5" max="5" width="11.4140625" customWidth="1"/>
    <col min="10" max="10" width="5.25" customWidth="1"/>
  </cols>
  <sheetData>
    <row r="2" spans="2:15" x14ac:dyDescent="0.45">
      <c r="B2" s="11" t="s">
        <v>47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14" t="s">
        <v>24</v>
      </c>
      <c r="O3" s="15"/>
    </row>
    <row r="4" spans="2:15" x14ac:dyDescent="0.45">
      <c r="B4" s="16" t="s">
        <v>25</v>
      </c>
      <c r="O4" s="15"/>
    </row>
    <row r="5" spans="2:15" x14ac:dyDescent="0.45">
      <c r="B5" s="14" t="s">
        <v>26</v>
      </c>
      <c r="O5" s="15"/>
    </row>
    <row r="6" spans="2:15" x14ac:dyDescent="0.45"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2:15" x14ac:dyDescent="0.45">
      <c r="B7" s="14"/>
      <c r="O7" s="15"/>
    </row>
    <row r="8" spans="2:15" x14ac:dyDescent="0.45">
      <c r="B8" s="14"/>
      <c r="G8" s="17" t="s">
        <v>32</v>
      </c>
      <c r="K8" s="17" t="s">
        <v>34</v>
      </c>
      <c r="O8" s="15"/>
    </row>
    <row r="9" spans="2:15" x14ac:dyDescent="0.45">
      <c r="B9" s="14"/>
      <c r="C9" s="18" t="s">
        <v>30</v>
      </c>
      <c r="G9" s="19" t="s">
        <v>31</v>
      </c>
      <c r="K9" s="19" t="s">
        <v>33</v>
      </c>
      <c r="O9" s="15"/>
    </row>
    <row r="10" spans="2:15" x14ac:dyDescent="0.45">
      <c r="B10" s="14"/>
      <c r="C10" s="53" t="s">
        <v>27</v>
      </c>
      <c r="D10" s="53" t="s">
        <v>28</v>
      </c>
      <c r="E10" s="53" t="s">
        <v>29</v>
      </c>
      <c r="G10" s="9" t="str" cm="1">
        <f t="array" ref="G10:I12">Alignλ(ABC_array)</f>
        <v>Alpha</v>
      </c>
      <c r="H10" s="9" t="str">
        <v>Bravo</v>
      </c>
      <c r="I10" s="9" t="str">
        <v>Charlie</v>
      </c>
      <c r="K10" s="9" t="str" cm="1">
        <f t="array" ref="K10:M12">Alignλ(ABC_array,TRUE)</f>
        <v>Alpha</v>
      </c>
      <c r="L10" s="9" t="str">
        <v>Bravo</v>
      </c>
      <c r="M10" s="9" t="str">
        <v>Alpha</v>
      </c>
      <c r="O10" s="15"/>
    </row>
    <row r="11" spans="2:15" x14ac:dyDescent="0.45">
      <c r="B11" s="14"/>
      <c r="C11" s="53" t="s">
        <v>29</v>
      </c>
      <c r="D11" s="53" t="s">
        <v>28</v>
      </c>
      <c r="E11" s="53" t="s">
        <v>27</v>
      </c>
      <c r="G11" s="9" t="str">
        <v>Alpha</v>
      </c>
      <c r="H11" s="9" t="str">
        <v>Bravo</v>
      </c>
      <c r="I11" s="9" t="str">
        <v>Charlie</v>
      </c>
      <c r="K11" s="9" t="str">
        <v>Bravo</v>
      </c>
      <c r="L11" s="9" t="str">
        <v>Charlie</v>
      </c>
      <c r="M11" s="9" t="str">
        <v>Alpha</v>
      </c>
      <c r="O11" s="15"/>
    </row>
    <row r="12" spans="2:15" x14ac:dyDescent="0.45">
      <c r="B12" s="14"/>
      <c r="C12" s="53" t="s">
        <v>28</v>
      </c>
      <c r="D12" s="53" t="s">
        <v>29</v>
      </c>
      <c r="E12" s="53" t="s">
        <v>27</v>
      </c>
      <c r="G12" s="9" t="str">
        <v>Alpha</v>
      </c>
      <c r="H12" s="9" t="str">
        <v>Bravo</v>
      </c>
      <c r="I12" s="9" t="str">
        <v>Charlie</v>
      </c>
      <c r="K12" s="9" t="str">
        <v>Charlie</v>
      </c>
      <c r="L12" s="9" t="str">
        <v>Charlie</v>
      </c>
      <c r="M12" s="9" t="str">
        <v>Bravo</v>
      </c>
      <c r="O12" s="15"/>
    </row>
    <row r="13" spans="2:15" x14ac:dyDescent="0.45">
      <c r="B13" s="14"/>
      <c r="C13" s="20"/>
      <c r="D13" s="20"/>
      <c r="E13" s="20"/>
      <c r="O13" s="15"/>
    </row>
    <row r="14" spans="2:15" x14ac:dyDescent="0.45">
      <c r="B14" s="14"/>
      <c r="C14" s="20"/>
      <c r="D14" s="20"/>
      <c r="E14" s="20"/>
      <c r="G14" s="17" t="s">
        <v>46</v>
      </c>
      <c r="O14" s="15"/>
    </row>
    <row r="15" spans="2:15" x14ac:dyDescent="0.45">
      <c r="B15" s="14"/>
      <c r="C15" s="18" t="s">
        <v>44</v>
      </c>
      <c r="D15" s="20"/>
      <c r="E15" s="20"/>
      <c r="G15" s="19" t="s">
        <v>45</v>
      </c>
      <c r="O15" s="15"/>
    </row>
    <row r="16" spans="2:15" x14ac:dyDescent="0.45">
      <c r="B16" s="14"/>
      <c r="C16" s="53" t="s">
        <v>35</v>
      </c>
      <c r="D16" s="53" t="s">
        <v>36</v>
      </c>
      <c r="E16" s="53" t="s">
        <v>37</v>
      </c>
      <c r="G16" s="9" t="str" cm="1">
        <f t="array" ref="G16:I23">Alignλ(Colors)</f>
        <v>Bronze</v>
      </c>
      <c r="H16" s="9" t="str">
        <v>Gold</v>
      </c>
      <c r="I16" s="9" t="str">
        <v>Silver</v>
      </c>
      <c r="O16" s="15"/>
    </row>
    <row r="17" spans="2:15" x14ac:dyDescent="0.45">
      <c r="B17" s="14"/>
      <c r="C17" s="53" t="s">
        <v>36</v>
      </c>
      <c r="D17" s="53" t="s">
        <v>37</v>
      </c>
      <c r="E17" s="53" t="s">
        <v>35</v>
      </c>
      <c r="G17" s="9" t="str">
        <v>Bronze</v>
      </c>
      <c r="H17" s="9" t="str">
        <v>Gold</v>
      </c>
      <c r="I17" s="9" t="str">
        <v>Silver</v>
      </c>
      <c r="O17" s="15"/>
    </row>
    <row r="18" spans="2:15" x14ac:dyDescent="0.45">
      <c r="B18" s="14"/>
      <c r="C18" s="53" t="s">
        <v>38</v>
      </c>
      <c r="D18" s="53" t="s">
        <v>39</v>
      </c>
      <c r="E18" s="53" t="s">
        <v>40</v>
      </c>
      <c r="G18" s="9" t="str">
        <v>Blue</v>
      </c>
      <c r="H18" s="9" t="str">
        <v>Green</v>
      </c>
      <c r="I18" s="9" t="str">
        <v>Red</v>
      </c>
      <c r="O18" s="15"/>
    </row>
    <row r="19" spans="2:15" x14ac:dyDescent="0.45">
      <c r="B19" s="14"/>
      <c r="C19" s="53" t="s">
        <v>36</v>
      </c>
      <c r="D19" s="53" t="s">
        <v>35</v>
      </c>
      <c r="E19" s="53" t="s">
        <v>37</v>
      </c>
      <c r="G19" s="9" t="str">
        <v>Bronze</v>
      </c>
      <c r="H19" s="9" t="str">
        <v>Gold</v>
      </c>
      <c r="I19" s="9" t="str">
        <v>Silver</v>
      </c>
      <c r="O19" s="15"/>
    </row>
    <row r="20" spans="2:15" x14ac:dyDescent="0.45">
      <c r="B20" s="14"/>
      <c r="C20" s="53" t="s">
        <v>40</v>
      </c>
      <c r="D20" s="53" t="s">
        <v>39</v>
      </c>
      <c r="E20" s="53" t="s">
        <v>38</v>
      </c>
      <c r="G20" s="9" t="str">
        <v>Blue</v>
      </c>
      <c r="H20" s="9" t="str">
        <v>Green</v>
      </c>
      <c r="I20" s="9" t="str">
        <v>Red</v>
      </c>
      <c r="O20" s="15"/>
    </row>
    <row r="21" spans="2:15" x14ac:dyDescent="0.45">
      <c r="B21" s="14"/>
      <c r="C21" s="53" t="s">
        <v>38</v>
      </c>
      <c r="D21" s="53" t="s">
        <v>40</v>
      </c>
      <c r="E21" s="53" t="s">
        <v>41</v>
      </c>
      <c r="G21" s="9" t="str">
        <v>Blue</v>
      </c>
      <c r="H21" s="9" t="str">
        <v>Red</v>
      </c>
      <c r="I21" s="9" t="str">
        <v>White</v>
      </c>
      <c r="O21" s="15"/>
    </row>
    <row r="22" spans="2:15" x14ac:dyDescent="0.45">
      <c r="B22" s="14"/>
      <c r="C22" s="53" t="s">
        <v>39</v>
      </c>
      <c r="D22" s="53" t="s">
        <v>42</v>
      </c>
      <c r="E22" s="53" t="s">
        <v>43</v>
      </c>
      <c r="G22" s="9" t="str">
        <v>Green</v>
      </c>
      <c r="H22" s="9" t="str">
        <v>Purple</v>
      </c>
      <c r="I22" s="9" t="str">
        <v>Yellow</v>
      </c>
      <c r="O22" s="15"/>
    </row>
    <row r="23" spans="2:15" x14ac:dyDescent="0.45">
      <c r="B23" s="14"/>
      <c r="C23" s="53" t="s">
        <v>43</v>
      </c>
      <c r="D23" s="53" t="s">
        <v>39</v>
      </c>
      <c r="E23" s="53" t="s">
        <v>42</v>
      </c>
      <c r="G23" s="9" t="str">
        <v>Green</v>
      </c>
      <c r="H23" s="9" t="str">
        <v>Purple</v>
      </c>
      <c r="I23" s="9" t="str">
        <v>Yellow</v>
      </c>
      <c r="O23" s="15"/>
    </row>
    <row r="24" spans="2:15" x14ac:dyDescent="0.45">
      <c r="B24" s="21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5A1ED-CC9D-449D-9CB8-FBB6706DDEAD}">
  <sheetPr>
    <tabColor rgb="FFA9B7C8"/>
  </sheetPr>
  <dimension ref="B2:O25"/>
  <sheetViews>
    <sheetView workbookViewId="0"/>
  </sheetViews>
  <sheetFormatPr defaultRowHeight="16.5" x14ac:dyDescent="0.45"/>
  <cols>
    <col min="1" max="1" width="5" customWidth="1"/>
    <col min="10" max="10" width="6.6640625" customWidth="1"/>
  </cols>
  <sheetData>
    <row r="2" spans="2:15" x14ac:dyDescent="0.45">
      <c r="B2" s="24" t="s">
        <v>50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14" t="s">
        <v>51</v>
      </c>
      <c r="O3" s="15"/>
    </row>
    <row r="4" spans="2:15" x14ac:dyDescent="0.45">
      <c r="B4" s="16" t="s">
        <v>25</v>
      </c>
      <c r="O4" s="15"/>
    </row>
    <row r="5" spans="2:15" x14ac:dyDescent="0.45">
      <c r="B5" s="14" t="s">
        <v>52</v>
      </c>
      <c r="O5" s="15"/>
    </row>
    <row r="6" spans="2:15" x14ac:dyDescent="0.45">
      <c r="B6" s="21"/>
      <c r="C6" s="25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2:15" x14ac:dyDescent="0.45">
      <c r="B7" s="14"/>
      <c r="O7" s="15"/>
    </row>
    <row r="8" spans="2:15" x14ac:dyDescent="0.45">
      <c r="B8" s="14"/>
      <c r="G8" s="17" t="s">
        <v>62</v>
      </c>
      <c r="K8" s="17" t="s">
        <v>63</v>
      </c>
      <c r="O8" s="15"/>
    </row>
    <row r="9" spans="2:15" x14ac:dyDescent="0.45">
      <c r="B9" s="14"/>
      <c r="C9" s="18" t="s">
        <v>59</v>
      </c>
      <c r="G9" s="19" t="s">
        <v>60</v>
      </c>
      <c r="K9" s="19" t="s">
        <v>61</v>
      </c>
      <c r="O9" s="15"/>
    </row>
    <row r="10" spans="2:15" x14ac:dyDescent="0.45">
      <c r="B10" s="14"/>
      <c r="C10" s="53" t="s">
        <v>55</v>
      </c>
      <c r="D10" s="53" t="s">
        <v>56</v>
      </c>
      <c r="E10" s="53" t="s">
        <v>57</v>
      </c>
      <c r="G10" s="37" t="str" cm="1">
        <f t="array" ref="G10:I10">AlignDistinctλ(PQR_array)</f>
        <v>Papa</v>
      </c>
      <c r="H10" s="37" t="str">
        <v>Quick</v>
      </c>
      <c r="I10" s="37" t="str">
        <v>Romeo</v>
      </c>
      <c r="K10" s="37" t="str" cm="1">
        <f t="array" ref="K10:M12">AlignDistinctλ(PQR_array,TRUE)</f>
        <v>Papa</v>
      </c>
      <c r="L10" s="37" t="str">
        <v>Papa</v>
      </c>
      <c r="M10" s="37" t="str">
        <v>Quebec</v>
      </c>
      <c r="O10" s="15"/>
    </row>
    <row r="11" spans="2:15" x14ac:dyDescent="0.45">
      <c r="B11" s="14"/>
      <c r="C11" s="53" t="s">
        <v>57</v>
      </c>
      <c r="D11" s="53" t="s">
        <v>55</v>
      </c>
      <c r="E11" s="53" t="s">
        <v>56</v>
      </c>
      <c r="K11" s="37" t="str">
        <v>Quick</v>
      </c>
      <c r="L11" s="37" t="str">
        <v>Papa</v>
      </c>
      <c r="M11" s="37" t="str">
        <v>Romeo</v>
      </c>
      <c r="O11" s="15"/>
    </row>
    <row r="12" spans="2:15" x14ac:dyDescent="0.45">
      <c r="B12" s="14"/>
      <c r="C12" s="53" t="s">
        <v>58</v>
      </c>
      <c r="D12" s="53" t="s">
        <v>55</v>
      </c>
      <c r="E12" s="53" t="s">
        <v>57</v>
      </c>
      <c r="K12" s="37" t="str">
        <v>Romeo</v>
      </c>
      <c r="L12" s="37" t="str">
        <v>Quebec</v>
      </c>
      <c r="M12" s="37" t="str">
        <v>Romeo</v>
      </c>
      <c r="O12" s="15"/>
    </row>
    <row r="13" spans="2:15" x14ac:dyDescent="0.45">
      <c r="B13" s="14"/>
      <c r="O13" s="15"/>
    </row>
    <row r="14" spans="2:15" x14ac:dyDescent="0.45">
      <c r="B14" s="14"/>
      <c r="G14" s="17" t="s">
        <v>62</v>
      </c>
      <c r="O14" s="15"/>
    </row>
    <row r="15" spans="2:15" x14ac:dyDescent="0.45">
      <c r="B15" s="14"/>
      <c r="C15" s="18" t="s">
        <v>49</v>
      </c>
      <c r="G15" s="19" t="s">
        <v>54</v>
      </c>
      <c r="O15" s="15"/>
    </row>
    <row r="16" spans="2:15" x14ac:dyDescent="0.45">
      <c r="B16" s="14"/>
      <c r="C16" s="53" t="str" cm="1">
        <f t="array" ref="C16:E23">Colors</f>
        <v>Gold</v>
      </c>
      <c r="D16" s="53" t="str">
        <v>Silver</v>
      </c>
      <c r="E16" s="53" t="str">
        <v>Bronze</v>
      </c>
      <c r="F16" s="20"/>
      <c r="G16" s="37" t="str" cm="1">
        <f t="array" ref="G16:I16">AlignDistinctλ(_xlfn.ANCHORARRAY(C16))</f>
        <v>Blue</v>
      </c>
      <c r="H16" s="37" t="str">
        <v>Red</v>
      </c>
      <c r="I16" s="37" t="str">
        <v>White</v>
      </c>
      <c r="O16" s="15"/>
    </row>
    <row r="17" spans="2:15" x14ac:dyDescent="0.45">
      <c r="B17" s="14"/>
      <c r="C17" s="53" t="str">
        <v>Silver</v>
      </c>
      <c r="D17" s="53" t="str">
        <v>Bronze</v>
      </c>
      <c r="E17" s="53" t="str">
        <v>Gold</v>
      </c>
      <c r="O17" s="15"/>
    </row>
    <row r="18" spans="2:15" x14ac:dyDescent="0.45">
      <c r="B18" s="14"/>
      <c r="C18" s="53" t="str">
        <v>Red</v>
      </c>
      <c r="D18" s="53" t="str">
        <v>Green</v>
      </c>
      <c r="E18" s="53" t="str">
        <v>Blue</v>
      </c>
      <c r="O18" s="15"/>
    </row>
    <row r="19" spans="2:15" x14ac:dyDescent="0.45">
      <c r="B19" s="14"/>
      <c r="C19" s="53" t="str">
        <v>Silver</v>
      </c>
      <c r="D19" s="53" t="str">
        <v>Gold</v>
      </c>
      <c r="E19" s="53" t="str">
        <v>Bronze</v>
      </c>
      <c r="O19" s="15"/>
    </row>
    <row r="20" spans="2:15" x14ac:dyDescent="0.45">
      <c r="B20" s="14"/>
      <c r="C20" s="53" t="str">
        <v>Blue</v>
      </c>
      <c r="D20" s="53" t="str">
        <v>Green</v>
      </c>
      <c r="E20" s="53" t="str">
        <v>Red</v>
      </c>
      <c r="O20" s="15"/>
    </row>
    <row r="21" spans="2:15" x14ac:dyDescent="0.45">
      <c r="B21" s="14"/>
      <c r="C21" s="53" t="str">
        <v>Red</v>
      </c>
      <c r="D21" s="53" t="str">
        <v>Blue</v>
      </c>
      <c r="E21" s="53" t="str">
        <v>White</v>
      </c>
      <c r="O21" s="15"/>
    </row>
    <row r="22" spans="2:15" x14ac:dyDescent="0.45">
      <c r="B22" s="14"/>
      <c r="C22" s="53" t="str">
        <v>Green</v>
      </c>
      <c r="D22" s="53" t="str">
        <v>Yellow</v>
      </c>
      <c r="E22" s="53" t="str">
        <v>Purple</v>
      </c>
      <c r="O22" s="15"/>
    </row>
    <row r="23" spans="2:15" x14ac:dyDescent="0.45">
      <c r="B23" s="14"/>
      <c r="C23" s="53" t="str">
        <v>Purple</v>
      </c>
      <c r="D23" s="53" t="str">
        <v>Green</v>
      </c>
      <c r="E23" s="53" t="str">
        <v>Yellow</v>
      </c>
      <c r="O23" s="15"/>
    </row>
    <row r="24" spans="2:15" x14ac:dyDescent="0.45">
      <c r="B24" s="14"/>
      <c r="O24" s="15"/>
    </row>
    <row r="25" spans="2:15" x14ac:dyDescent="0.45"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B0EBD-A81F-4DCC-BC81-5DD09F0B9306}">
  <sheetPr>
    <tabColor rgb="FFA9B7C8"/>
  </sheetPr>
  <dimension ref="B2:N29"/>
  <sheetViews>
    <sheetView workbookViewId="0"/>
  </sheetViews>
  <sheetFormatPr defaultRowHeight="16.5" x14ac:dyDescent="0.45"/>
  <cols>
    <col min="1" max="1" width="5" customWidth="1"/>
  </cols>
  <sheetData>
    <row r="2" spans="2:14" x14ac:dyDescent="0.45">
      <c r="B2" s="24" t="s">
        <v>53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</row>
    <row r="3" spans="2:14" x14ac:dyDescent="0.45">
      <c r="B3" s="14" t="s">
        <v>51</v>
      </c>
      <c r="N3" s="15"/>
    </row>
    <row r="4" spans="2:14" x14ac:dyDescent="0.45">
      <c r="B4" s="16" t="s">
        <v>25</v>
      </c>
      <c r="N4" s="15"/>
    </row>
    <row r="5" spans="2:14" x14ac:dyDescent="0.45">
      <c r="B5" s="14" t="s">
        <v>52</v>
      </c>
      <c r="N5" s="15"/>
    </row>
    <row r="6" spans="2:14" x14ac:dyDescent="0.45">
      <c r="B6" s="21"/>
      <c r="C6" s="25"/>
      <c r="D6" s="22"/>
      <c r="E6" s="22"/>
      <c r="F6" s="22"/>
      <c r="G6" s="22"/>
      <c r="H6" s="22"/>
      <c r="I6" s="22"/>
      <c r="J6" s="22"/>
      <c r="K6" s="22"/>
      <c r="L6" s="22"/>
      <c r="M6" s="22"/>
      <c r="N6" s="23"/>
    </row>
    <row r="7" spans="2:14" x14ac:dyDescent="0.45">
      <c r="B7" s="14"/>
      <c r="N7" s="15"/>
    </row>
    <row r="8" spans="2:14" x14ac:dyDescent="0.45">
      <c r="B8" s="14"/>
      <c r="G8" s="17" t="s">
        <v>65</v>
      </c>
      <c r="N8" s="15"/>
    </row>
    <row r="9" spans="2:14" x14ac:dyDescent="0.45">
      <c r="B9" s="14"/>
      <c r="C9" s="18" t="s">
        <v>48</v>
      </c>
      <c r="G9" s="19" t="s">
        <v>64</v>
      </c>
      <c r="N9" s="15"/>
    </row>
    <row r="10" spans="2:14" x14ac:dyDescent="0.45">
      <c r="B10" s="14"/>
      <c r="C10" s="53" t="str" cm="1">
        <f t="array" ref="C10:E12">ABC_array</f>
        <v>Alpha</v>
      </c>
      <c r="D10" s="53" t="str">
        <v>Charlie</v>
      </c>
      <c r="E10" s="53" t="str">
        <v>Bravo</v>
      </c>
      <c r="G10" s="37" t="str" cm="1">
        <f t="array" ref="G10:I10">AlignUniqueλ(_xlfn.ANCHORARRAY(C10))</f>
        <v>Alpha</v>
      </c>
      <c r="H10" s="37" t="str">
        <v>Bravo</v>
      </c>
      <c r="I10" s="37" t="str">
        <v>Charlie</v>
      </c>
      <c r="N10" s="15"/>
    </row>
    <row r="11" spans="2:14" x14ac:dyDescent="0.45">
      <c r="B11" s="14"/>
      <c r="C11" s="53" t="str">
        <v>Bravo</v>
      </c>
      <c r="D11" s="53" t="str">
        <v>Charlie</v>
      </c>
      <c r="E11" s="53" t="str">
        <v>Alpha</v>
      </c>
      <c r="N11" s="15"/>
    </row>
    <row r="12" spans="2:14" x14ac:dyDescent="0.45">
      <c r="B12" s="14"/>
      <c r="C12" s="53" t="str">
        <v>Charlie</v>
      </c>
      <c r="D12" s="53" t="str">
        <v>Bravo</v>
      </c>
      <c r="E12" s="53" t="str">
        <v>Alpha</v>
      </c>
      <c r="N12" s="15"/>
    </row>
    <row r="13" spans="2:14" x14ac:dyDescent="0.45">
      <c r="B13" s="14"/>
      <c r="N13" s="15"/>
    </row>
    <row r="14" spans="2:14" x14ac:dyDescent="0.45">
      <c r="B14" s="14"/>
      <c r="G14" s="17" t="s">
        <v>67</v>
      </c>
      <c r="N14" s="15"/>
    </row>
    <row r="15" spans="2:14" x14ac:dyDescent="0.45">
      <c r="B15" s="14"/>
      <c r="C15" s="18" t="s">
        <v>49</v>
      </c>
      <c r="G15" s="19" t="s">
        <v>66</v>
      </c>
      <c r="N15" s="15"/>
    </row>
    <row r="16" spans="2:14" x14ac:dyDescent="0.45">
      <c r="B16" s="14"/>
      <c r="C16" s="53" t="str" cm="1">
        <f t="array" ref="C16:E23">Colors</f>
        <v>Gold</v>
      </c>
      <c r="D16" s="53" t="str">
        <v>Silver</v>
      </c>
      <c r="E16" s="53" t="str">
        <v>Bronze</v>
      </c>
      <c r="G16" s="37" t="str" cm="1">
        <f t="array" ref="G16:I19">AlignUniqueλ(_xlfn.ANCHORARRAY(C16))</f>
        <v>Bronze</v>
      </c>
      <c r="H16" s="37" t="str">
        <v>Gold</v>
      </c>
      <c r="I16" s="37" t="str">
        <v>Silver</v>
      </c>
      <c r="N16" s="15"/>
    </row>
    <row r="17" spans="2:14" x14ac:dyDescent="0.45">
      <c r="B17" s="14"/>
      <c r="C17" s="53" t="str">
        <v>Silver</v>
      </c>
      <c r="D17" s="53" t="str">
        <v>Bronze</v>
      </c>
      <c r="E17" s="53" t="str">
        <v>Gold</v>
      </c>
      <c r="G17" s="37" t="str">
        <v>Blue</v>
      </c>
      <c r="H17" s="37" t="str">
        <v>Green</v>
      </c>
      <c r="I17" s="37" t="str">
        <v>Red</v>
      </c>
      <c r="N17" s="15"/>
    </row>
    <row r="18" spans="2:14" x14ac:dyDescent="0.45">
      <c r="B18" s="14"/>
      <c r="C18" s="53" t="str">
        <v>Red</v>
      </c>
      <c r="D18" s="53" t="str">
        <v>Green</v>
      </c>
      <c r="E18" s="53" t="str">
        <v>Blue</v>
      </c>
      <c r="G18" s="37" t="str">
        <v>Blue</v>
      </c>
      <c r="H18" s="37" t="str">
        <v>Red</v>
      </c>
      <c r="I18" s="37" t="str">
        <v>White</v>
      </c>
      <c r="N18" s="15"/>
    </row>
    <row r="19" spans="2:14" x14ac:dyDescent="0.45">
      <c r="B19" s="14"/>
      <c r="C19" s="53" t="str">
        <v>Silver</v>
      </c>
      <c r="D19" s="53" t="str">
        <v>Gold</v>
      </c>
      <c r="E19" s="53" t="str">
        <v>Bronze</v>
      </c>
      <c r="G19" s="37" t="str">
        <v>Green</v>
      </c>
      <c r="H19" s="37" t="str">
        <v>Purple</v>
      </c>
      <c r="I19" s="37" t="str">
        <v>Yellow</v>
      </c>
      <c r="N19" s="15"/>
    </row>
    <row r="20" spans="2:14" x14ac:dyDescent="0.45">
      <c r="B20" s="14"/>
      <c r="C20" s="53" t="str">
        <v>Blue</v>
      </c>
      <c r="D20" s="53" t="str">
        <v>Green</v>
      </c>
      <c r="E20" s="53" t="str">
        <v>Red</v>
      </c>
      <c r="N20" s="15"/>
    </row>
    <row r="21" spans="2:14" x14ac:dyDescent="0.45">
      <c r="B21" s="14"/>
      <c r="C21" s="53" t="str">
        <v>Red</v>
      </c>
      <c r="D21" s="53" t="str">
        <v>Blue</v>
      </c>
      <c r="E21" s="53" t="str">
        <v>White</v>
      </c>
      <c r="N21" s="15"/>
    </row>
    <row r="22" spans="2:14" x14ac:dyDescent="0.45">
      <c r="B22" s="14"/>
      <c r="C22" s="53" t="str">
        <v>Green</v>
      </c>
      <c r="D22" s="53" t="str">
        <v>Yellow</v>
      </c>
      <c r="E22" s="53" t="str">
        <v>Purple</v>
      </c>
      <c r="N22" s="15"/>
    </row>
    <row r="23" spans="2:14" x14ac:dyDescent="0.45">
      <c r="B23" s="14"/>
      <c r="C23" s="53" t="str">
        <v>Purple</v>
      </c>
      <c r="D23" s="53" t="str">
        <v>Green</v>
      </c>
      <c r="E23" s="53" t="str">
        <v>Yellow</v>
      </c>
      <c r="N23" s="15"/>
    </row>
    <row r="24" spans="2:14" x14ac:dyDescent="0.45">
      <c r="B24" s="14"/>
      <c r="G24" s="17" t="s">
        <v>73</v>
      </c>
      <c r="N24" s="15"/>
    </row>
    <row r="25" spans="2:14" x14ac:dyDescent="0.45">
      <c r="B25" s="14"/>
      <c r="C25" s="18" t="s">
        <v>71</v>
      </c>
      <c r="G25" s="19" t="s">
        <v>72</v>
      </c>
      <c r="N25" s="15"/>
    </row>
    <row r="26" spans="2:14" x14ac:dyDescent="0.45">
      <c r="B26" s="14"/>
      <c r="C26" s="53" t="s">
        <v>68</v>
      </c>
      <c r="D26" s="53" t="s">
        <v>69</v>
      </c>
      <c r="E26" s="53" t="s">
        <v>70</v>
      </c>
      <c r="G26" s="37" t="str" cm="1">
        <f t="array" ref="G26:G28">AlignUniqueλ(RST_array,TRUE)</f>
        <v>Roger</v>
      </c>
      <c r="N26" s="15"/>
    </row>
    <row r="27" spans="2:14" x14ac:dyDescent="0.45">
      <c r="B27" s="14"/>
      <c r="C27" s="53" t="s">
        <v>69</v>
      </c>
      <c r="D27" s="53" t="s">
        <v>70</v>
      </c>
      <c r="E27" s="53" t="s">
        <v>69</v>
      </c>
      <c r="G27" s="37" t="str">
        <v>Sierra</v>
      </c>
      <c r="N27" s="15"/>
    </row>
    <row r="28" spans="2:14" x14ac:dyDescent="0.45">
      <c r="B28" s="14"/>
      <c r="C28" s="53" t="s">
        <v>70</v>
      </c>
      <c r="D28" s="53" t="s">
        <v>68</v>
      </c>
      <c r="E28" s="53" t="s">
        <v>68</v>
      </c>
      <c r="G28" s="37" t="str">
        <v>Tango</v>
      </c>
      <c r="N28" s="15"/>
    </row>
    <row r="29" spans="2:14" x14ac:dyDescent="0.45"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CC36-C4D9-4A72-A792-6E76684AAC41}">
  <sheetPr>
    <tabColor rgb="FFA9B7C8"/>
  </sheetPr>
  <dimension ref="B2:R25"/>
  <sheetViews>
    <sheetView workbookViewId="0"/>
  </sheetViews>
  <sheetFormatPr defaultRowHeight="16.5" x14ac:dyDescent="0.45"/>
  <cols>
    <col min="1" max="1" width="5" customWidth="1"/>
    <col min="2" max="2" width="5.6640625" customWidth="1"/>
    <col min="3" max="3" width="11.25" bestFit="1" customWidth="1"/>
    <col min="4" max="4" width="9.33203125" customWidth="1"/>
    <col min="5" max="5" width="12" bestFit="1" customWidth="1"/>
    <col min="6" max="6" width="9.25" bestFit="1" customWidth="1"/>
    <col min="7" max="7" width="12" bestFit="1" customWidth="1"/>
    <col min="9" max="9" width="12" bestFit="1" customWidth="1"/>
    <col min="10" max="10" width="9.25" bestFit="1" customWidth="1"/>
    <col min="11" max="11" width="10.5" bestFit="1" customWidth="1"/>
    <col min="13" max="13" width="10.5" bestFit="1" customWidth="1"/>
    <col min="18" max="18" width="4.1640625" customWidth="1"/>
  </cols>
  <sheetData>
    <row r="2" spans="2:18" x14ac:dyDescent="0.45">
      <c r="B2" s="24" t="s">
        <v>74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</row>
    <row r="3" spans="2:18" x14ac:dyDescent="0.45">
      <c r="B3" s="16" t="s">
        <v>75</v>
      </c>
      <c r="R3" s="15"/>
    </row>
    <row r="4" spans="2:18" x14ac:dyDescent="0.45">
      <c r="B4" s="14" t="s">
        <v>76</v>
      </c>
      <c r="R4" s="15"/>
    </row>
    <row r="5" spans="2:18" x14ac:dyDescent="0.45">
      <c r="B5" s="14" t="s">
        <v>77</v>
      </c>
      <c r="R5" s="15"/>
    </row>
    <row r="6" spans="2:18" x14ac:dyDescent="0.45">
      <c r="B6" s="16" t="s">
        <v>25</v>
      </c>
      <c r="R6" s="15"/>
    </row>
    <row r="7" spans="2:18" x14ac:dyDescent="0.45">
      <c r="B7" s="14" t="s">
        <v>78</v>
      </c>
      <c r="R7" s="15"/>
    </row>
    <row r="8" spans="2:18" x14ac:dyDescent="0.45">
      <c r="B8" s="14" t="s">
        <v>79</v>
      </c>
      <c r="R8" s="15"/>
    </row>
    <row r="9" spans="2:18" x14ac:dyDescent="0.45">
      <c r="B9" s="14" t="s">
        <v>101</v>
      </c>
      <c r="R9" s="15"/>
    </row>
    <row r="10" spans="2:18" x14ac:dyDescent="0.45">
      <c r="B10" s="14" t="s">
        <v>80</v>
      </c>
      <c r="R10" s="15"/>
    </row>
    <row r="11" spans="2:18" x14ac:dyDescent="0.45">
      <c r="B11" s="21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3"/>
    </row>
    <row r="12" spans="2:18" x14ac:dyDescent="0.45">
      <c r="B12" s="14"/>
      <c r="C12" s="18" t="s">
        <v>86</v>
      </c>
      <c r="G12" s="18" t="s">
        <v>85</v>
      </c>
      <c r="K12" s="18" t="s">
        <v>84</v>
      </c>
      <c r="O12" s="18" t="s">
        <v>83</v>
      </c>
      <c r="R12" s="15"/>
    </row>
    <row r="13" spans="2:18" x14ac:dyDescent="0.45">
      <c r="B13" s="14"/>
      <c r="C13" s="26" t="s">
        <v>82</v>
      </c>
      <c r="D13" s="26" t="s">
        <v>81</v>
      </c>
      <c r="E13" s="26" t="s">
        <v>90</v>
      </c>
      <c r="F13" s="30"/>
      <c r="G13" s="27" t="s">
        <v>82</v>
      </c>
      <c r="H13" s="27" t="s">
        <v>81</v>
      </c>
      <c r="I13" s="27" t="s">
        <v>90</v>
      </c>
      <c r="J13" s="30"/>
      <c r="K13" s="28" t="s">
        <v>82</v>
      </c>
      <c r="L13" s="28" t="s">
        <v>81</v>
      </c>
      <c r="M13" s="28" t="s">
        <v>90</v>
      </c>
      <c r="N13" s="30"/>
      <c r="O13" s="29" t="s">
        <v>82</v>
      </c>
      <c r="P13" s="29" t="s">
        <v>81</v>
      </c>
      <c r="Q13" s="29" t="s">
        <v>90</v>
      </c>
      <c r="R13" s="15"/>
    </row>
    <row r="14" spans="2:18" x14ac:dyDescent="0.45">
      <c r="B14" s="14"/>
      <c r="C14" s="10">
        <v>2589</v>
      </c>
      <c r="D14" s="37" t="s">
        <v>87</v>
      </c>
      <c r="E14" s="37" t="s">
        <v>97</v>
      </c>
      <c r="F14" s="30"/>
      <c r="G14" s="10">
        <v>2589</v>
      </c>
      <c r="H14" s="37" t="s">
        <v>87</v>
      </c>
      <c r="I14" s="37" t="s">
        <v>91</v>
      </c>
      <c r="J14" s="30"/>
      <c r="K14" s="10">
        <v>2589</v>
      </c>
      <c r="L14" s="37" t="s">
        <v>87</v>
      </c>
      <c r="M14" s="37" t="s">
        <v>92</v>
      </c>
      <c r="N14" s="30"/>
      <c r="O14" s="10">
        <v>2589</v>
      </c>
      <c r="P14" s="37" t="s">
        <v>87</v>
      </c>
      <c r="Q14" s="37" t="s">
        <v>91</v>
      </c>
      <c r="R14" s="15"/>
    </row>
    <row r="15" spans="2:18" x14ac:dyDescent="0.45">
      <c r="B15" s="14"/>
      <c r="C15" s="10" t="s">
        <v>95</v>
      </c>
      <c r="D15" s="37" t="s">
        <v>88</v>
      </c>
      <c r="E15" s="37" t="s">
        <v>93</v>
      </c>
      <c r="F15" s="30"/>
      <c r="G15" s="10">
        <v>2590</v>
      </c>
      <c r="H15" s="37" t="s">
        <v>88</v>
      </c>
      <c r="I15" s="37" t="s">
        <v>94</v>
      </c>
      <c r="J15" s="30"/>
      <c r="K15" s="10">
        <v>2590</v>
      </c>
      <c r="L15" s="37" t="s">
        <v>88</v>
      </c>
      <c r="M15" s="37" t="s">
        <v>91</v>
      </c>
      <c r="N15" s="30"/>
      <c r="O15" s="10">
        <v>2590</v>
      </c>
      <c r="P15" s="37" t="s">
        <v>88</v>
      </c>
      <c r="Q15" s="37" t="s">
        <v>91</v>
      </c>
      <c r="R15" s="15"/>
    </row>
    <row r="16" spans="2:18" x14ac:dyDescent="0.45">
      <c r="B16" s="14"/>
      <c r="C16" s="10">
        <v>2591</v>
      </c>
      <c r="D16" s="37" t="s">
        <v>89</v>
      </c>
      <c r="E16" s="37" t="s">
        <v>92</v>
      </c>
      <c r="F16" s="30"/>
      <c r="G16" s="10">
        <v>2591</v>
      </c>
      <c r="H16" s="37" t="s">
        <v>89</v>
      </c>
      <c r="I16" s="37" t="s">
        <v>91</v>
      </c>
      <c r="J16" s="30"/>
      <c r="K16" s="10">
        <v>2591</v>
      </c>
      <c r="L16" s="37" t="s">
        <v>89</v>
      </c>
      <c r="M16" s="37" t="s">
        <v>91</v>
      </c>
      <c r="N16" s="30"/>
      <c r="O16" s="10"/>
      <c r="P16" s="37"/>
      <c r="Q16" s="37"/>
      <c r="R16" s="15"/>
    </row>
    <row r="17" spans="2:18" x14ac:dyDescent="0.45">
      <c r="B17" s="14"/>
      <c r="R17" s="15"/>
    </row>
    <row r="18" spans="2:18" x14ac:dyDescent="0.45">
      <c r="B18" s="14"/>
      <c r="E18" s="17" t="s">
        <v>98</v>
      </c>
      <c r="I18" s="17" t="s">
        <v>100</v>
      </c>
      <c r="R18" s="15"/>
    </row>
    <row r="19" spans="2:18" x14ac:dyDescent="0.45">
      <c r="B19" s="14"/>
      <c r="E19" s="19" t="s">
        <v>96</v>
      </c>
      <c r="I19" s="19" t="s">
        <v>99</v>
      </c>
      <c r="R19" s="15"/>
    </row>
    <row r="20" spans="2:18" x14ac:dyDescent="0.45">
      <c r="B20" s="14"/>
      <c r="E20" s="10" t="str" cm="1">
        <f t="array" ref="E20:G23">Coalesceλ(April,March,February,January)</f>
        <v>EID</v>
      </c>
      <c r="F20" s="10" t="str">
        <v>Employee</v>
      </c>
      <c r="G20" s="10" t="str">
        <v>Status</v>
      </c>
      <c r="I20" s="10" t="str" cm="1">
        <f t="array" ref="I20:K23">Coalesceλ(April,March,February,January,"See Previous","Active")</f>
        <v>EID</v>
      </c>
      <c r="J20" s="10" t="str">
        <v>Employee</v>
      </c>
      <c r="K20" s="10" t="str">
        <v>Status</v>
      </c>
      <c r="R20" s="15"/>
    </row>
    <row r="21" spans="2:18" x14ac:dyDescent="0.45">
      <c r="B21" s="14"/>
      <c r="E21" s="10">
        <v>2589</v>
      </c>
      <c r="F21" s="37" t="str">
        <v>Johnson</v>
      </c>
      <c r="G21" s="37" t="str">
        <v>See previous</v>
      </c>
      <c r="I21" s="10">
        <v>2589</v>
      </c>
      <c r="J21" s="37" t="str">
        <v>Johnson</v>
      </c>
      <c r="K21" s="37" t="str">
        <v>Active</v>
      </c>
      <c r="R21" s="15"/>
    </row>
    <row r="22" spans="2:18" x14ac:dyDescent="0.45">
      <c r="B22" s="14"/>
      <c r="E22" s="10" t="str">
        <v>ZZZZ</v>
      </c>
      <c r="F22" s="37" t="str">
        <v>Watts</v>
      </c>
      <c r="G22" s="37" t="str">
        <v>Terminated</v>
      </c>
      <c r="I22" s="10" t="str">
        <v>ZZZZ</v>
      </c>
      <c r="J22" s="37" t="str">
        <v>Watts</v>
      </c>
      <c r="K22" s="37" t="str">
        <v>Terminated</v>
      </c>
      <c r="R22" s="15"/>
    </row>
    <row r="23" spans="2:18" x14ac:dyDescent="0.45">
      <c r="B23" s="14"/>
      <c r="E23" s="10">
        <v>2591</v>
      </c>
      <c r="F23" s="37" t="str">
        <v>Jacobs</v>
      </c>
      <c r="G23" s="37" t="str">
        <v>On Leave</v>
      </c>
      <c r="I23" s="10">
        <v>2591</v>
      </c>
      <c r="J23" s="37" t="str">
        <v>Jacobs</v>
      </c>
      <c r="K23" s="37" t="str">
        <v>On Leave</v>
      </c>
      <c r="R23" s="15"/>
    </row>
    <row r="24" spans="2:18" x14ac:dyDescent="0.45">
      <c r="B24" s="14"/>
      <c r="R24" s="15"/>
    </row>
    <row r="25" spans="2:18" x14ac:dyDescent="0.45"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55B1-B5F5-4363-9092-0CDC53481E5B}">
  <sheetPr>
    <tabColor rgb="FFA9B7C8"/>
  </sheetPr>
  <dimension ref="B2:Y33"/>
  <sheetViews>
    <sheetView workbookViewId="0"/>
  </sheetViews>
  <sheetFormatPr defaultRowHeight="16.5" x14ac:dyDescent="0.45"/>
  <cols>
    <col min="1" max="1" width="5" customWidth="1"/>
    <col min="3" max="3" width="12.25" bestFit="1" customWidth="1"/>
    <col min="5" max="5" width="3.4140625" customWidth="1"/>
    <col min="6" max="13" width="4.33203125" customWidth="1"/>
    <col min="14" max="14" width="5.33203125" customWidth="1"/>
    <col min="15" max="24" width="4.33203125" customWidth="1"/>
    <col min="25" max="25" width="5.6640625" customWidth="1"/>
  </cols>
  <sheetData>
    <row r="2" spans="2:25" x14ac:dyDescent="0.45">
      <c r="B2" s="24" t="s">
        <v>102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3"/>
    </row>
    <row r="3" spans="2:25" x14ac:dyDescent="0.45">
      <c r="B3" s="14" t="s">
        <v>103</v>
      </c>
      <c r="Y3" s="15"/>
    </row>
    <row r="4" spans="2:25" x14ac:dyDescent="0.45">
      <c r="B4" s="16" t="s">
        <v>25</v>
      </c>
      <c r="Y4" s="15"/>
    </row>
    <row r="5" spans="2:25" x14ac:dyDescent="0.45">
      <c r="B5" s="14" t="s">
        <v>104</v>
      </c>
      <c r="Y5" s="15"/>
    </row>
    <row r="6" spans="2:25" x14ac:dyDescent="0.45"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3"/>
    </row>
    <row r="7" spans="2:25" x14ac:dyDescent="0.45">
      <c r="B7" s="14"/>
      <c r="F7" s="17" t="s">
        <v>116</v>
      </c>
      <c r="M7" s="18" t="s">
        <v>112</v>
      </c>
      <c r="P7" s="17" t="s">
        <v>115</v>
      </c>
      <c r="Y7" s="15"/>
    </row>
    <row r="8" spans="2:25" x14ac:dyDescent="0.45">
      <c r="B8" s="14"/>
      <c r="C8" s="54" t="s">
        <v>108</v>
      </c>
      <c r="F8" s="19" t="s">
        <v>109</v>
      </c>
      <c r="L8" s="47" t="s">
        <v>110</v>
      </c>
      <c r="M8" s="47" t="s">
        <v>111</v>
      </c>
      <c r="N8" s="47" t="s">
        <v>113</v>
      </c>
      <c r="P8" s="19" t="s">
        <v>114</v>
      </c>
      <c r="Y8" s="15"/>
    </row>
    <row r="9" spans="2:25" x14ac:dyDescent="0.45">
      <c r="B9" s="14"/>
      <c r="C9" s="48" t="s">
        <v>105</v>
      </c>
      <c r="F9" s="10" t="str" cm="1">
        <f t="array" ref="F9:J11">Explodeλ(HelloWorld)</f>
        <v>H</v>
      </c>
      <c r="G9" s="10" t="str">
        <v>e</v>
      </c>
      <c r="H9" s="10" t="str">
        <v>l</v>
      </c>
      <c r="I9" s="10" t="str">
        <v>l</v>
      </c>
      <c r="J9" s="10" t="str">
        <v>o</v>
      </c>
      <c r="K9" s="31"/>
      <c r="P9" s="10" t="str" cm="1">
        <f t="array" ref="P9:R14">Explodeλ(Excel)</f>
        <v>T</v>
      </c>
      <c r="Q9" s="10" t="str">
        <v>i</v>
      </c>
      <c r="R9" s="10" t="str">
        <v>E</v>
      </c>
      <c r="Y9" s="15"/>
    </row>
    <row r="10" spans="2:25" x14ac:dyDescent="0.45">
      <c r="B10" s="14"/>
      <c r="C10" s="48" t="s">
        <v>106</v>
      </c>
      <c r="F10" s="10" t="str">
        <v>W</v>
      </c>
      <c r="G10" s="10" t="str">
        <v>o</v>
      </c>
      <c r="H10" s="10" t="str">
        <v>r</v>
      </c>
      <c r="I10" s="10" t="str">
        <v>l</v>
      </c>
      <c r="J10" s="10" t="str">
        <v>d</v>
      </c>
      <c r="K10" s="31"/>
      <c r="P10" s="10" t="str">
        <v>h</v>
      </c>
      <c r="Q10" s="10" t="str">
        <v>s</v>
      </c>
      <c r="R10" s="10" t="str">
        <v>x</v>
      </c>
      <c r="Y10" s="15"/>
    </row>
    <row r="11" spans="2:25" x14ac:dyDescent="0.45">
      <c r="B11" s="14"/>
      <c r="C11" s="48" t="s">
        <v>107</v>
      </c>
      <c r="F11" s="10" t="str">
        <v>D</v>
      </c>
      <c r="G11" s="10" t="str">
        <v>e</v>
      </c>
      <c r="H11" s="10" t="str">
        <v>m</v>
      </c>
      <c r="I11" s="10" t="str">
        <v>o</v>
      </c>
      <c r="J11" s="10" t="str">
        <v/>
      </c>
      <c r="K11" s="31"/>
      <c r="P11" s="10" t="str">
        <v>i</v>
      </c>
      <c r="Q11" s="10" t="str">
        <v/>
      </c>
      <c r="R11" s="10" t="str">
        <v>c</v>
      </c>
      <c r="Y11" s="15"/>
    </row>
    <row r="12" spans="2:25" x14ac:dyDescent="0.45">
      <c r="B12" s="14"/>
      <c r="P12" s="10" t="str">
        <v>s</v>
      </c>
      <c r="Q12" s="10" t="str">
        <v/>
      </c>
      <c r="R12" s="10" t="str">
        <v>e</v>
      </c>
      <c r="Y12" s="15"/>
    </row>
    <row r="13" spans="2:25" x14ac:dyDescent="0.45">
      <c r="B13" s="14"/>
      <c r="P13" s="10" t="str">
        <v/>
      </c>
      <c r="Q13" s="10" t="str">
        <v/>
      </c>
      <c r="R13" s="10" t="str">
        <v>l</v>
      </c>
      <c r="Y13" s="15"/>
    </row>
    <row r="14" spans="2:25" x14ac:dyDescent="0.45">
      <c r="B14" s="14"/>
      <c r="C14" s="54" t="s">
        <v>128</v>
      </c>
      <c r="F14" s="17" t="s">
        <v>130</v>
      </c>
      <c r="P14" s="10" t="str">
        <v/>
      </c>
      <c r="Q14" s="10" t="str">
        <v/>
      </c>
      <c r="R14" s="10" t="str">
        <v>!</v>
      </c>
      <c r="Y14" s="15"/>
    </row>
    <row r="15" spans="2:25" x14ac:dyDescent="0.45">
      <c r="B15" s="14"/>
      <c r="C15" s="49">
        <v>123456789</v>
      </c>
      <c r="F15" s="19" t="s">
        <v>129</v>
      </c>
      <c r="Y15" s="15"/>
    </row>
    <row r="16" spans="2:25" x14ac:dyDescent="0.45">
      <c r="B16" s="14"/>
      <c r="F16" s="10" t="str" cm="1">
        <f t="array" ref="F16:N16">Explodeλ(ScalarInput)</f>
        <v>1</v>
      </c>
      <c r="G16" s="10" t="str">
        <v>2</v>
      </c>
      <c r="H16" s="10" t="str">
        <v>3</v>
      </c>
      <c r="I16" s="10" t="str">
        <v>4</v>
      </c>
      <c r="J16" s="10" t="str">
        <v>5</v>
      </c>
      <c r="K16" s="10" t="str">
        <v>6</v>
      </c>
      <c r="L16" s="10" t="str">
        <v>7</v>
      </c>
      <c r="M16" s="10" t="str">
        <v>8</v>
      </c>
      <c r="N16" s="10" t="str">
        <v>9</v>
      </c>
      <c r="Y16" s="15"/>
    </row>
    <row r="17" spans="2:25" x14ac:dyDescent="0.45">
      <c r="B17" s="14"/>
      <c r="Y17" s="15"/>
    </row>
    <row r="18" spans="2:25" x14ac:dyDescent="0.45">
      <c r="B18" s="14"/>
      <c r="Y18" s="15"/>
    </row>
    <row r="19" spans="2:25" x14ac:dyDescent="0.45">
      <c r="B19" s="14"/>
      <c r="Y19" s="15"/>
    </row>
    <row r="20" spans="2:25" x14ac:dyDescent="0.45">
      <c r="B20" s="14"/>
      <c r="Y20" s="15"/>
    </row>
    <row r="21" spans="2:25" x14ac:dyDescent="0.45">
      <c r="B21" s="14"/>
      <c r="Y21" s="15"/>
    </row>
    <row r="22" spans="2:25" x14ac:dyDescent="0.45">
      <c r="B22" s="14"/>
      <c r="C22" s="54" t="s">
        <v>127</v>
      </c>
      <c r="F22" s="17" t="s">
        <v>124</v>
      </c>
      <c r="J22" s="17" t="s">
        <v>126</v>
      </c>
      <c r="Y22" s="15"/>
    </row>
    <row r="23" spans="2:25" x14ac:dyDescent="0.45">
      <c r="B23" s="47" t="s">
        <v>117</v>
      </c>
      <c r="C23" s="47" t="s">
        <v>118</v>
      </c>
      <c r="D23" s="47" t="s">
        <v>119</v>
      </c>
      <c r="F23" s="19" t="s">
        <v>123</v>
      </c>
      <c r="J23" s="19" t="s">
        <v>125</v>
      </c>
      <c r="Y23" s="15"/>
    </row>
    <row r="24" spans="2:25" x14ac:dyDescent="0.45">
      <c r="B24" s="47" t="s">
        <v>120</v>
      </c>
      <c r="C24" s="47" t="s">
        <v>121</v>
      </c>
      <c r="D24" s="47" t="s">
        <v>122</v>
      </c>
      <c r="F24" s="10" t="str" cm="1">
        <f t="array" ref="F24:H33">Explodeλ(Numbers)</f>
        <v>O</v>
      </c>
      <c r="G24" s="10" t="str">
        <v>T</v>
      </c>
      <c r="H24" s="10" t="str">
        <v>T</v>
      </c>
      <c r="J24" s="10" t="str" cm="1">
        <f t="array" ref="J24:X25">Explodeλ(Numbers,TRUE)</f>
        <v>O</v>
      </c>
      <c r="K24" s="10" t="str">
        <v>N</v>
      </c>
      <c r="L24" s="10" t="str">
        <v>E</v>
      </c>
      <c r="M24" s="10" t="str">
        <v/>
      </c>
      <c r="N24" s="10" t="str">
        <v/>
      </c>
      <c r="O24" s="10" t="str">
        <v>T</v>
      </c>
      <c r="P24" s="10" t="str">
        <v>W</v>
      </c>
      <c r="Q24" s="10" t="str">
        <v>O</v>
      </c>
      <c r="R24" s="10" t="str">
        <v/>
      </c>
      <c r="S24" s="10" t="str">
        <v/>
      </c>
      <c r="T24" s="10" t="str">
        <v>T</v>
      </c>
      <c r="U24" s="10" t="str">
        <v>H</v>
      </c>
      <c r="V24" s="10" t="str">
        <v>R</v>
      </c>
      <c r="W24" s="10" t="str">
        <v>E</v>
      </c>
      <c r="X24" s="10" t="str">
        <v>E</v>
      </c>
      <c r="Y24" s="15"/>
    </row>
    <row r="25" spans="2:25" x14ac:dyDescent="0.45">
      <c r="B25" s="14"/>
      <c r="F25" s="10" t="str">
        <v>N</v>
      </c>
      <c r="G25" s="10" t="str">
        <v>W</v>
      </c>
      <c r="H25" s="10" t="str">
        <v>H</v>
      </c>
      <c r="J25" s="10" t="str">
        <v>F</v>
      </c>
      <c r="K25" s="10" t="str">
        <v>O</v>
      </c>
      <c r="L25" s="10" t="str">
        <v>U</v>
      </c>
      <c r="M25" s="10" t="str">
        <v>R</v>
      </c>
      <c r="N25" s="10" t="str">
        <v/>
      </c>
      <c r="O25" s="10" t="str">
        <v>F</v>
      </c>
      <c r="P25" s="10" t="str">
        <v>I</v>
      </c>
      <c r="Q25" s="10" t="str">
        <v>V</v>
      </c>
      <c r="R25" s="10" t="str">
        <v>E</v>
      </c>
      <c r="S25" s="10" t="str">
        <v/>
      </c>
      <c r="T25" s="10" t="str">
        <v>S</v>
      </c>
      <c r="U25" s="10" t="str">
        <v>I</v>
      </c>
      <c r="V25" s="10" t="str">
        <v>X</v>
      </c>
      <c r="W25" s="10" t="str">
        <v/>
      </c>
      <c r="X25" s="10" t="str">
        <v/>
      </c>
      <c r="Y25" s="15"/>
    </row>
    <row r="26" spans="2:25" x14ac:dyDescent="0.45">
      <c r="B26" s="14"/>
      <c r="F26" s="10" t="str">
        <v>E</v>
      </c>
      <c r="G26" s="10" t="str">
        <v>O</v>
      </c>
      <c r="H26" s="10" t="str">
        <v>R</v>
      </c>
      <c r="Y26" s="15"/>
    </row>
    <row r="27" spans="2:25" x14ac:dyDescent="0.45">
      <c r="B27" s="14"/>
      <c r="F27" s="10" t="str">
        <v/>
      </c>
      <c r="G27" s="10" t="str">
        <v/>
      </c>
      <c r="H27" s="10" t="str">
        <v>E</v>
      </c>
      <c r="Y27" s="15"/>
    </row>
    <row r="28" spans="2:25" x14ac:dyDescent="0.45">
      <c r="B28" s="14"/>
      <c r="F28" s="10" t="str">
        <v/>
      </c>
      <c r="G28" s="10" t="str">
        <v/>
      </c>
      <c r="H28" s="10" t="str">
        <v>E</v>
      </c>
      <c r="Y28" s="15"/>
    </row>
    <row r="29" spans="2:25" x14ac:dyDescent="0.45">
      <c r="B29" s="14"/>
      <c r="F29" s="10" t="str">
        <v>F</v>
      </c>
      <c r="G29" s="10" t="str">
        <v>F</v>
      </c>
      <c r="H29" s="10" t="str">
        <v>S</v>
      </c>
      <c r="Y29" s="15"/>
    </row>
    <row r="30" spans="2:25" x14ac:dyDescent="0.45">
      <c r="B30" s="14"/>
      <c r="F30" s="10" t="str">
        <v>O</v>
      </c>
      <c r="G30" s="10" t="str">
        <v>I</v>
      </c>
      <c r="H30" s="10" t="str">
        <v>I</v>
      </c>
      <c r="Y30" s="15"/>
    </row>
    <row r="31" spans="2:25" x14ac:dyDescent="0.45">
      <c r="B31" s="14"/>
      <c r="F31" s="10" t="str">
        <v>U</v>
      </c>
      <c r="G31" s="10" t="str">
        <v>V</v>
      </c>
      <c r="H31" s="10" t="str">
        <v>X</v>
      </c>
      <c r="Y31" s="15"/>
    </row>
    <row r="32" spans="2:25" x14ac:dyDescent="0.45">
      <c r="B32" s="14"/>
      <c r="F32" s="10" t="str">
        <v>R</v>
      </c>
      <c r="G32" s="10" t="str">
        <v>E</v>
      </c>
      <c r="H32" s="10" t="str">
        <v/>
      </c>
      <c r="Y32" s="15"/>
    </row>
    <row r="33" spans="2:25" x14ac:dyDescent="0.45">
      <c r="B33" s="21"/>
      <c r="C33" s="22"/>
      <c r="D33" s="22"/>
      <c r="E33" s="22"/>
      <c r="F33" s="22" t="str">
        <v/>
      </c>
      <c r="G33" s="22" t="str">
        <v/>
      </c>
      <c r="H33" s="22" t="str">
        <v/>
      </c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6339-1C44-4809-9117-2E2F6306F5BD}">
  <sheetPr>
    <tabColor rgb="FFA9B7C8"/>
  </sheetPr>
  <dimension ref="B2:M31"/>
  <sheetViews>
    <sheetView workbookViewId="0"/>
  </sheetViews>
  <sheetFormatPr defaultRowHeight="16.5" x14ac:dyDescent="0.45"/>
  <cols>
    <col min="1" max="1" width="5" customWidth="1"/>
    <col min="5" max="5" width="5" customWidth="1"/>
    <col min="6" max="6" width="7.83203125" customWidth="1"/>
    <col min="7" max="10" width="3.58203125" customWidth="1"/>
    <col min="11" max="11" width="5.5" customWidth="1"/>
    <col min="12" max="12" width="9.6640625" customWidth="1"/>
    <col min="13" max="13" width="15.58203125" customWidth="1"/>
    <col min="14" max="14" width="6.25" customWidth="1"/>
    <col min="15" max="15" width="23.4140625" customWidth="1"/>
    <col min="16" max="22" width="3.58203125" customWidth="1"/>
    <col min="23" max="23" width="4.6640625" customWidth="1"/>
  </cols>
  <sheetData>
    <row r="2" spans="2:13" x14ac:dyDescent="0.45">
      <c r="B2" s="24" t="s">
        <v>132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3"/>
    </row>
    <row r="3" spans="2:13" x14ac:dyDescent="0.45">
      <c r="B3" s="39" t="s">
        <v>133</v>
      </c>
      <c r="M3" s="15"/>
    </row>
    <row r="4" spans="2:13" x14ac:dyDescent="0.45">
      <c r="B4" s="14"/>
      <c r="M4" s="15"/>
    </row>
    <row r="5" spans="2:13" x14ac:dyDescent="0.45">
      <c r="B5" s="16" t="s">
        <v>156</v>
      </c>
      <c r="M5" s="15"/>
    </row>
    <row r="6" spans="2:13" x14ac:dyDescent="0.45">
      <c r="B6" s="14" t="s">
        <v>131</v>
      </c>
      <c r="M6" s="15"/>
    </row>
    <row r="7" spans="2:13" x14ac:dyDescent="0.45">
      <c r="B7" s="21"/>
      <c r="C7" s="22"/>
      <c r="D7" s="22"/>
      <c r="E7" s="22"/>
      <c r="F7" s="22"/>
      <c r="G7" s="22"/>
      <c r="H7" s="22"/>
      <c r="I7" s="22"/>
      <c r="J7" s="22"/>
      <c r="K7" s="22"/>
      <c r="L7" s="22"/>
      <c r="M7" s="23"/>
    </row>
    <row r="8" spans="2:13" x14ac:dyDescent="0.45">
      <c r="B8" s="38"/>
      <c r="C8" s="12"/>
      <c r="D8" s="12"/>
      <c r="E8" s="12"/>
      <c r="F8" s="12"/>
      <c r="G8" s="12"/>
      <c r="H8" s="12"/>
      <c r="I8" s="12"/>
      <c r="J8" s="12"/>
      <c r="K8" s="12"/>
      <c r="L8" s="12"/>
      <c r="M8" s="13"/>
    </row>
    <row r="9" spans="2:13" x14ac:dyDescent="0.45">
      <c r="B9" s="14"/>
      <c r="M9" s="15"/>
    </row>
    <row r="10" spans="2:13" x14ac:dyDescent="0.45">
      <c r="B10" s="14"/>
      <c r="D10" s="18" t="s">
        <v>157</v>
      </c>
      <c r="F10" s="17" t="s">
        <v>127</v>
      </c>
      <c r="L10" s="17" t="s">
        <v>142</v>
      </c>
      <c r="M10" s="15"/>
    </row>
    <row r="11" spans="2:13" x14ac:dyDescent="0.45">
      <c r="B11" s="16"/>
      <c r="F11" s="19" t="s">
        <v>154</v>
      </c>
      <c r="L11" s="19" t="s">
        <v>155</v>
      </c>
      <c r="M11" s="41"/>
    </row>
    <row r="12" spans="2:13" x14ac:dyDescent="0.45">
      <c r="B12" s="14"/>
      <c r="F12" s="37" cm="1">
        <f t="array" ref="F12">NumbersOnlyλ("123A456B")</f>
        <v>123456</v>
      </c>
      <c r="L12" s="37" t="str" cm="1">
        <f t="array" ref="L12">TextOnlyλ("123A456B")</f>
        <v>AB</v>
      </c>
      <c r="M12" s="41"/>
    </row>
    <row r="13" spans="2:13" x14ac:dyDescent="0.45"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3"/>
    </row>
    <row r="14" spans="2:13" x14ac:dyDescent="0.45">
      <c r="B14" s="38"/>
      <c r="C14" s="12"/>
      <c r="D14" s="12"/>
      <c r="E14" s="12"/>
      <c r="F14" s="43" t="s">
        <v>127</v>
      </c>
      <c r="G14" s="44"/>
      <c r="H14" s="44"/>
      <c r="I14" s="44"/>
      <c r="J14" s="44"/>
      <c r="K14" s="44"/>
      <c r="L14" s="43" t="s">
        <v>142</v>
      </c>
      <c r="M14" s="13"/>
    </row>
    <row r="15" spans="2:13" x14ac:dyDescent="0.45">
      <c r="B15" s="14"/>
      <c r="C15" s="18" t="s">
        <v>134</v>
      </c>
      <c r="F15" s="42" t="s">
        <v>139</v>
      </c>
      <c r="G15" s="40"/>
      <c r="H15" s="40"/>
      <c r="I15" s="40"/>
      <c r="J15" s="40"/>
      <c r="K15" s="40"/>
      <c r="L15" s="42" t="s">
        <v>143</v>
      </c>
      <c r="M15" s="15"/>
    </row>
    <row r="16" spans="2:13" x14ac:dyDescent="0.45">
      <c r="B16" s="14"/>
      <c r="C16" s="48" t="s">
        <v>135</v>
      </c>
      <c r="F16" s="37" cm="1">
        <f t="array" ref="F16:F20">NumbersOnlyλ(MixedInput)</f>
        <v>5432</v>
      </c>
      <c r="G16" s="32"/>
      <c r="L16" s="37" t="str" cm="1">
        <f t="array" ref="L16:L20">TextOnlyλ(MixedInput)</f>
        <v>RQT</v>
      </c>
      <c r="M16" s="15"/>
    </row>
    <row r="17" spans="2:13" x14ac:dyDescent="0.45">
      <c r="B17" s="14"/>
      <c r="C17" s="48" t="s">
        <v>136</v>
      </c>
      <c r="F17" s="37">
        <v>2959</v>
      </c>
      <c r="G17" s="32"/>
      <c r="L17" s="37" t="str">
        <v>RQT</v>
      </c>
      <c r="M17" s="15"/>
    </row>
    <row r="18" spans="2:13" x14ac:dyDescent="0.45">
      <c r="B18" s="14"/>
      <c r="C18" s="48" t="s">
        <v>137</v>
      </c>
      <c r="F18" s="37">
        <v>5783</v>
      </c>
      <c r="G18" s="32"/>
      <c r="L18" s="37" t="str">
        <v>SLC</v>
      </c>
      <c r="M18" s="15"/>
    </row>
    <row r="19" spans="2:13" x14ac:dyDescent="0.45">
      <c r="B19" s="14"/>
      <c r="C19" s="48" t="s">
        <v>138</v>
      </c>
      <c r="F19" s="37">
        <v>5785</v>
      </c>
      <c r="G19" s="32"/>
      <c r="L19" s="37" t="str">
        <v>SLC</v>
      </c>
      <c r="M19" s="15"/>
    </row>
    <row r="20" spans="2:13" x14ac:dyDescent="0.45">
      <c r="B20" s="14"/>
      <c r="C20" s="48" t="s">
        <v>140</v>
      </c>
      <c r="F20" s="37">
        <v>1040</v>
      </c>
      <c r="G20" s="32"/>
      <c r="L20" s="37" t="str">
        <v>WCA</v>
      </c>
      <c r="M20" s="15"/>
    </row>
    <row r="21" spans="2:13" x14ac:dyDescent="0.45">
      <c r="B21" s="21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3"/>
    </row>
    <row r="22" spans="2:13" x14ac:dyDescent="0.45">
      <c r="B22" s="14"/>
      <c r="M22" s="15"/>
    </row>
    <row r="23" spans="2:13" x14ac:dyDescent="0.45">
      <c r="B23" s="14"/>
      <c r="C23" s="18" t="s">
        <v>144</v>
      </c>
      <c r="F23" s="17" t="s">
        <v>152</v>
      </c>
      <c r="L23" s="17" t="s">
        <v>153</v>
      </c>
      <c r="M23" s="15"/>
    </row>
    <row r="24" spans="2:13" x14ac:dyDescent="0.45">
      <c r="B24" s="50" t="s">
        <v>147</v>
      </c>
      <c r="C24" s="51" t="s">
        <v>145</v>
      </c>
      <c r="D24" s="52" t="s">
        <v>146</v>
      </c>
      <c r="E24" s="20"/>
      <c r="F24" s="19" t="s">
        <v>151</v>
      </c>
      <c r="L24" s="19" t="s">
        <v>141</v>
      </c>
      <c r="M24" s="15"/>
    </row>
    <row r="25" spans="2:13" x14ac:dyDescent="0.45">
      <c r="B25" s="50" t="s">
        <v>148</v>
      </c>
      <c r="C25" s="51" t="s">
        <v>149</v>
      </c>
      <c r="D25" s="52" t="s">
        <v>150</v>
      </c>
      <c r="E25" s="20"/>
      <c r="F25" s="37" cm="1">
        <f t="array" ref="F25:F30">NumbersOnlyλ(Mixed2D)</f>
        <v>11</v>
      </c>
      <c r="L25" s="37" t="str" cm="1">
        <f t="array" ref="L25:L30">TextOnlyλ(Mixed2D)</f>
        <v>RC</v>
      </c>
      <c r="M25" s="15"/>
    </row>
    <row r="26" spans="2:13" x14ac:dyDescent="0.45">
      <c r="B26" s="14"/>
      <c r="F26" s="37">
        <v>40</v>
      </c>
      <c r="L26" s="37" t="str">
        <v>WC</v>
      </c>
      <c r="M26" s="15"/>
    </row>
    <row r="27" spans="2:13" x14ac:dyDescent="0.45">
      <c r="B27" s="14"/>
      <c r="F27" s="37">
        <v>22</v>
      </c>
      <c r="L27" s="37" t="str">
        <v>RD</v>
      </c>
      <c r="M27" s="15"/>
    </row>
    <row r="28" spans="2:13" x14ac:dyDescent="0.45">
      <c r="B28" s="14"/>
      <c r="F28" s="37">
        <v>9000</v>
      </c>
      <c r="L28" s="37" t="str">
        <v xml:space="preserve">HAL </v>
      </c>
      <c r="M28" s="15"/>
    </row>
    <row r="29" spans="2:13" x14ac:dyDescent="0.45">
      <c r="B29" s="14"/>
      <c r="F29" s="37">
        <v>365</v>
      </c>
      <c r="L29" s="37" t="str">
        <v xml:space="preserve">Excel </v>
      </c>
      <c r="M29" s="15"/>
    </row>
    <row r="30" spans="2:13" x14ac:dyDescent="0.45">
      <c r="B30" s="14"/>
      <c r="F30" t="str">
        <v/>
      </c>
      <c r="L30" s="37" t="str">
        <v>ALL Text</v>
      </c>
      <c r="M30" s="15"/>
    </row>
    <row r="31" spans="2:13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8AF4-0520-4447-9C6E-F221F8B70AB1}">
  <sheetPr>
    <tabColor rgb="FFA9B7C8"/>
  </sheetPr>
  <dimension ref="B2:O36"/>
  <sheetViews>
    <sheetView workbookViewId="0"/>
  </sheetViews>
  <sheetFormatPr defaultRowHeight="16.5" x14ac:dyDescent="0.45"/>
  <cols>
    <col min="1" max="1" width="5" customWidth="1"/>
    <col min="3" max="3" width="48.83203125" customWidth="1"/>
    <col min="5" max="5" width="14.5" customWidth="1"/>
    <col min="7" max="7" width="4" bestFit="1" customWidth="1"/>
    <col min="15" max="15" width="4.4140625" customWidth="1"/>
  </cols>
  <sheetData>
    <row r="2" spans="2:15" x14ac:dyDescent="0.45">
      <c r="B2" s="24" t="s">
        <v>158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55" t="s">
        <v>159</v>
      </c>
      <c r="O3" s="15"/>
    </row>
    <row r="4" spans="2:15" x14ac:dyDescent="0.45">
      <c r="B4" s="14" t="s">
        <v>160</v>
      </c>
      <c r="O4" s="15"/>
    </row>
    <row r="5" spans="2:15" x14ac:dyDescent="0.45">
      <c r="B5" s="14" t="s">
        <v>161</v>
      </c>
      <c r="O5" s="15"/>
    </row>
    <row r="6" spans="2:15" x14ac:dyDescent="0.45">
      <c r="B6" s="16" t="s">
        <v>25</v>
      </c>
      <c r="O6" s="15"/>
    </row>
    <row r="7" spans="2:15" x14ac:dyDescent="0.45">
      <c r="B7" s="14" t="s">
        <v>162</v>
      </c>
      <c r="O7" s="15"/>
    </row>
    <row r="8" spans="2:15" x14ac:dyDescent="0.45">
      <c r="B8" s="14" t="s">
        <v>187</v>
      </c>
      <c r="O8" s="15"/>
    </row>
    <row r="9" spans="2:15" x14ac:dyDescent="0.45">
      <c r="B9" s="14"/>
      <c r="C9" s="18" t="s">
        <v>186</v>
      </c>
      <c r="O9" s="15"/>
    </row>
    <row r="10" spans="2:15" x14ac:dyDescent="0.45">
      <c r="B10" s="2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</row>
    <row r="11" spans="2:15" ht="9.5" customHeight="1" x14ac:dyDescent="0.45">
      <c r="B11" s="38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/>
    </row>
    <row r="12" spans="2:15" x14ac:dyDescent="0.45">
      <c r="B12" s="14"/>
      <c r="E12" s="17" t="s">
        <v>173</v>
      </c>
      <c r="O12" s="15"/>
    </row>
    <row r="13" spans="2:15" x14ac:dyDescent="0.45">
      <c r="B13" s="14"/>
      <c r="C13" s="18" t="s">
        <v>171</v>
      </c>
      <c r="E13" s="19" t="s">
        <v>172</v>
      </c>
      <c r="O13" s="15"/>
    </row>
    <row r="14" spans="2:15" x14ac:dyDescent="0.45">
      <c r="B14" s="14"/>
      <c r="C14" s="48" t="s">
        <v>163</v>
      </c>
      <c r="D14" s="20"/>
      <c r="E14" s="34" t="str" cm="1">
        <f t="array" ref="E14:H21">Splitλ(Addresses,"|")</f>
        <v>123 Maple St</v>
      </c>
      <c r="F14" s="35" t="str">
        <v>Springfield</v>
      </c>
      <c r="G14" s="35" t="str">
        <v>IL</v>
      </c>
      <c r="H14" s="36" t="str">
        <v>62704</v>
      </c>
      <c r="O14" s="15"/>
    </row>
    <row r="15" spans="2:15" x14ac:dyDescent="0.45">
      <c r="B15" s="14"/>
      <c r="C15" s="48" t="s">
        <v>164</v>
      </c>
      <c r="D15" s="20"/>
      <c r="E15" s="34" t="str">
        <v>456 Oak Ave</v>
      </c>
      <c r="F15" s="35" t="str">
        <v>Madison</v>
      </c>
      <c r="G15" s="35" t="str">
        <v>WI</v>
      </c>
      <c r="H15" s="36" t="str">
        <v>53703</v>
      </c>
      <c r="O15" s="15"/>
    </row>
    <row r="16" spans="2:15" x14ac:dyDescent="0.45">
      <c r="B16" s="14"/>
      <c r="C16" s="48" t="s">
        <v>165</v>
      </c>
      <c r="D16" s="20"/>
      <c r="E16" s="34" t="str">
        <v>789 Pine Rd</v>
      </c>
      <c r="F16" s="35" t="str">
        <v>Columbus</v>
      </c>
      <c r="G16" s="35" t="str">
        <v>OH</v>
      </c>
      <c r="H16" s="36" t="str">
        <v>43215</v>
      </c>
      <c r="O16" s="15"/>
    </row>
    <row r="17" spans="2:15" x14ac:dyDescent="0.45">
      <c r="B17" s="14"/>
      <c r="C17" s="48" t="s">
        <v>166</v>
      </c>
      <c r="D17" s="20"/>
      <c r="E17" s="34" t="str">
        <v>101 Elm St</v>
      </c>
      <c r="F17" s="35" t="str">
        <v>Denver</v>
      </c>
      <c r="G17" s="35" t="str">
        <v>CO</v>
      </c>
      <c r="H17" s="36" t="str">
        <v>80203</v>
      </c>
      <c r="O17" s="15"/>
    </row>
    <row r="18" spans="2:15" x14ac:dyDescent="0.45">
      <c r="B18" s="14"/>
      <c r="C18" s="48" t="s">
        <v>167</v>
      </c>
      <c r="D18" s="20"/>
      <c r="E18" s="34" t="str">
        <v>202 Birch Blvd</v>
      </c>
      <c r="F18" s="35" t="str">
        <v>Austin</v>
      </c>
      <c r="G18" s="35" t="str">
        <v>TX</v>
      </c>
      <c r="H18" s="36" t="str">
        <v>78701</v>
      </c>
      <c r="O18" s="15"/>
    </row>
    <row r="19" spans="2:15" x14ac:dyDescent="0.45">
      <c r="B19" s="14"/>
      <c r="C19" s="48" t="s">
        <v>168</v>
      </c>
      <c r="D19" s="20"/>
      <c r="E19" s="34" t="str">
        <v>303 Cedar Ln</v>
      </c>
      <c r="F19" s="35" t="str">
        <v>Seattle</v>
      </c>
      <c r="G19" s="35" t="str">
        <v>WA</v>
      </c>
      <c r="H19" s="36" t="str">
        <v>98101</v>
      </c>
      <c r="O19" s="15"/>
    </row>
    <row r="20" spans="2:15" x14ac:dyDescent="0.45">
      <c r="B20" s="14"/>
      <c r="C20" s="48" t="s">
        <v>169</v>
      </c>
      <c r="D20" s="20"/>
      <c r="E20" s="34" t="str">
        <v>404 Spruce Dr</v>
      </c>
      <c r="F20" s="35" t="str">
        <v>Boston</v>
      </c>
      <c r="G20" s="35" t="str">
        <v>MA</v>
      </c>
      <c r="H20" s="36" t="str">
        <v>02108</v>
      </c>
      <c r="O20" s="15"/>
    </row>
    <row r="21" spans="2:15" x14ac:dyDescent="0.45">
      <c r="B21" s="14"/>
      <c r="C21" s="48" t="s">
        <v>170</v>
      </c>
      <c r="D21" s="20"/>
      <c r="E21" s="34" t="str">
        <v>505 Walnut Ct</v>
      </c>
      <c r="F21" s="35" t="str">
        <v>Portland</v>
      </c>
      <c r="G21" s="35" t="str">
        <v>OR</v>
      </c>
      <c r="H21" s="36" t="str">
        <v>97205</v>
      </c>
      <c r="O21" s="15"/>
    </row>
    <row r="22" spans="2:15" x14ac:dyDescent="0.45">
      <c r="B22" s="21"/>
      <c r="C22" s="45"/>
      <c r="D22" s="45"/>
      <c r="E22" s="45"/>
      <c r="F22" s="45"/>
      <c r="G22" s="45"/>
      <c r="H22" s="45"/>
      <c r="I22" s="22"/>
      <c r="J22" s="22"/>
      <c r="K22" s="22"/>
      <c r="L22" s="22"/>
      <c r="M22" s="22"/>
      <c r="N22" s="22"/>
      <c r="O22" s="23"/>
    </row>
    <row r="23" spans="2:15" x14ac:dyDescent="0.45">
      <c r="B23" s="14"/>
      <c r="E23" s="17" t="s">
        <v>185</v>
      </c>
      <c r="O23" s="15"/>
    </row>
    <row r="24" spans="2:15" x14ac:dyDescent="0.45">
      <c r="B24" s="14"/>
      <c r="C24" s="33" t="s">
        <v>174</v>
      </c>
      <c r="E24" s="19" t="s">
        <v>184</v>
      </c>
      <c r="O24" s="15"/>
    </row>
    <row r="25" spans="2:15" x14ac:dyDescent="0.45">
      <c r="B25" s="14"/>
      <c r="C25" s="48" t="s">
        <v>175</v>
      </c>
      <c r="E25" s="10" t="str" cm="1">
        <f t="array" ref="E25:N35">Splitλ(Stats,",","-",TRUE)</f>
        <v>Player</v>
      </c>
      <c r="F25" s="10" t="str">
        <v>FG</v>
      </c>
      <c r="G25" s="10" t="str">
        <v>FGA</v>
      </c>
      <c r="H25" s="10" t="str">
        <v>FG%</v>
      </c>
      <c r="I25" s="10" t="str">
        <v>3P</v>
      </c>
      <c r="J25" s="10" t="str">
        <v>3PA</v>
      </c>
      <c r="K25" s="10" t="str">
        <v>3P%</v>
      </c>
      <c r="L25" s="10" t="str">
        <v>REB</v>
      </c>
      <c r="M25" s="10" t="str">
        <v>AST</v>
      </c>
      <c r="N25" s="10" t="str">
        <v>PTS</v>
      </c>
      <c r="O25" s="15"/>
    </row>
    <row r="26" spans="2:15" x14ac:dyDescent="0.45">
      <c r="B26" s="14"/>
      <c r="C26" s="48" t="s">
        <v>176</v>
      </c>
      <c r="E26" s="37" t="str">
        <v>LeBron James</v>
      </c>
      <c r="F26" s="10" t="str">
        <v xml:space="preserve"> 10</v>
      </c>
      <c r="G26" s="10" t="str">
        <v xml:space="preserve"> 20</v>
      </c>
      <c r="H26" s="10" t="str">
        <v xml:space="preserve"> 50%</v>
      </c>
      <c r="I26" s="10" t="str">
        <v xml:space="preserve"> 3</v>
      </c>
      <c r="J26" s="10" t="str">
        <v xml:space="preserve"> 7</v>
      </c>
      <c r="K26" s="10" t="str">
        <v xml:space="preserve"> 42.9%</v>
      </c>
      <c r="L26" s="10" t="str">
        <v xml:space="preserve"> 8</v>
      </c>
      <c r="M26" s="10" t="str">
        <v xml:space="preserve"> 7</v>
      </c>
      <c r="N26" s="10" t="str">
        <v xml:space="preserve"> 28</v>
      </c>
      <c r="O26" s="15"/>
    </row>
    <row r="27" spans="2:15" x14ac:dyDescent="0.45">
      <c r="B27" s="14"/>
      <c r="C27" s="48" t="s">
        <v>177</v>
      </c>
      <c r="E27" s="37" t="str">
        <v>Stephen Curry</v>
      </c>
      <c r="F27" s="10" t="str">
        <v xml:space="preserve"> 12</v>
      </c>
      <c r="G27" s="10" t="str">
        <v xml:space="preserve"> 25</v>
      </c>
      <c r="H27" s="10" t="str">
        <v xml:space="preserve"> 48%</v>
      </c>
      <c r="I27" s="10" t="str">
        <v xml:space="preserve"> 5</v>
      </c>
      <c r="J27" s="10" t="str">
        <v xml:space="preserve"> 11</v>
      </c>
      <c r="K27" s="10" t="str">
        <v xml:space="preserve"> 45.5%</v>
      </c>
      <c r="L27" s="10" t="str">
        <v xml:space="preserve"> 5</v>
      </c>
      <c r="M27" s="10" t="str">
        <v xml:space="preserve"> 6</v>
      </c>
      <c r="N27" s="10" t="str">
        <v xml:space="preserve"> 30</v>
      </c>
      <c r="O27" s="15"/>
    </row>
    <row r="28" spans="2:15" x14ac:dyDescent="0.45">
      <c r="B28" s="14"/>
      <c r="C28" s="48" t="s">
        <v>182</v>
      </c>
      <c r="E28" s="37" t="str">
        <v>Sleepy Floyd</v>
      </c>
      <c r="F28" s="10" t="str">
        <v xml:space="preserve"> </v>
      </c>
      <c r="G28" s="10" t="str">
        <v xml:space="preserve"> </v>
      </c>
      <c r="H28" s="10" t="str">
        <v xml:space="preserve"> </v>
      </c>
      <c r="I28" s="10" t="str">
        <v xml:space="preserve"> </v>
      </c>
      <c r="J28" s="10" t="str">
        <v xml:space="preserve"> </v>
      </c>
      <c r="K28" s="10" t="str">
        <v xml:space="preserve"> </v>
      </c>
      <c r="L28" s="10" t="str">
        <v xml:space="preserve"> 4</v>
      </c>
      <c r="M28" s="10" t="str">
        <v xml:space="preserve"> 3</v>
      </c>
      <c r="N28" s="10" t="str">
        <v xml:space="preserve"> 15</v>
      </c>
      <c r="O28" s="15"/>
    </row>
    <row r="29" spans="2:15" x14ac:dyDescent="0.45">
      <c r="B29" s="14"/>
      <c r="C29" s="48" t="s">
        <v>183</v>
      </c>
      <c r="E29" s="37" t="str">
        <v>Vernon Maxwell</v>
      </c>
      <c r="F29" s="10" t="str">
        <v>-</v>
      </c>
      <c r="G29" s="10" t="str">
        <v>-</v>
      </c>
      <c r="H29" s="10" t="str">
        <v>-</v>
      </c>
      <c r="I29" s="10" t="str">
        <v>-</v>
      </c>
      <c r="J29" s="10" t="str">
        <v>-</v>
      </c>
      <c r="K29" s="10" t="str">
        <v>-</v>
      </c>
      <c r="L29" s="10" t="str">
        <v>-</v>
      </c>
      <c r="M29" s="10" t="str">
        <v>-</v>
      </c>
      <c r="N29" s="10" t="str">
        <v>-</v>
      </c>
      <c r="O29" s="15"/>
    </row>
    <row r="30" spans="2:15" x14ac:dyDescent="0.45">
      <c r="B30" s="14"/>
      <c r="C30" s="48" t="s">
        <v>178</v>
      </c>
      <c r="E30" s="37" t="str">
        <v>James Harden</v>
      </c>
      <c r="F30" s="10" t="str">
        <v xml:space="preserve"> 8</v>
      </c>
      <c r="G30" s="10" t="str">
        <v xml:space="preserve"> 19</v>
      </c>
      <c r="H30" s="10" t="str">
        <v xml:space="preserve"> 42.1%</v>
      </c>
      <c r="I30" s="10" t="str">
        <v xml:space="preserve"> 6</v>
      </c>
      <c r="J30" s="10" t="str">
        <v xml:space="preserve"> 14</v>
      </c>
      <c r="K30" s="10" t="str">
        <v xml:space="preserve"> 42.9%</v>
      </c>
      <c r="L30" s="10" t="str">
        <v xml:space="preserve"> 6</v>
      </c>
      <c r="M30" s="10" t="str">
        <v xml:space="preserve"> 8</v>
      </c>
      <c r="N30" s="10" t="str">
        <v xml:space="preserve"> 26</v>
      </c>
      <c r="O30" s="15"/>
    </row>
    <row r="31" spans="2:15" x14ac:dyDescent="0.45">
      <c r="B31" s="14"/>
      <c r="C31" s="48" t="s">
        <v>179</v>
      </c>
      <c r="E31" s="37" t="str">
        <v>Kawhi Leonard</v>
      </c>
      <c r="F31" s="10" t="str">
        <v xml:space="preserve"> 7</v>
      </c>
      <c r="G31" s="10" t="str">
        <v xml:space="preserve"> 16</v>
      </c>
      <c r="H31" s="10" t="str">
        <v xml:space="preserve"> 43.8%</v>
      </c>
      <c r="I31" s="10" t="str">
        <v xml:space="preserve"> 2</v>
      </c>
      <c r="J31" s="10" t="str">
        <v xml:space="preserve"> 6</v>
      </c>
      <c r="K31" s="10" t="str">
        <v xml:space="preserve"> 33.3%</v>
      </c>
      <c r="L31" s="10" t="str">
        <v xml:space="preserve"> 6</v>
      </c>
      <c r="M31" s="10" t="str">
        <v xml:space="preserve"> 4</v>
      </c>
      <c r="N31" s="10" t="str">
        <v xml:space="preserve"> 24</v>
      </c>
      <c r="O31" s="15"/>
    </row>
    <row r="32" spans="2:15" x14ac:dyDescent="0.45">
      <c r="B32" s="14"/>
      <c r="C32" s="48" t="s">
        <v>180</v>
      </c>
      <c r="E32" s="37" t="str">
        <v>Luka Doncic</v>
      </c>
      <c r="F32" s="10" t="str">
        <v xml:space="preserve"> 9</v>
      </c>
      <c r="G32" s="10" t="str">
        <v xml:space="preserve"> 21</v>
      </c>
      <c r="H32" s="10" t="str">
        <v xml:space="preserve"> 42.9%</v>
      </c>
      <c r="I32" s="10" t="str">
        <v xml:space="preserve"> 3</v>
      </c>
      <c r="J32" s="10" t="str">
        <v xml:space="preserve"> 8</v>
      </c>
      <c r="K32" s="10" t="str">
        <v xml:space="preserve"> 37.5%</v>
      </c>
      <c r="L32" s="10" t="str">
        <v xml:space="preserve"> 8</v>
      </c>
      <c r="M32" s="10" t="str">
        <v xml:space="preserve"> 9</v>
      </c>
      <c r="N32" s="10" t="str">
        <v xml:space="preserve"> 28</v>
      </c>
      <c r="O32" s="15"/>
    </row>
    <row r="33" spans="2:15" x14ac:dyDescent="0.45">
      <c r="B33" s="14"/>
      <c r="C33" s="48" t="s">
        <v>181</v>
      </c>
      <c r="E33" s="37" t="str">
        <v>Oscar Robertson</v>
      </c>
      <c r="F33" s="10" t="str">
        <v xml:space="preserve"> </v>
      </c>
      <c r="G33" s="10" t="str">
        <v xml:space="preserve"> </v>
      </c>
      <c r="H33" s="10" t="str">
        <v xml:space="preserve"> </v>
      </c>
      <c r="I33" s="10" t="str">
        <v xml:space="preserve"> </v>
      </c>
      <c r="J33" s="10" t="str">
        <v xml:space="preserve"> </v>
      </c>
      <c r="K33" s="10" t="str">
        <v xml:space="preserve"> </v>
      </c>
      <c r="L33" s="10" t="str">
        <v xml:space="preserve"> 11</v>
      </c>
      <c r="M33" s="10" t="str">
        <v xml:space="preserve"> 12</v>
      </c>
      <c r="N33" s="10" t="str">
        <v xml:space="preserve"> 30</v>
      </c>
      <c r="O33" s="15"/>
    </row>
    <row r="34" spans="2:15" x14ac:dyDescent="0.45">
      <c r="B34" s="14"/>
      <c r="C34" s="48" t="s">
        <v>189</v>
      </c>
      <c r="E34" s="37" t="str">
        <v>Flip Murray</v>
      </c>
      <c r="F34" s="10" t="str">
        <v xml:space="preserve"> 8</v>
      </c>
      <c r="G34" s="10" t="str">
        <v xml:space="preserve"> 20</v>
      </c>
      <c r="H34" s="10" t="str">
        <v xml:space="preserve"> 40%</v>
      </c>
      <c r="I34" s="10" t="str">
        <v xml:space="preserve"> 4</v>
      </c>
      <c r="J34" s="10" t="str">
        <v xml:space="preserve"> 10</v>
      </c>
      <c r="K34" s="10" t="str">
        <v xml:space="preserve"> 40%</v>
      </c>
      <c r="L34" s="10" t="str">
        <v xml:space="preserve"> 4</v>
      </c>
      <c r="M34" s="10" t="str">
        <v xml:space="preserve"> 7</v>
      </c>
      <c r="N34" s="10" t="str">
        <v xml:space="preserve"> 25</v>
      </c>
      <c r="O34" s="15"/>
    </row>
    <row r="35" spans="2:15" x14ac:dyDescent="0.45">
      <c r="B35" s="14"/>
      <c r="C35" s="48" t="s">
        <v>188</v>
      </c>
      <c r="E35" s="37" t="str">
        <v>Benoit Benjamin</v>
      </c>
      <c r="F35" s="10" t="str">
        <v xml:space="preserve"> 9</v>
      </c>
      <c r="G35" s="10" t="str">
        <v xml:space="preserve"> 18</v>
      </c>
      <c r="H35" s="10" t="str">
        <v xml:space="preserve"> 50%</v>
      </c>
      <c r="I35" s="10" t="str">
        <v xml:space="preserve"> 2</v>
      </c>
      <c r="J35" s="10" t="str">
        <v xml:space="preserve"> 5</v>
      </c>
      <c r="K35" s="10" t="str">
        <v xml:space="preserve"> 40%</v>
      </c>
      <c r="L35" s="10" t="str">
        <v xml:space="preserve"> 12</v>
      </c>
      <c r="M35" s="10" t="str">
        <v xml:space="preserve"> 7</v>
      </c>
      <c r="N35" s="10" t="str">
        <v xml:space="preserve"> 26</v>
      </c>
      <c r="O35" s="15"/>
    </row>
    <row r="36" spans="2:15" x14ac:dyDescent="0.45">
      <c r="B36" s="21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TQBHAHIAaQBkALsDLAAgAFMAdAByAGUAYQBrALsDXABuAFwAbgBEAGUAcwBjAHIAaQBwAHQAaQBvAG4AOgBcAG4AIAAgACAAIABPAGIAdABhAGkAbgAgAHQAaABlACAAaQBuAHMAdABhAG4AYwBlACAAbgB1AG0AYgBlAHIAcwAgAGYAbwByACAAdQBuAHMAbwByAHQAZQBkACAAdgBhAGwAdQBlAHMAIABpAG4AIABhACAAMQBEACAAYQByAHIAYQB5ACAAdwBpAHQAaAAgAG8AcAB0AGkAbwBuAHMAXABuACAAIAAgACAAZgBvAHIAIAByAGUAdAB1AHIAbgBpAG4AZwAgAGkAbgBzAHQAYQBuAGMAZQBzACAAZgBvAHIAIABoAG8AcgBpAHoAbwBuAHQAYQBsACAAdgBlAGMAdABvAHIAcwAsACAAYQBuAGQAIABkAGkAcwBwAGwAYQB5AGkAbgBnACAAaQBuAHMAdABhAG4AYwBlAHMAIABpAG4AXABuACAAIAAgACAAZABlAHMAYwBlAG4AZABpAG4AZwAgAG8AcgBkAGUAcgAuAFwAbgAgACAAIAAgAFwAbgBcAG4AUABhAHIAYQBtAGUAdABlAHIAcwA6AFwAbgAgACAAIAAgAHYAZQBjAHQAbwByACAAIAAgACAAIAAgACAAIAAgACAALQAgACAAIAAxAEQAIABhAHIAcgBhAHkAIABpAG4AcAB1AHQAIAAoADIARAAgAGEAcgByAGEAeQBzACAAYQByAGUAIABmAGwAYQB0AHQAZQBuAGUAZAApAFwAbgAgACAAIAAgAFsASABvAHIAaQB6AG8AbgB0AGEAbAA/AF0AIAAgACAALQAgACAAIABJAGYAIABUAFIAVQBFACwAIABvAGIAdABhAGkAbgAgAGkAbgBzAHQAYQBuAGMAZQAgAG4AdQBtAGIAZQByAHMAIABmAG8AcgAgAGgAbwByAGkAegBvAG4AdABhAGwAIAB2AGUAYwB0AG8AcgBzAFwAbgAgACAAIAAgAFsARABlAHMAYwBlAG4AZAA/AF0AIAAgACAAIAAgACAALQAgACAAIABJAGYAIABUAFIAVQBFACwAIABkAGkAcwBwAGwAYQB5ACAAaQBuAHMAdABhAG4AYwBlAHMAIABpAG4AIABkAGUAcwBjAGUAbgBkAGkAbgBnACAAbwByAGQAZQByAFwAbgAgACAAIAAgAFwAbgAtAC0ALQAtAC0ALQAtAC0ALQAtAC0ALQAtAC0ALQAtAC0ALQAtAC0ALQAtAC0ALQAtAC0ALQAtAC0ALQAtAC0ALQAtAC0ALQAtAC0ALQAtAC0ALQAtAC0ALQAtAC0ALQAtAC0ALQAtAC0ALQAtAC0ALQAtAC0ALQAtAC0ALQAtAC0ALQAtAC0ALQAtAC0ALQAtAC0ALQAtAC0ALQAqAC8AXABuAFwAbgBJAG4AcwB0AGEAbgBjAGUAuwM9AFwAbgBMAEEATQBCAEQAQQAoAFwAbgAgACAAIAAgAHYAZQBjAHQAbwByACwAXABuACAAIAAgACAAWwBIAG8AcgBpAHoAbwBuAHQAYQBsAD8AXQAsAFwAbgAgACAAIAAgAFsARABlAHMAYwBlAG4AZAA/AF0ALABcAG4ATABFAFQAKABcAG4AIAAgACAAIAAvAC8AIABGAGwAYQB0AHQAZQBuACAAaQBuAHAAdQB0AFwAbgAgACAAIAAgAHYAZQBjAHQAbwByACwAIAAgACAAIAAgACAAVABPAEMATwBMACgAdgBlAGMAdABvAHIAKQAsAFwAbgBcAG4AIAAgACAAIAAvAC8AIABTAGgAYQBwAGUAIABvAGYAIAAxAEQAIAB2AGUAYwB0AG8AcgBcAG4AIAAgACAAIABoAGUAaQBnAGgAdAAsACAAIAAgACAAIAAgAFIATwBXAFMAKAB2AGUAYwB0AG8AcgApACwAXABuACAAIAAgACAAdwBpAGQAdABoACwAIAAgACAAIAAgACAAIABDAE8ATABVAE0ATgBTACgAdgBlAGMAdABvAHIAKQAsAFwAbgBcAG4AIAAgACAAIAAvAC8AIABPAHAAdABpAG8AbgBhAGwAIABwAGEAcgBhAG0AZQB0AGUAcgBzAFwAbgAgACAAIAAgAEkAcwBWAGUAcgB0AGkAYwBhAGwAPwAsACAASQBTAE8ATQBJAFQAVABFAEQAKABIAG8AcgBpAHoAbwBuAHQAYQBsAD8AKQAsAFwAbgAgACAAIAAgAEkAcwBEAGUAcwBjAGUAbgBkAD8ALAAgACAAQQBOAEQAKABOAE8AVAAoAEkAUwBPAE0ASQBUAFQARQBEACgARABlAHMAYwBlAG4AZAA/ACkAKQAsACAARABlAHMAYwBlAG4AZAA/ACAAPQAgAFQAUgBVAEU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dgBlAGMAdABvAHIALABcAG4AXABuACAAIAAgACAAIAAgACAAIABJAEYAKABTAHAAaQBsAGwAUgBpAHMAawA/ACwAIwBOAFUATQAhACwAXABuAFwAbgBMAEUAVAAoAFwAbgAgACAAIAAgAC8ALwAgAFQAeQBwAGUAIABvAGYAIABpAG4AZABlAHgAXABuACAAIAAgACAAaQBkAHgAuwMsACAAIAAgACAAIAAgACAAIABJAEYAKABJAHMARABlAHMAYwBlAG4AZAA/ACwAIABDAG8AdQBuAHQAZABvAHcAbgC7AywAIABTAHQAcgBlAGEAawC7AykALABcAG4AXABuACAAIAAgACAALwAvACAAUwBvAHIAdAAgAGsAZQB5AFwAbgAgACAAIAAgAGkALAAgACAAIAAgACAAIAAgACAAIAAgACAATQBHAHIAaQBkALsDKAB2AGUAYwB0AG8AcgApACwAXABuACAAIAAgACAAXABuACAAIAAgACAALwAvACAAUwBvAHIAdAAgAGEAcwAgADIARAAgAGEAcgByAGEAeQAsACAAbwBiAHQAYQBpAG4AIABzAHQAcgBlAGEAawBcAG4AIAAgACAAIABzAG8AcgB0AGUAZAAsACAAIAAgACAAIAAgAFMATwBSAFQAKABIAFMAVABBAEMASwAoAGkALAB2AGUAYwB0AG8AcgApACwAMgApACwAXABuACAAIAAgACAAaQBkAHgALAAgACAAIAAgACAAIAAgACAAIABpAGQAeAC7AygAVABBAEsARQAoAHMAbwByAHQAZQBkACwALAAtADEAKQApACwAXABuAFwAbgAgACAAIAAgAC8ALwAgAEEAcgByAGEAbgBnAGUAIABuAGUAdwAgAGEAcgByAGEAeQBcAG4AIAAgACAAIABuAGUAdwBfAGEAcgByACwAIAAgACAAIAAgAEgAUwBUAEEAQwBLACgAcwBvAHIAdABlAGQALABpAGQAeAApACwAXABuAFwAbgAgACAAIAAgAC8ALwAgAFMAbwByAHQAIABiAHkAIABrAGUAeQAsACAAbwBiAHQAYQBpAG4AIABpAG4AcwB0AGEAbgBjAGUAIABuAHUAbQBiAGUAcgBcAG4AIAAgACAAIABpAG4AcwB0ACwAIAAgACAAIAAgACAAIAAgAFQAQQBLAEUAKABTAE8AUgBUACgAbgBlAHcAXwBhAHIAcgApACwALAAtADEAKQAsAFwAbgBcAG4AIAAgACAAIAAvAC8AIABSAGUALQBzAGgAYQBwAGUALAAgAGkAZgAgAG4AZQBlAGQAZQBkACAAYQBuAGQAIAByAGUAdAB1AHIAbgBcAG4AIAAgACAAIABmAGkAbgBhAGwALAAgACAAIAAgACAAIAAgAEkARgAoAEkAcwBWAGUAcgB0AGkAYwBhAGwAPwAsAGkAbgBzAHQALABUAE8AUgBPAFcAKABpAG4AcwB0ACkAKQAsAFwAbgAgACAAIAAgAGYAaQBuAGEAbABcAG4AXABuACkAKQApACkAKQA7AFwAbgBcAG4AXABuAFwAbgAvACoAIABbAEcAUgAxADcAXQAgAC0ALQAtAC0ALQAtAC0ALQAtAC0ALQAtAC0ALQAtAC0ALQAtAC0ALQAtAC0ALQAtAC0ALQAtAC0ALQAtAC0ALQAtAC0ALQAtAC0ALQAtAC0ALQAtAC0ALQAtAC0ALQAtAC0ALQAtAC0ALQAtAC0ALQAtAC0ALQAtAC0ALQAtAC0ALQAtAC0ALQAtAC0ALQAtAC0AXABuAEYAdQBuAGMAdABpAG8AbgA6ACAAIAAgACAAIAAgACAAVwBhAHYAZQC7A1wAbgBDAGEAdABlAGcAbwByAHkAOgAgACAAIAAgACAAIAAgAEcAcgBpAGQAIABBAG4AYQBsAHkAdABpAGMAcwAgACgAUwBlAHEAdQBlAG4AYwBpAG4AZwApAFwAbgBBAHUAdABoAG8AcgA6ACAAIAAgACAAIAAgACAAIAAgAFAAYQB0AHIAaQBjAGsAIABIAC4AXABuAFYAZQByAHMAaQBvAG4AOgAgACAAIAAgACAAIAAgACAAMQAuADEAXABuAEQAZQBwAGUAbgBkAGUAbgBjAGkAZQBzADoAIAAgACAARQBjAGgAbwC7A1wAbgBcAG4ARABlAHMAYwByAGkAcAB0AGkAbwBuADoAXABuACAAIAAgACAAUgBlAHQAdQByAG4AcwAgAGEAIAB2AGUAcgB0AGkAYwBhAGwAIAAxAEQAIABcACIAdwBhAHYAZQAgAGEAcgByAGEAeQBcACIAIABiAHkAIABzAHUAcABwAGwAeQBpAG4AZwAgAGEAIABjAHIAZQBzAHQAIAAoAG0AYQB4ACAAdgBhAGwAdQBlACkAIABhAG4AZAAgAGEAbgAgAG8AcAB0AGkAbwBuAGEAbAAgAHIAZQBwAF8AYwBvAHUAbgB0AC4AXABuAFwAbgBQAGEAcgBhAG0AZQB0AGUAcgBzADoAXABuACAAIAAgACAAYwByAGUAcwB0ACAAIAAgACAAIAAgACAAIAAgACAAIAAgAC0AIAAgACAAbQBhAHgAIAB2AGEAbAB1AGUAIABpAG4AIAAxAEQAIAB3AGEAdgBlACAAYQByAHIAYQB5AFwAbgBcAG4ATwBwAHQAaQBvAG4AYQBsACAAcABhAHIAYQBtAGUAdABlAHIAcwA6AFwAbgAgACAAIAAgAFsAcgBlAHAAXwBjAG8AdQBuAHQAXQAgACAAIAAgACAAIAAtACAAIAAgAG4AdQBtAGIAZQByACAAbwBmACAAdABpAG0AZQBzACAAdABvACAAcgBlAHAAZQBhAHQAIABlAGEAYwBoACAAaQBuAHQAZQBnAGUAcgAgAGkAbgAgAHcAYQB2AGUAIABhAHIAcgBhAHkAXABuACAAIAAgACAAIAAgACAAIAAgACAAIAAgACAAIAAgACAAIAAgACAAIAAgACAAIAAgACAASQBmACAAbwBtAGkAdAB0AGUAZAAsACAAZABlAGYAYQB1AGwAdABzACAAdABvACAAbgBvACAAcgBlAHAAZQB0AGkAdABpAG8AbgAuAFwAbgBcAG4ALQAtAC0ALQAtAC0ALQAtAC0ALQAtAC0ALQAtAC0ALQAtAC0ALQAtAC0ALQAtAC0ALQAtAC0ALQAtAC0ALQAtAC0ALQAtAC0ALQAtAC0ALQAtAC0ALQAtAC0ALQAtAC0ALQAtAC0ALQAtAC0ALQAtAC0ALQAtAC0ALQAtAC0ALQAtAC0ALQAtAC0ALQAtAC0ALQAtAC0ALQAtAC0AKgAvAFwAbgBXAGEAdgBlALsDIAA9AFwAbgBMAEEATQBCAEQAQQAoAFwAbgAgACAAIAAgAGMAcgBlAHMAdAAsAFwAbgAgACAAIAAgAFsAcgBlAHAAXwBjAG8AdQBuAHQAXQAsAFwAbgBMAEUAVAAoAFwAbgAgACAAIAAgAC8ALwAgAFcAYQB2AGUAIABtAG8AZABlAFwAbgAgACAAIAAgAFMAdABhAG4AZABhAHIAZAA/ACwAIAAgAEkAUwBPAE0ASQBUAFQARQBEACgAcgBlAHAAXwBjAG8AdQBuAHQAKQAsAFwAbgBcAG4AIAAgACAAIAAvAC8AIABPAHAAdABpAG8AbgBhAGwAIAByAGUAcABlAHQAaQB0AGkAbwBuAFwAbgAgACAAIAAgAHIAZQBwAF8AYwBvAHUAbgB0ACwAIAAgAEkARgAoAFMAdABhAG4AZABhAHIAZAA/ACwAMQAsAEkATgBEAEUAWAAoAHIAZQBwAF8AYwBvAHUAbgB0ACwAMQAsADEAKQApACwAXABuAFwAbgAgACAAIAAgAC8ALwAgAE4AbwByAG0AYQBsAGkAegBlACAAYwByAGUAcwB0AFwAbgAgACAAIAAgAGMAcgBlAHMAdAAsACAAIAAgACAAIAAgAEkATgBEAEUAWAAoAGMAcgBlAHMAdAAsADEALAAxACkALABcAG4AXABuACAAIAAgACAALwAvACAASABhAGwAdABpAG4AZwAgAHMAYwBlAG4AYQByAGkAbwBzAFwAbgAgACAAIAAgAEkAbgB2AGEAbABpAGQATgA/ACwAIAAgAE8AUgAoAEkAUwBUAEUAWABUACgAYwByAGUAcwB0ACkALAAgAGMAcgBlAHMAdAAgADwAIAAwACkALABcAG4AIAAgACAAIABTAHAAaQBsAGwAUgBpAHMAawA/ACwAIAByAGUAcABfAGMAbwB1AG4AdAAgACoAIAAoAGMAcgBlAHMAdAAgACoAIAAyACAALQAgADEAKQAgAD4AIAAxADAANAA4ADUANwA2ACwAXABuAFwAbgAgACAAIAAgAEkARgAoAEkAbgB2AGEAbABpAGQATgA/ACwAIAAjAFYAQQBMAFUARQAhACwAXABuAFwAbgAgACAAIAAgACAAIAAgACAASQBGACgAUwBwAGkAbABsAFIAaQBzAGsAPwAsACAAIwBOAFUATQAhACwAXABuAEwARQBUACgAXABuACAAIAAgACAALwAvACAATABlAG4AZwB0AGgAIABvAGYAIABzAGUAcQB1AGUAbgBjAGUAIAAoAGIAZQBmAG8AcgBlACAAYQBuAHkAIAByAGUAcABlAHQAaQB0AGkAbwBuACAAaQBzACAAYQBkAGQAZQBkACkAXABuACAAIAAgACAAawAsACAAIAAgACAAYwByAGUAcwB0ACAAKgAgADIAIAAtACAAMQAsAFwAbgAgACAAIAAgAHMAZQBxACwAIAAgAFMARQBRAFUARQBOAEMARQAoAGsAKQAsAFwAbgBcAG4AIAAgACAAIAAvAC8AIABNAGEAeAAgAGkAbgB0AGUAZwBlAHIAXABuACAAIAAgACAAbQAsACAAIAAgACAATQBBAFgAKABzAGUAcQApACwAXABuAFwAbgAgACAAIAAgAC8ALwAgAFMAZQBxAHUAZQBuAGMAZQAgAGEAZABqAHUAcwB0AG0AZQBuAHQAXABuACAAIAAgACAAdwAsACAAIAAgACAASQBGACgAcwBlAHEAIAA+ACAAYwByAGUAcwB0ACwAIABtACAALQAgAHMAZQBxACAAKwAgADEALAAgAHMAZQBxACkALABcAG4AXABuACAAIAAgACAALwAvACAARABpAHMAcABsAGEAeQAgAHcAYQB2AGUAIABzAGUAcQB1AGUAbgBjAGUAIAB3AGkAdABoACAAbwBwAHQAaQBvAG4AYQBsACAAZQBjAGgAbwBpAG4AZwBcAG4AIAAgACAAIABmAGkAbgBhAGwALABJAEYAKABTAHQAYQBuAGQAYQByAGQAPwAsAHcALABFAGMAaABvALsDKAB3ACwAcgBlAHAAXwBjAG8AdQBuAHQAKQApACwAXABuACAAIAAgACAAZgBpAG4AYQBsAFwAbgApACkAKQApACkAOwBcAG4AXABuAFwAbgBcAG4ALwAqACAAWwBHAFIAMAAzAF0AIAAtAC0ALQAtAC0ALQAtAC0ALQAtAC0ALQAtAC0ALQAtAC0ALQAtAC0ALQAtAC0ALQAtAC0ALQAtAC0ALQAtAC0ALQAtAC0ALQAtAC0ALQAtAC0ALQAtAC0ALQAtAC0ALQAtAC0ALQAtAC0ALQAtAC0ALQAtAC0ALQAtAC0ALQAtAC0ALQAtAC0ALQAtAC0ALQAtAFwAbgBGAHUAbgBjAHQAaQBvAG4AOgAgACAAIAAgACAAQgB5AEQAaQBhAGc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ABpAGEAZwC7A1wAbgBcAG4ARABlAHMAYwByAGkAcAB0AGkAbwBuADoAXABuACAAIAAgACAAQQBwAHAAbABpAGUAcwAgAGEAbgAgAEUAVABBACAAZgB1AG4AYwB0AGkAbwBuACAAbwByACAATABhAG0AYgBkAGEAIAB0AG8AIABlAGEAYwBoACAAZABpAGEAZwBvAG4AYQBsACAAbwBmACAAYQAgADIARAAgAGEAcgByAGEAeQAuAFwAbgAgACAAIAAgAEQAaQBhAGcAbwBuAGEAbABzACAAYQByAGUAIABlAHgAdAByAGEAYwB0AGUAZAAgAGYAcgBvAG0AIAB0AG8AcAARIGwAZQBmAHQAIAB0AG8AIABiAG8AdAB0AG8AbQARIHIAaQBnAGgAdAAsACAAdwBpAHQAaAAgAGUAYQBjAGgAIABkAGkAYQBnAG8AbgBhAGwAXABuACAAIAAgACAAcgBlAHAAcgBlAHMAZQBuAHQAZQBkACAAYQBzACAAYQAgAHIAbwB3ACAAaQBuACAAdABoAGUAIABvAHUAdABwAHUAdAAuACAATwBwAHQAaQBvAG4AYQBsAGwAeQAsACAAcgBlAHMAdQBsAHQAcwAgAG0AYQB5ACAAYgBlACAAcwB0AGEAYwBrAGUAZABcAG4AIAAgACAAIAByAG8AdwARIHcAaQBzAGUAIAAoAHYAZQByAHQAaQBjAGEAbAApACAAbwByACAAYwBvAGwAdQBtAG4AESB3AGkAcwBlACAAKABoAG8AcgBpAHoAbwBuAHQAYQBsACkALgBcAG4AXABuAFAAYQByAGEAbQBlAHQAZQByAHMAOgBcAG4AIAAgACAAIABhAHIAcgBhAHkAIAAgACAAIAAgACAAIAAgACAAIAAgACAAIAAgACAALQAgADIARAAgAGkAbgBwAHUAdAAgAGEAcgByAGEAeQAgACgAcwBjAGEAbABhAHIAcwAgAG4AbwB0ACAAYQBjAGMAZQBwAHQAZQBkACkALgBcAG4AIAAgACAAIABbAGYAdQBuAGMAdABpAG8AbgBdACAAIAAgACAAIAAgACAAIAAgACAALQAgAEUAVABBACAAZgB1AG4AYwB0AGkAbwBuACAAbwByACAATABhAG0AYgBkAGEAIABhAHAAcABsAGkAZQBkACAAdABvACAAZQBhAGMAaAAgAGQAaQBhAGcAbwBuAGEAbAAuAFwAbgAgACAAIAAgAFsAcgBvAHcAXwB3AGkAcwBlAF8AcwB0AGEAYwBrAD8AXQAgACAAIAAtACAASQBmACAAVABSAFUARQAsACAAcgBlAHMAdQBsAHQAcwAgAGEAcgBlACAAcwB0AGEAYwBrAGUAZAAgAHYAZQByAHQAaQBjAGEAbABsAHkAOwAgAG8AdABoAGUAcgB3AGkAcwBlAFwAbgAgACAAIAAgACAAIAAgACAAIAAgACAAIAAgACAAIAAgACAAIAAgACAAIAAgACAAIAAgACAAIABkAGkAYQBnAG8AbgBhAGwAcwAgAGEAcgBlACAAcgBlAHQAdQByAG4AZQBkACAAYQBzACAAYwBvAGwAdQBtAG4AcwAuAFwAbgBcAG4ATgBvAHQAZQBzADoAXABuACAAIAAgACAAIiAgAFMAYwBhAGwAYQByAHMAIABhAG4AZAAgADEARAAgAGEAcgByAGEAeQBzACAAYQByAGUAIAByAGUAagBlAGMAdABlAGQAIABiAHkAIABWAGEAbABpAGQAYQB0AGUARABpAGEAZwC7Ay4AXABuACAAIAAgACAAIiAgAEkAZgAgAGYAdQBuAGMAdABpAG8AbgAgAGkAcwAgAG8AbQBpAHQAdABlAGQALAAgAHIAYQB3ACAAZABpAGEAZwBvAG4AYQBsAHMAIABhAHIAZQAgAHIAZQB0AHUAcgBuAGUAZAAuAFwAbgAgACAAIAAgACIgIABPAHUAdABwAHUAdAAgAHMAaABhAHAAZQAgAGkAcwAgAGsAIADXACAAagAgAHcAaABlAHIAZQAgAGsAIAA9ACAATQBJAE4AKAByAG8AdwBzACwAIABjAG8AbAB1AG0AbgBzACkALgBcAG4ALQAtAC0ALQAtAC0ALQAtAC0ALQAtAC0ALQAtAC0ALQAtAC0ALQAtAC0ALQAtAC0ALQAtAC0ALQAtAC0ALQAtAC0ALQAtAC0ALQAtAC0ALQAtAC0ALQAtAC0ALQAtAC0ALQAtAC0ALQAtAC0ALQAtAC0ALQAtAC0ALQAtAC0ALQAtAC0ALQAtAC0ALQAtAC0ALQAtAC0ALQAtAC0AKgAvAFwAbgBcAG4AQgB5AEQAaQBhAGcAuwMgAD0AXABuAEwAQQBNAEIARABBACgAXABuACAAIAAgACAAYQByAHIAYQB5ACwAXABuACAAIAAgACAAWwBmAHUAbgBjAHQAaQBvAG4AXQAsAFwAbgAgACAAIAAgAFsAcgBvAHcAXwB3AGkAcwBlAF8AcwB0AGEAYwBrAD8AXQAsAFwAbgBcAG4AVgBhAGwAaQBkAGEAdABlAEQAaQBhAGcAuwMoAGEAcgByAGEAeQAsACAALAAgAGYAdQBuAGMAdABpAG8AbgAsACAAcgBvAHcAXwB3AGkAcwBlAF8AcwB0AGEAYwBrAD8ALABcAG4ATABFAFQAKABcAG4AIAAgACAAIAAvAC8AIABPAHAAdABpAG8AbgBhAGwAIABwAGEAcgBhAG0AZQB0AGUAcgBzAFwAbgAgACAAIAAgAE4AbwBfAEYAdQBuAGMAdABpAG8AbgAsACAAIAAgACAAIAAgACAAIABJAFMATwBNAEkAVABUAEUARAAoAGYAdQBuAGMAdABpAG8AbgApACwAXABuACAAIAAgACAATgBvAF8AUgBvAHcAUwB0AGEAYwBrACwAIAAgACAAIAAgACAAIAAgAEkAUwBPAE0ASQBUAFQARQBEACgAcgBvAHcAXwB3AGkAcwBlAF8AcwB0AGEAYwBrAD8AKQAsAFwAbg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4AdQBtAGIAZQByACAAbwBmACAAZABpAGEAZwBvAG4AYQBsAHMAXABuACAAIAAgACAAawAsACAAIAAgACAAIAAgACAAIAAgACAAIAAgACAAIAAgACAAIAAgAE0ASQBOACgAaAAsACAAdwApACwAXABuAFwAbgAgACAAIAAgAC8ALwAgAEQAZQBmAGUAcgByAGUAZAAgAGkAbgBkAGUAeAAgAGcAZQBuAGUAcgBhAHQAbwByAHMAXABuACAAIAAgACAAcgAsACAAIAAgACAAIAAgACAAIAAgACAAIAAgACAAIAAgACAAIAAgAEwAQQBNAEIARABBACgAUwBFAFEAVQBFAE4AQwBFACgAawApACAAKgAgAFMARQBRAFUARQBOAEMARQAoACwAIAB3ACwAIAAxACwAIAAwACkAKQAsAFwAbgAgACAAIAAgAHkALAAgACAAIAAgACAAIAAgACAAIAAgACAAIAAgACAAIAAgACAAIABMAEEATQBCAEQAQQAoAFMARQBRAFUARQBOAEMARQAoAGsAKQAgACsAIABTAEUAUQBVAEUATgBDAEUAKAAsACAAdwAsACAAMAAsACAAMQApACkALABcAG4AIAAgACAAIABjACwAIAAgACAAIAAgACAAIAAgACAAIAAgACAAIAAgACAAIAAgACAATABBAE0AQgBEAEEAKABJAEYAKAB5ACgAKQAgAD4AIAB3ACwAIABOAEEAKAApACwAIAB5ACgAKQApACkALABcAG4AXABuACAAIAAgACAALwAvACAARQB4AHQAcgBhAGMAdAAgAGQAaQBhAGcAbwBuAGEAbABzAFwAbgAgACAAIAAgAHIAZQBzAHUAbAB0ACwAIAAgACAAIAAgACAAIAAgACAAIAAgACAAIABJAEYATgBBACgASQBOAEQARQBYACgAYQByAHIAYQB5ACwAIAByACgAKQAsACAAYwAoACkAKQAsACAAXAAiAFwAIgApACwAXABuAFwAbgAgACAAIAAgAC8ALwAgAE8AcgBpAGUAbgB0AGEAdABpAG8AbgBcAG4AIAAgACAAIABzAGgAYQBwAGUAZAAsACAAIAAgACAAIAAgACAAIAAgACAAIAAgACAASQBGACgATgBvAF8AUgBvAHcAUwB0AGEAYwBrACwAIAByAGUAcwB1AGwAdAAsACAAVABSAEEATgBTAFAATwBTAEUAKAByAGUAcwB1AGwAdAApACkALABcAG4AXABuACAAIAAgACAALwAvACAAQQBwAHAAbAB5ACAAZgB1AG4AYwB0AGkAbwBuACAAaQBmACAAcAByAG8AdgBpAGQAZQBkAFwAbgAgACAAIAAgAGYAaQBuAGEAbAAsACAAIAAgACAAIAAgACAAIAAgACAAIAAgACAAIABJAEYAKABOAG8AXwBGAHUAbgBjAHQAaQBvAG4ALABzAGgAYQBwAGUAZAAsAFwAbgAgACAAIAAgACAAIAAgACAAIAAgACAAIAAgACAAIAAgACAAIAAgACAAIAAgACAAIAAgACAAIAAgAEkARgAoAE4AbwBfAFIAbwB3AFMAdABhAGMAawAsAEIAWQBDAE8ATAAoAHMAaABhAHAAZQBkACwAIABmAHUAbgBjAHQAaQBvAG4AKQAsAFwAbgAgACAAIAAgACAAIAAgACAAIAAgACAAIAAgACAAIAAgACAAIAAgACAAIAAgACAAIAAgACAAIAAgACAAIAAgACAAIAAgACAAIAAgACAAIAAgACAAIAAgAEIAWQBSAE8AVwAoAHMAaABhAHAAZQBkACwAIABmAHUAbgBjAHQAaQBvAG4AKQApACkALABcAG4AXABuACAAIAAgACAAZgBpAG4AYQBsAFwAbgApACkAKQA7AFwAbgBcAG4AXABuAFwAbgAvACoAIABbAEcAUgAwADQAXQAgAC0ALQAtAC0ALQAtAC0ALQAtAC0ALQAtAC0ALQAtAC0ALQAtAC0ALQAtAC0ALQAtAC0ALQAtAC0ALQAtAC0ALQAtAC0ALQAtAC0ALQAtAC0ALQAtAC0ALQAtAC0ALQAtAC0ALQAtAC0ALQAtAC0ALQAtAC0ALQAtAC0ALQAtAC0ALQAtAC0ALQAtAC0ALQAtAC0AXABuAEYAdQBuAGMAdABpAG8AbgA6ACAAIAAgACAAIABEAGkAYQBnAE0AYQBw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MAbwBuAHYAZQBuAGkAZQBuAGMAZQAgAHcAcgBhAHAAcABlAHIAIABmAG8AcgAgAEIAeQBEAGkAYQBnALsDIAB0AGgAYQB0ACAAZQB4AHQAcgBhAGMAdABzACAAYQBsAGwAIABkAGkAYQBnAG8AbgBhAGwAcwAgAGYAcgBvAG0AIABhACAAMgBEAFwAbgAgACAAIAAgAGEAcgByAGEAeQAgAGEAbgBkACAAcgBlAHQAdQByAG4AcwAgAHQAaABlAG0AIABhAHMAIABhACAAMgBEACAAYQByAHIAYQB5AF8AMgBE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gBhAF0AIAAtAC0ALQAtAC0ALQAtAC0ALQAtAC0ALQAtAC0ALQAtAC0ALQAtAC0ALQAtAC0ALQAtAC0ALQAtAC0ALQAtAC0ALQAtAC0ALQAtAC0ALQAtAC0ALQAtAC0ALQAtAC0ALQAtAC0ALQAtAC0ALQAtAC0ALQAtAC0ALQAtAC0ALQAtAC0ALQAtAC0ALQAtAC0ALQAtAFwAbgBGAHUAbgBjAHQAaQBvAG4AOgAgACAAIAAgACAAIAAgACAAVAByAGkAcABsAGU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AAYQBpAHIAdwBpAHMAZQC7A1wAbgBcAG4ARABlAHMAYwByAGkAcAB0AGkAbwBuADoAXABuACAAIAAgACAARwBlAG4AZQByAGEAdABlAHMAIAB0AGgAZQAgAEMAYQByAHQAZQBzAGkAYQBuACAAcAByAG8AZAB1AGMAdAAgAG8AZgAgADMAIABzAGUAdABzAC4AIABBAGwAbAAgAGkAbgBwAHUAdABzACAAYQByAGUAIABmAGwAYQB0AHQAZQBuAGUAZAAgAGEAbgBkAFwAbgAgACAAIAAgAHQAaABlACAAcgBlAHMAdQBsAHQAaQBuAGcAIAB0AHIAaQBwAGwAZQBzACAAcAByAGUAcwBlAHIAdgBlACAAdABoAGUAIABvAHIAZABlAHIAIABvAGYAIAB0AGgAZQAgAHMAdQBwAHAAbABpAGUAZAAgAHMAZQB0AHMALgBcAG4AXABuACAAIAAgACAAVAByAGkAcABsAGUAdwBpAHMAZQC7AyAAZQB4AHQAZQBuAGQAcwAgAFAAYQBpAHIAdwBpAHMAZQC7AyAAdABvACAAYQAgADMAESBhAHgAaQBzACAAZgBhAGIAcgBpAGMAOgBcAG4AIAAgACAAIAAgACAAIAAgACIgIABzAGUAdABfADEAIADXACAAcwBlAHQAXwAyACAA1wAgAHMAZQB0AF8AMwBcAG4AIAAgACAAIABUAGgAZQAgAG8AdQB0AHAAdQB0ACAAaQBzACAAYQAgAHMAcABpAGwAbAAgAHcAaABlAHIAZQAgAGUAYQBjAGgAIAByAG8AdwAgAHIAZQBwAHIAZQBzAGUAbgB0AHMAIABvAG4AZQAgAG8AcgBkAGUAcgBlAGQAIAB0AHIAaQBwAGwAZQAuAFwAbgBcAG4ARgBvAHIAbQB1AGwAYQA6ACAAPQBUAHIAaQBwAGwAZQB3AGkAcwBlALsDKAB7AFwAIgBkAG8AZwBcACIAOwBcACIAYwBhAHQAXAAiADsAXAAiAGIAaQByAGQAXAAiAH0ALAB7AFwAIgBhAFwAIgA7AFwAIgBiAFwAIgA7AFwAIgBjAFwAIgB9ACwAewAxADsAMgB9ACkAXABuAFwAbgBSAGUAcwB1AGwAdAA6AFwAbgAgACAAIAAgAHsAXAAiAGQAbwBnAFwAIgAsAFwAIgBhAFwAIgAsADEAOwBcAG4AIAAgACAAIAAgAFwAIgBkAG8AZwBcACIALABcACIAYQBcACIALAAyADsAXABuACAAIAAgACAAIABcACIAZABvAGcAXAAiACwAXAAiAGIAXAAiACwAMQA7AFwAbgAgACAAIAAgACAAXAAiAGQAbwBnAFwAIgAsAFwAIgBiAFwAIgAsADIAOwBcAG4AIAAgACAAIAAgAFwAIgBkAG8AZwBcACIALABcACIAYwBcACIALAAxADsAXABuACAAIAAgACAAIABcACIAZABvAGcAXAAiACwAXAAiAGMAXAAiACwAMgA7AFwAbgAgACAAIAAgACAAXAAiAGMAYQB0AFwAIgAsAFwAIgBhAFwAIgAsADEAOwBcAG4AIAAgACAAIAAgAFwAIgBjAGEAdABcACIALABcACIAYQBcACIALAAyADsAXABuACAAIAAgACAAIABcACIAYwBhAHQAXAAiACwAXAAiAGIAXAAiACwAMQA7AFwAbgAgACAAIAAgACAAXAAiAGMAYQB0AFwAIgAsAFwAIgBiAFwAIgAsADIAOwBcAG4AIAAgACAAIAAgAFwAIgBjAGEAdABcACIALABcACIAYwBcACIALAAxADsAXABuACAAIAAgACAAIABcACIAYwBhAHQAXAAiACwAXAAiAGMAXAAiACwAMgA7AFwAbgAgACAAIAAgACAAXAAiAGIAaQByAGQAXAAiACwAXAAiAGEAXAAiACwAMQA7AFwAbgAgACAAIAAgACAAXAAiAGIAaQByAGQAXAAiACwAXAAiAGEAXAAiACwAMgA7AFwAbgAgACAAIAAgACAAXAAiAGIAaQByAGQAXAAiACwAXAAiAGIAXAAiACwAMQA7AFwAbgAgACAAIAAgACAAXAAiAGIAaQByAGQAXAAiACwAXAAiAGIAXAAiACwAMgA7AFwAbgAgACAAIAAgACAAXAAiAGIAaQByAGQAXAAiACwAXAAiAGMAXAAiACwAMQA7AFwAbgAgACAAIAAgACAAXAAiAGIAaQByAGQAXAAiACwAXAAiAGMAXAAiACwAMgB9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0ALQAtAC0ALQAtAC0ALQAtAC0ALQAtAC0ALQAtAC0ALQAtAC0ALQAtAC0ALQAtAC0ALQAtAC0ALQAtAC0ALQAtAC0ALQAtAC0ALQAtAC0ALQAtAC0ALQAtAC0ALQAtAC0ALQAtAC0ALQAtAC0ALQAtAC0ALQAtAC0ALQAtAC0ALQAtAC0ALQAtAC0ALQAtAC0ALQAtAC0ALQAtACoALwBcAG4AXABuAFQAcgBpAHAAbABlAHcAaQBzAGUAuwM9AFwAbgBMAEEATQBCAEQAQQAoAFwAbgAgACAAIAAgAHMAZQB0AF8AMQAsAFwAbgAgACAAIAAgAHMAZQB0AF8AMgAsAFwAbgAgACAAIAAgAHMAZQB0AF8AMwAsAFwAbgBMAEUAVAAoAFwAbgAgACAAIAAgAC8ALwAgAEYAbABhAHQAdABlAG4AIABhAGwAbAAgAGkAbgBwAHUAdABzAFwAbgAgACAAIAAgAHMAZQB0AF8AMQAsACAAIAAgAFQATwBDAE8ATAAoAHMAZQB0AF8AMQApACwAXABuACAAIAAgACAAcwBlAHQAXwAyACwAIAAgACAAVABPAEMATwBMACgAcwBlAHQAXwAyACkALABcAG4AIAAgACAAIABzAGUAdABfADMALAAgACAAIABUAE8AQwBPAEwAKABzAGUAdABfADMAKQAsAFwAbgBcAG4AIAAgACAAIAAvAC8AIABTAGUAdAAgAGkAdABlAG0AIABjAG8AdQBuAHQAcwBcAG4AIAAgACAAIABrAIEgLAAgACAAIAAgACAAIABSAE8AVwBTACgAcwBlAHQAXwAxACkALABcAG4AIAAgACAAIABrAIIgLAAgACAAIAAgACAAIABSAE8AVwBTACgAcwBlAHQAXwAyACkALABcAG4AIAAgACAAIABrAIMgLAAgACAAIAAgACAAIABSAE8AVwBTACgAcwBlAHQAXwAzACkALABcAG4AXABuACAAIAAgACAALwAvACAARABlAHQAZQByAG0AaQBuAGUAIABpAGYAIABzAGUAdABfADIAIABpAHMAIABzAGMAYQBsAGEAcgBcAG4AIAAgACAAIABzAHcAYQBwAD8ALAAgACAAIABrAIIgIAA9ACAAMQAsAFwAbgAgACAAIAAgAFwAbgAgACAAIAAgAC8ALwAgAEMAcgBlAGEAdABlACAAcABhAGkAcgBzACAAZgByAG8AbQAgAGYAaQByAHMAdAAgAHQAdwBvACAAcwBlAHQAcwBcAG4AIAAgACAAIABwAGEAaQByAHMALAAgACAAIABJAEYAKABzAHcAYQBwAD8ALAAgAFAAYQBpAHIAdwBpAHMAZQC7AygAcwBlAHQAXwAyACwAcwBlAHQAXwAxACkALABcAG4AIAAgACAAIAAgACAAIAAgACAAIAAgACAAIAAgACAAIAAgACAAIAAgACAAIAAgAFAAYQBpAHIAdwBpAHMAZQC7AygAcwBlAHQAXwAxACwAcwBlAHQAXwAyACkAKQAsAFwAbgAgACAAIAAgAFwAbgAgACAAIAAgAC8ALwAgAHMAZQB0AHMAIABlAHgAcABhAG4AZABlAGQAXABuACAAIAAgACAAYQAsACAAIAAgACAAIAAgACAASQBGACgAcwB3AGEAcAA/ACwAVABBAEsARQAoAHAAYQBpAHIAcwAsACwALQAxACkALABUAEEASwBFACgAcABhAGkAcgBzACwALAAxACkAKQAsAFwAbgAgACAAIAAgAGIALAAgACAAIAAgACAAIAAgAEkARgAoAHMAdwBhAHAAPwAsAFQAQQBLAEUAKABwAGEAaQByAHMALAAsADEAKQAsAFQAQQBLAEUAKABwAGEAaQByAHMALAAsAC0AMQApACkALABcAG4AXABuACAAIAAgACAALwAvACAAUABhAGkAcgBzACAAZgByAG8AbQAgAHMAZQB0AF8AMQAgAGUAeABwAGEAbgBkAGUAZAAgACsAIABzAGUAdABfADMAXABuACAAIAAgACAAdABoAHIAaQBjAGUALAAgACAASQBGACgAawCDICAAPAA+ACAAMQAsACAAUABhAGkAcgB3AGkAcwBlALsDKABhACwAcwBlAHQAXwAzACkALABQAGEAaQByAHcAaQBzAGUAuwMoAHMAZQB0AF8AMwAsAGEAKQApACwAXABuAFwAbgAgACAAIAAgAC8ALwAgAFAAYQBpAHIAcwAgAGYAcgBvAG0AIABzAGUAdABfADIAIABlAHgAcABhAG4AZABlAGQAIAArACAAcwBlAHQAXwAzAFwAbgAgACAAIAAgAHQAaAByAGkAYwBlAF8ALAAgAEkARgAoAGsAgyAgADwAPgAgADEALAAgAFAAYQBpAHIAdwBpAHMAZQC7AygAYgAsAHMAZQB0AF8AMwApACwAUABhAGkAcgB3AGkAcwBlALsDKABzAGUAdABfADMALABiACkAKQAsAFwAbgBcAG4AIAAgACAAIAAvAC8AIABTAGUAbABlAGMAdABpAG8AbgBcAG4AIAAgACAAIABjAG8AbABzACwAIAAgACAAIABJAEYAKABrAIMgIAA9ACAAMQAsADEALAAtADEAKQAsAFwAbgAgACAAIAAgAGEAXwAsACAAIAAgACAAIAAgAEQAUgBPAFAAKAB0AGgAcgBpAGMAZQAsACwAYwBvAGwAcwApACwAXABuACAAIAAgACAAYgBfACwAIAAgACAAIAAgACAARABSAE8AUAAoAHQAaAByAGkAYwBlAF8ALAAsAGMAbwBsAHMAKQAsAFwAbgAgACAAIAAgAGMAXwAsACAAIAAgACAAIAAgAFQAQQBLAEUAKAB0AGgAcgBpAGMAZQAsACwAYwBvAGwAcwApACwAXABuACAAIAAgACAAXABuACAAIAAgACAALwAvACAAUgBlAHMAdABvAHIAZQAgAG8AcgBkAGUAcgAgAHQAbwAgAG0AYQB0AGMAaAAgAGkAbgBwAHUAdAAgAG8AcgBkAGUAcgBcAG4AIAAgACAAIABmAGkAbgBhAGwALAAgACAAIABIAFMAVABBAEMASwAoAGEAXwAsAGIAXwAsAGMAXwApACwAXABuACAAIAAgACAAZgBpAG4AYQBsAFwAbgApACkAOwBcAG4AXABuAFwAbgBcAG4ALwAqACAAWwBHAFIAMAA2AGIAXQAgAC0ALQAtAC0ALQAtAC0ALQAtAC0ALQAtAC0ALQAtAC0ALQAtAC0ALQAtAC0ALQAtAC0ALQAtAC0ALQAtAC0ALQAtAC0ALQAtAC0ALQAtAC0ALQAtAC0ALQAtAC0ALQAtAC0ALQAtAC0ALQAtAC0ALQAtAC0ALQAtAC0ALQAtAC0ALQAtAC0ALQAtAC0ALQAtAC0AXABuAEYAdQBuAGMAdABpAG8AbgA6ACAAIAAgACAAIAAgACAAIABRAHUAYQBk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SAGUAcABlAGEAdABSAG8AdwBzALsDLAAgAFIAZQBzAGkAegBlALsDLAAgAFQAcgBpAHAAbABlAHcAaQBzAGUAuwNcAG4AXABuAEQAZQBzAGMAcgBpAHAAdABpAG8AbgA6AFwAbgAgACAAIAAgAEcAZQBuAGUAcgBhAHQAZQBzACAAdABoAGUAIABDAGEAcgB0AGUAcwBpAGEAbgAgAHAAcgBvAGQAdQBjAHQAIABvAGYAIAA0ACAAcwBlAHQAcwAuACAAQQBsAGwAIABpAG4AcAB1AHQAcwAgAGEAcgBlACAAZgBsAGEAdAB0AGUAbgBlAGQAIABhAG4AZABcAG4AIAAgACAAIAB0AGgAZQAgAHIAZQBzAHUAbAB0AGkAbgBnACAAcQB1AGEAZAByAHUAcABsAGUAcwAgAHAAcgBlAHMAZQByAHYAZQAgAHQAaABlACAAbwByAGQAZQByACAAbwBmACAAdABoAGUAIABzAHUAcABwAGwAaQBlAGQAIABzAGUAdABzAC4AXABuAFwAbgAgACAAIAAgAFEAdQBhAGQAdwBpAHMAZQC7AyAAZQB4AHQAZQBuAGQAcwAgAFQAcgBpAHAAbABlAHcAaQBzAGUAuwMgAHQAbwAgAGEAIAA0ABEgYQB4AGkAcwAgAGYAYQBiAHIAaQBjADoAXABuACAAIAAgACAAIAAgACAAIAAiICAAcwBlAHQAXwAxACAA1wAgAHMAZQB0AF8AMgAgANcAIABzAGUAdABfADMAIADXACAAcwBlAHQAXwA0AFwAbgAgACAAIAAgAFQAaABlACAAbwB1AHQAcAB1AHQAIABpAHMAIABhACAAcwBwAGkAbABsACAAcgBhAG4AZwBlACAAdwBoAGUAcgBlACAAZQBhAGMAaAAgAHIAbwB3ACAAcgBlAHAAcgBlAHMAZQBuAHQAcwAgAG8AbgBlACAAbwByAGQAZQByAGUAZAAgAHEAdQBhAGQAcgB1AHAAbABlAC4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IAAgACAAIABzAGUAdABfADQAXABuAC0ALQAtAC0ALQAtAC0ALQAtAC0ALQAtAC0ALQAtAC0ALQAtAC0ALQAtAC0ALQAtAC0ALQAtAC0ALQAtAC0ALQAtAC0ALQAtAC0ALQAtAC0ALQAtAC0ALQAtAC0ALQAtAC0ALQAtAC0ALQAtAC0ALQAtAC0ALQAtAC0ALQAtAC0ALQAtAC0ALQAtAC0ALQAtAC0ALQAtAC0ALQAtACoALwBcAG4AXABuAFEAdQBhAGQAdwBpAHMAZQC7Az0AXABuAEwAQQBNAEIARABBACgAXABuACAAIAAgACAAcwBlAHQAXwAxACwAXABuACAAIAAgACAAcwBlAHQAXwAyACwAXABuACAAIAAgACAAcwBlAHQAXwAzACwAXABuACAAIAAgACAAcwBlAHQAXwA0ACwAXABuAEwARQBUACgAXABuACAAIAAgACAALwAvACAARgBsAGEAdAB0AGUAbgAgAGEAbABsACAAaQBuAHAAdQB0AHMAXABuACAAIAAgACAAcwBlAHQAXwAxACwAIAAgAFQATwBDAE8ATAAoAHMAZQB0AF8AMQApACwAXABuACAAIAAgACAAcwBlAHQAXwAyACwAIAAgAFQATwBDAE8ATAAoAHMAZQB0AF8AMgApACwAXABuACAAIAAgACAAcwBlAHQAXwAzACwAIAAgAFQATwBDAE8ATAAoAHMAZQB0AF8AMwApACwAXABuACAAIAAgACAAcwBlAHQAXwA0ACwAIAAgAFQATwBDAE8ATAAoAHMAZQB0AF8ANAApACwAXABuAFwAbgAgACAAIAAgAC8ALwAgAEUAeABwAGEAbgBzAGkAbwBuACAAYwBvAHUAbgB0AFwAbgAgACAAIAAgAGsALAAgACAAIAAgACAAIABSAE8AVwBTACgAcwBlAHQAXwA0ACkALABcAG4AXABuACAAIAAgACAALwAvACAATgBvAHIAbQBhAGwAaQB6AGUAIABzAGUAdAAgADQAIABpAGYAIABzAGMAYQBsAGEAcgAgAHQAbwAgAGEAdgBvAGkAZAAgAFQATwBDAE8ATAAgAGgAYQBuAGQAbwBmAGYAIAB0AG8AIABSAGUAcwBpAHoAZQC7A1wAbgAgACAAIAAgAGQALAAgACAAIAAgACAAIABJAEYAKABrACAAPAA+ACAAMQAsAHMAZQB0AF8ANAAsAEkATgBEAEUAWAAoAHMAZQB0AF8ANAAsADEAKQApACwAXABuAFwAbgAgACAAIAAgAC8ALwAgAFQAcgBpAHAAbABlAHMAXABuACAAIAAgACAAdABoAHIAaQBjAGUALAAgAFQAcgBpAHAAbABlAHcAaQBzAGUAuwMoAHMAZQB0AF8AMQAsAHMAZQB0AF8AMgAsAHMAZQB0AF8AMwApACwAXABuACAAIAAgACAAXABuACAAIAAgACAALwAvACAARQB4AHAAYQBuAGQAIAB0AHIAaQBwAGwAZQAgAHIAbwB3AHMAIABiAHkAIAB0AG8AdABhAGwAIABpAHQAZQBtAHMAIABpAG4AIABzAGUAdAAgADQAXABuACAAIAAgACAAdABoAHIAaQBjAGUAXwAsAFIAZQBwAGUAYQB0AFIAbwB3AHMAuwMoAHQAaAByAGkAYwBlACwAawApACwAXABuACAAIAAgACAAawCCICwAIAAgACAAIAAgAFIATwBXAFMAKAB0AGgAcgBpAGMAZQBfACkALABcAG4AXABuACAAIAAgACAALwAvACAARQB4AHAAYQBuAGQAIABzAGUAdAAgADQAIAB0AG8AIABtAGEAdABjAGgAIABsAGUAbgBnAHQAaAAgAG8AZgAgAHQAcgBpAHAAbABlAFwAbgAgACAAIAAgAGYAbwB1AHIALAAgACAAIABSAGUAcwBpAHoAZQC7AygAZAAsAGsAgiAgAC8AIABrACkALABcAG4AXABuACAAIAAgACAALwAvACAAUwB0AGEAYwBrACAAYQBuAGQAIABkAGkAcwBwAGwAYQB5AFwAbgAgACAAIAAgAGYAaQBuAGEAbAAsACAAIABIAFMAVABBAEMASwAoAHQAaAByAGkAYwBlAF8ALABmAG8AdQByACkALABcAG4AIAAgACAAIABmAGkAbgBhAGwAXABuAFwAbgApACkAOwBcAG4AXABuAFwAbgBcAG4ALwAqACAAWwBHAFIAMAA3AF0AIAAtAC0ALQAtAC0ALQAtAC0ALQAtAC0ALQAtAC0ALQAtAC0ALQAtAC0ALQAtAC0ALQAtAC0ALQAtAC0ALQAtAC0ALQAtAC0ALQAtAC0ALQAtAC0ALQAtAC0ALQAtAC0ALQAtAC0ALQAtAC0ALQAtAC0ALQAtAC0ALQAtAC0ALQAtAC0ALQAtAC0ALQAtAC0ALQAtAFwAbgBGAHUAbgBjAHQAaQBvAG4AOgAgACAAIAAgACAARwByAG8AdQBwAGIAeQBCAGkAbgC7A1wAbgBDAGEAdABlAGcAbwByAHkAOgAgACAAIAAgACAARwByAGkAZAAgAEEAbgBhAGwAeQB0AGkAYwBzACAAKABDAGEAdABlAGcAbwByAGkAYwBhAGwAIABBAG4AYQBsAHkAcwBpAHMAKQBcAG4AQQB1AHQAaABvAHIAOgAgACAAIAAgACAAIAAgAFAAYQB0AHIAaQBjAGsAIABIAC4AXABuAFYAZQByAHMAaQBvAG4AOgAgACAAIAAgACAAIAAxAC4AMQBcAG4AXABuAEQAZQBzAGMAcgBpAHAAdABpAG8AbgA6AFwAbgAgACAAIAAgAEEAZwBnAHIAZQBnAGEAdABlAHMAIABvAG4AZQAgAG8AcgAgAG0AbwByAGUAIAB2AGEAbAB1AGUAIABhAHIAcgBhAHkAcwAgAGkAbgB0AG8AIABmAGkAeABlAGQAESB3AGkAZAB0AGgAIABiAGkAbgBzACAAZABlAHIAaQB2AGUAZAAgAGYAcgBvAG0AIABhAFwAbgAgACAAIAAgAG4AdQBtAGUAcgBpAGMAIABmAGkAZQBsAGQALgAgAFMAdQBwAHAAbwByAHQAcwAgAG8AcAB0AGkAbwBuAGEAbAAgAGgAZQBhAGQAZQByAHMAIABhAG4AZAAgAGMAaABhAHIAdAARIHIAZQBhAGQAeQAgAG8AdQB0AHAAdQB0AC4AIABCAGkAbgBzACAAYQByAGUAXABuACAAIAAgACAAZABlAGYAaQBuAGUAZAAgAGIAeQAgAGEAIABuAHUAbQBlAHIAaQBjACAAYQByAHIAYQB5ACAAYQBuAGQAIABhACAAcABvAHMAaQB0AGkAdgBlACAAaQBuAHQAZQBnAGUAcgAgAGIAaQBuAF8AdwBpAGQAdABoAC4AXABuAFwAbgBQAGEAcgBhAG0AZQB0AGUAcgBzADoAXABuACAAIAAgACAAYQByAHIAYQB5ACAAIAAgACAAIAAgACAAIAAgACAAIAAtACAATgB1AG0AZQByAGkAYwAgADEARAAgAGEAcgByAGEAeQAgAHUAcwBlAGQAIAB0AG8AIABkAGUAZgBpAG4AZQAgAGIAaQBuACAAYgBvAHUAbgBkAGEAcgBpAGUAcwAuAFwAbgAgACAAIAAgAHYAYQBsAHUAZQBzACAAIAAgACAAIAAgACAAIAAgACAALQAgAEEAcgByAGEAeQAoAHMAKQAgAHQAbwAgAGIAZQAgAGEAZwBnAHIAZQBnAGEAdABlAGQAIAAoADEARAAgAG8AcgAgADIARAApAC4AXABuACAAIAAgACAAYgBpAG4AXwB3AGkAZAB0AGgAIAAgACAAIAAgACAAIAAtACAAUABvAHMAaQB0AGkAdgBlACAAaQBuAHQAZQBnAGUAcgAgAHMAcABlAGMAaQBmAHkAaQBuAGcAIABiAGkAbgAgAHcAaQBkAHQAaAAgACgAZSIgADEAKQAuAFwAbgAgACAAIAAgAGYAdQBuAGMAdABpAG8AbgAgACAAIAAgACAAIAAgACAALQAgAEUAVABBABEgYwBvAG0AcABhAHQAaQBiAGwAZQAgAGYAdQBuAGMAdABpAG8AbgAgAG8AcgAgAHMAaQBuAGcAbABlABEgcABhAHIAYQBtAGUAdABlAHIAIABMAEEATQBCAEQAQQAuAFwAbgBcAG4ATwBwAHQAaQBvAG4AYQBsADoAXABuACAAIAAgACAAWwBmAGkAZQBsAGQAXwBoAGUAYQBkAGUAcgBdACAAIAAtACAAVABSAFUARQAgAGkAZgAgAGkAbgBwAHUAdAAgAGEAcgByAGEAeQBzACAAaQBuAGMAbAB1AGQAZQAgAGgAZQBhAGQAZQByAHMAIAB0AG8AIABiAGUAIABjAGEAcgByAGkAZQBkACAAZgBvAHIAdwBhAHIAZAAuAFwAbgAgACAAIAAgAFsAYwBoAGEAcgB0AF8AcAByAGUAcABdACAAIAAgACAALQAgAFQAUgBVAEUAIAB0AG8AIAByAGUAdAB1AHIAbgAgAGEAIABjAG8AbgBjAGkAcwBlACAAYwBoAGEAcgB0ABEgcgBlAGEAZAB5ACAAbABhAHkAbwB1AHQALgBcAG4AXABuAE4AbwB0AGUAcwA6AFwAbgAgACAAIAAgACIgIABiAGkAbgBfAHcAaQBkAHQAaAAgAD0AIAAxACAAkiEgAGIAZQBoAGEAdgBlAHMAIABsAGkAawBlACAARwBSAE8AVQBQAEIAWQAgACgAbgBvACAAYgBpAG4AbgBpAG4AZwApAC4AXABuACAAIAAgACAAIiAgAGIAaQBuAF8AdwBpAGQAdABoACAAZSIgACgAbQBhAHgAIAASIiAAbQBpAG4AKQAgAJIhIABjAG8AbABsAGEAcABzAGUAcwAgAHQAbwAgAGEAIABzAGkAbgBnAGwAZQAgAGIAaQBuAC4AXABuACAAIAAgACAAIiAgAEMAaABhAHIAdAAgAG0AbwBkAGUAIAByAGUAdAB1AHIAbgBzACAAewBcACIAQgBpAG4AXAAiACwAXAAiAEEAZwBnAHIAZQBnAGEAdABlAFwAIgB9ACAAZgBvAHIAIABlAGEAcwB5ACAAcABsAG8AdAB0AGkAbgBnAC4AXABuAC0ALQAtAC0ALQAtAC0ALQAtAC0ALQAtAC0ALQAtAC0ALQAtAC0ALQAtAC0ALQAtAC0ALQAtAC0ALQAtAC0ALQAtAC0ALQAtAC0ALQAtAC0ALQAtAC0ALQAtAC0ALQAtAC0ALQAtAC0ALQAtAC0ALQAtAC0ALQAtAC0ALQAtAC0ALQAtAC0ALQAtAC0ALQAtAC0ALQAtAC0ALQAtACoALwBcAG4AXABuAEcAcgBvAHUAcABiAHkAQgBpAG4AuwMgAD0AXABuAEwAQQBNAEIARABBACgAXABuACAAIAAgACAAYQByAHIAYQB5ACwAXABuACAAIAAgACAAdgBhAGwAdQBlAHMALABcAG4AIAAgACAAIABiAGkAbgBfAHcAaQBkAHQAaAAsAFwAbgAgACAAIAAgAGYAdQBuAGMAdABpAG8AbgAsAFwAbgAgACAAIAAgAFsAZgBpAGUAbABkAF8AaABlAGEAZABlAHIAXQAsAFwAbgAgACAAIAAgAFsAYwBoAGEAcgB0AF8AcAByAGUAcABdACwAXABuAEwARQBUACgAXABuACAAIAAgACAALwAvACAARABpAG0AZQBuAHMAaQBvAG4AcwBcAG4AIAAgACAAIABpACwAIAAgACAAIAAgACAAIAAgACAAIAAgACAAIAAgACAAIAAgACAAUgBPAFcAUwAoAGEAcgByAGEAeQApACwAXABuACAAIAAgACAAagAsACAAIAAgACAAIAAgACAAIAAgACAAIAAgACAAIAAgACAAIAAgAEMATwBMAFUATQBOAFMAKABhAHIAcgBhAHkAKQAsAFwAbgAgACAAIAAgAGkAXwAsACAAIAAgACAAIAAgACAAIAAgACAAIAAgACAAIAAgACAAIABSAE8AVwBTACgAdgBhAGwAdQBlAHMAKQAsAFwAbgAgACAAIAAgAGoAXwAsACAAIAAgACAAIAAgACAAIAAgACAAIAAgACAAIAAgACAAIABDAE8ATABVAE0ATgBTACgAdgBhAGwAdQBlAHMAKQAsAFwAbgBcAG4AIAAgACAAIAAvAC8AIABIAGUAYQBkAGUAcgAgAGYAbABhAGcAXABuACAAIAAgACAASABlAGEAZABlAHIAcwA/ACwAIAAgACAAIAAgACAAIAAgACAAIAAgAE4ATwBUACgASQBTAE8ATQBJAFQAVABFAEQAKABmAGkAZQBsAGQAXwBoAGUAYQBkAGUAcgApACkALABcAG4AXABuACAAIAAgACAALwAvACAASABhAGwAdABpAG4AZwAgAGMAbwBuAGQAaQB0AGkAbwBuAHMAXABuACAAIAAgACAASQBzADIARAA/ACwAIAAgACAAIAAgACAAIAAgACAAIAAgACAAIAAgAEEATgBEACgAaQAgAD4AIAAxACwAIABqACAAPgAgADEAKQAsAFwAbgAgACAAIAAgAFMAaABhAHAAZQBNAGkAcwBtAGEAdABjAGgAPwAsACAAIAAgACAAIABpACAAPAA+ACAAaQBfACwAXABuACAAIAAgACAASQBuAHYAYQBsAGkAZABCAGkAbgA/ACwAIAAgACAAIAAgACAAIAAgAE8AUgAoAEkAUwBUAEUAWABUACgAYgBpAG4AXwB3AGkAZAB0AGgAKQAsACAAYgBpAG4AXwB3AGkAZAB0AGgAIAA8ACAAMQApACwAXABuACAAIAAgACAASQBuAHYAYQBsAGkAZABGAG4APwAsACAAIAAgACAAIAAgACAAIAAgAFQAWQBQAEUAKABmAHUAbgBjAHQAaQBvAG4AKQAgADwAPgAgADEAMgA4ACwAXABuACAAIAAgACAATgBvAG4ATgB1AG0AZQByAGkAYwA/ACwAIAAgACAAIAAgACAAIAAgAE4ATwBUACgAQQBOAEQAKABJAFMATgBVAE0AQgBFAFIAKABJAEYAKABIAGUAYQBkAGUAcgBzAD8ALAAgAEQAUgBPAFAAKABhAHIAcgBhAHkALAAgADEAKQAsACAAYQByAHIAYQB5ACkAKQApACkALABcAG4AXABuACAAIAAgACAALwAvACAATABvAGcAaQBjACAAZwBhAHQAZQBcAG4AIAAgACAAIABJAEYAKABJAHMAMgBEAD8ALAAgACAAIAAgACAAIAAgACAAIAAgACAAIAAgAFwAIgAjADEARAAtAEEAUgBSAEEAWQAhAFwAIgAsAFwAbgBcAG4AIAAgACAAIAAgACAAIAAgAEkARgAoAFMAaABhAHAAZQBNAGkAcwBtAGEAdABjAGgAPwAsACAAXAAiACMARABJAE0ARQBOAFMASQBPAE4AUwAhAFwAIgAsAFwAbgBcAG4AIAAgACAAIAAgACAAIAAgACAAIAAgACAASQBGACgATgBvAG4ATgB1AG0AZQByAGkAYwA/ACwAIABcACIAIwBOAFUATQAhAFwAIgAsAFwAbgBcAG4AIAAgACAAIAAgACAAIAAgACAAIAAgACAAIAAgACAAIABJAEYAKABJAG4AdgBhAGwAaQBkAEIAaQBuAD8ALAAgAFwAIgAjAEIASQBOAC0AVwBJAEQAVABIACEAXAAiACwAXABuAFwAbgAgACAAIAAgACAAIAAgACAAIAAgACAAIAAgACAAIAAgACAAIAAgACAASQBGACgASQBuAHYAYQBsAGkAZABGAG4APwAsACAAXAAiACMASQBOAFYAQQBMAEkARAAtAEYAVQBOAEMAVABJAE8ATgAhAFwAIgAsAFwAbgBcAG4ATABFAFQAKABcAG4AIAAgACAAIAAvAC8AIABPAHAAdABpAG8AbgBhAGwAIABmAGwAYQBnAHMAXABuACAAIAAgACAATgBvAEMAaABhAHIAdAA/ACwAIAAgACAAIAAgACAAIAAgACAAIAAgAEkAUwBPAE0ASQBUAFQARQBEACgAYwBoAGEAcgB0AF8AcAByAGUAcAApACwAXABuAFwAbgAgACAAIAAgAC8ALwAgAFMAdAByAGkAcAAgAGgAZQBhAGQAZQByAHMAIABpAGYAIABwAHIAZQBzAGUAbgB0AFwAbgAgACAAIAAgAGEAcgByACwAIAAgACAAIAAgACAAIAAgACAAIAAgACAAIAAgACAAIABJAEYAKABIAGUAYQBkAGUAcgBzAD8ALAAgAEQAUgBPAFAAKABhAHIAcgBhAHkALAAgADEAKQAsACAAYQByAHIAYQB5ACkALABcAG4AIAAgACAAIAB2AGEAbAAsACAAIAAgACAAIAAgACAAIAAgACAAIAAgACAAIAAgACAASQBGACgASABlAGEAZABlAHIAcwA/ACwAIABEAFIATwBQACgAdgBhAGwAdQBlAHMALAAgADEAKQAsACAAdgBhAGwAdQBlAHMAKQAsAFwAbgBcAG4AIAAgACAAIAAvAC8AIABIAGUAYQBkAGUAcgAgAGMAbwBuAHMAdAByAHUAYwB0AGkAbwBuAFwAbgAgACAAIAAgAHIAbwB3AF8AaABlAGEAZABlAHIALAAgACAAIAAgACAAIAAgACAAIABIAFMAVABBAEMASwAoAFwAIgBCAGkAbgAgAFMAdABhAHIAdAAgAFwAIgAgACYAIABJAEYAKABIAGUAYQBkAGUAcgBzAD8ALAAgAFQAQQBLAEUAKABhAHIAcgBhAHkALAAgADEAKQAsACAAXAAiAFwAIgApACAAJgAgAFwAIgAgAFYAYQBsAHUAZQBcACIALABcACIAQgBpAG4AIABFAG4AZABcACIAKQAsAFwAbgAgACAAIAAgAHYAYQBsAF8AaABlAGEAZABlAHIALAAgACAAIAAgACAAIAAgACAAIABFAFgAUABBAE4ARAAoAEkARgAoAEgAZQBhAGQAZQByAHMAPwAsACAAVABBAEsARQAoAHYAYQBsAHUAZQBzACwAIAAxACkALAAgAFwAIgBUAG8AdABhAGwAXAAiACkALAAsAGoAXwAsAFwAIgBcACIAKQAsAFwAbgAgACAAIAAgAGgAZQBhAGQAZQByACwAIAAgACAAIAAgACAAIAAgACAAIAAgACAAIABIAFMAVABBAEMASwAoAHIAbwB3AF8AaABlAGEAZABlAHIALAAgAHYAYQBsAF8AaABlAGEAZABlAHIAKQAsAFwAbgBcAG4AIAAgACAAIAAvAC8AIABCAGkAbgAgAGIAbwB1AG4AZABhAHIAaQBlAHMAXABuACAAIAAgACAAbQBpAG4ALAAgACAAIAAgACAAIAAgACAAIAAgACAAIAAgACAAIAAgAE0ASQBOACgAYQByAHIAKQAsAFwAbgAgACAAIAAgAHMAdABhAHIAdAAsACAAIAAgACAAIAAgACAAIAAgACAAIAAgACAAIABGAEwATwBPAFIAKABtAGkAbgAsACAAYgBpAG4AXwB3AGkAZAB0AGgAKQAsAFwAbgBcAG4AIAAgACAAIABtAGEAeAAsACAAIAAgACAAIAAgACAAIAAgACAAIAAgACAAIAAgACAATQBBAFgAKABhAHIAcgApACwAXABuACAAIAAgACAAZQBuAGQALAAgACAAIAAgACAAIAAgACAAIAAgACAAIAAgACAAIAAgAEMARQBJAEwASQBOAEcAKABtAGEAeAAsACAAYgBpAG4AXwB3AGkAZAB0AGgAKQAsAFwAbgBcAG4AIAAgACAAIABrACwAIAAgACAAIAAgACAAIAAgACAAIAAgACAAIAAgACAAIAAgACAAKABlAG4AZAAgAC0AIABzAHQAYQByAHQAKQAgAC8AIABiAGkAbgBfAHcAaQBkAHQAaAAsAFwAbgBcAG4AIAAgACAAIABiAGkAbgAsACAAIAAgACAAIAAgACAAIAAgACAAIAAgACAAIAAgACAAUwBFAFEAVQBFAE4AQwBFACgAawAgACsAIAAxACwAIAAsACAAcwB0AGEAcgB0ACwAIABiAGkAbgBfAHcAaQBkAHQAaAApACwAXABuACAAIAAgACAAYgBpAG4AXwBzAHQAYQByAHQALAAgACAAIAAgACAAIAAgACAAIAAgAEQAUgBPAFAAKABiAGkAbgAsACAALQAxACkALABcAG4AIAAgACAAIABiAGkAbgBfAGUAbgBkACwAIAAgACAAIAAgACAAIAAgACAAIAAgACAARABSAE8AUAAoAGIAaQBuACwAIAAxACkALABcAG4AXABuACAAIAAgACAALwAvACAAQgBpAG4AIABhAHMAcwBpAGcAbgBtAGUAbgB0AFwAbgAgACAAIAAgAGkAZAB4ACwAIAAgACAAIAAgACAAIAAgACAAIAAgACAAIAAgACAAIABYAE0AQQBUAEMASAAoAGEAcgByACwAIABiAGkAbgBfAHMAdABhAHIAdAAsACAALQAxACkALABcAG4AIAAgACAAIAByAG8AdwBfAHMAdABhAHIAdAAsACAAIAAgACAAIAAgACAAIAAgACAASQBOAEQARQBYACgAYgBpAG4AXwBzAHQAYQByAHQALAAgAGkAZAB4ACkALABcAG4AIAAgACAAIAByAG8AdwBfAGUAbgBkACwAIAAgACAAIAAgACAAIAAgACAAIAAgACAASQBOAEQARQBYACgAYgBpAG4AXwBlAG4AZAAsACAAaQBkAHgAKQAsAFwAbgAgACAAIAAgAHIAbwB3AF8AZgBpAGUAbABkAHMALAAgACAAIAAgACAAIAAgACAAIABIAFMAVABBAEMASwAoAHIAbwB3AF8AcwB0AGEAcgB0ACwAIAByAG8AdwBfAGUAbgBkACkALABcAG4AXABuACAAIAAgACAALwAvACAAQQBnAGcAcgBlAGcAYQB0AGkAbwBuAFwAbgAgACAAIAAgAGEAZwBnACwAIAAgACAAIAAgACAAIAAgACAAIAAgACAAIAAgACAAIABHAFIATwBVAFAAQgBZACgAcgBvAHcAXwBmAGkAZQBsAGQAcwAsACAAdgBhAGwALAAgAGYAdQBuAGMAdABpAG8AbgAsACAASABlAGEAZABlAHIAcwA/ACwAIAAwACkALABcAG4AXABuACAAIAAgACAALwAvACAAQwBoAGEAcgB0ACAAcAByAGUAcABcAG4AIAAgACAAIABhACwAIAAgACAAIAAgACAAIAAgACAAIAAgACAAIAAgACAAIAAgACAAQwBIAE8ATwBTAEUAQwBPAEwAUwAoAGEAZwBnACwAIAAxACkAIAAmACAAXAAiACAALQAgADwAXAAiACAAJgAgAEMASABPAE8AUwBFAEMATwBMAFMAKABhAGcAZwAsACAAMgApACwAXABuACAAIAAgACAAYgAsACAAIAAgACAAIAAgACAAIAAgACAAIAAgACAAIAAgACAAIAAgAEQAUgBPAFAAKABhAGcAZwAsACAALAAgADIAKQAsAFwAbgAgACAAIAAgAGMAaABhAHIAdABfAGwAYQBiAGUAbABzACwAIAAgACAAIAAgACAAIAB7AFwAIgBCAGkAbgBcACIALAAgAFwAIgBBAGcAZwByAGUAZwBhAHQAZQBcACIAfQAsAFwAbgBcAG4AIAAgACAAIAAvAC8AIABSAGUAdAB1AHIAbgAgAG0AbwBkAGUAcwBcAG4AIAAgACAAIABkAGEAdABhACwAIAAgACAAIAAgACAAIAAgACAAIAAgACAAIAAgACAAVgBTAFQAQQBDAEsAKABoAGUAYQBkAGUAcgAsACAAYQBnAGcAKQAsAFwAbgAgACAAIAAgAGMAaABhAHIAdAAsACAAIAAgACAAIAAgACAAIAAgACAAIAAgACAAIABWAFMAVABBAEMASwAoAGMAaABhAHIAdABfAGwAYQBiAGUAbABzACwAIABIAFMAVABBAEMASwAoAGEALAAgAGIAKQApACwAXABuAFwAbgAgACAAIAAgAGQAZQBsAGkAdgBlAHIAeQAsACAAIAAgACAAIAAgACAAIAAgACAAIABJAEYAKABOAG8AQwBoAGEAcgB0AD8ALAAgAGQAYQB0AGEALAAgAGMAaABhAHIAdAApACwAXABuACAAIAAgACAAZABlAGwAaQB2AGUAcgB5AFwAbgApACkAKQApACkAKQApACkAOwBcAG4AXABuAFwAbgBcAG4ALwAqACAAWwBHAFIAMAA4AF0AIAAtAC0ALQAtAC0ALQAtAC0ALQAtAC0ALQAtAC0ALQAtAC0ALQAtAC0ALQAtAC0ALQAtAC0ALQAtAC0ALQAtAC0ALQAtAC0ALQAtAC0ALQAtAC0ALQAtAC0ALQAtAC0ALQAtAC0ALQAtAC0ALQAtAC0ALQAtAC0ALQAtAC0ALQAtAC0ALQAtAC0ALQAtAC0ALQAtAFwAbgBGAHUAbgBjAHQAaQBvAG4AOgAgACAAIAAgACAARwByAG8AdQBwAGIAeQBEAGEAdA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cARAC7A1wAbgBcAG4ARABlAHMAYwByAGkAcAB0AGkAbwBuADoAXABuACAAIAAgACAAQQBnAGcAcgBlAGcAYQB0AGUAcwAgAHYAYQBsAHUAZQBzACAAYgB5ACAAcgBvAHcAIABmAGkAZQBsAGQAcwAgAGMAbwBuAHQAYQBpAG4AaQBuAGcAIABkAGEAdABlAHMALAAgAHUAcwBpAG4AZwAgAGEAIABzAHAAZQBjAGkAZgBpAGUAZABcAG4AIAAgACAAIABkAGEAdABlAC8AdABpAG0AZQAgAGkAbgB0AGUAcgB2AGEAbAAgACgAbQBpAG4AdQB0AGUALAAgAGgAbwB1AHIALAAgAGQAYQB5ACwAIAB3AGUAZQBrACwAIABmAG8AcgB0AG4AaQBnAGgAdAAsACAAbQBvAG4AdABoACwAIABxAHUAYQByAHQAZQByACwAXABuACAAIAAgACAAeQBlAGEAcgApAC4AIABTAHUAcABwAG8AcgB0AHMAIABvAHAAdABpAG8AbgBhAGwAIABoAGUAYQBkAGUAcgBzACwAIABjAHUAcwB0AG8AbQAgAGYAbwByAG0AYQB0AHQAaQBuAGcALAAgAGEAbgBkACAAcgBvAHcAIABmAGkAbAB0AGUAcgBpAG4AZwAuAFwAbgBcAG4AUABhAHIAYQBtAGUAdABlAHIAcwA6AFwAbgAgACAAIAAgAHIAbwB3AF8AZgBpAGUAbABkAHMAIAAgACAAIAAgACAALQAgAEEAcgByAGEAeQAgACgAMQBEACAAbwByACAAMgBEACkAIAB3AGkAdABoACAAZABhAHQAZQBzACAAaQBuACAAdABoAGUAIABsAGUAZgB0AG0AbwBzAHQAIABjAG8AbAB1AG0AbgAuAFwAbgAgACAAIAAgAHYAYQBsAHUAZQBzACAAIAAgACAAIAAgACAAIAAgACAALQAgAEEAcgByAGEAeQAgACgAMQBEACAAbwByACAAMgBEACkAIABjAG8AbgB0AGEAaQBuAGkAbgBnACAAdgBhAGwAdQBlAHMAIABmAG8AcgAgAGEAZwBnAHIAZQBnAGEAdABpAG8AbgAuAFwAbgAgACAAIAAgAGkAbgB0AGUAcgB2AGEAbAAgACAAIAAgACAAIAAgACAALQAgAEQAYQB0AGUALwB0AGkAbQBlACAAYQBnAGcAcgBlAGcAYQB0AGkAbwBuACAAaQBuAHQAZQByAHYAYQBsACAAKABuAHUAbQBiAGUAcgAgAG8AcgAgAHQAZQB4AHQAKQAuAFwAbgAgACAAIAAgAGYAdQBuAGMAdABpAG8AbgAgACAAIAAgACAAIAAgACAALQAgAEUAVABBABEgYwBvAG0AcABhAHQAaQBiAGwAZQAgAGYAdQBuAGMAdABpAG8AbgAgAG8AcgAgAHMAaQBuAGcAbABlABEgcABhAHIAYQBtAGUAdABlAHIAIABMAEEATQBCAEQAQQAuAFwAbgBcAG4ATwBwAHQAaQBvAG4AYQBsADoAXABuACAAIAAgACAAWwBmAG8AcgBtAGEAdABdACAAIAAgACAAIAAgACAAIAAtACAAQwB1AHMAdABvAG0AIABkAGEAdABlAC8AdABpAG0AZQAgAGYAbwByAG0AYQB0ACAAcwB0AHIAaQBuAGcALgBcAG4AIAAgACAAIABbAGYAaQBlAGwAZABfAGgAZQBhAGQAZQByAHMAXQAgAC0AIABUAFIAVQBFACAAaQBmACAAaQBuAHAAdQB0ACAAYQByAHIAYQB5AHMAIABpAG4AYwBsAHUAZABlACAAaABlAGEAZABlAHIAcwAuAFwAbgAgACAAIAAgAFsAZgBpAGwAdABlAHIAXwBhAHIAcgBhAHkAXQAgACAALQAgAEIAbwBvAGwAZQBhAG4AIABhAHIAcgBhAHkAIAB0AG8AIABmAGkAbAB0AGUAcgAgAHIAbwB3AHMAIABiAGUAZgBvAHIAZQAgAGEAZwBnAHIAZQBnAGEAdABpAG8AbgAuAFwAbgAtAC0ALQAtAC0ALQAtAC0ALQAtAC0ALQAtAC0ALQAtAC0ALQAtAC0ALQAtAC0ALQAtAC0ALQAtAC0ALQAtAC0ALQAtAC0ALQAtAC0ALQAtAC0ALQAtAC0ALQAtAC0ALQAtAC0ALQAtAC0ALQAtAC0ALQAtAC0ALQAtAC0ALQAtAC0ALQAtAC0ALQAtAC0ALQAtAC0ALQAtAC0ALQAqAC8AXABuAFwAbgBHAHIAbwB1AHAAYgB5AEQAYQB0AGUAuwMgAD0AXABuAEwAQQBNAEIARABBACgAXABuACAAIAAgACAAcgBvAHcAXwBmAGkAZQBsAGQAcwAsAFwAbgAgACAAIAAgAHYAYQBsAHUAZQBzACwAXABuACAAIAAgACAAaQBuAHQAZQByAHYAYQBsACwAXABuACAAIAAgACAAZgB1AG4AYwB0AGkAbwBuACwAXABuACAAIAAgACAAWwBmAG8AcgBtAGEAdABdACwAXABuACAAIAAgACAAWwBmAGkAZQBsAGQAXwBoAGUAYQBkAGUAcgBzAF0ALABcAG4AIAAgACAAIABbAGYAaQBsAHQAZQByAF8AYQByAHIAYQB5AF0ALABcAG4AXABuAFYAYQBsAGkAZABhAHQAZQBHAEQAuwMoAHIAbwB3AF8AZgBpAGUAbABkAHMALAAgAHYAYQBsAHUAZQBzACwAIABpAG4AdABlAHIAdgBhAGwALAAgAGYAdQBuAGMAdABpAG8AbgAsACAAZgBpAGUAbABkAF8AaABlAGEAZABlAHIAcwAsACAAZgBpAGwAdABlAHIAXwBhAHIAcgBhAHkALABcAG4AXABuAEwARQBUACgAXABuACAAIAAgACAALwAvACAASQBuAHQAZQByAHYAYQBsACAAbgBvAHIAbQBhAGwAaQB6AGEAdABpAG8AbgBcAG4AIAAgACAAIABOAHUAbQBJAG4AdABlAHIAdgBhAGwAPwAsACAAIAAgACAAIAAgACAATgBPAFQAKABJAFMAVABFAFgAVAAoAGkAbgB0AGUAcgB2AGEAbAApACkALABcAG4AXABuACAAIAAgACAAYwBvAG4AcwB0ACwAIAAgACAAIAAgACAAIAAgACAAIAAgACAAIAAgAHsAXAAiAG0AaQBuAHUAdABlAFwAIgA7AFwAIgBoAG8AdQByAFwAIgA7AFwAIgBkAGEAeQBcACIAOwBcACIAdwBlAGUAawBcACIAOwBcAG4AIAAgACAAIAAgACAAIAAgACAAIAAgACAAIAAgACAAIAAgACAAIAAgACAAIAAgACAAIABcACIAZgBvAHIAdABuAGkAZwBoAHQAXAAiADsAXAAiAG0AbwBuAHQAaABcACIAOwBcACIAcQB1AGEAcgB0AGUAcgBcACIAOwBcACIAeQBlAGEAcgBcACIAfQAsAFwAbgBcAG4AIAAgACAAIABpAG4AdABlAHIAdgBhAGwALAAgACAAIAAgACAAIAAgACAAIAAgACAASQBGACgATgB1AG0ASQBuAHQAZQByAHYAYQBsAD8ALABpAG4AdABlAHIAdgBhAGwALABcAG4AIAAgACAAIAAgACAAIAAgACAAIAAgACAAIAAgACAAIAAgACAAIAAgACAAIAAgACAAIAAgACAAIABYAE0AQQBUAEMASAAoAEwATwBXAEUAUgAoAGkAbgB0AGUAcgB2AGEAbAApACAAJgAgAFwAIgAqAFwAIgAsACAAYwBvAG4AcwB0ACwAIAAyACkAKQAsAFwAbgBcAG4AIAAgACAAIABJAG4AYwBsAHUAZABlAHMAXwBlAG4AZAA/ACwAIAAgACAAIAAgACAAKABpAG4AdABlAHIAdgBhAGwAIAA9ACAANAApACAAKwAgACgAaQBuAHQAZQByAHYAYQBsACAAPQAgADUAKQAsAFwAbgBcAG4AIAAgACAAIAB1AG4AaQB0ACwAIAAgACAAIAAgACAAIAAgACAAIAAgACAAIAAgACAAQwBIAE8ATwBTAEUAKABpAG4AdABlAHIAdgBhAGwALAAgADEANAA0ADAALAAgADIANAAsACAAMQAsACAAMQAsACAAMQAsACAAMQAsACAAMQAsACAAMQApACwAXABuAFwAbgAgACAAIAAgAC8ALwAgAE8AcAB0AGkAbwBuAGEAbAAgAHAAYQByAGEAbQBlAHQAZQByAHMAXABuACAAIAAgACAATgBvAEYAbwByAG0AYQB0AD8ALAAgACAAIAAgACAAIAAgACAAIAAgAEkAUwBPAE0ASQBUAFQARQBEACgAZgBvAHIAbQBhAHQAKQAsAFwAbgAgACAAIAAgAEgAZQBhAGQAZQByAD8ALAAgACAAIAAgACAAIAAgACAAIAAgACAAIABOAE8AVAAoAEkAUwBPAE0ASQBUAFQARQBEACgAZgBpAGUAbABkAF8AaABlAGEAZABlAHIAcwApACkALABcAG4AIAAgACAAIABGAGkAbAB0AGUAcgA/ACwAIAAgACAAIAAgACAAIAAgACAAIAAgACAATgBPAFQAKABJAFMATwBNAEkAVABUAEUARAAoAGYAaQBsAHQAZQByAF8AYQByAHIAYQB5ACkAKQAsAFwAbgBcAG4AIAAgACAAIAAvAC8AIABEAGEAdABlACAAdgBlAGMAdABvAHIAIABmAHIAbwBtACAAcgBvAHcAXwBmAGkAZQBsAGQAcwBcAG4AIAAgACAAIABkAGEAdABlAF8AYwBvAGwALAAgACAAIAAgACAAIAAgACAAIAAgACAASQBGACgASABlAGEAZABlAHIAPwAsAFwAbgAgACAAIAAgACAAIAAgACAAIAAgACAAIAAgACAAIAAgACAAIAAgACAAIAAgACAAIAAgACAAIAAgAEQAUgBPAFAAKABUAEEASwBFACgAcgBvAHcAXwBmAGkAZQBsAGQAcwAsACAALAAgADEAKQAsACAAMQApACwAXABuACAAIAAgACAAIAAgACAAIAAgACAAIAAgACAAIAAgACAAIAAgACAAIAAgACAAIAAgACAAIAAgACAAVABBAEsARQAoAHIAbwB3AF8AZgBpAGUAbABkAHMALAAgACwAIAAxACkAKQAsAFwAbgBcAG4AIAAgACAAIABkAGEAdABlAHMALAAgACAAIAAgACAAIAAgACAAIAAgACAAIAAgACAASQBGACgAaQBuAHQAZQByAHYAYQBsACAAPAAgADMALABcAG4AIAAgACAAIAAgACAAIAAgACAAIAAgACAAIAAgACAAIAAgACAAIAAgACAAIAAgACAAIAAgACAAIABSAE8AVQBOAEQAKABkAGEAdABlAF8AYwBvAGwAIAAqACAAdQBuAGkAdAAsACAAMAApACAALwAgAHUAbgBpAHQALABcAG4AIAAgACAAIAAgACAAIAAgACAAIAAgACAAIAAgACAAIAAgACAAIAAgACAAIAAgACAAIAAgACAAIABJAE4AVAAoAGQAYQB0AGUAXwBjAG8AbAApACkALABcAG4AXABuACAAIAAgACAAdgBhAGwAdQBlAHMAXwBoAGUAYQBkAGUAcgAsACAAIAAgACAAIAAgAFQAQQBLAEUAKAB2AGEAbAB1AGUAcwAsACAAMQApACwAXABuACAAIAAgACAAdgBhAGwAdQBlAHMALAAgACAAIAAgACAAIAAgACAAIAAgACAAIAAgAEkARgAoAEgAZQBhAGQAZQByAD8ALAAgAEQAUgBPAFAAKAB2AGEAbAB1AGUAcwAsACAAMQApACwAIAB2AGEAbAB1AGUAcwApACwAXABuACAAIAAgACAAcgBvAHcAXwBkAGUAdABhAGkAbABzACwAIAAgACAAIAAgACAAIAAgAEQAUgBPAFAAKABEAFIATwBQACgAcgBvAHcAXwBmAGkAZQBsAGQAcwAsACAALAAgADEAKQAsACAASABlAGEAZABlAHIAPwApACwAXABuACAAIAAgACAAZgBpAGwAdABlAHIAXwB1AHMAZQBkACwAIAAgACAAIAAgACAAIAAgAEkARgAoAEgAZQBhAGQAZQByAD8AIAAqACAARgBpAGwAdABlAHIAPwAsAFwAbgAgACAAIAAgACAAIAAgACAAIAAgACAAIAAgACAAIAAgACAAIAAgACAAIAAgACAAIAAgACAAIAAgAEQAUgBPAFAAKABmAGkAbAB0AGUAcgBfAGEAcgByAGEAeQAsACAAMQApACwAXABuACAAIAAgACAAIAAgACAAIAAgACAAIAAgACAAIAAgACAAIAAgACAAIAAgACAAIAAgACAAIAAgACAAZgBpAGwAdABlAHIAXwBhAHIAcgBhAHkAKQAsAFwAbgBcAG4AIAAgACAAIAAvAC8AIABXAGkAZAB0AGgAcwBcAG4AIAAgACAAIAB3ACwAIAAgACAAIAAgACAAIAAgACAAIAAgACAAIAAgACAAIAAgACAAQwBPAEwAVQBNAE4AUwAoAHIAbwB3AF8AZgBpAGUAbABkAHMAKQAsAFwAbgAgACAAIAAgAHcAXwAsACAAIAAgACAAIAAgACAAIAAgACAAIAAgACAAIAAgACAAIABDAE8ATABVAE0ATgBTACgAdgBhAGwAdQBlAHMAKQAsAFwAbgAgACAAIAAgAGoALAAgACAAIAAgACAAIAAgACAAIAAgACAAIAAgACAAIAAgACAAIAB3ACAAKwAgAHcAXwAsAFwAbgBcAG4AIAAgACAAIAAvAC8AIABEAGEAdABlACAAYgBvAHUAbgBkAHMAXABuACAAIAAgACAAbQBpAG4ALAAgACAAIAAgACAAIAAgACAAIAAgACAAIAAgACAAIAAgAEkATgBUACgATQBJAE4AKABkAGEAdABlAHMAKQApACwAXABuACAAIAAgACAAbQBhAHgALAAgACAAIAAgACAAIAAgACAAIAAgACAAIAAgACAAIAAgAEkATgBUACgATQBBAFgAKABkAGEAdABlAHMAKQApACwAXABuACAAIAAgACAAbQAsACAAIAAgACAAIAAgACAAIAAgACAAIAAgACAAIAAgACAAIAAgAE0ATwBOAFQASAAoAG0AaQBuACkALABcAG4AIAAgACAAIABkACwAIAAgACAAIAAgACAAIAAgACAAIAAgACAAIAAgACAAIAAgACAARABBAFkAKABtAGkAbgApACwAXABuACAAIAAgACAAeQAsACAAIAAgACAAIAAgACAAIAAgACAAIAAgACAAIAAgACAAIAAgAFkARQBBAFIAKABtAGkAbgApACwAXABuAFwAbgAgACAAIAAgAC8ALwAgAFQAaQBtAGUAIABvAGYAIABmAGkAcgBzAHQAIABkAGEAdABlAFwAbgAgACAAIAAgAGYAaQByAHMAdAAsACAAIAAgACAAIAAgACAAIAAgACAAIAAgACAAIABNAEkATgAoAGQAYQB0AGUAcwApACwAXABuACAAIAAgACAAbABhAHMAdAAsACAAIAAgACAAIAAgACAAIAAgACAAIAAgACAAIAAgAE0AQQBYACgAZABhAHQAZQBzACkALABcAG4AIAAgACAAIABoAHIALAAgACAAIAAgACAAIAAgACAAIAAgACAAIAAgACAAIAAgACAASABPAFUAUgAoAGYAaQByAHMAdAApACwAXABuACAAIAAgACAAbQBtACwAIAAgACAAIAAgACAAIAAgACAAIAAgACAAIAAgACAAIAAgAE0ASQBOAFUAVABFACgAZgBpAHIAcwB0ACkALABcAG4AXABuACAAIAAgACAALwAvACAAUgBhAG4AZwBlAHMAXABuACAAIAAgACAAcwBlAGMAbwBuAGQAcwAsACAAIAAgACAAIAAgACAAIAAgACAAIAAgACgAbABhAHMAdAAgAC0AIABmAGkAcgBzAHQAKQAgACoAIAA4ADYANAAwADAALABcAG4AIAAgACAAIABtAGkAbgB1AHQAZQBzACwAIAAgACAAIAAgACAAIAAgACAAIAAgACAAQwBFAEkATABJAE4ARwAoAHMAZQBjAG8AbgBkAHMAIAAvACAANgAwACwAIAAxACkALABcAG4AIAAgACAAIABoAG8AdQByAHMALAAgACAAIAAgACAAIAAgACAAIAAgACAAIAAgACAAbQBpAG4AdQB0AGUAcwAgAC8AIAA2ADAALABcAG4AIAAgACAAIABkAGEAeQBzACwAIAAgACAAIAAgACAAIAAgACAAIAAgACAAIAAgACAAbQBhAHgAIAAtACAAbQBpAG4ALABcAG4AIAAgACAAIAB3AGUAZQBrAHMALAAgACAAIAAgACAAIAAgACAAIAAgACAAIAAgACAAQwBFAEkATABJAE4ARwAoAGQAYQB5AHMAIAAvACAANwAsACAAMQApACwAXABuACAAIAAgACAAZgBvAHIAdABuAGkAZwBoAHQALAAgACAAIAAgACAAIAAgACAAIAAgAEMARQBJAEwASQBOAEcAKABkAGEAeQBzACAALwAgADEANAAsACAAMQApACwAXABuACAAIAAgACAAbQBvAG4AdABoAHMALAAgACAAIAAgACAAIAAgACAAIAAgACAAIAAgAEQAQQBUAEUARABJAEYAKABtAGkAbgAsACAAbQBhAHgALAAgAFwAIgBtAFwAIgApACwAXABuACAAIAAgACAAcQB1AGEAcgB0AGUAcgBzACwAIAAgACAAIAAgACAAIAAgACAAIAAgAEMARQBJAEwASQBOAEcAKABtAG8AbgB0AGgAcwAgAC8AIAAzACwAIAAxACkALABcAG4AIAAgACAAIAB5AGUAYQByAHMALAAgACAAIAAgACAAIAAgACAAIAAgACAAIAAgACAAQwBFAEkATABJAE4ARwAoAG0AbwBuAHQAaABzACAALwAgADEAMgAsACAAMQApACwAXABuAFwAbgAgACAAIAAgAC8ALwAgAEQAaQBzAHAAbABhAHkAIABmAG8AcgBtAGEAdABzAFwAbgAgACAAIAAgAGgAXwBtAG0ALAAgACAAIAAgACAAIAAgACAAIAAgACAAIAAgACAAIABJAEYAKABkAGEAeQBzACAAPgAgADEALAAgAFwAIgBtAC8AZAAvAHkAeQB5ACAAaAA6AG0AbQAgAEEATQAvAFAATQBcACIALAAgAFwAIgBoADoAbQBtACAAQQBNAC8AUABNAFwAIgApACwAXABuACAAIAAgACAAbQBtAG0AbQAsACAAIAAgACAAIAAgACAAIAAgACAAIAAgACAAIAAgAFwAIgBtAG0AbQBtACAAeQB5AHkAXAAiACwAXABuACAAIAAgACAAZABhAHkALAAgACAAIAAgACAAIAAgACAAIAAgACAAIAAgACAAIAAgAFwAIgBtAC8AZAAvAHkAeQB5AFwAIgAsAFwAbgAgACAAIAAgAHkAeQB5ACwAIAAgACAAIAAgACAAIAAgACAAIAAgACAAIAAgACAAIABcACIAeQB5AHkAXAAiACwAXABuAFwAbgAgACAAIAAgAGYAbQB0ACwAIAAgACAAIAAgACAAIAAgACAAIAAgACAAIAAgACAAIABJAEYAKABOAG8ARgBvAHIAbQBhAHQAPwAsAFwAbgAgACAAIAAgACAAIAAgACAAIAAgACAAIAAgACAAIAAgACAAIAAgACAAIAAgACAAIAAgACAAIAAgAFMAVwBJAFQAQwBIACgAaQBuAHQAZQByAHYAYQBsACwAXABuACAAIAAgACAAIAAgACAAIAAgACAAIAAgACAAIAAgACAAIAAgACAAIAAgACAAIAAgACAAIAAgACAAIAAgACAAIAAgACAAIAAgADEALAAgAGgAXwBtAG0ALABcAG4AIAAgACAAIAAgACAAIAAgACAAIAAgACAAIAAgACAAIAAgACAAIAAgACAAIAAgACAAIAAgACAAIAAgACAAIAAgACAAIAAgACAAMgAsACAAaABfAG0AbQAsAFwAbgAgACAAIAAgACAAIAAgACAAIAAgACAAIAAgACAAIAAgACAAIAAgACAAIAAgACAAIAAgACAAIAAgACAAIAAgACAAIAAgACAAIAAzACwAIABkAGEAeQAsAFwAbgAgACAAIAAgACAAIAAgACAAIAAgACAAIAAgACAAIAAgACAAIAAgACAAIAAgACAAIAAgACAAIAAgACAAIAAgACAAIAAgACAAIAA0ACwAIABkAGEAeQAsAFwAbgAgACAAIAAgACAAIAAgACAAIAAgACAAIAAgACAAIAAgACAAIAAgACAAIAAgACAAIAAgACAAIAAgACAAIAAgACAAIAAgACAAIAA1ACwAIABkAGEAeQAsAFwAbgAgACAAIAAgACAAIAAgACAAIAAgACAAIAAgACAAIAAgACAAIAAgACAAIAAgACAAIAAgACAAIAAgACAAIAAgACAAIAAgACAAIAA2ACwAIABtAG0AbQBtACwAXABuACAAIAAgACAAIAAgACAAIAAgACAAIAAgACAAIAAgACAAIAAgACAAIAAgACAAIAAgACAAIAAgACAAIAAgACAAIAAgACAAIAAgADcALAAgAG0AbQBtAG0ALABcAG4AIAAgACAAIAAgACAAIAAgACAAIAAgACAAIAAgACAAIAAgACAAIAAgACAAIAAgACAAIAAgACAAIAAgACAAIAAgACAAIAAgACAAOAAsACAAeQB5AHkALABcAG4AIAAgACAAIAAgACAAIAAgACAAIAAgACAAIAAgACAAIAAgACAAIAAgACAAIAAgACAAIAAgACAAIAAgACAAIAAgACAAIAAgACAAbQBtAG0AbQApACwAXABuACAAIAAgACAAIAAgACAAIAAgACAAIAAgACAAIAAgACAAIAAgACAAIAAgACAAIAAgACAAIAAgACAAZgBvAHIAbQBhAHQAKQAsAFwAbgBcAG4AIAAgACAAIAAvAC8AIABEAGEAdABlAC8AdABpAG0AZQAgAGEAcgByAGEAeQBzACAAKABkAGUAZgBlAHIAcgBlAGQAKQBcAG4AIAAgACAAIABtAGkAbgBfAGEAcgByACwAIAAgACAAIAAgACAAIAAgACAAIAAgACAATABBAE0AQgBEAEEAKABTAEUAUQBVAEUATgBDAEUAKABAAG0AaQBuAHUAdABlAHMAIAArACAAMQAsACAALAAgAGYAaQByAHMAdAAsACAAMQAgAC8AIAAxADQANAAwACkAKQAsAFwAbgAgACAAIAAgAGgAcgBzAF8AYQByAHIALAAgACAAIAAgACAAIAAgACAAIAAgACAAIABMAEEATQBCAEQAQQAoAFMARQBRAFUARQBOAEMARQAoAEAAaABvAHUAcgBzACAAKwAgADEALAAgACwAIABmAGkAcgBzAHQALAAgADEAIAAvACAAMgA0ACkAKQAsAFwAbgAgACAAIAAgAGQAYQB5AHMAXwBhAHIAcgAsACAAIAAgACAAIAAgACAAIAAgACAAIABMAEEATQBCAEQAQQAoAFMARQBRAFUARQBOAEMARQAoAGQAYQB5AHMAIAArACAAMQAsACAALAAgAG0AaQBuACwAIAAxACkAKQAsAFwAbgAgACAAIAAgAHcAZQBlAGsAcwBfAGEAcgByACwAIAAgACAAIAAgACAAIAAgACAAIABMAEEATQBCAEQAQQAoAEQAQQBUAEUAKAB5ACwAIABtACwAIABTAEUAUQBVAEUATgBDAEUAKAB3AGUAZQBrAHMAIAArACAAMQAsACAALAAgAGQALAAgADcAKQApACkALABcAG4AIAAgACAAIABmAG8AcgB0AF8AYQByAHIALAAgACAAIAAgACAAIAAgACAAIAAgACAATABBAE0AQgBEAEEAKABEAEEAVABFACgAeQAsACAAbQAsACAAUwBFAFEAVQBFAE4AQwBFACgAZgBvAHIAdABuAGkAZwBoAHQAIAArACAAMQAsACAALAAgAGQALAAgADEANAApACkAKQAsAFwAbgAgACAAIAAgAG0AbwBuAHQAaABfAGEAcgByACwAIAAgACAAIAAgACAAIAAgACAAIABMAEEATQBCAEQAQQAoAEQAQQBUAEUAKAB5ACwAIABtACAAKwAgAFMARQBRAFUARQBOAEMARQAoAG0AbwBuAHQAaABzACAAKwAgADEALAAgACwAIAAwACkALAAgAGQAKQApACwAXABuACAAIAAgACAAcQB0AHIAcwBfAGEAcgByACwAIAAgACAAIAAgACAAIAAgACAAIAAgAEwAQQBNAEIARABBACgARABBAFQARQAoAHkALAAgAG0AIAArACAAUwBFAFEAVQBFAE4AQwBFACgAcQB1AGEAcgB0AGUAcgBzACAAKwAgADEALAAgACwAIAAwACwAIAAzACkALAAgAGQAKQApACwAXABuACAAIAAgACAAeQByAHMAXwBhAHIAcgAsACAAIAAgACAAIAAgACAAIAAgACAAIAAgAEwAQQBNAEIARABBACgARABBAFQARQAoAHkAIAArACAAUwBFAFEAVQBFAE4AQwBFACgAQAB5AGUAYQByAHMAIAArACAAMQAsACAALAAgADAAKQAsACAAbQAsACAAMQApACkALABcAG4AXABuACAAIAAgACAALwAvACAASQBuAHQAZQByAHYAYQBsACAAcwBlAGwAZQBjAHQAaQBvAG4AXABuACAAIAAgACAAYgBpAG4ALAAgACAAIAAgACAAIAAgACAAIAAgACAAIAAgACAAIAAgAEwAQQBNAEIARABBACgASQBGACgAaQBuAHQAZQByAHYAYQBsACAAPAAgADMALABcAG4AIAAgACAAIAAgACAAIAAgACAAIAAgACAAIAAgACAAIAAgACAAIAAgACAAIAAgACAAIAAgACAAIAAgACAAIAAgAFIATwBVAE4ARAAoAEMASABPAE8AUwBFACgAaQBuAHQAZQByAHYAYQBsACwAIABtAGkAbgBfAGEAcgByACgAKQAsACAAaAByAHMAXwBhAHIAcgAoACkAKQAgACoAIAB1AG4AaQB0ACwAXABuACAAIAAgACAAIAAgACAAIAAgACAAIAAgACAAIAAgACAAIAAgACAAIAAgACAAIAAgACAAIAAgACAAIAAgACAAIAAgACAAIAAgADAAKQAgAC8AIAB1AG4AaQB0ACwAXABuACAAIAAgACAAIAAgACAAIAAgACAAIAAgACAAIAAgACAAIAAgACAAIAAgACAAIAAgACAAIAAgACAAIAAgACAAIABDAEgATwBPAFMARQAoAFwAbgAgACAAIAAgACAAIAAgACAAIAAgACAAIAAgACAAIAAgACAAIAAgACAAIAAgACAAIAAgACAAIAAgACAAIAAgACAAIAAgACAAIABpAG4AdABlAHIAdgBhAGwAIAAtACAAMgAsAFwAbgAgACAAIAAgACAAIAAgACAAIAAgACAAIAAgACAAIAAgACAAIAAgACAAIAAgACAAIAAgACAAIAAgACAAIAAgACAAIAAgACAAIABkAGEAeQBzAF8AYQByAHIAKAApACwAXABuACAAIAAgACAAIAAgACAAIAAgACAAIAAgACAAIAAgACAAIAAgACAAIAAgACAAIAAgACAAIAAgACAAIAAgACAAIAAgACAAIAAgAHcAZQBlAGsAcwBfAGEAcgByACgAKQAsAFwAbgAgACAAIAAgACAAIAAgACAAIAAgACAAIAAgACAAIAAgACAAIAAgACAAIAAgACAAIAAgACAAIAAgACAAIAAgACAAIAAgACAAIABmAG8AcgB0AF8AYQByAHIAKAApACwAXABuACAAIAAgACAAIAAgACAAIAAgACAAIAAgACAAIAAgACAAIAAgACAAIAAgACAAIAAgACAAIAAgACAAIAAgACAAIAAgACAAIAAgAG0AbwBuAHQAaABfAGEAcgByACgAKQAsAFwAbgAgACAAIAAgACAAIAAgACAAIAAgACAAIAAgACAAIAAgACAAIAAgACAAIAAgACAAIAAgACAAIAAgACAAIAAgACAAIAAgACAAIABxAHQAcgBzAF8AYQByAHIAKAApACwAXABuACAAIAAgACAAIAAgACAAIAAgACAAIAAgACAAIAAgACAAIAAgACAAIAAgACAAIAAgACAAIAAgACAAIAAgACAAIAAgACAAIAAgAHkAcgBzAF8AYQByAHIAKAApACkAKQApACwAXABuAFwAbgAgACAAIAAgAC8ALwAgAEwAYQBiAGUAbAAgAGEAcwBzAGkAZwBuAG0AZQBuAHQAXABuACAAIAAgACAAaQAsACAAIAAgACAAIAAgACAAIAAgACAAIAAgACAAIAAgACAAIAAgAEwAQQBNAEIARABBACgASQBGACgAaQBuAHQAZQByAHYAYQBsACAAPQAgADgALABYAE0AQQBUAEMASAAoAFkARQBBAFIAKABkAGEAdABlAHMAKQAsACAAWQBFAEEAUgAoAGIAaQBuACgAKQApACkALABcAG4AIAAgACAAIAAgACAAIAAgACAAIAAgACAAIAAgACAAIAAgACAAIAAgACAAIAAgACAAIAAgACAAIAAgACAAIAAgAFgATQBBAFQAQwBIACgAZABhAHQAZQBzACwAIABiAGkAbgAoACkALAAgAC0AMQApACkAKQAsAFwAbgBcAG4AIAAgACAAIABkAGEAdABlAF8AZgBpAGUAbABkACwAIAAgACAAIAAgACAAIAAgACAATABBAE0AQgBEAEEAKABJAE4ARABFAFgAKABiAGkAbgAoACkALAAgAGkAKAApACkAKQAsAFwAbgBcAG4AIAAgACAAIAAvAC8AIABSAG8AdwAgAGwAYQBiAGUAbABzAFwAbgAgACAAIAAgAHIAbwB3AF8AbABhAGIAZQBsAHMALAAgACAAIAAgACAAIAAgACAAIABJAEYAKAB3ACAAPQAgADEALABkAGEAdABlAF8AZgBpAGUAbABkACgAKQAsAFwAbgAgACAAIAAgACAAIAAgACAAIAAgACAAIAAgACAAIAAgACAAIAAgACAAIAAgACAAIAAgACAAIAAgAEgAUwBUAEEAQwBLACgAZABhAHQAZQBfAGYAaQBlAGwAZAAoACkALAAgAHIAbwB3AF8AZABlAHQAYQBpAGwAcwApACkALABcAG4AXABuACAAIAAgACAALwAvACAASABlAGEAZABlAHIAcwBcAG4AIAAgACAAIAB0AG8AdABhAGwAXwBsAGEAYgBlAGwALAAgACAAIAAgACAAIAAgACAAUwBXAEkAVABDAEgAKABpAG4AdABlAHIAdgBhAGwALABcAG4AIAAgACAAIAAgACAAIAAgACAAIAAgACAAIAAgACAAIAAgACAAIAAgACAAIAAgACAAIAAgACAAIAAgACAAIAAgACAAIAAgACAAIAAgACAAIAAxACwAIABcACIAVABvAHQAYQBsAHMAIABiAHkAIABtAGkAbgB1AHQAZQBcACIALABcAG4AIAAgACAAIAAgACAAIAAgACAAIAAgACAAIAAgACAAIAAgACAAIAAgACAAIAAgACAAIAAgACAAIAAgACAAIAAgACAAIAAgACAAIAAgACAAIAAyACwAIABcACIAVABvAHQAYQBsAHMAIABiAHkAIABoAG8AdQByAFwAIgAsAFwAbgAgACAAIAAgACAAIAAgACAAIAAgACAAIAAgACAAIAAgACAAIAAgACAAIAAgACAAIAAgACAAIAAgACAAIAAgACAAIAAgACAAIAAgACAAIAAgADMALAAgAFwAIgBUAG8AdABhAGwAcwAgAGIAeQAgAEQAYQB5AFwAIgAsAFwAbgAgACAAIAAgACAAIAAgACAAIAAgACAAIAAgACAAIAAgACAAIAAgACAAIAAgACAAIAAgACAAIAAgACAAIAAgACAAIAAgACAAIAAgACAAIAAgADQALAAgAFwAIgBXAGUAZQBrAGwAeQAgAFQAbwB0AGEAbABzAFwAIgAsAFwAbgAgACAAIAAgACAAIAAgACAAIAAgACAAIAAgACAAIAAgACAAIAAgACAAIAAgACAAIAAgACAAIAAgACAAIAAgACAAIAAgACAAIAAgACAAIAAgADUALAAgAFwAIgBCAGkAdwBlAGUAawBsAHkAIABUAG8AdABhAGwAcwBcACIALABcAG4AIAAgACAAIAAgACAAIAAgACAAIAAgACAAIAAgACAAIAAgACAAIAAgACAAIAAgACAAIAAgACAAIAAgACAAIAAgACAAIAAgACAAIAAgACAAIAA2ACwAIABcACIATQBvAG4AdABoAGwAeQAgAFQAbwB0AGEAbABzAFwAIgAsAFwAbgAgACAAIAAgACAAIAAgACAAIAAgACAAIAAgACAAIAAgACAAIAAgACAAIAAgACAAIAAgACAAIAAgACAAIAAgACAAIAAgACAAIAAgACAAIAAgADcALAAgAFwAIgBUAG8AdABhAGwAcwAgAGIAeQAgAFEAdQBhAHIAdABlAHIAXAAiACwAXABuACAAIAAgACAAIAAgACAAIAAgACAAIAAgACAAIAAgACAAIAAgACAAIAAgACAAIAAgACAAIAAgACAAIAAgACAAIAAgACAAIAAgACAAIAAgACAAOAAsACAAXAAiAFkAZQBhAHIAbAB5ACAAVABvAHQAYQBsAHMAXAAiACwAXABuACAAIAAgACAAIAAgACAAIAAgACAAIAAgACAAIAAgACAAIAAgACAAIAAgACAAIAAgACAAIAAgACAAIAAgACAAIAAgACAAIAAgACAAIAAgACAAXAAiAFwAIgApACwAXABuAFwAbgAgACAAIAAgAHQAbwB0AGEAbABfAGgAZQBhAGQAZQByACwAIAAgACAAIAAgACAAIABFAFgAUABBAE4ARAAoAEkARgAoAE8AUgAoAGkAbgB0AGUAcgB2AGEAbAAgAD0AIAA0ACwAIABpAG4AdABlAHIAdgBhAGwAIAA9ACAANQApACwAXABuACAAIAAgACAAIAAgACAAIAAgACAAIAAgACAAIAAgACAAIAAgACAAIAAgACAAIAAgACAAIAAgACAAIAAgACAAIABIAFMAVABBAEMASwAoAHQAbwB0AGEAbABfAGwAYQBiAGUAbAAsACAAXAAiAEUAbgBkAGkAbgBnACAARABhAHQAZQBcACIAKQAsAFwAbgAgACAAIAAgACAAIAAgACAAIAAgACAAIAAgACAAIAAgACAAIAAgACAAIAAgACAAIAAgACAAIAAgACAAIAAgACAAdABvAHQAYQBsAF8AbABhAGIAZQBsACkALAAsAHcAIAArACAASQBuAGMAbAB1AGQAZQBzAF8AZQBuAGQAPwAsAFwAIgBcACIAKQAsAFwAbgBcAG4AIAAgACAAIABhAGcAZwBfAGgAZQBhAGQAZQByACwAIAAgACAAIAAgACAAIAAgACAASQBGACgASABlAGEAZABlAHIAPwAsAHYAYQBsAHUAZQBzAF8AaABlAGEAZABlAHIALABcAG4AIAAgACAAIAAgACAAIAAgACAAIAAgACAAIAAgACAAIAAgACAAIAAgACAAIAAgACAAIAAgACAAIABFAFgAUABBAE4ARAAoAFwAIgBcACIALAAgACwAIAB3AF8ALAAgAFwAIgBcACIAKQApACwAXABuAFwAbgAgACAAIAAgAC8ALwAgAEEAZwBnAHIAZQBnAGEAdABpAG8AbgBcAG4AIAAgACAAIABuAG8AXwBmAGkAbAB0AGUAcgAsACAAIAAgACAAIAAgACAAIAAgACAARwBSAE8AVQBQAEIAWQAoAHIAbwB3AF8AbABhAGIAZQBsAHMALAAgAHYAYQBsAHUAZQBzACwAIABmAHUAbgBjAHQAaQBvAG4ALAAgAEgAZQBhAGQAZQByAD8AKQAsAFwAbgAgACAAIAAgAGYAaQBsAHQAZQByAF8AaQBuAGMALAAgACAAIAAgACAAIAAgACAAIABHAFIATwBVAFAAQgBZACgAcgBvAHcAXwBsAGEAYgBlAGwAcwAsACAAdgBhAGwAdQBlAHMALAAgAGYAdQBuAGMAdABpAG8AbgAsACAASABlAGEAZABlAHIAPwAsACAALAAgACwAIABmAGkAbAB0AGUAcgBfAHUAcwBlAGQAKQAsAFwAbgAgACAAIAAgAGEAZwBnACwAIAAgACAAIAAgACAAIAAgACAAIAAgACAAIAAgACAAIABJAEYAKABGAGkAbAB0AGUAcgA/ACwAIABmAGkAbAB0AGUAcgBfAGkAbgBjACwAIABuAG8AXwBmAGkAbAB0AGUAcgApACwAXABuAFwAbgAgACAAIAAgAC8ALwAgAFIAbwB3ACAAbABhAGIAZQBsACAAKAB1AG4AZgBvAHIAbQBhAHQAdABlAGQAKQAgAGEAbgBkACAAZgBvAHIAbQBhAHQAdABlAGQAXABuACAAIAAgACAAcgBvAHcAXwBsAGEAYgBlAGwALAAgACAAIAAgACAAIAAgACAAIAAgAEwAQQBNAEIARABBACgAVABBAEsARQAoAGEAZwBnACwAIAAsACAAMQApACkALABcAG4AIAAgACAAIABhACwAIAAgACAAIAAgACAAIAAgACAAIAAgACAAIAAgACAAIAAgACAATABBAE0AQgBEAEEAKABUAEUAWABUACgAcgBvAHcAXwBsAGEAYgBlAGwAKAApACwAIABmAG0AdAApACkALABcAG4AXABuACAAIAAgACAALwAvACAARQBuAGQAaQBuAGcAIABkAGEAdABlAHMAIABmAG8AcgAgAHcAZQBlAGsAbAB5ACAALwAgAGIAaQB3AGUAZQBrAGwAeQBcAG4AIAAgACAAIABiAGkAbgBfAGUAbgBkACwAIAAgACAAIAAgACAAIAAgACAAIAAgACAATABBAE0AQgBEAEEAKABJAEYAKABpAG4AdABlAHIAdgBhAGwAIAA9ACAANAAsAFQARQBYAFQAKABhACgAKQAgACsAIAA2ACwAIABmAG0AdAApACwAXABuACAAIAAgACAAIAAgACAAIAAgACAAIAAgACAAIAAgACAAIAAgACAAIAAgACAAIAAgACAAIAAgACAAIAAgACAAIABJAEYAKABpAG4AdABlAHIAdgBhAGwAIAA9ACAANQAsACAAVABFAFgAVAAoAGEAKAApACAAKwAgADEAMwAsACAAZgBtAHQAKQAsACAAMAApACkAKQAsAFwAbgBcAG4AIAAgACAAIAAvAC8AIABSAGUAbQBhAGkAbgBpAG4AZwAgAGMAbwBsAHUAbQBuAHMAXABuACAAIAAgACAAYgAsACAAIAAgACAAIAAgACAAIAAgACAAIAAgACAAIAAgACAAIAAgAEwAQQBNAEIARABBACgARABSAE8AUAAoAGEAZwBnACwAIAAsACAAMQApACkALABcAG4AXABuACAAIAAgACAALwAvACAAUwB0AGEAYwBrAHMAXABuACAAIAAgACAAcwB0AGEAYwBrACwAIAAgACAAIAAgACAAIAAgACAAIAAgACAAIAAgAFYAUwBUAEEAQwBLACgASABTAFQAQQBDAEsAKAB0AG8AdABhAGwAXwBoAGUAYQBkAGUAcgAsACAAYQBnAGcAXwBoAGUAYQBkAGUAcgApACwAXABuACAAIAAgACAAIAAgACAAIAAgACAAIAAgACAAIAAgACAAIAAgACAAIAAgACAAIAAgACAAIAAgACAAIAAgACAASABTAFQAQQBDAEsAKABhACgAKQAsACAAYgAoACkAKQApACwAXABuAFwAbgAgACAAIAAgAHMAdABhAGMAawBfAGUAbgBkACwAIAAgACAAIAAgACAAIAAgACAAIABJAEYARQBSAFIATwBSACgAXABuACAAIAAgACAAIAAgACAAIAAgACAAIAAgACAAIAAgACAAIAAgACAAIAAgACAAIAAgACAAIAAgACAAVgBTAFQAQQBDAEsAKABcAG4AIAAgACAAIAAgACAAIAAgACAAIAAgACAAIAAgACAAIAAgACAAIAAgACAAIAAgACAAIAAgACAAIAAgACAAIAAgAEgAUwBUAEEAQwBLACgAdABvAHQAYQBsAF8AaABlAGEAZABlAHIALAAgAGEAZwBnAF8AaABlAGEAZABlAHIAKQAsAFwAbgAgACAAIAAgACAAIAAgACAAIAAgACAAIAAgACAAIAAgACAAIAAgACAAIAAgACAAIAAgACAAIAAgACAAIAAgACAASABTAFQAQQBDAEsAKABhACgAKQAsACAAYgBpAG4AXwBlAG4AZAAoACkALAAgAGIAKAApACkAXABuACAAIAAgACAAIAAgACAAIAAgACAAIAAgACAAIAAgACAAIAAgACAAIAAgACAAIAAgACAAIAAgACAAKQAsAFwAIgBcACIAKQAsAFwAbgBcAG4AIAAgACAAIABkAGUAbABpAHYAZQByAHkALAAgACAAIAAgACAAIAAgACAAIAAgACAASQBGACgATwBSACgAaQBuAHQAZQByAHYAYQBsACAAPQAgADQALAAgAGkAbgB0AGUAcgB2AGEAbAAgAD0AIAA1ACkALAAgAHMAdABhAGMAawBfAGUAbgBkACwAIABzAHQAYQBjAGsAKQAsAFwAbgBcAG4AIAAgACAAIABkAGUAbABpAHYAZQByAHk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HAEQ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cAcgBvAHUAcABiAHkARABhAHQAZQC7Ay4AIABFAG4AcwB1AHIAZQBzACAAdABoAGEAdAAgAHIAbwB3AF8AZgBpAGUAbABkAHMAIABjAG8AbgB0AGEAaQBuACAAdgBhAGwAaQBkAFwAbgAgACAAIAAgAGQAYQB0AGUAcwAsACAAdABoAGEAdAAgAGkAbgB0AGUAcgB2AGEAbABzACAAYQByAGUAIAByAGUAYwBvAGcAbgBpAHoAZQBkACwAIAB0AGgAYQB0ACAAdgBhAGwAdQBlAHMAIABhAG4AZAAgAGYAaQBsAHQAZQByAHMAIABhAGwAaQBnAG4AIABpAG4AXABuACAAIAAgACAAcwBoAGEAcABlACwAIABhAG4AZAAgAHQAaABhAHQAIAB0AGgAZQAgAGEAZwBnAHIAZQBnAGEAdABpAG8AbgAgAGYAdQBuAGMAdABpAG8AbgAgAGkAcwAgAGMAYQBsAGwAYQBiAGwAZQAuAFwAbgBcAG4AUABhAHIAYQBtAGUAdABlAHIAcwA6AFwAbgAgACAAIAAgAHIAbwB3AF8AZgBpAGUAbABkAHMAIAAgACAAIAAgACAALQAgAEEAcgByAGEAeQAgAHcAaQB0AGgAIABkAGEAdABlAHMAIABpAG4AIAB0AGgAZQAgAGwAZQBmAHQAbQBvAHMAdAAgAGMAbwBsAHUAbQBuAC4AXABuACAAIAAgACAAdgBhAGwAdQBlAHMAIAAgACAAIAAgACAAIAAgACAAIAAtACAAQQByAHIAYQB5ACAAbwBmACAAdgBhAGwAdQBlAHMAIAB0AG8AIABhAGcAZwByAGUAZwBhAHQAZQAuAFwAbgAgACAAIAAgAGkAbgB0AGUAcgB2AGEAbAAgACAAIAAgACAAIAAgACAALQAgAEQAYQB0AGUALwB0AGkAbQBlACAAaQBuAHQAZQByAHYAYQBsACAAKABuAHUAbQBlAHIAaQBjACAAbwByACAAdABlAHgAdAApAC4AXABuACAAIAAgACAAZgB1AG4AYwB0AGkAbwBuACAAIAAgACAAIAAgACAAIAAtACAARQBUAEEAIABvAHIAIABzAGkAbgBnAGwAZQARIHAAYQByAGEAbQBlAHQAZQByACAATABBAE0AQgBEAEEALgBcAG4AIAAgACAAIABbAGYAaQBlAGwAZABfAGgAZQBhAGQAZQByAHMAXQAgAC0AIABUAFIAVQBFACAAaQBmACAAcgBvAHcAXwBmAGkAZQBsAGQAcwAvAHYAYQBsAHUAZQBzACAAaQBuAGMAbAB1AGQAZQAgAGgAZQBhAGQAZQByAHMALgBcAG4AIAAgACAAIABbAGYAaQBsAHQAZQByAF8AYQByAHIAYQB5AF0AIAAgAC0AIABCAG8AbwBsAGUAYQBuACAAZgBpAGwAdABlAHIAIABhAHIAcgBhAHkALgBcAG4AIAAgACAAIABbAE8AbgBfAFYAYQBsAGkAZABdACAAIAAgACAAIAAgAC0AIABFAHgAcAByAGUAcwBzAGkAbwBuACAAdABvACAAZQB2AGEAbAB1AGEAdABlACAAdwBoAGUAbgAgAGkAbgBwAHUAdABzACAAYQByAGUAIAB2AGEAbABpAGQALgBcAG4AXABuAE4AbwB0AGUAcwA6AFwAbgAgACAAIAAgACIgIABEAGUAdABlAGMAdABzACAAaQBuAHYAYQBsAGkAZAAgAGQAYQB0AGUAcwAsACAAbQBpAHMAcwBpAG4AZwAgAHQAaQBtAGUAIABjAG8AbQBwAG8AbgBlAG4AdABzACwAIABhAG4AZAAgAG0AYQBsAGYAbwByAG0AZQBkACAAaQBuAHQAZQByAHYAYQBsAHMALgBcAG4AIAAgACAAIAAiICAARQBuAHMAdQByAGUAcwAgAHIAbwB3AF8AZgBpAGUAbABkAHMALAAgAHYAYQBsAHUAZQBzACwAIABhAG4AZAAgAGYAaQBsAHQAZQByAF8AYQByAHIAYQB5ACAAaABhAHYAZQAgAG0AYQB0AGMAaABpAG4AZwAgAGgAZQBpAGcAaAB0AHMALgBcAG4AIAAgACAAIAAiICAARQBuAHMAdQByAGUAcwAgAGYAdQBuAGMAdABpAG8AbgAgAGkAcwAgAGMAYQBsAGwAYQBiAGwAZQAgAHYAaQBhACAAYQAgAHMAYQBmAGUAIABCAFkAUgBPAFcAIAB0AGUAcwB0AC4AXABuAC0ALQAtAC0ALQAtAC0ALQAtAC0ALQAtAC0ALQAtAC0ALQAtAC0ALQAtAC0ALQAtAC0ALQAtAC0ALQAtAC0ALQAtAC0ALQAtAC0ALQAtAC0ALQAtAC0ALQAtAC0ALQAtAC0ALQAtAC0ALQAtAC0ALQAtAC0ALQAtAC0ALQAtAC0ALQAtAC0ALQAtAC0ALQAtAC0ALQAtAC0ALQAtACoALwBcAG4AXABuAFYAYQBsAGkAZABhAHQAZQBHAEQAuwMgAD0AXABuAEwAQQBNAEIARABBACgAXABuACAAIAAgACAAcgBvAHcAXwBmAGkAZQBsAGQAcwAsAFwAbgAgACAAIAAgAHYAYQBsAHUAZQBzACwAXABuACAAIAAgACAAaQBuAHQAZQByAHYAYQBsACwAXABuACAAIAAgACAAZgB1AG4AYwB0AGkAbwBuACwAXABuACAAIAAgACAAWwBmAGkAZQBsAGQAXwBoAGUAYQBkAGUAcgBzAF0ALABcAG4AIAAgACAAIABbAGYAaQBsAHQAZQByAF8AYQByAHIAYQB5AF0ALABcAG4AIAAgACAAIABbAE8AbgBfAFYAYQBsAGkAZABdACwAXABuAEwARQBUACgAXABuACAAIAAgACAALwAvACAALQAtAC0AIABPAHAAdABpAG8AbgBhAGwAIABmAGwAYQBnAHMAIAAtAC0ALQBcAG4AIAAgACAAIABOAG8AXwBGAGkAZQBsAGQAXwBIAGUAYQBkAGUAcgBzAD8ALAAgACAAIAAgACAAIABJAFMATwBNAEkAVABUAEUARAAoAGYAaQBlAGwAZABfAGgAZQBhAGQAZQByAHMAKQAsAFwAbgAgACAAIAAgAEYAaQBsAHQAZQByAEkAbgBjAGwAdQBkAGUAZAA/ACwAIAAgACAAIAAgACAAIAAgAE4ATwBUACgASQBTAE8ATQBJAFQAVABFAEQAKABmAGkAbAB0AGUAcgBfAGEAcgByAGEAeQApACkALABcAG4AXABuACAAIAAgACAALwAvACAALQAtAC0AIABFAHgAdAByAGEAYwB0ACAAZABhAHQAZQAgAGEAbgBkACAAdgBhAGwAdQBlACAAYwBvAGwAdQBtAG4AcwAgAC0ALQAtAFwAbgAgACAAIAAgAEQAYQB0AGUAXwBjAG8AbAAsACAAIAAgACAAIAAgACAAIAAgACAAIAAgACAAIAAgAEkARgAoAE4AbwBfAEYAaQBlAGwAZABfAEgAZQBhAGQAZQByAHMAPwAsAFQAQQBLAEUAKAByAG8AdwBfAGYAaQBlAGwAZABzACwAIAAsACAAMQApACwAXABuACAAIAAgACAAIAAgACAAIAAgACAAIAAgACAAIAAgACAAIAAgACAAIAAgACAAIAAgACAAIAAgACAAIAAgACAAIABEAFIATwBQACgAVABBAEsARQAoAHIAbwB3AF8AZgBpAGUAbABkAHMALAAgACwAIAAxACkALAAgADEAKQApACwAXABuAFwAbgAgACAAIAAgAFYAYQBsAHUAZQBzAF8AYwBvAGwALAAgACAAIAAgACAAIAAgACAAIAAgACAAIAAgAEkARgAoAE4AbwBfAEYAaQBlAGwAZABfAEgAZQBhAGQAZQByAHMAPwAsAFQAQQBLAEUAKAB2AGEAbAB1AGUAcwAsACAALAAgADEAKQAsAFwAbgAgACAAIAAgACAAIAAgACAAIAAgACAAIAAgACAAIAAgACAAIAAgACAAIAAgACAAIAAgACAAIAAgACAAIAAgACAARABSAE8AUAAoAFQAQQBLAEUAKAB2AGEAbAB1AGUAcwAsACAALAAgADEAKQAsACAAMQApACkALABcAG4AXABuACAAIAAgACAALwAvACAALQAtAC0AIABGAGkAbAB0AGUAcgAgAGEAcgByAGEAeQAgAG4AbwByAG0AYQBsAGkAegBhAHQAaQBvAG4AIAAtAC0ALQBcAG4AIAAgACAAIABCAG8AbwBsACwAIAAgACAAIAAgACAAIAAgACAAIAAgACAAIAAgACAAIAAgACAAIABJAEYARQBSAFIATwBSACgASQBGACgATgBvAF8ARgBpAGUAbABkAF8ASABlAGEAZABlAHIAcwA/ACwAZgBpAGwAdABlAHIAXwBhAHIAcgBhAHkALABcAG4AIAAgACAAIAAgACAAIAAgACAAIAAgACAAIAAgACAAIAAgACAAIAAgACAAIAAgACAAIAAgACAAIAAgACAAIAAgACAAIAAgACAARABSAE8AUAAoAGYAaQBsAHQAZQByAF8AYQByAHIAYQB5ACwAIAAxACkAIAApACwAMAApACwAXABuAFwAbgAgACAAIAAgAC8ALwAgAC0ALQAtACAARABhAHQAZQAgAHYAYQBsAGkAZABpAHQAeQAgAGMAaABlAGMAawBzACAALQAtAC0AXABuACAAIAAgACAATgBvAF8ARABhAHQAZQBzAD8ALAAgACAAIAAgACAAIAAgACAAIAAgACAAIAAgACAATwBSACgARABhAHQAZQBfAGMAbwBsACAAPAAgADAALABEAGEAdABlAF8AYwBvAGwAIAA+ACAAMgA5ADUAOAA0ADYANQAsAE4ATwBUACgAQQBOAEQAKABJAFMATgBVAE0AQgBFAFIAKABEAGEAdABlAF8AYwBvAGwAKQApACkAKQAsAFwAbgBcAG4AIAAgACAAIABOAG8AXwBUAGkAbQBlAHMAPwAsACAAIAAgACAAIAAgACAAIAAgACAAIAAgACAAIABBAE4ARAAoAEQAYQB0AGUAXwBjAG8AbAAgAC0AIABJAE4AVAAoAEQAYQB0AGUAXwBjAG8AbAApACAAPQAgADAAKQAsAFwAbgBcAG4AIAAgACAAIAAvAC8AIAAtAC0ALQAgAEQAaQBtAGUAbgBzAGkAbwBuACAAYwBoAGUAYwBrAHMAIAAtAC0ALQBcAG4AIAAgACAAIABpAF8AZAAsACAAIAAgACAAIAAgACAAIAAgACAAIAAgACAAIAAgACAAIAAgACAAIABSAE8AVwBTACgARABhAHQAZQBfAGMAbwBsACkALABcAG4AIAAgACAAIABpAF8AdgAsACAAIAAgACAAIAAgACAAIAAgACAAIAAgACAAIAAgACAAIAAgACAAIABSAE8AVwBTACgAVgBhAGwAdQBlAHMAXwBjAG8AbAApACwAXABuACAAIAAgACAAaQBfAGYALAAgACAAIAAgACAAIAAgACAAIAAgACAAIAAgACAAIAAgACAAIAAgACAASQBGACgARgBpAGwAdABlAHIASQBuAGMAbAB1AGQAZQBkAD8ALAAgAFIATwBXAFMAKABCAG8AbwBsACkALAAgADAAKQAsAFwAbgBcAG4AIAAgACAAIAAvAC8AIAAtAC0ALQAgAEkAbgB0AGUAcgB2AGEAbAAgAHYAYQBsAGkAZABhAHQAaQBvAG4AIAAtAC0ALQBcAG4AIAAgACAAIABDAG8AbgBzAHQALAAgACAAIAAgACAAIAAgACAAIAAgACAAIAAgACAAIAAgACAAIAB7AFwAIgBtAGkAbgB1AHQAZQBcACIAOwBcACIAaABvAHUAcgBcACIAOwBcACIAZABhAHkAXAAiADsAXAAiAHcAZQBlAGsAXAAiADsAXABuACAAIAAgACAAIAAgACAAIAAgACAAIAAgACAAIAAgACAAIAAgACAAIAAgACAAIAAgACAAIAAgACAAIABcACIAZgBvAHIAdABuAGkAZwBoAHQAXAAiADsAXAAiAG0AbwBuAHQAaABcACIAOwBcACIAcQB1AGEAcgB0AGUAcgBcACIAOwBcACIAeQBlAGEAcgBcACIAfQAsAFwAbgBcAG4AIAAgACAAIABUAGUAeAB0AEkAbgB0AGUAcgB2AGEAbAA/ACwAIAAgACAAIAAgACAAIAAgACAAIABJAFMAVABFAFgAVAAoAGkAbgB0AGUAcgB2AGEAbAApACwAXABuACAAIAAgACAATgB1AG0AZQByAGkAYwBJAG4AdABlAHIAdgBhAGwAPwAsACAAIAAgACAAIAAgACAASQBTAE4AVQBNAEIARQBSACgAaQBuAHQAZQByAHYAYQBsACkALABcAG4AXABuACAAIAAgACAASQBuAHYAYQBsAGkAZABJAG4AdABlAHIAdgBhAGwAPwAsACAAIAAgACAAIAAgACAASQBGACgAQQBOAEQAKABOAHUAbQBlAHIAaQBjAEkAbgB0AGUAcgB2AGEAbAA/ACwAIABPAFIAKABpAG4AdABlAHIAdgBhAGwAIAA8ACAAMQAsACAAaQBuAHQAZQByAHYAYQBsACAAPgAgADgAKQApACwAVABSAFUARQAsAFwAbgAgACAAIAAgACAAIAAgACAAIAAgACAAIAAgACAAIAAgACAAIAAgACAAIAAgACAAIAAgACAAIAAgACAAIAAgACAASQBGACgAQQBOAEQAKABUAGUAeAB0AEkAbgB0AGUAcgB2AGEAbAA/ACwAIABJAFMATgBBACgAWABNAEEAVABDAEgAKABpAG4AdABlAHIAdgBhAGwAIAAmACAAXAAiACoAXAAiACwAIABDAG8AbgBzAHQALAAgADIAKQApACkALABUAFIAVQBFACwAXABuACAAIAAgACAAIAAgACAAIAAgACAAIAAgACAAIAAgACAAIAAgACAAIAAgACAAIAAgACAAIAAgACAAIAAgACAAIAAgACAAIAAgAEYAQQBMAFMARQApACkALABcAG4AXABuACAAIAAgACAASQBzAFQAaQBtAGUAPwAsACAAIAAgACAAIAAgACAAIAAgACAAIAAgACAAIAAgACAAaQBuAHQAZQByAHYAYQBsACAAPAAgADMALABcAG4AXABuACAAIAAgACAALwAvACAALQAtAC0AIABIAGEAbAB0AGkAbgBnACAAYwBvAG4AZABpAHQAaQBvAG4AcwAgAC0ALQAtAFwAbgAgACAAIAAgAEUAbQBwAHQAeQBJAG4AcAB1AHQAcwA/ACwAIAAgACAAIAAgACAAIAAgACAAIAAgAE8AUgAoAEkAUwBPAE0ASQBUAFQARQBEACgAcgBvAHcAXwBmAGkAZQBsAGQAcwApACwAIABJAFMATwBNAEkAVABUAEUARAAoAHYAYQBsAHUAZQBzACkAKQAsAFwAbgBcAG4AIAAgACAAIABIAGEAbAB0AEQAYQB0AGUAcwA/ACwAIAAgACAAIAAgACAAIAAgACAAIAAgACAAIABBAE4ARAAoAGkAbgB0AGUAcgB2AGEAbAAgAD4AIAAyACwAIABOAG8AXwBEAGEAdABlAHMAPwApACwAXABuACAAIAAgACAASABhAGwAdABUAGkAbQBlAD8ALAAgACAAIAAgACAAIAAgACAAIAAgACAAIAAgACAAQQBOAEQAKABJAHMAVABpAG0AZQA/ACwAIABOAG8AXwBUAGkAbQBlAHMAPwApACwAXABuAFwAbgAgACAAIAAgAFMAaABhAHAAZQBNAGkAcwBtAGEAdABjAGgAPwAsACAAIAAgACAAIAAgACAAIAAgAE8AUgAoAGkAXwBkACAAPAA+ACAAaQBfAHYALABBAE4ARAAoAEYAaQBsAHQAZQByAEkAbgBjAGwAdQBkAGUAZAA/ACwAIABpAF8AZAAgADwAPgAgAGkAXwBmACkAKQAsAFwAbgBcAG4AIAAgACAAIABJAG4AdgBhAGwAaQBkAEYAbgA/ACwAIAAgACAAIAAgACAAIAAgACAAIAAgACAAIABUAFkAUABFACgAZgB1AG4AYwB0AGkAbwBuACkAIAA8AD4AIAAxADIAOAAsAFwAbgBcAG4AIAAgACAAIABFAG0AcAB0AHkARgBpAGwAdABlAHIAPwAsACAAIAAgACAAIAAgACAAIAAgACAAIABBAE4ARAAoAEYAaQBsAHQAZQByAEkAbgBjAGwAdQBkAGUAZAA/ACwAIABOAE8AVAAoAE8AUgAoAEIAbwBvAGwAKQApACkALABcAG4AXABuACAAIAAgACAALwAvACAAQwBvAGwAbABlAGMAdAAgAGEAbABsACAAYwBvAG4AZABpAHQAaQBvAG4AcwBcAG4AIAAgACAAIABjAG8AbgBkAGkAdABpAG8AbgBzACwAIAAgACAAIAAgACAAIAAgACAAIAAgACAAIABWAFMAVABBAEMASwAoAEUAbQBwAHQAeQBJAG4AcAB1AHQAcwA/ACwASABhAGwAdABEAGEAdABlAHMAPwAsAEgAYQBsAHQAVABpAG0AZQA/ACwAXABuACAAIAAgACAAIAAgACAAIAAgACAAIAAgACAAIAAgACAAIAAgACAAIAAgACAAIAAgACAAIAAgACAAIAAgACAAIAAgACAAIABTAGgAYQBwAGUATQBpAHMAbQBhAHQAYwBoAD8ALABJAG4AdgBhAGwAaQBkAEkAbgB0AGUAcgB2AGEAbAA/ACwASQBuAHYAYQBsAGkAZABGAG4APwAsAEUAbQBwAHQAeQBGAGkAbAB0AGUAcgA/ACkALABcAG4AXABuACAAIAAgACAAaABhAGwAdAAsACAAIAAgACAAIAAgACAAIAAgACAAIAAgACAAIAAgACAAIAAgACAATwBSACgAYwBvAG4AZABpAHQAaQBvAG4AcwApACwAXABuAFwAbgAgACAAIAAgAC8ALwAgAEUAcgByAG8AcgAgAG0AZQBzAHMAYQBnAGUAcwAgACgAYQBsAGkAZwBuAGUAZAAgAHcAaQB0AGgAIABHAHIAbwB1AHAAYgB5AEQAYQB0AGUAuwMpAFwAbgAgACAAIAAgAGUAcgByAG8AcgBzACwAIAAgACAAIAAgACAAIAAgACAAIAAgACAAIAAgACAAIAAgAHsAXAAiACMARQBNAFAAVABZAC0ASQBOAFAAVQBUACEAXAAiADsAXABuACAAIAAgACAAIAAgACAAIAAgACAAIAAgACAAIAAgACAAIAAgACAAIAAgACAAIAAgACAAIAAgACAAIABcACIAIwBOAE8ALQBEAEEAVABFAFMAIQBcACIAOwBcAG4AIAAgACAAIAAgACAAIAAgACAAIAAgACAAIAAgACAAIAAgACAAIAAgACAAIAAgACAAIAAgACAAIAAgAFwAIgAjAE4ATwAtAFQASQBNAEUAUwAhAFwAIgA7AFwAbgAgACAAIAAgACAAIAAgACAAIAAgACAAIAAgACAAIAAgACAAIAAgACAAIAAgACAAIAAgACAAIAAgACAAXAAiACMARABJAE0ARQBOAFMASQBPAE4AUwAhAFwAIgA7AFwAbgAgACAAIAAgACAAIAAgACAAIAAgACAAIAAgACAAIAAgACAAIAAgACAAIAAgACAAIAAgACAAIAAgACAAXAAiACMASQBOAFQARQBSAFYAQQBMACEAXAAiADsAXABuACAAIAAgACAAIAAgACAAIAAgACAAIAAgACAAIAAgACAAIAAgACAAIAAgACAAIAAgACAAIAAgACAAIABcACIAIwBJAE4AVgBBAEwASQBEAC0ARgBVAE4AQwBUAEkATwBOACEAXAAiADsAXABuACAAIAAgACAAIAAgACAAIAAgACAAIAAgACAAIAAgACAAIAAgACAAIAAgACAAIAAgACAAIAAgACAAIABcACIAIwBFAE0AUABUAFkALQBGAEkATABUAEUAUgAhAFwAIgB9ACwAXABuAFwAbgAgACAAIAAgAGEAbABlAHIAdAAsACAAIAAgACAAIAAgACAAIAAgACAAIAAgACAAIAAgACAAIAAgAEYASQBMAFQARQBSACgAZQByAHIAbwByAHMALAAgAGMAbwBuAGQAaQB0AGkAbwBuAHMALAAgAFwAIgBcACIAKQAsAFwAbgBcAG4AIAAgACAAIAAvAC8AIAAtAC0ALQAgAEwAbwBnAGkAYwAgAGcAYQB0AGUAIAAtAC0ALQBcAG4AIAAgACAAIABJAEYAKABoAGEAbAB0ACwAIABhAGwAZQByAHQALAAgAE8AbgBfAFYAYQBsAGkAZAApAFwAbgApACkAOwBcAG4AXABuAFwAbgBcAG4ALwAqACAAWwBHAFIAMAA5AF0AIAAtAC0ALQAtAC0ALQAtAC0ALQAtAC0ALQAtAC0ALQAtAC0ALQAtAC0ALQAtAC0ALQAtAC0ALQAtAC0ALQAtAC0ALQAtAC0ALQAtAC0ALQAtAC0ALQAtAC0ALQAtAC0ALQAtAC0ALQAtAC0ALQAtAC0ALQAtAC0ALQAtAC0ALQAtAC0ALQAtAC0ALQAtAC0ALQAtAFwAbgBGAHUAbgBjAHQAaQBvAG4AOgAgACAAIAAgACAAUABpAHYAbwB0AGIAeQBDAGEAd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MAdAByAGUAYQBrALsDLAAgAFIAZQBwAGUAYQB0AFIAbwB3AHMAuwNcAG4AXABuAEQAZQBzAGMAcgBpAHAAdABpAG8AbgA6AFwAbgAgACAAIAAgAFAAaQB2AG8AdABzACAAZABhAHQAYQAgAGIAeQAgAHIAbwB3ACAAZgBpAGUAbABkAHMAIAAoAGQAZQB0AGEAaQBsACAAKwAgAGQAYQB0AGUAKQAsACAAYwBhAHQAZQBnAG8AcgBpAGUAcwAsACAAYQBuAGQAIAB2AGEAbAB1AGUAcwAuAFwAbgAgACAAIAAgAEMAYQB0AGUAZwBvAHIAaQBlAHMAIABhAHIAZQAgAGEAcwBzAHUAbQBlAGQAIAB0AG8AIABiAGUAIABwAHIAZQARIGMAbwBuAGMAYQB0AGUAbgBhAHQAZQBkACAAdQBzAGkAbgBnACAAYQAgAGQAZQBsAGkAbQBpAHQAZQByAC4AXABuACAAIAAgACAAUwB1AHAAcABvAHIAdABzACAAbwBwAHQAaQBvAG4AYQBsACAAYQBnAGcAcgBlAGcAYQB0AGkAbwBuACAAZgB1AG4AYwB0AGkAbwBuACAAYQBuAGQAIABkAGEAdABlACAAZgBvAHIAbQBhAHQAdABpAG4AZwAuAFwAbgBcAG4AUABhAHIAYQBtAGUAdABlAHIAcwA6AFwAbgAgACAAIAAgAHIAbwB3AF8AZABlAHQAYQBpAGwAIAAgACAAIAAgACAALQAgADEARAAgAGEAcgByAGEAeQAgAG8AZgAgAG4AbwBuABEgZABhAHQAZQAgAHIAbwB3ACAAZgBpAGUAbABkAHMALgBcAG4AIAAgACAAIAByAG8AdwBfAGQAYQB0AGUAcwAgACAAIAAgACAAIAAgAC0AIAAxAEQAIABhAHIAcgBhAHkAIABvAGYAIABkAGEAdABlAHMALgBcAG4AIAAgACAAIABjAGEAdABlAGcAbwByAGkAZQBzACAAIAAgACAAIAAgAC0AIAAxAEQAIABhAHIAcgBhAHkAIABvAGYAIABkAGUAbABpAG0AaQB0AGUAZAAgAGMAYQB0AGUAZwBvAHIAeQAgAHMAdAByAGkAbgBnAHMALgBcAG4AIAAgACAAIAB2AGEAbAB1AGUAcwAgACAAIAAgACAAIAAgACAAIAAgAC0AIAAxAEQAIABhAHIAcgBhAHkAIABvAGYAIABuAHUAbQBlAHIAaQBjACAAdgBhAGwAdQBlAHMALgBcAG4AIAAgACAAIABkAGUAbABpAG0AaQB0AGUAcgAgACAAIAAgACAAIAAgAC0AIABEAGUAbABpAG0AaQB0AGUAcgAgAHUAcwBlAGQAIABpAG4AIAB0AGgAZQAgAGMAYQB0AGUAZwBvAHIAaQBlAHMAIABhAHIAcgBhAHkALgBcAG4AXABuAE8AcAB0AGkAbwBuAGEAbAA6AFwAbgAgACAAIAAgAFsAZABhAHQAZQBfAGYAbwByAG0AYQB0AF0AIAAgACAALQAgAEYAbwByAG0AYQB0ACAAYwBvAGQAZQAgAGYAbwByACAAZABhAHQAZQBzACAAKABkAGUAZgBhAHUAbAB0ACAAXAAiAHkAeQB5AFwAIgApAC4AXABuACAAIAAgACAAWwBmAHUAbgBjAHQAaQBvAG4AXQAgACAAIAAgACAAIAAtACAARQBUAEEAIABvAHIAIABMAEEATQBCAEQAQQAgAGEAZwBnAHIAZQBnAGEAdABpAG8AbgAgAGYAdQBuAGMAdABpAG8AbgAgACgAZABlAGYAYQB1AGwAdAAgAFMAVQBNACkALgBcAG4AXABuAE4AbwB0AGUAcwA6AFwAbgAgACAAIAAgACIgIABDAGEAdABlAGcAbwByAGkAZQBzACAAYQByAGUAIABzAHAAbABpAHQAIABpAG4AdABvACAAbQB1AGwAdABpAHAAbABlACAAcgBvAHcAcwAgAHUAcwBpAG4AZwAgAFIAZQBwAGUAYQB0AFIAbwB3AHMAuwMuAFwAbgAgACAAIAAgACIgIABEAGEAdABlAHMAIABhAHIAZQAgAGYAbwByAG0AYQB0AHQAZQBkACAAYQBuAGQAIABzAG8AcgB0AGUAZAAgAHUAcwBpAG4AZwAgAGEAIABuAHUAbQBlAHIAaQBjACAAcwBvAHIAdAAgAGsAZQB5AC4AXABuACAAIAAgACAAIiAgAFYAYQBsAHUAZQBzACAAYQByAGUAIABhAHAAcABvAHIAdABpAG8AbgBlAGQAIABhAGMAcgBvAHMAcwAgAHIAZQBwAGUAYQB0AGUAZAAgAGMAYQB0AGUAZwBvAHIAeQAgAHIAbwB3AHMALgBcAG4ALQAtAC0ALQAtAC0ALQAtAC0ALQAtAC0ALQAtAC0ALQAtAC0ALQAtAC0ALQAtAC0ALQAtAC0ALQAtAC0ALQAtAC0ALQAtAC0ALQAtAC0ALQAtAC0ALQAtAC0ALQAtAC0ALQAtAC0ALQAtAC0ALQAtAC0ALQAtAC0ALQAtAC0ALQAtAC0ALQAtAC0ALQAtAC0ALQAtAC0ALQAtAC0AKgAvAFwAbgBcAG4AUABpAHYAbwB0AGIAeQBDAGEAdAC7AyAAPQBcAG4ATABBAE0AQgBEAEEAKABcAG4AIAAgACAAIAByAG8AdwBfAGQAZQB0AGEAaQBsACwAXABuACAAIAAgACAAcgBvAHcAXwBkAGEAdABlAHMALABcAG4AIAAgACAAIABjAGEAdABlAGcAbwByAGkAZQBzACwAXABuACAAIAAgACAAdgBhAGwAdQBlAHMALABcAG4AIAAgACAAIABkAGUAbABpAG0AaQB0AGUAcgAsAFwAbgAgACAAIAAgAFsAZABhAHQAZQBfAGYAbwByAG0AYQB0AF0ALABcAG4AIAAgACAAIABbAGYAdQBuAGMAdABpAG8AbgBdACwAXABuAFwAbgBMAEUAVAAoAFwAbgAgACAAIAAgAC8ALwAgAC0ALQAtACAARABpAG0AZQBuAHMAaQBvAG4AcwAgAC0ALQAtAFwAbgAgACAAIAAgAHIAgSAsACAAIAAgACAAIAAgACAAIAAgACAAIAAgACAAIAAgACAAIABSAE8AVwBTACgAcgBvAHcAXwBkAGUAdABhAGkAbAApACwAXABuACAAIAAgACAAcgCCICwAIAAgACAAIAAgACAAIAAgACAAIAAgACAAIAAgACAAIAAgAFIATwBXAFMAKAByAG8AdwBfAGQAYQB0AGUAcwApACwAXABuACAAIAAgACAAcgCDICwAIAAgACAAIAAgACAAIAAgACAAIAAgACAAIAAgACAAIAAgAFIATwBXAFMAKABjAGEAdABlAGcAbwByAGkAZQBzACkALABcAG4AIAAgACAAIAByAIQgLAAgACAAIAAgACAAIAAgACAAIAAgACAAIAAgACAAIAAgACAAUgBPAFcAUwAoAHYAYQBsAHUAZQBzACkALABcAG4AXABuACAAIAAgACAALwAvACAALQAtAC0AIABIAGEAbAB0AGkAbgBnACAAYwBvAG4AZABpAHQAaQBvAG4AcwAgAC0ALQAtAFwAbgAgACAAIAAgAFMAaABhAHAAZQBNAGkAcwBtAGEAdABjAGgALAAgACAAIAAgACAAIABPAFIAKAByAIEgIAA8AD4AIAByAIIgLAAgAHIAgSAgADwAPgAgAHIAgyAsACAAcgCBICAAPAA+ACAAcgCEICkALABcAG4AXABuACAAIAAgACAAZABhAHQAZQBfAGYAbwByAG0AYQB0ACwAIAAgACAAIAAgACAAIAAgAEkARgAoAEkAUwBPAE0ASQBUAFQARQBEACgAZABhAHQAZQBfAGYAbwByAG0AYQB0ACkALAAgAFwAIgB5AHkAeQBcACIALAAgAGQAYQB0AGUAXwBmAG8AcgBtAGEAdAApACwAXABuAFwAbgAgACAAIAAgAEkAbgB2AGEAbABpAGQARABhAHQAZQBzACwAIAAgACAAIAAgACAAIABPAFIAKABBAE4ARAAoAEkAUwBFAFIAUgBPAFIAKABEAEEAVABFAFYAQQBMAFUARQAoAFQARQBYAFQAKAByAG8AdwBfAGQAYQB0AGUAcwAsACAAZABhAHQAZQBfAGYAbwByAG0AYQB0ACkAKQApACwAXABuACAAIAAgACAAIAAgACAAIAAgACAAIAAgACAAIAAgACAAIAAgACAAIAAgACAAIAAgACAAIAAgACAAIAAgACAASQBTAEUAUgBSAE8AUgAoAFYAQQBMAFUARQAoAFQARQBYAFQAKAByAG8AdwBfAGQAYQB0AGUAcwAsACAAZABhAHQAZQBfAGYAbwByAG0AYQB0ACkAKQApACkALABcAG4AIAAgACAAIAAgACAAIAAgACAAIAAgACAAIAAgACAAIAAgACAAIAAgACAAIAAgACAAIAAgACAATgBPAFQAKABBAE4ARAAoAEkAUwBOAFUATQBCAEUAUgAoAHIAbwB3AF8AZABhAHQAZQBzACkAKQApACkALABcAG4AXABuACAAIAAgACAASQBuAHYAYQBsAGkAZABGAG4ALAAgACAAIAAgACAAIAAgACAAIAAgAFQAWQBQAEUAKABmAHUAbgBjAHQAaQBvAG4AKQAgADwAPgAgADEAMgA4ACwAXABuAFwAbgAgACAAIAAgAHMAYwBlAG4AYQByAGkAbwBzACwAIAAgACAAIAAgACAAIAAgACAAIABWAFMAVABBAEMASwAoAFMAaABhAHAAZQBNAGkAcwBtAGEAdABjAGgALAAgAEkAbgB2AGEAbABpAGQARABhAHQAZQBzACwAIABJAG4AdgBhAGwAaQBkAEYAbgApACwAXABuAFwAbgAgACAAIAAgAGUAcgByAG8AcgBzACwAIAAgACAAIAAgACAAIAAgACAAIAAgACAAIAB7AFwAIgAjAEQASQBNAEUATgBTAEkATwBOAFMAIQBcACIAOwBcAG4AIAAgACAAIAAgACAAIAAgACAAIAAgACAAIAAgACAAIAAgACAAIAAgACAAIAAgACAAIABcACIAIwBEAEEAVABFAFMAIQBcACIAOwBcAG4AIAAgACAAIAAgACAAIAAgACAAIAAgACAAIAAgACAAIAAgACAAIAAgACAAIAAgACAAIABcACIAIwBJAE4AVgBBAEwASQBEAC0ARgBVAE4AQwBUAEkATwBOACEAXAAiAH0ALABcAG4AXABuACAAIAAgACAALwAvACAALQAtAC0AIABMAG8AZwBpAGMAIABnAGEAdABlACAALQAtAC0AXABuACAAIAAgACAARgBJAEwAVABFAFIAKABlAHIAcgBvAHIAcwAsACAAcwBjAGUAbgBhAHIAaQBvAHMALABcAG4AXABuAEwARQBUACgAXABuACAAIAAgACAALwAvACAALQAtAC0AIABPAHAAdABpAG8AbgBhAGwAIABwAGEAcgBhAG0AZQB0AGUAcgAgAC0ALQAtAFwAbgAgACAAIAAgAGYAbgC7AywAIAAgACAAIAAgACAAIAAgACAAIAAgACAAIAAgACAAIABJAEYAKABJAFMATwBNAEkAVABUAEUARAAoAGYAdQBuAGMAdABpAG8AbgApACwAIABTAFUATQAsACAAZgB1AG4AYwB0AGkAbwBuACkALABcAG4AXABuAFwAbgAgACAAIAAgAC8ALwAgAC0ALQAtACAATABvAGMAYQBsACAAaABlAGwAcABlAHIAcwAgAC0ALQAtAFwAbgAgACAAIAAgAEMAbwB1AG4AdABDAGEAdAC7AywAIAAgACAAIAAgACAAIAAgACAAIABMAEEATQBCAEQAQQAoAHIAbwB3ACwAXABuACAAIAAgACAAIAAgACAAIAAgACAAIAAgACAAIAAgACAAIAAgACAAIAAgACAAIAAgACAAIAAgACAAQwBPAFUATgBUAEEAKABUAEUAWABUAFMAUABMAEkAVAAoAHIAbwB3ACwAIABkAGUAbABpAG0AaQB0AGUAcgApACkAKQAsAFwAbgBcAG4AIAAgACAAIABQAGEAcgBzAGUAuwMsACAAIAAgACAAIAAgACAAIAAgACAAIAAgACAATABBAE0AQgBEAEEAKABhAHIAcgBhAHkALAAgAGkAbgBzAHQAYQBuAGMAZQAsAFwAbgAgACAAIAAgACAAIAAgACAAIAAgACAAIAAgACAAIAAgACAAIAAgACAAIAAgACAAIAAgACAAIAAgAFQARQBYAFQAQgBFAEYATwBSAEUAKABUAEUAWABUAEEARgBUAEUAUgAoAGQAZQBsAGkAbQBpAHQAZQByACAAJgAgAGEAcgByAGEAeQAgACYAIABkAGUAbABpAG0AaQB0AGUAcgAsAFwAbgAgACAAIAAgACAAIAAgACAAIAAgACAAIAAgACAAIAAgACAAIAAgACAAIAAgACAAIAAgACAAIAAgACAAIAAgACAAIAAgACAAIAAgACAAIAAgACAAIAAgACAAIAAgACAAIAAgAGQAZQBsAGkAbQBpAHQAZQByACwAaQBuAHMAdABhAG4AYwBlACwALAAsAGEAcgByAGEAeQApACwAXABuACAAIAAgACAAIAAgACAAIAAgACAAIAAgACAAIAAgACAAIAAgACAAIAAgACAAIAAgACAAIAAgACAAIAAgACAAIAAgACAAIAAgACAAIABkAGUAbABpAG0AaQB0AGUAcgAsACwALAAsAFwAbgAgACAAIAAgACAAIAAgACAAIAAgACAAIAAgACAAIAAgACAAIAAgACAAIAAgACAAIAAgACAAIAAgACAAIAAgACAAIAAgACAAIAAgACAAYwBhAHQAZQBnAG8AcgBpAGUAcwApACkALABcAG4AXABuACAAIAAgACAALwAvACAALQAtAC0AIABDAGEAdABlAGcAbwByAHkAIABlAHgAcABhAG4AcwBpAG8AbgAgAC0ALQAtAFwAbgAgACAAIAAgAGsALAAgACAAIAAgACAAIAAgACAAIAAgACAAIAAgACAAIAAgACAAIABCAFkAUgBPAFcAKABjAGEAdABlAGcAbwByAGkAZQBzACwAIABDAG8AdQBuAHQAQwBhAHQAuwMpACwAXABuAFwAbgAgACAAIAAgAGkALAAgACAAIAAgACAAIAAgACAAIAAgACAAIAAgACAAIAAgACAAIABSAGUAcABlAGEAdABSAG8AdwBzALsDKABTAEUAUQBVAEUATgBDAEUAKAByAIEgKQAsACAAawApACwAXABuACAAIAAgACAAagAsACAAIAAgACAAIAAgACAAIAAgACAAIAAgACAAIAAgACAAIAAgAFMAdAByAGUAYQBrALsDKABpACkALABcAG4AXABuACAAIAAgACAALwAvACAALQAtAC0AIABSAG8AdwAgAGYAaQBlAGwAZABzACAALQAtAC0AXABuACAAIAAgACAAYQAsACAAIAAgACAAIAAgACAAIAAgACAAIAAgACAAIAAgACAAIAAgAFIAZQBwAGUAYQB0AFIAbwB3AHMAuwMoAHIAbwB3AF8AZABlAHQAYQBpAGwALAAgAGsAKQAsAFwAbgAgACAAIAAgAGQAZQB0AGEAaQBsACwAIAAgACAAIAAgACAAIAAgACAAIAAgACAAIABJAEYAKABhACAAPQAgADAALAAgAFwAIgBVAG4AawBuAG8AdwBuAFwAIgAsACAAYQApACwAXABuAFwAbgAgACAAIAAgAGQAYQB0AGUAcwAsACAAIAAgACAAIAAgACAAIAAgACAAIAAgACAAIABSAGUAcABlAGEAdABSAG8AdwBzALsDKABUAEUAWABUACgAcgBvAHcAXwBkAGEAdABlAHMALAAgAGQAYQB0AGUAXwBmAG8AcgBtAGEAdAApACwAIABrACkALABcAG4AIAAgACAAIABzAG8AcgB0AF8AawBlAHkALAAgACAAIAAgACAAIAAgACAAIAAgACAASQBGAEUAUgBSAE8AUgAoAEQAQQBUAEUAVgBBAEwAVQBFACgAZABhAHQAZQBzACkALAAgAFYAQQBMAFUARQAoAGQAYQB0AGUAcwApACkALABcAG4AXABuACAAIAAgACAAcgBvAHcAXwBmAGkAZQBsAGQAcwAsACAAIAAgACAAIAAgACAAIAAgAEgAUwBUAEEAQwBLACgAcwBvAHIAdABfAGsAZQB5ACwAIABkAGUAdABhAGkAbAAsACAAZABhAHQAZQBzACkALABcAG4AXABuACAAIAAgACAALwAvACAALQAtAC0AIABDAG8AbAB1AG0AbgAgAGYAaQBlAGwAZABzACAALQAtAC0AXABuACAAIAAgACAAdQBuAHAAYQBjAGsALAAgACAAIAAgACAAIAAgACAAIAAgACAAIAAgAFIAZQBwAGUAYQB0AFIAbwB3AHMAuwMoAGMAYQB0AGUAZwBvAHIAaQBlAHMALAAgAGsAKQAsAFwAbgAgACAAIAAgAGMAYQB0AGUAZwBvAHIAaQBlAHMALAAgACAAIAAgACAAIAAgACAAIABQAGEAcgBzAGUAuwMoAHUAbgBwAGEAYwBrACwAIABqACkALABcAG4AXABuACAAIAAgACAALwAvACAALQAtAC0AIABWAGEAbAB1AGUAcwAgACgAYQBwAHAAbwByAHQAaQBvAG4AZQBkACkAIAAtAC0ALQBcAG4AIAAgACAAIAB2AGEAbAB1AGUAcwAsACAAIAAgACAAIAAgACAAIAAgACAAIAAgACAAUgBlAHAAZQBhAHQAUgBvAHcAcwC7AygAdgBhAGwAdQBlAHMAIAAvACAAawAsACAAawApACwAXABuAFwAbgAgACAAIAAgAC8ALwAgAC0ALQAtACAAQQBnAGcAcgBlAGcAYQB0AGkAbwBuACAALQAtAC0AXABuACAAIAAgACAAYQBnAGcALAAgACAAIAAgACAAIAAgACAAIAAgACAAIAAgACAAIAAgAEQAUgBPAFAAKABQAEkAVgBPAFQAQgBZACgAcgBvAHcAXwBmAGkAZQBsAGQAcwAsAGMAYQB0AGUAZwBvAHIAaQBlAHMALAB2AGEAbAB1AGUAcwAsAGYAbgC7AywALAAwACwALAAwACkALAAsADEAKQAsAFwAbgBcAG4AIAAgACAAIABhAGcAZwBcAG4AKQApACkAKQA7AFwAbgBcAG4AXABuAC8AKgAgACAAWwBHAFIAMQA4AF0AIAAtAC0ALQAtAC0ALQAtAC0ALQAtAC0ALQAtAC0ALQAtAC0ALQAtAC0ALQAtAC0ALQAtAC0ALQAtAC0ALQAtAC0ALQAtAC0ALQAtAC0ALQAtAC0ALQAtAC0ALQAtAC0ALQAtAC0ALQAtAC0ALQAtAC0ALQAtAC0ALQAtAC0ALQAtAC0ALQAtAC0ALQAtAC0ALQAtAFwAbgBGAHUAbgBjAHQAaQBvAG4AOgAgACAAIAAgACAAIAAgACAARwByAG8AdQBwAEkAbgBkAGUAeA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XABuAEQAZQBzAGMAcgBpAHAAdABpAG8AbgA6AFwAbgAgACAAIAAgAEEAcwBzAGkAZwBuACAAbgB1AG0AZQByAGkAYwBhAGwAIABnAHIAbwB1AHAAIABpAG4AZABpAGMAZQBzACAAdABvACAAYQAgADEARAAgAGEAcgByAGEAeQAgACgAaABvAHIAaQB6AG8AbgB0AGEAbAAgAG8AcgAgAHYAZQByAHQAaQBjAGEAbAApAC4AXABuACAAIAAgACAAMgBEACAAYQByAHIAYQB5AHMAIABhAHIAZQAgAGYAbABhAHQAdABlAG4AZQBkACAAdgBlAHIAdABpAGMAYQBsAGwAeQAgAGIAZQBmAG8AcgBlACAAaQBuAGQAaQBjAGUAcwAgAGEAcgBlACAAYQBzAHMAaQBnAG4AZQBkAC4AXABuAFwAbgBQAGEAcgBhAG0AZQB0AGUAcgBzADoAXABuACAAIAAgACAAdgBlAGMAdABvAHIAIAAgACAAIAAgACAAIAAgACAALQAgACAAIAAxAEQAIABhAHIAcgBhAHkAIABjAG8AbgB0AGEAaQBuAGkAbgBnACAAdgBhAGwAdQBlAHMAIAB0AG8AIABiAGUAIABwAGwAYQBjAGUAZAAgAGkAbgAgAG4AdQBtAGUAcgBpAGMAYQBsACAAZwByAG8AdQBwAHMAXABuACAAIAAgACAAWwBIAG8AcgBpAHoAbwBuAHQAYQBsAD8AXQAgACAALQAgACAAIABUAFIAVQBFACAAPQAgAGgAbwByAGkAegBvAG4AdABhAGwAIABvAHUAdABwAHUAdAA7ACAAbwBtAGkAdAB0AGUAZAAgAD0AIAB2AGUAcgB0AGkAYwBhAGwAXABuAC0ALQAtAC0ALQAtAC0ALQAtAC0ALQAtAC0ALQAtAC0ALQAtAC0ALQAtAC0ALQAtAC0ALQAtAC0ALQAtAC0ALQAtAC0ALQAtAC0ALQAtAC0ALQAtAC0ALQAtAC0ALQAtAC0ALQAtAC0ALQAtAC0ALQAtAC0ALQAtAC0ALQAtAC0ALQAtAC0ALQAtAC0ALQAtAC0AIAAqAC8AXABuAEcAcgBvAHUAcABJAG4AZABlAHgAuwMgAD0AXABuAEwAQQBNAEIARABBACgAXABuACAAIAAgACAAdgBlAGMAdABvAHIALABcAG4AIAAgACAAIABbAEgAbwByAGkAegBvAG4AdABhAGwAPwBdACwAXABuAEwARQBUACgAXABuACAAIAAgACAALwAvACAARgBsAGEAdAB0AGUAbgAgAGkAbgBwAHUAdABcAG4AIAAgACAAIAB2AGUAYwB0AG8AcgAsACAAIAAgACAAIAAgAFQATwBDAE8ATAAoAHYAZQBjAHQAbwByACkALABcAG4AXABuACAAIAAgACAALwAvACAAUwBoAGEAcABlAFwAbgAgACAAIAAgAGgAZQBpAGcAaAB0ACwAIAAgACAAIAAgACAAUgBPAFcAUwAoAHYAZQBjAHQAbwByACkALABcAG4AIAAgACAAIAB3AGkAZAB0AGgALAAgACAAIAAgACAAIAAgAEMATwBMAFUATQBOAFMAKAB2AGUAYwB0AG8AcgApACwAXABuAFwAbgAgACAAIAAgAC8ALwAgAE8AcAB0AGkAbwBuAGEAbAAgAHAAYQByAGEAbQBlAHQAZQByAFwAbgAgACAAIAAgAEkAcwBWAGUAcgB0AGkAYwBhAGwAPwAsACAASQBTAE8ATQBJAFQAVABFAEQAKABIAG8AcgBpAHoAbwBuAHQAYQBsAD8AKQAsAFwAbgBcAG4AIAAgACAAIAAvAC8AIABTAGMAZQBuAGEAcgBpAG8AcwBcAG4AIAAgACAAIABJAHMAUwBjAGEAbABhAHIAPwAsACAAIAAgAEEATgBEACgAaABlAGkAZwBoAHQAIAA9ACAAMQAsACAAdwBpAGQAdABoACAAPQAgADEAKQAsAFwAbgAgACAAIAAgAFMAcABpAGwAbABSAGkAcwBrAD8ALAAgACAASQBGACgASQBzAFYAZQByAHQAaQBjAGEAbAA/ACwAaABlAGkAZwBoAHQAIAA+ACAAMQAwADQAOAA1ADcANgAsAGgAZQBpAGcAaAB0ACAAPgAgADEANgAzADgANAApACwAXABuAFwAbgAgACAAIAAgAEkARgAoAEkAcwBTAGMAYQBsAGEAcgA/ACwAIAB2AGUAYwB0AG8AcgAsAFwAbgAgACAAIAAgACAAIAAgACAASQBGACgAUwBwAGkAbABsAFIAaQBzAGsAPwAsACAAIwBOAFUATQAhACwAXABuAFwAbgBMAEUAVAAoAFwAbgAgACAAIAAgAC8ALwAgAEcAcgBvAHUAcAAgAGkAbgBkAGUAeAAgAD0AIABwAG8AcwBpAHQAaQBvAG4AIABvAGYAIABmAGkAcgBzAHQAIABvAGMAYwB1AHIAcgBlAG4AYwBlAFwAbgAgACAAIAAgAGkAZAB4ACwAIAAgACAAIAAgACAAIAAgACAAWABNAEEAVABDAEgAKAB2AGUAYwB0AG8AcgAsACAAVQBOAEkAUQBVAEUAKAB2AGUAYwB0AG8AcgApACkALABcAG4AXABuACAAIAAgACAALwAvACAAUgBlAHMAaABhAHAAZQBcAG4AIAAgACAAIABmAGkAbgBhAGwALAAgACAAIAAgACAAIAAgAEkARgAoAEkAcwBWAGUAcgB0AGkAYwBhAGwAPwAsACAAaQBkAHgALAAgAFQATwBSAE8AVwAoAGkAZAB4ACkAKQAsAFwAbgAgACAAIAAgAGYAaQBuAGEAbABcAG4AXABuACkAKQApACkAKQA7AFwAbgBcAG4AXABuAFwAbgAvACoAIABbAEcAUgAxADkAXQAgAC0ALQAtAC0ALQAtAC0ALQAtAC0ALQAtAC0ALQAtAC0ALQAtAC0ALQAtAC0ALQAtAC0ALQAtAC0ALQAtAC0ALQAtAC0ALQAtAC0ALQAtAC0ALQAtAC0ALQAtAC0ALQAtAC0ALQAtAC0ALQAtAC0ALQAtAC0ALQAtAC0ALQAtAC0ALQAtAC0ALQAtAC0ALQAtAC0AXABuAEYAdQBuAGMAdABpAG8AbgA6ACAAIAAgACAAIAAgACAAIABPAGMAYwB1AHIAcgBlAG4AY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dABoAGUAIABOAEAdNB1fAG8AYwBjAHUAcgByAGUAbgBjAGUAcwAgAG8AZgAgAHIAbwB3AHMAIABmAHIAbwBtACAAYQAgAHMAcABlAGMAaQBmAGkAZQBkACAAMgBEACAAYQByAHIAYQB5ACAAYgB5ACAAbABvAGMAYQB0AGkAbgBnACAAdABoAGUAIABOAEAdNB0gAGkAbgBzAHQAYQBuAGMAZQBcAG4AIAAgACAAIABmAHIAbwBtACAAYQAgAGMAcgBpAHQAXwB2AGUAYwB0AG8AcgAuACAAIABSAGUAcwB1AGwAdABzACAAYQByAGUAIAByAGUAdAB1AHIAbgBlAGQAIABpAG4AIABvAHIAZABlAHIAIABvAGYAIABhAHAAcABlAGEAcgBhAG4AYwBlACAAYQBuAGQAIABuAG8AdAAgAHMAbwByAHQAZQBkAC4AXABuAFwAbgBQAGEAcgBhAG0AZQB0AGUAcgBzADoAXABuACAAIAAgACAAYQByAHIAYQB5ACAAIAAgACAAIAAgACAAIAAgACAAIAAtACAAIAAgADIARAAgAGEAcgByAGEAeQBcAG4AIAAgACAAIABjAHIAaQB0AF8AdgBlAGMAdABvAHIAIAAgACAAIAAgAC0AIAAgACAAMQBEACAAYQByAHIAYQB5ACAAZABlAGYAaQBuAGkAbgBnACAAdABoAGUAIABzAHQAcgB1AGMAdAB1AHIAZQBcAG4AIAAgACAAIABOAEAdNB1fAG8AYwBjAHUAcgByAGUAbgBjAGUALAAgAC0AIAAgACAASQBuAHQAZQBnAGUAcgAgAG8AZgAgAHMAZQBsAGUAYwB0AGUAZAAgAG8AYwBjAHUAcgByAGUAbgBjAGUAcwAgACgAZQAuAGcALgAgADEALQBuACkAXABuAFwAbgAtAC0ALQAtAC0ALQAtAC0ALQAtAC0ALQAtAC0ALQAtAC0ALQAtAC0ALQAtAC0ALQAtAC0ALQAtAC0ALQAtAC0ALQAtAC0ALQAtAC0ALQAtAC0ALQAtAC0ALQAtAC0ALQAtAC0ALQAtAC0ALQAtAC0ALQAtAC0ALQAtAC0ALQAtAC0ALQAtAC0ALQAtAC0ALQAtAC0ALQAtAC0ALQAqAC8AXABuAE8AYwBjAHUAcgByAGUAbgBjAGUAuwM9AFwAbgBMAEEATQBCAEQAQQAoAFwAbgAgACAAIAAgAGEAcgByAGEAeQAsAFwAbgAgACAAIAAgAGMAcgBpAHQAXwB2AGUAYwB0AG8AcgAsAFwAbgAgACAAIAAgAE4AQB00HV8AbwBjAGMAdQByAHIAZQBuAGMAZQAsAFwAbgBMAEUAVAAoAFwAbgAgACAAIAAgAC8ALwAgAFMAaABhAHAAZQBcAG4AIAAgACAAIABoAGUAaQBnAGgAdAAsACAAUgBPAFcAUwAoAGEAcgByAGEAeQApACwAXABuACAAIAAgACAAaABlAGkAZwBoAHQAXwAsAFIATwBXAFMAKABjAHIAaQB0AF8AdgBlAGMAdABvAHIAKQAsAFwAbgBcAG4AIAAgACAAIAAvAC8AIABIAGEAbAB0AGkAbgBnACAAcwBjAGUAbgBhAHIAaQBvAHMAXABuACAAIAAgACAAaABlAGkAZwBoAHQAXwBtAGkAcwBtAGEAdABjAGgAPwAsACAAIAAgAGgAZQBpAGcAaAB0ACAAPAA+ACAAaABlAGkAZwBoAHQAXwAsAFwAbgAgACAAIAAgAEkAbgB2AGEAbABpAGQATwBjAGMAdQByAHIAZQBuAGMAZQA/ACwAIABPAFIAKABJAFMAVABFAFgAVAAoAE4AQB00HV8AbwBjAGMAdQByAHIAZQBuAGMAZQApACwATgBAHTQdXwBvAGMAYwB1AHIAcgBlAG4AYwBlACAAPQAgADAAKQAsAFwAbgBcAG4AIAAgACAAIABJAEYAKABoAGUAaQBnAGgAdABfAG0AaQBzAG0AYQB0AGMAaAA/ACwAIwBWAEEATABVAEUAIQAsAFwAbgAgACAAIAAgACAAIAAgACAASQBGACgASQBuAHYAYQBsAGkAZABPAGMAYwB1AHIAcgBlAG4AYwBlAD8ALAAjAFYAQQBMAFUARQAhACwAXABuAFwAbgBMAEUAVAAoAFwAbgAgACAAIAAgAC8ALwAgAFMAZQBsAGUAYwB0AGkAbwBuACAAbQBvAGQAZQBcAG4AIAAgACAAIABEAGUAcwBjAGUAbgBkAD8ALAAgACAAIABTAEkARwBOACgATgBAHTQdXwBvAGMAYwB1AHIAcgBlAG4AYwBlACkAIAA9ACAALQAxACwAXABuAFwAbgAgACAAIAAgAC8ALwAgAEkAZABlAG4AdABpAGYAeQAgAE4AdABoACAAbwBjAGMAdQByAHIAZQBuAGMAZQBzAFwAbgAgACAAIAAgAGIAbwBvAGwALAAgACAAIAAgACAAIAAgAEkAbgBzAHQAYQBuAGMAZQC7AygAYwByAGkAdABfAHYAZQBjAHQAbwByACwALABEAGUAcwBjAGUAbgBkAD8AKQAgAD0AIABBAEIAUwAoAE4AQB00HV8AbwBjAGMAdQByAHIAZQBuAGMAZQApACwAXABuAFwAbgAgACAAIAAgAC8ALwAgAFMAZQBsAGUAYwB0ACAAZABhAHQAYQBcAG4AIAAgACAAIABmAGkAbgBhAGwALAAgACAAIAAgACAAIABGAEkATABUAEUAUgAoAGEAcgByAGEAeQAsAGIAbwBvAGwALAAwACkALABcAG4AIAAgACAAIABmAGkAbgBhAGwAXABuACAAIAAgACAAKQApACkAKQApADsAXABuAFwAbgBcAG4AXABuAC8AKgAgAFsARwBSADIAMABdACAALQAtAC0ALQAtAC0ALQAtAC0ALQAtAC0ALQAtAC0ALQAtAC0ALQAtAC0ALQAtAC0ALQAtAC0ALQAtAC0ALQAtAC0ALQAtAC0ALQAtAC0ALQAtAC0ALQAtAC0ALQAtAC0ALQAtAC0ALQAtAC0ALQAtAC0ALQAtAC0ALQAtAC0ALQAtAC0ALQAtAC0ALQAtAC0ALQBcAG4ARgB1AG4AYwB0AGkAbwBuADoAIAAgACAAIAAgACAAIAAgAE8AYwBjAHUAcgByAGUAbgBjAGUAUgBhAG4AZ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SQBuAHMAdABhAG4AYwBlALsDXABuAFwAbgBEAGUAcwBjAHIAaQBwAHQAaQBvAG4AOgBcAG4AIAAgACAAIABTAGUAbABlAGMAdABzACAAYQAgAHIAYQBuAGcAZQAgAG8AZgAgAG8AYwBjAHUAcgByAGUAbgBjAGUAcwAgAG8AZgAgAHIAbwB3AHMAIABmAHIAbwBtACAAYQAgAHMAcABlAGMAaQBmAGkAZQBkACAAMgBEACAAYQByAHIAYQB5ACAAYgB5ACAAbABvAGMAYQB0AGkAbgBnACAAdABoAGUAIABOAEAdNB0gAGkAbgBzAHQAYQBuAGMAZQBzAFwAbgAgACAAIAAgAGYAcgBvAG0AIABhACAAYwByAGkAdABfAHYAZQBjAHQAbwByAC4AIABOAGUAZwBhAHQAaQB2AGUAIABpAG4AdABlAGcAZQByAHMAIABhAHIAZQAgAHIAZQBqAGUAYwB0AGUAZAAgAGYAbwByACAAcwB0AGEAcgB0ACAAYQBuAGQAIABlAG4AZAAgAG8AYwBjAHUAcgByAGUAbgBjAGUAcwAuAFwAbgAgACAAIAAgAFIAZQBzAHUAbAB0AHMAIABhAHIAZQAgAHIAZQB0AHUAcgBuAGUAZAAgAGkAbgAgAG8AcgBkAGUAcgAgAG8AZgAgAGEAcABwAGUAYQByAGEAbgBjAGUAIABhAG4AZAAgAG4AbwB0ACAAcwBvAHIAdABlAGQALgBcAG4AXABuAFAAYQByAGEAbQBlAHQAZQByAHMAOgBcAG4AIAAgACAAIABhAHIAcgBhAHkAIAAgACAAIAAgACAAIAAgACAAIAAgACAAIAAtACAAIAAgADIARAAgAGEAcgByAGEAeQBcAG4AIAAgACAAIABjAHIAaQB0AF8AdgBlAGMAdABvAHIAIAAgACAAIAAgACAAIAAtACAAIAAgADEARAAgAGEAcgByAGEAeQAgAGQAZQBmAGkAbgBpAG4AZwAgAHQAaABlACAAcwB0AHIAdQBjAHQAdQByAGUAXABuACAAIAAgACAAcwB0AGEAcgB0AF8AbwBjAGMAdQByAHIAZQBuAGMAZQAsACAALQAgACAAIABTAHQAYQByAHQAaQBuAGcAIABpAG4AdABlAGcAZQByACAAbwBmACAAbwBjAGMAdQByAHIAZQBuAGMAZQBzAFwAbgAgACAAIAAgAFsAZQBuAGQAXwBvAGMAYwB1AHIAcgBlAG4AYwBlAF0AIAAgAC0AIAAgACAARQBuAGQAaQBuAGcAIABpAG4AdABlAGcAZQByACAAbwBmACAAbwBjAGMAdQByAHIAZQBuAGMAZQBzAC4AIABJAGYAIABvAG0AaQB0AHQAZQBkACwAIAB0AGgAZQAgAHMAZQBsAGUAYwB0AGkAbwBuACAAbwBmAFwAbgAgACAAIAAgACAAIAAgACAAIAAgACAAIAAgACAAIAAgACAAIAAgACAAIAAgACAAIAAgACAAbwBmACAAbwBjAGMAdQByAHIAZQBuAGMAZQBzACAAPQAgAHMAdABhAHIAdABfAG8AYwBjAHUAcgByAGUAbgBjAGUAIAB+ACAAZQBuAGQAIABvAGYAIABhAHIAcgBhAHkALgBcAG4AIAAgACAAIABbAEgAbwByAGkAegBvAG4AdABhAGwAPwBdACAAIAAgACAAIAAtACAAIAAgAFQAUgBVAEUAIAA9ACAAcwBlAGwAZQBjAHQAIABvAGMAYwB1AHIAcgBlAG4AYwBlACAAcgBhAG4AZwBlACAAZgByAG8AbQAgAGgAbwByAGkAegBvAG4AdABhAGwAbAB5ACAAYQByAHIAYQBuAGcAZQBkACAAZABhAHQAYQBcAG4AXABuAC0ALQAtAC0ALQAtAC0ALQAtAC0ALQAtAC0ALQAtAC0ALQAtAC0ALQAtAC0ALQAtAC0ALQAtAC0ALQAtAC0ALQAtAC0ALQAtAC0ALQAtAC0ALQAtAC0ALQAtAC0ALQAtAC0ALQAtAC0ALQAtAC0ALQAtAC0ALQAtAC0ALQAtAC0ALQAtAC0ALQAtAC0ALQAtAC0ALQAtAC0ALQAtACoALwBcAG4ATwBjAGMAdQByAHIAZQBuAGMAZQBSAGEAbgBnAGUAuwM9AFwAbgBMAEEATQBCAEQAQQAoAFwAbgAgACAAIAAgAGEAcgByAGEAeQAsAFwAbgAgACAAIAAgAGMAcgBpAHQAXwB2AGUAYwB0AG8AcgAsAFwAbgAgACAAIAAgAHMAdABhAHIAdABfAG8AYwBjAHUAcgByAGUAbgBjAGUALABcAG4AIAAgACAAIABbAGUAbgBkAF8AbwBjAGMAdQByAHIAZQBuAGMAZQBdACwAXABuACAAIAAgACAAWwBIAG8AcgBpAHoAbwBuAHQAYQBsAD8AXQAsAFwAbgBMAEUAVAAoAFwAbgAgACAAIAAgAC8ALwAgAE4AbwByAG0AYQBsAGkAegBlACAAaQBuAHAAdQB0AHMAXABuACAAIAAgACAASQBzAFYAZQByAHQAaQBjAGEAbAA/ACwAIAAgACAAIAAgACAATgBPAFQAKABBAE4ARAAoAE4ATwBUACgASQBTAE8ATQBJAFQAVABFAEQAKABIAG8AcgBpAHoAbwBuAHQAYQBsAD8AKQApACwAIABIAG8AcgBpAHoAbwBuAHQAYQBsAD8AIAA9ACAAVABSAFUARQApACkALABcAG4AIAAgACAAIABhAHIAcgBhAHkALAAgACAAIAAgACAAIAAgACAAIAAgACAAIABJAEYAKABJAHMAVgBlAHIAdABpAGMAYQBsAD8ALABhAHIAcgBhAHkALABUAFIAQQBOAFMAUABPAFMARQAoAGEAcgByAGEAeQApACkALABcAG4AIAAgACAAIABjAHIAaQB0AF8AdgBlAGMAdABvAHIALAAgACAAIAAgACAAIABJAEYAKABJAHMAVgBlAHIAdABpAGMAYQBsAD8ALABjAHIAaQB0AF8AdgBlAGMAdABvAHIALABUAFIAQQBOAFMAUABPAFMARQAoAGMAcgBpAHQAXwB2AGUAYwB0AG8AcgApACkALABcAG4AXABuACAAIAAgACAALwAvACAATwBwAHQAaQBvAG4AYQBsAFwAbgAgACAAIAAgAEkAbgBjAGwAdQBkAGUARQBuAGQAPwAsACAAIAAgACAAIAAgAE4ATwBUACgASQBTAE8ATQBJAFQAVABFAEQAKABlAG4AZABfAG8AYwBjAHUAcgByAGUAbgBjAGUAKQApACwAXABuAFwAbgAgACAAIAAgAC8ALwAgAE4AbwByAG0AYQBsAGkAegBlACAAcwB0AGEAcgB0AC8AcwB0AG8AcABcAG4AIAAgACAAIABzAHQAYQByAHQAXwBvAGMAYwB1AHIAcgBlAG4AYwBlACwAIABJAE4ARABFAFgAKABzAHQAYQByAHQAXwBvAGMAYwB1AHIAcgBlAG4AYwBlACwAMQAsADEAKQAsAFwAbgAgACAAIAAgAGUAbgBkAF8AbwBjAGMAdQByAHIAZQBuAGMAZQAsACAAIAAgAEkARgAoAEkAbgBjAGwAdQBkAGUARQBuAGQAPwAsAEkATgBEAEUAWAAoAGUAbgBkAF8AbwBjAGMAdQByAHIAZQBuAGMAZQAsADEALAAxACkALABGAEEATABTAEUAKQAsAFwAbgBcAG4AIAAgACAAIAAvAC8AIABTAGgAYQBwAGUAXABuACAAIAAgACAAaABlAGkAZwBoAHQALAAgACAAIAAgACAAIAAgACAAIAAgACAAUgBPAFcAUwAoAGEAcgByAGEAeQApACwAXABuACAAIAAgACAAaABlAGkAZwBoAHQAXwAsACAAIAAgACAAIAAgACAAIAAgACAAUgBPAFcAUwAoAGMAcgBpAHQAXwB2AGUAYwB0AG8AcgApACwAXABuAFwAbgAgACAAIAAgAC8ALwAgAEgAYQBsAHQAaQBuAGcAIABzAGMAZQBuAGEAcgBpAG8AcwBcAG4AIAAgACAAIABoAGUAaQBnAGgAdABfAG0AaQBzAG0AYQB0AGMAaAA/ACwAIAAgACAAaABlAGkAZwBoAHQAIAA8AD4AIABoAGUAaQBnAGgAdABfACwAXABuAFwAbgAgACAAIAAgAEkAbgB2AGEAbABpAGQATwBjAGMAdQByAHIAZQBuAGMAZQA/ACwAIABPAFIAKABJAFMAVABFAFgAVAAoAHMAdABhAHIAdABfAG8AYwBjAHUAcgByAGUAbgBjAGUAKQAsAFwAbgAgACAAIAAgACAAIAAgACAAIAAgACAAIAAgACAAIAAgACAAIAAgACAAIAAgACAAIAAgACAAIABzAHQAYQByAHQAXwBvAGMAYwB1AHIAcgBlAG4AYwBlACAAPAAgADEALABcAG4AIAAgACAAIAAgACAAIAAgACAAIAAgACAAIAAgACAAIAAgACAAIAAgACAAIAAgACAAIAAgACAAQQBOAEQAKABJAG4AYwBsAHUAZABlAEUAbgBkAD8ALABJAFMAVABFAFgAVAAoAGUAbgBkAF8AbwBjAGMAdQByAHIAZQBuAGMAZQApACkALABcAG4AIAAgACAAIAAgACAAIAAgACAAIAAgACAAIAAgACAAIAAgACAAIAAgACAAIAAgACAAIAAgACAAQQBOAEQAKABJAG4AYwBsAHUAZABlAEUAbgBkAD8ALABlAG4AZABfAG8AYwBjAHUAcgByAGUAbgBjAGUAIAA8ACAAcwB0AGEAcgB0AF8AbwBjAGMAdQByAHIAZQBuAGMAZQApACkALABcAG4AXABuACAAIAAgACAASQBGACgAaABlAGkAZwBoAHQAXwBtAGkAcwBtAGEAdABjAGgAPwAsACMAVgBBAEwAVQBFACEALABcAG4AIAAgACAAIAAgACAAIAAgAEkARgAoAEkAbgB2AGEAbABpAGQATwBjAGMAdQByAHIAZQBuAGMAZQA/ACwAIwBWAEEATABVAEUAIQAsAFwAbgBcAG4ATABFAFQAKABcAG4AIAAgACAAIAAvAC8AIABJAGQAZQBuAHQAaQBmAHkAIABOAHQAaAAgAG8AYwBjAHUAcgByAGUAbgBjAGUAcwBcAG4AIAAgACAAIABpAG4AcwB0ACwAIAAgACAASQBuAHMAdABhAG4AYwBlALsDKABjAHIAaQB0AF8AdgBlAGMAdABvAHIAKQAsAFwAbgBcAG4AIAAgACAAIABiAG8AbwBsACwAIAAgACAASQBGACgASQBuAGMAbAB1AGQAZQBFAG4AZAA/ACwAKABpAG4AcwB0ACAAPgA9ACAAcwB0AGEAcgB0AF8AbwBjAGMAdQByAHIAZQBuAGMAZQApACAAKgAgACgAaQBuAHMAdAAgADwAPQAgAGUAbgBkAF8AbwBjAGMAdQByAHIAZQBuAGMAZQApACwAXABuACAAIAAgACAAIAAgACAAIAAgACAAIAAgACAAIAAgACAAIAAgACAAIAAgACAAIAAgACAAIAAgACgAaQBuAHMAdAAgAD4APQAgAHMAdABhAHIAdABfAG8AYwBjAHUAcgByAGUAbgBjAGUAKQApACwAXABuAFwAbgAgACAAIAAgAC8ALwAgAFMAZQBsAGUAYwB0ACAAZABhAHQAYQAgAGEAbgBkACAAdAByAGEAbgBwAG8AcwBlACAAaQBmACAAaABvAHIAaQB6AG8AbgB0AGEAbABcAG4AIAAgACAAIAByAGUAcwB1AGwAdAAsACAAIABGAEkATABUAEUAUgAoAGEAcgByAGEAeQAsAGIAbwBvAGwALAAwACkALABcAG4AIAAgACAAIABmAGkAbgBhAGwALAAgACAAIABJAEYAKABJAHMAVgBlAHIAdABpAGMAYQBsAD8ALAByAGUAcwB1AGwAdAAsAFQAUgBBAE4AUwBQAE8AUwBFACgAcgBlAHMAdQBsAHQAKQApACwAXABuACAAIAAgACAAZgBpAG4AYQBsAFwAbgAgACAAIAAgACkAKQApACkAKQA7AFwAbgBcAG4AXABuACAAIAAgACAAXABuAC8AKgAgAFsARwBSADEAMABdACAALQAtAC0ALQAtAC0ALQAtAC0ALQAtAC0ALQAtAC0ALQAtAC0ALQAtAC0ALQAtAC0ALQAtAC0ALQAtAC0ALQAtAC0ALQAtAC0ALQAtAC0ALQAtAC0ALQAtAC0ALQAtAC0ALQAtAC0ALQAtAC0ALQAtAC0ALQAtAC0ALQAtAC0ALQAtAC0ALQAtAC0ALQAtAC0ALQBcAG4ARgB1AG4AYwB0AGkAbwBuADoAIAAgACAAIAAgAEcAcgBhAGkAbg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EAG8AdwBuAHMAYQBtAHAAbABlAHMAIABhACAAYQByAHIAYQB5AF8AMgBEACAAYgB5ACAAYQBnAGcAcgBlAGcAYQB0AGkAbgBnACAAbwB2AGUAcgAgAG4AbwBuABEgbwB2AGUAcgBsAGEAcABwAGkAbgBnACAAcwBwAGEAdABpAGEAbAAgAGIAbABvAGMAawBzAFwAbgAgACAAIAAgAG8AZgAgAHMAaQB6AGUAIABkAGUAcAB0AGgAIADXACAAdwBpAGQAdABoAC4AIABQAGEAcgB0AGkAYQBsACAAYgBsAG8AYwBrAHMAIABhAHQAIAB0AGgAZQAgAGUAZABnAGUAcwAgAGEAcgBlACAAaQBuAGMAbAB1AGQAZQBkAC4AIABUAGgAZQBcAG4AIAAgACAAIABhAGcAZwByAGUAZwBhAHQAaQBvAG4AIABpAHMAIABwAGUAcgBmAG8AcgBtAGUAZAAgAHUAcwBpAG4AZwAgAGEAbgAgAEUAVABBABEgYwBvAG0AcABhAHQAaQBiAGwAZQAgAGYAdQBuAGMAdABpAG8AbgAgACgAZQAuAGcALgAsACAAUwBVAE0ALABcAG4AIAAgACAAIABBAFYARQBSAEEARwBFACwAIABNAEEAWAAsACAATQBJAE4ALAAgAE0ARQBEAEkAQQBOACwAIABvAHIAIABhACAAYwB1AHMAdABvAG0AIABMAEEATQBCAEQAQQApAC4AXABuAFwAbgBQAGEAcgBhAG0AZQB0AGUAcgBzADoAXABuACAAIAAgACAAYQByAHIAYQB5AF8AMgBEACAAIAAgACAAIAAgAC0AIAAyAEQAIABpAG4AcAB1AHQAIABhAHIAcgBhAHkAXwAyAEQALgBcAG4AIAAgACAAIABkAGUAcAB0AGgAIAAgACAAIAAgACAAIAAtACAATgB1AG0AYgBlAHIAIABvAGYAIAByAG8AdwBzACAAcABlAHIAIABiAGwAbwBjAGsALgBcAG4AIAAgACAAIAB3AGkAZAB0AGgAIAAgACAAIAAgACAAIAAtACAATgB1AG0AYgBlAHIAIABvAGYAIABjAG8AbAB1AG0AbgBzACAAcABlAHIAIABiAGwAbwBjAGsALgBcAG4AIAAgACAAIABmAHUAbgBjAHQAaQBvAG4AIAAgACAAIAAtACAARQBUAEEAIABvAHIAIABMAEEATQBCAEQAQQAgAGEAcABwAGwAaQBlAGQAIAB0AG8AIABlAGEAYwBoACAAYgBsAG8AYwBrAC4AXABuAFwAbgBOAG8AdABlAHMAOgBcAG4AIAAgACAAIAAiICAAUgBlAGoAZQBjAHQAcwAgAG4AbwBuABEgYQByAHIAYQB5AF8AMgBEACAAaQBuAHAAdQB0AHMALgBcAG4AIAAgACAAIAAiICAAUgBlAGoAZQBjAHQAcwAgAGkAbgB2AGEAbABpAGQAIABiAGwAbwBjAGsAIABzAGkAegBlAHMAIABvAHIAIAB0AGUAeAB0ACAAZABpAG0AZQBuAHMAaQBvAG4AcwAuAFwAbgAgACAAIAAgACIgIABQAGEAcgB0AGkAYQBsACAAYgBsAG8AYwBrAHMAIABhAHIAZQAgAGgAYQBuAGQAbABlAGQAIABhAHUAdABvAG0AYQB0AGkAYwBhAGwAbAB5ACAAdgBpAGEAIABJAE4ARABFAFgAIAArACAAVABPAEMATwBMAC4AXABuAC0ALQAtAC0ALQAtAC0ALQAtAC0ALQAtAC0ALQAtAC0ALQAtAC0ALQAtAC0ALQAtAC0ALQAtAC0ALQAtAC0ALQAtAC0ALQAtAC0ALQAtAC0ALQAtAC0ALQAtAC0ALQAtAC0ALQAtAC0ALQAtAC0ALQAtAC0ALQAtAC0ALQAtAC0ALQAtAC0ALQAtAC0ALQAtAC0ALQAtAC0ALQAtACoALwBcAG4AXABuAEcAcgBhAGkAbgC7AyAAPQBcAG4ATABBAE0AQgBEAEEAKABcAG4AIAAgACAAIABhAHIAcgBhAHkAXwAyAEQALABcAG4AIAAgACAAIABkAGUAcAB0AGgALABcAG4AIAAgACAAIAB3AGkAZAB0AGgALABcAG4AIAAgACAAIABmAHUAbgBjAHQAaQBvAG4ALABcAG4AXABuAEkARgAoAE4ATwBUACgAVABZAFAARQAoAGEAcgByAGEAeQBfADIARAApACAAPQAgADYANAApACwAXAAiACMAYQByAHIAYQB5AF8AMgBEACEAXAAiACwAXABuAFwAbgAgACAAIAAgAEkARgAoAE8AUgAoAGQAZQBwAHQAaAAgAD4AIABSAE8AVwBTACgAYQByAHIAYQB5AF8AMgBEACkALAAgAHcAaQBkAHQAaAAgACAAPgAgAEMATwBMAFUATQBOAFMAKABhAHIAcgBhAHkAXwAyAEQAKQAsAEkAUwBUAEUAWABUACgAZABlAHAAdABoACkALABJAFMAVABFAFgAVAAoAHcAaQBkAHQAaAApACkALABcACIAIwBEAEkATQBFAE4AUwBJAE8ATgBTACEAXAAiACwAXABuAFwAbgAgACAAIAAgACAAIAAgACAASQBGACgAVABZAFAARQAoAGYAdQBuAGMAdABpAG8AbgApACAAPAA+ACAAMQAyADgALABcACIAIwBFAFQAQQAgAEYAVQBOAEMAVABJAE8ATgAhAFwAIgAsAFwAbgBcAG4ATABFAFQAKABcAG4AIAAgACAAIAAvAC8AIABEAGkAbQBlAG4AcwBpAG8AbgBzAFwAbgAgACAAIAAgAGgALAAgACAAIAAgACAAIAAgACAAIAAgACAAIAAgACAAUgBPAFcAUwAoAGEAcgByAGEAeQBfADIARAApACwAXABuACAAIAAgACAAdwAsACAAIAAgACAAIAAgACAAIAAgACAAIAAgACAAIABDAE8ATABVAE0ATgBTACgAYQByAHIAYQB5AF8AMgBE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YQByAHIAYQB5AF8AMgBEACwAIABpACgAKQAsACAAagAoACkAKQAsACAAMgApACwAXABuACAAIAAgACAAIAAgACAAIAAgACAAIAAgACAAIAAgACAAIAAgACAAIAAgACAAIAAgACAAIAAgACAAcgBlAHMAdQBsAHQALAAgAGYAdQBuAGMAdABpAG8AbgAoAGIAbABvAGMAawApACwAXABuACAAIAAgACAAIAAgACAAIAAgACAAIAAgACAAIAAgACAAIAAgACAAIAAgACAAIAAgACAAIAAgACAAcgBlAHMAdQBsAHQAKQApACwAXABuAFwAbgAgACAAIAAgAC8ALwAgAEEAcABwAGwAeQAgAGEAZwBnAHIAZQBnAGEAdABpAG8AbgAgAHQAbwAgAGUAYQBjAGgAIABiAGwAbwBjAGsAXABuACAAIAAgACAAZABlAGwAaQB2AGUAcgAsACAAIAAgACAAIAAgACAAIABNAEEAUAAoAGQAbwB3AG4AKAApACwAIABhAGMAcgBvAHMAcwAoACkALAAgAEIAbABvAGMAawBzALsDKQAsAFwAbgBcAG4AIAAgACAAIABkAGUAbABpAHYAZQByAFwAbgApACkAKQApACkAOwBcAG4AXABuAFwAbgBcAG4ALwAqACAAWwBHAFIAMQAxAF0AIAAtAC0ALQAtAC0ALQAtAC0ALQAtAC0ALQAtAC0ALQAtAC0ALQAtAC0ALQAtAC0ALQAtAC0ALQAtAC0ALQAtAC0ALQAtAC0ALQAtAC0ALQAtAC0ALQAtAC0ALQAtAC0ALQAtAC0ALQAtAC0ALQAtAC0ALQAtAC0ALQAtAC0ALQAtAC0ALQAtAC0ALQAtAC0ALQAtAFwAbgBGAHUAbgBjAHQAaQBvAG4AOgAgACAAIAAgACAATQBvAG8AcgBlAEEAZwBn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AAZQByAGYAbwByAG0AcwAgAGEAZwBnAHIAZQBnAGEAdABpAG8AbgAgAG8AdgBlAHIAIABNAG8AbwByAGUAIABvAHIAIAB2AG8AbgAgAE4AZQB1AG0AYQBuAG4AIABuAGUAaQBnAGgAYgBvAHIAaABvAG8AZABzACAAdQBzAGkAbgBnACAAYQBuAFwAbgAgACAAIAAgAEUAVABBABEgYwBvAG0AcABhAHQAaQBiAGwAZQAgAGYAdQBuAGMAdABpAG8AbgAgACgAUwBVAE0ALAAgAEEAVgBFAFIAQQBHAEUALAAgAE0AQQBYACwAIABNAEkATgAsACAATQBFAEQASQBBAE4ALAAgAG8AcgAgAGEAIABjAHUAcwB0AG8AbQBcAG4AIAAgACAAIABMAEEATQBCAEQAQQApAC4AIABPAHAAdABpAG8AbgBhAGwAIABwAGEAcgBhAG0AZQB0AGUAcgBzACAAYwBvAG4AdAByAG8AbAAgAG4AZQBpAGcAaABiAG8AcgBoAG8AbwBkACAAdAB5AHAAZQAgAGEAbgBkACAAaQBmACAAdABoAGUAXABuACAAIAAgACAAYwBlAG4AdABlAHIAIABjAGUAbABsACAAaQBzACAAdABvACAAYgBlACAAaQBuAGMAbAB1AGQAZQBkAC4AXABuAFwAbgBOAGUAaQBnAGgAYgBvAHIAaABvAG8AZABzADoAXABuACAAIAAgACAATQBvAG8AcgBlACAAKAA4ABEgYwBvAG4AbgBlAGMAdABlAGQAKQA6ACAAIAAgACAAIAAgACAAIAB2AG8AbgAgAE4AZQB1AG0AYQBuAG4AIAAoADQAESBjAG8AbgBuAGUAYwB0AGUAZAApADoAXABuACAAIAAgACAAIAAgACAAIAAxACAAIAAyACAAIAAzACAAIAAgACAAIAAgACAAIAAgACAAIAAgACAAIAAgACAAIAAgACAAIAAgADEAXABuACAAIAAgACAAIAAgACAAIAA0ACAAIABDACAAIAA2ACAAIAAgACAAIAAgACAAIAAgACAAIAAgACAAIAAgACAAIAAgADIAIAAgAEMAIAAgADMAXABuACAAIAAgACAAIAAgACAAIAA3ACAAIAA4ACAAIAA5ACAAIAAgACAAIAAgACAAIAAgACAAIAAgACAAIAAgACAAIAAgACAAIAAgADQAXABuAFwAbgBQAGEAcgBhAG0AZQB0AGUAcgBzADoAXABuACAAIAAgACAAYQByAHIAYQB5AF8AMgBEACAAIAAgACAAIAAgACAAIAAgACAALQAgADIARAAgAGkAbgBwAHUAdAAgAGEAcgByAGEAeQBfADIAR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hAHIAcgBhAHkAXwAyAEQALABcAG4AIAAgACAAIABmAHUAbgBjAHQAaQBvAG4ALABcAG4AIAAgACAAIABbAEkAcwB2AG8AbgBOAGUAdQBtAGEAbgBuAD8AXQAsAFwAbgAgACAAIAAgAFsAbwBtAGkAdABfAGMAZQBuAHQAZQByAF0ALABcAG4AXABuAEkARgAoAFQAWQBQAEUAKABhAHIAcgBhAHkAXwAyAEQAKQAgADwAPgAgADYANAAsAFwAIgAjAGEAcgByAGEAeQBfADIAR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hAHIAcgBhAHkAXwAyAEQALAAgAFwAIgBvAG0AaQB0AFwAIgApACwAXABuACAAIAAgACAAIAAgACAAIAAgACAAIAAgACAAIAAgACAAIAAgACAAIAAgACAAIAAgACAAIAAgACAAIAAgACAAXAAiAG8AbQBpAHQAXAAiACkALABcAG4AXABuACAAIAAgACAALwAvACAARABpAHIAZQBjAHQAaQBvAG4AYQBsACAAdgBlAGMAdABvAHIAcwAgACgAZgBsAGEAdAB0AGUAbgBlAGQAKQBcAG4AIAAgACAAIABhACwAIAAgACAAIAAgACAAVABPAEMATwBMACgARABSAE8AUAAoAE0ALAAgAC0AMgAsACAALQAyACkAKQAsACAAIAAgACAAIAAgACAAIAAgACAAIAAgACAAIAAgACAAIAAgACAAIAAgACAAIAAgACAALwAvACAATgBXAFwAbgAgACAAIAAgAGIALAAgACAAIAAgACAAIABUAE8AQwBPAEwAKABUAEEASwBFACgARABSAE8AUAAoAE0ALAAgACwAIAAxACkALAAgAGgAZQBpAGcAaAB0ACwAIAB3AGkAZAB0AGgAKQApACwAIAAgACAAIAAgACAAIAAvAC8AIABOAFwAbgAgACAAIAAgAGMALAAgACAAIAAgACAAIABUAE8AQwBPAEwAKABUAEEASwBFACgARABSAE8AUAAoAE0ALAAgACwAIAAyACkALAAgAGgAZQBpAGcAaAB0ACkAKQAsACAAIAAgACAAIAAgACAAIAAgACAAIAAgACAAIAAvAC8AIABOAEUAXABuACAAIAAgACAAZAAsACAAIAAgACAAIAAgAFQATwBDAE8ATAAoAFQAQQBLAEUAKABEAFIATwBQACgATQAsACAAMQAsACAALQAxACkALAAgAGgAZQBpAGcAaAB0ACwAIAB3AGkAZAB0AGgAKQApACwAIAAgACAAIAAgAC8ALwAgAFcAXABuACAAIAAgACAAYwBlAG4AdABlAHIALAAgAFQATwBDAE8ATAAoAFQAQQBLAEUAKABEAFIATwBQACgATQAsACAAMQAsACAAMQApACwAIABoAGUAaQBnAGgAdAAsACAAdwBpAGQAdABoACkAKQAsACAAIAAgACAAIAAgAC8ALwAgAEMAXABuACAAIAAgACAAZgAsACAAIAAgACAAIAAgAFQATwBDAE8ATAAoAFQAQQBLAEUAKABEAFIATwBQACgATQAsACAAMQAsACAAMQApACwAIABoAGUAaQBnAGgAdAAsACAALQB3AGkAZAB0AGgAKQApACwAIAAgACAAIAAgAC8ALwAgAEUAXABuACAAIAAgACAAZwAsACAAIAAgACAAIAAgAFQATwBDAE8ATAAoAFQAQQBLAEUAKABEAFIATwBQACgATQAsACAAMQAsACAALQAxACkALAAgAC0AaABlAGkAZwBoAHQALAAgAHcAaQBkAHQAaAApACkALAAgACAAIAAgAC8ALwAgAFMAVwBcAG4AIAAgACAAIABoACwAIAAgACAAIAAgACAAVABPAEMATwBMACgAVABBAEsARQAoAEQAUgBPAFAAKABNACwAIAAxACwAIAAtADEAKQAsACAALQBoAGUAaQBnAGgAdAAsACAALQB3AGkAZAB0AGgAKQApACwAIAAgACAALwAvACAAUwBcAG4AIAAgACAAIABpACwAIAAgACAAIAAgACAAVABPAEMATwBMACgAVABBAEsARQAoAEQAUgBPAFAAKABNACwAIAAxACwAIAAxACkALAAgAC0AaABlAGkAZwBoAHQALAAgAC0AdwBpAGQAdABoACkAKQAsACAAIAAgACAALwAvACAAUwBFAFwAbgBcAG4AIAAgACAAIAAvAC8AIABOAGUAaQBnAGgAYgBvAHIAaABvAG8AZAAgAGEAcwBzAGUAbQBiAGwAaQBlAHMAXABuACAAIAAgACAATQBvAG8AcgBlAF8AbgBvAF8AYwBlAG4AdABlAHIALAAgACAAIAAgACAAIAAgAEgAUwBUAEEAQwBLACgAYQAsAGIALABjACwAZAAsAGYALABnACwAaAAsAGkAKQAsAFwAbgAgACAAIAAgAE0AbwBvAHIAZQBfAHcAaQB0AGgAXwBjAGUAbgB0AGUAcgAsACAAIAAgACAAIABIAFMAVABBAEMASwAoAGEALABiACwAYwAsAGQALABjAGUAbgB0AGUAcgAsAGYALABnACwAaAAsAGkAKQAsAFwAbgBcAG4AIAAgACAAIAB2AG8AbgBfAG4AbwBfAGMAZQBuAHQAZQByACwAIAAgACAAIAAgACAAIAAgACAASABTAFQAQQBDAEsAKABiACwAZAAsAGYALABoACkALABcAG4AIAAgACAAIAB2AG8AbgBfAHcAaQB0AGgAXwBjAGUAbgB0AGUAcgAsACAAIAAgACAAIAAgACAASABTAFQAQQBDAEsAKABiACwAZAAsAGYALABoACwAYwBlAG4AdABlAHIAKQAsAFwAbgBcAG4AIAAgACAAIAAvAC8AIABBAGcAZwByAGUAZwBhAHQAbwByAFwAbgAgACAAIAAgAEEAZwBnAHIAZQBnAGEAdABlALsDLAAgACAAIAAgACAAIAAgACAAIAAgACAAIABMAEEATQBCAEQAQQAoAHYALABcAG4AIAAgACAAIAAgACAAIAAgACAAIAAgACAAIAAgACAAIAAgACAAIAAgACAAIAAgACAAIAAgACAAIABmAHUAbgBjAHQAaQBvAG4AKABUAE8AQwBPAEwAKABJAEYAUwAoAHYALAAgAHYAKQAsADIAKQApACkALABcAG4AXABuACAAIAAgACAALwAvACAAQQBwAHAAbAB5ACAAYQBnAGcAcgBlAGcAYQB0AGkAbwBuAFwAbgAgACAAIAAgAGEAZwBnACwAIAAgACAAIAAgACAAIAAgACAAIAAgACAAIAAgACAAIAAgACAAIABJAEYAKABJAHMAdgBvAG4ATgBlAHUAbQBhAG4AbgA/ACwAXABuAFwAbgAgACAAIAAgACAAIAAgACAAIAAgACAAIAAgACAAIAAgACAAIAAgACAAIAAgACAAIAAgACAAIAAgACAAIAAgACAASQBGACgAbwBtAGkAdABfAGMAZQBuAHQAZQByACwAQgBZAFIATwBXACgAdgBvAG4AXwBuAG8AXwBjAGUAbgB0AGUAcgAsACAAQQBnAGcAcgBlAGcAYQB0AGUAuwMpACwAXABuACAAIAAgACAAIAAgACAAIAAgACAAIAAgACAAIAAgACAAIAAgACAAIAAgACAAIAAgACAAIAAgACAAIAAgACAAIAAgACAAIAAgACAAIAAgACAAIAAgACAAIAAgACAAIABCAFkAUgBPAFcAKAB2AG8AbgBfAHcAaQB0AGgAXwBjAGUAbgB0AGUAcgAsACAAQQBnAGcAcgBlAGcAYQB0AGUAuwMpACkALABcAG4AXABuACAAIAAgACAAIAAgACAAIAAgACAAIAAgACAAIAAgACAAIAAgACAAIAAgACAAIAAgACAAIAAgACAAIAAgACAAIABJAEYAKABvAG0AaQB0AF8AYwBlAG4AdABlAHIALABCAFkAUgBPAFcAKABNAG8AbwByAGUAXwBuAG8AXwBjAGUAbgB0AGUAcgAsACAAQQBnAGcAcgBlAGcAYQB0AGUAuwMpACwAXABuACAAIAAgACAAIAAgACAAIAAgACAAIAAgACAAIAAgACAAIAAgACAAIAAgACAAIAAgACAAIAAgACAAIAAgACAAIAAgACAAIAAgACAAIAAgACAAIAAgACAAIAAgACAAIABCAFkAUgBPAFcAKABNAG8AbwByAGUAXwB3AGkAdABoAF8AYwBlAG4AdABlAHIALAAgAEEAZwBnAHIAZQBnAGEAdABlALsDKQApACkALABcAG4AXABuACAAIAAgACAALwAvACAAUgBlAHMAaABhAHAAZQAgAGIAYQBjAGsAIAB0AG8AIABhAHIAcgBhAHkAXwAyAEQAXABuACAAIAAgACAAZABlAGwAaQB2AGUAcgAsACAAIAAgACAAIAAgACAAIAAgACAAIAAgACAAIAAgAEkARgBFAFIAUgBPAFIAKABXAFIAQQBQAFIATwBXAFMAKABhAGcAZwAsACAAdwBpAGQAdABoACkALAAgADAAKQAsAFwAbgBcAG4AIAAgACAAIABkAGUAbABpAHYAZQByAFwAbgApACkAKQApADsAXABuAFwAbgBcAG4AXABuAC8AKgAgAFsARwBSADEAMgBdACAALQAtAC0ALQAtAC0ALQAtAC0ALQAtAC0ALQAtAC0ALQAtAC0ALQAtAC0ALQAtAC0ALQAtAC0ALQAtAC0ALQAtAC0ALQAtAC0ALQAtAC0ALQAtAC0ALQAtAC0ALQAtAC0ALQAtAC0ALQAtAC0ALQAtAC0ALQAtAC0ALQAtAC0ALQAtAC0ALQAtAC0ALQAtAC0ALQBcAG4ARgB1AG4AYwB0AGkAbwBuADoAIAAgACAAIAAgAE0AbwBvAHIAZQBTAGUAbABlAGMAdAC7A1wAbgBDAGEAdABlAGcAbwByAHkAOgAgACAAIAAgACAARwByAGkAZAAgAEEAbgBhAGwAeQB0AGkAYwBzACAAKABOAGUAaQBnAGgAYgBvAHIAaABvAG8AZABzACkAXABuAEEAdQB0AGgAbwByADoAIAAgACAAIAAgACAAIABQAGEAdAByAGkAYwBrACAASAAuAFwAbgBWAGUAcgBzAGkAbwBuADoAIAAgACAAIAAgACAAMQAuADEAXABuAFwAbgBEAGUAcwBjAHIAaQBwAHQAaQBvAG4AOgBcAG4AIAAgACAAIABTAGUAbABlAGMAdABzACAAYQAgAHMAcABlAGMAaQBmAGkAYwAgAG4AZQBpAGcAaABiAG8AcgAgACgAMQATIDkAKQAgAGYAcgBvAG0AIAB0AGgAZQAgAE0AbwBvAHIAZQAgAG4AZQBpAGcAaABiAG8AcgBoAG8AbwBkACAAZgBvAHIAIABlAGEAYwBoAFwAbgAgACAAIAAgAGUAbABlAG0AZQBuAHQAIABpAG4AIABhACAAYQByAHIAYQB5AF8AMgBE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GEAcgByAGEAeQBfADIARAAgACAAIAAgACAAIAAtACAAMgBEACAAaQBuAHAAdQB0ACAAYQByAHIAYQB5AF8AMgBEAC4AXABuACAAIAAgACAAbgBlAGkAZwBoAGIAbwByACAAIAAgACAALQAgAEkAbgB0AGUAZwBlAHIAIAAxABMgOQAgAGkAbgBkAGkAYwBhAHQAaQBuAGcAIAB3AGgAaQBjAGgAIABuAGUAaQBnAGgAYgBvAHIAIAB0AG8AIAByAGUAdAB1AHIAbgAuAFwAbgAtAC0ALQAtAC0ALQAtAC0ALQAtAC0ALQAtAC0ALQAtAC0ALQAtAC0ALQAtAC0ALQAtAC0ALQAtAC0ALQAtAC0ALQAtAC0ALQAtAC0ALQAtAC0ALQAtAC0ALQAtAC0ALQAtAC0ALQAtAC0ALQAtAC0ALQAtAC0ALQAtAC0ALQAtAC0ALQAtAC0ALQAtAC0ALQAtAC0ALQAtAC0ALQAqAC8AXABuAFwAbgBNAG8AbwByAGUAUwBlAGwAZQBjAHQAuwMgAD0AXABuAEwAQQBNAEIARABBACgAXABuACAAIAAgACAAYQByAHIAYQB5AF8AMgBEACwAXABuACAAIAAgACAAbgBlAGkAZwBoAGIAbwByACwAXABuAFwAbgBJAEYAKABUAFkAUABFACgAYQByAHIAYQB5AF8AMgBEACkAIAA8AD4AIAA2ADQALABcACIAIwBhAHIAcgBhAHkAXwAyAEQAIQBcACIALABcAG4AXABuACAAIAAgACAASQBGACgATgBPAFQAKABBAE4ARAAoAG4AZQBpAGcAaABiAG8AcgAgAD4APQAgADEALAAgAG4AZQBpAGcAaABiAG8AcgAgADwAPQAgADkALAAgAE4ATwBUACgASQBTAFQARQBYAFQAKABuAGUAaQBnAGgAYgBvAHIAKQApACkAKQAsAFwAIgAjAE4ARQBJAEcASABCAE8AUgAhAFwAIgAsAFwAbgBcAG4ATABFAFQAKABcAG4AIAAgACAAIAAvAC8AIABEAGkAbQBlAG4AcwBpAG8AbgBzAFwAbgAgACAAIAAgAGgAZQBpAGcAaAB0ACwAIAAgACAAIAAgACAAIAAgACAAIAAgACAAIABSAE8AVwBTACgAYQByAHIAYQB5AF8AMgBEACkALABcAG4AIAAgACAAIAB3AGkAZAB0AGgALAAgACAAIAAgACAAIAAgACAAIAAgACAAIAAgACAAQwBPAEwAVQBNAE4AUwAoAGEAcgByAGEAeQBfADIARAApACwAXABuAFwAbgAgACAAIAAgAC8ALwAgAFAAYQBkACAAYQByAHIAYQB5AF8AMgBEACAAdwBpAHQAaAAgAHoAZQByAG8AcwAgACgAbgBvACAAYQBnAGcAcgBlAGcAYQB0AGkAbwBuACAAbgBlAGUAZABlAGQAKQBcAG4AIAAgACAAIABoAHAAYQBkACwAIAAgACAAIAAgACAAIAAgACAAIAAgACAAIAAgACAARQBYAFAAQQBOAEQAKAAwACwAIAAsACAAdwBpAGQAdABoACAAKwAgADIALAAgADAAKQAsAFwAbgAgACAAIAAgAHYAcABhAGQALAAgACAAIAAgACAAIAAgACAAIAAgACAAIAAgACAAIABFAFgAUABBAE4ARAAoADAALAAgAGgAZQBpAGcAaAB0ACwAIAAsACAAMAApACwAXABuACAAIAAgACAATQAsACAAIAAgACAAIAAgACAAIAAgACAAIAAgACAAIAAgACAAIAAgAFYAUwBUAEEAQwBLACgAaABwAGEAZAAsACAASABTAFQAQQBDAEsAKAB2AHAAYQBkACwAIABhAHIAcgBhAHkAXwAyAEQ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hAHIAcgBhAHkAXwAyAEQAXABuACAAIAAgACAAZwByAGEAeQAsACAAIAAgACAAIAAgACAAIAAgACAAIABIAFMAVABBAEMASwAoAG0AcwBiACwAIAB4ACkALABcAG4AXABuACAAIAAgACAALwAvACAATwB1AHQAcAB1AHQAIABhAG4AZAAgAGQAZQBsAGkAdgBlAHIAeQBcAG4AIAAgACAAIAByAGUAcwB1AGwAdAAsACAAIAAgACAAIAAgACAAIAAgAEkARgAoAEEATgBEACgASQBzADIARABHAHIAYQB5AD8ALABJAHMAMQBEAD8AKQAsACAAZwByAGEAeQAsACAAQgBZAFIATwBXACgAZwByAGEAeQAsACAAQwBPAE4AQwBBAFQAKQApACwAXABuACAAIAAgACAAZgBpAG4AYQBsACwAIAAgACAAIAAgACAAIAAgACAAIABJAEYAKABPAFIAKABJAHMAUwBjAGEAbABhAHIAPwAsAEkAcwBWAGUAcgB0AGkAYwBhAGwAPwApACwAcgBlAHMAdQBsAHQALABcAG4AIAAgACAAIAAgACAAIAAgACAAIAAgACAAIAAgACAAIAAgACAAIAAgACAAIAAgACAASQBGACgASQBzAEgAbwByAGkAegBvAG4AdABhAGwAPwAsAFQAUgBBAE4AUwBQAE8AUwBFACgAcgBlAHMAdQBsAHQAKQAsAFwAbgAgACAAIAAgACAAIAAgACAAIAAgACAAIAAgACAAIAAgACAAIAAgACAAIAAgACAAIAAgACAAIAAgACAAIAAgACAAIAAgACAAIAAgACAAIAAgACAAVwBSAEEAUABSAE8AVwBTACgAcgBlAHMAdQBsAHQALAB3ACkAKQApACwAXABuAFwAbgAgACAAIAAgAGYAaQBuAGEAbABcAG4AKQApADsAXABuAFwAbgBcAG4AXABuAC8AKgAgAFsARQBOADAAMwBdACAALQAtAC0ALQAtAC0ALQAtAC0ALQAtAC0ALQAtAC0ALQAtAC0ALQAtAC0ALQAtAC0ALQAtAC0ALQAtAC0ALQAtAC0ALQAtAC0ALQAtAC0ALQAtAC0ALQAtAC0ALQAtAC0ALQAtAC0ALQAtAC0ALQAtAC0ALQAtAC0ALQAtAC0ALQAtAC0ALQAtAC0ALQAtAC0ALQBcAG4ARgB1AG4AYwB0AGkAbwBuADoAIAAgACAAIAAgACAAIAAgAEIAaQB0AEMAbwB1AG4AdA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1wAbgBcAG4ARABlAHMAYwByAGkAcAB0AGkAbwBuADoAXABuACAAIAAgACAAQwBvAHUAbgB0AHMAIAB0AGgAZQAgAG4AdQBtAGIAZQByACAAbwBmACAAMQARIGIAaQB0AHMAIABpAG4AIAB0AGgAZQAgAGIAaQBuAGEAcgB5ACAAcgBlAHAAcgBlAHMAZQBuAHQAYQB0AGkAbwBuACAAbwBmACAAZQBhAGMAaAAgAGkAbgB0AGUAZwBlAHIALgBcAG4AIAAgACAAIABTAHUAcABwAG8AcgB0AHMAIABzAGMAYQBsAGEAcgAsACAAMQBEACwAIABhAG4AZAAgADIARAAgAGkAbgBwAHUAdABzACAAdwBpAHQAaAAgAGYAdQBsAGwAIABzAGgAYQBwAGUAIABwAHIAZQBzAGUAcgB2AGEAdABpAG8AbgAuAFwAbgBcAG4AUABhAHIAYQBtAGUAdABlAHIAcwA6AFwAbgAgACAAIAAgAG4AIAAgACAALQAgACAAIABTAGMAYQBsAGEAcgAsACAAMQBEACAAYQByAHIAYQB5ACwAIABvAHIAIAAyAEQAIABhAHIAcgBhAHkAIABvAGYAIABuAG8AbgARIG4AZQBnAGEAdABpAHYAZQAgAGkAbgB0AGUAZwBlAHIAcwAuAFwAbgBcAG4ATgBvAHQAZQBzADoAXABuACAAIAAgACAAIiAgAFUAcwBlAHMAIABEAGUAYwAyAEIAaQBuALsDKABuACwAMQApACAAdABvACAAbwBiAHQAYQBpAG4AIABlAHgAcABsAG8AZABlAGQAIABiAGkAdAARIG0AYQB0AHIAaQBjAGUAcw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QgBpAHQAQwBvAHUAbgB0ALsDIAA9AFwAbgBMAEEATQBCAEQAQQAoAFwAbgAgACAAIAAgAG4ALABcAG4ATABFAFQAKABcAG4AIAAgACAAIAAvAC8AIABTAGgAYQBwAGUAXABuACAAIAAgACAAaAAsACAAIAAgACAAIAAgACAAIAAgACAAIAAgAFIATwBXAFMAKABuACkALABcAG4AIAAgACAAIAB3ACwAIAAgACAAIAAgACAAIAAgACAAIAAgACAAQwBPAEwAVQBNAE4AUwAoAG4AKQAsAFwAbgBcAG4AIAAgACAAIABJAHMAUwBjAGEAbABhAHIAPwAsACAAIAAgACAAQQBOAEQAKABoACAAPQAgADEALAAgAHcAIAA9ACAAMQApACwAXABuACAAIAAgACAASQBzAFYAZQByAHQAaQBjAGEAbAA/ACwAIAAgAEEATgBEACgAaAAgAD4AIAAxACwAIAB3ACAAPQAgADEAKQAsAFwAbgBcAG4AIAAgACAAIABJAHMAMQBEAD8ALAAgACAAIAAgACAAIAAgACAAWABPAFIAKABoACAAPQAgADEALAAgAHcAIAA9ACAAMQApACwAXABuACAAIAAgACAASQBzADIARAA/ACwAIAAgACAAIAAgACAAIAAgAEEATgBEACgAaAAgAD4AIAAxACwAIAB3ACAAPgAgADEAKQAsAFwAbgBcAG4AIAAgACAAIAAvAC8AIABGAGwAYQB0AHQAZQBuACAAaQBuAHAAdQB0ACAAaQBmACAAMgBEAFwAbgAgACAAIAAgAG4ALAAgACAAIAAgACAAIAAgACAAIAAgACAAIABJAEYAKABJAHMAMQBEAD8ALABuACwAVABPAEMATwBMACgAbgApACkALABcAG4AXABuACAAIAAgACAALwAvACAARgB1AG4AYwB0AGkAbwBuACAAKABmAG8AcgAgAG4AbwBuAC0AcwBjAGEAbABhAHIAcwApAFwAbgAgACAAIAAgAGYAbgC7AywAIAAgACAAIAAgACAAIAAgACAAIABJAEYAKABPAFIAKABJAHMAVgBlAHIAdABpAGMAYQBsAD8ALABJAHMAMgBEAD8AKQAsAEIAWQBSAE8AVwAsAEIAWQBDAE8ATAApACwAXABuAFwAbgAgACAAIAAgAC8ALwAgAEUAeABwAGwAbwBkAGUAZAAgAGIAaQBuAGEAcgB5ACAAYQByAHIAYQB5AF8AMgBEAFwAbgAgACAAIAAgAGIAaQB0AHMALAAgACAAIAAgACAAIAAgACAAIABEAGUAYwAyAEIAaQBuALsDKABuACwAIAAxACkALABcAG4AXABuACAAIAAgACAALwAvACAAQwBvAHUAbgB0ACAAYgBpAHQAcwBcAG4AIAAgACAAIABjAG8AdQBuAHQAcwAsACAAIAAgACAAIAAgACAASQBGACgASQBzAFMAYwBhAGwAYQByAD8ALAAgAFMAVQBNACgAYgBpAHQAcwApACwAZgBuALsDKABiAGkAdABzACwAUwBVAE0AKQApACwAXABuAFwAbgAgACAAIAAgAGYAaQBuAGEAbAAsACAAIAAgACAAIAAgACAAIABJAEYAKABJAHMAMQBEAD8ALABjAG8AdQBuAHQAcwAsAFcAUgBBAFAAUgBPAFcAUwAoAGMAbwB1AG4AdABzACwAdwApACkALABcAG4AXABuACAAIAAgACAAZgBpAG4AYQBsAFwAbgApACkAOwBcAG4AXABuAFwAbgBcAG4ALwAqACAAWwBFAE4AMAA0AF0AIAAtAC0ALQAtAC0ALQAtAC0ALQAtAC0ALQAtAC0ALQAtAC0ALQAtAC0ALQAtAC0ALQAtAC0ALQAtAC0ALQAtAC0ALQAtAC0ALQAtAC0ALQAtAC0ALQAtAC0ALQAtAC0ALQAtAC0ALQAtAC0ALQAtAC0ALQAtAC0ALQAtAC0ALQAtAC0ALQAtAC0ALQAtAC0ALQAtAFwAbgBGAHUAbgBjAHQAaQBvAG4AOgAgACAAIAAgACAAIAAgACAARABlAGMAMgBCAGkAbgC7A1wAbgBDAGEAdABlAGcAbwByAHkAOgAgACAAIAAgACAAIAAgACAARQBuAGcAaQBuAGUAZQByAGkAbgBnAFwAbgBBAHUAdABoAG8AcgA6ACAAIAAgACAAIAAgACAAIAAgACAAUABhAHQAcgBpAGMAawAgAEgALgBcAG4AVgBlAHIAcwBpAG8AbgA6ACAAIAAgACAAIAAgACAAIAAgADEALgAxAFwAbgBcAG4ARABlAHMAYwByAGkAcAB0AGkAbwBuADoAXABuACAAIAAgACAAQwBvAG4AdgBlAHIAdABzACAAbgBvAG4AESBuAGUAZwBhAHQAaQB2AGUAIABpAG4AdABlAGcAZQByAHMAIABpAG4AdABvACAAYgBpAG4AYQByAHkALgAgAFMAdQBwAHAAbwByAHQAcwAgAHMAYwBhAGwAYQByACwAIAAxAEQALAAgAGEAbgBkACAAMgBEAFwAbgAgACAAIAAgAGkAbgBwAHUAdABzACAAdwBpAHQAaAAgAGYAdQBsAGwAIABzAGgAYQBwAGUAIABwAHIAZQBzAGUAcgB2AGEAdABpAG8AbgAuACAAUgBlAHQAdQByAG4AcwAgAGUAaQB0AGgAZQByACAAYwBvAG4AYwBpAHMAZQAgAGIAaQBuAGEAcgB5ACAAcwB0AHIAaQBuAGcAcwBcAG4AIAAgACAAIABvAHIAIABlAHgAcABsAG8AZABlAGQAIAAyAEQAIABiAGkAdAARIGEAcgByAGEAeQBzAC4AXABuAFwAbgBQAGEAcgBhAG0AZQB0AGUAcgBzADoAXABuACAAIAAgACAAbgB1AG0AYgBlAHIAcwBcAG4AIAAgACAAIAAgACAAIAAgAFMAYwBhAGwAYQByACwAIAAxAEQAIABhAHIAcgBhAHkALAAgAG8AcgAgADIARAAgAGEAcgByAGEAeQAgAG8AZgAgAG4AbwBuABEgbgBlAGcAYQB0AGkAdgBlACAAaQBuAHQAZQBnAGUAcgBzAC4AXABuAFwAbgAgACAAIAAgAFsAQQByAHIAYQB5AF8ARgBvAHIAbQBfADIARABdAFwAbgAgACAAIAAgACAAIAAgACAATwBwAHQAaQBvAG4AYQBsAC4AIABUAFIAVQBFACAAkiEgAHIAZQB0AHUAcgBuACAAZQB4AHAAbABvAGQAZQBkACAAMgBEACAAYgBpAHQAESBhAHIAcgBhAHkAcwAuAFwAbgAgACAAIAAgACAAIAAgACAATwBtAGkAdAB0AGUAZAAgAJIhIAByAGUAdAB1AHIAbgAgAGMAbwBuAGMAaQBzAGUAIABiAGkAbgBhAHIAeQAgAHMAdAByAGkAbgBnAHMALgBcAG4AXABuAE4AbwB0AGUAcwA6AFwAbgAgACAAIAAgACIgIABTAHUAcABwAG8AcgB0AHMAIABhAHIAYgBpAHQAcgBhAHIAaQBsAHkAIABsAGEAcgBnAGUAIABpAG4AdABlAGcAZQByAHMAIAAoAGIAZQB5AG8AbgBkACAARQB4AGMAZQBsABkgcwAgAG4AYQB0AGkAdgBlACAAQgBJAE4AMgBEAEUAQwAgAGwAaQBtAGkAdABzACkALgBcAG4AIAAgACAAIAAiICAAQwBvAG4AYwBpAHMAZQAgAG8AdQB0AHAAdQB0ACAAYQB2AG8AaQBkAHMAIABzAGMAaQBlAG4AdABpAGYAaQBjACAAbgBvAHQAYQB0AGkAbwBuACAAYQBuAGQAIAAxADYAESBkAGkAZwBpAHQAIABwAHIAZQBjAGkAcwBpAG8AbgAgAGkAcwBzAHUAZQBzAC4AXABuACAAIAAgACAAIiAgADIARAAgAGkAbgBwAHUAdABzACAAcAByAGUAcwBlAHIAdgBlACAAdABoAGUAaQByACAAbwByAGkAZwBpAG4AYQBsACAAcwBoAGEAcABlACAAdwBoAGUAbgAgAGMAbwBuAGMAaQBzAGUAIABvAHUAdABwAHUAdAAgAGkAcwAgAHMAZQBsAGUAYwB0AGUAZAAuAFwAbgAtAC0ALQAtAC0ALQAtAC0ALQAtAC0ALQAtAC0ALQAtAC0ALQAtAC0ALQAtAC0ALQAtAC0ALQAtAC0ALQAtAC0ALQAtAC0ALQAtAC0ALQAtAC0ALQAtAC0ALQAtAC0ALQAtAC0ALQAtAC0ALQAtAC0ALQAtAC0ALQAtAC0ALQAtAC0ALQAtAC0ALQAtAC0ALQAtAC0ALQAtAC0ALQAqAC8AXABuAFwAbgBEAGUAYwAyAEIAaQBuALsDPQBcAG4ATABBAE0AQgBEAEEAKABcAG4AIAAgACAAIABuAHUAbQBiAGUAcgBzACwAXABuACAAIAAgACAAWwBBAHIAcgBhAHkAXwBGAG8AcgBtAF8AMgBEAF0ALABcAG4AXABuAC8ALwBDAGgAZQBjAGsAIABuAHUAbQBiAGUAcgBzAFwAbgBJAEYAKABPAFIAKABJAFMAVABFAFgAVAAoAG4AdQBtAGIAZQByAHMAKQAsACAASQBTAEUAUgBSAE8AUgAoAC0ALQBuAHUAbQBiAGUAcgBzACkALABuAHUAbQBiAGUAcgBzACAAPAAgADAAKQAsACAAIwBWAEEATABVAEUAIQAsAFwAbgBcAG4ATABFAFQAKABcAG4AIAAgACAAIAAvAC8AIABJAG4AcAB1AHQAIABzAGgAYQBwAGUAXABuACAAIAAgACAAaAAsACAAIAAgACAAIAAgACAAIAAgACAAIAAgACAAUgBPAFcAUwAoAG4AdQBtAGIAZQByAHMAKQAsAFwAbgAgACAAIAAgAHcALAAgACAAIAAgACAAIAAgACAAIAAgACAAIAAgAEMATwBMAFUATQBOAFMAKABuAHUAbQBiAGUAcgBzACkALABcAG4AXABuACAAIAAgACAASQBzAFMAYwBhAGwAYQByAD8ALAAgACAAIAAgACAAQQBOAEQAKABoACAAPQAgADEALAAgAHcAIAA9ACAAMQApACwAXABuACAAIAAgACAASQBzAFYAZQByAHQAaQBjAGEAbAA/ACwAIAAgACAAaAAgAD4AIAB3ACwAXABuACAAIAAgACAASQBzADIARAA/ACwAIAAgACAAIAAgACAAIAAgACAAQQBOAEQAKABoACAAPgAgADEALAB3ACAAPgAgADEAKQAsAFwAbgBcAG4AIAAgACAAIAAvAC8AIABGAGwAYQB0AHQAZQBuACAAaQBuAHAAdQB0AFwAbgAgACAAIAAgAG4AdQBtAGIAZQByAHMALAAgACAAIAAgACAAIAAgAFQATwBDAE8ATAAoAG4AdQBtAGIAZQByAHMAKQAsAFwAbgBcAG4AIAAgACAAIAAvAC8AIABGAG8AcgBtAFwAbgAgACAAIAAgAEkAcwBWAGUAYwB0AG8AcgA/ACwAIAAgACAAIAAgAEkAUwBPAE0ASQBUAFQARQBEACgAQQByAHIAYQB5AF8ARgBvAHIAbQBfADIARAApACwAXABuAFwAbgAgACAAIAAgAC8ALwAgAE0AYQB4ACAAYgBpAHQAcwAgAG4AZQBlAGQAZQBkACAAdABvACAAZQB4AHAAcgBlAHMAcwAgAHIAZQBzAHUAbAB0AHMAIABhAHMAIABhAHIAcgBhAHkAXABuACAAIAAgACAAYgBpAHQAcwAsACAAIAAgACAAIAAgACAAIAAgACAATQBBAFgAKABJAEYARQBSAFIATwBSACgASQBOAFQAKABMAE8ARwAoAG4AdQBtAGIAZQByAHMALAAyACkAKQAgACsAIAAxACwAMQApACkALABcAG4AXABuACAAIAAgACAALwAvACAARgBvAHIAbQBzACAALQAgADIARAAgAGEAcgByAGEAeQAsACAAYgBpAG4AIAB2AGUAYwB0AG8AcgAgAC0AIABlAGEAZwBlAHIAIABlAHYAYQBsAHUAYQB0AGkAbwBuACAAZABlAGYAZQByAHIAZQBkAFwAbgAgACAAIAAgAGIAaQBuAF8AYQByAHIALAAgACAAIAAgACAAIAAgAEwAQQBNAEIARABBACgATQBPAEQAKABCAEkAVABSAFMASABJAEYAVAAoAG4AdQBtAGIAZQByAHMALABTAEUAUQBVAEUATgBDAEUAKAAsAGIAaQB0AHMALABiAGkAdABzACAALQAgADEALAAtADEAKQApACwAMgApACkALABcAG4AIAAgACAAIABiAGkAbgBfAHYAZQBjAHQAbwByACwAIAAgACAAIABMAEEATQBCAEQAQQAoAEIAWQBSAE8AVwAoAGIAaQBuAF8AYQByAHIAKAApACwAQwBPAE4AQwBBAFQAKQApACwAXABuACAAIAAgACAAYgBpAG4AXwByAGUAcwB1AGwAdAAsACAAIAAgACAATABBAE0AQgBEAEEAKABJAEYAKABJAHMAVgBlAGMAdABvAHIAPwAsAGIAaQBuAF8AdgBlAGMAdABvAHIAKAApACwAYgBpAG4AXwBhAHIAcgAoACkAKQApACwAXABuAFwAbgAgACAAIAAgAC8ALwAgAFIAZQAtAHMAaABhAHAAaQBuAGcAIAAmACAAZABlAGwAaQB2AGUAcgB5AFwAbgAgACAAIAAgAGQAZQBsAGkAdgBlAHIALAAgACAAIAAgACAAIAAgAEkARgAoAEkAcwAyAEQAPwAsAFcAUgBBAFAAUgBPAFcAUwAoAGIAaQBuAF8AdgBlAGMAdABvAHIAKAApACwAdwApACwAXABuACAAIAAgACAAIAAgACAAIAAgACAAIAAgACAAIAAgACAAIAAgACAAIAAgACAAIAAgAEkARgAoAE8AUgAoAEkAcwBTAGMAYQBsAGEAcgA/ACwASQBzAFYAZQByAHQAaQBjAGEAbAA/ACkALABiAGkAbgBfAHIAZQBzAHUAbAB0ACgAKQAsAFwAbgAgACAAIAAgACAAIAAgACAAIAAgACAAIAAgACAAIAAgACAAIAAgACAAIAAgACAAIAAgACAAIAAgAFQAUgBBAE4AUwBQAE8AUwBFACgAYgBpAG4AXwByAGUAcwB1AGwAdAAoACkAKQApACkALABcAG4AIAAgACAAIABkAGUAbABpAHYAZQByAFwAbgApACkAKQA7AFwAbgBcAG4AXABuAFwAbgAvACoAIABbAEUATgAwADUAXQAgAC0ALQAtAC0ALQAtAC0ALQAtAC0ALQAtAC0ALQAtAC0ALQAtAC0ALQAtAC0ALQAtAC0ALQAtAC0ALQAtAC0ALQAtAC0ALQAtAC0ALQAtAC0ALQAtAC0ALQAtAC0ALQAtAC0ALQAtAC0ALQAtAC0ALQAtAC0ALQAtAC0ALQAtAC0ALQAtAC0ALQAtAC0ALQAtAC0AXABuAEYAdQBuAGMAdABpAG8AbgA6ACAAIAAgACAAIAAgACAAIABEAGUAYw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QAZQBjADIAQgBpAG4AuwMsACAAQgBpAG4AMgBHAHIAYQB5ALsDXABuAFwAbgBEAGUAcwBjAHIAaQBwAHQAaQBvAG4AOgBcAG4AIAAgACAAIABDAG8AbgB2AGUAcgB0AHMAIABuAG8AbgARIG4AZQBnAGEAdABpAHYAZQAgAGkAbgB0AGUAZwBlAHIAcwAgAGkAbgB0AG8AIABHAHIAYQB5ABEgYwBvAGQAZQAgAHYAYQBsAHUAZQBzAC4AIABTAHUAcABwAG8AcgB0AHMAIABzAGMAYQBsAGEAcgAsACAAMQBEACwAXABuACAAIAAgACAAYQBuAGQAIAAyAEQAIABpAG4AcAB1AHQAcwAgAHcAaQB0AGgAIABmAHUAbABsACAAcwBoAGEAcABlACAAcAByAGUAcwBlAHIAdgBhAHQAaQBvAG4ALgAgAE8AdQB0AHAAdQB0ACAAYwBhAG4AIABiAGUAIAByAGUAdAB1AHIAbgBlAGQAIABlAGkAdABoAGUAcgBcAG4AIAAgACAAIABhAHMAIABjAG8AbgBjAGkAcwBlACAARwByAGEAeQARIGMAbwBkAGUAIABzAHQAcgBpAG4AZwBzACAAbwByACAAYQBzACAAZQB4AHAAbABvAGQAZQBkACAAMgBEACAAYgBpAHQAESBhAHIAcgBhAHkAcwAuAFwAbgBcAG4AUABhAHIAYQBtAGUAdABlAHIAcwA6AFwAbgAgACAAIAAgAG4AdQBtAGIAZQByAFwAbgAgACAAIAAgACAAIAAgACAAUwBjAGEAbABhAHIALAAgADEARAAgAGEAcgByAGEAeQAsACAAbwByACAAMgBEACAAYQByAHIAYQB5ACAAbwBmACAAbgBvAG4AESBuAGUAZwBhAHQAaQB2AGUAIABpAG4AdABlAGcAZQByAHMALgBcAG4AXABuACAAIAAgACAAWwBjAG8AbgBjAGkAcwBlAF0AXABuACAAIAAgACAAIAAgACAAIABPAHAAdABpAG8AbgBhAGwALgAgAFQAUgBVAEUAIACSISAAcgBlAHQAdQByAG4AIABHAHIAYQB5ACAAYwBvAGQAZQAgAGEAcwAgAGMAbwBuAGMAYQB0AGUAbgBhAHQAZQBkACAAcwB0AHIAaQBuAGcAcwAuAFwAbgAgACAAIAAgACAAIAAgACAATwBtAGkAdAB0AGUAZAAgAJIhIAByAGUAdAB1AHIAbgAgAGUAeABwAGwAbwBkAGUAZAAgADIARAAgAEcAcgBhAHkAESBjAG8AZABlACAAYgBpAHQAIABhAHIAcgBhAHkAcwAuAFwAbgBcAG4ATgBvAHQAZQBzADoAXABuACAAIAAgACAAIiAgAFUAcwBlAHMAIABEAGUAYwAyAEIAaQBuALsDIAB0AG8AIABvAGIAdABhAGkAbgAgAGIAaQBuAGEAcgB5ACwAIAB0AGgAZQBuACAAQgBpAG4AMgBHAHIAYQB5ALsDIAB0AG8AIABjAG8AbgB2AGUAcgB0ACAAdABvACAARwByAGEAeQAgAGMAbwBkAGUALgBcAG4AIAAgACAAIAAiICAATwB1AHQAcAB1AHQAIABzAGgAYQBwAGUAIABtAGEAdABjAGgAZQBzACAAaQBuAHAAdQB0ACAAcwBoAGEAcABlAC4AXABuAC0ALQAtAC0ALQAtAC0ALQAtAC0ALQAtAC0ALQAtAC0ALQAtAC0ALQAtAC0ALQAtAC0ALQAtAC0ALQAtAC0ALQAtAC0ALQAtAC0ALQAtAC0ALQAtAC0ALQAtAC0ALQAtAC0ALQAtAC0ALQAtAC0ALQAtAC0ALQAtAC0ALQAtAC0ALQAtAC0ALQAtAC0ALQAtAC0ALQAtAC0ALQAtACoALwBcAG4AXABuAEQAZQBjADIARwByAGEAeQC7AyAAPQBcAG4ATABBAE0AQgBEAEEAKABcAG4AIAAgACAAIABuAHUAbQBiAGUAcgAsAFwAbgAgACAAIAAgAFsAYwBvAG4AYwBpAHMAZQBdACwAXABuACAAIAAgACAAQgBpAG4AMgBHAHIAYQB5ALsDKABEAGUAYwAyAEIAaQBuALsDKABuAHUAbQBiAGUAcgApACwAIABjAG8AbgBjAGkAcwBlACkAXABuACkAOwBcAG4AXABuAFwAbgBcAG4ALwAvACAAWwBDAEIAXQAgAC0ALQAtAC0ALQAtAC0ALQAtAC0ALQAtAC0ALQAtAC0ALQAtAC0ALQAtAC0ALQAtAC0ALQAtAC0ALQAtAC0ALQAtAC0ALQAtAC0ALQAtAC0ALQAtAC0ALQAtAC0ALQAtAC0ALQAtAC0ALQAtAC0ALQAtAC0ALQAtAC0ALQAtAC0ALQAtAC0ALQAtAC0ALQAtAC0ALQAtAC0ALQBcAG4ALwAvACAALQAtAC0AIwAjACAAMAA5ACAAFCAgAEMAbwBtAGIAaQBuAGEAdABvAHI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UAIABDAG8AbQBiAGkAbgBhAHQAbwByAGkAYwBzACAAYwBhAHQAZQBnAG8AcgB5ACAAcAByAG8AdgBpAGQAZQBzACAAaABpAGcAaAARIHAAZQByAGYAbwByAG0AYQBuAGMAZQAgAGcAZQBuAGUAcgBhAHQAbwByAHMAIABmAG8AcgBcAG4AIAAgACAAIABwAGUAcgBtAHUAdABhAHQAaQBvAG4AcwAsACAAYwBvAG0AYgBpAG4AYQB0AGkAbwBuAHMALAAgAHMAdQBiAHMAZQB0AHMALAAgAGEAbgBkACAAcgBlAGwAYQB0AGUAZAAgAHMAdAByAHUAYwB0AHUAcgBlAHMALgBcAG4AXABuAEYAdQBuAGMAdABpAG8AbgBzADoAXABuACAAIAAgACAAIiAgAFAAZQByAG0AUgC7A1wAbgAgACAAIAAgACAAIAAgACAARwBlAG4AZQByAGEAdABlAHMAIABwAGUAcgBtAHUAdABhAHQAaQBvAG4AcwAgAHcAaQB0AGgAIAByAGUAcABsAGEAYwBlAG0AZQBuAHQAIAAoAGsAESB0AHUAcABsAGUAcwAgAGQAcgBhAHcAbgAgAGYAcgBvAG0AIABuACAAaQB0AGUAbQBzACkALgBcAG4AXABuACAAIAAgACAAIiAgAFAAZQByAG0AuwNcAG4AIAAgACAAIAAgACAAIAAgAEcAZQBuAGUAcgBhAHQAZQBzACAAcABlAHIAbQB1AHQAYQB0AGkAbwBuAHMAIAB3AGkAdABoAG8AdQB0ACAAcgBlAHAAbABhAGMAZQBtAGUAbgB0AC4AXABuAFwAbgAgACAAIAAgACIgIABDAG8AbQBiAGkAbgBhAHQAaQBvAG4AcwBSALsDXABuACAAIAAgACAAIAAgACAAIABHAGUAbgBlAHIAYQB0AGUAcwAgAGMAbwBtAGIAaQBuAGEAdABpAG8AbgBzACAAdwBpAHQAaAAgAHIAZQBwAGwAYQBjAGUAbQBlAG4AdAAuAFwAbgBcAG4AIAAgACAAIAAiICAAQwBvAG0AYgBpAG4AYQB0AGkAbwBuAHMAuwNcAG4AIAAgACAAIAAgACAAIAAgAEcAZQBuAGUAcgBhAHQAZQBzACAAYwBvAG0AYgBpAG4AYQB0AGkAbwBuAHMAIAB3AGkAdABoAG8AdQB0ACAAcgBlAHAAbABhAGMAZQBtAGUAbgB0AC4AXABuAFwAbgAgACAAIAAgACIgIABEAGUAcgBhAG4AZwBlAG0AZQBuAHQAcwC7A1wAbgAgACAAIAAgACAAIAAgACAARwBlAG4AZQByAGEAdABlAHMAIABwAGUAcgBtAHUAdABhAHQAaQBvAG4AcwAgAHcAaABlAHIAZQAgAG4AbwAgAGUAbABlAG0AZQBuAHQAIAByAGUAbQBhAGkAbgBzACAAaQBuACAAaQB0AHMAIABvAHIAaQBnAGkAbgBhAGwAIABwAG8AcwBpAHQAaQBvAG4ALgBcAG4AXABuACAAIAAgACAAIiAgAEsAbgBhAHAAUwBhAGMAawC7A1wAbgAgACAAIAAgACAAIAAgACAAUwBvAGwAdgBlAHMAIAB0AGgAZQAgAHMAdQBiAHMAZQB0ABEgcwB1AG0AIAAvACAAawBuAGEAcABzAGEAYwBrACAAZgBlAGEAcwBpAGIAaQBsAGkAdAB5ACAAcAByAG8AYgBsAGUAbQAgAHUAcwBpAG4AZwAgAHYAZQBjAHQAbwByAGkAegBlAGQAXABuACAAIAAgACAAIAAgACAAIABlAG4AdQBtAGUAcgBhAHQAaQBvAG4AIABhAG4AZAAgAGYAaQBsAHQAZQByAGkAbgBnAC4AXABuAFwAbgAgACAAIAAgACIgIABTAHUAYgBzAGUAdABHAGUAbgC7A1wAbgAgACAAIAAgACAAIAAgACAARwBlAG4AZQByAGEAdABlAHMAIABhAGwAbAAgAHMAdQBiAHMAZQB0AHMAIABvAGYAIABhACAAcwBlAHQAIAAoAHQAaABlACAAcABvAHcAZQByACAAcwBlAHQAKQAsACAAcgBlAHQAdQByAG4AZQBkACAAaQBuACAAYgBpAG4AYQByAHkAESBtAGEAcwBrAFwAbgAgACAAIAAgACAAIAAgACAAbwByAGQAZQByAC4AXABuAFwAbgAgACAAIAAgACIgIABTAHUAYgBzAGUAdABTAHUAbQC7A1wAbgAgACAAIAAgACAAIAAgACAAUgBlAHQAdQByAG4AcwAgAGEAbABsACAAcwB1AGIAcwBlAHQAcwAgAHcAaABvAHMAZQAgAGUAbABlAG0AZQBuAHQAcwAgAHMAdQBtACAAdABvACAAYQAgAHQAYQByAGcAZQB0ACAAdgBhAGwAdQBlAC4AXABuAFwAbgBOAG8AdABlAHMAOgBcAG4AIAAgACAAIAAiICAAQQBsAGwAIABnAGUAbgBlAHIAYQB0AG8AcgBzACAAYQByAGUAIABzAGgAYQBwAGUAESBwAHIAZQBzAGUAcgB2AGkAbgBnACAAYQBuAGQAIAByAGUAdAB1AHIAbgAgADIARAAgAGEAcgByAGEAeQBzACAAdwBoAGUAcgBlACAAZQBhAGMAaAAgAHIAbwB3AFwAbgAgACAAIAAgACAAIAByAGUAcAByAGUAcwBlAG4AdABzACAAbwBuAGUAIABjAG8AbQBiAGkAbgBhAHQAbwByAGkAYQBsACAAbwBiAGoAZQBjAHQALgBcAG4AIAAgACAAIAAiICAAQQBsAGwAIABmAHUAbgBjAHQAaQBvAG4AcwAgAG8AcABlAHIAYQB0AGUAIABvAG4AIABhAHIAcgBhAHkAcwAgAG8AZgAgAGkAdABlAG0AcwAsACAAbgBvAHQAIABqAHUAcwB0ACAAaQBuAHQAZQBnAGUAcgBzAC4AXABuACAAIAAgACAAIiAgAFQAaABlACAAdQBuAGQAZQByAGwAeQBpAG4AZwAgAGEAcgBjAGgAaQB0AGUAYwB0AHUAcgBlACAAdQBzAGUAcwAgAGEAIABmAHUAbgBuAGUAbAAgAG0AbwBkAGUAbAA6ACAAbABhAHIAZwBlACAAZQBuAHUAbQBlAHIAYQB0AGkAbwBuAHMAIABhAHIAZQBcAG4AIAAgACAAIAAgACAAZwBlAG4AZQByAGEAdABlAGQAIABvAG4AYwBlACAAYQBuAGQAIABmAGkAbAB0AGUAcgBlAGQAIABiAHkAIABvAHIAZABlAHIALAAgAHUAbgBpAHEAdQBlAG4AZQBzAHMALAAgAG8AcgAgAHAAbwBzAGkAdABpAG8AbgBhAGwAIABwAHIAZQBkAGkAYwBhAHQAZQBzAC4AXABuAFwAbgBFAG4AdQBtAGUAcgBhAHQAZQC7A1wAbgAgACAAIAAgACAAIAAgACAAIAAgACAAIAAgACAAIAAgACAAIAAgACAAIAAgACAAIAAgACAAIAAgACAAIAAgACAAKABHAGUAbgBlAHIAYQB0AGkAbgBnACAAZgB1AG4AYwB0AGkAbwBuACkAXABuACAAIAAgACAAIAAgACAAIAAgACAAIAAgACAAIAAgACAAIAAgACAAIAAgACAAIAAgACAAIAAgACAAIAAgACAAIAAgACAAIAAgACAAIAAgACAAfABcAG4AIAAgACAAIAAgACAAIAAgACAAIAAgACAAIAAgACAAIAAgACAAIAAgACAAIAAgACAAIAAgACAAIAAgACAAIAAgACAAIAAgACAAIAAgAFAAZQByAG0AUgC7A1wAbgAgACAAIAAgACAAIAAgACAAIAAgACAAIAAgACAAIAAgACAAIAAgACAAKABmAHUAbABsACAAcABlAHIAbQB1AHQAYQB0AGkAbwBuAHMAIAB3AGkAdABoACAAcgBlAHAAbABhAGMAZQBtAGUAbgB0ACkAXABuACAAIAAgACAAIAAgACAAIAAgACAAIAAgACAAIAAgACAAIAAgACAAIAAgACAAIAAgACAAIAAgACAAIAAgACAAIAAgACAAIAAgACAAIAAgACAAfABcAG4AIAAgACAAIAAgACAAIAAgACAAIAAgACAAIAAgACAAIAAtAC0ALQAtAC0ALQAtAC0ALQAtAC0ALQAtAC0ALQAtAC0ALQAtAC0ALQAtAC0ALQAtAC0ALQAtAC0ALQAtAC0ALQAtAC0ALQAtAC0ALQAtAC0ALQAtAC0ALQAtAC0ALQAtAFwAbgAgACAAIAAgACAAIAAgACAAIAAgACAAIAAgACAAIAAgAHwAIAAgACAAIAAgACAAIAAgACAAIAAgACAAIAAgACAAIAAgACAAIAAgACAAIAAgAHwAIAAgACAAIAAgACAAIAAgACAAIAAgACAAIAAgACAAIAAgACAAIAAgACAAIAAgAHwAXABuACAAIAAgACAAIAAgACAAIABDAG8AbQBiAGkAbgBhAHQAaQBvAG4AcwBSALsDIAAgACAAIAAgACAAIAAgACAAIAAgACAAIAAgACAAIABQAGUAcgBtALsDIAAgACAAIAAgACAAIAAgACAAIAAgACAAIAAgAEQAZQByAGEAbgBnAGUAbQBlAG4AdABzALsDXABuACAAIAAgACAAIAAgACAAIAAoAGYAaQBsAHQAZQByACAAcgBlAHAAZQBhAHQAcwApACAAIAAgACAAIAAgACAAIAAoAGYAaQBsAHQAZQByACAAYgB5ACAAbwByAGQAZQByACkAIAAgACAAIAAgACgAZgBpAGwAdABlAHIAIABiAHkAIABwAG8AcwBpAHQAaQBvAG4AKQBcAG4AIAAgACAAIAAgACAAIAAgACAAIAAgACAAIAAgACAAIAB8AFwAbgAgACAAIAAgACAAIAAgACAAIAAgAEMAbwBtAGIAaQBuAGEAdABpAG8AbgBzALsDXABuACAAIAAgACAAIAAoAGYAaQBsAHQAZQByACAAcgBlAHAAZQBhAHQAcwAgACsAIABvAHIAZABlAHIAKQBcAG4AXABuAFwAbgAqAC8AXABuAFwAbgBcAG4AXABuAC8AKgAgAFsAQwBCABEgQwBPAFIARQBdACAALQAtAC0ALQAtAC0ALQAtAC0ALQAtAC0ALQAtAC0ALQAtAC0ALQAtAC0ALQAtAC0ALQAtAC0ALQAtAC0ALQAtAC0ALQAtAC0ALQAtAC0ALQAtAC0ALQAtAC0ALQAtAC0ALQAtAC0ALQAtAC0ALQAtAC0ALQAtAC0ALQAtAC0ALQAtAC0ALQAtAC0ALQAtAFwAbgBGAHUAbgBjAHQAaQBvAG4AOgAgACAAIAAgACAAIAAgACAARQBuAHUAbQBlAHIAYQB0AGUAuwNcAG4AQwBhAHQAZQBnAG8AcgB5ADoAIAAgACAAIAAgACAAIAAgAEMAbwBtAGIAaQBuAGEAdABvAHIAaQBjAHMAXABuAEEAdQB0AGgAbwByADoAIAAgACAAIAAgACAAIAAgACAAIABQAGEAdAByAGkAYwBrACAASAAuAFwAbgBWAGUAcgBzAGkAbwBuADoAIAAgACAAIAAgACAAIAAgACAAMQAuADEAXABuAFwAbgBEAGUAcwBjAHIAaQBwAHQAaQBvAG4AOgBcAG4AIAAgACAAIABDAG8AcgBlACAAZwBlAG4AZQByAGEAdABpAG4AZwAgAGYAdQBuAGMAdABpAG8AbgAgAGYAbwByACAAYQBsAGwAIABjAG8AbQBiAGkAbgBhAHQAbwByAGkAYQBsACAAbwBwAGUAcgBhAHQAbwByAHMAIABpAG4AIAB0AGgAZQAgAEMAbwBtAGIAaQBuAGEAdABvAHIAaQBjAHMAXABuACAAIAAgACAAYwBhAHQAZQBnAG8AcgB5AC4AIABQAHIAbwBkAHUAYwBlAHMAIABpAG4AZABlAHgAIABtAGEAdAByAGkAYwBlAHMAIABmAG8AcgAgAHAAZQByAG0AdQB0AGEAdABpAG8AbgBzACwAIABjAG8AbQBiAGkAbgBhAHQAaQBvAG4AcwAsACAAbQB1AGwAdABpAHMAZQB0AHMALABcAG4AIAAgACAAIABhAG4AZAAgAGQAZQByAGEAbgBnAGUAbQBlAG4AdABzACAAdQBzAGkAbgBnACAAYQAgAHYAZQBjAHQAbwByAGkAegBlAGQAIABmAHUAbgBuAGUAbAAgAGEAcgBjAGgAaQB0AGUAYwB0AHUAcgBlAC4AIABIAGkAZwBoAGUAcgARIGwAZQB2AGUAbABcAG4AIAAgACAAIABmAHUAbgBjAHQAaQBvAG4AcwAgACgAUABlAHIAbQBSALsDLAAgAFAAZQByAG0AuwMsACAAQwBvAG0AYgBpAG4AYQB0AGkAbwBuAHMAUgC7AywAIABDAG8AbQBiAGkAbgBhAHQAaQBvAG4AcwC7AywAIABEAGUAcgBhAG4AZwBlAG0AZQBuAHQAcwC7AykAXABuACAAIAAgACAAYQByAGUAIAB0AGgAaQBuACAAdwByAGEAcABwAGUAcgBzACAAYQByAG8AdQBuAGQAIAB0AGgAaQBzACAAZwBlAG4AZQByAGEAdABvAHI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wBcAG4AIAAgACAAIAAgACAAIAAgAEwAZQBuAGcAdABoACAAbwBmACAAZQBhAGMAaAAgAHQAdQBwAGwAZQAgACgAawAgAGUiIAAwACkALgAgAE0AdQBzAHQAIABiAGUAIABhACAAcwBjAGEAbABhAHIALgBcAG4AXABuACAAIAAgACAAdAB5AHAAZQBcAG4AIAAgACAAIAAgACAAIAAgAFMAZQBsAGUAYwB0AG8AcgAgAGYAbwByACAAdABoAGUAIABjAG8AbQBiAGkAbgBhAHQAbwByAGkAYQBsACAAbQBvAGQAZQA6AFwAbgAgACAAIAAgACAAIAAgACAAIAAgACAAIAAxACAAkiEgAFAAZQByAG0AdQB0AGEAdABpAG8AbgBzACAAdwBpAHQAaAAgAHIAZQBwAGwAYQBjAGUAbQBlAG4AdABcAG4AIAAgACAAIAAgACAAIAAgACAAIAAgACAAMgAgAJIhIABQAGUAcgBtAHUAdABhAHQAaQBvAG4AcwAgAHcAaQB0AGgAbwB1AHQAIAByAGUAcABsAGEAYwBlAG0AZQBuAHQAXABuACAAIAAgACAAIAAgACAAIAAgACAAIAAgADMAIACSISAAQwBvAG0AYgBpAG4AYQB0AGkAbwBuAHMAIAB3AGkAdABoACAAcgBlAHAAbABhAGMAZQBtAGUAbgB0AFwAbgAgACAAIAAgACAAIAAgACAAIAAgACAAIAA0ACAAkiEgAEMAbwBtAGIAaQBuAGEAdABpAG8AbgBzACAAdwBpAHQAaABvAHUAdAAgAHIAZQBwAGwAYQBjAGUAbQBlAG4AdABcAG4AIAAgACAAIAAgACAAIAAgACAAIAAgACAANQAgAJIhIABEAGUAcgBhAG4AZwBlAG0AZQBuAHQAcwBcAG4AXABuAE4AbwB0AGUAcwA6AFwAbgAgACAAIAAgACIgIABBAGwAbAAgAHIAZQBzAHUAbAB0AHMAIABhAHIAZQAgAHIAZQB0AHUAcgBuAGUAZAAgAGEAcwAgADIARAAgAGEAcgByAGEAeQBzACAAdwBoAGUAcgBlACAAZQBhAGMAaAAgAHIAbwB3ACAAaQBzACAAbwBuAGUAIAB0AHUAcABsAGUALgBcAG4AIAAgACAAIAAiICAASQBmACAAaQB0AGUAbQBzACAAYQByAGUAIABuAHUAbQBlAHIAaQBjACAAYQBuAGQAIABlAHEAdQBhAGwAIAB0AG8AIABTAEUAUQBVAEUATgBDAEUAKABuACkALAAgAHIAYQB3ACAAaQBuAGQAaQBjAGUAcwAgAGEAcgBlACAAcgBlAHQAdQByAG4AZQBkAC4AXABuACAAIAAgACAAIAAgAE8AdABoAGUAcgB3AGkAcwBlACwAIABpAHQAZQBtAHMAIABhAHIAZQAgAHMAdQBiAHMAdABpAHQAdQB0AGUAZAAgAGkAbgB0AG8AIAB0AGgAZQAgAGkAbgBkAGUAeAAgAGEAcgByAGEAeQBfADIAR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YQByAHIAYQB5AF8AMgBEACAAbwBmACAAZABhAHQAYQAgAGEAbgBkACAAcgBlAHQAdQByAG4AcwAgAGUAaQB0AGgAZQByADoAXABuACAAIAAgACAAIAAgACAAIAAgACAAIAAgACIgIABBACAAdABvAHAALQBsAGUAdgBlAGwAIABzAHUAbQBtAGEAcgB5ACAAbwBmACAAcwBlAG0AYQBuAHQAaQBjACAAbQBlAHQAcgBpAGMAcwAgACgATgB1AG0AYgBlAHIAcwAsACAAVABlAHgAdABzACwAIABFAHIAcgBvAHIAcwAsACAAZQB0AGMALgApAFwAbgAgACAAIAAgACAAIAAgACAAIAAgACAAIAAiICAAQQAgAHYAZQByAGIAbwBzAGUALAAgAGMAZQBsAGwALQBiAHkALQBjAGUAbABsACAAbgBhAHIAcgBhAHQAaQBvAG4AIABvAGYAIAB0AGEAZwBzACAAcABlAHIAIABjAGUAbABsAFwAbgAqAC8AXABuAFwAbgBcAG4AXABuAC8AKgAgAFsARwBEADAAMQBdACAALQAtAC0ALQAtAC0ALQAtAC0ALQAtAC0ALQAtAC0ALQAtAC0ALQAtAC0ALQAtAC0ALQAtAC0ALQAtAC0ALQAtAC0ALQAtAC0ALQAtAC0ALQAtAC0ALQAtAC0ALQAtAC0ALQAtAC0ALQAtAC0ALQAtAC0ALQAtAC0ALQAtAC0ALQAtAC0ALQAtAC0ALQAtAC0ALQBcAG4ARgB1AG4AYwB0AGkAbwBuADoAIAAgACAAIAAgACAAIAAgAFIAZQB2AGUAYQBsALsDXABuAEMAYQB0AGUAZwBvAHIAeQA6ACAAIAAgACAAIAAgACAAIABHAHIAaQBkACAARABpAGEAZwBuAG8AcwB0AGkAYwBzAFwAbgBBAHUAdABoAG8AcgA6ACAAIAAgACAAIAAgACAAIAAgACAAUABhAHQAcgBpAGMAawAgAEgALgBcAG4AVgBlAHIAcwBpAG8AbgA6ACAAIAAgACAAIAAgACAAIAAgADEALgAxAFwAbgBcAG4ARABlAHMAYwByAGkAcAB0AGkAbwBuADoAXABuACAAIAAgACAAUgBlAHYAZQBhAGwAuwMgAGkAbgBzAHAAZQBjAHQAcwAgAGEAIABhAHIAcgBhAHkAXwAyAEQAIABvAGYAIABkAGEAdABhACAAYQBuAGQAIAByAGUAdAB1AHIAbgBzACAAZQBpAHQAaABlAHIAOgBcAG4AIAAgACAAIAAgACAAIAAgACIgIABBACAAdABvAHAALQBsAGUAdgBlAGwAIABzAHUAbQBtAGEAcgB5ACAAbwBmACAAcwBlAG0AYQBuAHQAaQBjACAAbQBlAHQAcgBpAGMAcwAgACgATgB1AG0AYgBlAHIAcwAsACAAVABlAHgAdABzACwAIABFAHIAcgBvAHIAcwAsACAAZQB0AGMALgApAFwAbgAgACAAIAAgACAAIAAgACAAIiAgAEEAIAB2AGUAcgBiAG8AcwBlACwAIABjAGUAbABsAC0AYgB5AC0AYwBlAGwAbAAgAG4AYQByAHIAYQB0AGkAbwBuACAAbwBmACAAdABhAGcAcwAgAHAAZQByACAAYwBlAGwAbABcAG4AIAAgACAAIABTAHUAcABwAG8AcgB0AHMAIABvAHAAdABpAG8AbgBhAGwAIABkAGUAbABpAG0AaQB0AGUAcgAgAGMAbwBuAHQAcgBvAGwAIABhAG4AZAAgAGIAbABhAG4AawAtAGEAdwBhAHIAZQAgAG8AcAB0AGkAbQBpAHoAYQB0AGkAbwBuAC4AXABuAFwAbgBQAGEAcgBhAG0AZQB0AGUAcgBzADoAXABuACAAIAAgACAAZABhAHQAYQBcAG4AIAAgACAAIAAgACAAIAAgAEQAYQB0AGEAIAB0AG8AIABiAGUAIABpAG4AcwBwAGUAYwB0AGUAZAAgACgAYQBuAHkAIABzAGMAYQBsAGEAcgAsACAAdgBlAGMAdABvAHIALAAgAG8AcgAgADIARAAgAGEAcgByAGEAeQApAC4AXABuAFwAbgAgACAAIAAgAEkAcwBWAGUAcgBiAG8AcwBlAD8AIAAgAFsAbwBwAHQAaQBvAG4AYQBsAF0AXABuACAAIAAgACAAIAAgACAAIABJAGYAIABUAFIAVQBFACwAIAByAGUAdAB1AHIAbgBzACAAYQAgAGEAcgByAGEAeQBfADIAR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SQBuAHMAdABhAG4AYwBlALsDIgAsACIAVwBhAHYAZQC7AyIALAAiAEIAeQBEAGkAYQBnALsDIgAsACIARABpAGEAZwBNAGEAcAC7AyIALAAiAEQAaQBhAGcASQBuAGQAZQB4ALsDIgAsACIAVgBhAGwAaQBkAGEAdABlAEQAaQBhAGcAuwMiACwAIgBQAGEAaQByAHcAaQBzAGUAuwMiACwAIgBUAHIAaQBwAGwAZQB3AGkAcwBlALsDIgAsACIAUQB1AGEAZAB3AGkAcwBlALsDIgAsACIARwByAG8AdQBwAGIAeQBCAGkAbgC7AyIALAAiAEcAcgBvAHUAcABiAHkARABhAHQAZQC7AyIALAAiAFYAYQBsAGkAZABhAHQAZQBHAEQAuwMiACwAIgBQAGkAdgBvAHQAYgB5AEMAYQB0ALsDIgAsACIARwByAG8AdQBwAEkAbgBkAGUAeAC7AyIALAAiAE8AYwBjAHUAcgByAGUAbgBjAGUAuwMiACwAIgBPAGMAYwB1AHIAcgBlAG4AYwBlAFIAYQBuAGcAZQ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565BFE6C-3862-40D0-AB12-19A68FD10EF4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Introduction</vt:lpstr>
      <vt:lpstr>Align</vt:lpstr>
      <vt:lpstr>Align_Distinct</vt:lpstr>
      <vt:lpstr>Align_Unique</vt:lpstr>
      <vt:lpstr>Coalesce</vt:lpstr>
      <vt:lpstr>Explode</vt:lpstr>
      <vt:lpstr>Numbers_Text_Only</vt:lpstr>
      <vt:lpstr>Split</vt:lpstr>
      <vt:lpstr>ABC_array</vt:lpstr>
      <vt:lpstr>Addresses</vt:lpstr>
      <vt:lpstr>April</vt:lpstr>
      <vt:lpstr>Colors</vt:lpstr>
      <vt:lpstr>Excel</vt:lpstr>
      <vt:lpstr>February</vt:lpstr>
      <vt:lpstr>HelloWorld</vt:lpstr>
      <vt:lpstr>January</vt:lpstr>
      <vt:lpstr>March</vt:lpstr>
      <vt:lpstr>Mixed2D</vt:lpstr>
      <vt:lpstr>MixedInput</vt:lpstr>
      <vt:lpstr>Numbers</vt:lpstr>
      <vt:lpstr>PQR_array</vt:lpstr>
      <vt:lpstr>RST_array</vt:lpstr>
      <vt:lpstr>ScalarInput</vt:lpstr>
      <vt:lpstr>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Text</dc:title>
  <dc:creator>BigSpill Project</dc:creator>
  <dc:description>Demonstration workbook for BigSpill - Text</dc:description>
  <dcterms:created xsi:type="dcterms:W3CDTF">2026-07-07T14:02:57Z</dcterms:created>
  <dcterms:modified xsi:type="dcterms:W3CDTF">2026-09-18T12:59:55Z</dcterms:modified>
</cp:coreProperties>
</file>