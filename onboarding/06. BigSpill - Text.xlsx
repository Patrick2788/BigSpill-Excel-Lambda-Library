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trickHogan\Downloads\BigSpill\ready\"/>
    </mc:Choice>
  </mc:AlternateContent>
  <xr:revisionPtr revIDLastSave="0" documentId="13_ncr:1_{2976D2E8-2FD3-4553-9666-CF286E62D840}" xr6:coauthVersionLast="47" xr6:coauthVersionMax="47" xr10:uidLastSave="{00000000-0000-0000-0000-000000000000}"/>
  <bookViews>
    <workbookView xWindow="28680" yWindow="-120" windowWidth="29040" windowHeight="15720" xr2:uid="{F575435A-963E-468D-A6C1-E150EB02C993}"/>
  </bookViews>
  <sheets>
    <sheet name="Introduction" sheetId="1" r:id="rId1"/>
    <sheet name="Align" sheetId="3" r:id="rId2"/>
    <sheet name="Align_Distinct" sheetId="4" r:id="rId3"/>
    <sheet name="Align_Unique" sheetId="9" r:id="rId4"/>
    <sheet name="Coalesce" sheetId="5" r:id="rId5"/>
    <sheet name="Explode" sheetId="6" r:id="rId6"/>
    <sheet name="Numbers_Text_Only" sheetId="7" r:id="rId7"/>
    <sheet name="Split" sheetId="8" r:id="rId8"/>
  </sheets>
  <definedNames>
    <definedName name="ABC_array">Align!$C$10:$E$12</definedName>
    <definedName name="Addresses">Split!$C$14:$C$21</definedName>
    <definedName name="AlignDistinctλ">_xlfn.LAMBDA(_xlpm.array,_xlop.by_col, _xlfn.LET(_xlpm.SortByCol?, NOT(_xlfn.ISOMITTED(_xlpm.by_col)), _xlpm.aligned, Alignλ(_xlpm.array, _xlpm.by_col), _xlpm.u, _xlfn.UNIQUE(_xlpm.aligned, _xlpm.SortByCol?, TRUE), _xlpm.u))</definedName>
    <definedName name="AlignUniqueλ">_xlfn.LAMBDA(_xlpm.array,_xlop.by_col, _xlfn.LET(_xlpm.SortByCol?, NOT(_xlfn.ISOMITTED(_xlpm.by_col)), _xlpm.aligned, Alignλ(_xlpm.array, _xlpm.by_col), _xlpm.u, _xlfn.UNIQUE(_xlpm.aligned, _xlpm.SortByCol?), _xlpm.u))</definedName>
    <definedName name="Alignλ">_xlfn.LAMBDA(_xlpm.array,_xlop.by_col, _xlfn.LET(_xlpm.IsRowSort?, _xlfn.ISOMITTED(_xlpm.by_col), _xlpm.array, IF(_xlpm.IsRowSort?, _xlpm.array, TRANSPOSE(_xlpm.array)), _xlpm.invis, _xlfn.UNICHAR(8291), _xlpm.RowSortλ, _xlfn.LAMBDA(_xlpm.v, _xlfn.TEXTJOIN(_xlpm.invis, , _xlfn._xlws.SORT(_xlpm.v, , , 1))), _xlpm.joined, _xlfn.BYROW(_xlpm.array, _xlpm.RowSortλ), _xlpm.ex, Splitλ(_xlpm.joined, _xlpm.invis), _xlpm.final, IF(_xlpm.IsRowSort?, _xlpm.ex, TRANSPOSE(_xlpm.ex)), _xlpm.final))</definedName>
    <definedName name="April">Coalesce!$C$13:$E$16</definedName>
    <definedName name="Bin2Decλ">_xlfn.LAMBDA(_xlpm.binary, _xlfn.LET(_xlpm.h, ROWS(_xlpm.binary), _xlpm.w, COLUMNS(_xlpm.binary), _xlpm.IsScalar?, AND(_xlpm.h = 1, _xlpm.w = 1), _xlpm.IsVertical?, AND(_xlpm.h &gt; 1, _xlpm.w = 1), _xlpm.IsHorizontal?, AND(_xlpm.w &gt; 1, _xlpm.h = 1), _xlpm.bits, MAX(LEN(_xlpm.binary)), _xlpm.arr, TEXT(_xlpm.binary, REPT("0", _xlpm.bits)), _xlpm.binary, IF(_xlpm.IsScalar?, Explodeλ(_xlpm.binary), Explodeλ(_xlfn.TOCOL(_xlpm.arr))), _xlpm.powers, _xlfn.SEQUENCE(, _xlpm.bits, _xlpm.bits - 1, -1), _xlpm.p, POWER(2, _xlpm.powers), _xlpm.result, _xlfn.BYROW(_xlpm.binary * _xlpm.p, _xleta.SUM), _xlpm.final, IF(OR(_xlpm.IsScalar?, _xlpm.IsVertical?), _xlpm.result, IF(_xlpm.IsHorizontal?, TRANSPOSE(_xlpm.result), _xlfn.WRAPROWS(_xlpm.result, _xlpm.w))), _xlpm.final))</definedName>
    <definedName name="Bin2Grayλ">_xlfn.LAMBDA(_xlpm.binary,_xlop.concise, _xlfn.LET(_xlpm.Is2DGray?, _xlfn.ISOMITTED(_xlpm.concise), _xlpm.h, ROWS(_xlpm.binary), _xlpm.w, COLUMNS(_xlpm.binary), _xlpm.IsScalar?, AND(_xlpm.h = 1, _xlpm.w = 1), _xlpm.IsVertical?, AND(_xlpm.h &gt; 1, _xlpm.w = 1), _xlpm.IsHorizontal?, AND(_xlpm.w &gt; 1, _xlpm.h = 1), _xlpm.Is1D?, _xlfn.XOR(_xlpm.h = 1, _xlpm.w = 1), _xlpm.bits, MAX(LEN(_xlpm.binary)), _xlpm.arr, TEXT(_xlpm.binary, REPT("0", _xlpm.bits)), _xlpm.binary, IF(_xlpm.IsScalar?, Explodeλ(_xlpm.binary), Explodeλ(_xlfn.TOCOL(_xlpm.arr))), _xlpm.msb, _xlfn.TAKE(_xlpm.binary, , 1), _xlpm.x, _xlfn.BITXOR(_xlfn.DROP(_xlpm.binary, , 1), _xlfn.DROP(_xlpm.binary, , -1)), _xlpm.gray, _xlfn.HSTACK(_xlpm.msb, _xlpm.x), _xlpm.result, IF(AND(_xlpm.Is2DGray?, _xlpm.Is1D?), _xlpm.gray, _xlfn.BYROW(_xlpm.gray, _xleta.CONCAT)), _xlpm.final, IF(OR(_xlpm.IsScalar?, _xlpm.IsVertical?), _xlpm.result, IF(_xlpm.IsHorizontal?, TRANSPOSE(_xlpm.result), _xlfn.WRAPROWS(_xlpm.result, _xlpm.w))), _xlpm.final))</definedName>
    <definedName name="BitCountλ">_xlfn.LAMBDA(_xlpm.n, _xlfn.LET(_xlpm.h, ROWS(_xlpm.n), _xlpm.w, COLUMNS(_xlpm.n), _xlpm.IsScalar?, AND(_xlpm.h = 1, _xlpm.w = 1), _xlpm.IsVertical?, AND(_xlpm.h &gt; 1, _xlpm.w = 1), _xlpm.Is1D?, _xlfn.XOR(_xlpm.h = 1, _xlpm.w = 1), _xlpm.Is2D?, AND(_xlpm.h &gt; 1, _xlpm.w &gt; 1), _xlpm.n, IF(_xlpm.Is1D?, _xlpm.n, _xlfn.TOCOL(_xlpm.n)), _xlpm.fnλ, IF(OR(_xlpm.IsVertical?, _xlpm.Is2D?), _xleta.BYROW, _xleta.BYCOL), _xlpm.bits, Dec2Binλ(_xlpm.n, 1), _xlpm.counts, IF(_xlpm.IsScalar?, SUM(_xlpm.bits), _xlpm.fnλ(_xlpm.bits, _xleta.SUM)), _xlpm.final, IF(_xlpm.Is1D?, _xlpm.counts, _xlfn.WRAPROWS(_xlpm.counts, _xlpm.w)), _xlpm.final))</definedName>
    <definedName name="BlockMapλ">_xlfn.LAMBDA(_xlpm.array_2D,_xlpm.depth,_xlpm.width,_xlop.re_shape_by_column?,_xlop.transpose_anchors?, ValidateBlockMapλ(_xlpm.array_2D, _xlpm.depth, _xlpm.width, _xlpm.re_shape_by_column?, _xlfn.LET(_xlpm.x, ROUNDUP(ROWS(_xlpm.array_2D) / _xlpm.depth, 0), _xlpm.y, ROUNDUP(COLUMNS(_xlpm.array_2D) / _xlpm.width, 0), _xlpm.i, _xlfn.SEQUENCE(_xlpm.x, , 1, _xlpm.depth) * _xlfn.SEQUENCE(, _xlpm.y, 1, 0), _xlpm.j, _xlfn.SEQUENCE(, _xlpm.y, 1, _xlpm.width) * _xlfn.SEQUENCE(_xlpm.x, , 1, 0), _xlpm.row_anchor, IF(_xlfn.ISOMITTED(_xlpm.transpose_anchors?), _xlpm.i, TRANSPOSE(_xlpm.i)), _xlpm.col_anchor, IF(_xlfn.ISOMITTED(_xlpm.transpose_anchors?), _xlpm.j, TRANSPOSE(_xlpm.j)), _xlpm.row_indices, _xlfn.TOCOL(_xlpm.row_anchor) + INT(_xlfn.SEQUENCE(, _xlpm.depth * _xlpm.width, 0, 1 / _xlpm.width)), _xlpm.col_indices, _xlfn.TOCOL(_xlpm.col_anchor) + _xlfn.TOROW(_xlfn.IFS(_xlfn.SEQUENCE(_xlpm.depth), _xlfn.SEQUENCE(, _xlpm.width, 0, 1))), _xlpm.reshaped, INDEX(_xlpm.array_2D, _xlpm.row_indices, _xlpm.col_indices), _xlpm.result, IF(_xlpm.re_shape_by_column?, TRANSPOSE(_xlpm.reshaped), _xlpm.reshaped), _xlpm.result)))</definedName>
    <definedName name="ByDiagλ">_xlfn.LAMBDA(_xlpm.array,_xlop.function,_xlop.row_wise_stack?, ValidateDiagλ(_xlpm.array, , _xlpm.function, _xlpm.row_wise_stack?, _xlfn.LET(_xlpm.No_Function, _xlfn.ISOMITTED(_xlpm.function), _xlpm.No_RowStack, _xlfn.ISOMITTED(_xlpm.row_wise_stack?), _xlpm.h, ROWS(_xlpm.array), _xlpm.w, COLUMNS(_xlpm.array), _xlpm.k, MIN(_xlpm.h, _xlpm.w), _xlpm.r, _xlfn.LAMBDA(_xlfn.SEQUENCE(_xlpm.k) * _xlfn.SEQUENCE(, _xlpm.w, 1, 0)), _xlpm.y, _xlfn.LAMBDA(_xlfn.SEQUENCE(_xlpm.k) + _xlfn.SEQUENCE(, _xlpm.w, 0, 1)), _xlpm.c, _xlfn.LAMBDA(IF(_xlpm.y() &gt; _xlpm.w, NA(), _xlpm.y())), _xlpm.result, _xlfn.IFNA(INDEX(_xlpm.array, _xlpm.r(), _xlpm.c()), ""), _xlpm.shaped, IF(_xlpm.No_RowStack, _xlpm.result, TRANSPOSE(_xlpm.result)), _xlpm.final, IF(_xlpm.No_Function, _xlpm.shaped, IF(_xlpm.No_RowStack, _xlfn.BYCOL(_xlpm.shaped, _xlpm.function), _xlfn.BYROW(_xlpm.shaped, _xlpm.function))), _xlpm.final)))</definedName>
    <definedName name="CGridλ">_xlfn.LAMBDA(_xlpm.grid,_xlop.col_index, _xlfn.LET(_xlpm.RowIdx?, _xlfn.ISOMITTED(_xlpm.col_index), _xlpm.h, ROWS(_xlpm.grid), _xlpm.w, COLUMNS(_xlpm.grid), _xlpm.i_start, -(_xlpm.h - 1) / 2, _xlpm.j_start, -(_xlpm.w - 1) / 2, _xlpm.i, _xlfn.LAMBDA(Resizeλ(_xlfn.SEQUENCE(_xlpm.h, , _xlpm.i_start), , _xlpm.w)), _xlpm.j, _xlfn.LAMBDA(Resizeλ(_xlfn.SEQUENCE(, _xlpm.w, _xlpm.j_start), _xlpm.h)), _xlpm.result, IF(_xlpm.RowIdx?, _xlpm.i(), _xlpm.j()), _xlpm.result))</definedName>
    <definedName name="Circl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- _xlpm.x) ^ 2 + (_xlpm.j - _xlpm.y) ^ 2 &lt;= _xlpm.extend ^ 2, _xlpm.result, Squeezeλ(IF(_xlpm.mask, _xlpm.grid, _xlpm.fill_value), _xlpm.fill_value), _xlpm.result)))))))</definedName>
    <definedName name="Coalesceλ">_xlfn.LAMBDA(_xlpm.array_1,_xlpm.array_2,_xlop.array_3,_xlop.array_4,_xlop.ignore,_xlop.fill_value, _xlfn.LET(_xlpm.Include3, NOT(_xlfn.ISOMITTED(_xlpm.array_3)), _xlpm.Include4, NOT(_xlfn.ISOMITTED(_xlpm.array_4)), _xlpm.array_3, IF(_xlfn.ISOMITTED(_xlpm.array_3), FALSE, _xlpm.array_3), _xlpm.array_4, IF(_xlfn.ISOMITTED(_xlpm.array_4), FALSE, _xlpm.array_4), _xlpm.ignore, IF(_xlfn.ISOMITTED(_xlpm.ignore), "", _xlpm.ignore), _xlpm.fill_value, IF(_xlfn.ISOMITTED(_xlpm.fill_value), "", _xlpm.fill_value),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 * OR(_xlpm.h &lt;&gt; _xlpm.h₃, _xlpm.w &lt;&gt; _xlpm.w₃), _xlpm.S_4, _xlpm.Include4 * OR(_xlpm.h &lt;&gt; _xlpm.h₄, _xlpm.w &lt;&gt; _xlpm.w₄), _xlpm.ShapeMismatch?, OR(_xlpm.S_2, _xlpm.S_3, _xlpm.S_4), IF(_xlpm.ShapeMismatch?, "#DIMENSIONS!", _xlfn.LET(_xlpm.Occupiedλ, _xlfn.LAMBDA(_xlpm.arr, _xlfn.LAMBDA((_xlpm.arr &lt;&gt; FALSE) * (LEN(_xlpm.arr) &lt;&gt; 0) * (_xlpm.arr &lt;&gt; _xlpm.ignore))), _xlpm.m_1, _xlpm.Occupiedλ(_xlpm.array_1), _xlpm.m_2, _xlpm.Occupiedλ(_xlpm.array_2), _xlpm.m_3, _xlpm.Occupiedλ(_xlpm.array_3), _xlpm.m_4, _xlpm.Occupiedλ(_xlpm.array_4), _xlpm.final, IF(_xlpm.m_1(), _xlpm.array_1, IF(_xlpm.m_2(), _xlpm.array_2, IF(_xlpm.m_3(), _xlpm.array_3, IF(_xlpm.m_4(), _xlpm.array_4, _xlpm.fill_value)))), _xlpm.final))))</definedName>
    <definedName name="Colors">Align!$C$16:$E$23</definedName>
    <definedName name="CombinationsRλ">_xlfn.LAMBDA(_xlpm.items,_xlpm.items_chosen, Enumerateλ(_xlpm.items, _xlpm.items_chosen, 3))</definedName>
    <definedName name="Combinationsλ">_xlfn.LAMBDA(_xlpm.items,_xlpm.items_chosen, Enumerateλ(_xlpm.items, _xlpm.items_chosen, 4))</definedName>
    <definedName name="Convolveλ">_xlfn.LAMBDA(_xlpm.array,_xlpm.kernel,_xlop.function, _xlfn.LET(_xlpm.h, ROWS(_xlpm.array), _xlpm.w, COLUMNS(_xlpm.array), _xlpm.h_, ROWS(_xlpm.kernel), _xlpm.w_, COLUMNS(_xlpm.kernel), _xlpm.InvalidKernel?, OR(_xlpm.h_ &gt; _xlpm.h, _xlpm.w_ &gt; _xlpm.w), _xlpm.IsScalar?, AND(_xlpm.h = 1, _xlpm.w = 1), _xlpm.IsScalarKernel?, AND(_xlpm.h_ = 1, _xlpm.w_ = 1), _xlpm.function, IF(_xlfn.ISOMITTED(_xlpm.function), _xlfn.LAMBDA(_xlpm.v, SUM(_xlpm.v * _xlpm.kernel)), _xlpm.function), _xlpm.InvalidFn?, TYPE(_xlpm.function) &lt;&gt; 128, _xlpm.StandardMap, _xlfn.LAMBDA(_xlfn.MAP(_xlpm.array, _xlpm.function)), IF(_xlpm.InvalidKernel?, "#KERNEL!", IF(_xlpm.InvalidFn?, "#FUNCTION!", IF((_xlpm.IsScalar?) + (_xlpm.IsScalarKernel?), _xlpm.StandardMap(), _xlfn.LET(_xlpm.anch_r, _xlpm.h - _xlpm.h_ + 1, _xlpm.anch_c, _xlpm.w - _xlpm.w_ + 1, _xlpm.i, _xlfn.LAMBDA(Resizeλ(_xlfn.SEQUENCE(_xlpm.anch_r), , _xlpm.anch_c)), _xlpm.j, _xlfn.LAMBDA(Resizeλ(_xlfn.SEQUENCE(, _xlpm.anch_c), _xlpm.anch_r)), _xlpm.BlockAggλ, _xlfn.LAMBDA(_xlpm.i_,_xlpm.j_, _xlfn.LET(_xlpm.block, _xlfn.TAKE(_xlfn.DROP(_xlpm.array, _xlpm.i_ - 1, _xlpm.j_ - 1), _xlpm.h_, _xlpm.w_), _xlpm.total, _xlpm.function(_xlpm.block), _xlpm.total)), _xlpm.result, _xlfn.MAP(_xlpm.i(), _xlpm.j(), _xlpm.BlockAggλ), _xlpm.result))))))</definedName>
    <definedName name="Countdownλ">_xlfn.LAMBDA(_xlpm.array,_xlop.Horizontal?,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_xlpm.cg, _xlfn.SCAN(0, NOT(_xlpm.bool), _xleta.SUM), _xlpm.sorted, _xlfn.SORTBY(_xlpm.acc, _xlpm.cg, 1, _xlpm.acc, -1), _xlpm.deliver, IF(_xlpm.Is2D?, _xlfn.WRAPROWS(_xlpm.sorted, _xlpm.w), _xlpm.sorted), _xlpm.deliver)))</definedName>
    <definedName name="Dec2Binλ">_xlfn.LAMBDA(_xlpm.numbers,_xlop.Array_Form_2D, IF(OR(ISTEXT(_xlpm.numbers), ISERROR(--_xlpm.numbers), _xlpm.numbers &lt; 0), #VALUE!, _xlfn.LET(_xlpm.h, ROWS(_xlpm.numbers), _xlpm.w, COLUMNS(_xlpm.numbers), _xlpm.IsScalar?, AND(_xlpm.h = 1, _xlpm.w = 1), _xlpm.IsVertical?, _xlpm.h &gt; _xlpm.w, _xlpm.Is2D?, AND(_xlpm.h &gt; 1, _xlpm.w &gt; 1), _xlpm.numbers, _xlfn.TOCOL(_xlpm.numbers), _xlpm.IsVector?, _xlfn.ISOMITTED(_xlpm.Array_Form_2D), _xlpm.bits, MAX(IFERROR(INT(LOG(_xlpm.numbers, 2)) + 1, 1)), _xlpm.bin_arr, _xlfn.LAMBDA(MOD(_xlfn.BITRSHIFT(_xlpm.numbers, _xlfn.SEQUENCE(, _xlpm.bits, _xlpm.bits - 1, -1)), 2)), _xlpm.bin_vector, _xlfn.LAMBDA(_xlfn.BYROW(_xlpm.bin_arr(), _xleta.CONCAT)), _xlpm.bin_result, _xlfn.LAMBDA(IF(_xlpm.IsVector?, _xlpm.bin_vector(), _xlpm.bin_arr())), _xlpm.deliver, IF(_xlpm.Is2D?, _xlfn.WRAPROWS(_xlpm.bin_vector(), _xlpm.w), IF(OR(_xlpm.IsScalar?, _xlpm.IsVertical?), _xlpm.bin_result(), TRANSPOSE(_xlpm.bin_result()))), _xlpm.deliver)))</definedName>
    <definedName name="Dec2Grayλ">_xlfn.LAMBDA(_xlpm.number,_xlop.concise, Bin2Grayλ(Dec2Binλ(_xlpm.number), _xlpm.concise))</definedName>
    <definedName name="DeleteColsλ">_xlfn.LAMBDA(_xlpm.array,_xlpm.delete,_xlpm.at_each_change, _xlfn.LET(_xlpm.OneSubGroup?, COUNTA(_xlfn.UNIQUE(_xlpm.at_each_change, 1)) = 1, _xlpm.Discard, _xlfn.DROP(_xlpm.array, , _xlfn.SINGLE(_xlpm.delete)), _xlpm.ShapeMismatch?, COLUMNS(_xlpm.array) &lt;&gt; COLUMNS(_xlpm.at_each_change),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Streakλ(_xlpm.at_each_change, TRUE), _xlpm.descend, Countdownλ(_xlpm.at_each_change, TRUE), _xlpm.delete, ABS(_xlpm.delete), _xlpm.idx, IF(_xlpm.s = -1, _xlpm.descend, _xlpm.ascend), _xlpm.keep?, NOT(_xlpm.idx &lt;= _xlpm.delete), _xlpm.result, _xlfn._xlws.FILTER(_xlpm.array, _xlpm.keep?), _xlpm.result)))))</definedName>
    <definedName name="DeleteRowsλ">_xlfn.LAMBDA(_xlpm.array,_xlpm.delete,_xlpm.at_each_change, _xlfn.LET(_xlpm.OneSubGroup?, COUNTA(_xlfn.UNIQUE(_xlpm.at_each_change)) = 1, _xlpm.Discard, _xlfn.DROP(_xlpm.array, _xlfn.SINGLE(_xlpm.delete)), _xlpm.ShapeMismatch?, ROWS(_xlpm.array) &lt;&gt; ROWS(_xlpm.at_each_change),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Streakλ(_xlpm.at_each_change), _xlpm.descend, Countdownλ(_xlpm.at_each_change), _xlpm.delete, ABS(_xlpm.delete), _xlpm.idx, IF(_xlpm.s = -1, _xlpm.descend, _xlpm.ascend), _xlpm.keep?, NOT(_xlpm.idx &lt;= _xlpm.delete), _xlpm.result, _xlfn._xlws.FILTER(_xlpm.array, _xlpm.keep?), _xlpm.result)))))</definedName>
    <definedName name="DeleteWhereλ">_xlfn.LAMBDA(_xlpm.array,_xlpm.function, _xlfn.LET(_xlpm.i, _xlfn.SEQUENCE(ROWS(_xlpm.array)), _xlpm.j, _xlfn.SEQUENCE(, COLUMNS(_xlpm.array)), _xlpm.fn, _xlfn.LAMBDA(_xlpm.v, NOT(_xlpm.function(_xlpm.v))),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IF(_xlpm.IsEmpty?, "#EMPTY-ARRAY!", INDEX(_xlpm.array, _xlpm.r, _xlpm.c)), _xlpm.result))</definedName>
    <definedName name="Derangementsλ">_xlfn.LAMBDA(_xlpm.items,_xlpm.items_chosen, Enumerateλ(_xlpm.items, _xlpm.items_chosen, 5))</definedName>
    <definedName name="DGridλ">_xlfn.LAMBDA(_xlpm.grid, _xlfn.LET(_xlpm.theta, IFERROR(DEGREES(ATAN2(CGridλ(_xlpm.grid), CGridλ(_xlpm.grid, 1))), 0), _xlpm.angle, MOD(_xlpm.theta + 360, 360), _xlpm.angle))</definedName>
    <definedName name="DiagIndexλ">_xlfn.LAMBDA(_xlpm.array,_xlpm.col_index, ValidateDiagλ(_xlpm.array, _xlpm.col_index, , , _xlfn.LET(_xlpm.h, ROWS(_xlpm.array), _xlpm.w, COLUMNS(_xlpm.array), _xlpm.s, SIGN(_xlpm.col_index), _xlpm.k, IF(_xlpm.s &gt; 0, MIN(_xlpm.h, _xlpm.w + 1 - _xlpm.col_index), MIN(_xlpm.h, ABS(_xlpm.col_index))), _xlpm.start, IF(_xlpm.s &lt; 0, ABS(_xlpm.col_index), _xlpm.col_index), _xlpm.x, _xlfn.LAMBDA(_xlfn.SEQUENCE(_xlpm.k)), _xlpm.y, _xlfn.LAMBDA(_xlfn.SEQUENCE(_xlpm.k, , _xlpm.start, _xlpm.s)), _xlpm.deliver, INDEX(_xlpm.array, _xlpm.x(), _xlpm.y()), _xlpm.deliver)))</definedName>
    <definedName name="DiagMapλ">_xlfn.LAMBDA(_xlpm.array,_xlop.row_wise_stack?, ByDiagλ(_xlpm.array, , _xlpm.row_wise_stack?))</definedName>
    <definedName name="Diamondλ">_xlfn.LAMBDA(_xlpm.grid,_xlpm.target,_xlpm.distance,_xlop.fill_value,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_xlpm.InvalidDistance?, OR(ISTEXT(_xlpm.distance), _xlpm.distance &lt; 1), _xlpm.NoTarget?, IF(_xlpm.IsI_J?, FALSE, NOT(OR(_xlpm.bool))), _xlpm.fill_value, IF(_xlfn.ISOMITTED(_xlpm.fill_value), 0, _xlpm.fill_value), IF(_xlpm.IsScalar?, _xlpm.grid, IF(_xlpm.Is1D?, "#1D-ARRAY!", IF(_xlpm.InvalidDistance?, "#DISTANCE!",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ABS(_xlpm.i - _xlpm.x) + ABS(_xlpm.j - _xlpm.y) &lt;= _xlpm.distance, _xlpm.result, Squeezeλ(IF(_xlpm.mask, _xlpm.grid, _xlpm.fill_value), _xlpm.fill_value), _xlpm.result)))))))</definedName>
    <definedName name="DStackλ">_xlfn.LAMBDA(_xlpm.array_1,_xlop.array_2,_xlop.array_3,_xlop.array_4,_xlop.pad_with, _xlfn.LET(_xlpm.a, COUNTA(_xlpm.array_1), _xlpm.b, IF(_xlfn.ISOMITTED(_xlpm.array_2), 0, COUNTA(_xlpm.array_2)), _xlpm.c, IF(_xlfn.ISOMITTED(_xlpm.array_3), 0, COUNTA(_xlpm.array_3)), _xlpm.d, IF(_xlfn.ISOMITTED(_xlpm.array_4), 0, COUNTA(_xlpm.array_4)), _xlpm.req, AND(_xlpm.c = 0, _xlpm.d = 0), _xlpm.C_only, AND(_xlpm.c &lt;&gt; 0, _xlpm.d = 0), _xlpm.D_only, AND(_xlpm.c = 0, _xlpm.d &lt;&gt; 0), _xlpm.All, AND(_xlpm.c &lt;&gt; 0, _xlpm.d &lt;&gt; 0), _xlpm.EmptyArr?, OR(_xlpm.a = 0, _xlpm.b = 0), _xlpm.Clampλ, _xlfn.LAMBDA(_xlpm.param, AND(_xlpm.param = 1, ISERROR(_xlpm.param))), _xlpm.ScalarErr?, OR(_xlpm.Clampλ(_xlpm.a), _xlpm.Clampλ(_xlpm.b), _xlpm.Clampλ(_xlpm.c), _xlpm.Clampλ(_xlpm.d)), IF(_xlpm.EmptyArr?, "#EMPTY-ARRAY!", IF(_xlpm.ScalarErr?, "#SCALAR-ERROR!", _xlfn.LET(_xlpm.pad_with, IF(_xlfn.ISOMITTED(_xlpm.pad_with), NA(), _xlpm.pad_with), _xlpm.aᵀ, TRANSPOSE(_xlpm.array_1), _xlpm.bᵀ, TRANSPOSE(_xlpm.array_2), _xlpm.cᵀ, IF(_xlpm.c, TRANSPOSE(_xlpm.array_3), 0), _xlpm.dᵀ, IF(_xlpm.d, TRANSPOSE(_xlpm.array_4), 0), _xlpm.req_stack, _xlfn.HSTACK(_xlpm.aᵀ, _xlpm.bᵀ), _xlpm.C_only_stack, _xlfn.HSTACK(_xlpm.aᵀ, _xlpm.bᵀ, _xlpm.cᵀ), _xlpm.D_only_stack, _xlfn.HSTACK(_xlpm.aᵀ, _xlpm.bᵀ, _xlpm.dᵀ), _xlpm.all_stack, _xlfn.HSTACK(_xlpm.aᵀ, _xlpm.bᵀ, _xlpm.cᵀ, _xlpm.dᵀ), _xlpm.result, IFERROR(IF(_xlpm.req, _xlpm.req_stack, IF(_xlpm.C_only, _xlpm.C_only_stack, IF(_xlpm.D_only, _xlpm.D_only_stack, IF(_xlpm.All, _xlpm.all_stack, FALSE)))), _xlpm.pad_with), _xlpm.result)))))</definedName>
    <definedName name="Echoλ">_xlfn.LAMBDA(_xlpm.vector,_xlpm.repeat, IF(OR(ISTEXT(_xlpm.repeat), _xlpm.repeat &lt;= 0), "#VALUE!", _xlfn.LET(_xlpm.vector, _xlfn.TOCOL(_xlpm.vector), _xlpm.repeat, _xlfn.TOCOL(_xlpm.repeat), _xlpm.Vh, ROWS(_xlpm.vector), _xlpm.Rh, ROWS(_xlpm.repeat), _xlpm.r, IF(_xlpm.Vh &lt;&gt; _xlpm.Rh, _xlfn.EXPAND(_xlpm.repeat, _xlpm.Vh, , _xlfn.SINGLE(_xlfn.TAKE(_xlpm.repeat, -1))), _xlpm.repeat), _xlpm.i, _xlfn.SEQUENCE(ROWS(_xlpm.r)), _xlpm.m, MAX(_xlpm.r), _xlpm.idx, _xlfn.LAMBDA(_xlfn.TOCOL(IF(SIGN(_xlpm.r - _xlfn.SEQUENCE(, _xlpm.m, 0, )) = 1, _xlpm.i, NA()), 2)), _xlpm.deliver, INDEX(_xlpm.vector, _xlpm.idx()), _xlpm.deliver)))</definedName>
    <definedName name="Embedλ">_xlfn.LAMBDA(_xlpm.array,_xlpm.embed_array,_xlop.row_index,_xlop.col_index, _xlfn.LET(_xlpm.h, ROWS(_xlpm.array), _xlpm.w, COLUMNS(_xlpm.array), _xlpm.h₂, ROWS(_xlpm.embed_array), _xlpm.w₂, COLUMNS(_xlpm.embed_array), _xlpm.RowEmbed?, NOT(_xlfn.ISOMITTED(_xlpm.row_index)), _xlpm.ColEmbed?, NOT(_xlfn.ISOMITTED(_xlpm.col_index)), _xlpm.RCEmbed?, AND(_xlpm.RowEmbed?, _xlpm.ColEmbed?), _xlpm.InvalidEmbed?, IF(AND(_xlpm.RowEmbed?, _xlpm.w₂ &gt; _xlpm.w), TRUE, IF(AND(_xlpm.ColEmbed?, _xlpm.h₂ &gt; _xlpm.h), TRUE, IF(AND(_xlpm.RCEmbed?, OR(_xlpm.h₂ &gt; _xlpm.h, _xlpm.w₂ &gt; _xlpm.w)), TRUE, FALSE))), _xlpm.InvalidIdx?, OR(ISTEXT(_xlpm.row_index), ISTEXT(_xlpm.col_index), AND(NOT(_xlfn.ISOMITTED(_xlpm.row_index)), OR(_xlpm.row_index &lt; 1, _xlpm.row_index &gt; _xlpm.h)), AND(NOT(_xlfn.ISOMITTED(_xlpm.col_index)), OR(_xlpm.col_index &lt; 1, _xlpm.col_index &gt; _xlpm.w))), _xlpm.IsScalar?, AND(_xlpm.h = 1, _xlpm.w = 1), IF(_xlpm.InvalidIdx?, "#ROW/COL-INDEX", IF(_xlpm.InvalidEmbed?, "#EMBED!", IF(_xlpm.IsScalar?, "#SCALAR!", _xlfn.LET(_xlpm.IsVertical?, OR(NOT(_xlfn.ISOMITTED(_xlpm.row_index)), _xlfn.ISOMITTED(_xlpm.col_index)), _xlpm.Stackλ, IF(_xlpm.IsVertical?, _xleta.VSTACK, _xleta.HSTACK), _xlpm.IsIncScalar?, AND(_xlpm.h₂ = 1, _xlpm.w₂ = 1), _xlpm.idx, IF(_xlpm.IsVertical?, _xlpm.row_index, _xlpm.col_index), _xlpm.max_dim, 1 + IF(_xlpm.IsVertical?, _xlpm.h, _xlpm.w), _xlpm.block_a, IF(_xlpm.IsVertical?, _xlfn.TAKE(_xlpm.array, _xlpm.idx - 1), _xlfn.TAKE(_xlpm.array, , _xlpm.idx - 1)), _xlpm.block_b, IF(_xlpm.IsVertical?, _xlfn.TAKE(_xlpm.array, -(1 + _xlpm.h - _xlpm.idx)), _xlfn.TAKE(_xlpm.array, , -(1 + _xlpm.w - _xlpm.idx))), _xlpm.IsStandard?, OR(_xlpm.idx = 1, _xlpm.idx = _xlpm.max_dim), _xlpm.exp_scalar_width, _xlfn.EXPAND(_xlpm.embed_array, , _xlpm.w, _xlpm.embed_array), _xlpm.exp_width, _xlfn.EXPAND(_xlpm.embed_array, , _xlpm.w, ""), _xlpm.exp_scalar_height, _xlfn.EXPAND(_xlpm.embed_array, _xlpm.h, , _xlpm.embed_array), _xlpm.exp_height, _xlfn.EXPAND(_xlpm.embed_array, _xlpm.h, , ""), _xlpm.embed_array, IF(_xlpm.IsVertical? * _xlpm.IsIncScalar?, _xlpm.exp_scalar_width, IF(_xlpm.IsVertical?, _xlpm.exp_width, IF(_xlpm.IsIncScalar?, _xlpm.exp_scalar_height, _xlpm.exp_height))), _xlpm.standard, IF(_xlpm.idx = 1, _xlpm.Stackλ(_xlpm.embed_array, _xlpm.array), _xlpm.Stackλ(_xlpm.array, _xlpm.embed_array)), _xlpm.stack, _xlpm.Stackλ(_xlpm.block_a, _xlpm.embed_array, _xlpm.block_b), _xlpm.result, IF(_xlpm.IsStandard?, _xlpm.standard, _xlpm.stack), _xlpm.result))))))</definedName>
    <definedName name="Enumerateλ">_xlfn.LAMBDA(_xlpm.items,_xlpm.k,_xlpm.type, IF(OR(ISTEXT(_xlpm.k), _xlpm.k &lt; 0, _xlpm.k &gt; COUNTA(_xlpm.items)), #VALUE!, IF(COUNTA(_xlpm.k) &lt;&gt; 1, #VALUE!, IF(COUNTA(_xlpm.items) ^ _xlpm.k &gt; 1048576, #NUM!, _xlfn.LET(_xlpm.list, _xlfn.TOCOL(_xlpm.items), _xlpm.n, COUNTA(_xlpm.list), _xlpm.i, _xlpm.n ^ _xlpm.k, _xlpm.P_r, _xlfn.LAMBDA(1 + MOD(QUOTIENT(_xlfn.SEQUENCE(_xlpm.i), _xlpm.n ^ _xlfn.SEQUENCE(, _xlpm.k, _xlpm.k - 1, -1)), _xlpm.n)), _xlpm.P, _xlfn.LAMBDA(_xlfn._xlws.FILTER(_xlpm.P_r(), ISNA(_xlfn.BYROW(_xlpm.P_r(), _xleta.MODE)))), _xlpm.C_r, _xlfn.LAMBDA(_xlfn._xlws.FILTER(_xlpm.P_r(), _xlfn.BYROW(_xlpm.P_r(), _xlfn.LAMBDA(_xlpm.row, AND(_xlpm.row = _xlfn._xlws.SORT(_xlpm.row, , , 1)))))), _xlpm.C, _xlfn.LAMBDA(_xlfn._xlws.FILTER(_xlpm.C_r(), ISNA(_xlfn.BYROW(_xlpm.C_r(), _xleta.MODE)))), _xlpm.D, _xlfn.LAMBDA(_xlfn._xlws.FILTER(_xlpm.P_r(), _xlfn.BYROW(_xlpm.P_r(), _xlfn.LAMBDA(_xlpm.row, NOT(OR(_xlfn.SEQUENCE(, _xlpm.k) = _xlpm.row)))))), _xlpm.idx, _xlfn.LAMBDA(CHOOSE(_xlpm.type, _xlpm.P_r(), _xlpm.P(), _xlpm.C_r(), _xlpm.C(), _xlpm.D())), _xlpm.NotInt?, NOT(AND(_xlfn.SEQUENCE(_xlpm.n) = _xlpm.list)), _xlpm.deliver, IF(_xlpm.NotInt?, INDEX(_xlpm.list, _xlpm.idx()), _xlpm.idx()), _xlpm.deliver)))))</definedName>
    <definedName name="Excel">Explode!$L$8:$N$8</definedName>
    <definedName name="Excludeλ">_xlfn.LAMBDA(_xlpm.array,_xlpm.exclude,_xlop.if_empty, IF(AND(ROWS(_xlpm.exclude) &gt; 1, COLUMNS(_xlpm.exclude) &gt; 1), "#2D-EXCLUDE!", _xlfn.LET(_xlpm.if_empty, IF(_xlfn.ISOMITTED(_xlpm.if_empty), 0, _xlpm.if_empty), _xlpm.keep?, NOT(_xlfn.BYROW(_xlfn.IFNA(_xlfn.XMATCH(_xlpm.array, _xlpm.exclude), 0), _xleta.OR)), _xlpm.result, _xlfn._xlws.FILTER(_xlpm.array, _xlpm.keep?, _xlpm.if_empty), _xlpm.result)))</definedName>
    <definedName name="Explodeλ">_xlfn.LAMBDA(_xlpm.array,_xlop.explode_2D_bycol, _xlfn.LET(_xlpm.h, ROWS(_xlpm.array), _xlpm.w, COLUMNS(_xlpm.array), _xlpm.IsVertical?, _xlpm.h &gt; _xlpm.w, _xlpm.IsHorizontal?, _xlpm.w &gt; _xlpm.h, _xlpm.IsScalar?, AND(_xlpm.h = 1, _xlpm.w = 1), _xlpm.Is1D?, _xlfn.XOR(_xlpm.h &gt; 1, _xlpm.w &gt; 1), _xlpm.Is2D?, AND(_xlpm.h &gt; 1, _xlpm.w &gt; 1), _xlpm.DirOmitted?, _xlfn.ISOMITTED(_xlpm.explode_2D_bycol), _xlpm.ExplodeScalar, _xlfn.REGEXEXTRACT(_xlpm.array, ".", 1), IF(_xlpm.IsScalar?, _xlpm.ExplodeScalar, _xlfn.LET(_xlpm.m, MAX(LEN(_xlpm.array)), _xlpm.idx, _xlfn.LAMBDA(IF(_xlpm.IsVertical?, _xlfn.SEQUENCE(, _xlpm.m), _xlfn.SEQUENCE(_xlpm.m))), _xlpm.i_, _xlfn.LAMBDA(Resizeλ(INT(_xlfn.SEQUENCE(_xlpm.m * _xlpm.h, , , 1 / _xlpm.m)), , _xlpm.w)), _xlpm.j_, _xlfn.LAMBDA(Resizeλ(MGridλ(_xlpm.array, 1), _xlpm.m)), _xlpm.start_at_, _xlfn.LAMBDA(Resizeλ(_xlfn.SEQUENCE(_xlpm.m), _xlpm.h, _xlpm.w)), _xlpm.i, _xlfn.LAMBDA(Resizeλ(MGridλ(_xlpm.array), , _xlpm.m)), _xlpm.j, _xlfn.LAMBDA(Resizeλ(INT(_xlfn.SEQUENCE(, _xlpm.m * _xlpm.w, , 1 / _xlpm.m)), _xlpm.h)), _xlpm.start_at, _xlfn.LAMBDA(Resizeλ(_xlfn.SEQUENCE(, _xlpm.m), _xlpm.h, _xlpm.w)), _xlpm.ex1D, _xlfn.LAMBDA(MID(_xlpm.array, _xlpm.idx(), 1)), _xlpm.ex2D_V, _xlfn.LAMBDA(MID(INDEX(_xlpm.array, _xlpm.i_(), _xlpm.j_()), _xlpm.start_at_(), 1)), _xlpm.ex2D_H, _xlfn.LAMBDA(MID(INDEX(_xlpm.array, _xlpm.i(), _xlpm.j()), _xlpm.start_at(), 1)), _xlpm.ex2D, _xlfn.LAMBDA(IF(_xlpm.DirOmitted?, _xlpm.ex2D_V(), _xlpm.ex2D_H())), _xlpm.final, IF(_xlpm.Is1D?, _xlpm.ex1D(), _xlpm.ex2D()), _xlpm.final))))</definedName>
    <definedName name="February">Coalesce!$K$13:$M$16</definedName>
    <definedName name="Foldλ">_xlfn.LAMBDA(_xlpm.array,_xlop.values_array,_xlop.function, _xlfn.LET(_xlpm.values_array, IF(_xlfn.ISOMITTED(_xlpm.values_array), _xlfn.TAKE(_xlpm.array, , 1), _xlpm.values_array), _xlpm.function, IF(OR(_xlfn.ISOMITTED(_xlpm.function), _xlfn.ISOMITTED(_xlpm.values_array)), _xleta.COUNTA, _xlpm.function), IF(AND(NOT(_xlfn.ISOMITTED(_xlpm.values_array)), ROWS(_xlpm.array) &lt;&gt; ROWS(_xlpm.values_array)), "#VALUE!", IF(TYPE(_xlpm.function) &lt;&gt; 128, "#FUNCTION!", _xlfn.LET(_xlpm.aligned, Alignλ(_xlpm.array), _xlpm.agg, _xlfn.GROUPBY(_xlpm.aligned, _xlpm.values_array, _xlpm.function, , 0), _xlpm.agg)))))</definedName>
    <definedName name="Grainλ">_xlfn.LAMBDA(_xlpm.array_2D,_xlpm.depth,_xlpm.width,_xlpm.function, IF(NOT(TYPE(_xlpm.array_2D) = 64), "#array_2D!", IF(OR(_xlpm.depth &gt; ROWS(_xlpm.array_2D), _xlpm.width &gt; COLUMNS(_xlpm.array_2D), ISTEXT(_xlpm.depth), ISTEXT(_xlpm.width)), "#DIMENSIONS!", IF(TYPE(_xlpm.function) &lt;&gt; 128, "#ETA FUNCTION!", _xlfn.LET(_xlpm.h, ROWS(_xlpm.array_2D), _xlpm.w, COLUMNS(_xlpm.array_2D), _xlpm.x, ROUNDUP(_xlpm.h / _xlpm.depth, 0), _xlpm.y, ROUNDUP(_xlpm.w / _xlpm.width, 0), _xlpm.down, _xlfn.LAMBDA(_xlfn.SEQUENCE(_xlpm.x, , 1, _xlpm.depth) * _xlfn.SEQUENCE(, _xlpm.y, 1, 0)), _xlpm.across, _xlfn.LAMBDA(_xlfn.SEQUENCE(, _xlpm.y, 1, _xlpm.width) * _xlfn.SEQUENCE(_xlpm.x, , 1, 0)), _xlpm.Blocksλ, _xlfn.LAMBDA(_xlpm.r,_xlpm.c, _xlfn.LET(_xlpm.i, _xlfn.LAMBDA(_xlfn.SEQUENCE(_xlpm.depth, , _xlpm.r) * _xlfn.SEQUENCE(, _xlpm.width, 1, 0)), _xlpm.j, _xlfn.LAMBDA(_xlfn.SEQUENCE(, _xlpm.width, _xlpm.c) * _xlfn.SEQUENCE(_xlpm.depth, , 1, 0)), _xlpm.block, _xlfn.TOCOL(INDEX(_xlpm.array_2D, _xlpm.i(), _xlpm.j()), 2), _xlpm.result, _xlpm.function(_xlpm.block), _xlpm.result)), _xlpm.deliver, _xlfn.MAP(_xlpm.down(), _xlpm.across(), _xlpm.Blocksλ), _xlpm.deliver)))))</definedName>
    <definedName name="GroupbyBinλ">_xlfn.LAMBDA(_xlpm.array,_xlpm.values,_xlpm.bin_width,_xlpm.function,_xlop.field_header,_xlop.chart_prep, _xlfn.LET(_xlpm.i, ROWS(_xlpm.array), _xlpm.j, COLUMNS(_xlpm.array), _xlpm.i_, ROWS(_xlpm.values), _xlpm.j_, COLUMNS(_xlpm.values), _xlpm.Headers?, NOT(_xlfn.ISOMITTED(_xlpm.field_header)), _xlpm.Is2D?, AND(_xlpm.i &gt; 1, _xlpm.j &gt; 1), _xlpm.ShapeMismatch?, _xlpm.i &lt;&gt; _xlpm.i_, _xlpm.InvalidBin?, OR(ISTEXT(_xlpm.bin_width), _xlpm.bin_width &lt; 1), _xlpm.InvalidFn?, TYPE(_xlpm.function) &lt;&gt; 128, _xlpm.NonNumeric?, NOT(AND(ISNUMBER(IF(_xlpm.Headers?, _xlfn.DROP(_xlpm.array, 1), _xlpm.array)))), IF(_xlpm.Is2D?, "#1D-ARRAY!", IF(_xlpm.ShapeMismatch?, "#DIMENSIONS!", IF(_xlpm.NonNumeric?, "#NUM!", IF(_xlpm.InvalidBin?, "#BIN-WIDTH!", IF(_xlpm.InvalidFn?, "#INVALID-FUNCTION!", _xlfn.LET(_xlpm.NoChart?, _xlfn.ISOMITTED(_xlpm.chart_prep), _xlpm.arr, IF(_xlpm.Headers?, _xlfn.DROP(_xlpm.array, 1), _xlpm.array), _xlpm.val, IF(_xlpm.Headers?, _xlfn.DROP(_xlpm.values, 1), _xlpm.values), _xlpm.row_header, _xlfn.HSTACK("Bin Start " &amp; IF(_xlpm.Headers?, _xlfn.TAKE(_xlpm.array, 1), "") &amp; " Value", "Bin End"), _xlpm.val_header, _xlfn.EXPAND(IF(_xlpm.Headers?, _xlfn.TAKE(_xlpm.values, 1), "Total"), , _xlpm.j_, ""), _xlpm.header, _xlfn.HSTACK(_xlpm.row_header, _xlpm.val_header), _xlpm.min, MIN(_xlpm.arr), _xlpm.start, FLOOR(_xlpm.min, _xlpm.bin_width), _xlpm.max, MAX(_xlpm.arr), _xlpm.end, CEILING(_xlpm.max, _xlpm.bin_width), _xlpm.k, (_xlpm.end - _xlpm.start) / _xlpm.bin_width, _xlpm.bin, _xlfn.SEQUENCE(_xlpm.k + 1, , _xlpm.start, _xlpm.bin_width), _xlpm.bin_start, _xlfn.DROP(_xlpm.bin, -1), _xlpm.bin_end, _xlfn.DROP(_xlpm.bin, 1), _xlpm.idx, _xlfn.XMATCH(_xlpm.arr, _xlpm.bin_start, -1), _xlpm.row_start, INDEX(_xlpm.bin_start, _xlpm.idx), _xlpm.row_end, INDEX(_xlpm.bin_end, _xlpm.idx), _xlpm.row_fields, _xlfn.HSTACK(_xlpm.row_start, _xlpm.row_end), _xlpm.agg, _xlfn.GROUPBY(_xlpm.row_fields, _xlpm.val, _xlpm.function, _xlpm.Headers?, 0), _xlpm.a, _xlfn.CHOOSECOLS(_xlpm.agg, 1) &amp; " - &lt;" &amp; _xlfn.CHOOSECOLS(_xlpm.agg, 2), _xlpm.b, _xlfn.DROP(_xlpm.agg, , 2), _xlpm.chart_labels, {"Bin","Aggregate"}, _xlpm.data, _xlfn.VSTACK(_xlpm.header, _xlpm.agg), _xlpm.chart, _xlfn.VSTACK(_xlpm.chart_labels, _xlfn.HSTACK(_xlpm.a, _xlpm.b)), _xlpm.delivery, IF(_xlpm.NoChart?, _xlpm.data, _xlpm.chart), _xlpm.delivery))))))))</definedName>
    <definedName name="GroupbyDateλ">_xlfn.LAMBDA(_xlpm.row_fields,_xlpm.values,_xlpm.interval,_xlpm.function,_xlop.format,_xlop.field_headers,_xlop.filter_array, ValidateGDλ(_xlpm.row_fields, _xlpm.values, _xlpm.interval, _xlpm.function, _xlpm.field_headers, _xlpm.filter_array, _xlfn.LET(_xlpm.NumInterval?, NOT(ISTEXT(_xlpm.interval)), _xlpm.const, {"minute";"hour";"day";"week";"fortnight";"month";"quarter";"year"}, _xlpm.interval, IF(_xlpm.NumInterval?, _xlpm.interval, _xlfn.XMATCH(LOWER(_xlpm.interval) &amp; "*", _xlpm.const, 2)), _xlpm.Includes_end?, (_xlpm.interval = 4) + (_xlpm.interval = 5), _xlpm.unit, CHOOSE(_xlpm.interval, 1440, 24, 1, 1, 1, 1, 1, 1), _xlpm.NoFormat?, _xlfn.ISOMITTED(_xlpm.format), _xlpm.Header?, NOT(_xlfn.ISOMITTED(_xlpm.field_headers)), _xlpm.Filter?, NOT(_xlfn.ISOMITTED(_xlpm.filter_array)), _xlpm.date_col, IF(_xlpm.Header?, _xlfn.DROP(_xlfn.TAKE(_xlpm.row_fields, , 1), 1), _xlfn.TAKE(_xlpm.row_fields, , 1)), _xlpm.dates, IF(_xlpm.interval &lt; 3, ROUND(_xlpm.date_col * _xlpm.unit, 0) / _xlpm.unit, INT(_xlpm.date_col)), _xlpm.values_header, _xlfn.TAKE(_xlpm.values, 1), _xlpm.values, IF(_xlpm.Header?, _xlfn.DROP(_xlpm.values, 1), _xlpm.values), _xlpm.row_details, _xlfn.DROP(_xlfn.DROP(_xlpm.row_fields, , 1), _xlpm.Header?), _xlpm.filter_used, IF(_xlpm.Header? * _xlpm.Filter?, _xlfn.DROP(_xlpm.filter_array, 1), _xlpm.filter_array), _xlpm.w, COLUMNS(_xlpm.row_fields), _xlpm.w_, COLUMNS(_xlpm.values), _xlpm.j, _xlpm.w + _xlpm.w_, _xlpm.min, INT(MIN(_xlpm.dates)), _xlpm.max, INT(MAX(_xlpm.dates)), _xlpm.m, MONTH(_xlpm.min), _xlpm.d, DAY(_xlpm.min), _xlpm.y, YEAR(_xlpm.min), _xlpm.first, MIN(_xlpm.dates), _xlpm.last, MAX(_xlpm.dates), _xlpm.hr, HOUR(_xlpm.first), _xlpm.mm, MINUTE(_xlpm.first), _xlpm.seconds, (_xlpm.last - _xlpm.first) * 86400, _xlpm.minutes, CEILING(_xlpm.seconds / 60, 1), _xlpm.hours, _xlpm.minutes / 60, _xlpm.days, _xlpm.max - _xlpm.min, _xlpm.weeks, CEILING(_xlpm.days / 7, 1), _xlpm.fortnight, CEILING(_xlpm.days / 14, 1), _xlpm.months, DATEDIF(_xlpm.min, _xlpm.max, "m"), _xlpm.quarters, CEILING(_xlpm.months / 3, 1), _xlpm.years, CEILING(_xlpm.months / 12, 1), _xlpm.h_mm, IF(_xlpm.days &gt; 1, "m/d/yyy h:mm AM/PM", "h:mm AM/PM"), _xlpm.mmmm, "mmmm yyy", _xlpm.day, "m/d/yyy", _xlpm.yyy, "yyy", _xlpm.fmt, IF(_xlpm.NoFormat?, _xlfn.SWITCH(_xlpm.interval, 1, _xlpm.h_mm, 2, _xlpm.h_mm, 3, _xlpm.day, 4, _xlpm.day, 5, _xlpm.day, 6, _xlpm.mmmm, 7, _xlpm.mmmm, 8, _xlpm.yyy, _xlpm.mmmm), _xlpm.format), _xlpm.min_arr, _xlfn.LAMBDA(_xlfn.SEQUENCE(_xlfn.SINGLE(_xlpm.minutes) + 1, , _xlpm.first, 1 / 1440)), _xlpm.hrs_arr, _xlfn.LAMBDA(_xlfn.SEQUENCE(_xlfn.SINGLE(_xlpm.hours) + 1, , _xlpm.first, 1 / 24)), _xlpm.days_arr, _xlfn.LAMBDA(_xlfn.SEQUENCE(_xlpm.days + 1, , _xlpm.min, 1)), _xlpm.weeks_arr, _xlfn.LAMBDA(DATE(_xlpm.y, _xlpm.m, _xlfn.SEQUENCE(_xlpm.weeks + 1, , _xlpm.d, 7))), _xlpm.fort_arr, _xlfn.LAMBDA(DATE(_xlpm.y, _xlpm.m, _xlfn.SEQUENCE(_xlpm.fortnight + 1, , _xlpm.d, 14))), _xlpm.month_arr, _xlfn.LAMBDA(DATE(_xlpm.y, _xlpm.m + _xlfn.SEQUENCE(_xlpm.months + 1, , 0), _xlpm.d)), _xlpm.qtrs_arr, _xlfn.LAMBDA(DATE(_xlpm.y, _xlpm.m + _xlfn.SEQUENCE(_xlpm.quarters + 1, , 0, 3), _xlpm.d)), _xlpm.yrs_arr, _xlfn.LAMBDA(DATE(_xlpm.y + _xlfn.SEQUENCE(_xlfn.SINGLE(_xlpm.years) + 1, , 0), _xlpm.m, 1)), _xlpm.bin, _xlfn.LAMBDA(IF(_xlpm.interval &lt; 3, ROUND(CHOOSE(_xlpm.interval, _xlpm.min_arr(), _xlpm.hrs_arr()) * _xlpm.unit, 0) / _xlpm.unit, CHOOSE(_xlpm.interval - 2, _xlpm.days_arr(), _xlpm.weeks_arr(), _xlpm.fort_arr(), _xlpm.month_arr(), _xlpm.qtrs_arr(), _xlpm.yrs_arr()))), _xlpm.i, _xlfn.LAMBDA(IF(_xlpm.interval = 8, _xlfn.XMATCH(YEAR(_xlpm.dates), YEAR(_xlpm.bin())), _xlfn.XMATCH(_xlpm.dates, _xlpm.bin(), -1))), _xlpm.date_field, _xlfn.LAMBDA(INDEX(_xlpm.bin(), _xlpm.i())), _xlpm.row_labels, IF(_xlpm.w = 1, _xlpm.date_field(), _xlfn.HSTACK(_xlpm.date_field(), _xlpm.row_details)), _xlpm.total_label, _xlfn.SWITCH(_xlpm.interval, 1, "Totals by minute", 2, "Totals by hour", 3, "Totals by Day", 4, "Weekly Totals", 5, "Biweekly Totals", 6, "Monthly Totals", 7, "Totals by Quarter", 8, "Yearly Totals", ""), _xlpm.total_header, _xlfn.EXPAND(IF(OR(_xlpm.interval = 4, _xlpm.interval = 5), _xlfn.HSTACK(_xlpm.total_label, "Ending Date"), _xlpm.total_label), , _xlpm.w + _xlpm.Includes_end?, ""), _xlpm.agg_header, IF(_xlpm.Header?, _xlpm.values_header, _xlfn.EXPAND("", , _xlpm.w_, "")), _xlpm.no_filter, _xlfn.GROUPBY(_xlpm.row_labels, _xlpm.values, _xlpm.function, _xlpm.Header?), _xlpm.filter_inc, _xlfn.GROUPBY(_xlpm.row_labels, _xlpm.values, _xlpm.function, _xlpm.Header?, , , _xlpm.filter_used), _xlpm.agg, IF(_xlpm.Filter?, _xlpm.filter_inc, _xlpm.no_filter), _xlpm.row_label, _xlfn.LAMBDA(_xlfn.TAKE(_xlpm.agg, , 1)), _xlpm.a, _xlfn.LAMBDA(TEXT(_xlpm.row_label(), _xlpm.fmt)), _xlpm.bin_end, _xlfn.LAMBDA(IF(_xlpm.interval = 4, TEXT(_xlpm.a() + 6, _xlpm.fmt), IF(_xlpm.interval = 5, TEXT(_xlpm.a() + 13, _xlpm.fmt), 0))), _xlpm.b, _xlfn.LAMBDA(_xlfn.DROP(_xlpm.agg, , 1)), _xlpm.stack, _xlfn.VSTACK(_xlfn.HSTACK(_xlpm.total_header, _xlpm.agg_header), _xlfn.HSTACK(_xlpm.a(), _xlpm.b())), _xlpm.stack_end, IFERROR(_xlfn.VSTACK(_xlfn.HSTACK(_xlpm.total_header, _xlpm.agg_header), _xlfn.HSTACK(_xlpm.a(), _xlpm.bin_end(), _xlpm.b())), ""), _xlpm.delivery, IF(OR(_xlpm.interval = 4, _xlpm.interval = 5), _xlpm.stack_end, _xlpm.stack), _xlpm.delivery)))</definedName>
    <definedName name="HelloWorld">Explode!$C$9:$C$11</definedName>
    <definedName name="Histogramλ">_xlfn.LAMBDA(_xlpm.array,_xlop.bin_width,_xlop.include_Pareto, IF(COUNT(_xlpm.array) &lt;= 1, #VALUE!, IF(AND(NOT(_xlfn.ISOMITTED(_xlpm.bin_width)), OR(_xlpm.bin_width &lt; 0, _xlpm.bin_width &gt; 1000)), "#BIN-WIDTH!", _xlfn.LET(_xlpm.n, COUNT(_xlpm.array), _xlpm.SmallData?, _xlpm.n &lt; 200, _xlpm.Add_Pareto?, NOT(_xlfn.ISOMITTED(_xlpm.include_Pareto)), _xlpm.min, MIN(_xlpm.array), _xlpm.max, MAX(_xlpm.array), _xlpm.range, _xlpm.max - _xlpm.min, _xlpm.iqr, QUARTILE(_xlpm.array, 3) - QUARTILE(_xlpm.array, 1), _xlpm.s, SKEW(_xlpm.array), _xlpm.IsSkewed?, IF(_xlpm.SmallData?, FALSE, ABS(_xlpm.s) &gt; 0.2), _xlpm.IsFixed?, NOT(_xlfn.ISOMITTED(_xlpm.bin_width)), _xlpm.Sturge, CEILING(LOG(_xlpm.n, 2) + 1, 1), _xlpm.SRR, CEILING(SQRT(_xlpm.n), 1), _xlpm.Rice, CEILING(2 * _xlpm.n ^ (1 / 3), 1), _xlpm.Scott, CEILING(3.5 * _xlfn.STDEV.P(_xlpm.array) / _xlpm.n ^ (1 / 3), 1), _xlpm.Freedman, CEILING(2 * _xlpm.iqr / _xlpm.n ^ (1 / 3), 1), _xlpm.fixed, CEILING(_xlpm.range / _xlpm.bin_width, 1 / _xlpm.bin_width), _xlpm.k, IF(_xlpm.IsFixed?, _xlpm.fixed, IF(_xlpm.n &lt;= 30, MAX(_xlpm.Sturge, _xlpm.Rice), IF(_xlpm.IsSkewed?, MIN(_xlpm.Freedman, 15), MIN(_xlpm.Scott, 15)))), _xlpm.k_, MIN(IF(_xlpm.k = 1, 5, _xlpm.k), 100), _xlpm.interval, IF(_xlpm.range = 0, 1, MAX(_xlpm.range / _xlpm.k_, 0.1)), _xlpm.bin_upper, CEILING(_xlpm.max, _xlpm.interval), _xlpm.bin_lower, FLOOR(_xlpm.min, _xlpm.interval), _xlpm.bin_arr, _xlfn.SEQUENCE(1 + (_xlpm.bin_upper - _xlpm.bin_lower) / _xlpm.interval, , _xlpm.bin_lower, _xlpm.interval), _xlpm.bin_start, _xlfn.DROP(_xlpm.bin_arr, -1), _xlpm.bin_end, _xlfn.DROP(_xlpm.bin_arr, 1), _xlpm.bin_header, {"Start","End","Total"}, _xlpm.bin_labels, _xlfn.HSTACK(_xlfn.VSTACK("&lt;", _xlpm.bin_start), _xlfn.VSTACK(_xlfn.TAKE(_xlpm.bin_start, 1), _xlpm.bin_end)), _xlpm.freq, _xlfn.DROP(FREQUENCY(_xlpm.array, _xlpm.bin_arr), -1), _xlpm.Pareto, _xlfn.BYROW(_xlpm.freq, _xlfn.LAMBDA(_xlpm.v, _xlfn.PERCENTOF(_xlpm.v, _xlpm.freq))), _xlpm.stack, _xlfn.VSTACK(_xlpm.bin_header, _xlfn.HSTACK(_xlpm.bin_labels, _xlpm.freq)), _xlpm.deliver, IF(_xlpm.Add_Pareto?, _xlfn._xlws.SORT(_xlfn.HSTACK(_xlpm.stack, _xlfn.VSTACK("Cumulative %", _xlpm.Pareto)), 3, -1), _xlpm.stack), _xlpm.deliver))))</definedName>
    <definedName name="InsulateColsλ">_xlfn.LAMBDA(_xlpm.array,_xlpm.columns_before,_xlop.columns_after,_xlop.pad_with, _xlfn.LET(_xlpm.array_v, TRANSPOSE(_xlpm.array), _xlpm.padded_v, InsulateRowsλ(_xlpm.array_v, _xlpm.columns_before, _xlpm.columns_after, _xlpm.pad_with), _xlpm.result, TRANSPOSE(_xlpm.padded_v), _xlpm.result))</definedName>
    <definedName name="InsulateRowsλ">_xlfn.LAMBDA(_xlpm.array,_xlpm.rows_before,_xlop.rows_after,_xlop.pad_with, _xlfn.LET(_xlpm.h, ROWS(_xlpm.array), _xlpm.w, COLUMNS(_xlpm.array), _xlpm.rows_after, IF(_xlfn.ISOMITTED(_xlpm.rows_after), _xlpm.rows_before, _xlpm.rows_after), _xlpm.pad_with, INDEX(IF(_xlfn.ISOMITTED(_xlpm.pad_with), "", _xlpm.pad_with), 1, 1), _xlpm.InvalidPadCount?, OR(ISTEXT(_xlpm.rows_before), ISTEXT(_xlpm.rows_after), _xlpm.rows_before &lt; 0, _xlpm.rows_after &lt; 0), _xlpm.NoPadding?, AND(_xlpm.rows_before = 0, _xlpm.rows_after = 0), IF(_xlpm.InvalidPadCount?, "#ROWS-BEFORE/AFTER!", IF(_xlpm.NoPadding?, _xlpm.array, _xlfn.LET(_xlpm.pad_before, _xlfn.EXPAND(_xlpm.pad_with, _xlpm.rows_before, _xlpm.w, _xlpm.pad_with), _xlpm.pad_after, _xlfn.EXPAND(_xlpm.pad_with, _xlpm.rows_after, _xlpm.w, _xlpm.pad_with), _xlpm.before_only?, AND(_xlpm.rows_before &lt;&gt; 0, _xlpm.rows_after = 0), _xlpm.after_only?, AND(_xlpm.rows_before = 0, _xlpm.rows_after &lt;&gt; 0), _xlpm.fully_insulated?, AND(_xlpm.rows_before &lt;&gt; 0, _xlpm.rows_after &lt;&gt; 0), _xlpm.k, _xlpm.rows_after + _xlpm.h, _xlpm.expand_only, _xlfn.EXPAND(_xlpm.array, _xlpm.k, _xlpm.w, _xlpm.pad_with), _xlpm.insulate_before, _xlfn.VSTACK(_xlpm.pad_before, _xlpm.array), _xlpm.insulate_all, _xlfn.VSTACK(_xlpm.pad_before, _xlpm.array, _xlpm.pad_after), _xlpm.result, IF(_xlpm.fully_insulated?, _xlpm.insulate_all, IF(_xlpm.before_only?, _xlpm.insulate_before, _xlpm.expand_only)), _xlpm.result)))))</definedName>
    <definedName name="January">Coalesce!$O$13:$Q$16</definedName>
    <definedName name="Join2Dλ">_xlfn.LAMBDA(_xlpm.array_1,_xlpm.array_2,_xlop.array_3,_xlop.array_4,_xlop.delimiter,_xlop.ignore, _xlfn.LET(_xlpm.Include3?, NOT(_xlfn.ISOMITTED(_xlpm.array_3)), _xlpm.Include4?, NOT(_xlfn.ISOMITTED(_xlpm.array_4)), _xlpm.array_3, IF(_xlfn.ISOMITTED(_xlpm.array_3), FALSE, _xlpm.array_3), _xlpm.array_4, IF(_xlfn.ISOMITTED(_xlpm.array_4), FALSE, _xlpm.array_4), _xlpm.delimiter, IF(_xlfn.ISOMITTED(_xlpm.delimiter), ", ", _xlpm.delimiter), _xlpm.ignore, IF(_xlfn.ISOMITTED(_xlpm.ignore), "", _xlpm.ignore),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_xlpm.Include3? * OR(_xlpm.h &lt;&gt; _xlpm.h₃, _xlpm.w &lt;&gt; _xlpm.w₃), _xlpm.S_4, _xlpm.Include4? * OR(_xlpm.h &lt;&gt; _xlpm.h₄, _xlpm.w &lt;&gt; _xlpm.w₄), _xlpm.ShapeMismatch?, OR(_xlpm.S_2, _xlpm.S_3, _xlpm.S_4), IF(_xlpm.ShapeMismatch?, "#DIMENSIONS!", _xlfn.LET(_xlpm.Occupiedλ, _xlfn.LAMBDA(_xlpm.a, (_xlpm.a &lt;&gt; FALSE) * (LEN(_xlpm.a) &lt;&gt; 0) * (_xlpm.a &lt;&gt; _xlpm.ignore)), _xlpm.m_1, _xlpm.Occupiedλ(_xlpm.array_1), _xlpm.m_2, _xlpm.Occupiedλ(_xlpm.array_2), _xlpm.m_3, _xlpm.Occupiedλ(_xlpm.array_3), _xlpm.m_4, _xlpm.Occupiedλ(_xlpm.array_4), _xlpm.joined, IF(_xlpm.m_1, _xlpm.array_1 &amp; _xlpm.delimiter, "") &amp; IF(_xlpm.m_2, _xlpm.array_2 &amp; _xlpm.delimiter, "") &amp; IF(_xlpm.m_3, _xlpm.array_3 &amp; _xlpm.delimiter, "") &amp; IF(_xlpm.m_4, _xlpm.array_4 &amp; _xlpm.delimiter, ""), _xlpm.final, _xlfn.TEXTBEFORE(_xlpm.joined, _xlpm.delimiter, -1, 1, , _xlpm.joined), _xlpm.final))))</definedName>
    <definedName name="KeepColsλ">_xlfn.LAMBDA(_xlpm.array,_xlpm.keep,_xlpm.at_each_change, _xlfn.LET(_xlpm.OneSubGroup?, COUNTA(_xlfn.UNIQUE(_xlpm.at_each_change, 1)) = 1, _xlpm.Discard, _xlfn.DROP(_xlpm.array, , _xlpm.keep), _xlpm.ShapeMismatch?, COLUMNS(_xlpm.array) &lt;&gt; COLUMNS(_xlpm.at_each_change),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Streakλ(_xlpm.at_each_change, TRUE), _xlpm.descend, Countdownλ(_xlpm.at_each_change, TRUE), _xlpm.keep, ABS(_xlpm.keep), _xlpm.idx, IF(_xlpm.s = -1, _xlpm.descend, _xlpm.ascend), _xlpm.keep?, _xlpm.idx &lt;= _xlpm.keep, _xlpm.result, _xlfn._xlws.FILTER(_xlpm.array, _xlpm.keep?), _xlpm.result)))))</definedName>
    <definedName name="KeepRowsλ">_xlfn.LAMBDA(_xlpm.array,_xlpm.keep,_xlpm.at_each_change, _xlfn.LET(_xlpm.OneSubGroup?, COUNTA(_xlfn.UNIQUE(_xlpm.at_each_change)) = 1, _xlpm.Discard, _xlfn.DROP(_xlpm.array, _xlpm.keep), _xlpm.ShapeMismatch?, ROWS(_xlpm.array) &lt;&gt; ROWS(_xlpm.at_each_change),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Streakλ(_xlpm.at_each_change), _xlpm.descend, Countdownλ(_xlpm.at_each_change), _xlpm.keep, ABS(_xlpm.keep), _xlpm.idx, IF(_xlpm.s = -1, _xlpm.descend, _xlpm.ascend), _xlpm.keep?, _xlpm.idx &lt;= _xlpm.keep, _xlpm.result, _xlfn._xlws.FILTER(_xlpm.array, _xlpm.keep?), _xlpm.result)))))</definedName>
    <definedName name="KnapSackλ">_xlfn.LAMBDA(_xlpm.items,_xlpm.value_of_items,_xlpm.weights,_xlpm.capacity, _xlfn.LET(_xlpm.TooManyItems?, ROWS(_xlpm.items) * COLUMNS(_xlpm.items) &gt; 20, _xlpm.TextItemVal?, OR(ISTEXT(_xlpm.value_of_items)), _xlpm.TextWeights?, OR(ISTEXT(_xlpm.weights)), _xlpm.TextCapacity?, OR(ISTEXT(_xlpm.capacity)), _xlpm.ShapeMisMatch?, OR(COUNTA(_xlpm.items) &lt;&gt; COUNTA(_xlpm.value_of_items), COUNTA(_xlpm.items) &lt;&gt; COUNTA(_xlpm.weights)), _xlpm.scenarios, _xlfn.VSTACK(_xlpm.TextItemVal?, _xlpm.TextWeights?, _xlpm.TextCapacity?, _xlpm.ShapeMisMatch?), _xlpm.exit, OR(_xlpm.scenarios), _xlpm.errors, {"#VALUE-ITEM!";"#VALUE-WEIGHTS!";"#VALUE-CAPACITY!";"#INPUT-MISMATCH!"}, _xlpm.alert, _xlfn.ARRAYTOTEXT(_xlfn._xlws.FILTER(_xlpm.errors, _xlpm.scenarios)), IF(_xlpm.TooManyItems?, "#TOO-MANY-ITEMS!", IF(_xlpm.exit, _xlpm.alert, _xlfn.LET(_xlpm.items, _xlfn.TOROW(_xlpm.items), _xlpm.value_of_items, _xlfn.TOROW(_xlpm.value_of_items), _xlpm.weights, _xlfn.TOROW(_xlpm.weights), _xlpm.capacity, INDEX(_xlpm.capacity, 1, 1), _xlpm.labels, {"Items";"Value";"Weight";"Pack"}, _xlpm.n, COUNTA(_xlpm.items), _xlpm.C, _xlfn.SEQUENCE(2 ^ _xlpm.n - 1), _xlpm.bin, Dec2Binλ(_xlpm.C, 1), _xlpm.w_arr, _xlpm.bin * _xlpm.weights, _xlpm.feasible?, _xlfn.BYROW(_xlpm.w_arr, _xleta.SUM) &lt;= _xlpm.capacity, _xlpm.val_arr, _xlfn._xlws.FILTER(_xlpm.bin * _xlpm.value_of_items, _xlpm.feasible?, 0), _xlpm.totals, _xlfn.BYROW(_xlpm.val_arr, _xleta.SUM), _xlpm.pack, SIGN(_xlfn._xlws.FILTER(_xlpm.val_arr, MAX(_xlpm.totals) = _xlpm.totals, 0)), _xlpm.final, _xlfn.IFNA(_xlfn.HSTACK(_xlpm.labels, _xlfn.VSTACK(_xlpm.items, _xlpm.value_of_items, _xlpm.weights, _xlpm.pack)), ""), _xlpm.final)))))</definedName>
    <definedName name="KroneckerProdλ">_xlfn.LAMBDA(_xlpm.array_1,_xlpm.array_2, _xlfn.LET(_xlpm.h, ROWS(_xlpm.array_1), _xlpm.w, COLUMNS(_xlpm.array_1), _xlpm.h₂, ROWS(_xlpm.array_2), _xlpm.w₂, COLUMNS(_xlpm.array_2), _xlpm.A, Magnifyλ(_xlpm.array_1, _xlpm.h₂, _xlpm.w₂), _xlpm.B, Resizeλ(_xlpm.array_2, _xlpm.h, _xlpm.w), _xlpm.result, _xlpm.A * _xlpm.B, _xlpm.result))</definedName>
    <definedName name="Magnifyλ">_xlfn.LAMBDA(_xlpm.array,_xlpm.height,_xlpm.width, IF(OR(COUNT(_xlpm.height) &lt;&gt; 1, COUNT(_xlpm.width) &lt;&gt; 1), "#VALUE!", IF(OR(ISTEXT(_xlpm.height), ISTEXT(_xlpm.width)), "#TEXT!", IF(OR(_xlpm.height &lt;= 0, _xlpm.width &lt;= 0), "#VALUE!",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_xlpm.result, INDEX(_xlpm.array, _xlpm.x(), _xlpm.y()), _xlpm.result)))))</definedName>
    <definedName name="March">Coalesce!$G$13:$I$16</definedName>
    <definedName name="MGridλ">_xlfn.LAMBDA(_xlpm.grid,_xlop.col_index, _xlfn.LET(_xlpm.RowIdx?, _xlfn.ISOMITTED(_xlpm.col_index), _xlpm.h, ROWS(_xlpm.grid), _xlpm.w, COLUMNS(_xlpm.grid), _xlpm.i, _xlfn.LAMBDA(Resizeλ(_xlfn.SEQUENCE(_xlpm.h), , _xlpm.w)), _xlpm.j, _xlfn.LAMBDA(Resizeλ(_xlfn.SEQUENCE(, _xlpm.w), _xlpm.h)), _xlpm.result, IF(_xlpm.RowIdx?, _xlpm.i(), _xlpm.j()), _xlpm.result))</definedName>
    <definedName name="Mixed2D">Numbers_Text_Only!$B$24:$D$25</definedName>
    <definedName name="MixedInput">Numbers_Text_Only!$C$16:$C$20</definedName>
    <definedName name="Modeλ">_xlfn.LAMBDA(_xlpm.array,_xlop.include_totals, IF(COUNT(--ISTEXT(_xlpm.array)) = 0, _xlfn.MODE.MULT(_xlpm.array), _xlfn.LET(_xlpm.msg, "#NO-REPEATS!", _xlpm.V, _xlfn.TOCOL(_xlpm.array), _xlpm.i, _xlfn.MODE.MULT(_xlfn.XMATCH(_xlpm.V, _xlpm.V)), _xlpm.result, _xlfn._xlws.SORT(IFERROR(INDEX(_xlpm.V, _xlpm.i), _xlpm.msg)), _xlpm.keep, ISNUMBER(_xlfn.XMATCH(_xlpm.V, _xlpm.result)), _xlpm.totals, _xlfn.GROUPBY(_xlpm.V, _xlpm.V, _xleta.COUNTA, 0, 0, , _xlpm.keep), _xlpm.deliver, IF(AND(_xlpm.include_totals, _xlpm.result &lt;&gt; _xlpm.msg), _xlpm.totals, _xlpm.result), _xlpm.deliver)))</definedName>
    <definedName name="MooreAggλ">_xlfn.LAMBDA(_xlpm.array_2D,_xlpm.function,_xlop.IsvonNeumann?,_xlop.omit_center, IF(TYPE(_xlpm.array_2D) &lt;&gt; 64, "#array_2D!", IF(TYPE(_xlpm.function) &lt;&gt; 128, "#ETA FUNCTION!", _xlfn.LET(_xlpm.IsvonNeumann?, NOT(_xlfn.ISOMITTED(_xlpm.IsvonNeumann?)), _xlpm.omit_center, NOT(_xlfn.ISOMITTED(_xlpm.omit_center)), _xlpm.height, ROWS(_xlpm.array_2D), _xlpm.width, COLUMNS(_xlpm.array_2D), _xlpm.M, _xlfn.VSTACK("omit", _xlfn.HSTACK("omit", _xlpm.array_2D, "omit"), "omit"), _xlpm.a, _xlfn.TOCOL(_xlfn.DROP(_xlpm.M, -2, -2)), _xlpm.b, _xlfn.TOCOL(_xlfn.TAKE(_xlfn.DROP(_xlpm.M, , 1), _xlpm.height, _xlpm.width)), _xlpm.c, _xlfn.TOCOL(_xlfn.TAKE(_xlfn.DROP(_xlpm.M, , 2), _xlpm.height)), _xlpm.d, _xlfn.TOCOL(_xlfn.TAKE(_xlfn.DROP(_xlpm.M, 1, -1), _xlpm.height, _xlpm.width)), _xlpm.center, _xlfn.TOCOL(_xlfn.TAKE(_xlfn.DROP(_xlpm.M, 1, 1), _xlpm.height, _xlpm.width)), _xlpm.f, _xlfn.TOCOL(_xlfn.TAKE(_xlfn.DROP(_xlpm.M, 1, 1), _xlpm.height, -_xlpm.width)), _xlpm.g, _xlfn.TOCOL(_xlfn.TAKE(_xlfn.DROP(_xlpm.M, 1, -1), -_xlpm.height, _xlpm.width)), _xlpm.h, _xlfn.TOCOL(_xlfn.TAKE(_xlfn.DROP(_xlpm.M, 1, -1), -_xlpm.height, -_xlpm.width)), _xlpm.i, _xlfn.TOCOL(_xlfn.TAKE(_xlfn.DROP(_xlpm.M, 1, 1), -_xlpm.height, -_xlpm.width)), _xlpm.Moore_no_center, _xlfn.HSTACK(_xlpm.a, _xlpm.b, _xlpm.c, _xlpm.d, _xlpm.f, _xlpm.g, _xlpm.h, _xlpm.i), _xlpm.Moore_with_center, _xlfn.HSTACK(_xlpm.a, _xlpm.b, _xlpm.c, _xlpm.d, _xlpm.center, _xlpm.f, _xlpm.g, _xlpm.h, _xlpm.i), _xlpm.von_no_center, _xlfn.HSTACK(_xlpm.b, _xlpm.d, _xlpm.f, _xlpm.h), _xlpm.von_with_center, _xlfn.HSTACK(_xlpm.b, _xlpm.d, _xlpm.f, _xlpm.h, _xlpm.center), _xlpm.Aggregateλ, _xlfn.LAMBDA(_xlpm.v, _xlpm.function(_xlfn.TOCOL(_xlfn.IFS(_xlpm.v, _xlpm.v), 2))), _xlpm.agg, IF(_xlpm.IsvonNeumann?, IF(_xlpm.omit_center, _xlfn.BYROW(_xlpm.von_no_center, _xlpm.Aggregateλ), _xlfn.BYROW(_xlpm.von_with_center, _xlpm.Aggregateλ)), IF(_xlpm.omit_center, _xlfn.BYROW(_xlpm.Moore_no_center, _xlpm.Aggregateλ), _xlfn.BYROW(_xlpm.Moore_with_center, _xlpm.Aggregateλ))), _xlpm.deliver, IFERROR(_xlfn.WRAPROWS(_xlpm.agg, _xlpm.width), 0), _xlpm.deliver))))</definedName>
    <definedName name="MooreSelectλ">_xlfn.LAMBDA(_xlpm.array_2D,_xlpm.neighbor, IF(TYPE(_xlpm.array_2D) &lt;&gt; 64, "#array_2D!", IF(NOT(AND(_xlpm.neighbor &gt;= 1, _xlpm.neighbor &lt;= 9, NOT(ISTEXT(_xlpm.neighbor)))), "#NEIGHBOR!", _xlfn.LET(_xlpm.height, ROWS(_xlpm.array_2D), _xlpm.width, COLUMNS(_xlpm.array_2D), _xlpm.hpad, _xlfn.EXPAND(0, , _xlpm.width + 2, 0), _xlpm.vpad, _xlfn.EXPAND(0, _xlpm.height, , 0), _xlpm.M, _xlfn.VSTACK(_xlpm.hpad, _xlfn.HSTACK(_xlpm.vpad, _xlpm.array_2D, _xlpm.vpad), _xlpm.hpad), _xlpm.a, _xlfn.DROP(_xlpm.M, -2, -2), _xlpm.b, _xlfn.TAKE(_xlfn.DROP(_xlpm.M, , 1), _xlpm.height, _xlpm.width), _xlpm.c, _xlfn.TAKE(_xlfn.DROP(_xlpm.M, , 2), _xlpm.height), _xlpm.d, _xlfn.TAKE(_xlfn.DROP(_xlpm.M, 1, -1), _xlpm.height, _xlpm.width), _xlpm.center, _xlfn.TAKE(_xlfn.DROP(_xlpm.M, 1, 1), _xlpm.height, _xlpm.width), _xlpm.f, _xlfn.TAKE(_xlfn.DROP(_xlpm.M, 1, 1), _xlpm.height, -_xlpm.width), _xlpm.g, _xlfn.TAKE(_xlfn.DROP(_xlpm.M, 1, -1), -_xlpm.height, _xlpm.width), _xlpm.h, _xlfn.TAKE(_xlfn.DROP(_xlpm.M, 1, -1), -_xlpm.height, -_xlpm.width), _xlpm.i, _xlfn.TAKE(_xlfn.DROP(_xlpm.M, 1, 1), -_xlpm.height, -_xlpm.width), _xlpm.Moore, _xlfn.HSTACK(_xlpm.a, _xlpm.b, _xlpm.c, _xlpm.d, _xlpm.center, _xlpm.f, _xlpm.g, _xlpm.h, _xlpm.i), _xlpm.start, (_xlpm.neighbor - 1) * _xlpm.width + 1, _xlpm.select_neighbor, _xlfn.CHOOSECOLS(_xlpm.Moore, _xlfn.SEQUENCE(, _xlpm.width, _xlpm.start)), _xlpm.select_neighbor))))</definedName>
    <definedName name="Numbers">Explode!$B$23:$D$24</definedName>
    <definedName name="NumbersOnlyλ">_xlfn.LAMBDA(_xlpm.array, _xlfn.LET(_xlpm.array, IF(TYPE(_xlpm.array) &lt;&gt; 64, _xlpm.array, _xlfn.TOCOL(_xlpm.array)), _xlpm.ex, Explodeλ(_xlpm.array), _xlpm.Keep, IFERROR((CODE(_xlpm.ex) &gt;= 48) * (CODE(_xlpm.ex) &lt;= 57), FALSE), _xlpm.Result, IF(_xlpm.Keep, _xlpm.ex, ""), _xlpm.final, IFERROR(_xlfn.BYROW(_xlpm.Result, _xleta.CONCAT) + 0, ""), _xlpm.final))</definedName>
    <definedName name="Padλ">_xlfn.LAMBDA(_xlpm.array,_xlpm.rows_before,_xlop.rows_after,_xlop.cols_before,_xlop.cols_after,_xlop.pad_with, _xlfn.LET(_xlpm.Iλ, _xlfn.LAMBDA(_xlpm.x, INDEX(_xlpm.x, 1, 1)), _xlpm.rows_before, _xlpm.Iλ(_xlpm.rows_before), _xlpm.rows_after, _xlpm.Iλ(IF(_xlfn.ISOMITTED(_xlpm.rows_after), _xlpm.rows_before, _xlpm.rows_after)), _xlpm.cols_before, _xlpm.Iλ(IF(_xlfn.ISOMITTED(_xlpm.cols_before), _xlpm.rows_before, _xlpm.cols_before)), _xlpm.cols_after, _xlpm.Iλ(IF(_xlfn.ISOMITTED(_xlpm.cols_after), _xlpm.rows_before, _xlpm.cols_after)), _xlpm.InvalidIns?, OR(ISTEXT(_xlpm.rows_before), ISTEXT(_xlpm.rows_after), ISTEXT(_xlpm.cols_before), ISTEXT(_xlpm.cols_after)), IF(_xlpm.InvalidIns?, "#TEXT-PAD!", _xlfn.LET(_xlpm.padded_rows, InsulateRowsλ(_xlpm.array, _xlpm.rows_before, _xlpm.rows_after, _xlpm.pad_with), _xlpm.padded_all, InsulateColsλ(_xlpm.padded_rows, _xlpm.cols_before, _xlpm.cols_after, _xlpm.pad_with), _xlpm.padded_all))))</definedName>
    <definedName name="Pairwiseλ">_xlfn.LAMBDA(_xlpm.vector_1,_xlpm.vector_2, _xlfn.LET(_xlpm.v, _xlfn.TOCOL(_xlpm.vector_1), _xlpm.v₂, _xlfn.TOCOL(_xlpm.vector_2), _xlpm.k, COUNTA(_xlpm.v), _xlpm.k₂, COUNTA(_xlpm.v₂), _xlpm.Is2DInput?, OR(AND(ROWS(_xlpm.vector_1) &gt; 1, COLUMNS(_xlpm.vector_1) &gt; 1), AND(ROWS(_xlpm.vector_2) &gt; 1, COLUMNS(_xlpm.vector_2) &gt; 1)), _xlpm.Is2Big?, _xlpm.k * _xlpm.k₂ &gt; 1000000, IF(_xlpm.Is2DInput?, #VALUE!, IF(_xlpm.Is2Big?, #NUM!, _xlfn.LET(_xlpm.x, Echoλ(_xlpm.v, _xlpm.k₂), _xlpm.y, Resizeλ(_xlpm.v₂, _xlpm.k), _xlpm.pairs, _xlfn.HSTACK(_xlpm.x, _xlpm.y), _xlpm.pairs)))))</definedName>
    <definedName name="PermRλ">_xlfn.LAMBDA(_xlpm.items,_xlpm.items_chosen, Enumerateλ(_xlpm.items, _xlpm.items_chosen, 1))</definedName>
    <definedName name="Permλ">_xlfn.LAMBDA(_xlpm.items,_xlpm.items_chosen, Enumerateλ(_xlpm.items, _xlpm.items_chosen, 2))</definedName>
    <definedName name="Pinchλ">_xlfn.LAMBDA(_xlpm.array, IF(COUNTA(_xlpm.array) = 0, 0, _xlfn.LET(_xlpm.bool, LEN(_xlpm.array) &lt;&gt; 0, _xlpm.ORλ, _xlfn.LAMBDA(_xlpm.v, IFERROR(OR(_xlfn.TOCOL(_xlpm.v, 2)), FALSE)), _xlpm.mark_rows, _xlfn.BYROW(_xlpm.bool, _xlpm.ORλ), _xlpm.mark_cols, _xlfn.BYCOL(_xlpm.bool, _xlpm.ORλ), _xlpm.first_pass, _xlfn._xlws.FILTER(_xlpm.array, _xlpm.mark_rows, 0), _xlpm.result, _xlfn._xlws.FILTER(_xlpm.first_pass, _xlpm.mark_cols, 0), _xlpm.result)))</definedName>
    <definedName name="PivotbyCatλ">_xlfn.LAMBDA(_xlpm.row_detail,_xlpm.row_dates,_xlpm.categories,_xlpm.values,_xlpm.delimiter,_xlop.date_format,_xlop.function, _xlfn.LET(_xlpm.r₁, ROWS(_xlpm.row_detail), _xlpm.r₂, ROWS(_xlpm.row_dates), _xlpm.r₃, ROWS(_xlpm.categories), _xlpm.r₄, ROWS(_xlpm.values), _xlpm.ShapeMismatch, OR(_xlpm.r₁ &lt;&gt; _xlpm.r₂, _xlpm.r₁ &lt;&gt; _xlpm.r₃, _xlpm.r₁ &lt;&gt; _xlpm.r₄), _xlpm.date_format, IF(_xlfn.ISOMITTED(_xlpm.date_format), "yyy", _xlpm.date_format), _xlpm.InvalidDates, OR(AND(ISERROR(DATEVALUE(TEXT(_xlpm.row_dates, _xlpm.date_format))), ISERROR(VALUE(TEXT(_xlpm.row_dates, _xlpm.date_format)))), NOT(AND(ISNUMBER(_xlpm.row_dates)))), _xlpm.InvalidFn, TYPE(_xlpm.function) &lt;&gt; 128, _xlpm.scenarios, _xlfn.VSTACK(_xlpm.ShapeMismatch, _xlpm.InvalidDates, _xlpm.InvalidFn), _xlpm.errors, {"#DIMENSIONS!";"#DATES!";"#INVALID-FUNCTION!"}, _xlfn._xlws.FILTER(_xlpm.errors, _xlpm.scenarios, _xlfn.LET(_xlpm.fnλ, IF(_xlfn.ISOMITTED(_xlpm.function), _xleta.SUM, _xlpm.function), _xlpm.CountCatλ, _xlfn.LAMBDA(_xlpm.row, COUNTA(_xlfn.TEXTSPLIT(_xlpm.row, _xlpm.delimiter))), _xlpm.Parseλ, _xlfn.LAMBDA(_xlpm.array,_xlpm.instance, _xlfn.TEXTBEFORE(_xlfn.TEXTAFTER(_xlpm.delimiter &amp; _xlpm.array &amp; _xlpm.delimiter, _xlpm.delimiter, _xlpm.instance, , , _xlpm.array), _xlpm.delimiter, , , , _xlpm.categories)), _xlpm.k, _xlfn.BYROW(_xlpm.categories, _xlpm.CountCatλ), _xlpm.i, RepeatRowsλ(_xlfn.SEQUENCE(_xlpm.r₁), _xlpm.k), _xlpm.j, Streakλ(_xlpm.i), _xlpm.a, RepeatRowsλ(_xlpm.row_detail, _xlpm.k), _xlpm.detail, IF(_xlpm.a = 0, "Unknown", _xlpm.a), _xlpm.dates, RepeatRowsλ(TEXT(_xlpm.row_dates, _xlpm.date_format), _xlpm.k), _xlpm.sort_key, IFERROR(DATEVALUE(_xlpm.dates), VALUE(_xlpm.dates)), _xlpm.row_fields, _xlfn.HSTACK(_xlpm.sort_key, _xlpm.detail, _xlpm.dates), _xlpm.unpack, RepeatRowsλ(_xlpm.categories, _xlpm.k), _xlpm.categories, _xlpm.Parseλ(_xlpm.unpack, _xlpm.j), _xlpm.values, RepeatRowsλ(_xlpm.values / _xlpm.k, _xlpm.k), _xlpm.agg, _xlfn.DROP(_xlfn.PIVOTBY(_xlpm.row_fields, _xlpm.categories, _xlpm.values, _xlpm.fnλ, , 0, , 0), , 1), _xlpm.agg))))</definedName>
    <definedName name="Plus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= _xlpm.x) * (ABS(_xlpm.j - _xlpm.y) &lt;= _xlpm.extend) + (_xlpm.j = _xlpm.y) * (ABS(_xlpm.i - _xlpm.x) &lt;= _xlpm.extend), _xlpm.result, Squeezeλ(IF(_xlpm.mask, _xlpm.grid, _xlpm.fill_value), _xlpm.fill_value), _xlpm.result)))))))</definedName>
    <definedName name="PolarGridλ">_xlfn.LAMBDA(_xlpm.grid,_xlop.phi_coordinate, _xlfn.LET(_xlpm.IsR?, _xlfn.ISOMITTED(_xlpm.phi_coordinate), _xlpm.x, CGridλ(_xlpm.grid), _xlpm.y, CGridλ(_xlpm.grid, 1), _xlpm.r, SQRT(_xlpm.x ^ 2 + _xlpm.y ^ 2), _xlpm.phi, IFERROR(ATAN2(_xlpm.y, _xlpm.x), 0), _xlpm.result, IF(_xlpm.IsR?, _xlpm.r, _xlpm.phi), _xlpm.result))</definedName>
    <definedName name="PQR_array">Align_Distinct!$C$10:$E$12</definedName>
    <definedName name="Pyramidλ">_xlfn.LAMBDA(_xlpm.array,_xlop.piece,_xlop.fill_value, _xlfn.LET(_xlpm.piece, IF(_xlfn.ISOMITTED(_xlpm.piece), 1, _xlpm.piece), _xlpm.InvalidPiece?, OR(_xlpm.piece &lt; 1, _xlpm.piece &gt; 4, ISTEXT(_xlpm.piece)), _xlpm.fill_value, IF(_xlfn.ISOMITTED(_xlpm.fill_value), "", _xlpm.fill_value), IF(_xlpm.InvalidPiece?, "#PIECE!", _xlfn.LET(_xlpm.h, ROWS(_xlpm.array), _xlpm.w, COLUMNS(_xlpm.array), _xlpm.i, MGridλ(_xlpm.array), _xlpm.j, MGridλ(_xlpm.array, 1), _xlpm.upper_right, _xlpm.i &lt;= _xlpm.j, _xlpm.lower_right, _xlpm.i + _xlpm.j &gt;= _xlpm.h + 1, _xlpm.lower_left, _xlpm.i &gt;= _xlpm.j, _xlpm.upper_left, _xlpm.i + _xlpm.j &lt;= _xlpm.h + 1, _xlpm.mask, IF(_xlpm.piece = 1, _xlpm.upper_right, IF(_xlpm.piece = 2, _xlpm.lower_right, IF(_xlpm.piece = 3, _xlpm.lower_left, _xlpm.upper_left))), _xlpm.result, IF(_xlpm.mask, _xlpm.array, _xlpm.fill_value), _xlpm.result))))</definedName>
    <definedName name="Quadwiseλ">_xlfn.LAMBDA(_xlpm.set_1,_xlpm.set_2,_xlpm.set_3,_xlpm.set_4, _xlfn.LET(_xlpm.set_1, _xlfn.TOCOL(_xlpm.set_1), _xlpm.set_2, _xlfn.TOCOL(_xlpm.set_2), _xlpm.set_3, _xlfn.TOCOL(_xlpm.set_3), _xlpm.set_4, _xlfn.TOCOL(_xlpm.set_4), _xlpm.k, ROWS(_xlpm.set_4), _xlpm.d, IF(_xlpm.k &lt;&gt; 1, _xlpm.set_4, INDEX(_xlpm.set_4, 1)), _xlpm.thrice, Triplewiseλ(_xlpm.set_1, _xlpm.set_2, _xlpm.set_3), _xlpm.thrice_, RepeatRowsλ(_xlpm.thrice, _xlpm.k), _xlpm.k₂, ROWS(_xlpm.thrice_), _xlpm.four, Resizeλ(_xlpm.d, _xlpm.k₂ / _xlpm.k), _xlpm.final, _xlfn.HSTACK(_xlpm.thrice_, _xlpm.four), _xlpm.final))</definedName>
    <definedName name="RegexSafeλ">_xlfn.LAMBDA(_xlpm.delimiters, _xlfn.LET(_xlpm.meta, {"\","+","*","?","^","$","(",")","[","|"}, _xlpm.chars, _xlfn.REGEXEXTRACT(_xlpm.delimiters, ".", 1), _xlpm.IsMeta?, ISNUMBER(_xlfn.XMATCH(_xlpm.chars, _xlpm.meta)), _xlpm.pattern, _xlfn.CONCAT(IF(_xlpm.IsMeta?, "\" &amp; _xlpm.chars, _xlpm.chars)), _xlpm.pattern))</definedName>
    <definedName name="Removeλ">_xlfn.LAMBDA(_xlpm.array,_xlop.rows,_xlop.cols, _xlfn.LET(_xlpm.h, ROWS(_xlpm.array), _xlpm.w, COLUMNS(_xlpm.array), _xlpm.rows_inc, NOT(_xlfn.ISOMITTED(_xlpm.rows)), _xlpm.cols_inc, NOT(_xlfn.ISOMITTED(_xlpm.cols)), _xlpm.RemoveRows?, AND(_xlpm.rows_inc, NOT(_xlpm.cols_inc)), _xlpm.RemoveCols?, AND(_xlpm.cols_inc, NOT(_xlpm.rows_inc)), _xlpm.RemoveRC?, AND(_xlpm.rows_inc, _xlpm.cols_inc), _xlpm.IsScalar?, AND(_xlpm.h = 1, _xlpm.w = 1), _xlpm.TextRows?, OR(ISTEXT(_xlpm.rows)), _xlpm.TextCols?, OR(ISTEXT(_xlpm.cols)), _xlpm.InvalidRow?, IF(_xlpm.TextRows?, TRUE, AND(_xlpm.rows_inc, OR(MIN(_xlpm.rows) &lt; 1, MAX(_xlpm.rows) &gt; _xlpm.h))), _xlpm.InvalidCol?, IF(_xlpm.TextCols?, TRUE, AND(_xlpm.cols_inc, OR(MIN(_xlpm.cols) &lt; 1, MAX(_xlpm.cols) &gt; _xlpm.w))), IF(_xlpm.IsScalar?, _xlpm.array, IF(_xlpm.InvalidRow?, "#INVALID-ROW!", IF(_xlpm.InvalidCol?, "#INVALID-COL!", _xlfn.LET(_xlpm.r, _xlfn.SEQUENCE(_xlpm.h), _xlpm.c, _xlfn.SEQUENCE(, _xlpm.w), _xlpm.rmask, _xlfn.LAMBDA(ISNA(_xlfn.XMATCH(_xlpm.r, _xlfn.TOCOL(_xlpm.rows)))), _xlpm.cmask, _xlfn.LAMBDA(ISNA(_xlfn.XMATCH(_xlpm.c, _xlfn.TOCOL(_xlpm.cols)))), _xlpm.rows_only, _xlfn.LAMBDA(_xlfn._xlws.FILTER(_xlpm.array, _xlpm.rmask(), 0)), _xlpm.cols_only, _xlfn.LAMBDA(_xlfn._xlws.FILTER(_xlpm.array, _xlpm.cmask(), 0)), _xlpm.RC_r, _xlfn.LAMBDA(_xlfn._xlws.FILTER(_xlpm.array, _xlpm.rmask(), 0)), _xlpm.RC, _xlfn.LAMBDA(_xlfn._xlws.FILTER(_xlpm.RC_r(), _xlpm.cmask(), 0)), _xlpm.result, IF(_xlpm.RemoveRows?, _xlpm.rows_only(), IF(_xlpm.RemoveCols?, _xlpm.cols_only(), _xlpm.RC())), _xlpm.result))))))</definedName>
    <definedName name="RepeatColsλ">_xlfn.LAMBDA(_xlpm.array,_xlpm.repeat, IF(OR(ISTEXT(_xlpm.repeat), _xlpm.repeat &lt;= 0), "#VALUE!", _xlfn.LET(_xlpm.repeat, _xlfn.TOCOL(_xlpm.repeat), _xlpm.Aw, COLUMNS(_xlpm.array), _xlpm.Rh, ROWS(_xlpm.repeat), _xlpm.c, IF(_xlpm.Aw &lt;&gt; _xlpm.Rh, _xlfn.EXPAND(_xlpm.repeat, _xlpm.Aw, , _xlfn.SINGLE(_xlfn.TAKE(_xlpm.repeat, -1))), _xlpm.repeat), _xlpm.i, _xlfn.SEQUENCE(ROWS(_xlpm.c)), _xlpm.m, MAX(_xlpm.c), _xlpm.idx, _xlfn.LAMBDA(_xlfn.TOCOL(IF(SIGN(_xlpm.c - _xlfn.SEQUENCE(, _xlpm.m, 0)) = 1, _xlpm.i, NA()), 2)), _xlpm.deliver, _xlfn.CHOOSECOLS(_xlpm.array, _xlpm.idx()), _xlpm.deliver)))</definedName>
    <definedName name="RepeatRowsλ">_xlfn.LAMBDA(_xlpm.array,_xlpm.repeat, IF(OR(ISTEXT(_xlpm.repeat), _xlpm.repeat &lt;= 0), "#VALUE!", _xlfn.LET(_xlpm.repeat, _xlfn.TOCOL(_xlpm.repeat), _xlpm.Ah, ROWS(_xlpm.array), _xlpm.Rh, ROWS(_xlpm.repeat), _xlpm.r, IF(_xlpm.Ah &lt;&gt; _xlpm.Rh, _xlfn.EXPAND(_xlpm.repeat, _xlpm.Ah, , _xlfn.SINGLE(_xlfn.TAKE(_xlpm.repeat, -1))), _xlpm.repeat), _xlpm.i, _xlfn.SEQUENCE(ROWS(_xlpm.r)), _xlpm.m, MAX(_xlpm.r), _xlpm.idx, _xlfn.LAMBDA(_xlfn.TOCOL(IF(SIGN(_xlpm.r - _xlfn.SEQUENCE(, _xlpm.m, 0)) = 1, _xlpm.i, NA()), 2)), _xlpm.deliver, _xlfn.CHOOSEROWS(_xlpm.array, _xlpm.idx()), _xlpm.deliver)))</definedName>
    <definedName name="ReShape2Dλ">_xlfn.LAMBDA(_xlpm.array,_xlpm.new_width,_xlop.pad_with, _xlfn.LET(_xlpm.h, ROWS(_xlpm.array), _xlpm.w, COLUMNS(_xlpm.array), _xlpm.new_height, CEILING(COUNTA(_xlpm.array) / _xlpm.new_width, 1), _xlpm.pad_with, IF(_xlfn.ISOMITTED(_xlpm.pad_with), NA(), _xlpm.pad_with), _xlpm.InvalidWidth, _xlpm.new_width &gt; _xlpm.w, _xlpm.IsScalar?, AND(_xlpm.h = 1, _xlpm.w = 1), _xlpm.Is1D?, _xlfn.XOR(_xlpm.h = 1, _xlpm.w = 1), _xlpm.IsVertical?, _xlpm.h &gt; _xlpm.w, IF(_xlpm.IsScalar?, _xlpm.array, IF(_xlpm.Is1D?, "#VALUE!", IF(_xlpm.InvalidWidth, "#WIDTH!", _xlfn.LET(_xlpm.i, _xlfn.LAMBDA(CEILING(_xlfn.SEQUENCE(_xlpm.new_height, _xlpm.new_width) / _xlpm.w, 1)), _xlpm.modulo, _xlfn.LAMBDA(MOD(_xlfn.SEQUENCE(_xlpm.new_height, _xlpm.new_width), _xlpm.w)), _xlpm.j, _xlfn.LAMBDA(IF(_xlpm.modulo() = 0, _xlpm.w, _xlpm.modulo())), _xlpm.reshaped, IFERROR(INDEX(_xlpm.array, _xlpm.i(), _xlpm.j()), _xlpm.pad_with), _xlpm.reshaped))))))</definedName>
    <definedName name="Resizeλ">_xlfn.LAMBDA(_xlpm.array,_xlop.height,_xlop.width, _xlfn.LET(_xlpm.h, ROWS(_xlpm.array), _xlpm.w, COLUMNS(_xlpm.array), _xlpm.HeightOmitted?, _xlfn.ISOMITTED(_xlpm.height), _xlpm.WidthOmitted?, _xlfn.ISOMITTED(_xlpm.width), _xlpm.NoHWInput?, _xlpm.HeightOmitted? + _xlpm.WidthOmitted? = 2, _xlpm.height, IF(OR(_xlpm.NoHWInput?, _xlpm.HeightOmitted?), 1, _xlpm.height), _xlpm.width, IF(OR(_xlpm.NoHWInput?, _xlpm.WidthOmitted?), 1, _xlpm.width), _xlpm.NoRepeat?, AND(_xlpm.height = 1, _xlpm.width = 1), _xlpm.IsScalar?, AND(_xlpm.h = 1, _xlpm.w = 1), _xlpm.ExpandScalar, _xlfn.EXPAND(_xlpm.array, _xlpm.height, _xlpm.width, _xlpm.array), _xlpm.InvalidRepeat?, OR(ISTEXT(_xlpm.height), ISTEXT(_xlpm.width), OR(AND(ISNUMBER(_xlpm.height), _xlpm.height &lt;= 0), AND(ISNUMBER(_xlpm.width), _xlpm.width &lt;= 0))), IF(_xlpm.NoRepeat?, _xlpm.array, IF(_xlpm.IsScalar?, _xlpm.ExpandScalar, IF(_xlpm.InvalidRepeat?, _xlpm.array, _xlfn.LET(_xlpm.k, _xlpm.h * _xlpm.height, _xlpm.k₂, _xlpm.w * _xlpm.width, _xlpm.i, _xlfn.LAMBDA(1 + MOD(_xlfn.SEQUENCE(_xlpm.k, , 0, ), _xlpm.h) * _xlfn.SEQUENCE(, _xlpm.k₂, 1, 0)), _xlpm.j, _xlfn.LAMBDA(1 + MOD(_xlfn.SEQUENCE(, _xlpm.k₂, 0), _xlpm.w) * _xlfn.SEQUENCE(_xlpm.k, , 1, 0)), _xlpm.result, INDEX(_xlpm.array, _xlpm.i(), _xlpm.j()), _xlpm.result))))))</definedName>
    <definedName name="Revealλ">_xlfn.LAMBDA(_xlpm.data,_xlop.IsVerbose?,_xlop.delimiter, _xlfn.LET(_xlpm.width, COLUMNS(_xlpm.data), _xlpm.metrics, {"Number";"Text";"Number-stored-as-text";"Error";"Contains spaces";"Contains special characters";"Formula";"Blank";"Logical"}, _xlpm.Binλ, _xlfn.LAMBDA(_xlpm.v, _xlfn.TOCOL(IFERROR(_xlpm.v, 0))), _xlpm.RemoveNAλ, _xlfn.LAMBDA(_xlpm.v, _xlfn.IFNA(_xlpm.v, 0)), _xlpm.delimiter, IF(_xlfn.ISOMITTED(_xlpm.delimiter), ", ", _xlpm.delimiter), _xlpm.GetDetailsλ, _xlfn.LAMBDA(_xlpm.a,_xlpm.b,_xlpm.c,_xlpm.d,_xlpm.e,_xlpm.f,_xlpm.g,_xlpm.h,_xlpm.i, _xlfn.LET(_xlpm.m, _xlfn.VSTACK(_xlpm.a, _xlpm.b, _xlpm.c, _xlpm.d, _xlpm.RemoveNAλ(_xlpm.e), _xlpm.RemoveNAλ(_xlpm.f), _xlpm.g, _xlpm.h, _xlpm.i), _xlpm.detail, IF(_xlpm.h, "Blank", _xlfn.TOCOL(_xlfn.IFS(_xlpm.m, _xlpm.metrics), 2)), _xlpm.joined, _xlfn.TEXTJOIN(_xlpm.delimiter, 1, _xlpm.detail), _xlpm.joined)), _xlpm.Numbers, --_xlfn.TOCOL(ISNUMBER(_xlpm.data)), _xlpm.Texts, --_xlfn.TOCOL(ISTEXT(_xlpm.data)), _xlpm.Numbers_stored_as_text, _xlfn.TOCOL(ISNUMBER(IFERROR(_xlpm.data + 0, "")) * ISTEXT(_xlpm.data)), _xlpm.Cells_with_errors, --_xlfn.TOCOL(ISERROR(_xlpm.data)), _xlpm.Spaces, --_xlpm.Binλ(LEN(TRIM(_xlpm.data)) &lt;&gt; LEN(_xlpm.data)), _xlpm.pattern, "[^A-Za-z0-9 .]|[\x{00A0}\x{200B}-\x{200D}]|[\t\n\r]|[\x{1F600}-\x{1F64F}]", _xlpm.Special_characters, --_xlpm.Binλ(_xlfn.REGEXTEST(_xlpm.data, _xlpm.pattern)), _xlpm.Formulas, --_xlfn.TOCOL(_xlfn.ISFORMULA(_xlpm.data)), _xlpm.Blanks, --_xlfn.TOCOL(ISBLANK(_xlpm.data)), _xlpm.Logical, --_xlfn.TOCOL(ISLOGICAL(_xlpm.data)), _xlpm.metric_stack, _xlfn.HSTACK(_xlpm.Numbers, _xlpm.Texts, _xlpm.Numbers_stored_as_text, _xlpm.Cells_with_errors, _xlpm.Spaces, _xlpm.Special_characters, _xlpm.Formulas, _xlpm.Blanks, _xlpm.Logical), _xlpm.totals, _xlfn.TOCOL(_xlfn.BYCOL(_xlpm.metric_stack, _xleta.SUM)), _xlpm.Summary, _xlfn.LAMBDA(_xlfn._xlws.SORT(_xlfn.HSTACK(_xlpm.metrics, _xlpm.totals), 2, -1)), _xlpm.Verbose, _xlfn.WRAPROWS(_xlfn.MAP(_xlpm.Numbers, _xlpm.Texts, _xlpm.Numbers_stored_as_text, _xlpm.Cells_with_errors, _xlpm.Spaces, _xlpm.Special_characters, _xlpm.Formulas, _xlpm.Blanks, _xlpm.Logical, _xlpm.GetDetailsλ), _xlpm.width), _xlpm.Report, IF(_xlfn.ISOMITTED(_xlpm.IsVerbose?), _xlpm.Summary(), _xlpm.Verbose), _xlpm.Report))</definedName>
    <definedName name="Ringλ">_xlfn.LAMBDA(_xlpm.grid,_xlpm.layer,_xlop.fill_value, _xlfn.LET(_xlpm.h, ROWS(_xlpm.grid), _xlpm.w, COLUMNS(_xlpm.grid), _xlpm.IsScalar?, AND(_xlpm.h = 1, _xlpm.w = 1), _xlpm.Is1D?, OR(_xlpm.h = 1, _xlpm.w = 1), _xlpm.InvalidLayer?, OR(ISTEXT(_xlpm.layer), _xlpm.layer &lt;= 0), _xlpm.MaxLayer, INT((MIN(_xlpm.h, _xlpm.w) + 1) / 2), IF(_xlpm.IsScalar?, _xlpm.grid, IF(_xlpm.Is1D?, "#1D-ARRAY!", IF(_xlpm.InvalidLayer?, "#LAYER!", IF(_xlpm.layer &gt; _xlpm.MaxLayer, "#MAX-LAYER: " &amp; _xlpm.MaxLayer, _xlfn.LET(_xlpm.fill_value, IF(_xlfn.ISOMITTED(_xlpm.fill_value), 0, _xlpm.fill_value), _xlpm.i, MGridλ(_xlpm.grid), _xlpm.j, MGridλ(_xlpm.grid, 1), _xlpm.top, ((_xlpm.i = _xlpm.layer) + (_xlpm.i = 1 + _xlpm.h - _xlpm.layer)) * ((_xlpm.j &gt; _xlpm.layer - 1) * (_xlpm.j &lt;= 1 + _xlpm.w - _xlpm.layer)), _xlpm.side, ((_xlpm.j = _xlpm.layer) + (_xlpm.j = 1 + _xlpm.w - _xlpm.layer)) * ((_xlpm.i &gt; _xlpm.layer - 1) * (_xlpm.i &lt;= 1 + _xlpm.h - _xlpm.layer)), _xlpm.mask, SIGN(_xlpm.top + _xlpm.side), _xlpm.result, IF(_xlpm.mask, _xlpm.grid, _xlpm.fill_value), _xlpm.result)))))))</definedName>
    <definedName name="RST_array">Align_Unique!$C$26:$E$28</definedName>
    <definedName name="ScalarInput">Explode!$C$15</definedName>
    <definedName name="Scan2Dλ">_xlfn.LAMBDA(_xlpm.initial_value,_xlpm.array,_xlpm.function,_xlop.direction, _xlfn.LET(_xlpm.direction, IF(_xlfn.ISOMITTED(_xlpm.direction), 0, _xlpm.direction), _xlpm.h, ROWS(_xlpm.array), _xlpm.w, COLUMNS(_xlpm.array), _xlpm.IsScalar?, AND(_xlpm.h = 1, _xlpm.w = 1), _xlpm.Is1D?, _xlfn.XOR(_xlpm.h = 1, _xlpm.w = 1), _xlpm.Invalid1DDir?, AND(_xlpm.Is1D?, _xlpm.direction &lt;&gt; 0, _xlpm.direction &lt;&gt; -1), _xlpm.IsReverse?, _xlpm.direction = -1, _xlpm.IsVertical?, AND(_xlpm.Is1D?, _xlpm.h &gt; _xlpm.w), _xlpm.e, IF(_xlpm.IsVertical?, _xlpm.h, _xlpm.w), _xlpm.idx, _xlfn.SEQUENCE(_xlpm.e, , _xlpm.e, -1), _xlpm.rev_array, IF(_xlpm.IsVertical?, INDEX(_xlpm.array, _xlpm.idx), INDEX(_xlpm.array, , _xlpm.idx)), _xlpm.vector, IF(_xlpm.IsReverse?, _xlpm.rev_array, _xlpm.array), IF(_xlpm.IsScalar?, _xlfn.SCAN(_xlpm.initial_value, _xlpm.array, _xlpm.function), IF(_xlpm.Invalid1DDir?, "#direction!", IF(_xlpm.Is1D?, _xlfn.SCAN(_xlpm.initial_value, _xlpm.vector, _xlpm.function), IF(ISNA(_xlfn.XMATCH(_xlpm.direction, {-1;0;1;2;3;"NE";"SE";"SW"})), "#direction!", _xlfn.LET(_xlpm.standard, _xlfn.LAMBDA(_xlfn.SCAN(_xlpm.initial_value, _xlpm.array, _xlpm.function)), _xlpm.standard_bycol, _xlfn.LAMBDA(TRANSPOSE(_xlfn.SCAN(_xlpm.initial_value, TRANSPOSE(_xlpm.array), _xlpm.function))), _xlpm.traversal, _xlfn.LAMBDA(ReShape2Dλ(_xlfn.SCAN(_xlpm.initial_value, Traverseλ(_xlpm.array, _xlpm.direction), _xlpm.function), _xlpm.w)), _xlpm.result, IF(_xlpm.direction = 0, _xlpm.standard(), IF(_xlpm.direction = -1, _xlpm.standard_bycol(), _xlpm.traversal())), _xlpm.result)))))))</definedName>
    <definedName name="ShiftColsλ">_xlfn.LAMBDA(_xlpm.array_2D,_xlop.shift_by, _xlfn.LET(_xlpm.h, ROWS(_xlpm.array_2D), _xlpm.w, COLUMNS(_xlpm.array_2D), _xlpm.Is1D?, OR(_xlpm.h = 1, _xlpm.w = 1), IF(_xlpm.Is1D?, Shiftλ(_xlpm.array_2D, _xlpm.shift_by), _xlfn.LET(_xlpm.i, Resizeλ(Shiftλ(_xlfn.SEQUENCE(_xlpm.h), _xlpm.shift_by), , _xlpm.w), _xlpm.j, MGridλ(_xlpm.array_2D, 1), _xlpm.result, INDEX(_xlpm.array_2D, _xlpm.i, _xlpm.j), _xlpm.result))))</definedName>
    <definedName name="ShiftRowsλ">_xlfn.LAMBDA(_xlpm.array_2D,_xlop.shift_by, _xlfn.LET(_xlpm.h, ROWS(_xlpm.array_2D), _xlpm.w, COLUMNS(_xlpm.array_2D), _xlpm.Is1D?, OR(_xlpm.h = 1, _xlpm.w = 1), IF(_xlpm.Is1D?, Shiftλ(_xlpm.array_2D, _xlpm.shift_by), _xlfn.LET(_xlpm.i, MGridλ(_xlpm.array_2D), _xlpm.j, Resizeλ(Shiftλ(_xlfn.SEQUENCE(, _xlpm.w), _xlpm.shift_by), _xlpm.h), _xlpm.result, INDEX(_xlpm.array_2D, _xlpm.i, _xlpm.j), _xlpm.result))))</definedName>
    <definedName name="Shiftλ">_xlfn.LAMBDA(_xlpm.tuple,_xlop.shift_by, _xlfn.LET(_xlpm.h, ROWS(_xlpm.tuple), _xlpm.w, COLUMNS(_xlpm.tuple), _xlpm.IsScalar?, AND(_xlpm.h = 1, _xlpm.w = 1), _xlpm.IsVertical?, AND(_xlpm.h &gt; 1, _xlpm.w = 1), _xlpm.tuple, _xlfn.TOCOL(IF(_xlpm.IsScalar?, Explodeλ(_xlpm.tuple), _xlpm.tuple)), _xlpm.shift_by, _xlfn.TOCOL(IF(_xlfn.ISOMITTED(_xlpm.shift_by), 1, _xlpm.shift_by)), _xlpm.IsMultiShift?, COUNTA(_xlpm.shift_by) &gt; 1, _xlpm.Is1Element?, COUNTA(_xlpm.tuple) = 1, _xlpm.IsTextShift?, OR(ISTEXT(_xlpm.shift_by)), IF(_xlpm.Is1Element?, _xlpm.tuple, IF(_xlpm.IsTextShift?, "#TEXT-SHIFT!", _xlfn.LET(_xlpm.n, COUNTA(_xlpm.tuple), _xlpm.i, _xlfn.SEQUENCE(, _xlpm.n, 0, 1), _xlpm.idx, MOD(_xlpm.i + _xlpm.shift_by, _xlpm.n) + 1, _xlpm.shifted, INDEX(_xlpm.tuple, _xlpm.idx), _xlpm.result, IF(_xlpm.IsMultiShift?, _xlpm.shifted, IF(OR(_xlpm.IsScalar?, _xlpm.IsVertical?), _xlfn.TOCOL(_xlpm.shifted), _xlfn.TOROW(_xlpm.shifted))), _xlpm.result)))))</definedName>
    <definedName name="SliceByDegλ">_xlfn.LAMBDA(_xlpm.grid,_xlpm.min_degree,_xlop.max_degree,_xlop.fill_value, _xlfn.LET(_xlpm.max_degree, IF(_xlfn.ISOMITTED(_xlpm.max_degree), 360, _xlpm.max_degree), _xlpm.fill_value, IF(_xlfn.ISOMITTED(_xlpm.fill_value), "", _xlpm.fill_value), _xlpm.InvalidDeg?, OR(ISTEXT(_xlpm.min_degree), ISTEXT(_xlpm.max_degree), _xlpm.min_degree &lt; 0, _xlpm.min_degree &gt; 360, _xlpm.max_degree &lt; 0, _xlpm.max_degree &gt; 360), IF(_xlpm.InvalidDeg?, "#DEGREE!", _xlfn.LET(_xlpm.d, DGridλ(_xlpm.grid), _xlpm.mask, IF(_xlpm.min_degree &lt;= _xlpm.max_degree, (_xlpm.d &gt;= _xlpm.min_degree) * (_xlpm.d &lt;= _xlpm.max_degree), (_xlpm.d &gt;= _xlpm.min_degree) + (_xlpm.d &lt;= _xlpm.max_degree)), _xlpm.masked, IF(_xlpm.mask, _xlpm.grid, NA()), _xlpm.cleaned, DeleteWhereλ(_xlpm.masked, _xlfn.LAMBDA(_xlpm.v, AND(ISNA(_xlpm.v)))), _xlpm.result, _xlfn.IFNA(_xlpm.cleaned, _xlpm.fill_value), _xlpm.result))))</definedName>
    <definedName name="Snapλ">_xlfn.LAMBDA(_xlpm.array,_xlpm.include,_xlop.if_empty, IF(AND(ROWS(_xlpm.include) &gt; 1, COLUMNS(_xlpm.include) &gt; 1), "#2D-INCLUDE!", _xlfn.LET(_xlpm.if_empty, IF(_xlfn.ISOMITTED(_xlpm.if_empty), 0, _xlpm.if_empty), _xlpm.keep?, _xlfn.BYROW(_xlfn.IFNA(_xlfn.XMATCH(_xlpm.array, _xlpm.include), 0), _xleta.OR), _xlpm.result, _xlfn._xlws.FILTER(_xlpm.array, _xlpm.keep?, _xlpm.if_empty), _xlpm.result)))</definedName>
    <definedName name="Splitλ">_xlfn.LAMBDA(_xlpm.array,_xlpm.delimiter,_xlop.if_not_found,_xlop.treat_consecutive_delimiters_as_one, _xlfn.LET(_xlpm.h, ROWS(_xlpm.array), _xlpm.w, COLUMNS(_xlpm.array), _xlpm.h₂, ROWS(_xlpm.delimiter), _xlpm.w₂, COLUMNS(_xlpm.delimiter), _xlpm.IsVertical?, _xlpm.h &gt; _xlpm.w, _xlpm.Is2D?, AND(_xlpm.h &gt; 1, _xlpm.w &gt; 1), _xlpm.IsScalar?, AND(_xlpm.h = 1, _xlpm.w = 1), _xlpm.if_not_found, IF(_xlfn.ISOMITTED(_xlpm.if_not_found), "", _xlpm.if_not_found), _xlpm.CollapseDelim?, NOT(_xlfn.ISOMITTED(_xlpm.treat_consecutive_delimiters_as_one)), _xlpm.MultipleDelim?, OR(_xlpm.h₂ &gt; 1, _xlpm.w₂ &gt; 1), IF(_xlpm.Is2D?, "#2D-INPUT!", IF(_xlpm.MultipleDelim?, "#DELIMITER-ARRAY!", _xlfn.LET(_xlpm.joined, _xlpm.delimiter &amp; _xlpm.array &amp; _xlpm.delimiter, _xlpm.delim_b, RegexSafeλ(_xlpm.delimiter), _xlpm.IsConsecDelim?, OR(_xlfn.REGEXTEST(_xlpm.joined, "(" &amp; _xlpm.delim_b &amp; "){2,}")), _xlpm.texts, IF(AND(_xlpm.CollapseDelim?, _xlpm.IsConsecDelim?), _xlfn.REGEXREPLACE(_xlpm.joined, "(" &amp; _xlpm.delim_b &amp; ")+", _xlpm.delim_b), _xlpm.joined), _xlpm.L, LEN(_xlpm.delimiter), _xlpm.token, MAX(LEN(_xlpm.texts) - LEN(SUBSTITUTE(_xlpm.texts, _xlpm.delimiter, ""))) / _xlpm.L - 1, _xlpm.idx, _xlfn.LAMBDA(IF((_xlpm.IsVertical?) + (_xlpm.IsScalar?), _xlfn.SEQUENCE(, _xlpm.token), _xlfn.SEQUENCE(_xlpm.token))), _xlpm.final, IFERROR(_xlfn.TEXTBEFORE(_xlfn.TEXTAFTER(_xlpm.texts, _xlpm.delimiter, _xlpm.idx(), , , _xlpm.if_not_found), _xlpm.delimiter, , , , _xlpm.if_not_found), _xlpm.if_not_found), _xlpm.final)))))</definedName>
    <definedName name="Squar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(ABS(_xlpm.i - _xlpm.x) &lt;= _xlpm.extend) * (ABS(_xlpm.j - _xlpm.y) &lt;= _xlpm.extend), _xlpm.result, Squeezeλ(IF(_xlpm.mask, _xlpm.grid, _xlpm.fill_value), _xlpm.fill_value), _xlpm.result)))))))</definedName>
    <definedName name="Squeezeλ">_xlfn.LAMBDA(_xlpm.array,_xlop.custom_criteria,_xlop.suppress_zeros, _xlfn.LET(_xlpm.HideZero?, NOT(_xlfn.ISOMITTED(_xlpm.suppress_zeros)), _xlpm.i, _xlfn.SEQUENCE(ROWS(_xlpm.array)), _xlpm.j, _xlfn.SEQUENCE(, COLUMNS(_xlpm.array)), _xlpm.Keepλ, _xlfn.LAMBDA(_xlpm.v, NOT(AND(_xlfn.TOCOL(_xlpm.v, 2) = 0))), _xlpm.Customλ, _xlfn.LAMBDA(_xlpm.v, NOT(AND(_xlfn.TOCOL(_xlpm.v, 2) = _xlpm.custom_criteria))), _xlpm.fn, IF(_xlfn.ISOMITTED(_xlpm.custom_criteria), _xlpm.Keepλ, _xlpm.Customλ),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INDEX(_xlpm.array, _xlpm.r, _xlpm.c), _xlpm.result_b, IF(_xlpm.result = 0, "", _xlpm.result), _xlpm.output, IF(_xlpm.IsEmpty?, "#EMPTY-ARRAY!", IF(_xlpm.HideZero?, _xlpm.result_b, _xlpm.result)), _xlpm.output))</definedName>
    <definedName name="Staircaseλ">_xlfn.LAMBDA(_xlpm.array,_xlpm.block_size,_xlop.block_offset,_xlop.IsHorizontal?,_xlop.IsAntiDiag?, ValidateStaircaseλ(_xlpm.array, _xlpm.block_size, _xlpm.block_offset, _xlfn.LET(_xlpm.NoOffset?, _xlfn.ISOMITTED(_xlpm.block_offset), _xlpm.ZeroOffset?, _xlpm.block_offset = 0, _xlpm.col_offset, IF(_xlpm.NoOffset?, 0, _xlpm.block_offset), _xlpm.IsVertical?, _xlfn.ISOMITTED(_xlpm.IsHorizontal?), _xlpm.NoAntiDiag?, _xlfn.ISOMITTED(_xlpm.IsAntiDiag?), _xlpm.flat, _xlfn.TOCOL(_xlpm.array), _xlpm.k, COUNTA(_xlpm.flat), _xlpm.seq, _xlfn.LAMBDA(_xlfn.SEQUENCE(_xlpm.k)), _xlpm.V, _xlfn.TOROW(_xlfn.EXPAND(_xlfn.WRAPROWS(_xlpm.seq(), _xlpm.block_size), , _xlpm.block_size + _xlpm.block_offset, 0)), _xlpm.width, COLUMNS(_xlpm.V), _xlpm.i, _xlfn.LAMBDA(_xlfn.SEQUENCE(_xlpm.block_size) * _xlfn.SEQUENCE(, _xlpm.width, 1, 0)), _xlpm.col_arr, _xlfn.LAMBDA(IF(_xlpm.NoAntiDiag?, _xlfn.SEQUENCE(, _xlpm.width), _xlfn.SEQUENCE(, _xlpm.width, _xlpm.width, -1))), _xlpm.j, _xlfn.LAMBDA(MOD(_xlpm.col_arr(), _xlpm.block_size + _xlpm.block_offset)), _xlpm.j_, _xlfn.LAMBDA(IF(OR(_xlpm.NoOffset?, _xlpm.ZeroOffset?), IF(_xlpm.j() = 0, _xlpm.block_size, _xlpm.j()), _xlpm.j())), _xlpm.idx, _xlfn.LAMBDA(IF(_xlpm.i() = _xlpm.j_(), _xlpm.V, NA())), _xlpm.result, _xlfn.DROP(_xlfn.IFNA(INDEX(_xlpm.flat, _xlpm.idx()), ""), , -_xlpm.col_offset), _xlpm.final, IF(_xlpm.IsVertical?, TRANSPOSE(_xlpm.result), _xlpm.result), _xlpm.final)))</definedName>
    <definedName name="Stats">Split!$C$25:$C$35</definedName>
    <definedName name="Streakλ">_xlfn.LAMBDA(_xlpm.array,_xlop.Horizontal?,_xlop.Include_Symbol?,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_xlpm.result, IF(_xlfn.ISOMITTED(_xlpm.Include_Symbol?), _xlpm.acc, _xlpm.array &amp; _xlfn.UNICHAR(183) &amp; _xlpm.acc), _xlpm.deliver, IF(_xlpm.Is2D?, _xlfn.WRAPROWS(_xlpm.result, _xlpm.w), _xlpm.result), _xlpm.deliver)))</definedName>
    <definedName name="SubsetGenλ">_xlfn.LAMBDA(_xlpm.set, IF(ROWS(_xlpm.set) * COLUMNS(_xlpm.set) &gt; 20, "#TOO-MANY-ITEMS!", _xlfn.LET(_xlpm.set, _xlfn.TOROW(_xlpm.set), _xlpm.n, COUNTA(_xlpm.set), _xlpm.C, _xlfn.SEQUENCE(2 ^ _xlpm.n - 1), _xlpm.bin, Dec2Binλ(_xlpm.C, 1), _xlpm.masked, IF(_xlpm.bin, _xlpm.set, ""), _xlpm.final, _xlfn.BYROW(_xlpm.masked, _xlfn.LAMBDA(_xlpm.v, _xlfn.TEXTJOIN(", ", 1, _xlpm.v))), _xlpm.final)))</definedName>
    <definedName name="SubsetSumλ">_xlfn.LAMBDA(_xlpm.set,_xlpm.target, _xlfn.LET(_xlpm.target, INDEX(_xlpm.target, 1, 1), _xlpm.TooManyItems?, ROWS(_xlpm.set) * COLUMNS(_xlpm.set) &gt; 20, _xlpm.TextSet?, OR(ISERROR(--_xlpm.set)), _xlpm.TextTarget?, ISERROR(--_xlpm.target), IF(_xlpm.TooManyItems?, "#TOO-MANY-ITEMS!", IF(_xlpm.TextSet?, "#TEXT-SET!", IF(_xlpm.TextTarget?, "#TEXT-TARGET!", _xlfn.LET(_xlpm.set, _xlfn.TOROW(--_xlpm.set), _xlpm.n, COUNTA(_xlpm.set), _xlpm.C, _xlfn.SEQUENCE(2 ^ _xlpm.n - 1), _xlpm.bin, Dec2Binλ(_xlpm.C, 1), _xlpm.val_arr, IF(_xlpm.bin, _xlpm.set, 0), _xlpm.bool, _xlfn.BYROW(_xlpm.val_arr, _xleta.SUM) = _xlpm.target, _xlpm.found, _xlfn._xlws.FILTER(_xlpm.val_arr, _xlpm.bool, 0), _xlpm.Conciseλ, _xlfn.LAMBDA(_xlpm.v, _xlfn.TEXTJOIN(", ", 1, TEXT(_xlpm.v, "0;-0;;"))), _xlpm.result, _xlfn.BYROW(_xlpm.found, _xlpm.Conciseλ), _xlpm.final, IF(SUM(LEN(_xlpm.result)) = 0, "#NO-SOLUTION!", _xlpm.result), _xlpm.final))))))</definedName>
    <definedName name="TakeBlockλ">_xlfn.LAMBDA(_xlpm.array,_xlpm.start_at,_xlop.stop_when, _xlfn.LET(_xlpm.DoNotStop?, _xlfn.ISOMITTED(_xlpm.stop_when), _xlpm.h, ROWS(_xlpm.array), _xlpm.w, COLUMNS(_xlpm.array), _xlpm.i, MGridλ(_xlpm.array), _xlpm.j, MGridλ(_xlpm.array, 1), _xlpm.Anchorλ, _xlfn.LAMBDA(_xlpm.arr,_xlpm.condition,_xlpm.idx, N(_xlpm.arr = _xlpm.condition) * _xlpm.idx), _xlpm.IDXλ, _xlfn.LAMBDA(_xlpm.arr, MIN(IF(_xlpm.arr &lt;&gt; 0, _xlpm.arr))), _xlpm.row_start, _xlpm.Anchorλ(_xlpm.array, _xlpm.start_at, _xlpm.i), _xlpm.col_start, _xlpm.Anchorλ(_xlpm.array, _xlpm.start_at, _xlpm.j), _xlpm.r, _xlpm.IDXλ(_xlpm.row_start), _xlpm.c, _xlpm.IDXλ(_xlpm.col_start), _xlpm.row_stop, IF(_xlpm.DoNotStop?, 0, _xlpm.Anchorλ(_xlpm.array, _xlpm.stop_when, _xlpm.i)), _xlpm.no_r, SUM(_xlpm.row_stop) = 0, _xlpm.r_, IF(OR(_xlpm.DoNotStop?, _xlpm.no_r), _xlpm.h, _xlpm.IDXλ(_xlpm.row_stop)), _xlpm.WhereNotFound?, AND(_xlpm.r = 0, _xlpm.c = 0), _xlpm.NoSlice?, AND(NOT(_xlpm.no_r), _xlpm.r_ &lt;= _xlpm.r), IF(_xlpm.WhereNotFound?, "#NO-ANCHOR!", IF(_xlpm.NoSlice?, "#NO-SLICE!", _xlfn.LET(_xlpm.rows, IF(_xlpm.no_r, _xlpm.h - _xlpm.r + 1, _xlpm.r_ - _xlpm.r), _xlpm.cols, _xlpm.w - _xlpm.c + 1, _xlpm.x, IF(_xlpm.rows = 1, _xlpm.r * _xlfn.SEQUENCE(, _xlpm.cols, 1, 0), Resizeλ(_xlfn.SEQUENCE(_xlpm.rows, , _xlpm.r), , _xlpm.cols)), _xlpm.y, IF(_xlpm.cols = 1, _xlfn.SEQUENCE(_xlpm.rows, , _xlpm.c, 0), Resizeλ(_xlfn.SEQUENCE(, _xlpm.cols, _xlpm.c), _xlpm.rows)), _xlpm.result, INDEX(_xlpm.array, _xlpm.x, _xlpm.y), _xlpm.result)))))</definedName>
    <definedName name="Tessellateλ">_xlfn.LAMBDA(_xlpm.pattern,_xlpm.new_height,_xlpm.new_width, _xlfn.LET(_xlpm.h, ROWS(_xlpm.pattern), _xlpm.w, COLUMNS(_xlpm.pattern), _xlpm.IsScalar?, AND(_xlpm.h = 1, _xlpm.w = 1), _xlpm.new_height, INDEX(_xlpm.new_height, 1, 1), _xlpm.new_width, INDEX(_xlpm.new_width, 1, 1), _xlpm.NoChange?, AND(_xlpm.h = _xlpm.new_height, _xlpm.w = _xlpm.new_width), _xlpm.InvalidHW?, OR(_xlpm.new_height &lt;= 0, _xlpm.new_width &lt;= 0, ISTEXT(_xlpm.new_height), ISTEXT(_xlpm.new_width)), IF(_xlpm.IsScalar?, "#SCALAR!", IF(_xlpm.NoChange?, _xlpm.pattern, IF(_xlpm.InvalidHW?, "#NEW-HEIGHT/WIDTH!", _xlfn.LET(_xlpm.exp_shape, _xlfn.EXPAND(0, _xlpm.new_height, _xlpm.new_width), _xlpm.i, TGridλ(_xlpm.exp_shape, _xlpm.h), _xlpm.j, TGridλ(_xlpm.exp_shape, _xlpm.w, 1), _xlpm.tess, INDEX(_xlpm.pattern, _xlpm.i, _xlpm.j), _xlpm.tess))))))</definedName>
    <definedName name="TextOnlyλ">_xlfn.LAMBDA(_xlpm.array, _xlfn.LET(_xlpm.array, IF(TYPE(_xlpm.array) &lt;&gt; 64, _xlpm.array, _xlfn.TOCOL(_xlpm.array)), _xlpm.ex, Explodeλ(_xlpm.array), _xlpm.Keep, IFERROR((CODE(_xlpm.ex) &lt; 48) + (CODE(_xlpm.ex) &gt; 57), FALSE), _xlpm.Result, IF(_xlpm.Keep, _xlpm.ex, ""), _xlpm.final, IFERROR(_xlfn.BYROW(_xlpm.Result, _xleta.CONCAT), ""), _xlpm.final))</definedName>
    <definedName name="TGridλ">_xlfn.LAMBDA(_xlpm.grid,_xlpm.threshold,_xlop.col_index, IF(OR(ISTEXT(_xlpm.threshold), _xlpm.threshold &lt;= 0), "#THRESHOLD!", _xlfn.LET(_xlpm.t, INT(_xlpm.threshold), _xlpm.RowIdx?, _xlfn.ISOMITTED(_xlpm.col_index), _xlpm.h, ROWS(_xlpm.grid), _xlpm.w, COLUMNS(_xlpm.grid), _xlpm.i, _xlfn.LAMBDA(1 + MOD(Resizeλ(_xlfn.SEQUENCE(_xlpm.h, , 0), , _xlpm.w), _xlpm.t)), _xlpm.j, _xlfn.LAMBDA(1 + MOD(Resizeλ(_xlfn.SEQUENCE(, _xlpm.w, 0), _xlpm.h), _xlpm.t)), _xlpm.result, IF(_xlpm.RowIdx?, _xlpm.i(), _xlpm.j()), _xlpm.result)))</definedName>
    <definedName name="Traverseλ">_xlfn.LAMBDA(_xlpm.array,_xlpm.new_axis, IF(OR(ROWS(_xlpm.array) = 1, COLUMNS(_xlpm.array) = 1), "#2D-ARRAY!", IF(AND(ISNUMBER(_xlpm.new_axis), OR(_xlpm.new_axis &lt;= 0, _xlpm.new_axis &gt; 3)), "#AXIS!", _xlfn.LET(_xlpm.h, ROWS(_xlpm.array), _xlpm.w, COLUMNS(_xlpm.array), _xlpm.x_NE, _xlfn.LAMBDA(_xlfn.SEQUENCE(_xlpm.w, , 1, 0) * _xlfn.SEQUENCE(, _xlpm.h)), _xlpm.y_NE, _xlfn.LAMBDA(_xlfn.SEQUENCE(_xlpm.w, , _xlpm.w, -1) * _xlfn.SEQUENCE(, _xlpm.h, 1, 0)), _xlpm.x_SE, _xlfn.LAMBDA(_xlfn.SEQUENCE(_xlpm.h, , _xlpm.h, -1) * _xlfn.SEQUENCE(, _xlpm.w, 1, 0)), _xlpm.y_SE, _xlfn.LAMBDA(_xlfn.SEQUENCE(_xlpm.h, , _xlpm.w, 0) + _xlfn.SEQUENCE(, _xlpm.w, 0, -1)), _xlpm.x_SW, _xlfn.LAMBDA(_xlfn.SEQUENCE(_xlpm.w, , _xlpm.h, 0) + _xlfn.SEQUENCE(, _xlpm.h, 0, -1)), _xlpm.y_SW, _xlfn.LAMBDA(_xlfn.SEQUENCE(_xlpm.w, , 1) * _xlfn.SEQUENCE(, _xlpm.h, 1, 0)), _xlpm.mode, IF(ISNUMBER(_xlpm.new_axis), _xlpm.new_axis, _xlfn.SWITCH(_xlpm.new_axis, "NE", 1, "SE", 2, "SW", 3, 1)), _xlpm.x, CHOOSE(_xlpm.mode, _xlpm.x_NE, _xlpm.x_SE, _xlpm.x_SW), _xlpm.y, CHOOSE(_xlpm.mode, _xlpm.y_NE, _xlpm.y_SE, _xlpm.y_SW), _xlpm.result, INDEX(_xlpm.array, _xlpm.x(), _xlpm.y()), _xlpm.result))))</definedName>
    <definedName name="Triangleλ">_xlfn.LAMBDA(_xlpm.grid,_xlpm.target,_xlpm.radius,_xlop.below,_xlop.fill_value,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_xlpm.InvalidRadius?, OR(ISTEXT(_xlpm.radius), _xlpm.radius &lt; 1), _xlpm.NoTarget?, IF(_xlpm.IsI_J?, FALSE, NOT(OR(_xlpm.bool))), _xlpm.fill_value, IF(_xlfn.ISOMITTED(_xlpm.fill_value), 0, _xlpm.fill_value), _xlpm.IsAbove?, _xlfn.ISOMITTED(_xlpm.below), IF(_xlpm.IsScalar?, _xlpm.grid, IF(_xlpm.Is1D?, "#1D-ARRAY!", IF(_xlpm.InvalidRadius?, "#RADIUS!",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_xlpm.dir, IF(_xlpm.IsAbove?, (_xlpm.i &lt;= _xlpm.x), (_xlpm.i &gt;= _xlpm.x)), _xlpm.mask, (ABS(_xlpm.i - _xlpm.x) + ABS(_xlpm.j - _xlpm.y) &lt;= _xlpm.radius) * _xlpm.dir, _xlpm.result, Squeezeλ(IF(_xlpm.mask, _xlpm.grid, _xlpm.fill_value), _xlpm.fill_value), _xlpm.result)))))))</definedName>
    <definedName name="Triplewiseλ">_xlfn.LAMBDA(_xlpm.set_1,_xlpm.set_2,_xlpm.set_3, _xlfn.LET(_xlpm.set_1, _xlfn.TOCOL(_xlpm.set_1), _xlpm.set_2, _xlfn.TOCOL(_xlpm.set_2), _xlpm.set_3, _xlfn.TOCOL(_xlpm.set_3), _xlpm.k₁, ROWS(_xlpm.set_1), _xlpm.k₂, ROWS(_xlpm.set_2), _xlpm.k₃, ROWS(_xlpm.set_3), _xlpm.swap?, _xlpm.k₂ = 1, _xlpm.pairs, IF(_xlpm.swap?, Pairwiseλ(_xlpm.set_2, _xlpm.set_1), Pairwiseλ(_xlpm.set_1, _xlpm.set_2)), _xlpm.a, IF(_xlpm.swap?, _xlfn.TAKE(_xlpm.pairs, , -1), _xlfn.TAKE(_xlpm.pairs, , 1)), _xlpm.b, IF(_xlpm.swap?, _xlfn.TAKE(_xlpm.pairs, , 1), _xlfn.TAKE(_xlpm.pairs, , -1)), _xlpm.thrice, IF(_xlpm.k₃ &lt;&gt; 1, Pairwiseλ(_xlpm.a, _xlpm.set_3), Pairwiseλ(_xlpm.set_3, _xlpm.a)), _xlpm.thrice_, IF(_xlpm.k₃ &lt;&gt; 1, Pairwiseλ(_xlpm.b, _xlpm.set_3), Pairwiseλ(_xlpm.set_3, _xlpm.b)), _xlpm.cols, IF(_xlpm.k₃ = 1, 1, -1), _xlpm.a_, _xlfn.DROP(_xlpm.thrice, , _xlpm.cols), _xlpm.b_, _xlfn.DROP(_xlpm.thrice_, , _xlpm.cols), _xlpm.c_, _xlfn.TAKE(_xlpm.thrice, , _xlpm.cols), _xlpm.final, _xlfn.HSTACK(_xlpm.a_, _xlpm.b_, _xlpm.c_), _xlpm.final))</definedName>
    <definedName name="UnPivotλ">_xlfn.LAMBDA(_xlpm.rows,_xlpm.columns,_xlpm.values,_xlop.ignore, _xlfn.LET(_xlpm.h, ROWS(_xlpm.rows), _xlpm.w, COLUMNS(_xlpm.columns), _xlpm.h_v, ROWS(_xlpm.values), _xlpm.w_v, COLUMNS(_xlpm.values), _xlpm.IsScalar?, AND(_xlpm.h = 1, _xlpm.w = 1, _xlpm.h_v = 1, _xlpm.w_v = 1), _xlpm.NoPivot?, _xlpm.w_v = 1, _xlpm.RowMismatch?, _xlpm.h &lt;&gt; _xlpm.h_v, _xlpm.ColMismatch?, _xlpm.w &lt;&gt; _xlpm.w_v, _xlpm.SpillRisk?, _xlpm.h_v * _xlpm.w_v &gt; 1048576, _xlpm.OrigData, _xlfn.HSTACK(_xlpm.rows, _xlpm.columns, _xlpm.values), _xlpm.OrigDataPad, _xlfn.HSTACK(InsulateRowsλ(_xlpm.rows, 1, 0), _xlfn.VSTACK(_xlpm.columns, _xlpm.values)), IF(_xlpm.IsScalar?, _xlpm.OrigData, IF(_xlpm.NoPivot?, _xlpm.OrigDataPad, IF(_xlpm.RowMismatch?, "#DIM-ROWS/VALUES!", IF(_xlpm.ColMismatch?, "#DIM-COL/VALUES!", IF(_xlpm.SpillRisk?, "#ROW-LIMIT!", _xlfn.LET(_xlpm.row_labels, RepeatRowsλ(_xlpm.rows, _xlpm.w), _xlpm.attribute, Resizeλ(TRANSPOSE(_xlpm.columns), _xlpm.h), _xlpm.flat_values, _xlfn.TOCOL(_xlpm.values), _xlpm.stack, _xlfn.HSTACK(_xlpm.row_labels, _xlpm.attribute, _xlpm.flat_values), _xlpm.keep_mask, NOT(ISBLANK(_xlpm.flat_values) + (IFERROR(_xlpm.flat_values, 0) = 0)), _xlpm.filtered, _xlfn._xlws.FILTER(_xlpm.stack, _xlpm.keep_mask), _xlpm.result, IF(_xlfn.ISOMITTED(_xlpm.ignore), _xlpm.stack, _xlpm.filtered), _xlpm.result))))))))</definedName>
    <definedName name="ValidateBlockMapλ">_xlfn.LAMBDA(_xlpm.array_2D,_xlpm.depth,_xlpm.width,_xlpm.re_shape_by_column?,_xlpm.on_valid, IF(NOT(TYPE(_xlpm.array_2D) = 64), "#array_2D!", IF((_xlpm.re_shape_by_column?) * (ROWS(_xlpm.array_2D) * COLUMNS(_xlpm.array_2D) / (_xlpm.width * _xlpm.depth) ^ 2 &gt; 16384), "#SPILL-RISK!", IF((MOD(ROWS(_xlpm.array_2D), _xlpm.depth) &lt;&gt; 0) + (MOD(COLUMNS(_xlpm.array_2D), _xlpm.width) &lt;&gt; 0), "#BLOCK MISMATCH!", IF(OR(AND(_xlpm.width = 1, _xlpm.depth = 1), _xlpm.depth &gt; ROWS(_xlpm.array_2D), _xlpm.width &gt; COLUMNS(_xlpm.array_2D), ISTEXT(_xlpm.width), ISTEXT(_xlpm.depth)), "#DIMENSIONS!", _xlpm.on_valid)))))</definedName>
    <definedName name="ValidateDiagλ">_xlfn.LAMBDA(_xlpm.array,_xlop.col_index,_xlop.function,_xlop.row_wise_stack?,_xlop.on_valid, _xlfn.LET(_xlpm.IsArray?, TYPE(_xlpm.array) = 64, _xlpm.Not_Array, NOT(_xlpm.IsArray?), _xlpm.No_Col_Index, _xlfn.ISOMITTED(_xlpm.col_index), _xlpm.ColIndex_Included, NOT(_xlpm.No_Col_Index), _xlpm.Not_Valid_ColIndex?, NOT(AND(_xlpm.col_index &lt;&gt; 0, ABS(_xlpm.col_index) &lt;= COLUMNS(_xlpm.array))), _xlpm.No_Function, _xlfn.ISOMITTED(_xlpm.function), _xlpm.Function_Included, NOT(_xlpm.No_Function), _xlpm.Invalid_Function?, AND(_xlpm.Function_Included, ISERROR(_xlfn.BYROW({1,1}, _xlpm.function))), _xlpm.RowWiseStack?, NOT(_xlfn.ISOMITTED(_xlpm.row_wise_stack?)), _xlpm.IsDiagIndex?, _xlpm.ColIndex_Included, _xlpm.IsByDiag?, AND(_xlpm.No_Col_Index, _xlpm.Function_Included), _xlpm.IsDiagMap?, AND(_xlpm.No_Col_Index, _xlpm.No_Function), _xlpm.gate_DiagIndex, IF(_xlpm.Not_Array, "#NOT-ARRAY!", IF(_xlpm.Not_Valid_ColIndex?, "#COLUMN-INDEX!", _xlpm.on_valid)), _xlpm.gate_ByDiag, IF(_xlpm.Not_Array, "#NOT-ARRAY!", IF(_xlpm.Invalid_Function?, "#FUNCTION!", _xlpm.on_valid)), _xlpm.gate_DiagMap, IF(_xlpm.Not_Array, "#NOT-ARRAY!", _xlpm.on_valid), _xlpm.decide, IF(_xlpm.IsDiagIndex?, _xlpm.gate_DiagIndex, IF(_xlpm.IsDiagMap?, _xlpm.gate_DiagMap, IF(_xlpm.IsByDiag?, _xlpm.gate_ByDiag, "#UNROUTED!"))), _xlpm.decide))</definedName>
    <definedName name="ValidateGDλ">_xlfn.LAMBDA(_xlpm.row_fields,_xlpm.values,_xlpm.interval,_xlpm.function,_xlop.field_headers,_xlop.filter_array,_xlop.On_Valid, _xlfn.LET(_xlpm.No_Field_Headers?, _xlfn.ISOMITTED(_xlpm.field_headers), _xlpm.FilterIncluded?, NOT(_xlfn.ISOMITTED(_xlpm.filter_array)), _xlpm.Date_col, IF(_xlpm.No_Field_Headers?, _xlfn.TAKE(_xlpm.row_fields, , 1), _xlfn.DROP(_xlfn.TAKE(_xlpm.row_fields, , 1), 1)), _xlpm.Values_col, IF(_xlpm.No_Field_Headers?, _xlfn.TAKE(_xlpm.values, , 1), _xlfn.DROP(_xlfn.TAKE(_xlpm.values, , 1), 1)), _xlpm.Bool, IFERROR(IF(_xlpm.No_Field_Headers?, _xlpm.filter_array, _xlfn.DROP(_xlpm.filter_array, 1)), 0), _xlpm.No_Dates?, OR(_xlpm.Date_col &lt; 0, _xlpm.Date_col &gt; 2958465, NOT(AND(ISNUMBER(_xlpm.Date_col)))), _xlpm.No_Times?, AND(_xlpm.Date_col - INT(_xlpm.Date_col) = 0), _xlpm.i_d, ROWS(_xlpm.Date_col), _xlpm.i_v, ROWS(_xlpm.Values_col), _xlpm.i_f, IF(_xlpm.FilterIncluded?, ROWS(_xlpm.Bool), 0), _xlpm.Const, {"minute";"hour";"day";"week";"fortnight";"month";"quarter";"year"}, _xlpm.TextInterval?, ISTEXT(_xlpm.interval), _xlpm.NumericInterval?, ISNUMBER(_xlpm.interval), _xlpm.InvalidInterval?, IF(AND(_xlpm.NumericInterval?, OR(_xlpm.interval &lt; 1, _xlpm.interval &gt; 8)), TRUE, IF(AND(_xlpm.TextInterval?, ISNA(_xlfn.XMATCH(_xlpm.interval &amp; "*", _xlpm.Const, 2))), TRUE, FALSE)), _xlpm.IsTime?, _xlpm.interval &lt; 3, _xlpm.EmptyInputs?, OR(_xlfn.ISOMITTED(_xlpm.row_fields), _xlfn.ISOMITTED(_xlpm.values)), _xlpm.HaltDates?, AND(_xlpm.interval &gt; 2, _xlpm.No_Dates?), _xlpm.HaltTime?, AND(_xlpm.IsTime?, _xlpm.No_Times?), _xlpm.ShapeMismatch?, OR(_xlpm.i_d &lt;&gt; _xlpm.i_v, AND(_xlpm.FilterIncluded?, _xlpm.i_d &lt;&gt; _xlpm.i_f)), _xlpm.InvalidFn?, TYPE(_xlpm.function) &lt;&gt; 128, _xlpm.EmptyFilter?, AND(_xlpm.FilterIncluded?, NOT(OR(_xlpm.Bool))), _xlpm.conditions, _xlfn.VSTACK(_xlpm.EmptyInputs?, _xlpm.HaltDates?, _xlpm.HaltTime?, _xlpm.ShapeMismatch?, _xlpm.InvalidInterval?, _xlpm.InvalidFn?, _xlpm.EmptyFilter?), _xlpm.halt, OR(_xlpm.conditions), _xlpm.errors, {"#EMPTY-INPUT!";"#NO-DATES!";"#NO-TIMES!";"#DIMENSIONS!";"#INTERVAL!";"#INVALID-FUNCTION!";"#EMPTY-FILTER!"}, _xlpm.alert, _xlfn._xlws.FILTER(_xlpm.errors, _xlpm.conditions, ""), IF(_xlpm.halt, _xlpm.alert, _xlpm.On_Valid)))</definedName>
    <definedName name="ValidateStaircaseλ">_xlfn.LAMBDA(_xlpm.array,_xlpm.block_size,_xlop.block_offset,_xlop.on_valid, _xlfn.LET(_xlpm.NotArray?, TYPE(_xlpm.array) &lt;&gt; 64, _xlpm.InvalidBlockSize?, OR(ISTEXT(_xlpm.block_size), _xlpm.block_size &lt;= 0, _xlpm.block_size &gt; COUNTA(_xlpm.array)), _xlpm.InvalidBlockOffset?, OR(ISTEXT(_xlpm.block_offset), _xlpm.block_offset &lt; 0), IF(_xlpm.NotArray?, "#NOT-ARRAY!", IF(_xlpm.InvalidBlockSize?, "#BLOCK-SIZE!", IF(_xlpm.InvalidBlockOffset?, "#BLOCK-OFFSET!", _xlpm.on_valid)))))</definedName>
    <definedName name="WrapCols2Dλ">_xlfn.LAMBDA(_xlpm.array,_xlpm.new_width,_xlop.pad_with, _xlfn.LET(_xlpm.h, ROWS(_xlpm.array), _xlpm.w, COLUMNS(_xlpm.array), _xlpm.blocks, CEILING(_xlpm.w / _xlpm.new_width, 1), _xlpm.pad_with, IF(_xlfn.ISOMITTED(_xlpm.pad_with), NA(), _xlpm.pad_with), _xlpm.r, _xlpm.blocks * _xlpm.h, _xlpm.Is1D?, OR(_xlpm.h = 1, _xlpm.w = 1), _xlpm.IsScalar?, AND(_xlpm.h = 1, _xlpm.w = 1), _xlpm.InvalidDim?, _xlpm.new_width &gt;= _xlpm.w, _xlpm.SpillRisk?, _xlpm.r &gt; 1048576, IF(_xlpm.IsScalar?, "#VALUE!", IF(_xlpm.Is1D?, "#VALUE!", IF(_xlpm.InvalidDim?, "#WIDTH!", IF(_xlpm.SpillRisk?, "#NUM!", _xlfn.LET(_xlpm.modulo, _xlfn.LAMBDA(MOD(_xlfn.SEQUENCE(_xlpm.r), _xlpm.h)), _xlpm.i, _xlfn.LAMBDA(IF(_xlpm.modulo() = 0, _xlpm.h, _xlpm.modulo()) * _xlfn.SEQUENCE(, _xlpm.new_width, 1, 0)), _xlpm.j, _xlfn.LAMBDA(Echoλ(_xlfn.SEQUENCE(_xlpm.r / _xlpm.h, , 1, _xlpm.new_width), _xlpm.h) + _xlfn.SEQUENCE(, _xlpm.new_width, 0, 1)), _xlpm.result, IFERROR(INDEX(_xlpm.array, _xlpm.i(), _xlpm.j()), _xlpm.pad_with), _xlpm.result)))))))</definedName>
    <definedName name="WrapRows2Dλ">_xlfn.LAMBDA(_xlpm.array,_xlpm.new_height,_xlop.pad_with, _xlfn.LET(_xlpm.h, ROWS(_xlpm.array), _xlpm.w, COLUMNS(_xlpm.array), _xlpm.blocks, CEILING(_xlpm.h / _xlpm.new_height, 1), _xlpm.pad_with, IF(_xlfn.ISOMITTED(_xlpm.pad_with), NA(), _xlpm.pad_with), _xlpm.c, _xlpm.blocks * _xlpm.w, _xlpm.Is1D?, OR(_xlpm.h = 1, _xlpm.w = 1), _xlpm.IsScalar?, AND(_xlpm.h = 1, _xlpm.w = 1), _xlpm.InvalidDim?, _xlpm.new_height &gt;= _xlpm.h, _xlpm.SpillRisk?, _xlpm.c &gt; 16384, IF(_xlpm.IsScalar?, "#VALUE!", IF(_xlpm.Is1D?, "#VALUE!", IF(_xlpm.InvalidDim?, "#HEIGHT!", IF(_xlpm.SpillRisk?, "#NUM!", _xlfn.LET(_xlpm.i, _xlfn.LAMBDA(_xlfn.TOROW(Echoλ(_xlfn.SEQUENCE(, _xlpm.blocks, 1, _xlpm.new_height), _xlpm.w)) + _xlfn.SEQUENCE(_xlpm.new_height, , 0, 1)), _xlpm.modulo, _xlfn.LAMBDA(MOD(_xlfn.SEQUENCE(, _xlpm.w * _xlpm.blocks), _xlpm.w)), _xlpm.j, _xlfn.LAMBDA(IF(_xlpm.modulo() = 0, _xlpm.w, _xlpm.modulo()) * _xlfn.SEQUENCE(_xlpm.new_height, , 1, 0)), _xlpm.result, IFERROR(INDEX(_xlpm.array, _xlpm.i(), _xlpm.j()), _xlpm.pad_with), _xlpm.result)))))))</definedName>
    <definedName name="Zipλ">_xlfn.LAMBDA(_xlpm.array_1,_xlop.array_2,_xlop.array_3,_xlop.array_4,_xlop.zip_longest,_xlop.fill_value, _xlfn.LET(_xlpm.ZipLong?, IF(_xlfn.ISOMITTED(_xlpm.zip_longest), FALSE, _xlpm.zip_longest), _xlpm.fnλ, IF(_xlpm.ZipLong?, _xleta.MAX, _xleta.MIN), _xlpm.fill_value, IF(_xlpm.ZipLong?, IF(_xlfn.ISOMITTED(_xlpm.fill_value), NA(), _xlpm.fill_value), NA()), _xlpm.Two, NOT(_xlfn.ISOMITTED(_xlpm.array_2)), _xlpm.Three, NOT(_xlfn.ISOMITTED(_xlpm.array_3)), _xlpm.Four, NOT(_xlfn.ISOMITTED(_xlpm.array_4)), _xlpm.m, IF(_xlpm.Four, 4, IF(_xlpm.Three, 3, IF(_xlpm.Two, 2, 1))), _xlpm.array_1, _xlfn.TOCOL(_xlpm.array_1), _xlpm.array_2, IF(_xlpm.m &gt;= 2, _xlfn.TOCOL(_xlpm.array_2), FALSE), _xlpm.array_3, IF(_xlpm.m &gt;= 3, _xlfn.TOCOL(_xlpm.array_3), FALSE), _xlpm.array_4, IF(_xlpm.m = 4, _xlfn.TOCOL(_xlpm.array_4), FALSE), _xlpm.k₁, ROWS(_xlpm.array_1), _xlpm.k₂, ROWS(_xlpm.array_2), _xlpm.k₃, ROWS(_xlpm.array_3), _xlpm.k₄, ROWS(_xlpm.array_4), _xlpm.LZ, CHOOSE(_xlpm.m, _xlpm.k₁, _xlpm.fnλ(_xlpm.k₁, _xlpm.k₂), _xlpm.fnλ(_xlpm.k₁, _xlpm.k₂, _xlpm.k₃), _xlpm.fnλ(_xlpm.k₁, _xlpm.k₂, _xlpm.k₃, _xlpm.k₄)), _xlpm.Normalizeλ, _xlfn.LAMBDA(_xlpm.array, IF(_xlpm.ZipLong?, _xlfn.EXPAND(_xlpm.array, _xlpm.LZ, , _xlpm.fill_value), _xlfn.TAKE(_xlpm.array, _xlpm.LZ))), _xlpm.a, _xlpm.Normalizeλ(_xlpm.array_1), _xlpm.b, _xlpm.Normalizeλ(_xlpm.array_2), _xlpm.c, _xlpm.Normalizeλ(_xlpm.array_3), _xlpm.d, _xlpm.Normalizeλ(_xlpm.array_4), _xlpm.zipped, CHOOSE(_xlpm.m, _xlpm.a, _xlfn.HSTACK(_xlpm.a, _xlpm.b), _xlfn.HSTACK(_xlpm.a, _xlpm.b, _xlpm.c), _xlfn.HSTACK(_xlpm.a, _xlpm.b, _xlpm.c, _xlpm.d)), _xlpm.zipped))</definedName>
    <definedName name="ZoneStatλ">_xlfn.LAMBDA(_xlpm.grid,_xlop.function, _xlfn.LET(_xlpm.function, IF(_xlfn.ISOMITTED(_xlpm.function), _xleta.SUM, _xlpm.function), _xlpm.IsNonNum?, AND(ISTEXT(_xlpm.grid)), _xlpm.InvalidFn?, TYPE(_xlpm.function) &lt;&gt; 128, _xlpm.IsScalar?, AND(ROWS(_xlpm.grid) = 1, COLUMNS(_xlpm.grid) = 1), IF(_xlpm.IsNonNum?, #VALUE!, IF(_xlpm.InvalidFn?, "#FUNCTION!", IF(_xlpm.IsScalar?, _xlpm.function(_xlpm.grid), _xlfn.LET(_xlpm.mag, IFERROR(MODE(INT(LOG(_xlpm.grid))), 1), _xlpm.bin_width, 10 ^ _xlpm.mag, _xlpm.hist, _xlfn.TAKE(_xlfn.DROP(Histogramλ(_xlpm.grid, _xlpm.bin_width), 2), , 1), _xlpm.zones, _xlfn.IFNA(_xlfn.XMATCH(_xlpm.grid, _xlpm.hist, -1), 0), _xlpm.g, _xlfn.TOCOL(_xlpm.grid), _xlpm.z, _xlfn.TOCOL(_xlpm.zones), _xlpm.agg, _xlfn.GROUPBY(_xlpm.z, _xlpm.g, _xlpm.function, , 0), _xlpm.zone_IDs, _xlfn.TAKE(_xlpm.agg, , 1), _xlpm.grid_values, _xlfn.TAKE(_xlpm.agg, , -1), _xlpm.final, _xlfn.XLOOKUP(_xlpm.zones, _xlpm.zone_IDs, _xlpm.grid_values, 0), _xlpm.final))))))</definedName>
    <definedName name="Zoomλ">_xlfn.LAMBDA(_xlpm.array,_xlpm.zoom_kernel, _xlfn.LET(_xlpm.height, ROWS(_xlpm.zoom_kernel), _xlpm.width, COLUMNS(_xlpm.zoom_kernel), _xlpm.IsTextKernel?, OR(ISTEXT(_xlpm.zoom_kernel)), _xlpm.IsTextArray?, OR(ISTEXT(_xlpm.array)), _xlpm.IsScalarKernel?, AND(_xlpm.height = 1, _xlpm.width = 1), IF(_xlpm.IsTextKernel?, "#KERNEL!", IF(_xlpm.IsTextArray?, "#ARRAY!", IF(_xlpm.IsScalarKernel?, _xlpm.array + _xlpm.zoom_kernel,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_xlpm.zoomed, _xlfn.LAMBDA(INDEX(_xlpm.array, _xlpm.x(), _xlpm.y())), _xlpm.h, ROWS(_xlpm.zoomed()) / _xlpm.height, _xlpm.w, COLUMNS(_xlpm.zoomed()) / _xlpm.width, _xlpm.kernel_mag, Resizeλ(_xlpm.zoom_kernel, _xlpm.h, _xlpm.w), _xlpm.result, _xlpm.zoomed() + _xlpm.kernel_mag, _xlpm.result))))))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E25" i="8" l="1" a="1"/>
  <c r="E25" i="8" s="1"/>
  <c r="E14" i="8" l="1" a="1"/>
  <c r="E14" i="8" s="1"/>
  <c r="L12" i="7" a="1"/>
  <c r="L12" i="7" s="1"/>
  <c r="F12" i="7" a="1"/>
  <c r="F12" i="7" s="1"/>
  <c r="F16" i="7" a="1"/>
  <c r="F16" i="7" s="1"/>
  <c r="L16" i="7" a="1"/>
  <c r="L16" i="7" s="1"/>
  <c r="L25" i="7" a="1"/>
  <c r="L25" i="7" s="1"/>
  <c r="F25" i="7" a="1"/>
  <c r="F25" i="7" s="1"/>
  <c r="F16" i="6" a="1"/>
  <c r="F16" i="6" s="1"/>
  <c r="J24" i="6" a="1"/>
  <c r="J24" i="6" s="1"/>
  <c r="F24" i="6" a="1"/>
  <c r="F24" i="6" s="1"/>
  <c r="P9" i="6" a="1"/>
  <c r="P9" i="6" s="1"/>
  <c r="F9" i="6" a="1"/>
  <c r="F9" i="6" s="1"/>
  <c r="I20" i="5" a="1"/>
  <c r="I20" i="5" s="1"/>
  <c r="E20" i="5" a="1"/>
  <c r="E20" i="5" s="1"/>
  <c r="G26" i="9" a="1"/>
  <c r="G26" i="9" s="1"/>
  <c r="K10" i="4" a="1"/>
  <c r="K10" i="4" s="1"/>
  <c r="G10" i="4" a="1"/>
  <c r="G10" i="4" s="1"/>
  <c r="G16" i="4" a="1"/>
  <c r="G16" i="4" s="1"/>
  <c r="C16" i="9" a="1"/>
  <c r="C16" i="9" s="1"/>
  <c r="C10" i="9" a="1"/>
  <c r="C10" i="9" s="1"/>
  <c r="C16" i="4" a="1"/>
  <c r="C16" i="4" s="1"/>
  <c r="G16" i="3" a="1"/>
  <c r="G16" i="3" s="1"/>
  <c r="K10" i="3" a="1"/>
  <c r="K10" i="3" s="1"/>
  <c r="G10" i="3" a="1"/>
  <c r="G10" i="3" s="1"/>
  <c r="G10" i="9" l="1" a="1"/>
  <c r="G10" i="9" s="1"/>
  <c r="G16" i="9" a="1"/>
  <c r="G16" i="9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<sst xmlns="http://schemas.openxmlformats.org/spreadsheetml/2006/main" count="257" uniqueCount="190">
  <si>
    <t>Grid Analytics</t>
  </si>
  <si>
    <t>How to use this workbook</t>
  </si>
  <si>
    <t>Each sheet demonstrates a family of functions using a sample grid.</t>
  </si>
  <si>
    <t>Formula cells appear above each spill. Function listings and descriptions appear below.</t>
  </si>
  <si>
    <t>Function</t>
  </si>
  <si>
    <t>Description</t>
  </si>
  <si>
    <t>Alignλ</t>
  </si>
  <si>
    <t>AlignDistinctλ</t>
  </si>
  <si>
    <t>AlignUniqueλ</t>
  </si>
  <si>
    <t>Coalesceλ</t>
  </si>
  <si>
    <t>Explodeλ</t>
  </si>
  <si>
    <t>NumbersOnlyλ</t>
  </si>
  <si>
    <t>TextOnlyλ</t>
  </si>
  <si>
    <t>Splitλ</t>
  </si>
  <si>
    <t>Sorts each row alphabetically (default) or each column when by_col = TRUE.</t>
  </si>
  <si>
    <t>Calls Alignλ to alphabetically sort each row or column, then returns distinct values along the same orientation.</t>
  </si>
  <si>
    <t>Calls Alignλ to alphabetically sort each row or column, then returns unique values along the same orientation.</t>
  </si>
  <si>
    <t>Returns the first non‑empty value across multiple 2D arrays (2 to 4 inputs).</t>
  </si>
  <si>
    <t>Converts a scalar, 1D array, or 2D array into an exploded character array.</t>
  </si>
  <si>
    <t>Extracts numeric characters (0-9) from a scalar, 1D array, or 2D array.</t>
  </si>
  <si>
    <t>Extracts non‑numeric characters from a scalar, 1D array, or 2D array.</t>
  </si>
  <si>
    <t>Splits 1D text arrays into tokens using a specified delimiter and can return a 2D spill.</t>
  </si>
  <si>
    <t>This category provides operators that overcome common limitations in Excel's native text engine</t>
  </si>
  <si>
    <t>(e.g., TEXTSPLIT cannot spill 2D results; BYROW cannot deploy SORT to align columns).</t>
  </si>
  <si>
    <t>• input: array - 2D array to be aligned</t>
  </si>
  <si>
    <t>Optional</t>
  </si>
  <si>
    <t>• by_col - If TRUE, sort each column top-to-bottom. If omitted, sort each row left-to-right</t>
  </si>
  <si>
    <t>Alpha</t>
  </si>
  <si>
    <t>Charlie</t>
  </si>
  <si>
    <t>Bravo</t>
  </si>
  <si>
    <t>ABC_array</t>
  </si>
  <si>
    <t>=Alignλ(ABC_array)</t>
  </si>
  <si>
    <t>Align each row left-to-right</t>
  </si>
  <si>
    <t>=Alignλ(ABC_array,TRUE)</t>
  </si>
  <si>
    <t>Align each row top-to-bottom (by_col = TRUE)</t>
  </si>
  <si>
    <t>Gold</t>
  </si>
  <si>
    <t>Silver</t>
  </si>
  <si>
    <t>Bronze</t>
  </si>
  <si>
    <t>Red</t>
  </si>
  <si>
    <t>Green</t>
  </si>
  <si>
    <t>Blue</t>
  </si>
  <si>
    <t>White</t>
  </si>
  <si>
    <t>Yellow</t>
  </si>
  <si>
    <t>Purple</t>
  </si>
  <si>
    <t>Colors</t>
  </si>
  <si>
    <t>=Alignλ(Colors)</t>
  </si>
  <si>
    <t>Align each row left-to-right (Row position is preserved)</t>
  </si>
  <si>
    <t>Alignλ - Sorts each row alphabetically (default) or each column when by_col = TRUE</t>
  </si>
  <si>
    <t>C10#</t>
  </si>
  <si>
    <t>C16#</t>
  </si>
  <si>
    <t>AlignDistinctλ - Calls Alignλ to alphabetically sort each row or column, then returns distinct values along the same orientation</t>
  </si>
  <si>
    <t>• input: array - 2D array to be aligned and deduplicated</t>
  </si>
  <si>
    <t>• by_col - If TRUE, operate column-wise. If omitted, row-wise.</t>
  </si>
  <si>
    <t>AlignUniqueλ - Calls Alignλ to alphabetically sort each row or column, then returns unique values along the same orientation</t>
  </si>
  <si>
    <t>=AlignDistinctλ(C16#)</t>
  </si>
  <si>
    <t>Papa</t>
  </si>
  <si>
    <t>Quebec</t>
  </si>
  <si>
    <t>Romeo</t>
  </si>
  <si>
    <t>Quick</t>
  </si>
  <si>
    <t>PQR_Array</t>
  </si>
  <si>
    <t>=AlignDistinctλ(PQR_array)</t>
  </si>
  <si>
    <t>=AlignDistinctλ(PQR_array,TRUE)</t>
  </si>
  <si>
    <t>Row-wise distinct</t>
  </si>
  <si>
    <t>Column-wise distinct</t>
  </si>
  <si>
    <t>=AlignUniqueλ(C10#)</t>
  </si>
  <si>
    <t>Row-wise Unique</t>
  </si>
  <si>
    <t>=AlignUniqueλ(C16#)</t>
  </si>
  <si>
    <t>Row-wise Unique (Row position preserved)</t>
  </si>
  <si>
    <t>Roger</t>
  </si>
  <si>
    <t>Tango</t>
  </si>
  <si>
    <t>Sierra</t>
  </si>
  <si>
    <t>RST_array</t>
  </si>
  <si>
    <t>=AlignUniqueλ(RST_array,TRUE)</t>
  </si>
  <si>
    <t>Column-wise Unique (by_col = TRUE)</t>
  </si>
  <si>
    <t>Coalesceλ - Returns the first non‑empty value across multiple 2D arrays (2 to 4 inputs)</t>
  </si>
  <si>
    <t>Inputs</t>
  </si>
  <si>
    <t>• array_1 - Required 2D array</t>
  </si>
  <si>
    <t>• array_2 - Required 2D array</t>
  </si>
  <si>
    <t>• array_3 - Required 2D array</t>
  </si>
  <si>
    <t>• array_4 - Required 2D array</t>
  </si>
  <si>
    <t>• fill_value - Scalar used when all arrays supply an empty value</t>
  </si>
  <si>
    <t>Employee</t>
  </si>
  <si>
    <t>EID</t>
  </si>
  <si>
    <t>January</t>
  </si>
  <si>
    <t>February</t>
  </si>
  <si>
    <t>March</t>
  </si>
  <si>
    <t>April</t>
  </si>
  <si>
    <t>Johnson</t>
  </si>
  <si>
    <t>Watts</t>
  </si>
  <si>
    <t>Jacobs</t>
  </si>
  <si>
    <t>Status</t>
  </si>
  <si>
    <t>Active</t>
  </si>
  <si>
    <t>On Leave</t>
  </si>
  <si>
    <t>Terminated</t>
  </si>
  <si>
    <t>Unknown</t>
  </si>
  <si>
    <t>ZZZZ</t>
  </si>
  <si>
    <t>=Coalesceλ(April,March,February,January)</t>
  </si>
  <si>
    <t>See previous</t>
  </si>
  <si>
    <t>Coalesce April, March, February, January</t>
  </si>
  <si>
    <t>=Coalesceλ(April,March,February,January,"See Previous","Active"</t>
  </si>
  <si>
    <t>Coalesce April, March, February, January (ignore = "See Previous", fill_value  = "Active")</t>
  </si>
  <si>
    <t>• ignore - Value treated as empty during evaluation</t>
  </si>
  <si>
    <t>Explodeλ - Converts a scalar, 1D array, or 2D array into an exploded character array</t>
  </si>
  <si>
    <t>• input: array - array (1D or 2D, scalars accepted)</t>
  </si>
  <si>
    <t>• explode_2D_bycol - If TRUE, explode 2D arrays width-wise. If omitted, explode row-wise.</t>
  </si>
  <si>
    <t>Hello</t>
  </si>
  <si>
    <t>World</t>
  </si>
  <si>
    <t>Demo</t>
  </si>
  <si>
    <t>HelloWorld</t>
  </si>
  <si>
    <t>=Explodeλ(HelloWorld)</t>
  </si>
  <si>
    <t>This</t>
  </si>
  <si>
    <t>is</t>
  </si>
  <si>
    <t>Excel</t>
  </si>
  <si>
    <t>Excel!</t>
  </si>
  <si>
    <t>=Explodeλ(Excel)</t>
  </si>
  <si>
    <t>Explode 1D array (Horizontal)</t>
  </si>
  <si>
    <t>Explode 1D array (Vertical)</t>
  </si>
  <si>
    <t>ONE</t>
  </si>
  <si>
    <t>TWO</t>
  </si>
  <si>
    <t>THREE</t>
  </si>
  <si>
    <t>FOUR</t>
  </si>
  <si>
    <t>FIVE</t>
  </si>
  <si>
    <t>SIX</t>
  </si>
  <si>
    <t>=Explodeλ(Numbers)</t>
  </si>
  <si>
    <t>Explode 2D array</t>
  </si>
  <si>
    <t>=Explodeλ(Numbers,TRUE)</t>
  </si>
  <si>
    <t>Explode 2D array (explode_2D_bycol = TRUE)</t>
  </si>
  <si>
    <t>Numbers</t>
  </si>
  <si>
    <t>ScalarInput</t>
  </si>
  <si>
    <t>=Explodeλ(ScalarInput)</t>
  </si>
  <si>
    <t>Explode Scalar</t>
  </si>
  <si>
    <t>• input: array - Scalar or array (1D or 2D)</t>
  </si>
  <si>
    <t>NumbersOnlyλ - Extracts numeric characters (0–9)</t>
  </si>
  <si>
    <t>TextOnlyλ - Extracts non-numeric characters</t>
  </si>
  <si>
    <t>MixedInput</t>
  </si>
  <si>
    <t>RQT5432</t>
  </si>
  <si>
    <t>RQT2959</t>
  </si>
  <si>
    <t>SLC5783</t>
  </si>
  <si>
    <t>SLC5785</t>
  </si>
  <si>
    <t>=NumbersOnlyλ(MixedInput)</t>
  </si>
  <si>
    <t>1040WCA</t>
  </si>
  <si>
    <t>=TextOnlyλ(MixedInput)</t>
  </si>
  <si>
    <t>Text</t>
  </si>
  <si>
    <t>=TextOnlyλ(MixedInput,TRUE)</t>
  </si>
  <si>
    <t>Mixed2D</t>
  </si>
  <si>
    <t>40WC</t>
  </si>
  <si>
    <t>R2D2</t>
  </si>
  <si>
    <t>R1C1</t>
  </si>
  <si>
    <t>HAL 9000</t>
  </si>
  <si>
    <t>Excel 365</t>
  </si>
  <si>
    <t>ALL Text</t>
  </si>
  <si>
    <t>=NumbersOnlyλ(Mixed2D,TRUE)</t>
  </si>
  <si>
    <t>Numbers from 2D array</t>
  </si>
  <si>
    <t>Text from 2D array</t>
  </si>
  <si>
    <t>=NumbersOnlyλ("123A456B")</t>
  </si>
  <si>
    <t>=TextOnlyλ("123A456B")</t>
  </si>
  <si>
    <t>Both functions use the same parameter:</t>
  </si>
  <si>
    <t>Scalars &gt;&gt;&gt;</t>
  </si>
  <si>
    <t>Splitλ - Splits 1D text arrays into tokens using a specified delimiter</t>
  </si>
  <si>
    <t>Capable of returning 2D spills</t>
  </si>
  <si>
    <t>• input: array - A 1D array (vertical or horizontal)</t>
  </si>
  <si>
    <t>• delimiter - Delimiter used to split each text element</t>
  </si>
  <si>
    <t>• if_not_found - value returned when a text element contains no delimiter. If omitted, defaults to "".</t>
  </si>
  <si>
    <t>123 Maple St|Springfield|IL|62704</t>
  </si>
  <si>
    <t>456 Oak Ave|Madison|WI|53703</t>
  </si>
  <si>
    <t>789 Pine Rd|Columbus|OH|43215</t>
  </si>
  <si>
    <t>101 Elm St|Denver|CO|80203</t>
  </si>
  <si>
    <t>202 Birch Blvd|Austin|TX|78701</t>
  </si>
  <si>
    <t>303 Cedar Ln|Seattle|WA|98101</t>
  </si>
  <si>
    <t>404 Spruce Dr|Boston|MA|02108</t>
  </si>
  <si>
    <t>505 Walnut Ct|Portland|OR|97205</t>
  </si>
  <si>
    <t>Addresses</t>
  </si>
  <si>
    <t>=Splitλ(Addresses,"|")</t>
  </si>
  <si>
    <t>Split on pipe delimiter</t>
  </si>
  <si>
    <t>Stats</t>
  </si>
  <si>
    <t>Player,,FG,,,,FGA,,FG%,,3P,,3PA,,3P%,,REB,,AST,,,,PTS</t>
  </si>
  <si>
    <t>LeBron James,, 10,, 20,, 50%,, 3,, 7,, 42.9%,, 8,, 7,, 28</t>
  </si>
  <si>
    <t>Stephen Curry,,,, 12,, 25,, 48%,, 5,, 11,, 45.5%,, 5,, 6,, 30</t>
  </si>
  <si>
    <t>James Harden,, 8,, 19,, 42.1%,, 6,, 14,, 42.9%,, 6,, 8,, 26</t>
  </si>
  <si>
    <t>Kawhi Leonard,, 7,, 16,, 43.8%,, 2,, 6,, 33.3%,, 6,, 4,, 24</t>
  </si>
  <si>
    <t>Luka Doncic,, 9,, 21,, 42.9%,, 3,, 8,, 37.5%,, 8,, 9,, 28</t>
  </si>
  <si>
    <t>Oscar Robertson,, ,, ,, ,, ,, ,, ,, 11,, 12,, 30</t>
  </si>
  <si>
    <t>Sleepy Floyd,, ,, ,, ,, ,, ,, ,, 4,, 3,, 15</t>
  </si>
  <si>
    <t>Vernon Maxwell</t>
  </si>
  <si>
    <t>=Splitλ(Stats,",","-",TRUE)</t>
  </si>
  <si>
    <t>Split on comma delimiter (if_not_found = "-", treat_consecutive_delimiters_as_one = TRUE)</t>
  </si>
  <si>
    <t>Splitλ requires a 1D array.  2D arrays should be flattened before splitting.</t>
  </si>
  <si>
    <t>• treat_consecutive_delimiters_as_one - If TRUE, collapse runs of consecutive delimiters before splitting</t>
  </si>
  <si>
    <t>Benoit Benjamin,, 9,, 18,, 50%,, 2,, 5,, 40%,, 12,, 7,, 26</t>
  </si>
  <si>
    <t>Flip Murray,, 8,, 20,, 40%,, 4,, 10,, 40%,, 4,, 7,,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</si>
</sst>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Segoe UI Variable Display"/>
      <family val="2"/>
    </font>
    <font>
      <sz val="11"/>
      <color theme="1"/>
      <name val="Segoe UI Variable Display"/>
    </font>
    <font>
      <b/>
      <sz val="11"/>
      <color theme="1"/>
      <name val="Segoe UI Variable Display"/>
    </font>
    <font>
      <b/>
      <sz val="11"/>
      <color indexed="8"/>
      <name val="Segoe UI Variable Display"/>
    </font>
    <font>
      <i/>
      <sz val="11"/>
      <color theme="1"/>
      <name val="Segoe UI Variable Display"/>
    </font>
    <font>
      <sz val="10"/>
      <color theme="1"/>
      <name val="Segoe UI Variable Display"/>
      <family val="2"/>
    </font>
    <font>
      <i/>
      <sz val="10"/>
      <color theme="1"/>
      <name val="Segoe UI Variable Display"/>
    </font>
    <font>
      <sz val="11"/>
      <color theme="1"/>
      <name val="Bahnschrift"/>
      <family val="2"/>
    </font>
    <font>
      <b/>
      <sz val="10"/>
      <color theme="1"/>
      <name val="Segoe UI Variable Display"/>
    </font>
    <font>
      <sz val="10"/>
      <color theme="1"/>
      <name val="Segoe UI Variable Display"/>
    </font>
  </fonts>
  <fills count="8">
    <fill>
      <patternFill patternType="none"/>
    </fill>
    <fill>
      <patternFill patternType="gray125"/>
    </fill>
    <fill>
      <patternFill patternType="solid">
        <fgColor rgb="FFA9B7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D4DE"/>
        <bgColor indexed="64"/>
      </patternFill>
    </fill>
  </fills>
  <borders count="13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/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/>
      <top/>
      <bottom/>
      <diagonal/>
    </border>
    <border>
      <left/>
      <right style="thin">
        <color rgb="FFC0C0C0"/>
      </right>
      <top/>
      <bottom/>
      <diagonal/>
    </border>
    <border>
      <left style="thin">
        <color rgb="FFC0C0C0"/>
      </left>
      <right/>
      <top/>
      <bottom style="thin">
        <color rgb="FFC0C0C0"/>
      </bottom>
      <diagonal/>
    </border>
    <border>
      <left/>
      <right/>
      <top/>
      <bottom style="thin">
        <color rgb="FFC0C0C0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0" fillId="2" borderId="1" xfId="0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0" fontId="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4" fillId="0" borderId="5" xfId="0" applyFont="1" applyBorder="1"/>
    <xf numFmtId="0" fontId="8" fillId="0" borderId="0" xfId="0" applyFont="1"/>
    <xf numFmtId="0" fontId="6" fillId="0" borderId="0" xfId="0" applyFont="1"/>
    <xf numFmtId="0" fontId="5" fillId="0" borderId="0" xfId="0" quotePrefix="1" applyFont="1"/>
    <xf numFmtId="0" fontId="7" fillId="0" borderId="0" xfId="0" applyFon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3" fillId="0" borderId="2" xfId="0" applyFont="1" applyBorder="1"/>
    <xf numFmtId="0" fontId="5" fillId="0" borderId="8" xfId="0" applyFont="1" applyBorder="1"/>
    <xf numFmtId="0" fontId="7" fillId="3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4" fillId="0" borderId="0" xfId="0" applyFont="1"/>
    <xf numFmtId="0" fontId="7" fillId="0" borderId="10" xfId="0" applyFont="1" applyBorder="1"/>
    <xf numFmtId="0" fontId="7" fillId="0" borderId="11" xfId="0" applyFont="1" applyBorder="1"/>
    <xf numFmtId="0" fontId="7" fillId="0" borderId="12" xfId="0" applyFont="1" applyBorder="1"/>
    <xf numFmtId="0" fontId="7" fillId="0" borderId="1" xfId="0" applyFont="1" applyBorder="1" applyAlignment="1">
      <alignment horizontal="left"/>
    </xf>
    <xf numFmtId="0" fontId="0" fillId="0" borderId="2" xfId="0" applyBorder="1"/>
    <xf numFmtId="0" fontId="3" fillId="0" borderId="5" xfId="0" applyFont="1" applyBorder="1"/>
    <xf numFmtId="0" fontId="9" fillId="0" borderId="0" xfId="0" applyFont="1"/>
    <xf numFmtId="0" fontId="9" fillId="0" borderId="6" xfId="0" applyFont="1" applyBorder="1"/>
    <xf numFmtId="0" fontId="9" fillId="0" borderId="0" xfId="0" quotePrefix="1" applyFont="1"/>
    <xf numFmtId="0" fontId="8" fillId="0" borderId="3" xfId="0" applyFont="1" applyBorder="1"/>
    <xf numFmtId="0" fontId="9" fillId="0" borderId="3" xfId="0" applyFont="1" applyBorder="1"/>
    <xf numFmtId="0" fontId="7" fillId="0" borderId="8" xfId="0" applyFont="1" applyBorder="1"/>
    <xf numFmtId="0" fontId="0" fillId="2" borderId="1" xfId="0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/>
    </xf>
    <xf numFmtId="0" fontId="7" fillId="7" borderId="1" xfId="0" applyFont="1" applyFill="1" applyBorder="1"/>
    <xf numFmtId="1" fontId="7" fillId="7" borderId="1" xfId="0" applyNumberFormat="1" applyFont="1" applyFill="1" applyBorder="1" applyAlignment="1">
      <alignment horizontal="center"/>
    </xf>
    <xf numFmtId="0" fontId="7" fillId="7" borderId="10" xfId="0" applyFont="1" applyFill="1" applyBorder="1"/>
    <xf numFmtId="0" fontId="7" fillId="7" borderId="11" xfId="0" applyFont="1" applyFill="1" applyBorder="1"/>
    <xf numFmtId="0" fontId="7" fillId="7" borderId="12" xfId="0" applyFont="1" applyFill="1" applyBorder="1"/>
    <xf numFmtId="0" fontId="7" fillId="7" borderId="1" xfId="0" applyFont="1" applyFill="1" applyBorder="1" applyAlignment="1">
      <alignment horizontal="left"/>
    </xf>
    <xf numFmtId="0" fontId="6" fillId="0" borderId="0" xfId="0" applyFont="1" applyAlignment="1">
      <alignment horizontal="center"/>
    </xf>
    <xf numFmtId="0" fontId="6" fillId="0" borderId="5" xfId="0" applyFont="1" applyBorder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DDB99D9D-8B61-4EDB-84F7-ED507D2344B8}"/>
  </tableStyles>
  <colors>
    <mruColors>
      <color rgb="FFCCD4DE"/>
      <color rgb="FFBDC8D5"/>
      <color rgb="FFC0C0C0"/>
      <color rgb="FFA9B7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15875</xdr:colOff>
      <xdr:row>0</xdr:row>
      <xdr:rowOff>190500</xdr:rowOff>
    </xdr:from>
    <xdr:to>
      <xdr:col>3</xdr:col>
      <xdr:colOff>1361015</xdr:colOff>
      <xdr:row>5</xdr:row>
      <xdr:rowOff>57150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FFBD37EA-88B4-451B-9BFB-D199C411D14E}"/>
            </a:ext>
          </a:extLst>
        </xdr:cNvPr>
        <xdr:cNvSpPr>
          <a:spLocks noChangeAspect="1"/>
        </xdr:cNvSpPr>
      </xdr:nvSpPr>
      <xdr:spPr>
        <a:xfrm>
          <a:off x="1539875" y="190500"/>
          <a:ext cx="2611965" cy="914400"/>
        </a:xfrm>
        <a:prstGeom prst="rect">
          <a:avLst/>
        </a:prstGeom>
        <a:solidFill>
          <a:srgbClr val="333333"/>
        </a:solidFill>
      </xdr:spPr>
      <xdr:txBody>
        <a:bodyPr wrap="square" lIns="0" tIns="0" rIns="0" bIns="0">
          <a:noAutofit/>
        </a:bodyPr>
        <a:lstStyle>
          <a:defPPr>
            <a:defRPr lang="en-US"/>
          </a:defPPr>
          <a:lvl1pPr marL="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5400" b="0" i="0" cap="none" spc="0">
              <a:ln w="22225">
                <a:noFill/>
                <a:prstDash val="solid"/>
              </a:ln>
              <a:solidFill>
                <a:schemeClr val="bg1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Big</a:t>
          </a:r>
          <a:r>
            <a:rPr lang="en-US" sz="5400" b="0" i="0" cap="none" spc="0">
              <a:ln w="22225">
                <a:noFill/>
                <a:prstDash val="solid"/>
              </a:ln>
              <a:solidFill>
                <a:srgbClr val="1F6F5B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Spill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76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FAF220-BBAC-44A7-886C-C8E9EAB03475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565BFE6C-3862-40D0-AB12-19A68FD10EF4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05829-83CB-4BC5-BB3E-C24004783041}">
  <sheetPr>
    <tabColor theme="0"/>
  </sheetPr>
  <dimension ref="A2:E25"/>
  <sheetViews>
    <sheetView showGridLines="0" showRowColHeaders="0" tabSelected="1" workbookViewId="0"/>
  </sheetViews>
  <sheetFormatPr defaultColWidth="0" defaultRowHeight="16.5" x14ac:dyDescent="0.45"/>
  <cols>
    <col min="1" max="1" width="8.6640625" customWidth="1"/>
    <col min="2" max="2" width="11.33203125" bestFit="1" customWidth="1"/>
    <col min="3" max="3" width="16.6640625" customWidth="1"/>
    <col min="4" max="4" width="90.08203125" customWidth="1"/>
    <col min="5" max="5" width="8.6640625" customWidth="1"/>
    <col min="6" max="16384" width="8.6640625" hidden="1"/>
  </cols>
  <sheetData>
    <row r="2" spans="2:4" x14ac:dyDescent="0.45">
      <c r="B2" s="1"/>
      <c r="C2" s="1"/>
      <c r="D2" s="2"/>
    </row>
    <row r="3" spans="2:4" x14ac:dyDescent="0.45">
      <c r="B3" s="1"/>
      <c r="C3" s="1"/>
      <c r="D3" s="2"/>
    </row>
    <row r="4" spans="2:4" x14ac:dyDescent="0.45">
      <c r="B4" s="1"/>
      <c r="C4" s="1"/>
      <c r="D4" s="2"/>
    </row>
    <row r="5" spans="2:4" x14ac:dyDescent="0.45">
      <c r="B5" s="1"/>
      <c r="C5" s="1"/>
      <c r="D5" s="2"/>
    </row>
    <row r="6" spans="2:4" x14ac:dyDescent="0.45">
      <c r="B6" s="1"/>
      <c r="C6" s="1"/>
      <c r="D6" s="2"/>
    </row>
    <row r="7" spans="2:4" x14ac:dyDescent="0.45">
      <c r="B7" s="1"/>
      <c r="C7" s="1"/>
      <c r="D7" s="2"/>
    </row>
    <row r="8" spans="2:4" x14ac:dyDescent="0.45">
      <c r="B8" s="1"/>
      <c r="C8" s="3" t="s">
        <v>0</v>
      </c>
      <c r="D8" s="2"/>
    </row>
    <row r="9" spans="2:4" x14ac:dyDescent="0.45">
      <c r="B9" s="1"/>
      <c r="C9" s="1" t="s">
        <v>22</v>
      </c>
      <c r="D9" s="2"/>
    </row>
    <row r="10" spans="2:4" x14ac:dyDescent="0.45">
      <c r="B10" s="1"/>
      <c r="C10" s="1" t="s">
        <v>23</v>
      </c>
      <c r="D10" s="2"/>
    </row>
    <row r="11" spans="2:4" x14ac:dyDescent="0.45">
      <c r="B11" s="1"/>
      <c r="C11" s="1"/>
      <c r="D11" s="2"/>
    </row>
    <row r="12" spans="2:4" x14ac:dyDescent="0.45">
      <c r="B12" s="1"/>
      <c r="C12" s="3" t="s">
        <v>1</v>
      </c>
      <c r="D12" s="2"/>
    </row>
    <row r="13" spans="2:4" x14ac:dyDescent="0.45">
      <c r="B13" s="1"/>
      <c r="C13" s="1" t="s">
        <v>2</v>
      </c>
      <c r="D13" s="2"/>
    </row>
    <row r="14" spans="2:4" x14ac:dyDescent="0.45">
      <c r="B14" s="1"/>
      <c r="C14" s="1" t="s">
        <v>3</v>
      </c>
      <c r="D14" s="2"/>
    </row>
    <row r="15" spans="2:4" x14ac:dyDescent="0.45">
      <c r="B15" s="1"/>
      <c r="C15" s="1"/>
      <c r="D15" s="2"/>
    </row>
    <row r="16" spans="2:4" x14ac:dyDescent="0.45">
      <c r="B16" s="1"/>
      <c r="C16" s="1"/>
      <c r="D16" s="2"/>
    </row>
    <row r="17" spans="2:4" x14ac:dyDescent="0.45">
      <c r="B17" s="1"/>
      <c r="C17" s="5" t="s">
        <v>4</v>
      </c>
      <c r="D17" s="6" t="s">
        <v>5</v>
      </c>
    </row>
    <row r="18" spans="2:4" ht="33" customHeight="1" x14ac:dyDescent="0.45">
      <c r="B18" s="3"/>
      <c r="C18" s="46" t="s">
        <v>6</v>
      </c>
      <c r="D18" s="8" t="s">
        <v>14</v>
      </c>
    </row>
    <row r="19" spans="2:4" ht="33" customHeight="1" x14ac:dyDescent="0.45">
      <c r="B19" s="4"/>
      <c r="C19" s="46" t="s">
        <v>7</v>
      </c>
      <c r="D19" s="8" t="s">
        <v>15</v>
      </c>
    </row>
    <row r="20" spans="2:4" ht="33" customHeight="1" x14ac:dyDescent="0.45">
      <c r="C20" s="46" t="s">
        <v>8</v>
      </c>
      <c r="D20" s="7" t="s">
        <v>16</v>
      </c>
    </row>
    <row r="21" spans="2:4" ht="33" customHeight="1" x14ac:dyDescent="0.45">
      <c r="C21" s="46" t="s">
        <v>9</v>
      </c>
      <c r="D21" s="7" t="s">
        <v>17</v>
      </c>
    </row>
    <row r="22" spans="2:4" ht="33" customHeight="1" x14ac:dyDescent="0.45">
      <c r="C22" s="46" t="s">
        <v>10</v>
      </c>
      <c r="D22" s="7" t="s">
        <v>18</v>
      </c>
    </row>
    <row r="23" spans="2:4" ht="33" customHeight="1" x14ac:dyDescent="0.45">
      <c r="C23" s="46" t="s">
        <v>11</v>
      </c>
      <c r="D23" s="7" t="s">
        <v>19</v>
      </c>
    </row>
    <row r="24" spans="2:4" ht="33" customHeight="1" x14ac:dyDescent="0.45">
      <c r="C24" s="46" t="s">
        <v>12</v>
      </c>
      <c r="D24" s="7" t="s">
        <v>20</v>
      </c>
    </row>
    <row r="25" spans="2:4" ht="33" customHeight="1" x14ac:dyDescent="0.45">
      <c r="C25" s="46" t="s">
        <v>13</v>
      </c>
      <c r="D25" s="7" t="s">
        <v>21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2E462-4080-43E8-BF1B-87BC4D8CDDC7}">
  <sheetPr>
    <tabColor rgb="FFA9B7C8"/>
  </sheetPr>
  <dimension ref="B2:O24"/>
  <sheetViews>
    <sheetView workbookViewId="0"/>
  </sheetViews>
  <sheetFormatPr defaultRowHeight="16.5" x14ac:dyDescent="0.45"/>
  <cols>
    <col min="1" max="1" width="5" customWidth="1"/>
    <col min="3" max="3" width="12.5" customWidth="1"/>
    <col min="4" max="4" width="10.33203125" customWidth="1"/>
    <col min="5" max="5" width="11.4140625" customWidth="1"/>
    <col min="10" max="10" width="5.25" customWidth="1"/>
  </cols>
  <sheetData>
    <row r="2" spans="2:15" x14ac:dyDescent="0.45">
      <c r="B2" s="11" t="s">
        <v>47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3"/>
    </row>
    <row r="3" spans="2:15" x14ac:dyDescent="0.45">
      <c r="B3" s="14" t="s">
        <v>24</v>
      </c>
      <c r="O3" s="15"/>
    </row>
    <row r="4" spans="2:15" x14ac:dyDescent="0.45">
      <c r="B4" s="16" t="s">
        <v>25</v>
      </c>
      <c r="O4" s="15"/>
    </row>
    <row r="5" spans="2:15" x14ac:dyDescent="0.45">
      <c r="B5" s="14" t="s">
        <v>26</v>
      </c>
      <c r="O5" s="15"/>
    </row>
    <row r="6" spans="2:15" x14ac:dyDescent="0.45">
      <c r="B6" s="21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3"/>
    </row>
    <row r="7" spans="2:15" x14ac:dyDescent="0.45">
      <c r="B7" s="14"/>
      <c r="O7" s="15"/>
    </row>
    <row r="8" spans="2:15" x14ac:dyDescent="0.45">
      <c r="B8" s="14"/>
      <c r="G8" s="17" t="s">
        <v>32</v>
      </c>
      <c r="K8" s="17" t="s">
        <v>34</v>
      </c>
      <c r="O8" s="15"/>
    </row>
    <row r="9" spans="2:15" x14ac:dyDescent="0.45">
      <c r="B9" s="14"/>
      <c r="C9" s="18" t="s">
        <v>30</v>
      </c>
      <c r="G9" s="19" t="s">
        <v>31</v>
      </c>
      <c r="K9" s="19" t="s">
        <v>33</v>
      </c>
      <c r="O9" s="15"/>
    </row>
    <row r="10" spans="2:15" x14ac:dyDescent="0.45">
      <c r="B10" s="14"/>
      <c r="C10" s="53" t="s">
        <v>27</v>
      </c>
      <c r="D10" s="53" t="s">
        <v>28</v>
      </c>
      <c r="E10" s="53" t="s">
        <v>29</v>
      </c>
      <c r="G10" s="9" t="str" cm="1">
        <f t="array" ref="G10:I12">Alignλ(ABC_array)</f>
        <v>Alpha</v>
      </c>
      <c r="H10" s="9" t="str">
        <v>Bravo</v>
      </c>
      <c r="I10" s="9" t="str">
        <v>Charlie</v>
      </c>
      <c r="K10" s="9" t="str" cm="1">
        <f t="array" ref="K10:M12">Alignλ(ABC_array,TRUE)</f>
        <v>Alpha</v>
      </c>
      <c r="L10" s="9" t="str">
        <v>Bravo</v>
      </c>
      <c r="M10" s="9" t="str">
        <v>Alpha</v>
      </c>
      <c r="O10" s="15"/>
    </row>
    <row r="11" spans="2:15" x14ac:dyDescent="0.45">
      <c r="B11" s="14"/>
      <c r="C11" s="53" t="s">
        <v>29</v>
      </c>
      <c r="D11" s="53" t="s">
        <v>28</v>
      </c>
      <c r="E11" s="53" t="s">
        <v>27</v>
      </c>
      <c r="G11" s="9" t="str">
        <v>Alpha</v>
      </c>
      <c r="H11" s="9" t="str">
        <v>Bravo</v>
      </c>
      <c r="I11" s="9" t="str">
        <v>Charlie</v>
      </c>
      <c r="K11" s="9" t="str">
        <v>Bravo</v>
      </c>
      <c r="L11" s="9" t="str">
        <v>Charlie</v>
      </c>
      <c r="M11" s="9" t="str">
        <v>Alpha</v>
      </c>
      <c r="O11" s="15"/>
    </row>
    <row r="12" spans="2:15" x14ac:dyDescent="0.45">
      <c r="B12" s="14"/>
      <c r="C12" s="53" t="s">
        <v>28</v>
      </c>
      <c r="D12" s="53" t="s">
        <v>29</v>
      </c>
      <c r="E12" s="53" t="s">
        <v>27</v>
      </c>
      <c r="G12" s="9" t="str">
        <v>Alpha</v>
      </c>
      <c r="H12" s="9" t="str">
        <v>Bravo</v>
      </c>
      <c r="I12" s="9" t="str">
        <v>Charlie</v>
      </c>
      <c r="K12" s="9" t="str">
        <v>Charlie</v>
      </c>
      <c r="L12" s="9" t="str">
        <v>Charlie</v>
      </c>
      <c r="M12" s="9" t="str">
        <v>Bravo</v>
      </c>
      <c r="O12" s="15"/>
    </row>
    <row r="13" spans="2:15" x14ac:dyDescent="0.45">
      <c r="B13" s="14"/>
      <c r="C13" s="20"/>
      <c r="D13" s="20"/>
      <c r="E13" s="20"/>
      <c r="O13" s="15"/>
    </row>
    <row r="14" spans="2:15" x14ac:dyDescent="0.45">
      <c r="B14" s="14"/>
      <c r="C14" s="20"/>
      <c r="D14" s="20"/>
      <c r="E14" s="20"/>
      <c r="G14" s="17" t="s">
        <v>46</v>
      </c>
      <c r="O14" s="15"/>
    </row>
    <row r="15" spans="2:15" x14ac:dyDescent="0.45">
      <c r="B15" s="14"/>
      <c r="C15" s="18" t="s">
        <v>44</v>
      </c>
      <c r="D15" s="20"/>
      <c r="E15" s="20"/>
      <c r="G15" s="19" t="s">
        <v>45</v>
      </c>
      <c r="O15" s="15"/>
    </row>
    <row r="16" spans="2:15" x14ac:dyDescent="0.45">
      <c r="B16" s="14"/>
      <c r="C16" s="53" t="s">
        <v>35</v>
      </c>
      <c r="D16" s="53" t="s">
        <v>36</v>
      </c>
      <c r="E16" s="53" t="s">
        <v>37</v>
      </c>
      <c r="G16" s="9" t="str" cm="1">
        <f t="array" ref="G16:I23">Alignλ(Colors)</f>
        <v>Bronze</v>
      </c>
      <c r="H16" s="9" t="str">
        <v>Gold</v>
      </c>
      <c r="I16" s="9" t="str">
        <v>Silver</v>
      </c>
      <c r="O16" s="15"/>
    </row>
    <row r="17" spans="2:15" x14ac:dyDescent="0.45">
      <c r="B17" s="14"/>
      <c r="C17" s="53" t="s">
        <v>36</v>
      </c>
      <c r="D17" s="53" t="s">
        <v>37</v>
      </c>
      <c r="E17" s="53" t="s">
        <v>35</v>
      </c>
      <c r="G17" s="9" t="str">
        <v>Bronze</v>
      </c>
      <c r="H17" s="9" t="str">
        <v>Gold</v>
      </c>
      <c r="I17" s="9" t="str">
        <v>Silver</v>
      </c>
      <c r="O17" s="15"/>
    </row>
    <row r="18" spans="2:15" x14ac:dyDescent="0.45">
      <c r="B18" s="14"/>
      <c r="C18" s="53" t="s">
        <v>38</v>
      </c>
      <c r="D18" s="53" t="s">
        <v>39</v>
      </c>
      <c r="E18" s="53" t="s">
        <v>40</v>
      </c>
      <c r="G18" s="9" t="str">
        <v>Blue</v>
      </c>
      <c r="H18" s="9" t="str">
        <v>Green</v>
      </c>
      <c r="I18" s="9" t="str">
        <v>Red</v>
      </c>
      <c r="O18" s="15"/>
    </row>
    <row r="19" spans="2:15" x14ac:dyDescent="0.45">
      <c r="B19" s="14"/>
      <c r="C19" s="53" t="s">
        <v>36</v>
      </c>
      <c r="D19" s="53" t="s">
        <v>35</v>
      </c>
      <c r="E19" s="53" t="s">
        <v>37</v>
      </c>
      <c r="G19" s="9" t="str">
        <v>Bronze</v>
      </c>
      <c r="H19" s="9" t="str">
        <v>Gold</v>
      </c>
      <c r="I19" s="9" t="str">
        <v>Silver</v>
      </c>
      <c r="O19" s="15"/>
    </row>
    <row r="20" spans="2:15" x14ac:dyDescent="0.45">
      <c r="B20" s="14"/>
      <c r="C20" s="53" t="s">
        <v>40</v>
      </c>
      <c r="D20" s="53" t="s">
        <v>39</v>
      </c>
      <c r="E20" s="53" t="s">
        <v>38</v>
      </c>
      <c r="G20" s="9" t="str">
        <v>Blue</v>
      </c>
      <c r="H20" s="9" t="str">
        <v>Green</v>
      </c>
      <c r="I20" s="9" t="str">
        <v>Red</v>
      </c>
      <c r="O20" s="15"/>
    </row>
    <row r="21" spans="2:15" x14ac:dyDescent="0.45">
      <c r="B21" s="14"/>
      <c r="C21" s="53" t="s">
        <v>38</v>
      </c>
      <c r="D21" s="53" t="s">
        <v>40</v>
      </c>
      <c r="E21" s="53" t="s">
        <v>41</v>
      </c>
      <c r="G21" s="9" t="str">
        <v>Blue</v>
      </c>
      <c r="H21" s="9" t="str">
        <v>Red</v>
      </c>
      <c r="I21" s="9" t="str">
        <v>White</v>
      </c>
      <c r="O21" s="15"/>
    </row>
    <row r="22" spans="2:15" x14ac:dyDescent="0.45">
      <c r="B22" s="14"/>
      <c r="C22" s="53" t="s">
        <v>39</v>
      </c>
      <c r="D22" s="53" t="s">
        <v>42</v>
      </c>
      <c r="E22" s="53" t="s">
        <v>43</v>
      </c>
      <c r="G22" s="9" t="str">
        <v>Green</v>
      </c>
      <c r="H22" s="9" t="str">
        <v>Purple</v>
      </c>
      <c r="I22" s="9" t="str">
        <v>Yellow</v>
      </c>
      <c r="O22" s="15"/>
    </row>
    <row r="23" spans="2:15" x14ac:dyDescent="0.45">
      <c r="B23" s="14"/>
      <c r="C23" s="53" t="s">
        <v>43</v>
      </c>
      <c r="D23" s="53" t="s">
        <v>39</v>
      </c>
      <c r="E23" s="53" t="s">
        <v>42</v>
      </c>
      <c r="G23" s="9" t="str">
        <v>Green</v>
      </c>
      <c r="H23" s="9" t="str">
        <v>Purple</v>
      </c>
      <c r="I23" s="9" t="str">
        <v>Yellow</v>
      </c>
      <c r="O23" s="15"/>
    </row>
    <row r="24" spans="2:15" x14ac:dyDescent="0.45">
      <c r="B24" s="21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5A1ED-CC9D-449D-9CB8-FBB6706DDEAD}">
  <sheetPr>
    <tabColor rgb="FFA9B7C8"/>
  </sheetPr>
  <dimension ref="B2:O25"/>
  <sheetViews>
    <sheetView workbookViewId="0"/>
  </sheetViews>
  <sheetFormatPr defaultRowHeight="16.5" x14ac:dyDescent="0.45"/>
  <cols>
    <col min="1" max="1" width="5" customWidth="1"/>
    <col min="10" max="10" width="6.6640625" customWidth="1"/>
  </cols>
  <sheetData>
    <row r="2" spans="2:15" x14ac:dyDescent="0.45">
      <c r="B2" s="24" t="s">
        <v>50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3"/>
    </row>
    <row r="3" spans="2:15" x14ac:dyDescent="0.45">
      <c r="B3" s="14" t="s">
        <v>51</v>
      </c>
      <c r="O3" s="15"/>
    </row>
    <row r="4" spans="2:15" x14ac:dyDescent="0.45">
      <c r="B4" s="16" t="s">
        <v>25</v>
      </c>
      <c r="O4" s="15"/>
    </row>
    <row r="5" spans="2:15" x14ac:dyDescent="0.45">
      <c r="B5" s="14" t="s">
        <v>52</v>
      </c>
      <c r="O5" s="15"/>
    </row>
    <row r="6" spans="2:15" x14ac:dyDescent="0.45">
      <c r="B6" s="21"/>
      <c r="C6" s="25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3"/>
    </row>
    <row r="7" spans="2:15" x14ac:dyDescent="0.45">
      <c r="B7" s="14"/>
      <c r="O7" s="15"/>
    </row>
    <row r="8" spans="2:15" x14ac:dyDescent="0.45">
      <c r="B8" s="14"/>
      <c r="G8" s="17" t="s">
        <v>62</v>
      </c>
      <c r="K8" s="17" t="s">
        <v>63</v>
      </c>
      <c r="O8" s="15"/>
    </row>
    <row r="9" spans="2:15" x14ac:dyDescent="0.45">
      <c r="B9" s="14"/>
      <c r="C9" s="18" t="s">
        <v>59</v>
      </c>
      <c r="G9" s="19" t="s">
        <v>60</v>
      </c>
      <c r="K9" s="19" t="s">
        <v>61</v>
      </c>
      <c r="O9" s="15"/>
    </row>
    <row r="10" spans="2:15" x14ac:dyDescent="0.45">
      <c r="B10" s="14"/>
      <c r="C10" s="53" t="s">
        <v>55</v>
      </c>
      <c r="D10" s="53" t="s">
        <v>56</v>
      </c>
      <c r="E10" s="53" t="s">
        <v>57</v>
      </c>
      <c r="G10" s="37" t="str" cm="1">
        <f t="array" ref="G10:I10">AlignDistinctλ(PQR_array)</f>
        <v>Papa</v>
      </c>
      <c r="H10" s="37" t="str">
        <v>Quick</v>
      </c>
      <c r="I10" s="37" t="str">
        <v>Romeo</v>
      </c>
      <c r="K10" s="37" t="str" cm="1">
        <f t="array" ref="K10:M12">AlignDistinctλ(PQR_array,TRUE)</f>
        <v>Papa</v>
      </c>
      <c r="L10" s="37" t="str">
        <v>Papa</v>
      </c>
      <c r="M10" s="37" t="str">
        <v>Quebec</v>
      </c>
      <c r="O10" s="15"/>
    </row>
    <row r="11" spans="2:15" x14ac:dyDescent="0.45">
      <c r="B11" s="14"/>
      <c r="C11" s="53" t="s">
        <v>57</v>
      </c>
      <c r="D11" s="53" t="s">
        <v>55</v>
      </c>
      <c r="E11" s="53" t="s">
        <v>56</v>
      </c>
      <c r="K11" s="37" t="str">
        <v>Quick</v>
      </c>
      <c r="L11" s="37" t="str">
        <v>Papa</v>
      </c>
      <c r="M11" s="37" t="str">
        <v>Romeo</v>
      </c>
      <c r="O11" s="15"/>
    </row>
    <row r="12" spans="2:15" x14ac:dyDescent="0.45">
      <c r="B12" s="14"/>
      <c r="C12" s="53" t="s">
        <v>58</v>
      </c>
      <c r="D12" s="53" t="s">
        <v>55</v>
      </c>
      <c r="E12" s="53" t="s">
        <v>57</v>
      </c>
      <c r="K12" s="37" t="str">
        <v>Romeo</v>
      </c>
      <c r="L12" s="37" t="str">
        <v>Quebec</v>
      </c>
      <c r="M12" s="37" t="str">
        <v>Romeo</v>
      </c>
      <c r="O12" s="15"/>
    </row>
    <row r="13" spans="2:15" x14ac:dyDescent="0.45">
      <c r="B13" s="14"/>
      <c r="O13" s="15"/>
    </row>
    <row r="14" spans="2:15" x14ac:dyDescent="0.45">
      <c r="B14" s="14"/>
      <c r="G14" s="17" t="s">
        <v>62</v>
      </c>
      <c r="O14" s="15"/>
    </row>
    <row r="15" spans="2:15" x14ac:dyDescent="0.45">
      <c r="B15" s="14"/>
      <c r="C15" s="18" t="s">
        <v>49</v>
      </c>
      <c r="G15" s="19" t="s">
        <v>54</v>
      </c>
      <c r="O15" s="15"/>
    </row>
    <row r="16" spans="2:15" x14ac:dyDescent="0.45">
      <c r="B16" s="14"/>
      <c r="C16" s="53" t="str" cm="1">
        <f t="array" ref="C16:E23">Colors</f>
        <v>Gold</v>
      </c>
      <c r="D16" s="53" t="str">
        <v>Silver</v>
      </c>
      <c r="E16" s="53" t="str">
        <v>Bronze</v>
      </c>
      <c r="F16" s="20"/>
      <c r="G16" s="37" t="str" cm="1">
        <f t="array" ref="G16:I16">AlignDistinctλ(_xlfn.ANCHORARRAY(C16))</f>
        <v>Blue</v>
      </c>
      <c r="H16" s="37" t="str">
        <v>Red</v>
      </c>
      <c r="I16" s="37" t="str">
        <v>White</v>
      </c>
      <c r="O16" s="15"/>
    </row>
    <row r="17" spans="2:15" x14ac:dyDescent="0.45">
      <c r="B17" s="14"/>
      <c r="C17" s="53" t="str">
        <v>Silver</v>
      </c>
      <c r="D17" s="53" t="str">
        <v>Bronze</v>
      </c>
      <c r="E17" s="53" t="str">
        <v>Gold</v>
      </c>
      <c r="O17" s="15"/>
    </row>
    <row r="18" spans="2:15" x14ac:dyDescent="0.45">
      <c r="B18" s="14"/>
      <c r="C18" s="53" t="str">
        <v>Red</v>
      </c>
      <c r="D18" s="53" t="str">
        <v>Green</v>
      </c>
      <c r="E18" s="53" t="str">
        <v>Blue</v>
      </c>
      <c r="O18" s="15"/>
    </row>
    <row r="19" spans="2:15" x14ac:dyDescent="0.45">
      <c r="B19" s="14"/>
      <c r="C19" s="53" t="str">
        <v>Silver</v>
      </c>
      <c r="D19" s="53" t="str">
        <v>Gold</v>
      </c>
      <c r="E19" s="53" t="str">
        <v>Bronze</v>
      </c>
      <c r="O19" s="15"/>
    </row>
    <row r="20" spans="2:15" x14ac:dyDescent="0.45">
      <c r="B20" s="14"/>
      <c r="C20" s="53" t="str">
        <v>Blue</v>
      </c>
      <c r="D20" s="53" t="str">
        <v>Green</v>
      </c>
      <c r="E20" s="53" t="str">
        <v>Red</v>
      </c>
      <c r="O20" s="15"/>
    </row>
    <row r="21" spans="2:15" x14ac:dyDescent="0.45">
      <c r="B21" s="14"/>
      <c r="C21" s="53" t="str">
        <v>Red</v>
      </c>
      <c r="D21" s="53" t="str">
        <v>Blue</v>
      </c>
      <c r="E21" s="53" t="str">
        <v>White</v>
      </c>
      <c r="O21" s="15"/>
    </row>
    <row r="22" spans="2:15" x14ac:dyDescent="0.45">
      <c r="B22" s="14"/>
      <c r="C22" s="53" t="str">
        <v>Green</v>
      </c>
      <c r="D22" s="53" t="str">
        <v>Yellow</v>
      </c>
      <c r="E22" s="53" t="str">
        <v>Purple</v>
      </c>
      <c r="O22" s="15"/>
    </row>
    <row r="23" spans="2:15" x14ac:dyDescent="0.45">
      <c r="B23" s="14"/>
      <c r="C23" s="53" t="str">
        <v>Purple</v>
      </c>
      <c r="D23" s="53" t="str">
        <v>Green</v>
      </c>
      <c r="E23" s="53" t="str">
        <v>Yellow</v>
      </c>
      <c r="O23" s="15"/>
    </row>
    <row r="24" spans="2:15" x14ac:dyDescent="0.45">
      <c r="B24" s="14"/>
      <c r="O24" s="15"/>
    </row>
    <row r="25" spans="2:15" x14ac:dyDescent="0.45">
      <c r="B25" s="21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B0EBD-A81F-4DCC-BC81-5DD09F0B9306}">
  <sheetPr>
    <tabColor rgb="FFA9B7C8"/>
  </sheetPr>
  <dimension ref="B2:N29"/>
  <sheetViews>
    <sheetView workbookViewId="0"/>
  </sheetViews>
  <sheetFormatPr defaultRowHeight="16.5" x14ac:dyDescent="0.45"/>
  <cols>
    <col min="1" max="1" width="5" customWidth="1"/>
  </cols>
  <sheetData>
    <row r="2" spans="2:14" x14ac:dyDescent="0.45">
      <c r="B2" s="24" t="s">
        <v>53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</row>
    <row r="3" spans="2:14" x14ac:dyDescent="0.45">
      <c r="B3" s="14" t="s">
        <v>51</v>
      </c>
      <c r="N3" s="15"/>
    </row>
    <row r="4" spans="2:14" x14ac:dyDescent="0.45">
      <c r="B4" s="16" t="s">
        <v>25</v>
      </c>
      <c r="N4" s="15"/>
    </row>
    <row r="5" spans="2:14" x14ac:dyDescent="0.45">
      <c r="B5" s="14" t="s">
        <v>52</v>
      </c>
      <c r="N5" s="15"/>
    </row>
    <row r="6" spans="2:14" x14ac:dyDescent="0.45">
      <c r="B6" s="21"/>
      <c r="C6" s="25"/>
      <c r="D6" s="22"/>
      <c r="E6" s="22"/>
      <c r="F6" s="22"/>
      <c r="G6" s="22"/>
      <c r="H6" s="22"/>
      <c r="I6" s="22"/>
      <c r="J6" s="22"/>
      <c r="K6" s="22"/>
      <c r="L6" s="22"/>
      <c r="M6" s="22"/>
      <c r="N6" s="23"/>
    </row>
    <row r="7" spans="2:14" x14ac:dyDescent="0.45">
      <c r="B7" s="14"/>
      <c r="N7" s="15"/>
    </row>
    <row r="8" spans="2:14" x14ac:dyDescent="0.45">
      <c r="B8" s="14"/>
      <c r="G8" s="17" t="s">
        <v>65</v>
      </c>
      <c r="N8" s="15"/>
    </row>
    <row r="9" spans="2:14" x14ac:dyDescent="0.45">
      <c r="B9" s="14"/>
      <c r="C9" s="18" t="s">
        <v>48</v>
      </c>
      <c r="G9" s="19" t="s">
        <v>64</v>
      </c>
      <c r="N9" s="15"/>
    </row>
    <row r="10" spans="2:14" x14ac:dyDescent="0.45">
      <c r="B10" s="14"/>
      <c r="C10" s="53" t="str" cm="1">
        <f t="array" ref="C10:E12">ABC_array</f>
        <v>Alpha</v>
      </c>
      <c r="D10" s="53" t="str">
        <v>Charlie</v>
      </c>
      <c r="E10" s="53" t="str">
        <v>Bravo</v>
      </c>
      <c r="G10" s="37" t="str" cm="1">
        <f t="array" ref="G10:I10">AlignUniqueλ(_xlfn.ANCHORARRAY(C10))</f>
        <v>Alpha</v>
      </c>
      <c r="H10" s="37" t="str">
        <v>Bravo</v>
      </c>
      <c r="I10" s="37" t="str">
        <v>Charlie</v>
      </c>
      <c r="N10" s="15"/>
    </row>
    <row r="11" spans="2:14" x14ac:dyDescent="0.45">
      <c r="B11" s="14"/>
      <c r="C11" s="53" t="str">
        <v>Bravo</v>
      </c>
      <c r="D11" s="53" t="str">
        <v>Charlie</v>
      </c>
      <c r="E11" s="53" t="str">
        <v>Alpha</v>
      </c>
      <c r="N11" s="15"/>
    </row>
    <row r="12" spans="2:14" x14ac:dyDescent="0.45">
      <c r="B12" s="14"/>
      <c r="C12" s="53" t="str">
        <v>Charlie</v>
      </c>
      <c r="D12" s="53" t="str">
        <v>Bravo</v>
      </c>
      <c r="E12" s="53" t="str">
        <v>Alpha</v>
      </c>
      <c r="N12" s="15"/>
    </row>
    <row r="13" spans="2:14" x14ac:dyDescent="0.45">
      <c r="B13" s="14"/>
      <c r="N13" s="15"/>
    </row>
    <row r="14" spans="2:14" x14ac:dyDescent="0.45">
      <c r="B14" s="14"/>
      <c r="G14" s="17" t="s">
        <v>67</v>
      </c>
      <c r="N14" s="15"/>
    </row>
    <row r="15" spans="2:14" x14ac:dyDescent="0.45">
      <c r="B15" s="14"/>
      <c r="C15" s="18" t="s">
        <v>49</v>
      </c>
      <c r="G15" s="19" t="s">
        <v>66</v>
      </c>
      <c r="N15" s="15"/>
    </row>
    <row r="16" spans="2:14" x14ac:dyDescent="0.45">
      <c r="B16" s="14"/>
      <c r="C16" s="53" t="str" cm="1">
        <f t="array" ref="C16:E23">Colors</f>
        <v>Gold</v>
      </c>
      <c r="D16" s="53" t="str">
        <v>Silver</v>
      </c>
      <c r="E16" s="53" t="str">
        <v>Bronze</v>
      </c>
      <c r="G16" s="37" t="str" cm="1">
        <f t="array" ref="G16:I19">AlignUniqueλ(_xlfn.ANCHORARRAY(C16))</f>
        <v>Bronze</v>
      </c>
      <c r="H16" s="37" t="str">
        <v>Gold</v>
      </c>
      <c r="I16" s="37" t="str">
        <v>Silver</v>
      </c>
      <c r="N16" s="15"/>
    </row>
    <row r="17" spans="2:14" x14ac:dyDescent="0.45">
      <c r="B17" s="14"/>
      <c r="C17" s="53" t="str">
        <v>Silver</v>
      </c>
      <c r="D17" s="53" t="str">
        <v>Bronze</v>
      </c>
      <c r="E17" s="53" t="str">
        <v>Gold</v>
      </c>
      <c r="G17" s="37" t="str">
        <v>Blue</v>
      </c>
      <c r="H17" s="37" t="str">
        <v>Green</v>
      </c>
      <c r="I17" s="37" t="str">
        <v>Red</v>
      </c>
      <c r="N17" s="15"/>
    </row>
    <row r="18" spans="2:14" x14ac:dyDescent="0.45">
      <c r="B18" s="14"/>
      <c r="C18" s="53" t="str">
        <v>Red</v>
      </c>
      <c r="D18" s="53" t="str">
        <v>Green</v>
      </c>
      <c r="E18" s="53" t="str">
        <v>Blue</v>
      </c>
      <c r="G18" s="37" t="str">
        <v>Blue</v>
      </c>
      <c r="H18" s="37" t="str">
        <v>Red</v>
      </c>
      <c r="I18" s="37" t="str">
        <v>White</v>
      </c>
      <c r="N18" s="15"/>
    </row>
    <row r="19" spans="2:14" x14ac:dyDescent="0.45">
      <c r="B19" s="14"/>
      <c r="C19" s="53" t="str">
        <v>Silver</v>
      </c>
      <c r="D19" s="53" t="str">
        <v>Gold</v>
      </c>
      <c r="E19" s="53" t="str">
        <v>Bronze</v>
      </c>
      <c r="G19" s="37" t="str">
        <v>Green</v>
      </c>
      <c r="H19" s="37" t="str">
        <v>Purple</v>
      </c>
      <c r="I19" s="37" t="str">
        <v>Yellow</v>
      </c>
      <c r="N19" s="15"/>
    </row>
    <row r="20" spans="2:14" x14ac:dyDescent="0.45">
      <c r="B20" s="14"/>
      <c r="C20" s="53" t="str">
        <v>Blue</v>
      </c>
      <c r="D20" s="53" t="str">
        <v>Green</v>
      </c>
      <c r="E20" s="53" t="str">
        <v>Red</v>
      </c>
      <c r="N20" s="15"/>
    </row>
    <row r="21" spans="2:14" x14ac:dyDescent="0.45">
      <c r="B21" s="14"/>
      <c r="C21" s="53" t="str">
        <v>Red</v>
      </c>
      <c r="D21" s="53" t="str">
        <v>Blue</v>
      </c>
      <c r="E21" s="53" t="str">
        <v>White</v>
      </c>
      <c r="N21" s="15"/>
    </row>
    <row r="22" spans="2:14" x14ac:dyDescent="0.45">
      <c r="B22" s="14"/>
      <c r="C22" s="53" t="str">
        <v>Green</v>
      </c>
      <c r="D22" s="53" t="str">
        <v>Yellow</v>
      </c>
      <c r="E22" s="53" t="str">
        <v>Purple</v>
      </c>
      <c r="N22" s="15"/>
    </row>
    <row r="23" spans="2:14" x14ac:dyDescent="0.45">
      <c r="B23" s="14"/>
      <c r="C23" s="53" t="str">
        <v>Purple</v>
      </c>
      <c r="D23" s="53" t="str">
        <v>Green</v>
      </c>
      <c r="E23" s="53" t="str">
        <v>Yellow</v>
      </c>
      <c r="N23" s="15"/>
    </row>
    <row r="24" spans="2:14" x14ac:dyDescent="0.45">
      <c r="B24" s="14"/>
      <c r="G24" s="17" t="s">
        <v>73</v>
      </c>
      <c r="N24" s="15"/>
    </row>
    <row r="25" spans="2:14" x14ac:dyDescent="0.45">
      <c r="B25" s="14"/>
      <c r="C25" s="18" t="s">
        <v>71</v>
      </c>
      <c r="G25" s="19" t="s">
        <v>72</v>
      </c>
      <c r="N25" s="15"/>
    </row>
    <row r="26" spans="2:14" x14ac:dyDescent="0.45">
      <c r="B26" s="14"/>
      <c r="C26" s="53" t="s">
        <v>68</v>
      </c>
      <c r="D26" s="53" t="s">
        <v>69</v>
      </c>
      <c r="E26" s="53" t="s">
        <v>70</v>
      </c>
      <c r="G26" s="37" t="str" cm="1">
        <f t="array" ref="G26:G28">AlignUniqueλ(RST_array,TRUE)</f>
        <v>Roger</v>
      </c>
      <c r="N26" s="15"/>
    </row>
    <row r="27" spans="2:14" x14ac:dyDescent="0.45">
      <c r="B27" s="14"/>
      <c r="C27" s="53" t="s">
        <v>69</v>
      </c>
      <c r="D27" s="53" t="s">
        <v>70</v>
      </c>
      <c r="E27" s="53" t="s">
        <v>69</v>
      </c>
      <c r="G27" s="37" t="str">
        <v>Sierra</v>
      </c>
      <c r="N27" s="15"/>
    </row>
    <row r="28" spans="2:14" x14ac:dyDescent="0.45">
      <c r="B28" s="14"/>
      <c r="C28" s="53" t="s">
        <v>70</v>
      </c>
      <c r="D28" s="53" t="s">
        <v>68</v>
      </c>
      <c r="E28" s="53" t="s">
        <v>68</v>
      </c>
      <c r="G28" s="37" t="str">
        <v>Tango</v>
      </c>
      <c r="N28" s="15"/>
    </row>
    <row r="29" spans="2:14" x14ac:dyDescent="0.45">
      <c r="B29" s="21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1CC36-C4D9-4A72-A792-6E76684AAC41}">
  <sheetPr>
    <tabColor rgb="FFA9B7C8"/>
  </sheetPr>
  <dimension ref="B2:R25"/>
  <sheetViews>
    <sheetView workbookViewId="0"/>
  </sheetViews>
  <sheetFormatPr defaultRowHeight="16.5" x14ac:dyDescent="0.45"/>
  <cols>
    <col min="1" max="1" width="5" customWidth="1"/>
    <col min="2" max="2" width="5.6640625" customWidth="1"/>
    <col min="3" max="3" width="11.25" bestFit="1" customWidth="1"/>
    <col min="4" max="4" width="9.33203125" customWidth="1"/>
    <col min="5" max="5" width="12" bestFit="1" customWidth="1"/>
    <col min="6" max="6" width="9.25" bestFit="1" customWidth="1"/>
    <col min="7" max="7" width="12" bestFit="1" customWidth="1"/>
    <col min="9" max="9" width="12" bestFit="1" customWidth="1"/>
    <col min="10" max="10" width="9.25" bestFit="1" customWidth="1"/>
    <col min="11" max="11" width="10.5" bestFit="1" customWidth="1"/>
    <col min="13" max="13" width="10.5" bestFit="1" customWidth="1"/>
    <col min="18" max="18" width="4.1640625" customWidth="1"/>
  </cols>
  <sheetData>
    <row r="2" spans="2:18" x14ac:dyDescent="0.45">
      <c r="B2" s="24" t="s">
        <v>74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3"/>
    </row>
    <row r="3" spans="2:18" x14ac:dyDescent="0.45">
      <c r="B3" s="16" t="s">
        <v>75</v>
      </c>
      <c r="R3" s="15"/>
    </row>
    <row r="4" spans="2:18" x14ac:dyDescent="0.45">
      <c r="B4" s="14" t="s">
        <v>76</v>
      </c>
      <c r="R4" s="15"/>
    </row>
    <row r="5" spans="2:18" x14ac:dyDescent="0.45">
      <c r="B5" s="14" t="s">
        <v>77</v>
      </c>
      <c r="R5" s="15"/>
    </row>
    <row r="6" spans="2:18" x14ac:dyDescent="0.45">
      <c r="B6" s="16" t="s">
        <v>25</v>
      </c>
      <c r="R6" s="15"/>
    </row>
    <row r="7" spans="2:18" x14ac:dyDescent="0.45">
      <c r="B7" s="14" t="s">
        <v>78</v>
      </c>
      <c r="R7" s="15"/>
    </row>
    <row r="8" spans="2:18" x14ac:dyDescent="0.45">
      <c r="B8" s="14" t="s">
        <v>79</v>
      </c>
      <c r="R8" s="15"/>
    </row>
    <row r="9" spans="2:18" x14ac:dyDescent="0.45">
      <c r="B9" s="14" t="s">
        <v>101</v>
      </c>
      <c r="R9" s="15"/>
    </row>
    <row r="10" spans="2:18" x14ac:dyDescent="0.45">
      <c r="B10" s="14" t="s">
        <v>80</v>
      </c>
      <c r="R10" s="15"/>
    </row>
    <row r="11" spans="2:18" x14ac:dyDescent="0.45">
      <c r="B11" s="21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3"/>
    </row>
    <row r="12" spans="2:18" x14ac:dyDescent="0.45">
      <c r="B12" s="14"/>
      <c r="C12" s="18" t="s">
        <v>86</v>
      </c>
      <c r="G12" s="18" t="s">
        <v>85</v>
      </c>
      <c r="K12" s="18" t="s">
        <v>84</v>
      </c>
      <c r="O12" s="18" t="s">
        <v>83</v>
      </c>
      <c r="R12" s="15"/>
    </row>
    <row r="13" spans="2:18" x14ac:dyDescent="0.45">
      <c r="B13" s="14"/>
      <c r="C13" s="26" t="s">
        <v>82</v>
      </c>
      <c r="D13" s="26" t="s">
        <v>81</v>
      </c>
      <c r="E13" s="26" t="s">
        <v>90</v>
      </c>
      <c r="F13" s="30"/>
      <c r="G13" s="27" t="s">
        <v>82</v>
      </c>
      <c r="H13" s="27" t="s">
        <v>81</v>
      </c>
      <c r="I13" s="27" t="s">
        <v>90</v>
      </c>
      <c r="J13" s="30"/>
      <c r="K13" s="28" t="s">
        <v>82</v>
      </c>
      <c r="L13" s="28" t="s">
        <v>81</v>
      </c>
      <c r="M13" s="28" t="s">
        <v>90</v>
      </c>
      <c r="N13" s="30"/>
      <c r="O13" s="29" t="s">
        <v>82</v>
      </c>
      <c r="P13" s="29" t="s">
        <v>81</v>
      </c>
      <c r="Q13" s="29" t="s">
        <v>90</v>
      </c>
      <c r="R13" s="15"/>
    </row>
    <row r="14" spans="2:18" x14ac:dyDescent="0.45">
      <c r="B14" s="14"/>
      <c r="C14" s="10">
        <v>2589</v>
      </c>
      <c r="D14" s="37" t="s">
        <v>87</v>
      </c>
      <c r="E14" s="37" t="s">
        <v>97</v>
      </c>
      <c r="F14" s="30"/>
      <c r="G14" s="10">
        <v>2589</v>
      </c>
      <c r="H14" s="37" t="s">
        <v>87</v>
      </c>
      <c r="I14" s="37" t="s">
        <v>91</v>
      </c>
      <c r="J14" s="30"/>
      <c r="K14" s="10">
        <v>2589</v>
      </c>
      <c r="L14" s="37" t="s">
        <v>87</v>
      </c>
      <c r="M14" s="37" t="s">
        <v>92</v>
      </c>
      <c r="N14" s="30"/>
      <c r="O14" s="10">
        <v>2589</v>
      </c>
      <c r="P14" s="37" t="s">
        <v>87</v>
      </c>
      <c r="Q14" s="37" t="s">
        <v>91</v>
      </c>
      <c r="R14" s="15"/>
    </row>
    <row r="15" spans="2:18" x14ac:dyDescent="0.45">
      <c r="B15" s="14"/>
      <c r="C15" s="10" t="s">
        <v>95</v>
      </c>
      <c r="D15" s="37" t="s">
        <v>88</v>
      </c>
      <c r="E15" s="37" t="s">
        <v>93</v>
      </c>
      <c r="F15" s="30"/>
      <c r="G15" s="10">
        <v>2590</v>
      </c>
      <c r="H15" s="37" t="s">
        <v>88</v>
      </c>
      <c r="I15" s="37" t="s">
        <v>94</v>
      </c>
      <c r="J15" s="30"/>
      <c r="K15" s="10">
        <v>2590</v>
      </c>
      <c r="L15" s="37" t="s">
        <v>88</v>
      </c>
      <c r="M15" s="37" t="s">
        <v>91</v>
      </c>
      <c r="N15" s="30"/>
      <c r="O15" s="10">
        <v>2590</v>
      </c>
      <c r="P15" s="37" t="s">
        <v>88</v>
      </c>
      <c r="Q15" s="37" t="s">
        <v>91</v>
      </c>
      <c r="R15" s="15"/>
    </row>
    <row r="16" spans="2:18" x14ac:dyDescent="0.45">
      <c r="B16" s="14"/>
      <c r="C16" s="10">
        <v>2591</v>
      </c>
      <c r="D16" s="37" t="s">
        <v>89</v>
      </c>
      <c r="E16" s="37" t="s">
        <v>92</v>
      </c>
      <c r="F16" s="30"/>
      <c r="G16" s="10">
        <v>2591</v>
      </c>
      <c r="H16" s="37" t="s">
        <v>89</v>
      </c>
      <c r="I16" s="37" t="s">
        <v>91</v>
      </c>
      <c r="J16" s="30"/>
      <c r="K16" s="10">
        <v>2591</v>
      </c>
      <c r="L16" s="37" t="s">
        <v>89</v>
      </c>
      <c r="M16" s="37" t="s">
        <v>91</v>
      </c>
      <c r="N16" s="30"/>
      <c r="O16" s="10"/>
      <c r="P16" s="37"/>
      <c r="Q16" s="37"/>
      <c r="R16" s="15"/>
    </row>
    <row r="17" spans="2:18" x14ac:dyDescent="0.45">
      <c r="B17" s="14"/>
      <c r="R17" s="15"/>
    </row>
    <row r="18" spans="2:18" x14ac:dyDescent="0.45">
      <c r="B18" s="14"/>
      <c r="E18" s="17" t="s">
        <v>98</v>
      </c>
      <c r="I18" s="17" t="s">
        <v>100</v>
      </c>
      <c r="R18" s="15"/>
    </row>
    <row r="19" spans="2:18" x14ac:dyDescent="0.45">
      <c r="B19" s="14"/>
      <c r="E19" s="19" t="s">
        <v>96</v>
      </c>
      <c r="I19" s="19" t="s">
        <v>99</v>
      </c>
      <c r="R19" s="15"/>
    </row>
    <row r="20" spans="2:18" x14ac:dyDescent="0.45">
      <c r="B20" s="14"/>
      <c r="E20" s="10" t="str" cm="1">
        <f t="array" ref="E20:G23">Coalesceλ(April,March,February,January)</f>
        <v>EID</v>
      </c>
      <c r="F20" s="10" t="str">
        <v>Employee</v>
      </c>
      <c r="G20" s="10" t="str">
        <v>Status</v>
      </c>
      <c r="I20" s="10" t="str" cm="1">
        <f t="array" ref="I20:K23">Coalesceλ(April,March,February,January,"See Previous","Active")</f>
        <v>EID</v>
      </c>
      <c r="J20" s="10" t="str">
        <v>Employee</v>
      </c>
      <c r="K20" s="10" t="str">
        <v>Status</v>
      </c>
      <c r="R20" s="15"/>
    </row>
    <row r="21" spans="2:18" x14ac:dyDescent="0.45">
      <c r="B21" s="14"/>
      <c r="E21" s="10">
        <v>2589</v>
      </c>
      <c r="F21" s="37" t="str">
        <v>Johnson</v>
      </c>
      <c r="G21" s="37" t="str">
        <v>See previous</v>
      </c>
      <c r="I21" s="10">
        <v>2589</v>
      </c>
      <c r="J21" s="37" t="str">
        <v>Johnson</v>
      </c>
      <c r="K21" s="37" t="str">
        <v>Active</v>
      </c>
      <c r="R21" s="15"/>
    </row>
    <row r="22" spans="2:18" x14ac:dyDescent="0.45">
      <c r="B22" s="14"/>
      <c r="E22" s="10" t="str">
        <v>ZZZZ</v>
      </c>
      <c r="F22" s="37" t="str">
        <v>Watts</v>
      </c>
      <c r="G22" s="37" t="str">
        <v>Terminated</v>
      </c>
      <c r="I22" s="10" t="str">
        <v>ZZZZ</v>
      </c>
      <c r="J22" s="37" t="str">
        <v>Watts</v>
      </c>
      <c r="K22" s="37" t="str">
        <v>Terminated</v>
      </c>
      <c r="R22" s="15"/>
    </row>
    <row r="23" spans="2:18" x14ac:dyDescent="0.45">
      <c r="B23" s="14"/>
      <c r="E23" s="10">
        <v>2591</v>
      </c>
      <c r="F23" s="37" t="str">
        <v>Jacobs</v>
      </c>
      <c r="G23" s="37" t="str">
        <v>On Leave</v>
      </c>
      <c r="I23" s="10">
        <v>2591</v>
      </c>
      <c r="J23" s="37" t="str">
        <v>Jacobs</v>
      </c>
      <c r="K23" s="37" t="str">
        <v>On Leave</v>
      </c>
      <c r="R23" s="15"/>
    </row>
    <row r="24" spans="2:18" x14ac:dyDescent="0.45">
      <c r="B24" s="14"/>
      <c r="R24" s="15"/>
    </row>
    <row r="25" spans="2:18" x14ac:dyDescent="0.45">
      <c r="B25" s="21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555B1-B5F5-4363-9092-0CDC53481E5B}">
  <sheetPr>
    <tabColor rgb="FFA9B7C8"/>
  </sheetPr>
  <dimension ref="B2:Y33"/>
  <sheetViews>
    <sheetView workbookViewId="0"/>
  </sheetViews>
  <sheetFormatPr defaultRowHeight="16.5" x14ac:dyDescent="0.45"/>
  <cols>
    <col min="1" max="1" width="5" customWidth="1"/>
    <col min="3" max="3" width="12.25" bestFit="1" customWidth="1"/>
    <col min="5" max="5" width="3.4140625" customWidth="1"/>
    <col min="6" max="13" width="4.33203125" customWidth="1"/>
    <col min="14" max="14" width="5.33203125" customWidth="1"/>
    <col min="15" max="24" width="4.33203125" customWidth="1"/>
    <col min="25" max="25" width="5.6640625" customWidth="1"/>
  </cols>
  <sheetData>
    <row r="2" spans="2:25" x14ac:dyDescent="0.45">
      <c r="B2" s="24" t="s">
        <v>102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3"/>
    </row>
    <row r="3" spans="2:25" x14ac:dyDescent="0.45">
      <c r="B3" s="14" t="s">
        <v>103</v>
      </c>
      <c r="Y3" s="15"/>
    </row>
    <row r="4" spans="2:25" x14ac:dyDescent="0.45">
      <c r="B4" s="16" t="s">
        <v>25</v>
      </c>
      <c r="Y4" s="15"/>
    </row>
    <row r="5" spans="2:25" x14ac:dyDescent="0.45">
      <c r="B5" s="14" t="s">
        <v>104</v>
      </c>
      <c r="Y5" s="15"/>
    </row>
    <row r="6" spans="2:25" x14ac:dyDescent="0.45">
      <c r="B6" s="21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3"/>
    </row>
    <row r="7" spans="2:25" x14ac:dyDescent="0.45">
      <c r="B7" s="14"/>
      <c r="F7" s="17" t="s">
        <v>116</v>
      </c>
      <c r="M7" s="18" t="s">
        <v>112</v>
      </c>
      <c r="P7" s="17" t="s">
        <v>115</v>
      </c>
      <c r="Y7" s="15"/>
    </row>
    <row r="8" spans="2:25" x14ac:dyDescent="0.45">
      <c r="B8" s="14"/>
      <c r="C8" s="54" t="s">
        <v>108</v>
      </c>
      <c r="F8" s="19" t="s">
        <v>109</v>
      </c>
      <c r="L8" s="47" t="s">
        <v>110</v>
      </c>
      <c r="M8" s="47" t="s">
        <v>111</v>
      </c>
      <c r="N8" s="47" t="s">
        <v>113</v>
      </c>
      <c r="P8" s="19" t="s">
        <v>114</v>
      </c>
      <c r="Y8" s="15"/>
    </row>
    <row r="9" spans="2:25" x14ac:dyDescent="0.45">
      <c r="B9" s="14"/>
      <c r="C9" s="48" t="s">
        <v>105</v>
      </c>
      <c r="F9" s="10" t="str" cm="1">
        <f t="array" ref="F9:J11">Explodeλ(HelloWorld)</f>
        <v>H</v>
      </c>
      <c r="G9" s="10" t="str">
        <v>e</v>
      </c>
      <c r="H9" s="10" t="str">
        <v>l</v>
      </c>
      <c r="I9" s="10" t="str">
        <v>l</v>
      </c>
      <c r="J9" s="10" t="str">
        <v>o</v>
      </c>
      <c r="K9" s="31"/>
      <c r="P9" s="10" t="str" cm="1">
        <f t="array" ref="P9:R14">Explodeλ(Excel)</f>
        <v>T</v>
      </c>
      <c r="Q9" s="10" t="str">
        <v>i</v>
      </c>
      <c r="R9" s="10" t="str">
        <v>E</v>
      </c>
      <c r="Y9" s="15"/>
    </row>
    <row r="10" spans="2:25" x14ac:dyDescent="0.45">
      <c r="B10" s="14"/>
      <c r="C10" s="48" t="s">
        <v>106</v>
      </c>
      <c r="F10" s="10" t="str">
        <v>W</v>
      </c>
      <c r="G10" s="10" t="str">
        <v>o</v>
      </c>
      <c r="H10" s="10" t="str">
        <v>r</v>
      </c>
      <c r="I10" s="10" t="str">
        <v>l</v>
      </c>
      <c r="J10" s="10" t="str">
        <v>d</v>
      </c>
      <c r="K10" s="31"/>
      <c r="P10" s="10" t="str">
        <v>h</v>
      </c>
      <c r="Q10" s="10" t="str">
        <v>s</v>
      </c>
      <c r="R10" s="10" t="str">
        <v>x</v>
      </c>
      <c r="Y10" s="15"/>
    </row>
    <row r="11" spans="2:25" x14ac:dyDescent="0.45">
      <c r="B11" s="14"/>
      <c r="C11" s="48" t="s">
        <v>107</v>
      </c>
      <c r="F11" s="10" t="str">
        <v>D</v>
      </c>
      <c r="G11" s="10" t="str">
        <v>e</v>
      </c>
      <c r="H11" s="10" t="str">
        <v>m</v>
      </c>
      <c r="I11" s="10" t="str">
        <v>o</v>
      </c>
      <c r="J11" s="10" t="str">
        <v/>
      </c>
      <c r="K11" s="31"/>
      <c r="P11" s="10" t="str">
        <v>i</v>
      </c>
      <c r="Q11" s="10" t="str">
        <v/>
      </c>
      <c r="R11" s="10" t="str">
        <v>c</v>
      </c>
      <c r="Y11" s="15"/>
    </row>
    <row r="12" spans="2:25" x14ac:dyDescent="0.45">
      <c r="B12" s="14"/>
      <c r="P12" s="10" t="str">
        <v>s</v>
      </c>
      <c r="Q12" s="10" t="str">
        <v/>
      </c>
      <c r="R12" s="10" t="str">
        <v>e</v>
      </c>
      <c r="Y12" s="15"/>
    </row>
    <row r="13" spans="2:25" x14ac:dyDescent="0.45">
      <c r="B13" s="14"/>
      <c r="P13" s="10" t="str">
        <v/>
      </c>
      <c r="Q13" s="10" t="str">
        <v/>
      </c>
      <c r="R13" s="10" t="str">
        <v>l</v>
      </c>
      <c r="Y13" s="15"/>
    </row>
    <row r="14" spans="2:25" x14ac:dyDescent="0.45">
      <c r="B14" s="14"/>
      <c r="C14" s="54" t="s">
        <v>128</v>
      </c>
      <c r="F14" s="17" t="s">
        <v>130</v>
      </c>
      <c r="P14" s="10" t="str">
        <v/>
      </c>
      <c r="Q14" s="10" t="str">
        <v/>
      </c>
      <c r="R14" s="10" t="str">
        <v>!</v>
      </c>
      <c r="Y14" s="15"/>
    </row>
    <row r="15" spans="2:25" x14ac:dyDescent="0.45">
      <c r="B15" s="14"/>
      <c r="C15" s="49">
        <v>123456789</v>
      </c>
      <c r="F15" s="19" t="s">
        <v>129</v>
      </c>
      <c r="Y15" s="15"/>
    </row>
    <row r="16" spans="2:25" x14ac:dyDescent="0.45">
      <c r="B16" s="14"/>
      <c r="F16" s="10" t="str" cm="1">
        <f t="array" ref="F16:N16">Explodeλ(ScalarInput)</f>
        <v>1</v>
      </c>
      <c r="G16" s="10" t="str">
        <v>2</v>
      </c>
      <c r="H16" s="10" t="str">
        <v>3</v>
      </c>
      <c r="I16" s="10" t="str">
        <v>4</v>
      </c>
      <c r="J16" s="10" t="str">
        <v>5</v>
      </c>
      <c r="K16" s="10" t="str">
        <v>6</v>
      </c>
      <c r="L16" s="10" t="str">
        <v>7</v>
      </c>
      <c r="M16" s="10" t="str">
        <v>8</v>
      </c>
      <c r="N16" s="10" t="str">
        <v>9</v>
      </c>
      <c r="Y16" s="15"/>
    </row>
    <row r="17" spans="2:25" x14ac:dyDescent="0.45">
      <c r="B17" s="14"/>
      <c r="Y17" s="15"/>
    </row>
    <row r="18" spans="2:25" x14ac:dyDescent="0.45">
      <c r="B18" s="14"/>
      <c r="Y18" s="15"/>
    </row>
    <row r="19" spans="2:25" x14ac:dyDescent="0.45">
      <c r="B19" s="14"/>
      <c r="Y19" s="15"/>
    </row>
    <row r="20" spans="2:25" x14ac:dyDescent="0.45">
      <c r="B20" s="14"/>
      <c r="Y20" s="15"/>
    </row>
    <row r="21" spans="2:25" x14ac:dyDescent="0.45">
      <c r="B21" s="14"/>
      <c r="Y21" s="15"/>
    </row>
    <row r="22" spans="2:25" x14ac:dyDescent="0.45">
      <c r="B22" s="14"/>
      <c r="C22" s="54" t="s">
        <v>127</v>
      </c>
      <c r="F22" s="17" t="s">
        <v>124</v>
      </c>
      <c r="J22" s="17" t="s">
        <v>126</v>
      </c>
      <c r="Y22" s="15"/>
    </row>
    <row r="23" spans="2:25" x14ac:dyDescent="0.45">
      <c r="B23" s="47" t="s">
        <v>117</v>
      </c>
      <c r="C23" s="47" t="s">
        <v>118</v>
      </c>
      <c r="D23" s="47" t="s">
        <v>119</v>
      </c>
      <c r="F23" s="19" t="s">
        <v>123</v>
      </c>
      <c r="J23" s="19" t="s">
        <v>125</v>
      </c>
      <c r="Y23" s="15"/>
    </row>
    <row r="24" spans="2:25" x14ac:dyDescent="0.45">
      <c r="B24" s="47" t="s">
        <v>120</v>
      </c>
      <c r="C24" s="47" t="s">
        <v>121</v>
      </c>
      <c r="D24" s="47" t="s">
        <v>122</v>
      </c>
      <c r="F24" s="10" t="str" cm="1">
        <f t="array" ref="F24:H33">Explodeλ(Numbers)</f>
        <v>O</v>
      </c>
      <c r="G24" s="10" t="str">
        <v>T</v>
      </c>
      <c r="H24" s="10" t="str">
        <v>T</v>
      </c>
      <c r="J24" s="10" t="str" cm="1">
        <f t="array" ref="J24:X25">Explodeλ(Numbers,TRUE)</f>
        <v>O</v>
      </c>
      <c r="K24" s="10" t="str">
        <v>N</v>
      </c>
      <c r="L24" s="10" t="str">
        <v>E</v>
      </c>
      <c r="M24" s="10" t="str">
        <v/>
      </c>
      <c r="N24" s="10" t="str">
        <v/>
      </c>
      <c r="O24" s="10" t="str">
        <v>T</v>
      </c>
      <c r="P24" s="10" t="str">
        <v>W</v>
      </c>
      <c r="Q24" s="10" t="str">
        <v>O</v>
      </c>
      <c r="R24" s="10" t="str">
        <v/>
      </c>
      <c r="S24" s="10" t="str">
        <v/>
      </c>
      <c r="T24" s="10" t="str">
        <v>T</v>
      </c>
      <c r="U24" s="10" t="str">
        <v>H</v>
      </c>
      <c r="V24" s="10" t="str">
        <v>R</v>
      </c>
      <c r="W24" s="10" t="str">
        <v>E</v>
      </c>
      <c r="X24" s="10" t="str">
        <v>E</v>
      </c>
      <c r="Y24" s="15"/>
    </row>
    <row r="25" spans="2:25" x14ac:dyDescent="0.45">
      <c r="B25" s="14"/>
      <c r="F25" s="10" t="str">
        <v>N</v>
      </c>
      <c r="G25" s="10" t="str">
        <v>W</v>
      </c>
      <c r="H25" s="10" t="str">
        <v>H</v>
      </c>
      <c r="J25" s="10" t="str">
        <v>F</v>
      </c>
      <c r="K25" s="10" t="str">
        <v>O</v>
      </c>
      <c r="L25" s="10" t="str">
        <v>U</v>
      </c>
      <c r="M25" s="10" t="str">
        <v>R</v>
      </c>
      <c r="N25" s="10" t="str">
        <v/>
      </c>
      <c r="O25" s="10" t="str">
        <v>F</v>
      </c>
      <c r="P25" s="10" t="str">
        <v>I</v>
      </c>
      <c r="Q25" s="10" t="str">
        <v>V</v>
      </c>
      <c r="R25" s="10" t="str">
        <v>E</v>
      </c>
      <c r="S25" s="10" t="str">
        <v/>
      </c>
      <c r="T25" s="10" t="str">
        <v>S</v>
      </c>
      <c r="U25" s="10" t="str">
        <v>I</v>
      </c>
      <c r="V25" s="10" t="str">
        <v>X</v>
      </c>
      <c r="W25" s="10" t="str">
        <v/>
      </c>
      <c r="X25" s="10" t="str">
        <v/>
      </c>
      <c r="Y25" s="15"/>
    </row>
    <row r="26" spans="2:25" x14ac:dyDescent="0.45">
      <c r="B26" s="14"/>
      <c r="F26" s="10" t="str">
        <v>E</v>
      </c>
      <c r="G26" s="10" t="str">
        <v>O</v>
      </c>
      <c r="H26" s="10" t="str">
        <v>R</v>
      </c>
      <c r="Y26" s="15"/>
    </row>
    <row r="27" spans="2:25" x14ac:dyDescent="0.45">
      <c r="B27" s="14"/>
      <c r="F27" s="10" t="str">
        <v/>
      </c>
      <c r="G27" s="10" t="str">
        <v/>
      </c>
      <c r="H27" s="10" t="str">
        <v>E</v>
      </c>
      <c r="Y27" s="15"/>
    </row>
    <row r="28" spans="2:25" x14ac:dyDescent="0.45">
      <c r="B28" s="14"/>
      <c r="F28" s="10" t="str">
        <v/>
      </c>
      <c r="G28" s="10" t="str">
        <v/>
      </c>
      <c r="H28" s="10" t="str">
        <v>E</v>
      </c>
      <c r="Y28" s="15"/>
    </row>
    <row r="29" spans="2:25" x14ac:dyDescent="0.45">
      <c r="B29" s="14"/>
      <c r="F29" s="10" t="str">
        <v>F</v>
      </c>
      <c r="G29" s="10" t="str">
        <v>F</v>
      </c>
      <c r="H29" s="10" t="str">
        <v>S</v>
      </c>
      <c r="Y29" s="15"/>
    </row>
    <row r="30" spans="2:25" x14ac:dyDescent="0.45">
      <c r="B30" s="14"/>
      <c r="F30" s="10" t="str">
        <v>O</v>
      </c>
      <c r="G30" s="10" t="str">
        <v>I</v>
      </c>
      <c r="H30" s="10" t="str">
        <v>I</v>
      </c>
      <c r="Y30" s="15"/>
    </row>
    <row r="31" spans="2:25" x14ac:dyDescent="0.45">
      <c r="B31" s="14"/>
      <c r="F31" s="10" t="str">
        <v>U</v>
      </c>
      <c r="G31" s="10" t="str">
        <v>V</v>
      </c>
      <c r="H31" s="10" t="str">
        <v>X</v>
      </c>
      <c r="Y31" s="15"/>
    </row>
    <row r="32" spans="2:25" x14ac:dyDescent="0.45">
      <c r="B32" s="14"/>
      <c r="F32" s="10" t="str">
        <v>R</v>
      </c>
      <c r="G32" s="10" t="str">
        <v>E</v>
      </c>
      <c r="H32" s="10" t="str">
        <v/>
      </c>
      <c r="Y32" s="15"/>
    </row>
    <row r="33" spans="2:25" x14ac:dyDescent="0.45">
      <c r="B33" s="21"/>
      <c r="C33" s="22"/>
      <c r="D33" s="22"/>
      <c r="E33" s="22"/>
      <c r="F33" s="22" t="str">
        <v/>
      </c>
      <c r="G33" s="22" t="str">
        <v/>
      </c>
      <c r="H33" s="22" t="str">
        <v/>
      </c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3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36339-1C44-4809-9117-2E2F6306F5BD}">
  <sheetPr>
    <tabColor rgb="FFA9B7C8"/>
  </sheetPr>
  <dimension ref="B2:M31"/>
  <sheetViews>
    <sheetView workbookViewId="0"/>
  </sheetViews>
  <sheetFormatPr defaultRowHeight="16.5" x14ac:dyDescent="0.45"/>
  <cols>
    <col min="1" max="1" width="5" customWidth="1"/>
    <col min="5" max="5" width="5" customWidth="1"/>
    <col min="6" max="6" width="7.83203125" customWidth="1"/>
    <col min="7" max="10" width="3.58203125" customWidth="1"/>
    <col min="11" max="11" width="5.5" customWidth="1"/>
    <col min="12" max="12" width="9.6640625" customWidth="1"/>
    <col min="13" max="13" width="15.58203125" customWidth="1"/>
    <col min="14" max="14" width="6.25" customWidth="1"/>
    <col min="15" max="15" width="23.4140625" customWidth="1"/>
    <col min="16" max="22" width="3.58203125" customWidth="1"/>
    <col min="23" max="23" width="4.6640625" customWidth="1"/>
  </cols>
  <sheetData>
    <row r="2" spans="2:13" x14ac:dyDescent="0.45">
      <c r="B2" s="24" t="s">
        <v>132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3"/>
    </row>
    <row r="3" spans="2:13" x14ac:dyDescent="0.45">
      <c r="B3" s="39" t="s">
        <v>133</v>
      </c>
      <c r="M3" s="15"/>
    </row>
    <row r="4" spans="2:13" x14ac:dyDescent="0.45">
      <c r="B4" s="14"/>
      <c r="M4" s="15"/>
    </row>
    <row r="5" spans="2:13" x14ac:dyDescent="0.45">
      <c r="B5" s="16" t="s">
        <v>156</v>
      </c>
      <c r="M5" s="15"/>
    </row>
    <row r="6" spans="2:13" x14ac:dyDescent="0.45">
      <c r="B6" s="14" t="s">
        <v>131</v>
      </c>
      <c r="M6" s="15"/>
    </row>
    <row r="7" spans="2:13" x14ac:dyDescent="0.45">
      <c r="B7" s="21"/>
      <c r="C7" s="22"/>
      <c r="D7" s="22"/>
      <c r="E7" s="22"/>
      <c r="F7" s="22"/>
      <c r="G7" s="22"/>
      <c r="H7" s="22"/>
      <c r="I7" s="22"/>
      <c r="J7" s="22"/>
      <c r="K7" s="22"/>
      <c r="L7" s="22"/>
      <c r="M7" s="23"/>
    </row>
    <row r="8" spans="2:13" x14ac:dyDescent="0.45">
      <c r="B8" s="38"/>
      <c r="C8" s="12"/>
      <c r="D8" s="12"/>
      <c r="E8" s="12"/>
      <c r="F8" s="12"/>
      <c r="G8" s="12"/>
      <c r="H8" s="12"/>
      <c r="I8" s="12"/>
      <c r="J8" s="12"/>
      <c r="K8" s="12"/>
      <c r="L8" s="12"/>
      <c r="M8" s="13"/>
    </row>
    <row r="9" spans="2:13" x14ac:dyDescent="0.45">
      <c r="B9" s="14"/>
      <c r="M9" s="15"/>
    </row>
    <row r="10" spans="2:13" x14ac:dyDescent="0.45">
      <c r="B10" s="14"/>
      <c r="D10" s="18" t="s">
        <v>157</v>
      </c>
      <c r="F10" s="17" t="s">
        <v>127</v>
      </c>
      <c r="L10" s="17" t="s">
        <v>142</v>
      </c>
      <c r="M10" s="15"/>
    </row>
    <row r="11" spans="2:13" x14ac:dyDescent="0.45">
      <c r="B11" s="16"/>
      <c r="F11" s="19" t="s">
        <v>154</v>
      </c>
      <c r="L11" s="19" t="s">
        <v>155</v>
      </c>
      <c r="M11" s="41"/>
    </row>
    <row r="12" spans="2:13" x14ac:dyDescent="0.45">
      <c r="B12" s="14"/>
      <c r="F12" s="37" cm="1">
        <f t="array" ref="F12">NumbersOnlyλ("123A456B")</f>
        <v>123456</v>
      </c>
      <c r="L12" s="37" t="str" cm="1">
        <f t="array" ref="L12">TextOnlyλ("123A456B")</f>
        <v>AB</v>
      </c>
      <c r="M12" s="41"/>
    </row>
    <row r="13" spans="2:13" x14ac:dyDescent="0.45">
      <c r="B13" s="21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3"/>
    </row>
    <row r="14" spans="2:13" x14ac:dyDescent="0.45">
      <c r="B14" s="38"/>
      <c r="C14" s="12"/>
      <c r="D14" s="12"/>
      <c r="E14" s="12"/>
      <c r="F14" s="43" t="s">
        <v>127</v>
      </c>
      <c r="G14" s="44"/>
      <c r="H14" s="44"/>
      <c r="I14" s="44"/>
      <c r="J14" s="44"/>
      <c r="K14" s="44"/>
      <c r="L14" s="43" t="s">
        <v>142</v>
      </c>
      <c r="M14" s="13"/>
    </row>
    <row r="15" spans="2:13" x14ac:dyDescent="0.45">
      <c r="B15" s="14"/>
      <c r="C15" s="18" t="s">
        <v>134</v>
      </c>
      <c r="F15" s="42" t="s">
        <v>139</v>
      </c>
      <c r="G15" s="40"/>
      <c r="H15" s="40"/>
      <c r="I15" s="40"/>
      <c r="J15" s="40"/>
      <c r="K15" s="40"/>
      <c r="L15" s="42" t="s">
        <v>143</v>
      </c>
      <c r="M15" s="15"/>
    </row>
    <row r="16" spans="2:13" x14ac:dyDescent="0.45">
      <c r="B16" s="14"/>
      <c r="C16" s="48" t="s">
        <v>135</v>
      </c>
      <c r="F16" s="37" cm="1">
        <f t="array" ref="F16:F20">NumbersOnlyλ(MixedInput)</f>
        <v>5432</v>
      </c>
      <c r="G16" s="32"/>
      <c r="L16" s="37" t="str" cm="1">
        <f t="array" ref="L16:L20">TextOnlyλ(MixedInput)</f>
        <v>RQT</v>
      </c>
      <c r="M16" s="15"/>
    </row>
    <row r="17" spans="2:13" x14ac:dyDescent="0.45">
      <c r="B17" s="14"/>
      <c r="C17" s="48" t="s">
        <v>136</v>
      </c>
      <c r="F17" s="37">
        <v>2959</v>
      </c>
      <c r="G17" s="32"/>
      <c r="L17" s="37" t="str">
        <v>RQT</v>
      </c>
      <c r="M17" s="15"/>
    </row>
    <row r="18" spans="2:13" x14ac:dyDescent="0.45">
      <c r="B18" s="14"/>
      <c r="C18" s="48" t="s">
        <v>137</v>
      </c>
      <c r="F18" s="37">
        <v>5783</v>
      </c>
      <c r="G18" s="32"/>
      <c r="L18" s="37" t="str">
        <v>SLC</v>
      </c>
      <c r="M18" s="15"/>
    </row>
    <row r="19" spans="2:13" x14ac:dyDescent="0.45">
      <c r="B19" s="14"/>
      <c r="C19" s="48" t="s">
        <v>138</v>
      </c>
      <c r="F19" s="37">
        <v>5785</v>
      </c>
      <c r="G19" s="32"/>
      <c r="L19" s="37" t="str">
        <v>SLC</v>
      </c>
      <c r="M19" s="15"/>
    </row>
    <row r="20" spans="2:13" x14ac:dyDescent="0.45">
      <c r="B20" s="14"/>
      <c r="C20" s="48" t="s">
        <v>140</v>
      </c>
      <c r="F20" s="37">
        <v>1040</v>
      </c>
      <c r="G20" s="32"/>
      <c r="L20" s="37" t="str">
        <v>WCA</v>
      </c>
      <c r="M20" s="15"/>
    </row>
    <row r="21" spans="2:13" x14ac:dyDescent="0.45">
      <c r="B21" s="21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3"/>
    </row>
    <row r="22" spans="2:13" x14ac:dyDescent="0.45">
      <c r="B22" s="14"/>
      <c r="M22" s="15"/>
    </row>
    <row r="23" spans="2:13" x14ac:dyDescent="0.45">
      <c r="B23" s="14"/>
      <c r="C23" s="18" t="s">
        <v>144</v>
      </c>
      <c r="F23" s="17" t="s">
        <v>152</v>
      </c>
      <c r="L23" s="17" t="s">
        <v>153</v>
      </c>
      <c r="M23" s="15"/>
    </row>
    <row r="24" spans="2:13" x14ac:dyDescent="0.45">
      <c r="B24" s="50" t="s">
        <v>147</v>
      </c>
      <c r="C24" s="51" t="s">
        <v>145</v>
      </c>
      <c r="D24" s="52" t="s">
        <v>146</v>
      </c>
      <c r="E24" s="20"/>
      <c r="F24" s="19" t="s">
        <v>151</v>
      </c>
      <c r="L24" s="19" t="s">
        <v>141</v>
      </c>
      <c r="M24" s="15"/>
    </row>
    <row r="25" spans="2:13" x14ac:dyDescent="0.45">
      <c r="B25" s="50" t="s">
        <v>148</v>
      </c>
      <c r="C25" s="51" t="s">
        <v>149</v>
      </c>
      <c r="D25" s="52" t="s">
        <v>150</v>
      </c>
      <c r="E25" s="20"/>
      <c r="F25" s="37" cm="1">
        <f t="array" ref="F25:F30">NumbersOnlyλ(Mixed2D)</f>
        <v>11</v>
      </c>
      <c r="L25" s="37" t="str" cm="1">
        <f t="array" ref="L25:L30">TextOnlyλ(Mixed2D)</f>
        <v>RC</v>
      </c>
      <c r="M25" s="15"/>
    </row>
    <row r="26" spans="2:13" x14ac:dyDescent="0.45">
      <c r="B26" s="14"/>
      <c r="F26" s="37">
        <v>40</v>
      </c>
      <c r="L26" s="37" t="str">
        <v>WC</v>
      </c>
      <c r="M26" s="15"/>
    </row>
    <row r="27" spans="2:13" x14ac:dyDescent="0.45">
      <c r="B27" s="14"/>
      <c r="F27" s="37">
        <v>22</v>
      </c>
      <c r="L27" s="37" t="str">
        <v>RD</v>
      </c>
      <c r="M27" s="15"/>
    </row>
    <row r="28" spans="2:13" x14ac:dyDescent="0.45">
      <c r="B28" s="14"/>
      <c r="F28" s="37">
        <v>9000</v>
      </c>
      <c r="L28" s="37" t="str">
        <v xml:space="preserve">HAL </v>
      </c>
      <c r="M28" s="15"/>
    </row>
    <row r="29" spans="2:13" x14ac:dyDescent="0.45">
      <c r="B29" s="14"/>
      <c r="F29" s="37">
        <v>365</v>
      </c>
      <c r="L29" s="37" t="str">
        <v xml:space="preserve">Excel </v>
      </c>
      <c r="M29" s="15"/>
    </row>
    <row r="30" spans="2:13" x14ac:dyDescent="0.45">
      <c r="B30" s="14"/>
      <c r="F30" t="str">
        <v/>
      </c>
      <c r="L30" s="37" t="str">
        <v>ALL Text</v>
      </c>
      <c r="M30" s="15"/>
    </row>
    <row r="31" spans="2:13" x14ac:dyDescent="0.45">
      <c r="B31" s="21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3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68AF4-0520-4447-9C6E-F221F8B70AB1}">
  <sheetPr>
    <tabColor rgb="FFA9B7C8"/>
  </sheetPr>
  <dimension ref="B2:O36"/>
  <sheetViews>
    <sheetView workbookViewId="0"/>
  </sheetViews>
  <sheetFormatPr defaultRowHeight="16.5" x14ac:dyDescent="0.45"/>
  <cols>
    <col min="1" max="1" width="5" customWidth="1"/>
    <col min="3" max="3" width="48.83203125" customWidth="1"/>
    <col min="5" max="5" width="14.5" customWidth="1"/>
    <col min="7" max="7" width="4" bestFit="1" customWidth="1"/>
    <col min="15" max="15" width="4.4140625" customWidth="1"/>
  </cols>
  <sheetData>
    <row r="2" spans="2:15" x14ac:dyDescent="0.45">
      <c r="B2" s="24" t="s">
        <v>158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3"/>
    </row>
    <row r="3" spans="2:15" x14ac:dyDescent="0.45">
      <c r="B3" s="55" t="s">
        <v>159</v>
      </c>
      <c r="O3" s="15"/>
    </row>
    <row r="4" spans="2:15" x14ac:dyDescent="0.45">
      <c r="B4" s="14" t="s">
        <v>160</v>
      </c>
      <c r="O4" s="15"/>
    </row>
    <row r="5" spans="2:15" x14ac:dyDescent="0.45">
      <c r="B5" s="14" t="s">
        <v>161</v>
      </c>
      <c r="O5" s="15"/>
    </row>
    <row r="6" spans="2:15" x14ac:dyDescent="0.45">
      <c r="B6" s="16" t="s">
        <v>25</v>
      </c>
      <c r="O6" s="15"/>
    </row>
    <row r="7" spans="2:15" x14ac:dyDescent="0.45">
      <c r="B7" s="14" t="s">
        <v>162</v>
      </c>
      <c r="O7" s="15"/>
    </row>
    <row r="8" spans="2:15" x14ac:dyDescent="0.45">
      <c r="B8" s="14" t="s">
        <v>187</v>
      </c>
      <c r="O8" s="15"/>
    </row>
    <row r="9" spans="2:15" x14ac:dyDescent="0.45">
      <c r="B9" s="14"/>
      <c r="C9" s="18" t="s">
        <v>186</v>
      </c>
      <c r="O9" s="15"/>
    </row>
    <row r="10" spans="2:15" x14ac:dyDescent="0.45">
      <c r="B10" s="21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3"/>
    </row>
    <row r="11" spans="2:15" ht="9.5" customHeight="1" x14ac:dyDescent="0.45">
      <c r="B11" s="38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3"/>
    </row>
    <row r="12" spans="2:15" x14ac:dyDescent="0.45">
      <c r="B12" s="14"/>
      <c r="E12" s="17" t="s">
        <v>173</v>
      </c>
      <c r="O12" s="15"/>
    </row>
    <row r="13" spans="2:15" x14ac:dyDescent="0.45">
      <c r="B13" s="14"/>
      <c r="C13" s="18" t="s">
        <v>171</v>
      </c>
      <c r="E13" s="19" t="s">
        <v>172</v>
      </c>
      <c r="O13" s="15"/>
    </row>
    <row r="14" spans="2:15" x14ac:dyDescent="0.45">
      <c r="B14" s="14"/>
      <c r="C14" s="48" t="s">
        <v>163</v>
      </c>
      <c r="D14" s="20"/>
      <c r="E14" s="34" t="str" cm="1">
        <f t="array" ref="E14:H21">Splitλ(Addresses,"|")</f>
        <v>123 Maple St</v>
      </c>
      <c r="F14" s="35" t="str">
        <v>Springfield</v>
      </c>
      <c r="G14" s="35" t="str">
        <v>IL</v>
      </c>
      <c r="H14" s="36" t="str">
        <v>62704</v>
      </c>
      <c r="O14" s="15"/>
    </row>
    <row r="15" spans="2:15" x14ac:dyDescent="0.45">
      <c r="B15" s="14"/>
      <c r="C15" s="48" t="s">
        <v>164</v>
      </c>
      <c r="D15" s="20"/>
      <c r="E15" s="34" t="str">
        <v>456 Oak Ave</v>
      </c>
      <c r="F15" s="35" t="str">
        <v>Madison</v>
      </c>
      <c r="G15" s="35" t="str">
        <v>WI</v>
      </c>
      <c r="H15" s="36" t="str">
        <v>53703</v>
      </c>
      <c r="O15" s="15"/>
    </row>
    <row r="16" spans="2:15" x14ac:dyDescent="0.45">
      <c r="B16" s="14"/>
      <c r="C16" s="48" t="s">
        <v>165</v>
      </c>
      <c r="D16" s="20"/>
      <c r="E16" s="34" t="str">
        <v>789 Pine Rd</v>
      </c>
      <c r="F16" s="35" t="str">
        <v>Columbus</v>
      </c>
      <c r="G16" s="35" t="str">
        <v>OH</v>
      </c>
      <c r="H16" s="36" t="str">
        <v>43215</v>
      </c>
      <c r="O16" s="15"/>
    </row>
    <row r="17" spans="2:15" x14ac:dyDescent="0.45">
      <c r="B17" s="14"/>
      <c r="C17" s="48" t="s">
        <v>166</v>
      </c>
      <c r="D17" s="20"/>
      <c r="E17" s="34" t="str">
        <v>101 Elm St</v>
      </c>
      <c r="F17" s="35" t="str">
        <v>Denver</v>
      </c>
      <c r="G17" s="35" t="str">
        <v>CO</v>
      </c>
      <c r="H17" s="36" t="str">
        <v>80203</v>
      </c>
      <c r="O17" s="15"/>
    </row>
    <row r="18" spans="2:15" x14ac:dyDescent="0.45">
      <c r="B18" s="14"/>
      <c r="C18" s="48" t="s">
        <v>167</v>
      </c>
      <c r="D18" s="20"/>
      <c r="E18" s="34" t="str">
        <v>202 Birch Blvd</v>
      </c>
      <c r="F18" s="35" t="str">
        <v>Austin</v>
      </c>
      <c r="G18" s="35" t="str">
        <v>TX</v>
      </c>
      <c r="H18" s="36" t="str">
        <v>78701</v>
      </c>
      <c r="O18" s="15"/>
    </row>
    <row r="19" spans="2:15" x14ac:dyDescent="0.45">
      <c r="B19" s="14"/>
      <c r="C19" s="48" t="s">
        <v>168</v>
      </c>
      <c r="D19" s="20"/>
      <c r="E19" s="34" t="str">
        <v>303 Cedar Ln</v>
      </c>
      <c r="F19" s="35" t="str">
        <v>Seattle</v>
      </c>
      <c r="G19" s="35" t="str">
        <v>WA</v>
      </c>
      <c r="H19" s="36" t="str">
        <v>98101</v>
      </c>
      <c r="O19" s="15"/>
    </row>
    <row r="20" spans="2:15" x14ac:dyDescent="0.45">
      <c r="B20" s="14"/>
      <c r="C20" s="48" t="s">
        <v>169</v>
      </c>
      <c r="D20" s="20"/>
      <c r="E20" s="34" t="str">
        <v>404 Spruce Dr</v>
      </c>
      <c r="F20" s="35" t="str">
        <v>Boston</v>
      </c>
      <c r="G20" s="35" t="str">
        <v>MA</v>
      </c>
      <c r="H20" s="36" t="str">
        <v>02108</v>
      </c>
      <c r="O20" s="15"/>
    </row>
    <row r="21" spans="2:15" x14ac:dyDescent="0.45">
      <c r="B21" s="14"/>
      <c r="C21" s="48" t="s">
        <v>170</v>
      </c>
      <c r="D21" s="20"/>
      <c r="E21" s="34" t="str">
        <v>505 Walnut Ct</v>
      </c>
      <c r="F21" s="35" t="str">
        <v>Portland</v>
      </c>
      <c r="G21" s="35" t="str">
        <v>OR</v>
      </c>
      <c r="H21" s="36" t="str">
        <v>97205</v>
      </c>
      <c r="O21" s="15"/>
    </row>
    <row r="22" spans="2:15" x14ac:dyDescent="0.45">
      <c r="B22" s="21"/>
      <c r="C22" s="45"/>
      <c r="D22" s="45"/>
      <c r="E22" s="45"/>
      <c r="F22" s="45"/>
      <c r="G22" s="45"/>
      <c r="H22" s="45"/>
      <c r="I22" s="22"/>
      <c r="J22" s="22"/>
      <c r="K22" s="22"/>
      <c r="L22" s="22"/>
      <c r="M22" s="22"/>
      <c r="N22" s="22"/>
      <c r="O22" s="23"/>
    </row>
    <row r="23" spans="2:15" x14ac:dyDescent="0.45">
      <c r="B23" s="14"/>
      <c r="E23" s="17" t="s">
        <v>185</v>
      </c>
      <c r="O23" s="15"/>
    </row>
    <row r="24" spans="2:15" x14ac:dyDescent="0.45">
      <c r="B24" s="14"/>
      <c r="C24" s="33" t="s">
        <v>174</v>
      </c>
      <c r="E24" s="19" t="s">
        <v>184</v>
      </c>
      <c r="O24" s="15"/>
    </row>
    <row r="25" spans="2:15" x14ac:dyDescent="0.45">
      <c r="B25" s="14"/>
      <c r="C25" s="48" t="s">
        <v>175</v>
      </c>
      <c r="E25" s="10" t="str" cm="1">
        <f t="array" ref="E25:N35">Splitλ(Stats,",","-",TRUE)</f>
        <v>Player</v>
      </c>
      <c r="F25" s="10" t="str">
        <v>FG</v>
      </c>
      <c r="G25" s="10" t="str">
        <v>FGA</v>
      </c>
      <c r="H25" s="10" t="str">
        <v>FG%</v>
      </c>
      <c r="I25" s="10" t="str">
        <v>3P</v>
      </c>
      <c r="J25" s="10" t="str">
        <v>3PA</v>
      </c>
      <c r="K25" s="10" t="str">
        <v>3P%</v>
      </c>
      <c r="L25" s="10" t="str">
        <v>REB</v>
      </c>
      <c r="M25" s="10" t="str">
        <v>AST</v>
      </c>
      <c r="N25" s="10" t="str">
        <v>PTS</v>
      </c>
      <c r="O25" s="15"/>
    </row>
    <row r="26" spans="2:15" x14ac:dyDescent="0.45">
      <c r="B26" s="14"/>
      <c r="C26" s="48" t="s">
        <v>176</v>
      </c>
      <c r="E26" s="37" t="str">
        <v>LeBron James</v>
      </c>
      <c r="F26" s="10" t="str">
        <v xml:space="preserve"> 10</v>
      </c>
      <c r="G26" s="10" t="str">
        <v xml:space="preserve"> 20</v>
      </c>
      <c r="H26" s="10" t="str">
        <v xml:space="preserve"> 50%</v>
      </c>
      <c r="I26" s="10" t="str">
        <v xml:space="preserve"> 3</v>
      </c>
      <c r="J26" s="10" t="str">
        <v xml:space="preserve"> 7</v>
      </c>
      <c r="K26" s="10" t="str">
        <v xml:space="preserve"> 42.9%</v>
      </c>
      <c r="L26" s="10" t="str">
        <v xml:space="preserve"> 8</v>
      </c>
      <c r="M26" s="10" t="str">
        <v xml:space="preserve"> 7</v>
      </c>
      <c r="N26" s="10" t="str">
        <v xml:space="preserve"> 28</v>
      </c>
      <c r="O26" s="15"/>
    </row>
    <row r="27" spans="2:15" x14ac:dyDescent="0.45">
      <c r="B27" s="14"/>
      <c r="C27" s="48" t="s">
        <v>177</v>
      </c>
      <c r="E27" s="37" t="str">
        <v>Stephen Curry</v>
      </c>
      <c r="F27" s="10" t="str">
        <v xml:space="preserve"> 12</v>
      </c>
      <c r="G27" s="10" t="str">
        <v xml:space="preserve"> 25</v>
      </c>
      <c r="H27" s="10" t="str">
        <v xml:space="preserve"> 48%</v>
      </c>
      <c r="I27" s="10" t="str">
        <v xml:space="preserve"> 5</v>
      </c>
      <c r="J27" s="10" t="str">
        <v xml:space="preserve"> 11</v>
      </c>
      <c r="K27" s="10" t="str">
        <v xml:space="preserve"> 45.5%</v>
      </c>
      <c r="L27" s="10" t="str">
        <v xml:space="preserve"> 5</v>
      </c>
      <c r="M27" s="10" t="str">
        <v xml:space="preserve"> 6</v>
      </c>
      <c r="N27" s="10" t="str">
        <v xml:space="preserve"> 30</v>
      </c>
      <c r="O27" s="15"/>
    </row>
    <row r="28" spans="2:15" x14ac:dyDescent="0.45">
      <c r="B28" s="14"/>
      <c r="C28" s="48" t="s">
        <v>182</v>
      </c>
      <c r="E28" s="37" t="str">
        <v>Sleepy Floyd</v>
      </c>
      <c r="F28" s="10" t="str">
        <v xml:space="preserve"> </v>
      </c>
      <c r="G28" s="10" t="str">
        <v xml:space="preserve"> </v>
      </c>
      <c r="H28" s="10" t="str">
        <v xml:space="preserve"> </v>
      </c>
      <c r="I28" s="10" t="str">
        <v xml:space="preserve"> </v>
      </c>
      <c r="J28" s="10" t="str">
        <v xml:space="preserve"> </v>
      </c>
      <c r="K28" s="10" t="str">
        <v xml:space="preserve"> </v>
      </c>
      <c r="L28" s="10" t="str">
        <v xml:space="preserve"> 4</v>
      </c>
      <c r="M28" s="10" t="str">
        <v xml:space="preserve"> 3</v>
      </c>
      <c r="N28" s="10" t="str">
        <v xml:space="preserve"> 15</v>
      </c>
      <c r="O28" s="15"/>
    </row>
    <row r="29" spans="2:15" x14ac:dyDescent="0.45">
      <c r="B29" s="14"/>
      <c r="C29" s="48" t="s">
        <v>183</v>
      </c>
      <c r="E29" s="37" t="str">
        <v>Vernon Maxwell</v>
      </c>
      <c r="F29" s="10" t="str">
        <v>-</v>
      </c>
      <c r="G29" s="10" t="str">
        <v>-</v>
      </c>
      <c r="H29" s="10" t="str">
        <v>-</v>
      </c>
      <c r="I29" s="10" t="str">
        <v>-</v>
      </c>
      <c r="J29" s="10" t="str">
        <v>-</v>
      </c>
      <c r="K29" s="10" t="str">
        <v>-</v>
      </c>
      <c r="L29" s="10" t="str">
        <v>-</v>
      </c>
      <c r="M29" s="10" t="str">
        <v>-</v>
      </c>
      <c r="N29" s="10" t="str">
        <v>-</v>
      </c>
      <c r="O29" s="15"/>
    </row>
    <row r="30" spans="2:15" x14ac:dyDescent="0.45">
      <c r="B30" s="14"/>
      <c r="C30" s="48" t="s">
        <v>178</v>
      </c>
      <c r="E30" s="37" t="str">
        <v>James Harden</v>
      </c>
      <c r="F30" s="10" t="str">
        <v xml:space="preserve"> 8</v>
      </c>
      <c r="G30" s="10" t="str">
        <v xml:space="preserve"> 19</v>
      </c>
      <c r="H30" s="10" t="str">
        <v xml:space="preserve"> 42.1%</v>
      </c>
      <c r="I30" s="10" t="str">
        <v xml:space="preserve"> 6</v>
      </c>
      <c r="J30" s="10" t="str">
        <v xml:space="preserve"> 14</v>
      </c>
      <c r="K30" s="10" t="str">
        <v xml:space="preserve"> 42.9%</v>
      </c>
      <c r="L30" s="10" t="str">
        <v xml:space="preserve"> 6</v>
      </c>
      <c r="M30" s="10" t="str">
        <v xml:space="preserve"> 8</v>
      </c>
      <c r="N30" s="10" t="str">
        <v xml:space="preserve"> 26</v>
      </c>
      <c r="O30" s="15"/>
    </row>
    <row r="31" spans="2:15" x14ac:dyDescent="0.45">
      <c r="B31" s="14"/>
      <c r="C31" s="48" t="s">
        <v>179</v>
      </c>
      <c r="E31" s="37" t="str">
        <v>Kawhi Leonard</v>
      </c>
      <c r="F31" s="10" t="str">
        <v xml:space="preserve"> 7</v>
      </c>
      <c r="G31" s="10" t="str">
        <v xml:space="preserve"> 16</v>
      </c>
      <c r="H31" s="10" t="str">
        <v xml:space="preserve"> 43.8%</v>
      </c>
      <c r="I31" s="10" t="str">
        <v xml:space="preserve"> 2</v>
      </c>
      <c r="J31" s="10" t="str">
        <v xml:space="preserve"> 6</v>
      </c>
      <c r="K31" s="10" t="str">
        <v xml:space="preserve"> 33.3%</v>
      </c>
      <c r="L31" s="10" t="str">
        <v xml:space="preserve"> 6</v>
      </c>
      <c r="M31" s="10" t="str">
        <v xml:space="preserve"> 4</v>
      </c>
      <c r="N31" s="10" t="str">
        <v xml:space="preserve"> 24</v>
      </c>
      <c r="O31" s="15"/>
    </row>
    <row r="32" spans="2:15" x14ac:dyDescent="0.45">
      <c r="B32" s="14"/>
      <c r="C32" s="48" t="s">
        <v>180</v>
      </c>
      <c r="E32" s="37" t="str">
        <v>Luka Doncic</v>
      </c>
      <c r="F32" s="10" t="str">
        <v xml:space="preserve"> 9</v>
      </c>
      <c r="G32" s="10" t="str">
        <v xml:space="preserve"> 21</v>
      </c>
      <c r="H32" s="10" t="str">
        <v xml:space="preserve"> 42.9%</v>
      </c>
      <c r="I32" s="10" t="str">
        <v xml:space="preserve"> 3</v>
      </c>
      <c r="J32" s="10" t="str">
        <v xml:space="preserve"> 8</v>
      </c>
      <c r="K32" s="10" t="str">
        <v xml:space="preserve"> 37.5%</v>
      </c>
      <c r="L32" s="10" t="str">
        <v xml:space="preserve"> 8</v>
      </c>
      <c r="M32" s="10" t="str">
        <v xml:space="preserve"> 9</v>
      </c>
      <c r="N32" s="10" t="str">
        <v xml:space="preserve"> 28</v>
      </c>
      <c r="O32" s="15"/>
    </row>
    <row r="33" spans="2:15" x14ac:dyDescent="0.45">
      <c r="B33" s="14"/>
      <c r="C33" s="48" t="s">
        <v>181</v>
      </c>
      <c r="E33" s="37" t="str">
        <v>Oscar Robertson</v>
      </c>
      <c r="F33" s="10" t="str">
        <v xml:space="preserve"> </v>
      </c>
      <c r="G33" s="10" t="str">
        <v xml:space="preserve"> </v>
      </c>
      <c r="H33" s="10" t="str">
        <v xml:space="preserve"> </v>
      </c>
      <c r="I33" s="10" t="str">
        <v xml:space="preserve"> </v>
      </c>
      <c r="J33" s="10" t="str">
        <v xml:space="preserve"> </v>
      </c>
      <c r="K33" s="10" t="str">
        <v xml:space="preserve"> </v>
      </c>
      <c r="L33" s="10" t="str">
        <v xml:space="preserve"> 11</v>
      </c>
      <c r="M33" s="10" t="str">
        <v xml:space="preserve"> 12</v>
      </c>
      <c r="N33" s="10" t="str">
        <v xml:space="preserve"> 30</v>
      </c>
      <c r="O33" s="15"/>
    </row>
    <row r="34" spans="2:15" x14ac:dyDescent="0.45">
      <c r="B34" s="14"/>
      <c r="C34" s="48" t="s">
        <v>189</v>
      </c>
      <c r="E34" s="37" t="str">
        <v>Flip Murray</v>
      </c>
      <c r="F34" s="10" t="str">
        <v xml:space="preserve"> 8</v>
      </c>
      <c r="G34" s="10" t="str">
        <v xml:space="preserve"> 20</v>
      </c>
      <c r="H34" s="10" t="str">
        <v xml:space="preserve"> 40%</v>
      </c>
      <c r="I34" s="10" t="str">
        <v xml:space="preserve"> 4</v>
      </c>
      <c r="J34" s="10" t="str">
        <v xml:space="preserve"> 10</v>
      </c>
      <c r="K34" s="10" t="str">
        <v xml:space="preserve"> 40%</v>
      </c>
      <c r="L34" s="10" t="str">
        <v xml:space="preserve"> 4</v>
      </c>
      <c r="M34" s="10" t="str">
        <v xml:space="preserve"> 7</v>
      </c>
      <c r="N34" s="10" t="str">
        <v xml:space="preserve"> 25</v>
      </c>
      <c r="O34" s="15"/>
    </row>
    <row r="35" spans="2:15" x14ac:dyDescent="0.45">
      <c r="B35" s="14"/>
      <c r="C35" s="48" t="s">
        <v>188</v>
      </c>
      <c r="E35" s="37" t="str">
        <v>Benoit Benjamin</v>
      </c>
      <c r="F35" s="10" t="str">
        <v xml:space="preserve"> 9</v>
      </c>
      <c r="G35" s="10" t="str">
        <v xml:space="preserve"> 18</v>
      </c>
      <c r="H35" s="10" t="str">
        <v xml:space="preserve"> 50%</v>
      </c>
      <c r="I35" s="10" t="str">
        <v xml:space="preserve"> 2</v>
      </c>
      <c r="J35" s="10" t="str">
        <v xml:space="preserve"> 5</v>
      </c>
      <c r="K35" s="10" t="str">
        <v xml:space="preserve"> 40%</v>
      </c>
      <c r="L35" s="10" t="str">
        <v xml:space="preserve"> 12</v>
      </c>
      <c r="M35" s="10" t="str">
        <v xml:space="preserve"> 7</v>
      </c>
      <c r="N35" s="10" t="str">
        <v xml:space="preserve"> 26</v>
      </c>
      <c r="O35" s="15"/>
    </row>
    <row r="36" spans="2:15" x14ac:dyDescent="0.45">
      <c r="B36" s="21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3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oAXABuACAAIABfAF8AXwBfACAAIABfACAAIAAgACAAIAAgACAAIABfAF8AXwBfAF8AIAAgACAAIAAgACAAIABfACAAXwAgAF8AIABcAG4AIAB8ACAAIABfACAAXABcACgAXwApACAAIAAgACAAIAAgAC8AIABfAF8AXwBfAHwAIAAgACAAIAAgACgAXwApACAAfAAgAHwAXABuACAAfAAgAHwAXwApACAAfABfACAAIABfAF8AIABfAHwAIAAoAF8AXwBfACAAIABfACAAXwBfACAAIABfAHwAIAB8ACAAfABcAG4AIAB8ACAAIABfACAAPAB8ACAAfAAvACAAXwBgACAAfABcAFwAXwBfAF8AIABcAFwAfAAgACcAXwAgAFwAXAB8ACAAfAAgAHwAIAB8AFwAbgAgAHwAIAB8AF8AKQAgAHwAIAB8ACAAKABfAHwAIAB8AF8AXwBfAF8AKQAgAHwAIAB8AF8AKQAgAHwAIAB8ACAAfAAgAHwAXABuACAAfABfAF8AXwBfAC8AfABfAHwAXABcAF8AXwAsACAAfABfAF8AXwBfAF8ALwB8ACAALgBfAF8ALwB8AF8AfABfAHwAXwB8AFwAbgAgACAAIAAgACAAIAAgACAAIAAgACAAXwBfAC8AIAB8ACAAIAAgACAAIAAgAHwAIAB8ACAAIAAgACAAIAAgACAAIAAgACAAXABuACAAIAAgACAAIAAgACAAIAAgACAAfABfAF8AXwAvACAAIAAgACAAIAAgACAAfABfAHwAIAAgACAAIAAgACAAIAAgACAAIABcAG4AXABuAFwAbgBNAG8AZAB1AGwAZQA6ACAAIABCAGkAZwBTAHAAaQBsAGwAXABuAFIAZQBwAG8AOgAgACAAIAAgAGgAdAB0AHAAcwA6AC8ALwBnAGkAdABoAHUAYgAuAGMAbwBtAC8AUABhAHQAcgBpAGMAawAyADcAOAA4AC8AQgBpAGcAUwBwAGkAbABsAC0ARQB4AGMAZQBsAC0ATABhAG0AYgBkAGEALQBMAGkAYgByAGEAcgB5AFwAbgBMAGkAYwBlAG4AcwBlADoAIABNAEkAVAAgACgAcwBlAGUAIABMAEkAQwBFAE4AUwBFACAAZgBpAGwAZQApAFwAbgBBAHUAdABoAG8AcgA6ACAAIABQAGEAdAByAGkAYwBrACAASAAuAFwAbgBEAGEAdABlADoAIAAgACAAIAA5AC8AMwAvADIAMAAyADYAXABuAFwAbgBWAGUAcgBzAGkAbwBuACAAaABpAHMAdABvAHIAeQA6AFwAbgAgACAAIAAgADcALwA2AC8AMgAwADIANgAgABMgIABJAG4AaQB0AGkAYQBsACAAcgBlAGwAZQBhAHMAZQBcAG4AIAAgACAAIAA5AC8AMwAvADIAMAAyADYAIAATICAAQQBkAGQAZQBkACAAVAByAGkAcABsAGUAdwBpAHMAZQC7AyAAYQBuAGQAIABRAHUAYQBkAHcAaQBzAGUAuwMgAHQAbwAgAEcAcgBpAGQAIABBAG4AYQBsAHkAdABpAGMAcwBcAG4AIAAgACAAIAAgACAAIAAgACAAIAAgACAAIAAgACAAVQBwAGQAYQB0AGUAZAAgAEcAcgBpAGQAIABBAG4AYQBsAHkAdABpAGMAcwAgAGMAYQB0AGUAZwBvAHIAeQAgAGIAbABvAGMAawBcAG4AIAAgACAAIAAgACAAIAAgACAAIAAgACAAIAAgACAAVQBwAGQAYQB0AGUAZAAgAFQAZQBzAHMAZQBsAGwAYQB0AGUAuwMgAHQAbwAgAGEAYwBjAGUAcAB0ACAAMQBEACAAYQByAHIAYQB5AHMAXABuAFwAbgBEAGUAcABlAG4AZABlAG4AYwBpAGUAcwA6AFwAbgAgACAAIAAgAE4AbwBuAGUAXABuAFwAbgBEAGUAcwBjAHIAaQBwAHQAaQBvAG4AOgBcAG4AIAAgACAAIABDAG8AcgBlACAAbQBvAGQAdQBsAGUAIABhAGcAZwByAGUAZwBhAHQAbwByACAAZgBvAHIAIABhAGwAbAAgAEIAaQBnAFMAcABpAGwAbAAgAGYAdQBuAGMAdABpAG8AbgBzAC4AXABuAFwAbgBQAHUAcgBwAG8AcwBlADoAXABuACAAIAAgACAAUAByAG8AdgBpAGQAZQBzACAAYQAgAHMAaQBuAGcAbABlACAAaQBtAHAAbwByAHQAIABwAG8AaQBuAHQAIABmAG8AcgAgAHQAaABlACAAZQBuAHQAaQByAGUAIABsAGkAYgByAGEAcgB5AC4AXABuAFwAbgBDAG8AbgB0AGUAbgB0AHMAOgBcAG4AIAAgACAAIABHAHIAaQBkAHcAbwByAGsALAAgAEcAcgBpAGQAIABHAGUAbwBtAGUAdAByAHkALAAgADIARAAgAEEAcgByAGEAeQAgAFMAaABhAHAAaQBuAGcALAAgAEcAcgBpAGQAIABBAGwAZwBlAGIAcgBhACwAXABuACAAIAAgACAAUgBlAHAAZQB0AGkAdABpAG8AbgAsACAARwByAGkAZAAgAEEAbgBhAGwAeQB0AGkAYwBzACwAIABUAGUAeAB0ACwAIABFAG4AZwBpAG4AZQBlAHIAaQBuAGcALABcAG4AIAAgACAAIABDAG8AbQBiAGkAbgBhAHQAbwByAGkAYwBzACwAIABEAGkAYQBnAG4AbwBzAHQAaQBjAHMAXABuAFwAbgBcAG4AXABuAFwAbgAtAC0ALQBUAGEAYgBsAGUAIABvAGYAIABDAG8AbgB0AGUAbgB0AHMALQAtAC0AXABuAFwAbgAjACMAIAAwADEAIAAtACAAWwBHAFcAXQAgAEcAcgBpAGQAdwBvAHIAawBcAG4AXABuACAAIAAgACAAIAAgACAAIAAgACAAIAAgAFsARwBXADAAMQBdACAAIABEAEcAcgBpAGQAuwNcAG4AIAAgACAAIAAgACAAIAAgACAAIAAgACAAWwBHAFcAMAAyAF0AIAAgAEMARwByAGkAZAC7A1wAbgAgACAAIAAgACAAIAAgACAAIAAgACAAIABbAEcAVwAwADMAXQAgACAATQBHAHIAaQBkALsDXABuACAAIAAgACAAIAAgACAAIAAgACAAIAAgAFsARwBXADAANABdACAAIABUAEcAcgBpAGQAuwNcAG4AIAAgACAAIAAgACAAIAAgACAAIAAgACAAWwBHAFcAMAA1AF0AIAAgAFAAbwBsAGEAcgBHAHIAaQBkALsDXABuAFwAbgAjACMAIAAwADIAIAAtACAAWwBHAEcAXQAgACAARwByAGkAZAAgAEcAZQBvAG0AZQB0AHIAeQBcAG4AXABuACAAIAAgACAAIAAgACAAIAAgACAAIAAgAFsARwBHADAAMQBdACAAIABDAGkAcgBjAGwAZQC7A1wAbgAgACAAIAAgACAAIAAgACAAIAAgACAAIABbAEcARwAwADIAXQAgACAARABpAGEAbQBvAG4AZAC7A1wAbgAgACAAIAAgACAAIAAgACAAIAAgACAAIABbAEcARwAwADMAXQAgACAAUABsAHUAcwC7A1wAbgAgACAAIAAgACAAIAAgACAAIAAgACAAIABbAEcARwAwADQAXQAgACAAUAB5AHIAYQBtAGkAZAC7A1wAbgAgACAAIAAgACAAIAAgACAAIAAgACAAIABbAEcARwAwADUAXQAgACAAUgBpAG4AZwC7A1wAbgAgACAAIAAgACAAIAAgACAAIAAgACAAIABbAEcARwAwADYAXQAgACAAUwBxAHUAYQByAGUAuwNcAG4AIAAgACAAIAAgACAAIAAgACAAIAAgACAAWwBHAEcAMAA3AF0AIAAgAFQAcgBpAGEAbgBnAGwAZQC7A1wAbgBcAG4AIwAjACAAMAAzACAALQAgAFsAUwBBAF0AIAAgADIARAAgAEEAcgByAGEAeQAgAFMAaABhAHAAaQBuAGcAXABuAFwAbgAgACAAIAAgACAAIAAgACAAIAAgACAAIABDAG8AcgBlACAAUwBoAGEAcABpAG4AZwAgAFAAcgBpAG0AaQB0AGkAdgBlAHMAXABuACAAIAAgACAAIAAgACAAIAAgACAAIAAgAFsAUwBBADAAMQBdAFwAdABSAGUAUwBoAGEAcABlADIARAC7A1wAbgAgACAAIAAgACAAIAAgACAAIAAgACAAIABbAFMAQQAwADIAXQBcAHQAUgBlAFMAaQB6AGUAuwNcAG4AIAAgACAAIAAgACAAIAAgACAAIAAgACAAWwBTAEEAMAAzAF0AXAB0AFMAYwBhAG4AMgBEALsDXABuACAAIAAgACAAIAAgACAAIAAgACAAIAAgAFsAUwBBADAANABdAFwAdABUAHIAYQB2AGUAcgBzAGUAuwNcAG4AIAAgACAAIAAgACAAIAAgACAAIAAgACAAWwBTAEEAMAA1AF0AXAB0AFQAYQBrAGUAQgBsAG8AYwBrALsDXABuACAAIAAgACAAIAAgACAAIAAgACAAIAAgAFsAUwBBADAANgBdAFwAdABEAFMAdABhAGMAawC7A1wAbgBcAG4AIAAgACAAIAAgACAAIAAgACAAIAAgACAAUgBlAGYAbABvAHcAXABuACAAIAAgACAAIAAgACAAIAAgACAAIAAgAFsAUwBBADAANwBdAFwAdABXAHIAYQBwAFIAbwB3AHMAMgBEALsDXABuACAAIAAgACAAIAAgACAAIAAgACAAIAAgAFsAUwBBADAAOABdAFwAdABXAHIAYQBwAEMAbwBsAHMAMgBEALsDXABuACAAIAAgACAAIAAgACAAIAAgACAAIAAgAFsAUwBBADAAOQBdAFwAdABTAHQAYQBpAHIAYwBhAHMAZQC7A1wAbgAgACAAIAAgACAAIAAgACAAIAAgACAAIABbAFMAQQAxADAAXQBcAHQAVQBuAFAAaQB2AG8AdAC7A1wAbgAgACAAIAAgACAAIAAgACAAIAAgACAAIABbAFMAQQAxADEAXQBcAHQAWgBpAHAAuwNcAG4AIAAgACAAIAAgACAAIAAgACAAIAAgACAAWwBTAEEAMQAzAF0AXAB0AFMAbABpAGMAZQBCAHkARABlAGcAuwNcAG4AXABuACAAIAAgACAAIAAgACAAIAAgACAAIAAgAFAAYQBkAGQAaQBuAGcAXABuACAAIAAgACAAIAAgACAAIAAgACAAIAAgAFsAUwBBADEANABdAFwAdABQAGEAZAC7A1wAbgAgACAAIAAgACAAIAAgACAAIAAgACAAIABbAFMAQQAxADUAXQBcAHQASQBuAHMAdQBsAGEAdABlAFIAbwB3AHMAuwNcAG4AIAAgACAAIAAgACAAIAAgACAAIAAgACAAWwBTAEEAMQA2AF0AXAB0AEkAbgBzAHUAbABhAHQAZQBDAG8AbABzALsDXABuAFwAbgAgACAAIAAgACAAIAAgACAAIAAgACAAIABJAG4AdABlAHIAcABvAGwAYQB0AGkAbwBuAFwAbgAgACAAIAAgACAAIAAgACAAIAAgACAAIABbAFMAQQAxADcAXQBcAHQATQBhAGcAbgBpAGYAeQC7A1wAbgAgACAAIAAgACAAIAAgACAAIAAgACAAIABbAFMAQQAxADgAXQBcAHQAWgBvAG8AbQC7A1wAbgBcAG4AIwAjACAAMAA0ACAALQAgAFsARwBBAF0AIAAgAEcAcgBpAGQAIABBAGwAZwBlAGIAcgBhAFwAbgAgACAAIAAgACAAIAAgACAAIAAgACAAIABEAGUAbABlAHQAaQBvAG4AXABuACAAIAAgACAAIAAgACAAIAAgACAAIAAgAFsARwBBADAAMQBdAFwAdABEAGUAbABlAHQAZQBSAG8AdwBzALsDXABuACAAIAAgACAAIAAgACAAIAAgACAAIAAgAFsARwBBADAAMgBdAFwAdABEAGUAbABlAHQAZQBDAG8AbABzALsDXABuACAAIAAgACAAIAAgACAAIAAgACAAIAAgAFsARwBBADAAMwBdAFwAdABEAGUAbABlAHQAZQBXAGgAZQByAGUAuwNcAG4AIAAgACAAIAAgACAAIAAgACAAIAAgACAAWwBHAEEAMAA0AF0AXAB0AFAAaQBuAGMAaAC7A1wAbgAgACAAIAAgACAAIAAgACAAIAAgACAAIABbAEcAQQAwADUAXQBcAHQAUgBlAG0AbwB2AGUAuwNcAG4AIAAgACAAIAAgACAAIAAgACAAIAAgACAAWwBHAEEAMAA2AF0AXAB0AFMAcQB1AGUAZQB6AGUAuwNcAG4AXABuACAAIAAgACAAIAAgACAAIAAgACAAIAAgAEUAeABwAGEAbgBzAGkAbwBuAFwAbgAgACAAIAAgACAAIAAgACAAIAAgACAAIABbAEcAQQAwADcAXQBcAHQASwByAG8AbgBlAGMAawBlAHIAUAByAG8AZAC7A1wAbgBcAG4AIAAgACAAIAAgACAAIAAgACAAIAAgACAARgBpAGwAdABlAHIAaQBuAGcAXABuACAAIAAgACAAIAAgACAAIAAgACAAIAAgAFsARwBBADAAOABdAFwAdABFAHgAYwBsAHUAZABlALsDXABuACAAIAAgACAAIAAgACAAIAAgACAAIAAgAFsARwBBADAAOQBdAFwAdABTAG4AYQBwALsDXABuAFwAbgAgACAAIAAgACAAIAAgACAAIAAgACAAIABSAG8AbABsAGkAbgBnAFwAbgAgACAAIAAgACAAIAAgACAAIAAgACAAIABbAEcAQQAxADAAXQBcAHQAUwBoAGkAZgB0ALsDXABuACAAIAAgACAAIAAgACAAIAAgACAAIAAgAFsARwBBADEAMQBdAFwAdABTAGgAaQBmAHQAUgBvAHcAcwC7A1wAbgAgACAAIAAgACAAIAAgACAAIAAgACAAIABbAEcAQQAxADIAXQBcAHQAUwBoAGkAZgB0AEMAbwBsAHMAuwNcAG4AXABuACAAIAAgACAAIAAgACAAIAAgACAAIAAgAFMAZQBsAGUAYwB0AGkAbwBuAFwAbgAgACAAIAAgACAAIAAgACAAIAAgACAAIABbAEcAQQAxADMAXQBcAHQARQBtAGIAZQBkALsDXABuACAAIAAgACAAIAAgACAAIAAgACAAIAAgAFsARwBBADEANABdAFwAdABLAGUAZQBwAFIAbwB3AHMAuwNcAG4AIAAgACAAIAAgACAAIAAgACAAIAAgACAAWwBHAEEAMQA1AF0AXAB0AEsAZQBlAHAAQwBvAGwAcwC7A1wAbgBcAG4AIAAgACAAIAAgACAAIAAgACAAIAAgACAAUwB0AHIAdQBjAHQAdQByAGEAbAAgAE0AYQBwAHAAaQBuAGcAXABuACAAIAAgACAAIAAgACAAIAAgACAAIAAgAFsARwBBADEANgBdAFwAdABCAGwAbwBjAGsATQBhAHAAuwNcAG4AIAAgACAAIAAgACAAIAAgACAAIAAgACAAWwBHAEEAMQA3AF0AXAB0AEMAbwBuAHYAbwBsAHYAZQC7A1wAbgAgACAAIAAgACAAIAAgACAAIAAgACAAIABbAEcAQQAxADgAXQBcAHQARgBvAGwAZAC7A1wAbgAgACAAIAAgACAAIAAgACAAIAAgACAAIABbAEcAQQAxADkAXQBcAHQASgBvAGkAbgAyAEQAuwNcAG4AXABuACMAIwAgADAANQAgAC0AIABbAFIAUABdACAAIABSAGUAcABlAHQAaQB0AGkAbwBuAFwAbgAgACAAIAAgACAAIAAgACAAIAAgACAAIABbAFIAUAAwADEAXQBcAHQARQBjAGgAbwC7A1wAbgAgACAAIAAgACAAIAAgACAAIAAgACAAIABbAFIAUAAwADIAXQBcAHQAUgBlAHAAZQBhAHQAUgBvAHcAcwC7A1wAbgAgACAAIAAgACAAIAAgACAAIAAgACAAIABbAFIAUAAwADMAXQBcAHQAUgBlAHAAZQBhAHQAQwBvAGwAcwC7A1wAbgAgACAAIAAgACAAIAAgACAAIAAgACAAIABbAFIAUAAwADQAXQBcAHQAVABlAHMAcwBlAGwAbABhAHQAZQC7A1wAbgBcAG4AIwAjACAAMAA2ACAALQAgAFsARwBSAF0AIAAgAEcAcgBpAGQAIABBAG4AYQBsAHkAdABpAGMAcwBcAG4AIAAgACAAIAAgACAAIAAgACAAIAAgACAAUwBlAHEAdQBlAG4AYwBpAG4AZwBcAG4AIAAgACAAIAAgACAAIAAgACAAIAAgACAAWwBHAFIAMAAxAF0AXAB0AFMAdAByAGUAYQBrALsDXABuACAAIAAgACAAIAAgACAAIAAgACAAIAAgAFsARwBSADAAMgBdAFwAdABDAG8AdQBuAHQAZABvAHcAbgC7A1wAbgBcAG4AIAAgACAAIAAgACAAIAAgACAAIAAgACAAQwBhAHQAZQBnAG8AcgBpAGMAYQBsACAAQQBuAGEAbAB5AHMAaQBzAFwAbgAgACAAIAAgACAAIAAgACAAIAAgACAAIABbAEcAUgAwADMAXQBcAHQAQgB5AEQAaQBhAGcAuwNcAG4AIAAgACAAIAAgACAAIAAgACAAIAAgACAAWwBHAFIAMAA0AF0AXAB0AEQAaQBhAGcATQBhAHAAuwNcAG4AIAAgACAAIAAgACAAIAAgACAAIAAgACAAWwBHAFIAMAA1AF0AXAB0AEQAaQBhAGcASQBuAGQAZQB4ALsDXABuACAAIAAgACAAIAAgACAAIAAgACAAIAAgAFsARwBSADAANgBdAFwAdABQAGEAaQByAHcAaQBzAGUAuwNcAG4AIAAgACAAIAAgACAAIAAgACAAIAAgACAAWwBHAFIAMAA2AGEAXQBcAHQAVAByAGkAcABsAGUAdwBpAHMAZQC7A1wAbgBcAHQAIAAgACAAIAAgACAAIAAgAFsARwBSADAANgBiAF0AIABRAHUAYQBkAHcAaQBzAGUAuwNcAG4AIAAgACAAIAAgACAAIAAgACAAIAAgACAAWwBHAFIAMAA3AF0AXAB0AEcAcgBvAHUAcABiAHkAQgBpAG4AuwNcAG4AIAAgACAAIAAgACAAIAAgACAAIAAgACAAWwBHAFIAMAA4AF0AXAB0AEcAcgBvAHUAcABiAHkARABhAHQAZQC7A1wAbgAgACAAIAAgACAAIAAgACAAIAAgACAAIABbAEcAUgAwADkAXQBcAHQAUABpAHYAbwB0AGIAeQBDAGEAdAC7A1wAbgBcAG4AIAAgACAAIAAgACAAIAAgACAAIAAgACAATgBlAGkAZwBoAGIAbwByAGgAbwBvAGQAcwBcAG4AIAAgACAAIAAgACAAIAAgACAAIAAgACAAWwBHAFIAMQAwAF0AXAB0AEcAcgBhAGkAbgC7A1wAbgAgACAAIAAgACAAIAAgACAAIAAgACAAIABbAEcAUgAxADEAXQBcAHQATQBvAG8AcgBlAEEAZwBnALsDXABuACAAIAAgACAAIAAgACAAIAAgACAAIAAgAFsARwBSADEAMgBdAFwAdABNAG8AbwByAGUAUwBlAGwAZQBjAHQAuwNcAG4AXABuACAAIAAgACAAIAAgACAAIAAgACAAIAAgAFMAdABhAHQAaQBzAHQAaQBjAHMAXABuACAAIAAgACAAIAAgACAAIAAgACAAIAAgAFsARwBSADEAMwBdAFwAdABIAGkAcwB0AG8AZwByAGEAbQC7A1wAbgAgACAAIAAgACAAIAAgACAAIAAgACAAIABbAEcAUgAxADQAXQBcAHQATQBvAGQAZQC7A1wAbgAgACAAIAAgACAAIAAgACAAIAAgACAAIABbAEcAUgAxADUAXQBcAHQAWgBvAG4AZQBTAHQAYQB0ALsDXABuAFwAbgAjACMAIAAwADcAIAAtACAAWwBUAFgAXQAgACAAVABlAHgAdABcAG4AIAAgACAAIAAgACAAIAAgACAAIAAgACAAWwBUAFgAMAAxAF0AXAB0AEEAbABpAGcAbgC7A1wAbgAgACAAIAAgACAAIAAgACAAIAAgACAAIABbAFQAWAAwADIAXQBcAHQAQQBsAGkAZwBuAEQAaQBzAHQAaQBuAGMAdAC7A1wAbgAgACAAIAAgACAAIAAgACAAIAAgACAAIABbAFQAWAAwADMAXQBcAHQAQQBsAGkAZwBuAFUAbgBpAHEAdQBlALsDXABuACAAIAAgACAAIAAgACAAIAAgACAAIAAgAFsAVABYADAANABdAFwAdABDAG8AYQBsAGUAcwBjAGUAuwNcAG4AIAAgACAAIAAgACAAIAAgACAAIAAgACAAWwBUAFgAMAA1AF0AXAB0AEUAeABwAGwAbwBkAGUAuwNcAG4AIAAgACAAIAAgACAAIAAgACAAIAAgACAAWwBUAFgAMAA2AF0AXAB0AE4AdQBtAGIAZQByAHMATwBuAGwAeQC7A1wAbgAgACAAIAAgACAAIAAgACAAIAAgACAAIABbAFQAWAAwADcAXQBcAHQAVABlAHgAdABPAG4AbAB5ALsDXABuACAAIAAgACAAIAAgACAAIAAgACAAIAAgAFsAVABYADAAOABdAFwAdABTAHAAbABpAHQAuwNcAG4AXABuACMAIwAgADAAOAAgAC0AIABbAEUATgBdACAAIABFAG4AZwBpAG4AZQBlAHIAaQBuAGcAXABuACAAIAAgACAAIAAgACAAIAAgACAAIAAgAFsARQBOADAAMQBdAFwAdABCAGkAbgAyAEQAZQBjALsDXABuACAAIAAgACAAIAAgACAAIAAgACAAIAAgAFsARQBOADAAMgBdAFwAdABCAGkAbgAyAEcAcgBhAHkAuwNcAG4AIAAgACAAIAAgACAAIAAgACAAIAAgACAAWwBFAE4AMAAzAF0AXAB0AEIAaQB0AEMAbwB1AG4AdAC7A1wAbgAgACAAIAAgACAAIAAgACAAIAAgACAAIABbAEUATgAwADQAXQBcAHQARABlAGMAMgBCAGkAbgC7A1wAbgAgACAAIAAgACAAIAAgACAAIAAgACAAIABbAEUATgAwADUAXQBcAHQARABlAGMAMgBHAHIAYQB5ALsDXABuAFwAbgAjACMAIAAwADkAIAAtACAAWwBDAEIAXQAgACAAQwBvAG0AYgBpAG4AYQB0AG8AcgBpAGMAcwBcAG4AIAAgACAAIAAgACAAIAAgACAAIAAgACAAWwBDAEIAMAAxAF0AXAB0AFAAZQByAG0AUgC7A1wAbgAgACAAIAAgACAAIAAgACAAIAAgACAAIABbAEMAQgAwADIAXQBcAHQAUABlAHIAbQC7A1wAbgAgACAAIAAgACAAIAAgACAAIAAgACAAIABbAEMAQgAwADMAXQBcAHQAQwBvAG0AYgBpAG4AYQB0AGkAbwBuAHMAUgC7A1wAbgAgACAAIAAgACAAIAAgACAAIAAgACAAIABbAEMAQgAwADQAXQBcAHQAQwBvAG0AYgBpAG4AYQB0AGkAbwBuAHMAuwNcAG4AIAAgACAAIAAgACAAIAAgACAAIAAgACAAWwBDAEIAMAA1AF0AXAB0AEQAZQByAGEAbgBnAGUAbQBlAG4AdABzALsDXABuACAAIAAgACAAIAAgACAAIAAgACAAIAAgAFsAQwBCADAANgBdAFwAdABLAG4AYQBwAFMAYQBjAGsAuwNcAG4AIAAgACAAIAAgACAAIAAgACAAIAAgACAAWwBDAEIAMAA3AF0AXAB0AFMAdQBiAHMAZQB0AEcAZQBuALsDXABuACAAIAAgACAAIAAgACAAIAAgACAAIAAgAFsAQwBCADAAOABdAFwAdABTAHUAYgBzAGUAdABTAHUAbQC7A1wAbgBcAG4AIwAjACAAMQAwACAALQAgAFsARwBEAF0AIAAgAEcAcgBpAGQAIABEAGkAYQBnAG4AbwBzAHQAaQBjAHMAXABuACAAIAAgACAAIAAgACAAIAAgACAAIAAgAFsARwBEADAAMQBdACAAIABSAGUAdgBlAGEAbAC7A1wAbgBcAG4AXABuAFwAbgAqAC8AXABuAFwAbgBcAG4AXABuAC8ALwAgAFsARwBXAF0AIAAtAC0ALQAtAC0ALQAtAC0ALQAtAC0ALQAtAC0ALQAtAC0ALQAtAC0ALQAtAC0ALQAtAC0ALQAtAC0ALQAtAC0ALQAtAC0ALQAtAC0ALQAtAC0ALQAtAC0ALQAtAC0ALQAtAC0ALQAtAC0ALQAtAC0ALQAtAC0ALQAtAC0ALQAtAC0ALQAtAC0ALQAtAC0ALQAtAC0ALQAtAC0AXABuAC8ALwAgAC0ALQAtACMAIwAgADAAMQAgAC0AIABHAHIAaQBkAHcAbwByAGs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B3AG8AcgBrACAAZABlAGYAaQBuAGUAcwAgAHQAaABlACAAZgBvAHUAbgBkAGEAdABpAG8AbgBhAGwAIABjAG8AbwByAGQAaQBuAGEAdABlACAAcwB5AHMAdABlAG0AcwAgAGYAbwByACAAMgBEACAAYQByAHIAYQB5AHMALgAgAEUAYQBjAGgAXABuACAAIAAgACAAZgB1AG4AYwB0AGkAbwBuACAAcAByAG8AZAB1AGMAZQBzACAAYQAgAGMAZQBuAHQAZQByAGUAZAAsACAAcwB5AG0AbQBlAHQAcgBpAGMAYQBsACAAZwBlAG8AbQBlAHQAcgBpAGMAIABkAGUAcwBjAHIAaQBwAHQAaQBvAG4AIABvAGYAIAB0AGgAZQAgAGcAcgBpAGQALgBcAG4AXABuAEYAdQBuAGMAdABpAG8AbgBzADoAXABuACAAIAAgACAAIiAgAEQARwByAGkAZAC7AyAAIAAgACAAIAAgAC0AIABEAGkAcgBlAGMAdABpAG8AbgAgAGcAcgBpAGQAIAAoADAAsAAtADMANgAwALAAKQAgAHUAcwBpAG4AZwAgAGMAZQBuAHQAZQByAGUAZAAgAEMAYQByAHQAZQBzAGkAYQBuACAAYQB4AGUAcwBcAG4AXABuACAAIAAgACAAIiAgAEMARwByAGkAZAC7AyAAIAAgACAAIAAgAC0AIABDAGEAcgB0AGUAcwBpAGEAbgAgAGcAcgBpAGQAIAAoAHIAbwB3ACAAbwByACAAYwBvAGwAdQBtAG4AIABjAG8AbwByAGQAaQBuAGEAdABlAHMALAAgAGMAZQBuAHQAZQByAGUAZAApAFwAbgBcAG4AIAAgACAAIAAiICAATQBHAHIAaQBkALsDIAAgACAAIAAgACAALQAgAE0AZQBzAGgAIABnAHIAaQBkACAAKAAxABEgYgBhAHMAZQBkACAAcgBvAHcAIABvAHIAIABjAG8AbAB1AG0AbgAgAGkAbgBkAGkAYwBlAHMAKQBcAG4AXABuACAAIAAgACAAIiAgAFQARwByAGkAZAC7AyAAIAAgACAAIAAgAC0AIABUAGgAcgBlAHMAaABvAGwAZABlAGQAIABtAGUAcwBoACAAZwByAGkAZAAgACgAaQBuAGQAaQBjAGUAcwAgAHcAcgBhAHAAIABhAGYAdABlAHIAIABhACAAbABpAG0AaQB0ACkAXABuAFwAbgAgACAAIAAgACIgIABQAG8AbABhAHIARwByAGkAZAC7AyAAIAAtACAAUABvAGwAYQByACAAYwBvAG8AcgBkAGkAbgBhAHQAZQBzADoAXABuACAAIAAgACAAIAAgACAAIAAgACAAIAAgACAAIAAgACAAIAAgACAAIAAgACAAcgAgACAAIAATICAAcgBhAGQAaQBhAGwAIABkAGkAcwB0AGEAbgBjAGUAIABmAHIAbwBtACAAZwByAGkAZAAgAGMAZQBuAHQAZQByAFwAbgAgACAAIAAgACAAIAAgACAAIAAgACAAIAAgACAAIAAgACAAIAAgACAAIAAgAHAAaABpACAAEyAgAGEAbgBnAGwAZQAgAGkAbgAgAHIAYQBkAGkAYQBuAHMAIAB1AHMAaQBuAGcAIABBAFQAQQBOADIAKAB5ACwAIAB4ACkAXABuAFwAbgAgACAAIAAgACIgIABSAGUAcwBpAHoAZQC7AyAAIAAgACAAIAAtACAAVQB0AGkAbABpAHQAeQAgAGYAbwByACAAYgByAG8AYQBkAGMAYQBzAHQAaQBuAGcAIABjAG8AbwByAGQAaQBuAGEAdABlACAAdgBlAGMAdABvAHIAcwAgAHQAbwAgAGcAcgBpAGQAIABzAGgAYQBwAGUAXABuAFwAbgBOAG8AdABlAHMAOgBcAG4AIAAgACAAIABBAGwAbAAgAGYAdQBuAGMAdABpAG8AbgBzACAAYQByAGUAIABzAGgAYQBwAGUALQBkAHIAaQB2AGUAbgA6ACAAdABoAGUAIABkAGkAbQBlAG4AcwBpAG8AbgBzACAAbwBmACAAdABoAGUAIABzAHUAcABwAGwAaQBlAGQAIABnAHIAaQBkACAAZABlAHQAZQByAG0AaQBuAGUAXABuACAAIAAgACAAdABoAGUAIABjAG8AbwByAGQAaQBuAGEAdABlACAAZQB4AHQAZQBuAHQAcwAuAFwAbgBcAG4ARQB4AGEAbQBwAGwAZQBzADoAXABuACAAIAAgACAARwByAGkAZAA6AFwAbgAgACAAIAAgACAAIAAgACAAMQAgACAAIAAyACAAIAAgADMAIAAgACAANAAgACAAIAA1AFwAbgAgACAAIAAgACAAIAAgACAANgAgACAAIAA3ACAAIAAgADgAIAAgACAAOQAgACAAIAAxADAAXABuACAAIAAgACAAIAAgACAAIAAxADEAIAAgADEAMgAgACAAMQAzACAAIAAxADQAIAAgADEANQBcAG4AIAAgACAAIAAgACAAIAAgADEANgAgACAAMQA3ACAAIAAxADgAIAAgADEAOQAgACAAMgAwAFwAbgAgACAAIAAgACAAIAAgACAAMgAxACAAIAAyADIAIAAgADIAMwAgACAAMgA0ACAAIAAyADUAXABuAFwAbgAgACAAIAAgAEQARwByAGkAZAC7AygAZwByAGkAZAApADoAXABuACAAIAAgACAAIAAgACAAIAAyADIANQAuADAAMAAgADIAMAA2AC4ANQA3ACAAMQA4ADAALgAwADAAIAAxADUAMwAuADQAMwAgADEAMwA1AC4AMAAwAFwAbgAgACAAIAAgACAAIAAgACAAMgA0ADMALgA0ADMAIAAyADIANQAuADAAMAAgADEAOAAwAC4AMAAwACAAMQAzADUALgAwADAAIAAxADEANgAuADUANwBcAG4AIAAgACAAIAAgACAAIAAgADIANwAwAC4AMAAwACAAMgA3ADAALgAwADAAIAAgACAAMAAuADAAMAAgACAAOQAwAC4AMAAwACAAIAA5ADAALgAwADAAXABuACAAIAAgACAAIAAgACAAIAAyADkANgAuADUANwAgADMAMQA1AC4AMAAwACAAIAAgADAALgAwADAAIAAgADQANQAuADAAMAAgACAANgAzAC4ANAAzAFwAbgAgACAAIAAgACAAIAAgACAAMwAxADUALgAwADAAIAAzADMAMwAuADQAMwAgACAAIAAwAC4AMAAwACAAIAAyADYALgA1ADcAIAAgADQANQAuADAAMABcAG4AXABuACAAIAAgACAAQwBHAHIAaQBkALsDKABnAHIAaQBkACkAIAAtACAAcgBvAHcAIABjAG8AbwByAGQAaQBuAGEAdABlAHMAOgBcAG4AIAAgACAAIAAgACAAIAAgAC0AMgAgAC0AMgAgAC0AMgAgAC0AMgAgAC0AMgBcAG4AIAAgACAAIAAgACAAIAAgAC0AMQAgAC0AMQAgAC0AMQAgAC0AMQAgAC0AMQBcAG4AIAAgACAAIAAgACAAIAAgACAAMAAgACAAMAAgACAAMAAgACAAMAAgACAAMABcAG4AIAAgACAAIAAgACAAIAAgACAAMQAgACAAMQAgACAAMQAgACAAMQAgACAAMQBcAG4AIAAgACAAIAAgACAAIAAgACAAMgAgACAAMgAgACAAMgAgACAAMgAgACAAMgBcAG4AXABuACAAIAAgACAAQwBHAHIAaQBkALsDKABnAHIAaQBkACwAMQApACAALQAgAGMAbwBsAHUAbQBuACAAYwBvAG8AcgBkAGkAbgBhAHQAZQBzADoAXABuACAAIAAgACAAIAAgACAAIAAtADIAIAAtADEAIAAgADAAIAAgADEAIAAgADIAXABuACAAIAAgACAAIAAgACAAIAAtADIAIAAtADEAIAAgADAAIAAgADEAIAAgADIAXABuACAAIAAgACAAIAAgACAAIAAtADIAIAAtADEAIAAgADAAIAAgADEAIAAgADIAXABuACAAIAAgACAAIAAgACAAIAAtADIAIAAtADEAIAAgADAAIAAgADEAIAAgADIAXABuACAAIAAgACAAIAAgACAAIAAtADIAIAAtADEAIAAgADAAIAAgADEAIAAgADIAXABuAFwAbgAgACAAIAAgAE0ARwByAGkAZAC7AygAZwByAGkAZAApACAALQAgAHIAbwB3ACAAaQBuAGQAaQBjAGUAcwA6AFwAbgAgACAAIAAgACAAIAAgACAAMQAgADEAIAAxACAAMQAgADEAXABuACAAIAAgACAAIAAgACAAIAAyACAAMgAgADIAIAAyACAAMgBcAG4AIAAgACAAIAAgACAAIAAgADMAIAAzACAAMwAgADMAIAAzAFwAbgAgACAAIAAgACAAIAAgACAANAAgADQAIAA0ACAANAAgADQAXABuACAAIAAgACAAIAAgACAAIAA1ACAANQAgADUAIAA1ACAANQBcAG4AXABuACAAIAAgACAATQBHAHIAaQBkALsDKABnAHIAaQBkACwAMQApACAALQAgAGMAbwBsAHUAbQBuACAAaQBuAGQAaQBjAGUAcwA6AFwAbgAgACAAIAAgACAAIAAgACAAMQAgADIAIAAzACAANAAgADUAXABuACAAIAAgACAAIAAgACAAIAAxACAAMgAgADMAIAA0ACAANQBcAG4AIAAgACAAIAAgACAAIAAgADEAIAAyACAAMwAgADQAIAA1AFwAbgAgACAAIAAgACAAIAAgACAAMQAgADIAIAAzACAANAAgADUAXABuACAAIAAgACAAIAAgACAAIAAxACAAMgAgADMAIAA0ACAANQBcAG4AXABuACAAIAAgACAAVABHAHIAaQBkALsDKABnAHIAaQBkACwAMwApACAALQAgAHIAbwB3ACAAaQBuAGQAaQBjAGUAcwAsACAAdABoAHIAZQBzAGgAbwBsAGQAIAAzADoAXABuACAAIAAgACAAIAAgACAAIAAxACAAMQAgADEAIAAxACAAMQBcAG4AIAAgACAAIAAgACAAIAAgADIAIAAyACAAMgAgADIAIAAyAFwAbgAgACAAIAAgACAAIAAgACAAMwAgADMAIAAzACAAMwAgADMAXABuACAAIAAgACAAIAAgACAAIAAxACAAMQAgADEAIAAxACAAMQBcAG4AIAAgACAAIAAgACAAIAAgADIAIAAyACAAMgAgADIAIAAyAFwAbgBcAG4AIAAgACAAIABUAEcAcgBpAGQAuwMoAGcAcgBpAGQALAAzACwAMQApACAALQAgAGMAbwBsAHUAbQBuACAAaQBuAGQAaQBjAGUAcwAsACAAdABoAHIAZQBzAGgAbwBsAGQAIAAzADoAXABuACAAIAAgACAAIAAgACAAIAAxACAAMgAgADMAIAAxACAAMgBcAG4AIAAgACAAIAAgACAAIAAgADEAIAAyACAAMwAgADEAIAAyAFwAbgAgACAAIAAgACAAIAAgACAAMQAgADIAIAAzACAAMQAgADIAXABuACAAIAAgACAAIAAgACAAIAAxACAAMgAgADMAIAAxACAAMgBcAG4AIAAgACAAIAAgACAAIAAgADEAIAAyACAAMwAgADEAIAAyAFwAbgBcAG4AIAAgACAAIABQAG8AbABhAHIARwByAGkAZAC7AygAZwByAGkAZAApACAALQAgAHIAOgBcAG4AIAAgACAAIAAgACAAIAAgADIALgA4ADMAIAAyAC4AMgA0ACAAMgAuADAAMAAgADIALgAyADQAIAAyAC4AOAAzAFwAbgAgACAAIAAgACAAIAAgACAAMgAuADIANAAgADEALgA0ADEAIAAxAC4AMAAwACAAMQAuADQAMQAgADIALgAyADQAXABuACAAIAAgACAAIAAgACAAIAAyAC4AMAAwACAAMQAuADAAMAAgADAALgAwADAAIAAxAC4AMAAwACAAMgAuADAAMABcAG4AIAAgACAAIAAgACAAIAAgADIALgAyADQAIAAxAC4ANAAxACAAMQAuADAAMAAgADEALgA0ADEAIAAyAC4AMgA0AFwAbgAgACAAIAAgACAAIAAgACAAMgAuADgAMwAgADIALgAyADQAIAAyAC4AMAAwACAAMgAuADIANAAgADIALgA4ADMAXABuAFwAbgAgACAAIAAgAFAAbwBsAGEAcgBHAHIAaQBkALsDKABnAHIAaQBkACwAMQApACAALQAgAHAAaABpADoAXABuACAAIAAgACAAIAAgACAAIAAtADIALgAzADYAIAAtADIALgAwADMAIAAtADEALgA1ADcAIAAtADEALgAxADEAIAAtADAALgA3ADkAXABuACAAIAAgACAAIAAgACAAIAAtADIALgA2ADgAIAAtADIALgAzADYAIAAtADEALgA1ADcAIAAtADAALgA3ADkAIAAtADAALgA0ADYAXABuACAAIAAgACAAIAAgACAAIAAgADMALgAxADQAIAAgADMALgAxADQAIAAgADAALgAwADAAIAAgADAALgAwADAAIAAgADAALgAwADAAXABuACAAIAAgACAAIAAgACAAIAAgADIALgA2ADgAIAAgADIALgAzADYAIAAgADEALgA1ADcAIAAgADAALgA3ADkAIAAgADAALgA0ADYAXABuACAAIAAgACAAIAAgACAAIAAgADIALgAzADYAIAAgADIALgAwADMAIAAgADEALgA1ADcAIAAgADEALgAxADEAIAAgADAALgA3ADkAXABuACoALwBcAG4AXABuAFwAbgBcAG4ALwAqAFsARwBXADAAMQBdAC0ALQAtAC0ALQAtAC0ALQAtAC0ALQAtAC0ALQAtAC0ALQAtAC0ALQAtAC0ALQAtAC0ALQAtAC0ALQAtAC0ALQAtAC0ALQAtAC0ALQAtAC0ALQAtAC0ALQAtAC0ALQAtAC0ALQAtAC0ALQAtAC0ALQAtAC0ALQAtAC0ALQAtAC0ALQAtAC0ALQAtAC0ALQAtAC0ALQAtAC0ALQAtAFwAbgBGAHUAbgBjAHQAaQBvAG4AOgAgACAAIAAgACAARABHAHIAaQBkALsDXABuAEMAYQB0AGUAZwBvAHIAeQA6ACAAIAAgACAAIABHAHIAaQBkAHcAbwByAGsAXABuAEEAdQB0AGgAbwByADoAIAAgACAAIAAgACAAIABQAGEAdAByAGkAYwBrACAASAAuAFwAbgBWAGUAcgBzAGkAbwBuADoAIAAgACAAIAAgACAAMQAuADEAXABuAEQAZQBwAGUAbgBkAGUAbgBjAGkAZQBzADoAIABDAEcAcgBpAGQAuwNcAG4AXABuAEQAZQBzAGMAcgBpAHAAdABpAG8AbgA6AFwAbgAgACAAIAAgAEcAZQBuAGUAcgBhAHQAZQBzACAAYQAgAGMAbwB1AG4AdABlAHIAESBjAGwAbwBjAGsAdwBpAHMAZQAgAGQAaQByAGUAYwB0AGkAbwBuACAAZwByAGkAZAAgAGkAbgAgAGQAZQBnAHIAZQBlAHMAIAAoADAAsAATIDMANgAwALAAKQAgAHUAcwBpAG4AZwBcAG4AIAAgACAAIABjAGUAbgB0AGUAcgBlAGQAIABDAGEAcgB0AGUAcwBpAGEAbgAgAGMAbwBvAHIAZABpAG4AYQB0AGUAcwAgAGYAcgBvAG0AIABDAEcAcgBpAGQAuwMuAFwAbgBcAG4AIAAgACAAIABBAG4AZwBsAGUAIABjAG8AbgB2AGUAbgB0AGkAbwBuADoAXABuACAAIAAgACAAIAAgACAAIAAwALAAIAAgACAAPQAgACsAWAAgAGQAaQByAGUAYwB0AGkAbwBuACAAKAByAGkAZwBoAHQAKQBcAG4AIAAgACAAIAAgACAAIAAgADkAMACwACAAIAA9ACAAKwBZACAAZABpAHIAZQBjAHQAaQBvAG4AIAAoAHUAcAApAFwAbgAgACAAIAAgACAAIAAgACAAMQA4ADAAsAAgAD0AIAATIFgAIABkAGkAcgBlAGMAdABpAG8AbgAgACgAbABlAGYAdAApAFwAbgAgACAAIAAgACAAIAAgACAAMgA3ADAAsAAgAD0AIAATIFkAIABkAGkAcgBlAGMAdABpAG8AbgAgACgAZABvAHcAbgApAFwAbgBcAG4AIAAgACAAIABUAGgAZQAgAGMAZQBuAHQAZQByACAAYwBlAGwAbAAgACgAMAAsADAAKQAgAHIAZQB0AHUAcgBuAHMAIAAwALAAIAB2AGkAYQAgAEkARgBFAFIAUgBPAFIAIABmAGEAbABsAGIAYQBjAGsALgBcAG4AXABuAFAAYQByAGEAbQBlAHQAZQByADoAXABuACAAIAAgACAAZwByAGkAZAAgAC0AIABBACAAMQBEACAAbwByACAAMgBEACAAYQByAHIAYQB5ACAAdwBoAG8AcwBlACAAZABpAG0AZQBuAHMAaQBvAG4AcwAgAGQAZQB0AGUAcgBtAGkAbgBlACAAdABoAGUAIABvAHUAdABwAHUAdAAgAHMAaQB6AGUALgAgACAAIAAgAFwAbgAtAC0ALQAtAC0ALQAtAC0ALQAtAC0ALQAtAC0ALQAtAC0ALQAtAC0ALQAtAC0ALQAtAC0ALQAtAC0ALQAtAC0ALQAtAC0ALQAtAC0ALQAtAC0ALQAtAC0ALQAtAC0ALQAtAC0ALQAtAC0ALQAtAC0ALQAtAC0ALQAtAC0ALQAtAC0ALQAtAC0ALQAtAC0ALQAtAC0ALQAtAC0ALQAqAC8AXABuAFwAbgBEAEcAcgBpAGQAuwMgAD0AXABuAEwAQQBNAEIARABBACgAXABuACAAIAAgACAAZwByAGkAZAAsAFwAbgBMAEUAVAAoAFwAbgAgACAAIAAgAC8ALwAgAFIAYQB3ACAAYQBuAGcAbABlACAAaQBuACAAZABlAGcAcgBlAGUAcwAgACgAbQBhAHkAIABiAGUAIABuAGUAZwBhAHQAaQB2AGUAKQBcAG4AIAAgACAAIAB0AGgAZQB0AGEALAAgAEkARgBFAFIAUgBPAFIAKABEAEUARwBSAEUARQBTACgAQQBUAEEATgAyACgAQwBHAHIAaQBkALsDKABnAHIAaQBkACkALAAgAEMARwByAGkAZAC7AygAZwByAGkAZAAsADEAKQApACkALAAwACkALABcAG4AXABuACAAIAAgACAALwAvACAATgBvAHIAbQBhAGwAaQB6AGUAIAB0AG8AIAAwALAAEyAzADYAMACwAFwAbgAgACAAIAAgAGEAbgBnAGwAZQAsACAATQBPAEQAKAB0AGgAZQB0AGEAIAArACAAMwA2ADAALAAgADMANgAwACkALABcAG4AXABuACAAIAAgACAAYQBuAGcAbABlAFwAbgApACkAOwBcAG4AXABuAFwAbgBcAG4ALwAqAFsARwBXADAAMgBdAC0ALQAtAC0ALQAtAC0ALQAtAC0ALQAtAC0ALQAtAC0ALQAtAC0ALQAtAC0ALQAtAC0ALQAtAC0ALQAtAC0ALQAtAC0ALQAtAC0ALQAtAC0ALQAtAC0ALQAtAC0ALQAtAC0ALQAtAC0ALQAtAC0ALQAtAC0ALQAtAC0ALQAtAC0ALQAtAC0ALQAtAC0ALQAtAC0ALQAtAC0ALQAtAFwAbgBGAHUAbgBjAHQAaQBvAG4AOgAgACAAIAAgACAAQwBHAHIAaQBkALsDXABuAEMAYQB0AGUAZwBvAHIAeQA6ACAAIAAgACAAIABHAHIAaQBkAHcAbwByAGsAXABuAEEAdQB0AGgAbwByADoAIAAgACAAIAAgACAAIABQAGEAdAByAGkAYwBrACAASAAuAFwAbgBWAGUAcgBzAGkAbwBuADoAIAAgACAAIAAgACAAMQAuADEAXABuAEQAZQBwAGUAbgBkAGUAbgBjAGkAZQBzADoAIABSAGUAcwBpAHoAZQC7A1wAbgBcAG4ARABlAHMAYwByAGkAcAB0AGkAbwBuADoAXABuACAAIAAgACAARwBlAG4AZQByAGEAdABlAHMAIABjAGUAbgB0AGUAcgBlAGQAIABDAGEAcgB0AGUAcwBpAGEAbgAgAGMAbwBvAHIAZABpAG4AYQB0AGUAIABnAHIAaQBkAHMAIABhAGwAaQBnAG4AZQBkACAAdABvACAAdABoAGUAIABzAGgAYQBwAGUAIABvAGYAIABhAFwAbgAgACAAIAAgAHMAdQBwAHAAbABpAGUAZAAgAGEAcgByAGEAeQAuACAAUgBlAHQAdQByAG4AcwAgAGUAaQB0AGgAZQByACAAcgBvAHcAIABjAG8AbwByAGQAaQBuAGEAdABlAHMAIABvAHIAIABjAG8AbAB1AG0AbgAgAGMAbwBvAHIAZABpAG4AYQB0AGUAcwAuAFwAbgBcAG4AIAAgACAAIABDAG8AbwByAGQAaQBuAGEAdABlACAAcgBhAG4AZwBlAHMAIABhAHIAZQAgAGMAZQBuAHQAZQByAGUAZAAgAHMAdQBjAGgAIAB0AGgAYQB0ADoAXABuACAAIAAgACAAIAAgACAAIABSAG8AdwA6ACAAIAAtACgAaAAgAC0AIAAxACkAIAAvACAAMgAgACAALgAuAC4AIAAgACsAKABoACAALQAgADEAKQAgAC8AIAAyAFwAbgAgACAAIAAgACAAIAAgACAAQwBvAGwAOgAgACAALQAoAHcAIAAtACAAMQApACAALwAgADIAIAAgAC4ALgAuACAAIAArACgAdwAgAC0AIAAxACkAIAAvACAAMgBcAG4AXABuACAAIAAgACAAVwBvAHIAawBzACAAZgBvAHIAIABiAG8AdABoACAAMQBEACAAYQBuAGQAIAAyAEQAIABhAHIAcgBhAHkAcw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MAbwBvAHIAZABpAG4AYQB0AGUAcwAuACAASQBmACAAbwBtAGkAdAB0AGUAZAAsACAAcgBlAHQAdQByAG4AIAByAG8AdwBcAG4AIAAgACAAIAAgACAAIAAgACAAIAAgACAAIAAgACAAIAAgACAAYwBvAG8AcgBkAGkAbgBhAHQAZQBzAC4AXABuAC0ALQAtAC0ALQAtAC0ALQAtAC0ALQAtAC0ALQAtAC0ALQAtAC0ALQAtAC0ALQAtAC0ALQAtAC0ALQAtAC0ALQAtAC0ALQAtAC0ALQAtAC0ALQAtAC0ALQAtAC0ALQAtAC0ALQAtAC0ALQAtAC0ALQAtAC0ALQAtAC0ALQAtAC0ALQAtAC0ALQAtAC0ALQAtAC0ALQAtAC0ALQAtACoALwBcAG4AXABuAEM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TAHQAYQByAHQAaQBuAGcAIABjAG8AbwByAGQAaQBuAGEAdABlAHMAIAAoAGMAZQBuAHQAZQByAGUAZAApAFwAbgAgACAAIAAgAGkAXwBzAHQAYQByAHQALAAgAC0AIAAoAGgAIAAtACAAMQApACAALwAgADIALABcAG4AIAAgACAAIABqAF8AcwB0AGEAcgB0ACwAIAAtACAAKAB3ACAALQAgADEAKQAgAC8AIAAyACwAXABuAFwAbgAgACAAIAAgAC8ALwAgAEQAZQBmAGUAcgByAGUAZAAgAGMAbwBvAHIAZABpAG4AYQB0AGUAIABnAGUAbgBlAHIAYQB0AG8AcgBzAFwAbgAgACAAIAAgAGkALAAgACAAIAAgACAAIAAgAEwAQQBNAEIARABBACgAUgBlAHMAaQB6AGUAuwMoAFMARQBRAFUARQBOAEMARQAoAGgALAAsAGkAXwBzAHQAYQByAHQAKQAsACwAdwApACkALABcAG4AIAAgACAAIABqACwAIAAgACAAIAAgACAAIABMAEEATQBCAEQAQQAoAFIAZQBzAGkAegBlALsDKABTAEUAUQBVAEUATgBDAEUAKAAsAHcALABqAF8AcwB0AGEAcgB0ACkALABoACkAKQAsAFwAbgBcAG4AIAAgACAAIAAvAC8AIABTAGUAbABlAGMAdAAgAHIAbwB3ACAAbwByACAAYwBvAGwAdQBtAG4AIABjAG8AbwByAGQAaQBuAGEAdABlACAAZwByAGkAZABcAG4AIAAgACAAIAByAGUAcwB1AGwAdAAsACAASQBGACgAUgBvAHcASQBkAHgAPwAsACAAaQAoACkALAAgAGoAKAApACkALABcAG4AXABuACAAIAAgACAAcgBlAHMAdQBsAHQAXABuACkAKQA7AFwAbgBcAG4AXABuAFwAbgAvACoAWwBHAFcAMAAzAF0ALQAtAC0ALQAtAC0ALQAtAC0ALQAtAC0ALQAtAC0ALQAtAC0ALQAtAC0ALQAtAC0ALQAtAC0ALQAtAC0ALQAtAC0ALQAtAC0ALQAtAC0ALQAtAC0ALQAtAC0ALQAtAC0ALQAtAC0ALQAtAC0ALQAtAC0ALQAtAC0ALQAtAC0ALQAtAC0ALQAtAC0ALQAtAC0ALQAtAC0ALQAtAC0AXABuAEYAdQBuAGMAdABpAG8AbgA6ACAAIAAgACAAIABNAEcAcgBpAGQAuwNcAG4AQwBhAHQAZQBnAG8AcgB5ADoAIAAgACAAIAAgAEcAcgBpAGQAdwBvAHIAawBcAG4AQQB1AHQAaABvAHIAOgAgACAAIAAgACAAIAAgAFAAYQB0AHIAaQBjAGsAIABIAC4AXABuAFYAZQByAHMAaQBvAG4AOgAgACAAIAAgACAAIAAxAC4AMQBcAG4ARABlAHAAZQBuAGQAZQBuAGMAaQBlAHMAOgAgAFIAZQBzAGkAegBlALsDXABuAFwAbgBEAGUAcwBjAHIAaQBwAHQAaQBvAG4AOgBcAG4AIAAgACAAIABHAGUAbgBlAHIAYQB0AGUAcwAgAHIAbwB3ABEgaQBuAGQAZQB4ACAAbwByACAAYwBvAGwAdQBtAG4AESBpAG4AZABlAHgAIABnAHIAaQBkAHMAIABtAGEAdABjAGgAaQBuAGcAIAB0AGgAZQAgAHMAaABhAHAAZQAgAG8AZgAgAGEAIABzAHUAcABwAGwAaQBlAGQAXABuACAAIAAgACAAYQByAHIAYQB5AC4AIABUAGgAaQBzACAAaQBzACAAdABoAGUAIABFAHgAYwBlAGwAIABlAHEAdQBpAHYAYQBsAGUAbgB0ACAAbwBmACAATQBBAFQATABBAEIAGSBzACAAbQBlAHMAaABnAHIAaQBkACAAbwByACAATgB1AG0AUAB5ABkgcwAgAGkAbgBkAGkAYwBlAHMALgBcAG4AXABuACAAIAAgACAAQgB5ACAAZABlAGYAYQB1AGwAdAAsACAATQBHAHIAaQBkALsDIAByAGUAdAB1AHIAbgBzACAAcgBvAHcAIABpAG4AZABpAGMAZQBzAC4AIABXAGgAZQBuACAAdABoAGUAIABvAHAAdABpAG8AbgBhAGwAIABwAGEAcgBhAG0AZQB0AGUAcgAgAGkAcwAgAFQAUgBVAEUALABcAG4AIAAgACAAIABpAHQAIAByAGUAdAB1AHIAbgBzACAAYwBvAGwAdQBtAG4AIABpAG4AZABpAGMAZQBzACAAaQBuAHMAdABlAGEAZAAuAFwAbgBcAG4AIAAgACAAIABXAG8AcgBrAHMAIABmAG8AcgAgAGIAbwB0AGgAIAAxAEQAIABhAG4AZAAgADIARAAgAGEAcgByAGEAeQBzAC4AIABPAHUAdABwAHUAdAAgAGEAbAB3AGEAeQBzACAAbQBhAHQAYwBoAGUAcwAgAHQAaABlACAAZwBlAG8AbQBlAHQAcgB5ACAAbwBmACAAdABoAGUAXABuACAAIAAgACAAaQBuAHAAdQB0ACAAZwByAGkAZA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kAbgBkAGkAYwBlAHMALgAgAEkAZgAgAG8AbQBpAHQAdABlAGQALAAgAHIAZQB0AHUAcgBuACAAcgBvAHcAIABpAG4AZABpAGMAZQBzAC4AXABuAC0ALQAtAC0ALQAtAC0ALQAtAC0ALQAtAC0ALQAtAC0ALQAtAC0ALQAtAC0ALQAtAC0ALQAtAC0ALQAtAC0ALQAtAC0ALQAtAC0ALQAtAC0ALQAtAC0ALQAtAC0ALQAtAC0ALQAtAC0ALQAtAC0ALQAtAC0ALQAtAC0ALQAtAC0ALQAtAC0ALQAtAC0ALQAtAC0ALQAtAC0ALQAtACoALwBcAG4AXABuAE0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pAG4AZABlAHgAIABnAHIAaQBkAHMAXABuACAAIAAgACAAaQAsACAAIAAgACAAIAAgACAATABBAE0AQgBEAEEAKABSAGUAcwBpAHoAZQC7AygAUwBFAFEAVQBFAE4AQwBFACgAaAApACwALAB3ACkAKQAsAFwAbgAgACAAIAAgAGoALAAgACAAIAAgACAAIAAgAEwAQQBNAEIARABBACgAUgBlAHMAaQB6AGUAuwMoAFMARQBRAFUARQBOAEMARQAoACwAdwApACwAaAApACkALABcAG4AXABuACAAIAAgACAALwAvACAAUwBlAGwAZQBjAHQAIAByAG8AdwAgAG8AcgAgAGMAbwBsAHUAbQBuACAAaQBuAGQAZQB4ACAAZwByAGkAZABcAG4AIAAgACAAIAByAGUAcwB1AGwAdAAsACAAIABJAEYAKABSAG8AdwBJAGQAeAA/ACwAIABpACgAKQAsACAAagAoACkAKQAsAFwAbgBcAG4AIAAgACAAIAByAGUAcwB1AGwAdABcAG4AKQApADsAXABuAFwAbgBcAG4AXABuAC8AKgBbAEcAVwAwADQAXQAtAC0ALQAtAC0ALQAtAC0ALQAtAC0ALQAtAC0ALQAtAC0ALQAtAC0ALQAtAC0ALQAtAC0ALQAtAC0ALQAtAC0ALQAtAC0ALQAtAC0ALQAtAC0ALQAtAC0ALQAtAC0ALQAtAC0ALQAtAC0ALQAtAC0ALQAtAC0ALQAtAC0ALQAtAC0ALQAtAC0ALQAtAC0ALQAtAC0ALQAtAC0ALQBcAG4ARgB1AG4AYwB0AGkAbwBuADoAIAAgACAAIAAgAFQARwByAGkAZAC7A1wAbgBDAGEAdABlAGcAbwByAHkAOgAgACAAIAAgACAARwByAGkAZAB3AG8AcgBrAFwAbgBBAHUAdABoAG8AcgA6ACAAIAAgACAAIAAgACAAUABhAHQAcgBpAGMAawAgAEgALgBcAG4AVgBlAHIAcwBpAG8AbgA6ACAAIAAgACAAIAAgADEALgAxAFwAbgBEAGUAcABlAG4AZABlAG4AYwBpAGUAcwA6ACAAUgBlAHMAaQB6AGUAuwNcAG4AXABuAEQAZQBzAGMAcgBpAHAAdABpAG8AbgA6AFwAbgAgACAAIAAgAEcAZQBuAGUAcgBhAHQAZQBzACAAcgBvAHcAESBpAG4AZABlAHgAIABvAHIAIABjAG8AbAB1AG0AbgARIGkAbgBkAGUAeAAgAGcAcgBpAGQAcwAgAHcAaABvAHMAZQAgAHYAYQBsAHUAZQBzACAAdwByAGEAcAAgAHcAaQB0AGgAaQBuACAAYQAgAHMAcABlAGMAaQBmAGkAZQBkAFwAbgAgACAAIAAgAHQAaAByAGUAcwBoAG8AbABkAC4AIABJAG4AZABpAGMAZQBzACAAYwB5AGMAbABlACAAZgByAG8AbQAgADEAIAB0AG8AIAB0AGgAcgBlAHMAaABvAGwAZAAsACAAcgBlAHAAZQBhAHQAaQBuAGcAIABhAHMAIABuAGUAZQBkAGUAZAAgAHQAbwAgAG0AYQB0AGMAaAAgAHQAaABlAFwAbgAgACAAIAAgAHMAaABhAHAAZQAgAG8AZgAgAHQAaABlACAAcwB1AHAAcABsAGkAZQBkACAAYQByAHIAYQB5AC4AXABuAFwAbgAgACAAIAAgAEIAeQAgAGQAZQBmAGEAdQBsAHQALAAgAFQARwByAGkAZAC7AyAAcgBlAHQAdQByAG4AcwAgAHIAbwB3ACAAaQBuAGQAaQBjAGUAcwAuACAAVwBoAGUAbgAgAHQAaABlACAAbwBwAHQAaQBvAG4AYQBsACAAcABhAHIAYQBtAGUAdABlAHIAIABpAHMAIABUAFIAVQBFACwAXABuACAAIAAgACAAaQB0ACAAcgBlAHQAdQByAG4AcwAgAGMAbwBsAHUAbQBuACAAaQBuAGQAaQBjAGUAcwAgAGkAbgBzAHQAZQBhAGQALgBcAG4AXABuACAAIAAgACAATgBvAG4AESBpAG4AdABlAGcAZQByACAAdABoAHIAZQBzAGgAbwBsAGQAcwAgAGEAcgBlACAAbgBvAHIAbQBhAGwAaQB6AGUAZAAgAHUAcwBpAG4AZwAgAEkATgBUACgAdABoAHIAZQBzAGgAbwBsAGQAKQAuACAAVABoAHIAZQBzAGgAbwBsAGQAcwAgAG0AdQBzAHQAIABiAGUAXABuACAAIAAgACAAcABvAHMAaQB0AGkAdgBlACAAaQBuAHQAZQBnAGUAcgBzAC4AXABuAFwAbgBQAGEAcgBhAG0AZQB0AGUAcgBzADoAXABuACAAIAAgACAAZwByAGkAZAAgACAAIAAgACAAIAAgACAALQAgAEEAIAAxAEQAIABvAHIAIAAyAEQAIABhAHIAcgBhAHkAIAB3AGgAbwBzAGUAIABkAGkAbQBlAG4AcwBpAG8AbgBzACAAZABlAHQAZQByAG0AaQBuAGUAIAB0AGgAZQAgAG8AdQB0AHAAdQB0ACAAcwBpAHoAZQAuAFwAbgAgACAAIAAgAHQAaAByAGUAcwBoAG8AbABkACAAIAAgAC0AIABNAGEAeABpAG0AdQBtACAAaQBuAGQAZQB4ACAAdgBhAGwAdQBlACAAYgBlAGYAbwByAGUAIAB3AHIAYQBwAHAAaQBuAGcAIAAoAG0AdQBzAHQAIABiAGUAIAA+ACAAMAApAC4AXABuACAAIAAgACAAWwBjAG8AbABfAGkAbgBkAGUAeABdACAALQAgAEkAZgAgAFQAUgBVAEUALAAgAHIAZQB0AHUAcgBuACAAYwBvAGwAdQBtAG4AIABpAG4AZABpAGMAZQBzAC4AIABJAGYAIABvAG0AaQB0AHQAZQBkACwAIAByAGUAdAB1AHIAbgAgAHIAbwB3ACAAaQBuAGQAaQBjAGUAcwAuAFwAbgAtAC0ALQAtAC0ALQAtAC0ALQAtAC0ALQAtAC0ALQAtAC0ALQAtAC0ALQAtAC0ALQAtAC0ALQAtAC0ALQAtAC0ALQAtAC0ALQAtAC0ALQAtAC0ALQAtAC0ALQAtAC0ALQAtAC0ALQAtAC0ALQAtAC0ALQAtAC0ALQAtAC0ALQAtAC0ALQAtAC0ALQAtAC0ALQAtAC0ALQAtAC0ALQAqAC8AXABuAFwAbgBUAEcAcgBpAGQAuwMgAD0AXABuAEwAQQBNAEIARABBACgAXABuACAAIAAgACAAZwByAGkAZAAsAFwAbgAgACAAIAAgAHQAaAByAGUAcwBoAG8AbABkACwAXABuACAAIAAgACAAWwBjAG8AbABfAGkAbgBkAGUAeABdACwAXABuAFwAbgBJAEYAKABPAFIAKABJAFMAVABFAFgAVAAoAHQAaAByAGUAcwBoAG8AbABkACkALAAgAHQAaAByAGUAcwBoAG8AbABkACAAPAA9ACAAMAApACwAXAAiACMAVABIAFIARQBTAEgATwBMAEQAIQBcACIALABcAG4AXABuAEwARQBUACgAXABuACAAIAAgACAALwAvACAATgBvAHIAbQBhAGwAaQB6AGUAIAB0AGgAcgBlAHMAaABvAGwAZABcAG4AIAAgACAAIAB0ACwAIAAgACAAIAAgACAAIABJAE4AVAAoAHQAaAByAGUAcwBoAG8AbABkACkALABcAG4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3AHIAYQBwAHAAZQBkACAAaQBuAGQAZQB4ACAAZwByAGkAZABzAFwAbgAgACAAIAAgAGkALAAgACAAIAAgACAAIAAgAEwAQQBNAEIARABBACgAIAAxACAAKwAgAE0ATwBEACgAUgBlAHMAaQB6AGUAuwMoAFMARQBRAFUARQBOAEMARQAoAGgALAAsADAAKQAsACwAdwApACwAIAB0ACkAKQAsAFwAbgAgACAAIAAgAGoALAAgACAAIAAgACAAIAAgAEwAQQBNAEIARABBACgAIAAxACAAKwAgAE0ATwBEACgAUgBlAHMAaQB6AGUAuwMoAFMARQBRAFUARQBOAEMARQAoACwAdwAsADAAKQAsAGgAKQAsACAAdAApACkALABcAG4AXABuACAAIAAgACAALwAvACAAUwBlAGwAZQBjAHQAIAByAG8AdwAgAG8AcgAgAGMAbwBsAHUAbQBuACAAaQBuAGQAZQB4ACAAZwByAGkAZABcAG4AIAAgACAAIAByAGUAcwB1AGwAdAAsACAAIABJAEYAKABSAG8AdwBJAGQAeAA/ACwAIABpACgAKQAsACAAagAoACkAKQAsAFwAbgBcAG4AIAAgACAAIAByAGUAcwB1AGwAdABcAG4AKQApACkAOwBcAG4AXABuAFwAbgBcAG4ALwAqAFsARwBXADAANQBdAC0ALQAtAC0ALQAtAC0ALQAtAC0ALQAtAC0ALQAtAC0ALQAtAC0ALQAtAC0ALQAtAC0ALQAtAC0ALQAtAC0ALQAtAC0ALQAtAC0ALQAtAC0ALQAtAC0ALQAtAC0ALQAtAC0ALQAtAC0ALQAtAC0ALQAtAC0ALQAtAC0ALQAtAC0ALQAtAC0ALQAtAC0ALQAtAC0ALQAtAC0ALQAtAFwAbgBGAHUAbgBjAHQAaQBvAG4AOgAgACAAIAAgACAAUABvAGwAYQByAEcAcgBpAGQAuwNcAG4AQwBhAHQAZQBnAG8AcgB5ADoAIAAgACAAIAAgAEcAcgBpAGQAdwBvAHIAawBcAG4AQQB1AHQAaABvAHIAOgAgACAAIAAgACAAIAAgAFAAYQB0AHIAaQBjAGsAIABIAC4AXABuAFYAZQByAHMAaQBvAG4AOgAgACAAIAAgACAAIAAxAC4AMQBcAG4ARABlAHAAZQBuAGQAZQBuAGMAaQBlAHMAOgAgAEMARwByAGkAZAC7A1wAbgBcAG4ARABlAHMAYwByAGkAcAB0AGkAbwBuADoAXABuACAAIAAgACAARwBlAG4AZQByAGEAdABlAHMAIABhACAAZwByAGkAZAAgAG8AZgAgAHAAbwBsAGEAcgAgAGMAbwBvAHIAZABpAG4AYQB0AGUAcwAgAGEAbABpAGcAbgBlAGQAIAB0AG8AIAB0AGgAZQAgAHMAaABhAHAAZQAgAG8AZgAgAGEAIABzAHUAcABwAGwAaQBlAGQAXABuACAAIAAgACAAYQByAHIAYQB5AC4AIABDAG8AbwByAGQAaQBuAGEAdABlAHMAIABhAHIAZQAgAGQAZQByAGkAdgBlAGQAIABmAHIAbwBtACAAYwBlAG4AdABlAHIAZQBkACAAQwBhAHIAdABlAHMAaQBhAG4AIABjAG8AbwByAGQAaQBuAGEAdABlAHMAIABwAHIAbwBkAHUAYwBlAGQAXABuACAAIAAgACAAYgB5ACAAQwBHAHIAaQBkALsDLgBcAG4AXABuACAAIAAgACAAVAB3AG8AIABjAG8AbwByAGQAaQBuAGEAdABlACAAZgBpAGUAbABkAHMAIABhAHIAZQAgAGEAdgBhAGkAbABhAGIAbABlADoAXABuACAAIAAgACAAIAAgACAAIAByACAAIAAgACAALQAgAHIAYQBkAGkAYQBsACAAZABpAHMAdABhAG4AYwBlACAAZgByAG8AbQAgAHQAaABlACAAYwBlAG4AdABlAHIAXABuACAAIAAgACAAIAAgACAAIABwAGgAaQAgACAALQAgAGEAbgBnAGwAZQAgAGkAbgAgAHIAYQBkAGkAYQBuAHMALAAgAHUAcwBpAG4AZwAgAHQAaABlACAAQQBUAEEATgAyACgAeQAsACAAeAApACAAYwBvAG4AdgBlAG4AdABpAG8AbgBcAG4AXABuACAAIAAgACAASQBmACAAcABoAGkAXwBjAG8AbwByAGQAaQBuAGEAdABlACAAaQBzACAAbwBtAGkAdAB0AGUAZAAsACAAdABoAGUAIABmAHUAbgBjAHQAaQBvAG4AIAByAGUAdAB1AHIAbgBzACAAdABoAGUAIAByAGEAZABpAGEAbAAgAGQAaQBzAHQAYQBuAGMAZQAgAGcAcgBpAGQALgBcAG4AIAAgACAAIABJAGYAIABUAFIAVQBFACwAIAB0AGgAZQAgAGYAdQBuAGMAdABpAG8AbgAgAHIAZQB0AHUAcgBuAHMAIAB0AGgAZQAgAGEAbgBnAHUAbABhAHIAIABnAHIAaQBkAC4AXABuAFwAbgAgACAAIAAgAFQAaABlACAAYwBlAG4AdABlAHIAIABjAGUAbABsACAAKAAwACwAMAApACAAcgBlAHQAdQByAG4AcwAgAHAAaABpACAAPQAgADAAIAB2AGkAYQAgAEkARgBFAFIAUgBPAFIAIABmAGEAbABsAGIAYQBjAGsALgBcAG4AXABuAFAAYQByAGEAbQBlAHQAZQByAHMAOgBcAG4AIAAgACAAIABnAHIAaQBkACAAIAAgACAAIAAgACAAIAAgACAAIAAgACAALQAgADIARAAgAGEAcgByAGEAeQAgAGYAcgBvAG0AIAB3AGgAaQBjAGgAIAB0AG8AIABnAGUAbgBlAHIAYQB0AGUAIABwAG8AbABhAHIAIABjAG8AbwByAGQAaQBuAGEAdABlAHMALgBcAG4AIAAgACAAIABbAHAAaABpAF8AYwBvAG8AcgBkAGkAbgBhAHQAZQBdACAALQAgAEkAZgAgAFQAUgBVAEUALAAgAHIAZQB0AHUAcgBuACAAcABoAGkAOwAgAGkAZgAgAG8AbQBpAHQAdABlAGQALAAgAHIAZQB0AHUAcgBuACAAcgAuAFwAbgAtAC0ALQAtAC0ALQAtAC0ALQAtAC0ALQAtAC0ALQAtAC0ALQAtAC0ALQAtAC0ALQAtAC0ALQAtAC0ALQAtAC0ALQAtAC0ALQAtAC0ALQAtAC0ALQAtAC0ALQAtAC0ALQAtAC0ALQAtAC0ALQAtAC0ALQAtAC0ALQAtAC0ALQAtAC0ALQAtAC0ALQAtAC0ALQAtAC0ALQAtAC0ALQAqAC8AXABuAFwAbgBQAG8AbABhAHIARwByAGkAZAC7AyAAPQBcAG4ATABBAE0AQgBEAEEAKABcAG4AIAAgACAAIABnAHIAaQBkACwAXABuACAAIAAgACAAWwBwAGgAaQBfAGMAbwBvAHIAZABpAG4AYQB0AGUAXQAsAFwAbgBMAEUAVAAoAFwAbgAgACAAIAAgAC8ALwAgAFIAZQB0AHUAcgBuACAAbQBvAGQAZQBcAG4AIAAgACAAIABJAHMAUgA/ACwAIAAgACAASQBTAE8ATQBJAFQAVABFAEQAKABwAGgAaQBfAGMAbwBvAHIAZABpAG4AYQB0AGUAKQAsAFwAbgBcAG4AIAAgACAAIAAvAC8AIABDAGEAcgB0AGUAcwBpAGEAbgAgAGMAbwBvAHIAZABpAG4AYQB0AGUAcwBcAG4AIAAgACAAIAB4ACwAIAAgACAAIAAgACAAQwBHAHIAaQBkALsDKABnAHIAaQBkACkALABcAG4AIAAgACAAIAB5ACwAIAAgACAAIAAgACAAQwBHAHIAaQBkALsDKABnAHIAaQBkACwAMQApACwAXABuAFwAbgAgACAAIAAgAC8ALwAgAFAAbwBsAGEAcgAgAGMAbwBvAHIAZABpAG4AYQB0AGUAcwBcAG4AIAAgACAAIAByACwAIAAgACAAIAAgACAAUwBRAFIAVAAoAHgAXgAyACAAKwAgAHkAXgAyACkALABcAG4AIAAgACAAIABwAGgAaQAsACAAIAAgACAASQBGAEUAUgBSAE8AUgAoAEEAVABBAE4AMgAoAHkALAAgAHgAKQAsACAAMAApACwAXABuAFwAbgAgACAAIAAgAC8ALwAgAFMAZQBsAGUAYwB0ACAAcgAgAG8AcgAgAHAAaABpAFwAbgAgACAAIAAgAHIAZQBzAHUAbAB0ACwAIABJAEYAKABJAHMAUgA/ACwAIAByACwAIABwAGgAaQApACwAXABuAFwAbgAgACAAIAAgAHIAZQBzAHUAbAB0AFwAbgApACkAOwBcAG4AXABuAFwAbgBcAG4ALwAqACAAWwBHAEcAXQAgAC0ALQAtAC0ALQAtAC0ALQAtAC0ALQAtAC0ALQAtAC0ALQAtAC0ALQAtAC0ALQAtAC0ALQAtAC0ALQAtAC0ALQAtAC0ALQAtAC0ALQAtAC0ALQAtAC0ALQAtAC0ALQAtAC0ALQAtAC0ALQAtAC0ALQAtAC0ALQAtAC0ALQAtAC0ALQAtAC0ALQAtAC0ALQAtAC0ALQAtAFwAbgAjACMAIAAwADIAIAAtACAARwByAGkAZAAgAEcAZQBvAG0AZQB0AHIAeQ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G0AbwBkAHUAbABlACAAZABlAGYAaQBuAGUAcwAgAGEAIABmAGEAbQBpAGwAeQAgAG8AZgAgAGcAZQBvAG0AZQB0AHIAaQBjACAAZQB4AHQAcgBhAGMAdABpAG8AbgAgAG8AcABlAHIAYQB0AG8AcgBzACAAZgBvAHIAIAAyAEQAIABhAHIAcgBhAHkAcwAuAFwAbgAgACAAIAAgAEUAYQBjAGgAIABmAHUAbgBjAHQAaQBvAG4AIAByAGUAdAB1AHIAbgBzACAAYQAgAHIAZQBnAGkAbwBuACAAbwBmACAAdABoAGUAIABnAHIAaQBkACAAZABlAGYAaQBuAGUAZAAgAGIAeQAgAGEAIABzAHAAZQBjAGkAZgBpAGMAIABzAGgAYQBwAGUALABcAG4AIAAgACAAIABwAHIAZQBzAGUAcgB2AGkAbgBnACAAdABoAGUAIABnAGUAbwBtAGUAdAByAHkAIABvAGYAIAB0AGgAZQAgAGUAeAB0AHIAYQBjAHQAZQBkACAAYQByAGUAYQAuACAAQwBlAG4AdABlAHIAcwAgAG0AYQB5ACAAYgBlACAAcwBwAGUAYwBpAGYAaQBlAGQAIABiAHkAXABuACAAIAAgACAAYwByAGkAdABlAHIAaQBhACAAbwByACAAZQB4AHAAbABpAGMAaQB0ACAAYwBvAG8AcgBkAGkAbgBhAHQAZQBzACwAIABhAG4AZAAgAG8AcAB0AGkAbwBuAGEAbAAgAGYAaQBsAGwAIAB2AGEAbAB1AGUAcwAgAGMAbwBuAHQAcgBvAGwAIAB3AGgAYQB0AFwAbgAgACAAIAAgAGEAcABwAGUAYQByAHMAIABvAHUAdABzAGkAZABlACAAdABoAGUAIABlAHgAdAByAGEAYwB0AGUAZAAgAHIAZQBnAGkAbwBuAC4AXABuAFwAbgAgACAAIAAgAFMAaABhAHAAZQBzADoAXABuACAAIAAgACAAIAAgACAAIAAiICAAQwBpAHIAYwBsAGUAuwMgACAAIAAtACAAIAAgAEMAaQByAGMAdQBsAGEAcgAgAHIAZQBnAGkAbwBuACAAYgB5ACAAdABhAHIAZwBlAHQAIABvAHIAIAB7AHIAbwB3ACwAIABjAG8AbAB9ACAAYwBlAG4AdABlAHIALgBcAG4AXABuACAAIAAgACAAIAAgACAAIAAiICAARABpAGEAbQBvAG4AZAC7AyAAIAAtACAAIAAgAE0AYQBuAGgAYQB0AHQAYQBuABEgcgBhAGQAaQB1AHMAIABkAGkAYQBtAG8AbgBkAC4AXABuAFwAbgAgACAAIAAgACAAIAAgACAAIiAgAFAAbAB1AHMAuwMgACAAIAAgACAALQAgACAAIABDAHIAbwBzAHMAESBzAGgAYQBwAGUAZAAgAHIAZQBnAGkAbwBuACAAKAB2AG8AbgAgAE4AZQB1AG0AYQBuAG4AIABuAGUAaQBnAGgAYgBvAHIAaABvAG8AZAApAC4AXABuAFwAbgAgACAAIAAgACAAIAAgACAAIiAgAFAAeQByAGEAbQBpAGQAuwMgACAALQAgACAAIABEAGkAcgBlAGMAdABpAG8AbgBhAGwAIABoAGEAbABmABEgZABpAGEAbQBvAG4AZAAgACgAZgBvAHUAcgAgAHAAaQBlAGMAZQBzACkALgBcAG4AXABuACAAIAAgACAAIAAgACAAIAAiICAAUgBpAG4AZwC7AyAAIAAgACAAIAAtACAAIAAgAEwAYQB5AGUAcgARIGIAYQBzAGUAZAAgAHAAZQByAGkAbQBlAHQAZQByACAAZQB4AHQAcgBhAGMAdABpAG8AbgAuAFwAbgBcAG4AIAAgACAAIAAgACAAIAAgACIgIABTAHEAdQBhAHIAZQC7AyAAIAAgAC0AIAAgACAAQwBoAGUAYgB5AHMAaABlAHYAESByAGEAZABpAHUAcwAgAHMAcQB1AGEAcgBlAC4AXABuAFwAbgAgACAAIAAgACAAIAAgACAAIiAgAFQAcgBpAGEAbgBnAGwAZQC7AyAALQAgACAAIABEAGkAcgBlAGMAdABpAG8AbgBhAGwAIAB0AHIAaQBhAG4AZwB1AGwAYQByACAAcgBlAGcAaQBvAG4AIAAoAGEAYgBvAHYAZQAgAG8AcgAgAGIAZQBsAG8AdwApAC4AXABuAFwAbgAgACAAIAAgAFUAdABpAGwAaQB0AGkAZQBzADoAXABuACAAIAAgACAAIAAgACAAIAAiICAAQwBHAHIAaQBkALsDLAAgAE0ARwByAGkAZAC7AywAIABSAGUAcwBpAHoAZQC7AywAIABTAHEAdQBlAGUAegBlALsDXABuAFwAbgAgACAAIAAgAEEAbABsACAAZgB1AG4AYwB0AGkAbwBuAHMAIABhAHIAZQAgAHMAaABhAHAAZQARIGQAcgBpAHYAZQBuADoAIAB0AGgAZQAgAGkAbgBwAHUAdAAgAGcAcgBpAGQAIABkAGUAdABlAHIAbQBpAG4AZQBzACAAdABoAGUAIABjAG8AbwByAGQAaQBuAGEAdABlAFwAbgAgACAAIAAgAGUAeAB0AGUAbgB0AHMAIABhAG4AZAAgAHQAaABlACAAZwBlAG8AbQBlAHQAcgB5ACAAbwBmACAAdABoAGUAIABlAHgAdAByAGEAYwB0AGUAZAAgAHIAZQBnAGkAbwBuAC4AXABuAC8AKgBcAG4AXABuACAAIAAgACAARQB4AGEAbQBwAGwAZQBzADoAXABuAFwAbgBcAG4ARwByAGkAZABcAHQAXAB0AFwAdABcAHQAXAB0AFwAdABcAHQAXAB0AFwAdABcAG4AMQBcAHQAMgBcAHQAMwBcAHQANABcAHQANQBcAHQANgBcAHQANwBcAHQAOABcAHQAOQBcAHQAMQAwAFwAbgAxADEAXAB0ADEAMgBcAHQAMQAzAFwAdAAxADQAXAB0ADEANQBcAHQAMQA2AFwAdAAxADcAXAB0ADEAOABcAHQAMQA5AFwAdAAyADAAXABuADIAMQBcAHQAMgAyAFwAdAAyADMAXAB0ADIANABcAHQAMgA1AFwAdAAyADYAXAB0ADIANwBcAHQAMgA4AFwAdAAyADkAXAB0ADMAMABcAG4AMwAxAFwAdAAzADIAXAB0ADMAMwBcAHQAMwA0AFwAdAAzADUAXAB0ADMANgBcAHQAMwA3AFwAdAAzADgAXAB0ADMAOQBcAHQANAAwAFwAbgA0ADEAXAB0ADQAMgBcAHQANAAzAFwAdAA0ADQAXAB0ADQANQBcAHQANAA2AFwAdAA0ADcAXAB0ADQAOABcAHQANAA5AFwAdAA1ADAAXABuADUAMQBcAHQANQAyAFwAdAA1ADMAXAB0ADUANABcAHQANQA1AFwAdAA1ADYAXAB0ADUANwBcAHQANQA4AFwAdAA1ADkAXAB0ADYAMABcAG4ANgAxAFwAdAA2ADIAXAB0ADYAMwBcAHQANgA0AFwAdAA2ADUAXAB0ADYANgBcAHQANgA3AFwAdAA2ADgAXAB0ADYAOQBcAHQANwAwAFwAbgA3ADEAXAB0ADcAMgBcAHQANwAzAFwAdAA3ADQAXAB0ADcANQBcAHQANwA2AFwAdAA3ADcAXAB0ADcAOABcAHQANwA5AFwAdAA4ADAAXABuADgAMQBcAHQAOAAyAFwAdAA4ADMAXAB0ADgANABcAHQAOAA1AFwAdAA4ADYAXAB0ADgANwBcAHQAOAA4AFwAdAA4ADkAXAB0ADkAMABcAG4AOQAxAFwAdAA5ADIAXAB0ADkAMwBcAHQAOQA0AFwAdAA5ADUAXAB0ADkANgBcAHQAOQA3AFwAdAA5ADgAXAB0ADkAOQBcAHQAMQAwADAAXABuAFwAdABcAHQAXAB0AFwAdABcAHQAXAB0AFwAdABcAHQAXAB0AFwAbgBDAGkAcgBjAGwAZQC7AygAZwByAGkAZAAsADQANQAsADUALABcACIAXAAiACkAXAB0AFwAdABcAHQAXAB0AFwAdABcAHQAXAB0AFwAdABcAHQAXABuAFwAdAAyAFwAdAAzAFwAdAA0AFwAdAA1AFwAdAA2AFwAdAA3AFwAdAA4AFwAdABcAHQAXABuADEAMQBcAHQAMQAyAFwAdAAxADMAXAB0ADEANABcAHQAMQA1AFwAdAAxADYAXAB0ADEANwBcAHQAMQA4AFwAdAAxADkAXAB0AFwAbgAyADEAXAB0ADIAMgBcAHQAMgAzAFwAdAAyADQAXAB0ADIANQBcAHQAMgA2AFwAdAAyADcAXAB0ADIAOABcAHQAMgA5AFwAdABcAG4AMwAxAFwAdAAzADIAXAB0ADMAMwBcAHQAMwA0AFwAdAAzADUAXAB0ADMANgBcAHQAMwA3AFwAdAAzADgAXAB0ADMAOQBcAHQAXABuADQAMQBcAHQANAAyAFwAdAA0ADMAXAB0ADQANABcAHQANAA1AFwAdAA0ADYAXAB0ADQANwBcAHQANAA4AFwAdAA0ADkAXAB0ADUAMABcAG4ANQAxAFwAdAA1ADIAXAB0ADUAMwBcAHQANQA0AFwAdAA1ADUAXAB0ADUANgBcAHQANQA3AFwAdAA1ADgAXAB0ADUAOQBcAHQAXABuADYAMQBcAHQANgAyAFwAdAA2ADMAXAB0ADYANABcAHQANgA1AFwAdAA2ADYAXAB0ADYANwBcAHQANgA4AFwAdAA2ADkAXAB0AFwAbgA3ADEAXAB0ADcAMgBcAHQANwAzAFwAdAA3ADQAXAB0ADcANQBcAHQANwA2AFwAdAA3ADcAXAB0ADcAOABcAHQANwA5AFwAdABcAG4AXAB0ADgAMgBcAHQAOAAzAFwAdAA4ADQAXAB0ADgANQBcAHQAOAA2AFwAdAA4ADcAXAB0ADgAOABcAHQAXAB0AFwAbgBcAHQAXAB0AFwAdABcAHQAOQA1AFwAdABcAHQAXAB0AFwAdABcAHQAXABuAFwAdABcAHQAXAB0AFwAdABcAHQAXAB0AFwAdABcAHQAXAB0AFwAbgBEAGkAYQBtAG8AbgBkALsDKABnAHIAaQBkACwAewA1ACwANQB9ACwAMwAsAFwAIgBcACIAKQBcAHQAXAB0AFwAdABcAHQAXAB0AFwAdABcAHQAXAB0AFwAdABcAG4AXAB0AFwAdABcAHQAMQA1AFwAdABcAHQAXAB0AFwAdABcAHQAXAB0AFwAbgBcAHQAXAB0ADIANABcAHQAMgA1AFwAdAAyADYAXAB0AFwAdABcAHQAXAB0AFwAdABcAG4AXAB0ADMAMwBcAHQAMwA0AFwAdAAzADUAXAB0ADMANgBcAHQAMwA3AFwAdABcAHQAXAB0AFwAdABcAG4ANAAyAFwAdAA0ADMAXAB0ADQANABcAHQANAA1AFwAdAA0ADYAXAB0ADQANwBcAHQANAA4AFwAdABcAHQAXAB0AFwAbgBcAHQANQAzAFwAdAA1ADQAXAB0ADUANQBcAHQANQA2AFwAdAA1ADcAXAB0AFwAdABcAHQAXAB0AFwAbgBcAHQAXAB0ADYANABcAHQANgA1AFwAdAA2ADYAXAB0AFwAdABcAHQAXAB0AFwAdABcAG4AXAB0AFwAdABcAHQANwA1AFwAdABcAHQAXAB0AFwAdABcAHQAXAB0AFwAbgBcAHQAXAB0AFwAdABcAHQAXAB0AFwAdABcAHQAXAB0AFwAdABcAG4AUABsAHUAcwC7AygAZwByAGkAZAAsADUANwAsADMALABcACIAXAAiACkAXAB0AFwAdABcAHQAXAB0AFwAdABcAHQAXAB0AFwAdABcAHQAXABuAFwAdABcAHQAXAB0ADIANwBcAHQAXAB0AFwAdABcAHQAXAB0AFwAdABcAG4AXAB0AFwAdABcAHQAMwA3AFwAdABcAHQAXAB0AFwAdABcAHQAXAB0AFwAbgBcAHQAXAB0AFwAdAA0ADcAXAB0AFwAdABcAHQAXAB0AFwAdABcAHQAXABuADUANABcAHQANQA1AFwAdAA1ADYAXAB0ADUANwBcAHQANQA4AFwAdAA1ADkAXAB0ADYAMABcAHQAXAB0AFwAdABcAG4AXAB0AFwAdABcAHQANgA3AFwAdABcAHQAXAB0AFwAdABcAHQAXAB0AFwAbgBcAHQAXAB0AFwAdAA3ADcAXAB0AFwAdABcAHQAXAB0AFwAdABcAHQAXABuAFwAdABcAHQAXAB0ADgANwBcAHQAXAB0AFwAdABcAHQAXAB0AFwAdABcAG4AXAB0AFwAdABcAHQAXAB0AFwAdABcAHQAXAB0AFwAdABcAHQAXABuAFAAeQByAGEAbQBpAGQAuwMoAGcAcgBpAGQALAAyACwAXAAiAHgAXAAiACkAXAB0AFwAdABcAHQAXAB0AFwAdABcAHQAXAB0AFwAdABcAHQAXABuAHgAXAB0AHgAXAB0AHgAXAB0AHgAXAB0AHgAXAB0AHgAXAB0AHgAXAB0AHgAXAB0AHgAXAB0ADEAMABcAG4AeABcAHQAeABcAHQAeABcAHQAeABcAHQAeABcAHQAeABcAHQAeABcAHQAeABcAHQAMQA5AFwAdAAyADAAXABuAHgAXAB0AHgAXAB0AHgAXAB0AHgAXAB0AHgAXAB0AHgAXAB0AHgAXAB0ADIAOABcAHQAMgA5AFwAdAAzADAAXABuAHgAXAB0AHgAXAB0AHgAXAB0AHgAXAB0AHgAXAB0AHgAXAB0ADMANwBcAHQAMwA4AFwAdAAzADkAXAB0ADQAMABcAG4AeABcAHQAeABcAHQAeABcAHQAeABcAHQAeABcAHQANAA2AFwAdAA0ADcAXAB0ADQAOABcAHQANAA5AFwAdAA1ADAAXABuAHgAXAB0AHgAXAB0AHgAXAB0AHgAXAB0ADUANQBcAHQANQA2AFwAdAA1ADcAXAB0ADUAOABcAHQANQA5AFwAdAA2ADAAXABuAHgAXAB0AHgAXAB0AHgAXAB0ADYANABcAHQANgA1AFwAdAA2ADYAXAB0ADYANwBcAHQANgA4AFwAdAA2ADkAXAB0ADcAMABcAG4AeABcAHQAeABcAHQANwAzAFwAdAA3ADQAXAB0ADcANQBcAHQANwA2AFwAdAA3ADcAXAB0ADcAOABcAHQANwA5AFwAdAA4ADAAXABuAHgAXAB0ADgAMgBcAHQAOAAzAFwAdAA4ADQAXAB0ADgANQBcAHQAOAA2AFwAdAA4ADcAXAB0ADgAOABcAHQAOAA5AFwAdAA5ADAAXABuADkAMQBcAHQAOQAyAFwAdAA5ADMAXAB0ADkANABcAHQAOQA1AFwAdAA5ADYAXAB0ADkANwBcAHQAOQA4AFwAdAA5ADkAXAB0ADEAMAAwAFwAbgBcAHQAXAB0AFwAdABcAHQAXAB0AFwAdABcAHQAXAB0AFwAdABcAG4AUgBpAG4AZwC7AygAZwByAGkAZAAsADIALABcACIALQBcACIAKQBcAHQAXAB0AFwAdABcAHQAXAB0AFwAdABcAHQAXAB0AFwAdABcAG4ALQBcAHQALQBcAHQALQBcAHQALQBcAHQALQBcAHQALQBcAHQALQBcAHQALQBcAHQALQBcAHQALQBcAG4ALQBcAHQAMQAyAFwAdAAxADMAXAB0ADEANABcAHQAMQA1AFwAdAAxADYAXAB0ADEANwBcAHQAMQA4AFwAdAAxADkAXAB0AC0AXABuAC0AXAB0ADIAMgBcAHQALQBcAHQALQBcAHQALQBcAHQALQBcAHQALQBcAHQALQBcAHQAMgA5AFwAdAAtAFwAbgAtAFwAdAAzADIAXAB0AC0AXAB0AC0AXAB0AC0AXAB0AC0AXAB0AC0AXAB0AC0AXAB0ADMAOQBcAHQALQBcAG4ALQBcAHQANAAyAFwAdAAtAFwAdAAtAFwAdAAtAFwAdAAtAFwAdAAtAFwAdAAtAFwAdAA0ADkAXAB0AC0AXABuAC0AXAB0ADUAMgBcAHQALQBcAHQALQBcAHQALQBcAHQALQBcAHQALQBcAHQALQBcAHQANQA5AFwAdAAtAFwAbgAtAFwAdAA2ADIAXAB0AC0AXAB0AC0AXAB0AC0AXAB0AC0AXAB0AC0AXAB0AC0AXAB0ADYAOQBcAHQALQBcAG4ALQBcAHQANwAyAFwAdAAtAFwAdAAtAFwAdAAtAFwAdAAtAFwAdAAtAFwAdAAtAFwAdAA3ADkAXAB0AC0AXABuAC0AXAB0ADgAMgBcAHQAOAAzAFwAdAA4ADQAXAB0ADgANQBcAHQAOAA2AFwAdAA4ADcAXAB0ADgAOABcAHQAOAA5AFwAdAAtAFwAbgAtAFwAdAAtAFwAdAAtAFwAdAAtAFwAdAAtAFwAdAAtAFwAdAAtAFwAdAAtAFwAdAAtAFwAdAAtAFwAbgBcAHQAXAB0AFwAdABcAHQAXAB0AFwAdABcAHQAXAB0AFwAdABcAG4AUwBxAHUAYQByAGUAuwMoAGcAcgBpAGQALAAyADcALAAzACwAXAAiAFwAIgApAFwAdABcAHQAXAB0AFwAdABcAHQAXAB0AFwAdABcAHQAXAB0AFwAbgA0AFwAdAA1AFwAdAA2AFwAdAA3AFwAdAA4AFwAdAA5AFwAdAAxADAAXAB0AFwAdABcAHQAXABuADEANABcAHQAMQA1AFwAdAAxADYAXAB0ADEANwBcAHQAMQA4AFwAdAAxADkAXAB0ADIAMABcAHQAXAB0AFwAdABcAG4AMgA0AFwAdAAyADUAXAB0ADIANgBcAHQAMgA3AFwAdAAyADgAXAB0ADIAOQBcAHQAMwAwAFwAdABcAHQAXAB0AFwAbgAzADQAXAB0ADMANQBcAHQAMwA2AFwAdAAzADcAXAB0ADMAOABcAHQAMwA5AFwAdAA0ADAAXAB0AFwAdABcAHQAXABuADQANABcAHQANAA1AFwAdAA0ADYAXAB0ADQANwBcAHQANAA4AFwAdAA0ADkAXAB0ADUAMABcAHQAXAB0AFwAdABcAG4ANQA0AFwAdAA1ADUAXAB0ADUANgBcAHQANQA3AFwAdAA1ADgAXAB0ADUAOQBcAHQANgAwAFwAdABcAHQAXAB0AFwAbgBcAHQAXAB0AFwAdABcAHQAXAB0AFwAdABcAHQAXAB0AFwAdABcAG4AVAByAGkAYQBuAGcAbABlALsDKABnAHIAaQBkACwANAA0ACwAMwAsACwAXAAiAFwAIgApACAALQAgAEEAYgBvAHYAZQBcAHQAXAB0AFwAdABcAHQAXAB0AFwAdABcAHQAXAB0AFwAdABcAG4AXAB0AFwAdABcAHQAMQA0AFwAdABcAHQAXAB0AFwAdABcAHQAXAB0AFwAbgBcAHQAXAB0ADIAMwBcAHQAMgA0AFwAdAAyADUAXAB0AFwAdABcAHQAXAB0AFwAdABcAG4AXAB0ADMAMgBcAHQAMwAzAFwAdAAzADQAXAB0ADMANQBcAHQAMwA2AFwAdABcAHQAXAB0AFwAdABcAG4ANAAxAFwAdAA0ADIAXAB0ADQAMwBcAHQANAA0AFwAdAA0ADUAXAB0ADQANgBcAHQANAA3AFwAdABcAHQAXAB0AFwAbgBcAHQAXAB0AFwAdABcAHQAXAB0AFwAdABcAHQAXAB0AFwAdABcAG4AVAByAGkAYQBuAGcAbABlALsDKABnAHIAaQBkACwANAA0ACwAMwAsADEALABcACIAXAAiACkAIAAtACAAQgBlAGwAbwB3AFwAdABcAHQAXAB0AFwAdABcAHQAXAB0AFwAdABcAHQAXAB0AFwAbgA0ADEAXAB0ADQAMgBcAHQANAAzAFwAdAA0ADQAXAB0ADQANQBcAHQANAA2AFwAdAA0ADcAXAB0AFwAdABcAHQAXABuAFwAdAA1ADIAXAB0ADUAMwBcAHQANQA0AFwAdAA1ADUAXAB0ADUANgBcAHQAXAB0AFwAdABcAHQAXABuAFwAdABcAHQANgAzAFwAdAA2ADQAXAB0ADYANQBcAHQAXAB0AFwAdABcAHQAXAB0AFwAbgBcAHQAXAB0AFwAdAA3ADQAXAB0AFwAdABcAHQAXAB0AFwAdABcAHQAXABuAFwAbgAqAC8AXABuAFwAbgBcAG4AXABuAC8AKgAgAFsARwBHADAAMQBdACAALQAtAC0ALQAtAC0ALQAtAC0ALQAtAC0ALQAtAC0ALQAtAC0ALQAtAC0ALQAtAC0ALQAtAC0ALQAtAC0ALQAtAC0ALQAtAC0ALQAtAC0ALQAtAC0ALQAtAC0ALQAtAC0ALQAtAC0ALQAtAC0ALQAtAC0ALQAtAC0ALQAtAC0ALQAtAC0ALQAtAC0ALQAtAC0ALQBcAG4ARgB1AG4AYwB0AGkAbwBuADoAIAAgACAAIAAgAEMAaQByAGMAbABl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jAGkAcgBjAHUAbABhAHIAIAByAGUAZwBpAG8AbgAgAGYAcgBvAG0AIABhACAAMgBEACAAYQByAHIAYQB5ACAAYgB5ACAAcwBwAGUAYwBpAGYAeQBpAG4AZwAgAHQAaABlACAAYwBlAG4AdABlAHIAIABhAG4AZAAgAGEAXABuACAAIAAgACAAcgBhAGQAaQB1AHMAIAAoAGUAeAB0AGUAbgBkACkALgAgAFQAaABlACAAYwBlAG4AdABlAHIAIABtAGEAeQAgAGIAZQAgAGcAaQB2AGUAbgAgAGEAcwAgAGEAIABzAGMAYQBsAGEAcgAgAGMAcgBpAHQAZQByAGkAbwBuACAAbwByACAAYQBzACAAZQB4AHAAbABpAGMAaQB0AFwAbgAgACAAIAAgAGMAbwBvAHIAZABpAG4AYQB0AGUAcwAgAHsAcgBvAHcALAAgAGMAbwBsAH0ALgAgAFQAaABlACAAZQB4AHQAcgBhAGMAdABlAGQAIAByAGUAZwBpAG8AbgAgAHAAcgBlAHMAZQByAHYAZQBzACAAaQB0AHMAIABnAGUAbwBtAGUAdAByAGkAYwAgAHMAaABhAHAAZQAsAFwAbgAgACAAIAAgAGEAbgBkACAAcgBvAHcAcwAvAGMAbwBsAHUAbQBuAHMAIABjAG8AbgB0AGEAaQBuAGkAbgBnACAAbwBuAGwAeQAgAGYAaQBsAGwAXwB2AGEAbAB1AGU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YwBpAHIAYwBsAGU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GMAaQByAGMAbABlACAAKABtAHUAcwB0ACAAYgBlACAAYQAgAHAAbwBzAGkAdABpAHYAZQAgAGkAbgB0AGUAZwBlAHIAKQAuAFwAbgAgACAAIAAgAFsAZgBpAGwAbABfAHYAYQBsAHUAZQBdAC0AIABTAGMAYQBsAGEAcgAgAHUAcwBlAGQAIABvAHUAdABzAGkAZABlACAAdABoAGUAIABjAGkAcgBjAGwAZQAuACAARABlAGYAYQB1AGwAdABzACAAdABvACAAMAAuAFwAbgAtAC0ALQAtAC0ALQAtAC0ALQAtAC0ALQAtAC0ALQAtAC0ALQAtAC0ALQAtAC0ALQAtAC0ALQAtAC0ALQAtAC0ALQAtAC0ALQAtAC0ALQAtAC0ALQAtAC0ALQAtAC0ALQAtAC0ALQAtAC0ALQAtAC0ALQAtAC0ALQAtAC0ALQAtAC0ALQAtAC0ALQAtAC0ALQAtAC0ALQAtAC0ALQAqAC8AXABuAFwAbgBDAGkAcgBjAGw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DAGkAcgBjAGwAZQAgAG0AYQBzAGsAXABuACAAIAAgACAAbQBhAHMAawAsACAAIAAgACgAaQAgAC0AIAB4ACkAXgAyACAAKwAgACgAagAgAC0AIAB5ACkAXgAyACAAPAA9ACAAZQB4AHQAZQBuAGQAXgAy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MgBdACAALQAtAC0ALQAtAC0ALQAtAC0ALQAtAC0ALQAtAC0ALQAtAC0ALQAtAC0ALQAtAC0ALQAtAC0ALQAtAC0ALQAtAC0ALQAtAC0ALQAtAC0ALQAtAC0ALQAtAC0ALQAtAC0ALQAtAC0ALQAtAC0ALQAtAC0ALQAtAC0ALQAtAC0ALQAtAC0ALQAtAC0ALQAtAC0ALQBcAG4ARgB1AG4AYwB0AGkAbwBuADoAIAAgACAAIAAgAEQAaQBhAG0AbwBuAGQ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hAG0AbwBuAGQAESBzAGgAYQBwAGUAZAAgAHIAZQBnAGkAbwBuACAAKABNAGEAbgBoAGEAdAB0AGEAbgAgAHIAYQBkAGkAdQBzACkAIABmAHIAbwBtACAAYQAgADIARAAgAGEAcgByAGEAeQAgAGIAeQBcAG4AIAAgACAAIABzAHAAZQBjAGkAZgB5AGkAbgBnACAAdABoAGUAIABjAGUAbgB0AGUAcgAgAGEAbgBkACAAYQAgAGQAaQBzAHQAYQBuAGMAZQAuACAAVABoAGUAIABjAGUAbgB0AGUAcgAgAG0AYQB5ACAAYgBlACAAZwBpAHYAZQBuACAAYQBzACAAYQAgAHMAYwBhAGwAYQByAFwAbgAgACAAIAAgAGMAcgBpAHQAZQByAGkAbwBuACAAbwByACAAYQBzACAAZQB4AHAAbABpAGMAaQB0ACAAYwBvAG8AcgBkAGkAbgBhAHQAZQBzACAAewByAG8AdwAsACAAYwBvAGwAfQAuACAAVABoAGUAIABlAHgAdAByAGEAYwB0AGUAZAAgAHIAZQBnAGkAbwBuAFwAbgAgACAAIAAgAHAAcgBlAHMAZQByAHYAZQBzACAAaQB0AHMAIABnAGUAbwBtAGUAdAByAGkAYwAgAHMAaABhAHAAZQAsACAAYQBuAGQAIAByAG8AdwBzAC8AYwBvAGwAdQBtAG4AcwAgAGMAbwBuAHQAYQBpAG4AaQBuAGcAIABvAG4AbAB5ACAAZgBpAGwAbABfAHYAYQBsAHUAZQBcAG4AIAAgACA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ZABpAGEAbQBvAG4AZAAuACAATQBhAHkAIABiAGUAIABhACAAcwBjAGEAbABhAHIAIABjAHIAaQB0AGUAcgBpAG8AbgAgAG8AcgAgAGMAbwBvAHIAZABpAG4AYQB0AGUAcwBcAG4AIAAgACAAIAAgACAAIAAgACAAIAAgACAAIAAgACAAIAAgACAAbwBmACAAdABoAGUAIABmAG8AcgBtACAAewByAG8AdwAsACAAYwBvAGwAfQAuAFwAbgAgACAAIAAgAGQAaQBzAHQAYQBuAGMAZQAgACAAIAAgAC0AIABNAGEAbgBoAGEAdAB0AGEAbgAgAHIAYQBkAGkAdQBzACAAbwBmACAAdABoAGUAIABkAGkAYQBtAG8AbgBkACAAKABtAHUAcwB0ACAAYgBlACAAYQAgAHAAbwBzAGkAdABpAHYAZQAgAGkAbgB0AGUAZwBlAHIAKQAuAFwAbgAgACAAIAAgAFsAZgBpAGwAbABfAHYAYQBsAHUAZQBdAC0AIABTAGMAYQBsAGEAcgAgAHUAcwBlAGQAIABvAHUAdABzAGkAZABlACAAdABoAGUAIABkAGkAYQBtAG8AbgBkAC4AIABEAGUAZgBhAHUAbAB0AHMAIAB0AG8AIAAwAC4AXABuAC0ALQAtAC0ALQAtAC0ALQAtAC0ALQAtAC0ALQAtAC0ALQAtAC0ALQAtAC0ALQAtAC0ALQAtAC0ALQAtAC0ALQAtAC0ALQAtAC0ALQAtAC0ALQAtAC0ALQAtAC0ALQAtAC0ALQAtAC0ALQAtAC0ALQAtAC0ALQAtAC0ALQAtAC0ALQAtAC0ALQAtAC0ALQAtAC0ALQAtAC0ALQAtACoALwBcAG4AXABuAEQAaQBhAG0AbwBuAGQAuwMgAD0AXABuAEwAQQBNAEIARABBACgAXABuACAAIAAgACAAZwByAGkAZAAsAFwAbgAgACAAIAAgAHQAYQByAGcAZQB0ACwAXABuACAAIAAgACAAZABpAHMAdABhAG4AYwBlACwAXABuACAAIAAgACAAWwBmAGkAbABsAF8AdgBhAGwAdQBlAF0ALABcAG4ATABFAFQAKABcAG4AIAAgACAAIAAvAC8AIABEAGkAbQBlAG4AcwBpAG8AbgBzAFwAbgAgACAAIAAgAGgALAAgACAAIAAgACAAIAAgACAAIAAgACAAIAAgACAAIAAgAFIATwBXAFMAKABnAHIAaQBkACkALABcAG4AIAAgACAAIAB3ACwAIAAgACAAIAAgACAAIAAgACAAIAAgACAAIAAgACAAIABDAE8ATABVAE0ATgBTACgAZwByAGkAZAApACwAXABuAFwAbgAgACAAIAAgAC8ALwAgAFQAYQByAGcAZQB0ACAAaQBuAHQAZQByAHAAcgBlAHQAYQB0AGkAbwBuAFwAbgAgACAAIAAgAEkAcwBJAF8ASgA/ACwAIAAgACAAIAAgACAAIAAgACAAIAAgAEMATwBVAE4AVAAoAHQAYQByAGcAZQB0ACkAIAA9ACAAMgAsAFwAbgAgACAAIAAgAHIALAAgACAAIAAgACAAIAAgACAAIAAgACAAIAAgACAAIAAgAEkARgAoAEkAcwBJAF8ASgA/ACwAIABUAEEASwBFACgAdABhAHIAZwBlAHQALAAgADEALAAgADEAKQAsACAAMAApACwAXABuACAAIAAgACAAYwAsACAAI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AgACAASQBGACgASQBzAEkAXwBKAD8ALAAgAEYAQQBMAFMARQAsACAAZwByAGkAZAAgAD0AIAB0AGEAcgBnAGUAdAApACwAXABuAFwAbgAgACAAIAAgAC8ALwAgAEkAbgBwAHUAdAAgAHYAYQBsAGkAZABhAHQAaQBvAG4AXABuACAAIAAgACAASQBzAFMAYwBhAGwAYQByAD8ALAAgACAAIAAgACAAIAAgACAAQQBOAEQAKABoACAAPQAgADEALAAgAHcAIAA9ACAAMQApACwAXABuACAAIAAgACAASQBzADEARAA/ACwAIAAgACAAIAAgACAAIAAgACAAIAAgACAAWABPAFIAKABoACAAPQAgADEALAAgAHcAIAA9ACAAMQApACwAXABuACAAIAAgACAASQBuAHYAYQBsAGkAZABEAGkAcwB0AGEAbgBjAGUAPwAsACAATwBSACgASQBTAFQARQBYAFQAKABkAGkAcwB0AGEAbgBjAGUAKQAsACAAZABpAHMAdABhAG4AYwBlACAAPAAgADEAKQAsAFwAbgAgACAAIAAgAE4AbwBUAGEAcgBnAGUAdAA/ACwAIAAgACAAIAAgACAAIAAgAEkARgAoAEkAcwBJAF8ASgA/ACwAIABGAEEATABTAEUALAAgAE4ATwBUACgATwBSACgAYgBvAG8AbAApACkAKQAsAFwAbgBcAG4AIAAgACAAIAAvAC8AIABPAHAAdABpAG8AbgBhAGwAIABmAGkAbABsAFwAbgAgACAAIAAgAGYAaQBsAGwAXwB2AGEAbAB1AGUALAAgACA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QAaQBzAHQAYQBuAGMAZQA/ACwAIABcACIAIwBEAEkAUwBUAEEATgBDAEU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EQAaQBhAG0AbwBuAGQAIABtAGEAcwBrACAAKABNAGEAbgBoAGEAdAB0AGEAbgAgAGQAaQBzAHQAYQBuAGMAZQApAFwAbgAgACAAIAAgAG0AYQBzAGsALAAgACAAIABBAEIAUwAoAGkAIAAtACAAeAApACAAKwAgAEEAQgBTACgAagAgAC0AIAB5ACkAIAA8AD0AIABkAGkAcwB0AGEAbgBjAGUALABcAG4AXABuACAAIAAgACAALwAvACAARQB4AHQAcgBhAGMAdAAgAGEAbgBkACAAcwBxAHUAZQBlAHoAZQBcAG4AIAAgACAAIAByAGUAcwB1AGwAdAAsACAAUwBxAHUAZQBlAHoAZQC7AygASQBGACgAbQBhAHMAawAsACAAZwByAGkAZAAsACAAZgBpAGwAbABfAHYAYQBsAHUAZQApACwAIABmAGkAbABsAF8AdgBhAGwAdQBlACkALABcAG4AXABuACAAIAAgACAAcgBlAHMAdQBsAHQAXABuACkAKQApACkAKQApACkAOwBcAG4AXABuAFwAbgBcAG4ALwAqACAAWwBHAEcAMAAzAF0AIAAtAC0ALQAtAC0ALQAtAC0ALQAtAC0ALQAtAC0ALQAtAC0ALQAtAC0ALQAtAC0ALQAtAC0ALQAtAC0ALQAtAC0ALQAtAC0ALQAtAC0ALQAtAC0ALQAtAC0ALQAtAC0ALQAtAC0ALQAtAC0ALQAtAC0ALQAtAC0ALQAtAC0ALQAtAC0ALQAtAC0ALQAtAC0ALQAtAFwAbgBGAHUAbgBjAHQAaQBvAG4AOgAgACAAIAAgACAAUABsAHUAcw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ABsAHUAcwARIHMAaABhAHAAZQBkACAAcgBlAGcAaQBvAG4AIAAoAGUAeAB0AGUAbgBkAGUAZAAgAHYAbwBuACAATgBlAHUAbQBhAG4AbgAgAG4AZQBpAGcAaABiAG8AcgBoAG8AbwBkACkAIABmAHIAbwBtACAAYQAgADIARABcAG4AIAAgACAAIABhAHIAcgBhAHkAIABiAHkAIABzAHAAZQBjAGkAZgB5AGkAbgBnACAAdABoAGUAIABjAGUAbgB0AGUAcgAgAGEAbgBkACAAYQBuACAAZQB4AHQAZQBuAGQAIAB2AGEAbAB1AGUALgAgAFQAaABlACAAYwBlAG4AdABlAHIAIABtAGEAeQAgAGIAZQAgAGcAaQB2AGUAbgBcAG4AIAAgACAAIABhAHMAIABhACAAcwBjAGEAbABhAHIAIABjAHIAaQB0AGUAcgBpAG8AbgAgAG8AcgAgAGEAcwAgAGUAeABwAGwAaQBjAGkAdAAgAGMAbwBvAHIAZABpAG4AYQB0AGUAcwAgAHsAcgBvAHcALAAgAGMAbwBsAH0ALgAgAFQAaABlACAAZQB4AHQAcgBhAGMAdABlAGQAXABuACAAIAAgACAAcgBlAGcAaQBvAG4AIABwAHIAZQBzAGUAcgB2AGUAcwAgAGkAdABzACAAZwBlAG8AbQBlAHQAcgBpAGMAIABzAGgAYQBwAGUALAAgAGEAbgBkACAAcgBvAHcAcwAvAGMAbwBsAHUAbQBuAHMAIABjAG8AbgB0AGEAaQBuAGkAbgBnACAAbwBuAGwAeQBcAG4AIAAgACAAIABmAGkAbABsAF8AdgBhAGwAdQBl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AAbAB1AHM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HAAbAB1AHMAIABhAHIAbQBzACAAKABtAHUAcwB0ACAAYgBlACAAYQAgAHAAbwBzAGkAdABpAHYAZQAgAGkAbgB0AGUAZwBlAHIAKQAuAFwAbgAgACAAIAAgAFsAZgBpAGwAbABfAHYAYQBsAHUAZQBdAC0AIABTAGMAYQBsAGEAcgAgAHUAcwBlAGQAIABvAHUAdABzAGkAZABlACAAdABoAGUAIABwAGwAdQBzAC4AIABEAGUAZgBhAHUAbAB0AHMAIAB0AG8AIAAwAC4AXABuAC0ALQAtAC0ALQAtAC0ALQAtAC0ALQAtAC0ALQAtAC0ALQAtAC0ALQAtAC0ALQAtAC0ALQAtAC0ALQAtAC0ALQAtAC0ALQAtAC0ALQAtAC0ALQAtAC0ALQAtAC0ALQAtAC0ALQAtAC0ALQAtAC0ALQAtAC0ALQAtAC0ALQAtAC0ALQAtAC0ALQAtAC0ALQAtAC0ALQAtAC0ALQAtACoALwBcAG4AXABuAFAAbAB1AHM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SQBGACgASQBzAEkAXwBKAD8ALAAgACAAIABUAEEASwBFACgAdABhAHIAZwBlAHQALAAgADEALAAgADEAKQAsACAAMAApACwAXABuACAAIAAgACAAYwAsACAASQBGACgASQBzAEkAXwBKAD8ALAAgACAAIABUAEEASwBFACgAdABhAHIAZwBlAHQALAAgAC0AMQAsACAALQAxACkALAAgADAAKQAsAFwAbgBcAG4AIAAgACAAIAAvAC8AIABCAG8AbwBsAGUAYQBuACAAbQBhAHQAYwBoACAAZgBvAHIAIABzAGMAYQBsAGEAcgAgAHQAYQByAGcAZQB0AFwAbgAgACAAIAAgAGIAbwBvAGwALAAgACAAIAAgACAAIAAgACAAIAAgACAASQBGACgASQBzAEkAXwBKAD8ALAAgAEYAQQBMAFMARQAsACAAZwByAGkAZAAgAD0AIAB0AGEAcgBnAGUAdAApACwAXABuAFwAbgAgACAAIAAgAC8ALwAgAEkAbgBwAHUAdAAgAHYAYQBsAGkAZABhAHQAaQBvAG4AXABuACAAIAAgACAASQBzAFMAYwBhAGwAYQByAD8ALAAgACAAIAAgACAAIABBAE4ARAAoAGgAIAA9ACAAMQAsACAAdwAgAD0AIAAxACkALABcAG4AIAAgACAAIABJAHMAMQBEAD8ALAAgACAAIAAgACAAIAAgACAAIAAgAFgATwBSACgAaAAgAD0AIAAxACwAIAB3ACAAPQAgADEAKQAsAFwAbgAgACAAIAAgAEkAbgB2AGEAbABpAGQARQB4AHQAZQBuAGQAPwAsACAATwBSACgASQBTAFQARQBYAFQAKABlAHgAdABlAG4AZAApACwAIABlAHgAdABlAG4AZAAgADwAIAAxACkALABcAG4AIAAgACAAIABOAG8AVABhAHIAZwBlAHQAPwAsACAAIAAgACAAIAAgAEkARgAoAEkAcwBJAF8ASgA/ACwAIABGAEEATABTAEUALAAgAE4ATwBUACgATwBSACgAYgBvAG8AbAApACkAKQAsAFwAbgBcAG4AIAAgACAAIAAvAC8AIABPAHAAdABpAG8AbgBhAGwAIABmAGkAbABsAFwAbgAgACAAIAAgAGYAaQBsAGwAXwB2AGEAbAB1AGUALAAgACAAIAAgACAASQBGACgASQBTAE8ATQBJAFQAVABFAEQAKABmAGkAbABsAF8AdgBhAGwAdQBlACkALAAgADAALAAgAGYAaQBsAGwAXwB2AGEAbAB1AGUAKQAsAFwAbgBcAG4AIAAgACAAIAAvAC8AIABMAG8AZwBpAGMAIABnAGEAdABlAFwAbgAgACAAIAAgAEkARgAoAEkAcwBTAGMAYQBsAGEAcgA/ACwAIABnAHIAaQBkACwAXABuAFwAbgAgACAAIAAgACAAIAAgACAASQBGACgASQBzADEARAA/ACwAIABcACIAIwAxAEQALQBBAFIAUgBBAFkAIQBcACIALABcAG4AXABuACAAIAAgACAAIAAgACAAIAAgACAAIAAgAEkARgAoAEkAbgB2AGEAbABpAGQARQB4AHQAZQBuAGQAPwAsACAAXAAiACMARQBYAFQARQBOAEQ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FAAbAB1AHMAIABtAGEAcwBrACAAKABoAG8AcgBpAHoAbwBuAHQAYQBsACAAKwAgAHYAZQByAHQAaQBjAGEAbAAgAGEAcgBtAHMAKQBcAG4AIAAgACAAIABtAGEAcwBrACwAIAAgACAAKABpACAAPQAgAHgAKQAgACoAIAAoAEEAQgBTACgAagAgAC0AIAB5ACkAIAA8AD0AIABlAHgAdABlAG4AZAApACAAKwBcAG4AIAAgACAAIAAgACAAIAAgACAAIAAgACAAKABqACAAPQAgAHkAKQAgACoAIAAoAEEAQgBTACgAaQAgAC0AIAB4ACkAIAA8AD0AIABlAHgAdABlAG4AZAAp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NABdACAALQAtAC0ALQAtAC0ALQAtAC0ALQAtAC0ALQAtAC0ALQAtAC0ALQAtAC0ALQAtAC0ALQAtAC0ALQAtAC0ALQAtAC0ALQAtAC0ALQAtAC0ALQAtAC0ALQAtAC0ALQAtAC0ALQAtAC0ALQAtAC0ALQAtAC0ALQAtAC0ALQAtAC0ALQAtAC0ALQAtAC0ALQAtAC0ALQBcAG4ARgB1AG4AYwB0AGkAbwBuADoAIAAgACAAIAAgAFAAeQByAGEAbQBpAGQ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8AbgBlACAAbwBmACAAZgBvAHUAcgAgAHQAcgBpAGEAbgBnAHUAbABhAHIAIABcACIAcAB5AHIAYQBtAGkAZABcACIAIAByAGUAZwBpAG8AbgBzACAAZgByAG8AbQAgAGEAIAAyAEQAIABhAHIAcgBhAHkAIAB3AGgAaQBsAGUAXABuACAAIAAgACAAcAByAGUAcwBlAHIAdgBpAG4AZwAgAHMAaABhAHAAZQAuACAAUAB5AHIAYQBtAGkAZAAgAHIAZQBnAGkAbwBuAHMAIABhAHIAZQAgAGQAZQBmAGkAbgBlAGQAIAB1AHMAaQBuAGcAIAByAG8AdwAvAGMAbwBsAHUAbQBuACAAaQBuAGQAZQB4ACAAZwByAGkAZABzAFwAbgAgACAAIAAgAGcAZQBuAGUAcgBhAHQAZQBkACAAYgB5ACAATQBHAHIAaQBkALsDLgAgAEEAbgAgAG8AcAB0AGkAbwBuAGEAbAAgAGYAaQBsAGwAXwB2AGEAbAB1AGUAIABjAG8AbgB0AHIAbwBsAHMAIAB3AGgAYQB0ACAAYQBwAHAAZQBhAHIAcwAgAG8AdQB0AHMAaQBkAGUAIAB0AGgAZQBcAG4AIAAgACAAIABzAGUAbABlAGMAdABlAGQAIAByAGUAZwBpAG8AbgAuAFwAbgBcAG4AIAAgACAAIABQAHkAcgBhAG0AaQBkACAAcABpAGUAYwBlAHMAIAAoAGMAbABvAGMAawB3AGkAcwBlACkAOgBcAG4AIAAgACAAIAAgACAAIAAgADEAIAAtACAAVQBwAHAAZQByACAAcgBpAGcAaAB0AFwAbgAgACAAIAAgACAAIAAgACAAMgAgAC0AIABMAG8AdwBlAHIAIAByAGkAZwBoAHQAXABuACAAIAAgACAAIAAgACAAIAAzACAALQAgAEwAbwB3AGUAcgAgAGwAZQBmAHQAXABuACAAIAAgACAAIAAgACAAIAA0ACAALQAgAFUAcABwAGUAcgAgAGwAZQBmAHQAXABuAFwAbgAgACAAIAAgAFAAeQByAGEAbQBpAGQAIABlAHgAdAByAGEAYwB0AGkAbwBuAHMAIABhAHIAZQAgAG0AbwBzAHQAIABtAGUAYQBuAGkAbgBnAGYAdQBsACAAbwBuACAAcwBxAHUAYQByAGUAIABvAHIAIABuAGUAYQByABEgcwBxAHUAYQByAGUAIABtAGEAdAByAGkAYwBlAHMALgBcAG4AIAAgACAAIABPAG4AIAB0AGEAbABsACAAbwByACAAbgBhAHIAcgBvAHcAIABtAGEAdAByAGkAYwBlAHMALAAgAHQAaABlACAAcgBlAHMAdQBsAHQAaQBuAGcAIABzAGgAYQBwAGUAcwAgAG0AYQB5ACAAYgBlACAAdgBpAHMAdQBhAGwAbAB5ACAAcwBrAGUAdwBlAGQALgBcAG4AXABuAFAAYQByAGEAbQBlAHQAZQByAHMAOgBcAG4AIAAgACAAIABhAHIAcgBhAHkAIAAgACAAIAAgACAAIAAgAC0AIAAyAEQAIABhAHIAcgBhAHkAIABmAHIAbwBtACAAdwBoAGkAYwBoACAAdABvACAAZQB4AHQAcgBhAGMAdAAgAHQAaABlACAAcgBlAGcAaQBvAG4ALgBcAG4AIAAgACAAIABbAHAAaQBlAGMAZQBdACAAIAAgACAAIAAgAC0AIABJAG4AdABlAGcAZQByACAAMQATIDQAIABzAGUAbABlAGMAdABpAG4AZwAgAHQAaABlACAAcAB5AHIAYQBtAGkAZAAgAHIAZQBnAGkAbwBuAC4AIABEAGUAZgBhAHUAbAB0AHMAIAB0AG8AIAAxAC4AXABuACAAIAAgACAAWwBmAGkAbABsAF8AdgBhAGwAdQBlAF0AIAAtACAAUwBjAGEAbABhAHIAIAB1AHMAZQBkACAAbwB1AHQAcwBpAGQAZQAgAHQAaABlACAAcgBlAGcAaQBvAG4ALgAgAEQAZQBmAGEAdQBsAHQAcwAgAHQAbwAgAFwAIgBcACIALgBcAG4ALQAtAC0ALQAtAC0ALQAtAC0ALQAtAC0ALQAtAC0ALQAtAC0ALQAtAC0ALQAtAC0ALQAtAC0ALQAtAC0ALQAtAC0ALQAtAC0ALQAtAC0ALQAtAC0ALQAtAC0ALQAtAC0ALQAtAC0ALQAtAC0ALQAtAC0ALQAtAC0ALQAtAC0ALQAtAC0ALQAtAC0ALQAtAC0ALQAtAC0ALQAtAC0AKgAvAFwAbgBcAG4AUAB5AHIAYQBtAGkAZAC7AyAAPQBcAG4ATABBAE0AQgBEAEEAKABcAG4AIAAgACAAIABhAHIAcgBhAHkALABcAG4AIAAgACAAIABbAHAAaQBlAGMAZQBdACwAXABuACAAIAAgACAAWwBmAGkAbABsAF8AdgBhAGwAdQBlAF0ALABcAG4ATABFAFQAKABcAG4AIAAgACAAIAAvAC8AIABWAGEAbABpAGQAYQB0AGUAIABwAGkAZQBjAGUAXABuACAAIAAgACAAcABpAGUAYwBlACwAIAAgACAAIAAgACAAIAAgACAASQBGACgASQBTAE8ATQBJAFQAVABFAEQAKABwAGkAZQBjAGUAKQAsACAAMQAsACAAcABpAGUAYwBlACkALABcAG4AIAAgACAAIABJAG4AdgBhAGwAaQBkAFAAaQBlAGMAZQA/ACwAIABPAFIAKABwAGkAZQBjAGUAIAA8ACAAMQAsACAAcABpAGUAYwBlACAAPgAgADQALAAgAEkAUwBUAEUAWABUACgAcABpAGUAYwBlACkAKQAsAFwAbgBcAG4AIAAgACAAIAAvAC8AIABPAHAAdABpAG8AbgBhAGwAIABmAGkAbABsAFwAbgAgACAAIAAgAGYAaQBsAGwAXwB2AGEAbAB1AGUALAAgACAAIAAgAEkARgAoAEkAUwBPAE0ASQBUAFQARQBEACgAZgBpAGwAbABfAHYAYQBsAHUAZQApACwAIABcACIAXAAiACwAIABmAGkAbABsAF8AdgBhAGwAdQBlACkALABcAG4AXABuAC8ALwAgAEwAbwBnAGkAYwAgAGcAYQB0AGUAXABuACAAIAAgACAASQBGACgASQBuAHYAYQBsAGkAZABQAGkAZQBjAGUAPwAsACAAXAAiACMAUABJAEUAQwBFACEAXAAiACwAXABuAFwAbgBMAEUAVAAoAFwAbgAgACAAIAAgAC8ALwAgAEQAaQBtAGUAbgBzAGkAbwBuAHMAXABuACAAIAAgACAAaAAsACAAIAAgACAAIAAgACAAIAAgACAAIABSAE8AVwBTACgAYQByAHIAYQB5ACkALABcAG4AIAAgACAAIAB3ACwAIAAgACAAIAAgACAAIAAgACAAIAAgAEMATwBMAFUATQBOAFMAKABhAHIAcgBhAHkAKQAsAFwAbgBcAG4AIAAgACAAIAAvAC8AIABJAG4AZABlAHgAIABnAHIAaQBkAHMAXABuACAAIAAgACAAaQAsACAAIAAgACAAIAAgACAAIAAgACAAIABNAEcAcgBpAGQAuwMoAGEAcgByAGEAeQApACwAXABuACAAIAAgACAAagAsACAAIAAgACAAIAAgACAAIAAgACAAIABNAEcAcgBpAGQAuwMoAGEAcgByAGEAeQAsACAAMQApACwAXABuAFwAbgAgACAAIAAgAC8ALwAgAFAAeQByAGEAbQBpAGQAIABtAGEAcwBrAHMAIAAoAGMAbABvAGMAawB3AGkAcwBlACkAXABuACAAIAAgACAAdQBwAHAAZQByAF8AcgBpAGcAaAB0ACwAIABpACAAPAA9ACAAagAsACAAIAAgACAAIAAgACAAIAAgACAALwAvACAAMQBcAG4AIAAgACAAIABsAG8AdwBlAHIAXwByAGkAZwBoAHQALAAgAGkAIAArACAAagAgAD4APQAgAGgAIAArACAAMQAsACAAIAAvAC8AIAAyAFwAbgAgACAAIAAgAGwAbwB3AGUAcgBfAGwAZQBmAHQALAAgACAAaQAgAD4APQAgAGoALAAgACAAIAAgACAAIAAgACAAIAAgAC8ALwAgADMAXABuACAAIAAgACAAdQBwAHAAZQByAF8AbABlAGYAdAAsACAAIABpACAAKwAgAGoAIAA8AD0AIABoACAAKwAgADEALAAgACAALwAvACAANABcAG4AXABuACAAIAAgACAALwAvACAAUwBlAGwAZQBjAHQAIAByAGUAZwBpAG8AbgBcAG4AIAAgACAAIABtAGEAcwBrACwAIAAgACAAIAAgACAAIAAgAEkARgAoAHAAaQBlAGMAZQAgAD0AIAAxACwAIAB1AHAAcABlAHIAXwByAGkAZwBoAHQALABcAG4AIAAgACAAIAAgACAAIAAgACAAIAAgACAAIAAgACAAIAAgACAAIAAgAEkARgAoAHAAaQBlAGMAZQAgAD0AIAAyACwAIABsAG8AdwBlAHIAXwByAGkAZwBoAHQALABcAG4AIAAgACAAIAAgACAAIAAgACAAIAAgACAAIAAgACAAIAAgACAAIAAgACAAIAAgACAASQBGACgAcABpAGUAYwBlACAAPQAgADMALAAgAGwAbwB3AGUAcgBfAGwAZQBmAHQALABcAG4AIAAgACAAIAAgACAAIAAgACAAIAAgACAAIAAgACAAIAAgACAAIAAgACAAIAAgACAAIAAgACAAIAAgACAAIAAgACAAIAAgACAAIAAgAHUAcABwAGUAcgBfAGwAZQBmAHQAKQApACkALABcAG4AXABuACAAIAAgACAALwAvACAAQQBwAHAAbAB5ACAAbQBhAHMAawBcAG4AIAAgACAAIAByAGUAcwB1AGwAdAAsACAAIAAgACAAIAAgAEkARgAoAG0AYQBzAGsALAAgAGEAcgByAGEAeQAsACAAZgBpAGwAbABfAHYAYQBsAHUAZQApACwAXABuAFwAbgAgACAAIAAgAHIAZQBzAHUAbAB0AFwAbgApACkAKQApADsAXABuAFwAbgBcAG4AXABuAC8AKgAgAFsARwBHADAANQBdACAALQAtAC0ALQAtAC0ALQAtAC0ALQAtAC0ALQAtAC0ALQAtAC0ALQAtAC0ALQAtAC0ALQAtAC0ALQAtAC0ALQAtAC0ALQAtAC0ALQAtAC0ALQAtAC0ALQAtAC0ALQAtAC0ALQAtAC0ALQAtAC0ALQAtAC0ALQAtAC0ALQAtAC0ALQAtAC0ALQAtAC0ALQAtAC0ALQBcAG4ARgB1AG4AYwB0AGkAbwBuADoAIAAgACAAIAAgAFIAaQBuAGc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EAIABzAGkAbgBnAGwAZQAgAHIAaQBuAGcAIAAoAGwAYQB5AGUAcgApACAAZgByAG8AbQAgAGEAIAAyAEQAIABnAHIAaQBkACAAdwBoAGkAbABlACAAcAByAGUAcwBlAHIAdgBpAG4AZwAgAHQAaABlACAAbwB2AGUAcgBhAGwAbABcAG4AIAAgACAAIABzAGgAYQBwAGUAIABvAGYAIAB0AGgAZQAgAGcAcgBpAGQALgAgAEwAYQB5AGUAcgAgADEAIABjAG8AcgByAGUAcwBwAG8AbgBkAHMAIAB0AG8AIAB0AGgAZQAgAG8AdQB0AGUAcgBtAG8AcwB0ACAAcABlAHIAaQBtAGUAdABlAHIALAAgAGEAbgBkACAAaABpAGcAaABlAHIAXABuACAAIAAgACAAbABhAHkAZQByAHMAIABtAG8AdgBlACAAaQBuAHcAYQByAGQALgAgAFQAaABlACAAbwB1AHQAcAB1AHQAIABhAGwAdwBhAHkAcwAgAG0AYQB0AGMAaABlAHMAIAB0AGgAZQAgAGQAaQBtAGUAbgBzAGkAbwBuAHMAIABvAGYAIAB0AGgAZQAgAGkAbgBwAHUAdABcAG4AIAAgACAAIABnAHIAaQBkACwAIAB3AGkAdABoACAAYQBsAGwAIABuAG8AbgARIHIAaQBuAGcAIABjAGUAbABsAHMAIABmAGkAbABsAGUAZAAgAHUAcwBpAG4AZwAgAGYAaQBsAGwAXwB2AGEAbAB1AGUALgBcAG4AXABuAFAAYQByAGEAbQBlAHQAZQByAHMAOgBcAG4AIAAgACAAIABnAHIAaQBkACAAIAAgACAAIAAgACAAIAAtACAAUgBlAHEAdQBpAHIAZQBkACAAMgBEACAAYQByAHIAYQB5ACAAcgBlAHAAcgBlAHMAZQBuAHQAaQBuAGcAIAB0AGgAZQAgAGYAdQBsAGwAIABnAHIAaQBkAC4AXABuACAAIAAgACAAbABhAHkAZQByACAAIAAgACAAIAAgACAALQAgAEkAbgB0AGUAZwBlAHIAIABlIiAAMQAgAHMAcABlAGMAaQBmAHkAaQBuAGcAIAB3AGgAaQBjAGgAIAByAGkAbgBnACAAdABvACAAZQB4AHQAcgBhAGMAdAAuAFwAbgAgACAAIAAgACAAIAAgACAAIAAgACAAIAAgACAAIAAgACAAIABMAGEAeQBlAHIAcwAgAGUAeABjAGUAZQBkAGkAbgBnACAAdABoAGUAIABpAG4AbgBlAHIAbQBvAHMAdAAgAHIAaQBuAGcAIAByAGUAdAB1AHIAbgAgAFwAIgAjAE0AQQBYAC0ATABBAFkARQBSADoAIABuAFwAIgAuAFwAbgAgACAAIAAgAFsAZgBpAGwAbABfAHYAYQBsAHUAZQBdAC0AIABTAGMAYQBsAGEAcgAgAHUAcwBlAGQAIAB0AG8AIABmAGkAbABsACAAbgBvAG4AESByAGkAbgBnACAAYwBlAGwAbABzAC4AIABEAGUAZgBhAHUAbAB0AHMAIAB0AG8AIAAwAC4AXABuAFwAbgBOAG8AdABlAHMAOgBcAG4AIAAgACAAIAAiICAAVABoAGkAcwAgAGYAdQBuAGMAdABpAG8AbgAgAHAAZQByAGYAbwByAG0AcwAgAG4AbwAgAHIAbwB0AGEAdABpAG8AbgA7ACAAaQB0ACAAbwBuAGwAeQAgAGUAeAB0AHIAYQBjAHQAcwAgAHQAaABlACAAcgBpAG4AZwAgAG0AYQBzAGsALgBcAG4AIAAgACAAIAAiICAARABlAGcAZQBuAGUAcgBhAHQAZQAgAHIAaQBuAGcAcwAgACgAMQDXAE4ALAAgAE4A1wAxACwAIAAyANcATgAsACAAZQB0AGMALgApACAAYQByAGUAIABwAHIAZQBzAGUAcgB2AGUAZAAgAGUAeABhAGMAdABsAHkALgBcAG4AIAAgACAAIAAiICAAUgBpAG4AZwBSAG8AdABhAHQAZQC7AyAAYQBuAGQAIABSAGkAbgBnAFIAbwB0AGEAdABlAFIAZQB2ALsDIAByAGUAbAB5ACAAbwBuACAAUgBpAG4AZwC7AyAAdABvACAAaQBkAGUAbgB0AGkAZgB5ACAAcgBpAG4AZwAgAGIAbwB1AG4AZABhAHIAaQBlAHMALgBcAG4ALQAtAC0ALQAtAC0ALQAtAC0ALQAtAC0ALQAtAC0ALQAtAC0ALQAtAC0ALQAtAC0ALQAtAC0ALQAtAC0ALQAtAC0ALQAtAC0ALQAtAC0ALQAtAC0ALQAtAC0ALQAtAC0ALQAtAC0ALQAtAC0ALQAtAC0ALQAtAC0ALQAtAC0ALQAtAC0ALQAtAC0ALQAtAC0ALQAtAC0ALQAtAC0AKgAvAFwAbgBcAG4AUgBpAG4AZwC7AyAAPQBcAG4ATABBAE0AQgBEAEEAKABcAG4AIAAgACAAIABnAHIAaQBkACwAXABuACAAIAAgACAAbABhAHkAZQByACwAXABuACAAIAAgACAAWwBmAGkAbABsAF8AdgBhAGwAdQBlAF0ALABcAG4ATABFAFQAKABcAG4AIAAgACAAIAAvAC8AIABEAGkAbQBlAG4AcwBpAG8AbgBzAFwAbgAgACAAIAAgAGgALAAgACAAIAAgACAAIAAgACAAIAAgACAAIAAgAFIATwBXAFMAKABnAHIAaQBkACkALABcAG4AIAAgACAAIAB3ACwAIAAgACAAIAAgACAAIAAgACAAIAAgACAAIABDAE8ATABVAE0ATgBTACgAZwByAGkAZAApACwAXABuAFwAbgAgACAAIAAgAC8ALwAgAFYAYQBsAGkAZABhAHQAaQBvAG4AXABuACAAIAAgACAASQBzAFMAYwBhAGwAYQByAD8ALAAgACAAIAAgACAAQQBOAEQAKABoACAAPQAgADEALAAgAHcAIAA9ACAAMQApACwAXABuACAAIAAgACAASQBzADEARAA/ACwAIAAgACAAIAAgACAAIAAgACAATwBSACgAaAAgAD0AIAAxACwAIAB3ACAAPQAgADEAKQAsAFwAbgAgACAAIAAgAEkAbgB2AGEAbABpAGQATABhAHkAZQByAD8ALAAgAE8AUgAoAEkAUwBUAEUAWABUACgAbABhAHkAZQByACkALAAgAGwAYQB5AGUAcgAgADwAPQAgADAAKQAsAFwAbgAgACAAIAAgAE0AYQB4AEwAYQB5AGUAcgAsACAAIAAgACAAIAAgAEkATgBUACgAKABNAEkATgAoAGgALAAgAHcAKQAgACsAIAAxACkAIAAvACAAMg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MAGEAeQBlAHIAPwAsACAAXAAiACMATABBAFkARQBSACEAXAAiACwAXABuAFwAbgAgACAAIAAgACAAIAAgACAAIAAgACAAIAAgACAAIAAgAEkARgAoAGwAYQB5AGUAcgAgAD4AIABNAGEAeABMAGEAeQBlAHIALAAgAFwAIgAjAE0AQQBYAC0ATABBAFkARQBSADoAIABcACIAIAAmACAATQBhAHgATABhAHkAZQByACwAXABuAFwAbgBMAEUAVAAoAFwAbgAgACAAIAAgAC8ALwAgAE8AcAB0AGkAbwBuAGEAbAAgAGYAaQBsAGwAXABuACAAIAAgACAAZgBpAGwAbABfAHYAYQBsAHUAZQAsACAAIABJAEYAKABJAFMATwBNAEkAVABUAEUARAAoAGYAaQBsAGwAXwB2AGEAbAB1AGUAKQAsACAAMAAsACAAZgBpAGwAbABfAHYAYQBsAHUAZQApACwAXABuAFwAbgAgACAAIAAgAC8ALwAgAEkAbgBkAGUAeAAgAGcAcgBpAGQAcwBcAG4AIAAgACAAIABpACwAIAAgACAAIAAgACAAIAAgACAAIAAgAE0ARwByAGkAZAC7AygAZwByAGkAZAApACwAXABuACAAIAAgACAAagAsACAAIAAgACAAIAAgACAAIAAgACAAIABNAEcAcgBpAGQAuwMoAGcAcgBpAGQALAAgADEAKQAsAFwAbgBcAG4AIAAgACAAIAAvAC8AIABSAGkAbgBnACAAZQBkAGcAZQBzAFwAbgAgACAAIAAgAHQAbwBwACwAIAAgACAAIAAgACAAIAAgACAAKAAoAGkAIAA9ACAAbABhAHkAZQByACkAIAArACAAKABpACAAPQAgADEAIAArACAAaAAgAC0AIABsAGEAeQBlAHIAKQApACAAKgBcAG4AIAAgACAAIAAgACAAIAAgACAAIAAgACAAIAAgACAAIAAgACgAKABqACAAPgAgAGwAYQB5AGUAcgAgAC0AIAAxACkAIAAqACAAKABqACAAPAA9ACAAMQAgACsAIAB3ACAALQAgAGwAYQB5AGUAcgApACkALABcAG4AXABuACAAIAAgACAAcwBpAGQAZQAsACAAIAAgACAAIAAgACAAIAAoACgAagAgAD0AIABsAGEAeQBlAHIAKQAgACsAIAAoAGoAIAA9ACAAMQAgACsAIAB3ACAALQAgAGwAYQB5AGUAcgApACkAIAAqAFwAbgAgACAAIAAgACAAIAAgACAAIAAgACAAIAAgACAAIAAgACAAKAAoAGkAIAA+ACAAbABhAHkAZQByACAALQAgADEAKQAgACoAIAAoAGkAIAA8AD0AIAAxACAAKwAgAGgAIAAtACAAbABhAHkAZQByACkAKQAsAFwAbgBcAG4AIAAgACAAIAAvAC8AIABDAG8AbQBiAGkAbgBlAGQAIAByAGkAbgBnACAAbQBhAHMAawBcAG4AIAAgACAAIABtAGEAcwBrACwAIAAgACAAIAAgACAAIAAgAFMASQBHAE4AKAB0AG8AcAAgACsAIABzAGkAZABlACkALABcAG4AXABuACAAIAAgACAALwAvACAAQQBwAHAAbAB5ACAAbQBhAHMAawBcAG4AIAAgACAAIAByAGUAcwB1AGwAdAAsACAAIAAgACAAIAAgAEkARgAoAG0AYQBzAGsALAAgAGcAcgBpAGQALAAgAGYAaQBsAGwAXwB2AGEAbAB1AGUAKQAsAFwAbgBcAG4AIAAgACAAIAByAGUAcwB1AGwAdABcAG4AKQApACkAKQApACkAKQA7AFwAbgBcAG4AXABuAFwAbgAvACoAIABbAEcARwAwADYAXQAgAC0ALQAtAC0ALQAtAC0ALQAtAC0ALQAtAC0ALQAtAC0ALQAtAC0ALQAtAC0ALQAtAC0ALQAtAC0ALQAtAC0ALQAtAC0ALQAtAC0ALQAtAC0ALQAtAC0ALQAtAC0ALQAtAC0ALQAtAC0ALQAtAC0ALQAtAC0ALQAtAC0ALQAtAC0ALQAtAC0ALQAtAC0ALQAtAC0AXABuAEYAdQBuAGMAdABpAG8AbgA6ACAAIAAgACAAIABTAHEAdQBhAHIAZQ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wBxAHUAYQByAGUAESBzAGgAYQBwAGUAZAAgAHIAZQBnAGkAbwBuACAAKABDAGgAZQBiAHkAcwBoAGUAdgAgAHIAYQBkAGkAdQBzACkAIABmAHIAbwBtACAAYQAgADIARAAgAGEAcgByAGEAeQAgAGIAeQBcAG4AIAAgACAAIABzAHAAZQBjAGkAZgB5AGkAbgBnACAAdABoAGUAIABjAGUAbgB0AGUAcgAgAGEAbgBkACAAYQBuACAAZQB4AHQAZQBuAGQAIAB2AGEAbAB1AGU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MAcQB1AGEAcgBl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EMAaABlAGIAeQBzAGgAZQB2ACAAcgBhAGQAaQB1AHMAIABvAGYAIAB0AGgAZQAgAHMAcQB1AGEAcgBlACAAKABtAHUAcwB0ACAAYgBlACAAYQAgAHAAbwBzAGkAdABpAHYAZQAgAGkAbgB0AGUAZwBlAHIAKQAuAFwAbgAgACAAIAAgAFsAZgBpAGwAbABfAHYAYQBsAHUAZQBdAC0AIABTAGMAYQBsAGEAcgAgAHUAcwBlAGQAIABvAHUAdABzAGkAZABlACAAdABoAGUAIABzAHEAdQBhAHIAZQAuACAARABlAGYAYQB1AGwAdABzACAAdABvACAAMAAuAFwAbgAtAC0ALQAtAC0ALQAtAC0ALQAtAC0ALQAtAC0ALQAtAC0ALQAtAC0ALQAtAC0ALQAtAC0ALQAtAC0ALQAtAC0ALQAtAC0ALQAtAC0ALQAtAC0ALQAtAC0ALQAtAC0ALQAtAC0ALQAtAC0ALQAtAC0ALQAtAC0ALQAtAC0ALQAtAC0ALQAtAC0ALQAtAC0ALQAtAC0ALQAtAC0ALQAqAC8AXABuAFwAbgBTAHEAdQBhAHI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UwBxAHUAYQByAGUAIABtAGEAcwBrACAAKABDAGgAZQBiAHkAcwBoAGUAdgAgAGQAaQBzAHQAYQBuAGMAZQApAFwAbgAgACAAIAAgAG0AYQBzAGsALAAgACAAIAAgACAAIAAgACAAKABBAEIAUwAoAGkAIAAtACAAeAApACAAPAA9ACAAZQB4AHQAZQBuAGQAKQAgACoAIAAoAEEAQgBTACgAagAgAC0AIAB5ACkAIAA8AD0AIABlAHgAdABlAG4AZAApACwAXABuAFwAbgAgACAAIAAgAC8ALwAgAEUAeAB0AHIAYQBjAHQAIABhAG4AZAAgAHMAcQB1AGUAZQB6AGUAXABuACAAIAAgACAAcgBlAHMAdQBsAHQALAAgACAAIAAgACAAIABTAHEAdQBlAGUAegBlALsDKABJAEYAKABtAGEAcwBrACwAIABnAHIAaQBkACwAIABmAGkAbABsAF8AdgBhAGwAdQBlACkALAAgAGYAaQBsAGwAXwB2AGEAbAB1AGUAKQAsAFwAbgBcAG4AIAAgACAAIAByAGUAcwB1AGwAdABcAG4AKQApACkAKQApACkAKQA7AFwAbgBcAG4AXABuAFwAbgAvACoAIABbAEcARwAwADcAXQAgAC0ALQAtAC0ALQAtAC0ALQAtAC0ALQAtAC0ALQAtAC0ALQAtAC0ALQAtAC0ALQAtAC0ALQAtAC0ALQAtAC0ALQAtAC0ALQAtAC0ALQAtAC0ALQAtAC0ALQAtAC0ALQAtAC0ALQAtAC0ALQAtAC0ALQAtAC0ALQAtAC0ALQAtAC0ALQAtAC0ALQAtAC0ALQAtAC0AXABuAEYAdQBuAGMAdABpAG8AbgA6ACAAIAAgACAAIABUAHIAaQBhAG4AZwBsAGU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yAGUAYwB0AGkAbwBuAGEAbAAgAHQAcgBpAGEAbgBnAHUAbABhAHIAIAByAGUAZwBpAG8AbgAgACgAdQBwAHAAZQByACAAbwByACAAbABvAHcAZQByACkAIABmAHIAbwBtACAAYQAgADIARAAgAGEAcgByAGEAeQAgAGIAeQBcAG4AIAAgACAAIABzAHAAZQBjAGkAZgB5AGkAbgBnACAAdABoAGUAIABjAGUAbgB0AGUAcgAgAGEAbgBkACAAYQAgAE0AYQBuAGgAYQB0AHQAYQBuACAAcgBhAGQAaQB1AHM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QAcgBpAGEAbgBnAGwAZQAuACAATQBhAHkAIABiAGUAIABhACAAcwBjAGEAbABhAHIAIABjAHIAaQB0AGUAcgBpAG8AbgAgAG8AcgAgAGMAbwBvAHIAZABpAG4AYQB0AGUAcwBcAG4AIAAgACAAIAAgACAAIAAgACAAIAAgACAAIAAgACAAIAAgACAAbwBmACAAdABoAGUAIABmAG8AcgBtACAAewByAG8AdwAsACAAYwBvAGwAfQAuAFwAbgAgACAAIAAgAHIAYQBkAGkAdQBzACAAIAAgACAAIAAgAC0AIABNAGEAbgBoAGEAdAB0AGEAbgAgAHIAYQBkAGkAdQBzACAAbwBmACAAdABoAGUAIAB0AHIAaQBhAG4AZwBsAGUAIAAoAG0AdQBzAHQAIABiAGUAIABhACAAcABvAHMAaQB0AGkAdgBlACAAaQBuAHQAZQBnAGUAcgApAC4AXABuACAAIAAgACAAWwBiAGUAbABvAHcAXQAgACAAIAAgACAALQAgAEkAZgAgAFQAUgBVAEUALAAgAHIAZQB0AHUAcgBuAHMAIAB0AGgAZQAgAGwAbwB3AGUAcgAgAHQAcgBpAGEAbgBnAGwAZQA7ACAAaQBmACAAbwBtAGkAdAB0AGUAZAAsACAAcgBlAHQAdQByAG4AcwAgAHUAcABwAGUAcgAuAFwAbgAgACAAIAAgAFsAZgBpAGwAbABfAHYAYQBsAHUAZQBdAC0AIABTAGMAYQBsAGEAcgAgAHUAcwBlAGQAIABvAHUAdABzAGkAZABlACAAdABoAGUAIAB0AHIAaQBhAG4AZwBsAGUALgAgAEQAZQBmAGEAdQBsAHQAcwAgAHQAbwAgADAALgBcAG4ALQAtAC0ALQAtAC0ALQAtAC0ALQAtAC0ALQAtAC0ALQAtAC0ALQAtAC0ALQAtAC0ALQAtAC0ALQAtAC0ALQAtAC0ALQAtAC0ALQAtAC0ALQAtAC0ALQAtAC0ALQAtAC0ALQAtAC0ALQAtAC0ALQAtAC0ALQAtAC0ALQAtAC0ALQAtAC0ALQAtAC0ALQAtAC0ALQAtAC0ALQAtAC0AKgAvAFwAbgBcAG4AVAByAGkAYQBuAGcAbABlALsDIAA9AFwAbgBMAEEATQBCAEQAQQAoAFwAbgAgACAAIAAgAGcAcgBpAGQALABcAG4AIAAgACAAIAB0AGEAcgBnAGUAdAAsAFwAbgAgACAAIAAgAHIAYQBkAGkAdQBzACwAXABuACAAIAAgACAAWwBiAGUAbABvAHcAXQ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FIAYQBkAGkAdQBzAD8ALAAgAE8AUgAoAEkAUwBUAEUAWABUACgAcgBhAGQAaQB1AHMAKQAsACAAcgBhAGQAaQB1AHMAIAA8ACAAMQApACwAXABuACAAIAAgACAATgBvAFQAYQByAGcAZQB0AD8ALAAgACAAIAAgACAAIABJAEYAKABJAHMASQBfAEoAPwAsACAARgBBAEwAUwBFACwAIABOAE8AVAAoAE8AUgAoAGIAbwBvAGwAKQApACkALABcAG4AXABuACAAIAAgACAALwAvACAATwBwAHQAaQBvAG4AYQBsACAAcABhAHIAYQBtAGUAdABlAHIAcwBcAG4AIAAgACAAIABmAGkAbABsAF8AdgBhAGwAdQBlACwAIAAgACAAIAAgAEkARgAoAEkAUwBPAE0ASQBUAFQARQBEACgAZgBpAGwAbABfAHYAYQBsAHUAZQApACwAIAAwACwAIABmAGkAbABsAF8AdgBhAGwAdQBlACkALABcAG4AIAAgACAAIABJAHMAQQBiAG8AdgBlAD8ALAAgACAAIAAgACAAIAAgAEkAUwBPAE0ASQBUAFQARQBEACgAYgBlAGwAbwB3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FIAYQBkAGkAdQBzAD8ALAAgAFwAIgAjAFIAQQBEAEkAVQBT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RABpAHIAZQBjAHQAaQBvAG4AIABtAGEAcwBrAFwAbgAgACAAIAAgAGQAaQByACwAIAAgACAAIAAgACAAIAAgACAASQBGACgASQBzAEEAYgBvAHYAZQA/ACwAIAAoAGkAIAA8AD0AIAB4ACkALAAgACgAaQAgAD4APQAgAHgAKQApACwAXABuAFwAbgAgACAAIAAgAC8ALwAgAFQAcgBpAGEAbgBnAGwAZQAgAG0AYQBzAGsAIAAoAE0AYQBuAGgAYQB0AHQAYQBuACAAZABpAHMAdABhAG4AYwBlACAAKwAgAGQAaQByAGUAYwB0AGkAbwBuACkAXABuACAAIAAgACAAbQBhAHMAawAsACAAIAAgACAAIAAgACAAIAAoAEEAQgBTACgAaQAgAC0AIAB4ACkAIAArACAAQQBCAFMAKABqACAALQAgAHkAKQAgADwAPQAgAHIAYQBkAGkAdQBzACkAIAAqACAAZABpAHIALABcAG4AXABuACAAIAAgACAALwAvACAARQB4AHQAcgBhAGMAdAAgAGEAbgBkACAAcwBxAHUAZQBlAHoAZQBcAG4AIAAgACAAIAByAGUAcwB1AGwAdAAsACAAIAAgACAAIAAgAFMAcQB1AGUAZQB6AGUAuwMoAEkARgAoAG0AYQBzAGsALAAgAGcAcgBpAGQALAAgAGYAaQBsAGwAXwB2AGEAbAB1AGUAKQAsACAAZgBpAGwAbABfAHYAYQBsAHUAZQApACwAXABuAFwAbgAgACAAIAAgAHIAZQBzAHUAbAB0AFwAbgApACkAKQApACkAKQApADsAXABuAFwAbgBcAG4AXABuAC8AKgAgAFsAUwBBAF0AIAAtAC0ALQAtAC0ALQAtAC0ALQAtAC0ALQAtAC0ALQAtAC0ALQAtAC0ALQAtAC0ALQAtAC0ALQAtAC0ALQAtAC0ALQAtAC0ALQAtAC0ALQAtAC0ALQAtAC0ALQAtAC0ALQAtAC0ALQAtAC0ALQAtAC0ALQAtAC0ALQAtAC0ALQAtAC0ALQAtAC0ALQAtAC0ALQAtAC0ALQBcAG4AIwAjACAAMAAzACAALQAgADIARAAgAEEAcgByAGEAeQAgAFMAaABhAHAAaQBuAGcAXABuAC0ALQAtAC0ALQAtAC0ALQAtAC0ALQAtAC0ALQAtAC0ALQAtAC0ALQAtAC0ALQAtAC0ALQAtAC0ALQAtAC0ALQAtAC0ALQAtAC0ALQAtAC0ALQAtAC0ALQAtAC0ALQAtAC0ALQAtAC0ALQAtAC0ALQAtAC0ALQAtAC0ALQAtAC0ALQAtAC0ALQAtAC0ALQAtAC0ALQAtAC0ALQAtAC0AIAAqAC8AXABuAFwAbgAvACoAXABuAEQAZQBzAGMAcgBpAHAAdABpAG8AbgA6AFwAbgAgACAAIAAgAFMAaABhAHAAaQBuAGcAIABmAHUAbgBjAHQAaQBvAG4AcwAgAHIAZQBzAGgAYQBwAGUALAAgAHIAZQBzAGkAegBlACwAIAB3AHIAYQBwACwAIABwAGEAZAAsACAAdAByAGEAdgBlAHIAcwBlACwAIABvAHIAIAByAGUAZgBsAG8AdwAgAGcAcgBpAGQAcwAgAHcAaABpAGwAZQBcAG4AIAAgACAAIABwAHIAZQBzAGUAcgB2AGkAbgBnACAAdABoAGUAIABzAHQAcgB1AGMAdAB1AHIAZQAgAG8AZgAgAHQAaABlACAAdQBuAGQAZQByAGwAeQBpAG4AZwAgAGQAYQB0AGEALgBcAG4AXABuACAAIAAgACAAUwB1AGIAIABjAGEAdABlAGcAbwByAGkAZQBzADoAXABuAFwAbgAgACAAIAAgACAAIAAgACAAIiAgAEMAbwByAGUAIABTAGgAYQBwAGkAbgBnACAAUAByAGkAbQBpAHQAaQB2AGUAcwBcAG4AIAAgACAAIAAgACAAIAAgACAAIAAgACAAIAAgAFIAZQBTAGgAYQBwAGUAMgBEALsDLAAgAFIAZQBzAGkAegBlALsDLAAgAFMAYwBhAG4AMgBEALsDLAAgAFQAcgBhAHYAZQByAHMAZQC7AywAIABUAGEAawBlAEIAbABvAGMAawC7AywAIABEAFMAdABhAGMAawC7A1wAbgBcAG4AIAAgACAAIAAgACAAIAAgACIgIABSAGUAZgBsAG8AdwBcAG4AIAAgACAAIAAgACAAIAAgACAAIAAgACAAIAAgAFcAcgBhAHAAUgBvAHcAcwAyAEQAuwMsACAAVwByAGEAcABDAG8AbABzADIARAC7AywAIABTAHQAYQBpAHIAYwBhAHMAZQC7AywAIABVAG4AUABpAHYAbwB0ALsDLAAgAFoAaQBwALsDLAAgAFMAbABpAGMAZQBCAHkARABlAGcAuwNcAG4AXABuACAAIAAgACAAIAAgACAAIAAiICAAUABhAGQAZABpAG4AZwBcAG4AIAAgACAAIAAgACAAIAAgACAAIAAgACAAIAAgAFAAYQBkALsDLAAgAEkAbgBzAHUAbABhAHQAZQBSAG8AdwBzALsDLAAgAEkAbgBzAHUAbABhAHQAZQBDAG8AbABzALsDXABuAFwAbgAgACAAIAAgACAAIAAgACAAIiAgAEkAbgB0AGUAcgBwAG8AbABhAHQAaQBvAG4AXABuACAAIAAgACAAIAAgACAAIAAgACAAIAAgACAAIABNAGEAZwBuAGkAZgB5ALsDLAAgAFoAbwBvAG0AuwNcAG4AXABuACAAIAAgACAAQQBsAGwAIABzAGgAYQBwAGkAbgBnACAAZgB1AG4AYwB0AGkAbwBuAHMAIABwAHIAZQBzAGUAcgB2AGUAIAAyAEQAIABnAGUAbwBtAGUAdAByAHkAIABhAG4AZAAgAHIAZQB0AHUAcgBuACAAYQByAHIAYQB5AHMAIAB3AGgAbwBzAGUAIABzAHQAcgB1AGMAdAB1AHIAZQBcAG4AIAAgACAAIABpAHMAIABlAHgAcABsAGkAYwBpAHQAbAB5ACAAZABlAGYAaQBuAGUAZAAgAGIAeQAgAHQAaABlACAAdAByAGEAbgBzAGYAbwByAG0AYQB0AGkAbwBuACAAcgB1AGwAZQBzAC4AXABuACoALwBcAG4AXABuAFwAbgBcAG4ALwAvACAAIABDAG8AcgBlACAAUwBoAGEAcABpAG4AZwAgAFAAcgBpAG0AaQB0AGkAdgBlAHMAXABuAFwAbgBcAG4AXABuAC8AKgAgAFsAUwBBADAAMQBdACAALQAtAC0ALQAtAC0ALQAtAC0ALQAtAC0ALQAtAC0ALQAtAC0ALQAtAC0ALQAtAC0ALQAtAC0ALQAtAC0ALQAtAC0ALQAtAC0ALQAtAC0ALQAtAC0ALQAtAC0ALQAtAC0ALQAtAC0ALQAtAC0ALQAtAC0ALQAtAC0ALQAtAC0ALQAtAC0ALQAtAC0ALQAtAC0ALQBcAG4ARgB1AG4AYwB0AGkAbwBuADoAIAAgACAAIAAgAFIAZQBTAGgAYQBwAGUAMgBEALsDXABuAEMAYQB0AGUAZwBvAHIAeQA6ACAAIAAgACAAIAAyAEQAIABBAHIAcgBhAHkAIABTAGgAYQBwAGkAbgBnAFwAbgBBAHUAdABoAG8AcgA6ACAAIAAgACAAIAAgACAAUABhAHQAcgBpAGMAawAgAEgALgBcAG4AVgBlAHIAcwBpAG8AbgA6ACAAIAAgACAAIAAgADEALgAxAFwAbgBcAG4ARABlAHMAYwByAGkAcAB0AGkAbwBuADoAXABuACAAIAAgACAAUgBlAHMAaABhAHAAZQBzACAAYQAgADIARAAgAGEAcgByAGEAeQAgAGkAbgB0AG8AIABhACAAbgBlAHcAIABjAG8AbAB1AG0AbgAgAHcAaQBkAHQAaAAgAHUAcwBpAG4AZwAgAHIAbwB3ABEgbQBhAGoAbwByACAAbwByAGQAZQByAC4AIABBAGwAbAAgAHYAYQBsAHUAZQBzAFwAbgAgACAAIAAgAGEAcgBlACAAcAByAGUAcwBlAHIAdgBlAGQAIABpAG4AIAByAGUAYQBkAGkAbgBnACAAbwByAGQAZQByACwAIABhAG4AZAAgAHQAaABlACAAZgBpAG4AYQBsACAAYgBsAG8AYwBrACAAaQBzACAAcABhAGQAZABlAGQAIABpAGYAIABuAGUAZQBkAGUAZAAuAFwAbgAgACAAIAAgAE8AbgBlABEgZABpAG0AZQBuAHMAaQBvAG4AYQBsACAAYQByAHIAYQB5AHMAIABhAHIAZQAgAHIAZQBqAGUAYwB0AGUAZAAuAFwAbgBcAG4ARQB4AGEAbQBwAGwAZQA6AFwAbgAgACAAIAAgAEkAbgBwAHUAdAA6AFwAbgAgACAAIAAgACAAIAAgACAAewAxACwAMgAsADMALAA0ADsAXABuACAAIAAgACAAIAAgACAAIAAgADUALAA2ACwANwAsADgAOwBcAG4AIAAgACAAIAAgACAAIAAgACAAOQAsADEAMAAsADEAMQAsADEAMgA7AFwAbgAgACAAIAAgACAAIAAgACAAIAAxADMALAAxADQALAAxADUALAAxADYAfQBcAG4AXABuACAAIAAgACAAPQBSAGUAUwBoAGEAcABlADIARAC7AygAYQByAHIAYQB5ACwAIAAyACkAXABuAFwAbgAgACAAIAAgAE8AdQB0AHAAdQB0ADoAXABuACAAIAAgACAAIAAgACAAIAB7ADEALAAyADsAXABuACAAIAAgACAAIAAgACAAIAAgADMALAA0ADsAXABuACAAIAAgACAAIAAgACAAIAAgADUALAA2ADsAXABuACAAIAAgACAAIAAgACAAIAAgADcALAA4ADsAXABuACAAIAAgACAAIAAgACAAIAAgADkALAAxADAAOwBcAG4AIAAgACAAIAAgACAAIAAgACAAMQAxACwAMQAyADsAXABuACAAIAAgACAAIAAgACAAIAAgADEAMwAsADEANAA7AFwAbgAgACAAIAAgACAAIAAgACAAIAAxADUALAAxADYAfQBcAG4AXABuAFAAYQByAGEAbQBlAHQAZQByAHMAOgBcAG4AIAAgACAAIABhAHIAcgBhAHkAIAAgACAAIAAgACAAIAAgAC0AIABSAGUAcQB1AGkAcgBlAGQAIAAyAEQAIABhAHIAcgBhAHkAIAB0AG8AIAByAGUAcwBoAGEAcABlAC4AIABPAG4AZQARIGQAaQBtAGUAbgBzAGkAbwBuAGEAbAAgAGEAcgByAGEAeQBzACAAYQByAGUAIAByAGUAagBlAGMAdABlAGQALgBcAG4AIAAgACAAIABuAGUAdwBfAHcAaQBkAHQAaAAgACAAIAAgAC0AIABSAGUAcQB1AGkAcgBlAGQAIABuAHUAbQBiAGUAcgAgAG8AZgAgAGMAbwBsAHUAbQBuAHMAIABpAG4AIAB0AGgAZQAgAHIAZQBzAGgAYQBwAGUAZAAgAGEAcgByAGEAeQAuAFwAbgBcAG4ATwBwAHQAaQBvAG4AYQBsADoAXABuACAAIAAgACAAWwBwAGEAZABfAHcAaQB0AGgAXQAgACAAIAAtACAAUwBjAGEAbABhAHIAIAB1AHMAZQBkACAAdABvACAAZgBpAGwAbAAgAGkAbgBjAG8AbQBwAGwAZQB0AGUAIABmAGkAbgBhAGwAIAByAG8AdwBzAC4AIABEAGUAZgBhAHUAbAB0AHMAIAB0AG8AIABOAEEAKAApAC4AXABuAFwAbgBOAG8AdABlAHMAOgBcAG4AIAAgACAAIAAiICAAUgBlAHMAaABhAHAAaQBuAGcAIABpAHMAIABwAGUAcgBmAG8AcgBtAGUAZAAgAHMAdAByAGkAYwB0AGwAeQAgAGkAbgAgAHIAbwB3ABEgbQBhAGoAbwByACAAbwByAGQAZQByAC4AXABuACAAIAAgACAAIiAgAG4AZQB3AF8AdwBpAGQAdABoACAAbQB1AHMAdAAgAGIAZQAgAGwAZQBzAHMAIAB0AGgAYQBuACAAbwByACAAZQBxAHUAYQBsACAAdABvACAAdABoAGUAIABvAHIAaQBnAGkAbgBhAGwAIAB3AGkAZAB0AGgALgBcAG4AIAAgACAAIAAiICAAVABoAGkAcwAgAGYAdQBuAGMAdABpAG8AbgAgAGQAbwBlAHMAIABuAG8AdAAgAGYAbABhAHQAdABlAG4AIABvAHIAIAByAGUAESB3AHIAYQBwACAAMQBEACAAYQByAHIAYQB5AHMALgBcAG4ALQAtAC0ALQAtAC0ALQAtAC0ALQAtAC0ALQAtAC0ALQAtAC0ALQAtAC0ALQAtAC0ALQAtAC0ALQAtAC0ALQAtAC0ALQAtAC0ALQAtAC0ALQAtAC0ALQAtAC0ALQAtAC0ALQAtAC0ALQAtAC0ALQAtAC0ALQAtAC0ALQAtAC0ALQAtAC0ALQAtAC0ALQAtAC0ALQAtAC0ALQAtAC0AKgAvAFwAbgBcAG4AUgBlAFMAaABhAHAAZQAyAEQAuwMgAD0AXABuAEwAQQBNAEIARABBACgAXABuACAAIAAgACAAYQByAHIAYQB5ACwAXABuACAAIAAgACAAbgBlAHcAXwB3AGkAZAB0AGgALABcAG4AIAAgACAAIABbAHAAYQBkAF8AdwBpAHQAaABdACwAXABuAEwARQBUACgAXABuACAAIAAgACAALwAvACAARABpAG0AZQBuAHMAaQBvAG4AcwBcAG4AIAAgACAAIABoACwAIAAgACAAIAAgACAAIAAgACAAIAAgACAAIAAgAFIATwBXAFMAKABhAHIAcgBhAHkAKQAsAFwAbgAgACAAIAAgAHcALAAgACAAIAAgACAAIAAgACAAIAAgACAAIAAgACAAQwBPAEwAVQBNAE4AUwAoAGEAcgByAGEAeQApACwAXABuAFwAbgAgACAAIAAgAG4AZQB3AF8AaABlAGkAZwBoAHQALAAgACAAIAAgACAAQwBFAEkATABJAE4ARwAoAEMATwBVAE4AVABBACgAYQByAHIAYQB5ACkAIAAvACAAbgBlAHcAXwB3AGkAZAB0AGg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UwBjAGUAbgBhAHIAaQBvAHMAXABuACAAIAAgACAASQBuAHYAYQBsAGkAZABXAGkAZAB0AGgALAAgACAAIABuAGUAdwBfAHcAaQBkAHQAaAAgAD4AIAB3ACwAXABuACAAIAAgACAASQBzAFMAYwBhAGwAYQByAD8ALAAgACAAIAAgACAAIABBAE4ARAAoAGgAIAA9ACAAMQAsACAAdwAgAD0AIAAxACkALABcAG4AXABuACAAIAAgACAALwAvACAAVgBlAGMAdABvAHIAIABoAGEAbgBkAGwAaQBuAGcAXABuACAAIAAgACAASQBzADEARAA/ACwAIAAgACAAIAAgACAAIAAgACAAIABYAE8AUgAoAGgAIAA9ACAAMQAsACAAdwAgAD0AIAAxACkALABcAG4AIAAgACAAIABJAHMAVgBlAHIAdABpAGMAYQBsAD8ALAAgACAAIAAgAGgAIAA+ACAAdwAsAFwAbgBcAG4AIAAgACAAIAAvAC8AIABMAG8AZwBpAGMAIABnAGEAdABlAFwAbgAgACAAIAAgAEkARgAoAEkAcwBTAGMAYQBsAGEAcgA/ACwAIABhAHIAcgBhAHkALABcAG4AXABuACAAIAAgACAAIAAgACAAIABJAEYAKABJAHMAMQBEAD8ALAAgAFwAIgAjAFYAQQBMAFUARQAhAFwAIgAsAFwAbgBcAG4AIAAgACAAIAAgACAAIAAgACAAIAAgACAASQBGACgASQBuAHYAYQBsAGkAZABXAGkAZAB0AGgALAAgAFwAIgAjAFcASQBEAFQASAAhAFwAIgAsAFwAbgBcAG4ATABFAFQAKABcAG4AIAAgACAAIAAvAC8AIABJAG4AZABpAGMAZQBzAFwAbgAgACAAIAAgAGkALAAgACAAIAAgACAAIAAgACAAIAAgACAAIAAgACAATABBAE0AQgBEAEEAKABDAEUASQBMAEkATgBHACgAUwBFAFEAVQBFAE4AQwBFACgAbgBlAHcAXwBoAGUAaQBnAGgAdAAsACAAbgBlAHcAXwB3AGkAZAB0AGgAKQAgAC8AIAB3ACwAIAAxACkAKQAsAFwAbgBcAG4AIAAgACAAIABtAG8AZAB1AGwAbwAsACAAIAAgACAAIAAgACAAIAAgAEwAQQBNAEIARABBACgATQBPAEQAKABTAEUAUQBVAEUATgBDAEUAKABuAGUAdwBfAGgAZQBpAGcAaAB0ACwAIABuAGUAdwBfAHcAaQBkAHQAaAApACwAIAB3ACkAKQAsAFwAbgBcAG4AIAAgACAAIABqACwAIAAgACAAIAAgACAAIAAgACAAIAAgACAAIAAgAEwAQQBNAEIARABBACgASQBGACgAbQBvAGQAdQBsAG8AKAApACAAPQAgADAALAAgAHcALAAgAG0AbwBkAHUAbABvACgAKQApACkALABcAG4AXABuACAAIAAgACAALwAvACAAUAByAGUAcwBlAG4AdABcAG4AIAAgACAAIAByAGUAcwBoAGEAcABlAGQALAAgACAAIAAgACAAIAAgAEkARgBFAFIAUgBPAFIAKABJAE4ARABFAFgAKABhAHIAcgBhAHkALAAgAGkAKAApACwAIABqACgAKQApACwAIABwAGEAZABfAHcAaQB0AGgAKQAsAFwAbgBcAG4AIAAgACAAIAByAGUAcwBoAGEAcABlAGQAXABuACkAKQApACkAKQApADsAXABuAFwAbgBcAG4AXABuAC8AKgAgAFsAUwBBADAAMgBdACAALQAtAC0ALQAtAC0ALQAtAC0ALQAtAC0ALQAtAC0ALQAtAC0ALQAtAC0ALQAtAC0ALQAtAC0ALQAtAC0ALQAtAC0ALQAtAC0ALQAtAC0ALQAtAC0ALQAtAC0ALQAtAC0ALQAtAC0ALQAtAC0ALQAtAC0ALQAtAC0ALQAtAC0ALQAtAC0ALQAtAC0ALQAtAC0ALQBcAG4ARgB1AG4AYwB0AGkAbwBuADoAIAAgACAAIAAgAFIAZQBzAGkAegBlALsDXABuAEMAYQB0AGUAZwBvAHIAeQA6ACAAIAAgACAAIAAyAEQAIABBAHIAcgBhAHkAIABTAGgAYQBwAGkAbgBnAFwAbgBBAHUAdABoAG8AcgA6ACAAIAAgACAAIAAgACAAUABhAHQAcgBpAGMAawAgAEgALgBcAG4AVgBlAHIAcwBpAG8AbgA6ACAAIAAgACAAIAAgADEALgAxAFwAbgBcAG4ARABlAHMAYwByAGkAcAB0AGkAbwBuADoAXABuACAAIAAgACAAUgBlAHAAZQBhAHQAcwAgAGEAIAAyAEQAIABhAHIAcgBhAHkAIAB2AGUAcgB0AGkAYwBhAGwAbAB5ACAAYQBuAGQALwBvAHIAIABoAG8AcgBpAHoAbwBuAHQAYQBsAGwAeQAgAGIAeQAgAGkAbgB0AGUAZwBlAHIAIAByAGUAcABlAGEAdAAgAGMAbwB1AG4AdABzAC4AXABuACAAIAAgACAAVQBzAGUAcgBzACAAbQBhAHkAIABzAHAAZQBjAGkAZgB5ACAAaABlAGkAZwBoAHQALAAgAHcAaQBkAHQAaAAsACAAbwByACAAYgBvAHQAaAAuACAASQBmACAAZQBpAHQAaABlAHIAIABwAGEAcgBhAG0AZQB0AGUAcgAgAGkAcwAgAG8AbQBpAHQAdABlAGQALABcAG4AIAAgACAAIAB0AGgAZQAgAG8AbQBpAHQAdABlAGQAIABkAGkAbQBlAG4AcwBpAG8AbgAgAGQAZQBmAGEAdQBsAHQAcwAgAHQAbwAgADEALgAgAEcAZQBvAG0AZQB0AHIAeQAgAGkAcwAgAHAAcgBlAHMAZQByAHYAZQBkADsAIABuAG8AIABmAGwAYQB0AHQAZQBuAGkAbgBnAFwAbgAgACAAIAAgAG8AYwBjAHUAcgBzAC4AXABuAFwAbgBFAHgAYQBtAHAAbABlADoAXABuACAAIAAgACAASQBuAHAAdQB0ADoAXABuACAAIAAgACAAIAAgACAAIAB7ADEALAAyADsAXABuACAAIAAgACAAIAAgACAAIAAgADMALAA0AH0AXABuAFwAbgAgACAAIAAgAD0AUgBlAHMAaQB6AGUAuwMoAGEAcgByAGEAeQAsACAAMgAsACAAMwApAFwAbgBcAG4AIAAgACAAIABPAHUAdABwAHUAdAA6AFwAbgAgACAAIAAgACAAIAAgACAAewAxACwAMgAsADEALAAyACwAMQAsADIAOwBcAG4AIAAgACAAIAAgACAAIAAgACAAMwAsADQALAAzACwANAAsADMALAA0ADsAXABuACAAIAAgACAAIAAgACAAIAAgADEALAAyACwAMQAsADIALAAxACwAMgA7AFwAbgAgACAAIAAgACAAIAAgACAAIAAzACwANAAsADMALAA0ACwAMwAsADQAfQBcAG4AXABuAFAAYQByAGEAbQBlAHQAZQByAHMAOgBcAG4AIAAgACAAIABhAHIAcgBhAHkAIAAgACAAIAAgACAAIAAgAC0AIABSAGUAcQB1AGkAcgBlAGQAIAAyAEQAIABhAHIAcgBhAHkAIAB0AG8AIABiAGUAIAByAGUAcABlAGEAdABlAGQALgBcAG4AIAAgACAAIABbAGgAZQBpAGcAaAB0AF0AIAAgACAAIAAgAC0AIABPAHAAdABpAG8AbgBhAGwAIAB2AGUAcgB0AGkAYwBhAGwAIAByAGUAcABlAGEAdAAgAGMAbwB1AG4AdAAuACAARABlAGYAYQB1AGwAdABzACAAdABvACAAMQAuAFwAbgAgACAAIAAgAFsAdwBpAGQAdABoAF0AIAAgACAAIAAgACAALQAgAE8AcAB0AGkAbwBuAGEAbAAgAGgAbwByAGkAegBvAG4AdABhAGwAIAByAGUAcABlAGEAdAAgAGMAbwB1AG4AdAAuACAARABlAGYAYQB1AGwAdABzACAAdABvACAAMQAuAFwAbgBcAG4ATgBvAHQAZQBzADoAXABuACAAIAAgACAAIiAgAFIAZQBwAGUAdABpAHQAaQBvAG4AIABpAHMAIABwAGUAcgBmAG8AcgBtAGUAZAAgAHYAaQBhACAAaQBuAGQAZQB4ACAAcgBlAG0AYQBwAHAAaQBuAGcALgBcAG4AIAAgACAAIAAiICAATwB1AHQAcAB1AHQAIABnAGUAbwBtAGUAdAByAHkAIABpAHMAIAAoAGgAIADXACAAaABlAGkAZwBoAHQAKQAgAGIAeQAgACgAdwAgANcAIAB3AGkAZAB0AGgAKQAuAFwAbgAtAC0ALQAtAC0ALQAtAC0ALQAtAC0ALQAtAC0ALQAtAC0ALQAtAC0ALQAtAC0ALQAtAC0ALQAtAC0ALQAtAC0ALQAtAC0ALQAtAC0ALQAtAC0ALQAtAC0ALQAtAC0ALQAtAC0ALQAtAC0ALQAtAC0ALQAtAC0ALQAtAC0ALQAtAC0ALQAtAC0ALQAtAC0ALQAtAC0ALQAtAC0ALQAqAC8AXABuAFwAbgBSAGUAcwBpAHoAZQC7AyAAPQBcAG4ATABBAE0AQgBEAEEAKABcAG4AIAAgACAAIABhAHIAcgBhAHkALABcAG4AIAAgACAAIABbAGgAZQBpAGcAaAB0AF0ALABcAG4AIAAgACAAIABbAHcAaQBkAHQAaABdACwAXABuAEwARQBUACgAXABuACAAIAAgACAALwAvACAARABpAG0AZQBuAHMAaQBvAG4AcwBcAG4AIAAgACAAIABoACwAIAAgACAAIAAgACAAIAAgACAAIAAgACAAIAAgACAAUgBPAFcAUwAoAGEAcgByAGEAeQApACwAXABuACAAIAAgACAAdwAsACAAIAAgACAAIAAgACAAIAAgACAAIAAgACAAIAAgAEMATwBMAFUATQBOAFMAKABhAHIAcgBhAHkAKQAsAFwAbgBcAG4AIAAgACAAIAAvAC8AIABPAG0AaQBzAHMAaQBvAG4AIABjAGgAZQBjAGsAcwBcAG4AIAAgACAAIABIAGUAaQBnAGgAdABPAG0AaQB0AHQAZQBkAD8ALAAgACAASQBTAE8ATQBJAFQAVABFAEQAKABoAGUAaQBnAGgAdAApACwAXABuACAAIAAgACAAVwBpAGQAdABoAE8AbQBpAHQAdABlAGQAPwAsACAAIAAgAEkAUwBPAE0ASQBUAFQARQBEACgAdwBpAGQAdABoACkALABcAG4AIAAgACAAIABOAG8ASABXAEkAbgBwAHUAdAA/ACwAIAAgACAAIAAgACAASABlAGkAZwBoAHQATwBtAGkAdAB0AGUAZAA/ACAAKwAgAFcAaQBkAHQAaABPAG0AaQB0AHQAZQBkAD8AIAA9ACAAMgAsAFwAbgBcAG4AIAAgACAAIAAvAC8AIABEAGUAZgBhAHUAbAB0ACAAcgBlAHAAZQBhAHQAIABjAG8AdQBuAHQAcwBcAG4AIAAgACAAIABoAGUAaQBnAGgAdAAsACAAIAAgACAAIAAgACAAIAAgACAASQBGACgATwBSACgATgBvAEgAVwBJAG4AcAB1AHQAPwAsACAASABlAGkAZwBoAHQATwBtAGkAdAB0AGUAZAA/ACkALAAgADEALAAgAGgAZQBpAGcAaAB0ACkALABcAG4AIAAgACAAIAB3AGkAZAB0AGgALAAgACAAIAAgACAAIAAgACAAIAAgACAASQBGACgATwBSACgATgBvAEgAVwBJAG4AcAB1AHQAPwAsACAAVwBpAGQAdABoAE8AbQBpAHQAdABlAGQAPwApACwAIAAxACwAIAB3AGkAZAB0AGgAKQAsAFwAbgBcAG4AIAAgACAAIAAvAC8AIABTAGMAZQBuAGEAcgBpAG8AcwBcAG4AIAAgACAAIABOAG8AUgBlAHAAZQBhAHQAPwAsACAAIAAgACAAIAAgACAAQQBOAEQAKABoAGUAaQBnAGgAdAAgAD0AIAAxACwAIAB3AGkAZAB0AGgAIAA9ACAAMQApACwAXABuACAAIAAgACAASQBzAFMAYwBhAGwAYQByAD8ALAAgACAAIAAgACAAIAAgAEEATgBEACgAaAAgAD0AIAAxACwAIAB3ACAAPQAgADEAKQAsAFwAbgAgACAAIAAgAEUAeABwAGEAbgBkAFMAYwBhAGwAYQByACwAIAAgACAAIABFAFgAUABBAE4ARAAoAGEAcgByAGEAeQAsACAAaABlAGkAZwBoAHQALAAgAHcAaQBkAHQAaAAsACAAYQByAHIAYQB5ACkALABcAG4AXABuACAAIAAgACAASQBuAHYAYQBsAGkAZABSAGUAcABlAGEAdAA/ACwAIAAgAE8AUgAoAEkAUwBUAEUAWABUACgAaABlAGkAZwBoAHQAKQAsAFwAbgAgACAAIAAgACAAIAAgACAAIAAgACAAIAAgACAAIAAgACAAIAAgACAAIAAgACAAIABJAFMAVABFAFgAVAAoAHcAaQBkAHQAaAApACwAXABuACAAIAAgACAAIAAgACAAIAAgACAAIAAgACAAIAAgACAAIAAgACAAIAAgACAAIAAgAE8AUgAoAEEATgBEACgASQBTAE4AVQBNAEIARQBSACgAaABlAGkAZwBoAHQAKQAsACAAaABlAGkAZwBoAHQAIAA8AD0AIAAwACkALABcAG4AIAAgACAAIAAgACAAIAAgACAAIAAgACAAIAAgACAAIAAgACAAIAAgACAAIAAgACAAIAAgACAAQQBOAEQAKABJAFMATgBVAE0AQgBFAFIAKAB3AGkAZAB0AGgAKQAsACAAIAB3AGkAZAB0AGgAIAA8AD0AIAAwACkAKQApACwAXABuAFwAbgAgACAAIAAgAC8ALwAgAEwAbwBnAGkAYwAgAGcAYQB0AGUAXABuACAAIAAgACAASQBGACgATgBvAFIAZQBwAGUAYQB0AD8ALAAgAGEAcgByAGEAeQAsAFwAbgBcAG4AIAAgACAAIAAgACAAIAAgAEkARgAoAEkAcwBTAGMAYQBsAGEAcgA/ACwAIABFAHgAcABhAG4AZABTAGMAYQBsAGEAcgAsAFwAbgBcAG4AIAAgACAAIAAgACAAIAAgACAAIAAgACAASQBGACgASQBuAHYAYQBsAGkAZABSAGUAcABlAGEAdAA/ACwAIABhAHIAcgBhAHkALABcAG4AXABuAEwARQBUACgAXABuACAAIAAgACAALwAvACAARQB4AHAAYQBuAGQAZQBkACAAZABpAG0AZQBuAHMAaQBvAG4AcwBcAG4AIAAgACAAIABrACwAIAAgACAAIAAgACAAIAAgACAAIAAgACAAIAAgACAAaAAgACoAIABoAGUAaQBnAGgAdAAsAFwAbgAgACAAIAAgAGsAgiAsACAAIAAgACAAIAAgACAAIAAgACAAIAAgACAAIAB3ACAAKgAgAHcAaQBkAHQAaAAsAFwAbgBcAG4AIAAgACAAIAAvAC8AIABJAG4AZABpAGMAZQBzACAAKABkAGUAZgBlAHIAcgBlAGQAKQBcAG4AIAAgACAAIABpACwAIAAgACAAIAAgACAAIAAgACAAIAAgACAAIAAgACAATABBAE0AQgBEAEEAKAAxACAAKwAgAE0ATwBEACgAUwBFAFEAVQBFAE4AQwBFACgAawAsACwAMAAsACkALAAgAGgAKQAgACoAIABTAEUAUQBVAEUATgBDAEUAKAAsACAAawCCICwAIAAxACwAIAAwACkAKQAsAFwAbgAgACAAIAAgAGoALAAgACAAIAAgACAAIAAgACAAIAAgACAAIAAgACAAIABMAEEATQBCAEQAQQAoADEAIAArACAATQBPAEQAKABTAEUAUQBVAEUATgBDAEUAKAAsACAAawCCICwAIAAwACkALAAgAHcAKQAgACoAIABTAEUAUQBVAEUATgBDAEUAKABrACwALAAgADEALAAgADAAKQApACwAXABuAFwAbgAgACAAIAAgAC8ALwAgAEMAbwBuAHMAdAByAHUAYwB0ACAAcgBlAHAAZQBhAHQAZQBkACAAYQByAHIAYQB5AFwAbgAgACAAIAAgAHIAZQBzAHUAbAB0ACwAIAAgACAAIAAgACAAIAAgACAAIABJAE4ARABFAFgAKABhAHIAcgBhAHkALAAgAGkAKAApACwAIABqACgAKQApACwAXABuAFwAbgAgACAAIAAgAHIAZQBzAHUAbAB0AFwAbgApACkAKQApACkAKQA7AFwAbgBcAG4AXABuAFwAbgAvACoAIABbAFMAQQAwADMAXQAgAC0ALQAtAC0ALQAtAC0ALQAtAC0ALQAtAC0ALQAtAC0ALQAtAC0ALQAtAC0ALQAtAC0ALQAtAC0ALQAtAC0ALQAtAC0ALQAtAC0ALQAtAC0ALQAtAC0ALQAtAC0ALQAtAC0ALQAtAC0ALQAtAC0ALQAtAC0ALQAtAC0ALQAtAC0ALQAtAC0ALQAtAC0ALQAtAC0AXABuAEYAdQBuAGMAdABpAG8AbgA6ACAAIAAgACAAIABTAGMAYQBuADIARAC7A1wAbgBDAGEAdABlAGcAbwByAHkAOgAgACAAIAAgACAAMgBEACAAQQByAHIAYQB5ACAAUwBoAGEAcABpAG4AZwBcAG4AQQB1AHQAaABvAHIAOgAgACAAIAAgACAAIAAgAFAAYQB0AHIAaQBjAGsAIABIAC4AXABuAFYAZQByAHMAaQBvAG4AOgAgACAAIAAgACAAIAAxAC4AMQBcAG4ARABlAHAAZQBuAGQAZQBuAGMAaQBlAHMAOgAgAFIAZQBTAGgAYQBwAGUAMgBEALsDLAAgAFQAcgBhAHYAZQByAHMAZQC7A1wAbgBcAG4ARABlAHMAYwByAGkAcAB0AGkAbwBuADoAXABuACAAIAAgACAAQQAgAHQAcgBhAHYAZQByAHMAYQBsABEgYQB3AGEAcgBlACAAMgBEACAAcwBjAGEAbgBuAGkAbgBnACAAbwBwAGUAcgBhAHQAbwByACAAdABoAGEAdAAgAGUAeAB0AGUAbgBkAHMAIABFAHgAYwBlAGwAGSBzACAAbgBhAHQAaQB2AGUAIABTAEMAQQBOAFwAbgAgACAAIAAgAGYAdQBuAGMAdABpAG8AbgAuACAAUwBjAGEAbgAyAEQAuwMgAHMAdQBwAHAAbwByAHQAcwAgAGYAaQB2AGUAIAB0AHIAYQB2AGUAcgBzAGEAbAAgAG0AbwBkAGUAcwAsACAAYQBsAGwAbwB3AGkAbgBnACAAYQBjAGMAdQBtAHUAbABhAHQAaQBvAG4AIAB0AG8AXABuACAAIAAgACAAYgBlAGcAaQBuACAAYQB0ACAAZABpAGYAZgBlAHIAZQBuAHQAIABjAG8AcgBuAGUAcgBzACAAYQBuAGQAIABwAHIAbwBjAGUAZQBkACAAaQBuACAAZABpAGYAZgBlAHIAZQBuAHQAIABvAHIAZABlAHIAcwAuACAARgBvAHIAIAAyAEQAIABhAHIAcgBhAHkAcwAsAFwAbgAgACAAIAAgAGcAZQBvAG0AZQB0AHIAeQAgAGkAcwAgAHAAcgBlAHMAZQByAHYAZQBkAC4AXABuAFwAbgAgACAAIAAgAEYAbwByACAAMQBEACAAYQByAHIAYQB5AHMALAAgAFMAYwBhAG4AMgBEALsDIABiAGUAaABhAHYAZQBzACAAbABpAGsAZQAgAG4AYQB0AGkAdgBlACAAUwBDAEEATgAsACAAdwBpAHQAaAAgAG8AcAB0AGkAbwBuAGEAbAAgAHIAZQB2AGUAcgBzAGUAXABuACAAIAAgACAAbwByAGQAZQByACAAdwBoAGUAbgAgAGQAaQByAGUAYwB0AGkAbwBuACAAPQAgAC0AMQAuAFwAbgBcAG4AUABhAHIAYQBtAGUAdABlAHIAcwA6AFwAbgAgACAAIAAgAGkAbgBpAHQAaQBhAGwAXwB2AGEAbAB1AGUAIAAgAC0AIABTAGEAbQBlACAAbQBlAGEAbgBpAG4AZwAgAGEAcwAgAG4AYQB0AGkAdgBlACAAUwBDAEEATgAuAFwAbgAgACAAIAAgAGEAcgByAGEAeQAgACAAIAAgACAAIAAgACAAIAAgAC0AIABJAG4AcAB1AHQAIABhAHIAcgBhAHkALgAgAFMAYwBhAGwAYQByAHMAIABhAG4AZAAgADEARAAgAHYAZQBjAHQAbwByAHMAIABhAHIAZQAgAHMAdQBwAHAAbwByAHQAZQBkACAAdwBpAHQAaABcAG4AIAAgACAAIAAgACAAIAAgACAAIAAgACAAIAAgACAAIAAgACAAIAAgACAAcgBlAHMAdAByAGkAYwB0AGUAZAAgAGQAaQByAGUAYwB0AGkAbwBuACAAcwBlAG0AYQBuAHQAaQBjAHMALgBcAG4AIAAgACAAIABmAHUAbgBjAHQAaQBvAG4AIAAgACAAIAAgACAAIAAtACAAUwBhAG0AZQAgAG0AZQBhAG4AaQBuAGcAIABhAHMAIABuAGEAdABpAHYAZQAgAFMAQwBBAE4ALgBcAG4AXABuAE8AcAB0AGkAbwBuAGEAbAA6AFwAbgAgACAAIAAgAFsAZABpAHIAZQBjAHQAaQBvAG4AXQAgACAAIAAgAC0AIABUAHIAYQB2AGUAcgBzAGEAbAAgAGMAbwBkAGUALgAgAEQAZQBmAGEAdQBsAHQAcwAgAHQAbwAgADAAIAAoAHMAdABhAG4AZABhAHIAZAAgAHIAbwB3ABEgbQBhAGoAbwByACkALgBcAG4AXABuAEQAaQByAGUAYwB0AGkAbwBuACAAQwBvAGQAZQBzADoAXABuACAAIAAgACAAIAAgACAAIAAwACAAIAAgAC0AIABTAHQAYQBuAGQAYQByAGQAIAByAG8AdwARIG0AYQBqAG8AcgAgACgAbABlAGYAdAAgAJIhIAByAGkAZwBoAHQALAAgAHQAbwBwACAAkiEgAGIAbwB0AHQAbwBtACkAXABuACAAIAAgACAAIAAgACAALQAxACAAIAAgAC0AIABDAG8AbAB1AG0AbgARIG0AYQBqAG8AcgAgAGYAcgBvAG0AIABOAFcAIABjAG8AcgBuAGUAcgAgACgAdABvAHAAIACSISAAYgBvAHQAdABvAG0ALAAgAGwAZQBmAHQAIACSISAAcgBpAGcAaAB0ACkAXABuACAAIAAgACAAIAAgACAAIAAxACAAIAAgAC0AIABOAEUAIAB0AHIAYQB2AGUAcgBzAGEAbAAgACgAYwBvAGwAdQBtAG4AESBtAGEAagBvAHIAKQBcAG4AIAAgACAAIAAgACAAIAAgADIAIAAgACAALQAgAFMARQAgAHQAcgBhAHYAZQByAHMAYQBsACAAKABjAG8AbAB1AG0AbgARIG0AYQBqAG8AcgAsACAAYgBvAHQAdABvAG0AIACSISAAdABvAHAAKQBcAG4AIAAgACAAIAAgACAAIAAgADMAIAAgACAALQAgAFMAVwAgAHQAcgBhAHYAZQByAHMAYQBsACAAKAByAG8AdwARIG0AYQBqAG8AcgAsACAAcgBpAGcAaAB0ACAAkiEgAGwAZQBmAHQAKQBcAG4AXABuAEUAcgByAG8AcgAgAEMAbwBuAGQAaQB0AGkAbwBuAHMAOgBcAG4AIAAgACAAIAAiICAAXAAiACMAZABpAHIAZQBjAHQAaQBvAG4AIQBcACIAIAAtACAASQBuAHYAYQBsAGkAZAAgAGQAaQByAGUAYwB0AGkAbwBuACAAZgBvAHIAIAAxAEQAIABhAHIAcgBhAHkAcwAgAG8AcgAgAHUAbgByAGUAYwBvAGcAbgBpAHoAZQBkACAAYwBvAGQAZQAuAFwAbgAgACAAIAAgACIgIAAxAEQAIABhAHIAcgBhAHkAcwAgAG8AbgBsAHkAIABzAHUAcABwAG8AcgB0ACAAZABpAHIAZQBjAHQAaQBvAG4AIAA9ACAAMAAgACgAZgBvAHIAdwBhAHIAZAApACAAbwByACAALQAxACAAKAByAGUAdgBlAHIAcwBlACkALgBcAG4AIAAgACAAIAAiICAAUwBjAGEAbABhAHIAcwAgAGIAeQBwAGEAcwBzACAAdAByAGEAdgBlAHIAcwBhAGwAIABhAG4AZAAgAHUAcwBlACAAbgBhAHQAaQB2AGUAIABTAEMAQQBOACAAZABpAHIAZQBjAHQAbAB5AC4AXABuAFwAbgBOAG8AdABlAHMAOgBcAG4AIAAgACAAIAAiICAAMgBEACAAdAByAGEAdgBlAHIAcwBhAGwAIAB1AHMAZQBzACAAVAByAGEAdgBlAHIAcwBlALsDIAB0AG8AIAByAGUAbwByAGQAZQByACAAdABoAGUAIABhAHIAcgBhAHkALAAgAFMAQwBBAE4AIAB0AG8AIABhAGMAYwB1AG0AdQBsAGEAdABlACwAXABuACAAIAAgACAAIAAgAGEAbgBkACAAUgBlAFMAaABhAHAAZQAyAEQAuwMgAHQAbwAgAHIAZQBzAHQAbwByAGUAIABvAHIAaQBnAGkAbgBhAGwAIABnAGUAbwBtAGUAdAByAHkALgBcAG4AIAAgACAAIAAiICAATgBvACAAZgBsAGEAdAB0AGUAbgBpAG4AZwAgAGkAcwAgAHAAZQByAGYAbwByAG0AZQBkADsAIABnAGUAbwBtAGUAdAByAHkAIABpAHMAIABwAHIAZQBzAGUAcgB2AGUAZAAuAFwAbgAtAC0ALQAtAC0ALQAtAC0ALQAtAC0ALQAtAC0ALQAtAC0ALQAtAC0ALQAtAC0ALQAtAC0ALQAtAC0ALQAtAC0ALQAtAC0ALQAtAC0ALQAtAC0ALQAtAC0ALQAtAC0ALQAtAC0ALQAtAC0ALQAtAC0ALQAtAC0ALQAtAC0ALQAtAC0ALQAtAC0ALQAtAC0ALQAtAC0ALQAtAC0ALQAqAC8AXABuAFwAbgBTAGMAYQBuADIARAC7AyAAPQBcAG4ATABBAE0AQgBEAEEAKABcAG4AIAAgACAAIABpAG4AaQB0AGkAYQBsAF8AdgBhAGwAdQBlACwAXABuACAAIAAgACAAYQByAHIAYQB5ACwAXABuACAAIAAgACAAZgB1AG4AYwB0AGkAbwBuACwAXABuACAAIAAgACAAWwBkAGkAcgBlAGMAdABpAG8AbgBdACwAXABuAEwARQBUACgAXABuACAAIAAgACAALwAvACAARABpAHIAZQBjAHQAaQBvAG4AIAAoAGQAZQBmAGEAdQBsAHQAIAA9ACAAMAApAFwAbgAgACAAIAAgAGQAaQByAGUAYwB0AGkAbwBuACwAIAAgACAAIAAgACAAIAAgACAASQBGACgASQBTAE8ATQBJAFQAVABFAEQAKABkAGkAcgBlAGMAdABpAG8AbgApACwAIAAwACwAIABkAGkAcgBlAGMAdABpAG8AbgApACwAXABuAFwAbgAgACAAIAAgAC8ALwAgAEQAaQBtAGUAbgBzAGkAbwBuAHMAXABuACAAIAAgACAAaAAsACAAIAAgACAAIAAgACAAIAAgACAAIAAgACAAIAAgACAAIABSAE8AVwBTACgAYQByAHIAYQB5ACkALABcAG4AIAAgACAAIAB3ACwAIAAgACAAIAAgACAAIAAgACAAIAAgACAAIAAgACAAIAAgAEMATwBMAFUATQBOAFMAKABhAHIAcgBhAHkAKQAsAFwAbgBcAG4AIAAgACAAIAAvAC8AIABOAG8AbgARIDIARAAgAHMAYwBlAG4AYQByAGkAbwBzAFwAbgAgACAAIAAgAEkAcwBTAGMAYQBsAGEAcgA/ACwAIAAgACAAIAAgACAAIAAgACAAQQBOAEQAKABoACAAPQAgADEALAAgAHcAIAA9ACAAMQApACwAXABuACAAIAAgACAASQBzADEARAA/ACwAIAAgACAAIAAgACAAIAAgACAAIAAgACAAIABYAE8AUgAoAGgAIAA9ACAAMQAsACAAdwAgAD0AIAAxACkALABcAG4AXABuACAAIAAgACAASQBuAHYAYQBsAGkAZAAxAEQARABpAHIAPwAsACAAIAAgACAAIABBAE4ARAAoAEkAcwAxAEQAPwAsACAAZABpAHIAZQBjAHQAaQBvAG4AIAA8AD4AIAAwACwAIABkAGkAcgBlAGMAdABpAG8AbgAgADwAPgAgAC0AMQApACwAXABuACAAIAAgACAASQBzAFIAZQB2AGUAcgBzAGUAPwAsACAAIAAgACAAIAAgACAAIABkAGkAcgBlAGMAdABpAG8AbgAgAD0AIAAtADEALABcAG4AIAAgACAAIABJAHMAVgBlAHIAdABpAGMAYQBsAD8ALAAgACAAIAAgACAAIAAgAEEATgBEACgASQBzADEARAA/ACwAIABoACAAPgAgAHcAKQAsAFwAbgBcAG4AIAAgACAAIAAvAC8AIAAxAEQAIABoAGEAbgBkAGwAaQBuAGcAXABuACAAIAAgACAAZQAsACAAIAAgACAAIAAgACAAIAAgACAAIAAgACAAIAAgACAAIABJAEYAKABJAHMAVgBlAHIAdABpAGMAYQBsAD8ALAAgAGgALAAgAHcAKQAsAFwAbgAgACAAIAAgAGkAZAB4ACwAIAAgACAAIAAgACAAIAAgACAAIAAgACAAIAAgACAAUwBFAFEAVQBFAE4AQwBFACgAZQAsACwAIABlACwAIAAtADEAKQAsAFwAbgAgACAAIAAgAHIAZQB2AF8AYQByAHIAYQB5ACwAIAAgACAAIAAgACAAIAAgACAASQBGACgASQBzAFYAZQByAHQAaQBjAGEAbAA/ACwAIABJAE4ARABFAFgAKABhAHIAcgBhAHkALAAgAGkAZAB4ACkALAAgAEkATgBEAEUAWAAoAGEAcgByAGEAeQAsACwAIABpAGQAeAApACkALABcAG4AIAAgACAAIAB2AGUAYwB0AG8AcgAsACAAIAAgACAAIAAgACAAIAAgACAAIAAgAEkARgAoAEkAcwBSAGUAdgBlAHIAcwBlAD8ALAAgAHIAZQB2AF8AYQByAHIAYQB5ACwAIABhAHIAcgBhAHkAKQAsAFwAbgBcAG4AIAAgACAAIAAvAC8AIABMAG8AZwBpAGMAIABnAGEAdABlAFwAbgAgACAAIAAgAEkARgAoAEkAcwBTAGMAYQBsAGEAcgA/ACwAIABTAEMAQQBOACgAaQBuAGkAdABpAGEAbABfAHYAYQBsAHUAZQAsACAAYQByAHIAYQB5ACwAIABmAHUAbgBjAHQAaQBvAG4AKQAsAFwAbgBcAG4AIAAgACAAIAAgACAAIAAgAEkARgAoAEkAbgB2AGEAbABpAGQAMQBEAEQAaQByAD8ALAAgAFwAIgAjAGQAaQByAGUAYwB0AGkAbwBuACEAXAAiACwAXABuAFwAbgAgACAAIAAgACAAIAAgACAAIAAgACAAIABJAEYAKABJAHMAMQBEAD8ALAAgAFMAQwBBAE4AKABpAG4AaQB0AGkAYQBsAF8AdgBhAGwAdQBlACwAIAB2AGUAYwB0AG8AcgAsACAAZgB1AG4AYwB0AGkAbwBuACkALABcAG4AXABuACAAIAAgACAAIAAgACAAIAAgACAAIAAgACAAIAAgACAASQBGACgASQBTAE4AQQAoAFgATQBBAFQAQwBIACgAZABpAHIAZQBjAHQAaQBvAG4ALAAgAHsALQAxADsAMAA7ADEAOwAyADsAMwA7AFwAIgBOAEUAXAAiADsAXAAiAFMARQBcACIAOwBcACIAUwBXAFwAIgB9ACkAKQAsAFwAbgAgACAAIAAgACAAIAAgACAAIAAgACAAIAAgACAAIAAgACAAIAAgACAAXAAiACMAZABpAHIAZQBjAHQAaQBvAG4AIQBcACIALABcAG4AXABuAEwARQBUACgAXABuACAAIAAgACAALwAvACAAMgBEACAAcwBjAGEAbgAgAG0AbwBkAGUAcwBcAG4AIAAgACAAIABzAHQAYQBuAGQAYQByAGQALAAgACAAIAAgACAAIAAgACAAIAAgAEwAQQBNAEIARABBACgAUwBDAEEATgAoAGkAbgBpAHQAaQBhAGwAXwB2AGEAbAB1AGUALAAgAGEAcgByAGEAeQAsACAAZgB1AG4AYwB0AGkAbwBuACkAKQAsACAALwAvACAAMABcAG4AXABuACAAIAAgACAAcwB0AGEAbgBkAGEAcgBkAF8AYgB5AGMAbwBsACwAIAAgACAAIABMAEEATQBCAEQAQQAoAFQAUgBBAE4AUwBQAE8AUwBFACgAXABuACAAIAAgACAAIAAgACAAIAAgACAAIAAgACAAIAAgACAAIAAgACAAIAAgACAAIAAgACAAIAAgACAAIAAgACAAUwBDAEEATgAoAGkAbgBpAHQAaQBhAGwAXwB2AGEAbAB1AGUALAAgAFQAUgBBAE4AUwBQAE8AUwBFACgAYQByAHIAYQB5ACkALAAgAGYAdQBuAGMAdABpAG8AbgApACkAKQAsACAALwAvACAALQAxAFwAbgBcAG4AIAAgACAAIAB0AHIAYQB2AGUAcgBzAGEAbAAsACAAIAAgACAAIAAgACAAIAAgAEwAQQBNAEIARABBACgAUgBlAFMAaABhAHAAZQAyAEQAuwMoAFwAbgAgACAAIAAgACAAIAAgACAAIAAgACAAIAAgACAAIAAgACAAIAAgACAAIAAgACAAIAAgACAAIAAgACAAIAAgAFMAQwBBAE4AKABpAG4AaQB0AGkAYQBsAF8AdgBhAGwAdQBlACwAVAByAGEAdgBlAHIAcwBlALsDKABhAHIAcgBhAHkALAAgAGQAaQByAGUAYwB0AGkAbwBuACkALABmAHUAbgBjAHQAaQBvAG4AKQAsAFwAbgAgACAAIAAgACAAIAAgACAAIAAgACAAIAAgACAAIAAgACAAIAAgACAAIAAgACAAIAAgACAAIAAgACAAIAAgAHcAKQApACwAIAAvAC8AIAAxACwAIAAyACwAIAAzAFwAbgBcAG4AIAAgACAAIAAvAC8AIABTAGUAbABlAGMAdAAgAG0AbwBkAGUAXABuACAAIAAgACAAcgBlAHMAdQBsAHQALAAgACAAIAAgACAAIAAgACAAIAAgACAAIABJAEYAKABkAGkAcgBlAGMAdABpAG8AbgAgAD0AIAAwACwAIAAgAHMAdABhAG4AZABhAHIAZAAoACkALABcAG4AIAAgACAAIAAgACAAIAAgACAAIAAgACAAIAAgACAAIAAgACAAIAAgACAAIAAgACAAIAAgACAASQBGACgAZABpAHIAZQBjAHQAaQBvAG4AIAA9ACAALQAxACwAIABzAHQAYQBuAGQAYQByAGQAXwBiAHkAYwBvAGwAKAApACwAIAB0AHIAYQB2AGUAcgBzAGEAbAAoACkAKQApACwAXABuAFwAbgAgACAAIAAgAHIAZQBzAHUAbAB0AFwAbgApACkAKQApACkAKQApADsAXABuAFwAbgBcAG4AXABuAC8AKgAgAFsAUwBBADAANABdACAALQAtAC0ALQAtAC0ALQAtAC0ALQAtAC0ALQAtAC0ALQAtAC0ALQAtAC0ALQAtAC0ALQAtAC0ALQAtAC0ALQAtAC0ALQAtAC0ALQAtAC0ALQAtAC0ALQAtAC0ALQAtAC0ALQAtAC0ALQAtAC0ALQAtAC0ALQAtAC0ALQAtAC0ALQAtAC0ALQAtAC0ALQAtAC0ALQBcAG4ARgB1AG4AYwB0AGkAbwBuADoAIAAgACAAIAAgAFQAcgBhAHYAZQByAHMAZQC7A1wAbgBDAGEAdABlAGcAbwByAHkAOgAgACAAIAAgACAAMgBEACAAQQByAHIAYQB5ACAAUwBoAGEAcABpAG4AZwBcAG4AQQB1AHQAaABvAHIAOgAgACAAIAAgACAAIAAgAFAAYQB0AHIAaQBjAGsAIABIAC4AXABuAFYAZQByAHMAaQBvAG4AOgAgACAAIAAgACAAIAAxAC4AMQBcAG4AXABuAEQAZQBzAGMAcgBpAHAAdABpAG8AbgA6AFwAbgAgACAAIAAgAFIAZQBtAGEAcABzACAAYQAgADIARAAgAGEAcgByAGEAeQAgAGkAbgB0AG8AIABhACAAbgBlAHcAIAB0AHIAYQB2AGUAcgBzAGEAbAAgAG8AcgBkAGUAcgAgAGIAeQAgAHIAbwB0AGEAdABpAG4AZwAgAHQAaABlACAAdAByAGEAdgBlAHIAcwBhAGwAIABhAHgAaQBzAFwAbgAgACAAIAAgAHQAbwAgAG8AbgBlACAAbwBmACAAdABoAHIAZQBlACAAZABpAGEAZwBvAG4AYQBsACAAZABpAHIAZQBjAHQAaQBvAG4AcwAuACAAVABoAGUAIABzAGUAbABlAGMAdABlAGQAIABhAHgAaQBzACAAaQBzACAAcgBlAG0AYQBwAHAAZQBkACAAdABvACAAYQBcAG4AIAAgACAAIAB0AG8AcAARIGwAZQBmAHQAEyBhAG4AYwBoAG8AcgBlAGQAIAB0AHIAYQB2AGUAcgBzAGEAbAAgAG8AcgBkAGUAcgAuACAAUwBjAGEAbABhAHIAcwAgAGEAbgBkACAAMQBEACAAYQByAHIAYQB5AHMAIABhAHIAZQAgAHIAZQBqAGUAYwB0AGUAZAAuAFwAbgBcAG4AQQBjAGMAZQBwAHQAZQBkACAARABpAHIAZQBjAHQAaQBvAG4AcwA6AFwAbgAgACAAIAAgACAAIABcACIATgBFAFwAIgAgAG8AcgAgADEAIAAgAJIhIABOAG8AcgB0AGgAZQBhAHMAdAAgACAAKACXISkAXABuACAAIAAgACAAIAAgAFwAIgBTAEUAXAAiACAAbwByACAAMgAgACAAkiEgAFMAbwB1AHQAaABlAGEAcwB0ACAAIAAoAJghKQBcAG4AIAAgACAAIAAgACAAXAAiAFMAVwBcACIAIABvAHIAIAAzACAAIACSISAAUwBvAHUAdABoAHcAZQBzAHQAIAAgACgAmSEpAFwAbgBcAG4AUABhAHIAYQBtAGUAdABlAHIAcwA6AFwAbgAgACAAIAAgAGEAcgByAGEAeQAgACAAIAAgACAAIAAtACAAUgBlAHEAdQBpAHIAZQBkACAAMgBEACAAYQByAHIAYQB5AC4AXABuACAAIAAgACAAbgBlAHcAXwBhAHgAaQBzACAAIAAgAC0AIABEAGkAcgBlAGMAdABpAG8AbgAgAGMAbwBkAGUAIAAoAFwAIgBOAEUAXAAiACwAXAAiAFMARQBcACIALABcACIAUwBXAFwAIgApACAAbwByACAAaQBuAHQAZQBnAGUAcgAgADEAEyAzAC4AXABuAFwAbgBOAG8AdABlAHMAOgBcAG4AIAAgACAAIAAiICAARwBlAG8AbQBlAHQAcgB5ACAAaQBzACAAcAByAGUAcwBlAHIAdgBlAGQAOwAgAG8AbgBsAHkAIAB0AHIAYQB2AGUAcgBzAGEAbAAgAG8AcgBkAGUAcgAgAGMAaABhAG4AZwBlAHMALgBcAG4AIAAgACAAIAAiICAASQBuAHYAYQBsAGkAZAAgAGQAaQByAGUAYwB0AGkAbwBuACAAYwBvAGQAZQBzACAAcgBlAHQAdQByAG4AIABcACIAIwBBAFgASQBTACEAXAAiAC4AXABuACAAIAAgACAAIiAgADEARAAgAGEAcgByAGEAeQBzACAAcgBlAHQAdQByAG4AIABcACIAIwAyAEQALQBBAFIAUgBBAFkAIQBcACIALgBcAG4ALQAtAC0ALQAtAC0ALQAtAC0ALQAtAC0ALQAtAC0ALQAtAC0ALQAtAC0ALQAtAC0ALQAtAC0ALQAtAC0ALQAtAC0ALQAtAC0ALQAtAC0ALQAtAC0ALQAtAC0ALQAtAC0ALQAtAC0ALQAtAC0ALQAtAC0ALQAtAC0ALQAtAC0ALQAtAC0ALQAtAC0ALQAtAC0ALQAtAC0ALQAtAC0AKgAvAFwAbgBcAG4AVAByAGEAdgBlAHIAcwBlALsDIAA9AFwAbgBMAEEATQBCAEQAQQAoAFwAbgAgACAAIAAgAGEAcgByAGEAeQAsAFwAbgAgACAAIAAgAG4AZQB3AF8AYQB4AGkAcwAsAFwAbgBcAG4ASQBGACgATwBSACgAUgBPAFcAUwAoAGEAcgByAGEAeQApACAAPQAgADEALAAgAEMATwBMAFUATQBOAFMAKABhAHIAcgBhAHkAKQAgAD0AIAAxACkALABcACIAIwAyAEQALQBBAFIAUgBBAFkAIQBcACIALABcAG4AXABuACAAIAAgACAASQBGACgAQQBOAEQAKABJAFMATgBVAE0AQgBFAFIAKABuAGUAdwBfAGEAeABpAHMAKQAsACAATwBSACgAbgBlAHcAXwBhAHgAaQBzACAAPAA9ACAAMAAsACAAbgBlAHcAXwBhAHgAaQBzACAAPgAgADMAKQApACwAXAAiACMAQQBYAEkAUwAhAFwAIgAsAFwAbgBcAG4ATABFAFQAKABcAG4AIAAgACAAIAAvAC8AIABEAGkAbQBlAG4AcwBpAG8AbgBzAFwAbgAgACAAIAAgAGgALAAgACAAIAAgACAAIAAgACAAIAAgAFIATwBXAFMAKABhAHIAcgBhAHkAKQAsAFwAbgAgACAAIAAgAHcALAAgACAAIAAgACAAIAAgACAAIAAgAEMATwBMAFUATQBOAFMAKABhAHIAcgBhAHkAKQAsAFwAbgBcAG4AIAAgACAAIAAvAC8AIABBAHgAaQBzACAAdAByAGEAdgBlAHIAcwBhAGwAIABpAG4AZABpAGMAZQBzACAAKABkAGUAZgBlAHIAcgBlAGQAKQBcAG4AIAAgACAAIAB4AF8ATgBFACwAIAAgACAAIAAgACAAIABMAEEATQBCAEQAQQAoAFMARQBRAFUARQBOAEMARQAoAHcALAAsADEALAAwACkAIAAqACAAUwBFAFEAVQBFAE4AQwBFACgALABoACkAKQAsAFwAbgAgACAAIAAgAHkAXwBOAEUALAAgACAAIAAgACAAIAAgAEwAQQBNAEIARABBACgAUwBFAFEAVQBFAE4AQwBFACgAdwAsACwAdwAsAC0AMQApACAAKgAgAFMARQBRAFUARQBOAEMARQAoACwAaAAsADEALAAwACkAKQAsAFwAbgBcAG4AIAAgACAAIAB4AF8AUwBFACwAIAAgACAAIAAgACAAIABMAEEATQBCAEQAQQAoAFMARQBRAFUARQBOAEMARQAoAGgALAAsAGgALAAtADEAKQAgACoAIABTAEUAUQBVAEUATgBDAEUAKAAsAHcALAAxACwAMAApACkALABcAG4AIAAgACAAIAB5AF8AUwBFACwAIAAgACAAIAAgACAAIABMAEEATQBCAEQAQQAoAFMARQBRAFUARQBOAEMARQAoAGgALAAsAHcALAAwACkAIAArACAAUwBFAFEAVQBFAE4AQwBFACgALAB3ACwAMAAsAC0AMQApACkALABcAG4AXABuACAAIAAgACAAeABfAFMAVwAsACAAIAAgACAAIAAgACAATABBAE0AQgBEAEEAKABTAEUAUQBVAEUATgBDAEUAKAB3ACwALABoACwAMAApACAAKwAgAFMARQBRAFUARQBOAEMARQAoACwAaAAsADAALAAtADEAKQApACwAXABuACAAIAAgACAAeQBfAFMAVwAsACAAIAAgACAAIAAgACAATABBAE0AQgBEAEEAKABTAEUAUQBVAEUATgBDAEUAKAB3ACwALAAxACkAIAAqACAAUwBFAFEAVQBFAE4AQwBFACgALABoACwAMQAsADAAKQApACwAXABuAFwAbgAgACAAIAAgAC8ALwAgAEEAeABpAHMAIABtAG8AZABlACAAcwBlAGwAZQBjAHQAaQBvAG4AXABuACAAIAAgACAAbQBvAGQAZQAsACAAIAAgACAAIAAgACAASQBGACgASQBTAE4AVQBNAEIARQBSACgAbgBlAHcAXwBhAHgAaQBzACkALABuAGUAdwBfAGEAeABpAHMALABcAG4AIAAgACAAIAAgACAAIAAgACAAIAAgACAAIAAgACAAIAAgACAAIAAgAFMAVwBJAFQAQwBIACgAbgBlAHcAXwBhAHgAaQBzACwAIABcACIATgBFAFwAIgAsADEALAAgAFwAIgBTAEUAXAAiACwAMgAsACAAXAAiAFMAVwBcACIALAAzACwAIAAxACkAKQAsAFwAbgBcAG4AIAAgACAAIAAvAC8AIABJAG4AZABlAHgAIABzAGUAbABlAGMAdABpAG8AbgBcAG4AIAAgACAAIAB4ACwAIAAgACAAIAAgACAAIAAgACAAIABDAEgATwBPAFMARQAoAG0AbwBkAGUALAAgAHgAXwBOAEUALAAgAHgAXwBTAEUALAAgAHgAXwBTAFcAKQAsAFwAbgAgACAAIAAgAHkALAAgACAAIAAgACAAIAAgACAAIAAgAEMASABPAE8AUwBFACgAbQBvAGQAZQAsACAAeQBfAE4ARQAsACAAeQBfAFMARQAsACAAeQBfAFMAVwApACwAXABuAFwAbgAgACAAIAAgAC8ALwAgAFIAZQBtAGEAcAAgAGEAcgByAGEAeQBcAG4AIAAgACAAIAByAGUAcwB1AGwAdAAsACAAIAAgACAAIABJAE4ARABFAFgAKABhAHIAcgBhAHkALAAgAHgAKAApACwAIAB5ACgAKQApACwAXABuAFwAbgAgACAAIAAgAHIAZQBzAHUAbAB0AFwAbgApACkAKQApADsAXABuAFwAbgBcAG4AXABuAC8AKgAgAFsAUwBBADAANQBdACAALQAtAC0ALQAtAC0ALQAtAC0ALQAtAC0ALQAtAC0ALQAtAC0ALQAtAC0ALQAtAC0ALQAtAC0ALQAtAC0ALQAtAC0ALQAtAC0ALQAtAC0ALQAtAC0ALQAtAC0ALQAtAC0ALQAtAC0ALQAtAC0ALQAtAC0ALQAtAC0ALQAtAC0ALQAtAC0ALQAtAC0ALQAtAC0ALQBcAG4ARgB1AG4AYwB0AGkAbwBuADoAIAAgACAAIAAgAFQAYQBrAGUAQgBsAG8AYwBrALsDXABuAEMAYQB0AGUAZwBvAHIAeQA6ACAAIAAgACAAIAAyAEQAIABBAHIAcgBhAHkAIABTAGgAYQBwAGkAbgBnAFwAbgBBAHUAdABoAG8AcgA6ACAAIAAgACAAIAAgACAAUABhAHQAcgBpAGMAawAgAEgALgBcAG4AVgBlAHIAcwBpAG8AbgA6ACAAIAAgACAAIAAgADEALgAxAFwAbgBEAGUAcABlAG4AZABlAG4AYwBpAGUAcwA6ACAATQBHAHIAaQBkALsDLAAgAFIAZQBzAGkAegBlALsDXABuAFwAbgBEAGUAcwBjAHIAaQBwAHQAaQBvAG4AOgBcAG4AIAAgACAAIABFAHgAdAByAGEAYwB0AHMAIABhACAAcgBlAGMAdABhAG4AZwB1AGwAYQByACAAYgBsAG8AYwBrACAAZgByAG8AbQAgAGEAIAAyAEQAIABhAHIAcgBhAHkAIABiAHkAIABzAHAAZQBjAGkAZgB5AGkAbgBnACAAYQBuACAAYQBuAGMAaABvAHIAIAB2AGEAbAB1AGUAXABuACAAIAAgACAAKABzAHQAYQByAHQAXwBhAHQAKQAgAGEAbgBkACAAYQBuACAAbwBwAHQAaQBvAG4AYQBsACAAcwB0AG8AcABwAGkAbgBnACAAdgBhAGwAdQBlACAAKABzAHQAbwBwAF8AdwBoAGUAbgApAC4AIABUAGgAZQAgAGYAdQBuAGMAdABpAG8AbgAgAGwAbwBjAGEAdABlAHMAXABuACAAIAAgACAAdABoAGUAIABmAGkAcgBzAHQAIABvAGMAYwB1AHIAcgBlAG4AYwBlACAAbwBmACAAcwB0AGEAcgB0AF8AYQB0ACwAIAB0AGgAZQBuACAAcgBlAHQAdQByAG4AcwAgAGEAbABsACAAcgBvAHcAcwAgAGYAcgBvAG0AIAB0AGgAYQB0ACAAcABvAGkAbgB0AFwAbgAgACAAIAAgAGQAbwB3AG4AdwBhAHIAZAAgAGEAbgBkACAAYQBsAGwAIABjAG8AbAB1AG0AbgBzACAAdABvACAAdABoAGUAIAByAGkAZwBoAHQALAAgAHMAdABvAHAAcABpAG4AZwAgAGUAaQB0AGgAZQByACAAYQB0ACAAdABoAGUAIABmAGkAcgBzAHQAXABuACAAIAAgACAAbwBjAGMAdQByAHIAZQBuAGMAZQAgAG8AZgAgAHMAdABvAHAAXwB3AGgAZQBuACAAbwByACAAYQB0ACAAdABoAGUAIABlAG4AZAAgAG8AZgAgAHQAaABlACAAZABhAHQAYQAuAFwAbgBcAG4AIAAgACAAIABCAG8AdABoACAAcwB0AGEAcgB0AF8AYQB0ACAAYQBuAGQAIABzAHQAbwBwAF8AdwBoAGUAbgAgAHIAZQBsAHkAIABvAG4AIABFAHgAYwBlAGwAJwBzACAAbgBhAHQAaQB2AGUAIABlAHEAdQBhAGwAaQB0AHkAIABjAG8AbQBwAGEAcgBpAHMAbwBuAFwAbgAgACAAIAAgACgAYQByAHIAYQB5ACAAPQAgAHQAZQByAG0AKQAuACAAVABoAGkAcwAgAHAAcgBvAHYAaQBkAGUAcwAgAGYAYQBzAHQALAAgAHYAZQBjAHQAbwByAGkAegBlAGQAIABtAGEAdABjAGgAaQBuAGcAIABiAHUAdAAgAGQAbwBlAHMAIABuAG8AdAAgAHMAdQBwAHAAbwByAHQAXABuACAAIAAgACAAdwBpAGwAZABjAGEAcgBkAHMAIABvAHIAIAByAGUAZwB1AGwAYQByACAAZQB4AHAAcgBlAHMAcwBpAG8AbgBzAC4AIABJAGYAIABzAHQAbwBwAF8AdwBoAGUAbgAgAGkAcwAgAG8AbQBpAHQAdABlAGQALAAgAHQAaABlACAAYgBsAG8AYwBrACAAZQB4AHQAZQBuAGQAcwBcAG4AIAAgACAAIAB0AG8AIAB0AGgAZQAgAGIAbwB0AHQAbwBtACAAbwBmACAAdABoAGUAIABhAHIAcgBhAHkALgBcAG4AXABuAFAAYQByAGEAbQBlAHQAZQByAHMAOgBcAG4AIAAgACAAIABhAHIAcgBhAHkAIAAgACAAIAAgACAAIAAgAC0AIABSAGUAcQB1AGkAcgBlAGQAIAAyAEQAIABhAHIAcgBhAHkALgBcAG4AIAAgACAAIABzAHQAYQByAHQAXwBhAHQAIAAgACAAIAAgAC0AIABBAG4AYwBoAG8AcgAgAHYAYQBsAHUAZQAgAG0AYQByAGsAaQBuAGcAIAB0AGgAZQAgAGYAaQByAHMAdAAgAHIAbwB3ACAAbwBmACAAdABoAGUAIABiAGwAbwBjAGsALgBcAG4AIAAgACAAIABbAHMAdABvAHAAXwB3AGgAZQBuAF0AIAAgAC0AIABPAHAAdABpAG8AbgBhAGwAIABzAHQAbwBwAHAAaQBuAGcAIAB2AGEAbAB1AGUALgAgAEkAZgAgAG8AbQBpAHQAdABlAGQALAAgAHQAaABlACAAYgBsAG8AYwBrACAAYwBvAG4AdABpAG4AdQBlAHMAXABuACAAIAAgACAAIAAgACAAIAAgACAAIAAgACAAIAAgACAAIAAgACAAdABvACAAdABoAGUAIABlAG4AZAAgAG8AZgAgAHQAaABlACAAYQByAHIAYQB5AC4AXABuAFwAbgBOAG8AdABlAHMAOgBcAG4AIAAgACAAIAAiICAARwBlAG8AbQBlAHQAcgB5ACAAaQBzACAAcAByAGUAcwBlAHIAdgBlAGQAOwAgAG4AbwAgAGYAbABhAHQAdABlAG4AaQBuAGcAIABvAGMAYwB1AHIAcwAuAFwAbgAgACAAIAAgACIgIABJAGYAIABzAHQAYQByAHQAXwBhAHQAIABpAHMAIABuAG8AdAAgAGYAbwB1AG4AZAAsACAAcgBlAHQAdQByAG4AcwAgAFwAIgAjAE4ATwAtAEEATgBDAEgATwBSACEAXAAiAC4AXABuACAAIAAgACAAIiAgAEkAZgAgAHMAdABvAHAAXwB3AGgAZQBuACAAbwBjAGMAdQByAHMAIABiAGUAZgBvAHIAZQAgAHMAdABhAHIAdABfAGEAdAAsACAAcgBlAHQAdQByAG4AcwAgAFwAIgAjAE4ATwAtAFMATABJAEMARQAhAFwAIgAuAFwAbgAtAC0ALQAtAC0ALQAtAC0ALQAtAC0ALQAtAC0ALQAtAC0ALQAtAC0ALQAtAC0ALQAtAC0ALQAtAC0ALQAtAC0ALQAtAC0ALQAtAC0ALQAtAC0ALQAtAC0ALQAtAC0ALQAtAC0ALQAtAC0ALQAtAC0ALQAtAC0ALQAtAC0ALQAtAC0ALQAtAC0ALQAtAC0ALQAtAC0ALQAtAC0ALQAqAC8AXABuAFwAbgBUAGEAawBlAEIAbABvAGMAawC7AyAAPQBcAG4ATABBAE0AQgBEAEEAKABcAG4AIAAgACAAIABhAHIAcgBhAHkALABcAG4AIAAgACAAIABzAHQAYQByAHQAXwBhAHQALABcAG4AIAAgACAAIABbAHMAdABvAHAAXwB3AGgAZQBuAF0ALABcAG4ATABFAFQAKABcAG4AIAAgACAAIAAvAC8AIABPAHAAdABpAG8AbgBhAGwAIABzAHQAbwBwAHAAaQBuAGcAIABwAG8AaQBuAHQAXABuACAAIAAgACAARABvAE4AbwB0AFMAdABvAHAAPwAsACAAIAAgACAAIABJAFMATwBNAEkAVABUAEUARAAoAHMAdABvAHAAXwB3AGgAZQBuACkALABcAG4AXABuACAAIAAgACAALwAvACAARABpAG0AZQBuAHMAaQBvAG4AcwBcAG4AIAAgACAAIABoACwAIAAgACAAIAAgACAAIAAgACAAIAAgACAAIAAgAFIATwBXAFMAKABhAHIAcgBhAHkAKQAsAFwAbgAgACAAIAAgAHcALAAgACAAIAAgACAAIAAgACAAIAAgACAAIAAgACAAQwBPAEwAVQBNAE4AUwAoAGEAcgByAGEAeQApACwAXABuAFwAbgAgACAAIAAgAC8ALwAgAEkAbgBkAGkAYwBlAHMAXABuACAAIAAgACAAaQAsACAAIAAgACAAIAAgACAAIAAgACAAIAAgACAAIABNAEcAcgBpAGQAuwMoAGEAcgByAGEAeQApACwAXABuACAAIAAgACAAagAsACAAIAAgACAAIAAgACAAIAAgACAAIAAgACAAIABNAEcAcgBpAGQAuwMoAGEAcgByAGEAeQAsACAAMQApACwAXABuAFwAbgAgACAAIAAgAC8ALwAgAEwAbwBjAGEAbAAgAGgAZQBsAHAAZQByAHMAXABuACAAIAAgACAAQQBuAGMAaABvAHIAuwMsACAAIAAgACAAIAAgACAAIABMAEEATQBCAEQAQQAoAGEAcgByACwAIABjAG8AbgBkAGkAdABpAG8AbgAsACAAaQBkAHgALAAgAE4AKABhAHIAcgAgAD0AIABjAG8AbgBkAGkAdABpAG8AbgApACAAKgAgAGkAZAB4ACkALABcAG4AIAAgACAAIABJAEQAWAC7AywAIAAgACAAIAAgACAAIAAgACAAIAAgAEwAQQBNAEIARABBACgAYQByAHIALAAgAE0ASQBOACgASQBGACgAYQByAHIAIAA8AD4AIAAwACwAIABhAHIAcgApACkAKQAsAFwAbgBcAG4AIAAgACAAIAAvAC8AIABBAG4AYwBoAG8AcgAgAHAAbwBzAGkAdABpAG8AbgBzAFwAbgAgACAAIAAgAHIAbwB3AF8AcwB0AGEAcgB0ACwAIAAgACAAIAAgACAAQQBuAGMAaABvAHIAuwMoAGEAcgByAGEAeQAsACAAcwB0AGEAcgB0AF8AYQB0ACwAIABpACkALABcAG4AIAAgACAAIABjAG8AbABfAHMAdABhAHIAdAAsACAAIAAgACAAIAAgAEEAbgBjAGgAbwByALsDKABhAHIAcgBhAHkALAAgAHMAdABhAHIAdABfAGEAdAAsACAAagApACwAXABuAFwAbgAgACAAIAAgAHIALAAgACAAIAAgACAAIAAgACAAIAAgACAAIAAgACAASQBEAFgAuwMoAHIAbwB3AF8AcwB0AGEAcgB0ACkALABcAG4AIAAgACAAIABjACwAIAAgACAAIAAgACAAIAAgACAAIAAgACAAIAAgAEkARABYALsDKABjAG8AbABfAHMAdABhAHIAdAApACwAXABuAFwAbgAgACAAIAAgAC8ALwAgAFMAdABvAHAAcABpAG4AZwAgAHAAbwBzAGkAdABpAG8AbgBzAFwAbgAgACAAIAAgAHIAbwB3AF8AcwB0AG8AcAAsACAAIAAgACAAIAAgACAASQBGACgARABvAE4AbwB0AFMAdABvAHAAPwAsACAAMAAsACAAQQBuAGMAaABvAHIAuwMoAGEAcgByAGEAeQAsACAAcwB0AG8AcABfAHcAaABlAG4ALAAgAGkAKQApACwAXABuACAAIAAgACAAbgBvAF8AcgAsACAAIAAgACAAIAAgACAAIAAgACAAIABTAFUATQAoAHIAbwB3AF8AcwB0AG8AcAApACAAPQAgADAALABcAG4AIAAgACAAIAByAF8ALAAgACAAIAAgACAAIAAgACAAIAAgACAAIAAgAEkARgAoAE8AUgAoAEQAbwBOAG8AdABTAHQAbwBwAD8ALAAgAG4AbwBfAHIAKQAsACAAaAAsACAASQBEAFgAuwMoAHIAbwB3AF8AcwB0AG8AcAApACkALABcAG4AXABuACAAIAAgACAALwAvACAASABhAGwAdABpAG4AZwAgAGMAbwBuAGQAaQB0AGkAbwBuAHMAXABuACAAIAAgACAAVwBoAGUAcgBlAE4AbwB0AEYAbwB1AG4AZAA/ACwAIABBAE4ARAAoAHIAIAA9ACAAMAAsACAAYwAgAD0AIAAwACkALABcAG4AIAAgACAAIABOAG8AUwBsAGkAYwBlAD8ALAAgACAAIAAgACAAIAAgAEEATgBEACgATgBPAFQAKABuAG8AXwByACkALAAgAHIAXwAgADwAPQAgAHIAKQAsAFwAbgBcAG4AIAAgACAAIAAvAC8AIABMAG8AZwBpAGMAIABnAGEAdABlAFwAbgAgACAAIAAgAEkARgAoAFcAaABlAHIAZQBOAG8AdABGAG8AdQBuAGQAPwAsACAAXAAiACMATgBPAC0AQQBOAEMASABPAFIAIQBcACIALABcAG4AXABuACAAIAAgACAAIAAgACAAIABJAEYAKABOAG8AUwBsAGkAYwBlAD8ALAAgAFwAIgAjAE4ATwAtAFMATABJAEMARQAhAFwAIgAsAFwAbgBcAG4ATABFAFQAKABcAG4AIAAgACAAIAAvAC8AIABPAHUAdABwAHUAdAAgAGcAZQBvAG0AZQB0AHIAeQBcAG4AIAAgACAAIAByAG8AdwBzACwAIAAgACAAIAAgACAAIAAgACAAIAAgAEkARgAoAG4AbwBfAHIALAAgAGgAIAAtACAAcgAgACsAIAAxACwAIAByAF8AIAAtACAAcgApACwAXABuACAAIAAgACAAYwBvAGwAcwAsACAAIAAgACAAIAAgACAAIAAgACAAIAB3ACAALQAgAGMAIAArACAAMQAsAFwAbgBcAG4AIAAgACAAIAAvAC8AIABSAG8AdwAgAGkAbgBkAGkAYwBlAHMAXABuACAAIAAgACAAeAAsACAAIAAgACAAIAAgACAAIAAgACAAIAAgACAAIABJAEYAKAByAG8AdwBzACAAPQAgADEALAByACAAKgAgAFMARQBRAFUARQBOAEMARQAoACwAIABjAG8AbABzACwAIAAxACwAIAAwACkALABcAG4AIAAgACAAIAAgACAAIAAgACAAIAAgACAAIAAgACAAIAAgACAAIAAgACAAIAAgACAAUgBlAHMAaQB6AGUAuwMoAFMARQBRAFUARQBOAEMARQAoAHIAbwB3AHMALAAsACAAcgApACwALAAgAGMAbwBsAHMAKQApACwAXABuAFwAbgAgACAAIAAgAC8ALwAgAEMAbwBsAHUAbQBuACAAaQBuAGQAaQBjAGUAcwBcAG4AIAAgACAAIAB5ACwAIAAgACAAIAAgACAAIAAgACAAIAAgACAAIAAgAEkARgAoAGMAbwBsAHMAIAA9ACAAMQAsAFMARQBRAFUARQBOAEMARQAoAHIAbwB3AHMALAAsACAAYwAsACAAMAApACwAXABuACAAIAAgACAAIAAgACAAIAAgACAAIAAgACAAIAAgACAAIAAgACAAIAAgACAAIAAgAFIAZQBzAGkAegBlALsDKABTAEUAUQBVAEUATgBDAEUAKAAsACAAYwBvAGwAcwAsACAAYwApACwAIAByAG8AdwBzACkAKQAsAFwAbgBcAG4AIAAgACAAIAAvAC8AIABFAHgAdAByAGEAYwB0ACAAYgBsAG8AYwBrAFwAbgAgACAAIAAgAHIAZQBzAHUAbAB0ACwAIAAgACAAIAAgACAAIAAgACAASQBOAEQARQBYACgAYQByAHIAYQB5ACwAIAB4ACwAIAB5ACkALABcAG4AXABuACAAIAAgACAAcgBlAHMAdQBsAHQAXABuACkAKQApACkAKQA7AFwAbgBcAG4AXABuAFwAbgAvACoAIABbAFMAQQAwADYAXQAgAC0ALQAtAC0ALQAtAC0ALQAtAC0ALQAtAC0ALQAtAC0ALQAtAC0ALQAtAC0ALQAtAC0ALQAtAC0ALQAtAC0ALQAtAC0ALQAtAC0ALQAtAC0ALQAtAC0ALQAtAC0ALQAtAC0ALQAtAC0ALQAtAC0ALQAtAC0ALQAtAC0ALQAtAC0ALQAtAC0ALQAtAC0ALQAtAC0AXABuAEYAdQBuAGMAdABpAG8AbgA6ACAAIAAgACAAIABEAFMAdABhAGMAawC7A1wAbgBDAGEAdABlAGcAbwByAHkAOgAgACAAIAAgACAAMgBEACAAQQByAHIAYQB5ACAAUwBoAGEAcABpAG4AZwBcAG4AQQB1AHQAaABvAHIAOgAgACAAIAAgACAAIAAgAFAAYQB0AHIAaQBjAGsAIABIAC4AXABuAFYAZQByAHMAaQBvAG4AOgAgACAAIAAgACAAIAAxAC4AMQBcAG4AXABuAEQAZQBzAGMAcgBpAHAAdABpAG8AbgA6AFwAbgAgACAAIAAgAEEAcABwAHIAbwB4AGkAbQBhAHQAZQBzACAATgB1AG0AUAB5ACcAcwAgAGQAcwB0AGEAYwBrACAAZgBvAHIAIABFAHgAYwBlAGwAJwBzACAAMgBEACAAYQByAHIAYQB5ACAAbQBvAGQAZQBsAC4AIABEAFMAdABhAGMAawC7AyAAcwB0AGEAYwBrAHMAXABuACAAIAAgACAAbQB1AGwAdABpAHAAbABlACAAMgBEACAAYQByAHIAYQB5AHMAIABhAGwAbwBuAGcAIABhACAAXAAiAGQAZQBwAHQAaABcACIAIABkAGkAbQBlAG4AcwBpAG8AbgAgAGIAeQAgAHQAcgBhAG4AcwBwAG8AcwBpAG4AZwAgAGUAYQBjAGgAIABpAG4AcAB1AHQAXABuACAAIAAgACAAYQBuAGQAIABoAG8AcgBpAHoAbwBuAHQAYQBsAGwAeQAgAGMAbwBuAGMAYQB0AGUAbgBhAHQAaQBuAGcAIAB0AGgAZQAgAGwAYQB5AGUAcgBzAC4AIABVAHAAIAB0AG8AIABmAG8AdQByACAAYQByAHIAYQB5AHMAIABtAGEAeQAgAGIAZQBcAG4AIAAgACAAIABzAHUAcABwAGwAaQBlAGQALgAgAE0AaQBzAHMAaQBuAGcAIABhAHIAcgBhAHkAcwAgAGEAcgBlACAAaQBnAG4AbwByAGUAZAAuAFwAbgBcAG4AIAAgACAAIABBAGwAbAAgAGEAcgByAGEAeQBzACAAbQB1AHMAdAAgAGIAZQAgAG4AbwBuABEgcwBjAGEAbABhAHIAIABhAG4AZAAgAG4AbwBuABEgZQBtAHAAdAB5AC4AIABHAGUAbwBtAGUAdAByAHkAIABtAHUAcwB0ACAAbQBhAHQAYwBoACAAYQBjAHIAbwBzAHMAXABuACAAIAAgACAAYQBsAGwAIABzAHUAcABwAGwAaQBlAGQAIABhAHIAcgBhAHkAcwAgACgAcwBhAG0AZQAgAGgAZQBpAGcAaAB0ACAA1wAgAHcAaQBkAHQAaAApAC4AIABNAGkAcwBtAGEAdABjAGgAZQBkACAAZQBsAGUAbQBlAG4AdABzACAAYQByAGUAIABwAGEAZABkAGUAZABcAG4AIAAgACAAIAB1AHMAaQBuAGcAIABwAGEAZABfAHcAaQB0AGgALgBcAG4AXABuAFAAYQByAGEAbQBlAHQAZQByAHMAOgBcAG4AIAAgACAAIABhAHIAcgBhAHkAXwAxACAAIAAgACAAIAAtACAAUgBlAHEAdQBpAHIAZQBkACAAYgBhAHMAZQAgAGEAcgByAGEAeQAuAFwAbgAgACAAIAAgAFsAYQByAHIAYQB5AF8AMgBdACAAIAAgAC0AIABPAHAAdABpAG8AbgBhAGwAIABzAGUAYwBvAG4AZAAgAGEAcgByAGEAeQAuAFwAbgAgACAAIAAgAFsAYQByAHIAYQB5AF8AMwBdACAAIAAgAC0AIABPAHAAdABpAG8AbgBhAGwAIAB0AGgAaQByAGQAIABhAHIAcgBhAHkALgBcAG4AIAAgACAAIABbAGEAcgByAGEAeQBfADQAXQAgACAAIAAtACAATwBwAHQAaQBvAG4AYQBsACAAZgBvAHUAcgB0AGgAIABhAHIAcgBhAHkALgBcAG4AIAAgACAAIABbAHAAYQBkAF8AdwBpAHQAaABdACAAIAAtACAARgBpAGwAbAAgAHYAYQBsAHUAZQAgAGYAbwByACAAbQBpAHMAbQBhAHQAYwBoAGUAZAAgAG8AcgAgAG0AaQBzAHMAaQBuAGcAIABlAGwAZQBtAGUAbgB0AHMALgAgAEQAZQBmAGEAdQBsAHQAcwAgAHQAbwAgAE4AQQAoACkALgBcAG4AXABuAEIAZQBoAGEAdgBpAG8AcgA6AFwAbgAgACAAIAAgACIgIABUAHcAbwAgAGEAcgByAGEAeQBzACAAIACSISAAZABlAHAAdABoACAAPQAgADIAXABuACAAIAAgACAAIiAgAFQAaAByAGUAZQAgAGEAcgByAGEAeQBzACAAkiEgAGQAZQBwAHQAaAAgAD0AIAAzAFwAbgAgACAAIAAgACIgIABGAG8AdQByACAAYQByAHIAYQB5AHMAIAAgAJIhIABkAGUAcAB0AGgAIAA9ACAANABcAG4AIAAgACAAIAAiICAARQBhAGMAaAAgAGEAcgByAGEAeQAgAGkAcwAgAHQAcgBhAG4AcwBwAG8AcwBlAGQAIABzAG8AIABkAGUAcAB0AGgAIABiAGUAYwBvAG0AZQBzACAAdwBpAGQAdABoACwAIAB0AGgAZQBuACAASABTAFQAQQBDAEsAZQBkAC4AXABuAFwAbgBFAHIAcgBvAHIAIABDAG8AbgBkAGkAdABpAG8AbgBzADoAXABuACAAIAAgACAAIiAgAFwAIgAjAEUATQBQAFQAWQAtAEEAUgBSAEEAWQAhAFwAIgAgACAAIAAtACAATwBuAGUAIAByAGUAcQB1AGkAcgBlAGQAIABhAHIAcgBhAHkAIABpAHMAIABlAG0AcAB0AHkAIAB3AGgAaQBsAGUAIAB0AGgAZQAgAG8AdABoAGUAcgAgAGkAcwAgAG4AbwB0AC4AXABuACAAIAAgACAAIiAgAFwAIgAjAFMAQwBBAEwAQQBSAC0ARQBSAFIATwBSACEAXAAiACAAIAAtACAAQQBuAHkAIABpAG4AcAB1AHQAIABhAHIAcgBhAHkAIABpAHMAIABzAGMAYQBsAGEAcgAuAFwAbgBcAG4ATgBvAHQAZQBzADoAXABuACAAIAAgACAAIiAgAFQAaABpAHMAIABpAHMAIABhACAAMgBEACAAYQBwAHAAcgBvAHgAaQBtAGEAdABpAG8AbgAgAG8AZgAgAGQAZQBwAHQAaAAgAHMAdABhAGMAawBpAG4AZwAuAFwAbgAgACAAIAAgACIgIABBAGwAbAAgAGEAcgByAGEAeQBzACAAbQB1AHMAdAAgAHMAaABhAHIAZQAgAGcAZQBvAG0AZQB0AHIAeQAgAG8AcgAgAHAAYQBkAGQAaQBuAGcAIAB3AGkAbABsACAAYgBlACAAYQBwAHAAbABpAGUAZAAuAFwAbgAtAC0ALQAtAC0ALQAtAC0ALQAtAC0ALQAtAC0ALQAtAC0ALQAtAC0ALQAtAC0ALQAtAC0ALQAtAC0ALQAtAC0ALQAtAC0ALQAtAC0ALQAtAC0ALQAtAC0ALQAtAC0ALQAtAC0ALQAtAC0ALQAtAC0ALQAtAC0ALQAtAC0ALQAtAC0ALQAtAC0ALQAtAC0ALQAtAC0ALQAtAC0ALQAqAC8AXABuAFwAbgBEAFMAdABhAGMAawC7AyAAPQBcAG4ATABBAE0AQgBEAEEAKABcAG4AIAAgACAAIABhAHIAcgBhAHkAXwAxACwAXABuACAAIAAgACAAWwBhAHIAcgBhAHkAXwAyAF0ALABcAG4AIAAgACAAIABbAGEAcgByAGEAeQBfADMAXQAsAFwAbgAgACAAIAAgAFsAYQByAHIAYQB5AF8ANABdACwAXABuACAAIAAgACAAWwBwAGEAZABfAHcAaQB0AGgAXQAsAFwAbgBMAEUAVAAoAFwAbgAgACAAIAAgAC8ALwAgAFIAZQBxAHUAaQByAGUAZAAgAGEAcgByAGEAeQAgAGMAbwB1AG4AdABzAFwAbgAgACAAIAAgAGEALAAgACAAIAAgACAAIAAgACAAIAAgACAAIAAgACAAQwBPAFUATgBUAEEAKABhAHIAcgBhAHkAXwAxACkALABcAG4AIAAgACAAIABiACwAIAAgACAAIAAgACAAIAAgACAAIAAgACAAIAAgAEkARgAoAEkAUwBPAE0ASQBUAFQARQBEACgAYQByAHIAYQB5AF8AMgApACwAIAAwACwAIABDAE8AVQBOAFQAQQAoAGEAcgByAGEAeQBfADIAKQApACwAXABuAFwAbgAgACAAIAAgAC8ALwAgAE8AcAB0AGkAbwBuAGEAbAAgAGEAcgByAGEAeQAgAGMAbwB1AG4AdABzAFwAbgAgACAAIAAgAGMALAAgACAAIAAgACAAIAAgACAAIAAgACAAIAAgACAASQBGACgASQBTAE8ATQBJAFQAVABFAEQAKABhAHIAcgBhAHkAXwAzACkALAAgADAALAAgAEMATwBVAE4AVABBACgAYQByAHIAYQB5AF8AMwApACkALABcAG4AIAAgACAAIABkACwAIAAgACAAIAAgACAAIAAgACAAIAAgACAAIAAgAEkARgAoAEkAUwBPAE0ASQBUAFQARQBEACgAYQByAHIAYQB5AF8ANAApACwAIAAwACwAIABDAE8AVQBOAFQAQQAoAGEAcgByAGEAeQBfADQAKQApACwAXABuAFwAbgAgACAAIAAgAC8ALwAgAFMAdABhAGMAawBpAG4AZwAgAG0AbwBkAGUAcwBcAG4AIAAgACAAIAByAGUAcQAsACAAIAAgACAAIAAgACAAIAAgACAAIAAgAEEATgBEACgAYwAgAD0AIAAwACwAIABkACAAPQAgADAAKQAsAFwAbgAgACAAIAAgAEMAXwBvAG4AbAB5ACwAIAAgACAAIAAgACAAIAAgACAAQQBOAEQAKABjACAAPAA+ACAAMAAsACAAZAAgAD0AIAAwACkALABcAG4AIAAgACAAIABEAF8AbwBuAGwAeQAsACAAIAAgACAAIAAgACAAIAAgAEEATgBEACgAYwAgAD0AIAAwACwAIABkACAAPAA+ACAAMAApACwAXABuACAAIAAgACAAQQBsAGwALAAgACAAIAAgACAAIAAgACAAIAAgACAAIABBAE4ARAAoAGMAIAA8AD4AIAAwACwAIABkACAAPAA+ACAAMAApACwAXABuAFwAbgAgACAAIAAgAC8ALwAgAEgAYQBsAHQAaQBuAGcAIABzAGMAZQBuAGEAcgBpAG8AcwBcAG4AIAAgACAAIABFAG0AcAB0AHkAQQByAHIAPwAsACAAIAAgACAAIAAgAE8AUgAoAGEAIAA9ACAAMAAsACAAYgAgAD0AIAAwACkALABcAG4AXABuACAAIAAgACAALwAvACAAUwBjAGEAbABhAHIAIAB2AGEAbABpAGQAYQB0AGkAbwBuAFwAbgAgACAAIAAgAEMAbABhAG0AcAC7AywAIAAgACAAIAAgACAAIAAgACAATABBAE0AQgBEAEEAKABwAGEAcgBhAG0ALAAgAEEATgBEACgAcABhAHIAYQBtACAAPQAgADEALAAgAEkAUwBFAFIAUgBPAFIAKABwAGEAcgBhAG0AKQApACkALABcAG4AIAAgACAAIABTAGMAYQBsAGEAcgBFAHIAcgA/ACwAIAAgACAAIAAgAE8AUgAoAEMAbABhAG0AcAC7AygAYQApACwAIABDAGwAYQBtAHAAuwMoAGIAKQAsACAAQwBsAGEAbQBwALsDKABjACkALAAgAEMAbABhAG0AcAC7AygAZAApACkALABcAG4AXABuACAAIAAgACAALwAvACAATABvAGcAaQBjACAAZwBhAHQAZQBcAG4AIAAgACAAIABJAEYAKABFAG0AcAB0AHkAQQByAHIAPwAsACAAXAAiACMARQBNAFAAVABZAC0AQQBSAFIAQQBZACEAXAAiACwAXABuAFwAbgAgACAAIAAgACAAIAAgACAASQBGACgAUwBjAGEAbABhAHIARQByAHIAPwAsACAAXAAiACMAUwBDAEEATABBAFIALQBFAFIAUgBPAFIAIQBcACIALABcAG4AXABuAEwARQBUACgAXABuACAAIAAgACAALwAvACAAUABhAGQAZABpAG4AZwBcAG4AIAAgACAAIABwAGEAZABfAHcAaQB0AGgALAAgACAAIAAgACAAIAAgAEkARgAoAEkAUwBPAE0ASQBUAFQARQBEACgAcABhAGQAXwB3AGkAdABoACkALAAgAE4AQQAoACkALAAgAHAAYQBkAF8AdwBpAHQAaAApACwAXABuAFwAbgAgACAAIAAgAC8ALwAgAFQAcgBhAG4AcwBwAG8AcwBlAGQAIABsAGEAeQBlAHIAcwBcAG4AIAAgACAAIABhAEAdLAAgACAAIAAgACAAIAAgACAAIAAgACAAIAAgAFQAUgBBAE4AUwBQAE8AUwBFACgAYQByAHIAYQB5AF8AMQApACwAXABuACAAIAAgACAAYgBAHSwAIAAgACAAIAAgACAAIAAgACAAIAAgACAAIABUAFIAQQBOAFMAUABPAFMARQAoAGEAcgByAGEAeQBfADIAKQAsAFwAbgAgACAAIAAgAGMAQB0sACAAIAAgACAAIAAgACAAIAAgACAAIAAgACAASQBGACgAYwAsACAAVABSAEEATgBTAFAATwBTAEUAKABhAHIAcgBhAHkAXwAzACkALAAgADAAKQAsAFwAbgAgACAAIAAgAGQAQB0sACAAIAAgACAAIAAgACAAIAAgACAAIAAgACAASQBGACgAZAAsACAAVABSAEEATgBTAFAATwBTAEUAKABhAHIAcgBhAHkAXwA0ACkALAAgADAAKQAsAFwAbgBcAG4AIAAgACAAIAAvAC8AIABTAHQAYQBjAGsAIAB2AGEAcgBpAGEAbgB0AHMAXABuACAAIAAgACAAcgBlAHEAXwBzAHQAYQBjAGsALAAgACAAIAAgACAAIABIAFMAVABBAEMASwAoAGEAQB0sACAAYgBAHSkALABcAG4AIAAgACAAIABDAF8AbwBuAGwAeQBfAHMAdABhAGMAawAsACAAIAAgAEgAUwBUAEEAQwBLACgAYQBAHSwAIABiAEAdLAAgAGMAQB0pACwAXABuACAAIAAgACAARABfAG8AbgBsAHkAXwBzAHQAYQBjAGsALAAgACAAIABIAFMAVABBAEMASwAoAGEAQB0sACAAYgBAHSwAIABkAEAdKQAsAFwAbgAgACAAIAAgAGEAbABsAF8AcwB0AGEAYwBrACwAIAAgACAAIAAgACAASABTAFQAQQBDAEsAKABhAEAdLAAgAGIAQB0sACAAYwBAHSwAIABkAEAdKQAsAFwAbgBcAG4AIAAgACAAIAAvAC8AIABTAGUAbABlAGMAdAAgAGYAaQBuAGEAbAAgAHMAdABhAGMAawBcAG4AIAAgACAAIAByAGUAcwB1AGwAdAAsACAAIAAgACAAIAAgACAAIAAgAEkARgBFAFIAUgBPAFIAKABcAG4AIAAgACAAIAAgACAAIAAgACAAIAAgACAAIAAgACAAIAAgACAAIAAgACAAIAAgACAASQBGACgAcgBlAHEALAByAGUAcQBfAHMAdABhAGMAawAsAFwAbgAgACAAIAAgACAAIAAgACAAIAAgACAAIAAgACAAIAAgACAAIAAgACAAIAAgACAAIAAgACAAIAAgAEkARgAoAEMAXwBvAG4AbAB5ACwAQwBfAG8AbgBsAHkAXwBzAHQAYQBjAGsALABcAG4AIAAgACAAIAAgACAAIAAgACAAIAAgACAAIAAgACAAIAAgACAAIAAgACAAIAAgACAAIAAgACAAIAAgACAAIAAgAEkARgAoAEQAXwBvAG4AbAB5ACwARABfAG8AbgBsAHkAXwBzAHQAYQBjAGsALABcAG4AIAAgACAAIAAgACAAIAAgACAAIAAgACAAIAAgACAAIAAgACAAIAAgACAAIAAgACAAIAAgACAAIAAgACAAIAAgACAAIAAgACAASQBGACgAQQBsAGwALABhAGwAbABfAHMAdABhAGMAawAsACAARgBBAEwAUwBFACkAKQApACkALABwAGEAZABfAHcAaQB0AGgAKQAsAFwAbgBcAG4AIAAgACAAIAByAGUAcwB1AGwAdABcAG4AKQApACkAKQApADsAXABuAFwAbgBcAG4AXABuAC8AKgAgAFsAUwBBADAANwBdACAALQAtAC0ALQAtAC0ALQAtAC0ALQAtAC0ALQAtAC0ALQAtAC0ALQAtAC0ALQAtAC0ALQAtAC0ALQAtAC0ALQAtAC0ALQAtAC0ALQAtAC0ALQAtAC0ALQAtAC0ALQAtAC0ALQAtAC0ALQAtAC0ALQAtAC0ALQAtAC0ALQAtAC0ALQAtAC0ALQAtAC0ALQAtAC0ALQBcAG4ARgB1AG4AYwB0AGkAbwBuADoAIAAgACAAIAAgAFcAcgBhAHAAUgBvAHcAcwAyAEQAuwNcAG4AQwBhAHQAZQBnAG8AcgB5ADoAIAAgACAAIAAgADIARAAgAEEAcgByAGEAeQAgAFMAaABhAHAAaQBuAGcAXABuAEEAdQB0AGgAbwByADoAIAAgACAAIAAgACAAIABQAGEAdAByAGkAYwBrACAASAAuAFwAbgBWAGUAcgBzAGkAbwBuADoAIAAgACAAIAAgACAAMQAuADEAXABuAEQAZQBwAGUAbgBkAGUAbgBjAGkAZQBzADoAIABFAGMAaABvALsDXABuAFwAbgBEAGUAcwBjAHIAaQBwAHQAaQBvAG4AOgBcAG4AIAAgACAAIABXAHIAYQBwAHMAIABhACAAMgBEACAAYQByAHIAYQB5ACAAaQBuAHQAbwAgAHIAbwB3ACAAYgBsAG8AYwBrAHMAIABvAGYAIABhACAAcwBwAGUAYwBpAGYAaQBlAGQAIABoAGUAaQBnAGgAdAAgAHcAaABpAGwAZQAgAHAAcgBlAHMAZQByAHYAaQBuAGcAXABuACAAIAAgACAAYwBvAGwAdQBtAG4AIAB3AGkAZAB0AGgALgAgAFQAaABlACAAdwByAGEAcABwAGUAZAAgAGIAbABvAGMAawBzACAAYQByAGUAIABzAHQAYQBjAGsAZQBkACAAaABvAHIAaQB6AG8AbgB0AGEAbABsAHkAIABpAG4AIAB0AGgAZQAgAG8AdQB0AHAAdQB0AC4AXABuACAAIAAgACAASgBhAGcAZwBlAGQAIABvAHIAIABpAG4AYwBvAG0AcABsAGUAdABlACAAZgBpAG4AYQBsACAAYgBsAG8AYwBrAHMAIABhAHIAZQAgAHAAYQBkAGQAZQBkACAAdwBpAHQAaAAgAE4AQQAoACkAIAB1AG4AbABlAHMAcwAgAGEAIABmAGkAbABsAFwAbgAgACAAIAAgAHYAYQBsAHUAZQAgAGkAcwAgAHMAdQBwAHAAbABpAGUAZAAgAHYAaQBhACAAcABhAGQAXwB3AGkAdABoAC4AXABuAFwAbgBQAGEAcgBhAG0AZQB0AGUAcgBzADoAXABuACAAIAAgACAAYQByAHIAYQB5ACAAIAAgACAAIAAgACAAIAAtACAAUgBlAHEAdQBpAHIAZQBkACAAMgBEACAAYQByAHIAYQB5ACAAKAAxAEQAIABhAHIAcgBhAHkAcwAgAG4AbwB0ACAAcwB1AHAAcABvAHIAdABlAGQAKQAuAFwAbgAgACAAIAAgAG4AZQB3AF8AaABlAGkAZwBoAHQAIAAgACAALQAgAE4AdQBtAGIAZQByACAAbwBmACAAcgBvAHcAcwAgAGkAbgAgAGUAYQBjAGgAIAB3AHIAYQBwAHAAZQBkACAAYgBsAG8AYwBrAC4AXABuAFwAbgBPAHAAdABpAG8AbgBhAGwAOgBcAG4AIAAgACAAIABbAHAAYQBkAF8AdwBpAHQAaABdACAAIAAgAC0AIABGAGkAbABsACAAdgBhAGwAdQBlACAAdQBzAGUAZAAgAHQAbwAgAHAAYQBkACAAaQBuAGMAbwBtAHAAbABlAHQAZQAgAGIAbABvAGMAawBzAC4AIABEAGUAZgBhAHUAbAB0AHMAIAB0AG8AIABOAEEAKAApAC4AXABuAFwAbgBOAG8AdABlAHMAOgBcAG4AIAAgACAAIAAiICAATwB1AHQAcAB1AHQAIAB3AGkAZAB0AGgAIAA9ACAAYgBsAG8AYwBrAHMAIADXACAAbwByAGkAZwBpAG4AYQBsACAAdwBpAGQAdABoAC4AXABuACAAIAAgACAAIiAgAG4AZQB3AF8AaABlAGkAZwBoAHQAIABtAHUAcwB0ACAAYgBlACAAcwB0AHIAaQBjAHQAbAB5ACAAbABlAHMAcwAgAHQAaABhAG4AIAB0AGgAZQAgAGEAcgByAGEAeQAgAGgAZQBpAGcAaAB0AC4AXABuACAAIAAgACAAIiAgAFMAcABpAGwAbAAgAHIAaQBzAGsAIABpAHMAIABjAGgAZQBjAGsAZQBkACAAYQBnAGEAaQBuAHMAdAAgAEUAeABjAGUAbAAZIHMAIAAxADYALAAzADgANAARIGMAbwBsAHUAbQBuACAAbABpAG0AaQB0AC4AXABuAC0ALQAtAC0ALQAtAC0ALQAtAC0ALQAtAC0ALQAtAC0ALQAtAC0ALQAtAC0ALQAtAC0ALQAtAC0ALQAtAC0ALQAtAC0ALQAtAC0ALQAtAC0ALQAtAC0ALQAtAC0ALQAtAC0ALQAtAC0ALQAtAC0ALQAtAC0ALQAtAC0ALQAtAC0ALQAtAC0ALQAtAC0ALQAtAC0ALQAtAC0ALQAtACoALwBcAG4AXABuAFcAcgBhAHAAUgBvAHcAcwAyAEQAuwMgAD0AXABuAEwAQQBNAEIARABBACgAXABuACAAIAAgACAAYQByAHIAYQB5ACwAXABuACAAIAAgACAAbgBlAHcAXwBoAGUAaQBnAGgAdAAsAFwAbgAgACAAIAAgAFsAcABhAGQAXwB3AGkAdABoAF0ALABcAG4ATABFAFQAKABcAG4AIAAgACAAIAAvAC8AIABTAGgAYQBwAGUAXABuACAAIAAgACAAaAAsACAAIAAgACAAIAAgACAAIAAgACAAIAAgACAAIABSAE8AVwBTACgAYQByAHIAYQB5ACkALABcAG4AIAAgACAAIAB3ACwAIAAgACAAIAAgACAAIAAgACAAIAAgACAAIAAgAEMATwBMAFUATQBOAFMAKABhAHIAcgBhAHkAKQAsAFwAbgAgACAAIAAgAGIAbABvAGMAawBzACwAIAAgACAAIAAgACAAIAAgACAAQwBFAEkATABJAE4ARwAoAGgAIAAvACAAbgBlAHcAXwBoAGUAaQBnAGgAd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HcAaQBkAHQAaABcAG4AIAAgACAAIABjACwAIAAgACAAIAAgACAAIAAgACAAIAAgACAAIAAgAGIAbABvAGMAawBzACAAKgAgAHcALABcAG4AXABuACAAIAAgACAALwAvACAAUwBjAGUAbgBhAHIAaQBvAHMAXABuACAAIAAgACAASQBzADEARAA/ACwAIAAgACAAIAAgACAAIAAgACAAIABPAFIAKABoACAAPQAgADEALAAgAHcAIAA9ACAAMQApACwAXABuACAAIAAgACAASQBzAFMAYwBhAGwAYQByAD8ALAAgACAAIAAgACAAIABBAE4ARAAoAGgAIAA9ACAAMQAsACAAdwAgAD0AIAAxACkALABcAG4AIAAgACAAIABJAG4AdgBhAGwAaQBkAEQAaQBtAD8ALAAgACAAIAAgAG4AZQB3AF8AaABlAGkAZwBoAHQAIAA+AD0AIABoACwAXABuACAAIAAgACAAUwBwAGkAbABsAFIAaQBzAGsAPwAsACAAIAAgACAAIABjACAAPgAgADEANgAzADgANAAsAFwAbgBcAG4AIAAgACAAIAAvAC8AIABMAG8AZwBpAGMAIABnAGEAdABlAFwAbgAgACAAIAAgAEkARgAoAEkAcwBTAGMAYQBsAGEAcgA/ACwAIABcACIAIwBWAEEATABVAEUAIQBcACIALABcAG4AXABuACAAIAAgACAAIAAgACAAIABJAEYAKABJAHMAMQBEAD8ALAAgAFwAIgAjAFYAQQBMAFUARQAhAFwAIgAsAFwAbgBcAG4AIAAgACAAIAAgACAAIAAgACAAIAAgACAASQBGACgASQBuAHYAYQBsAGkAZABEAGkAbQA/ACwAIABcACIAIwBIAEUASQBHAEgAVAAhAFwAIgAsAFwAbgBcAG4AIAAgACAAIAAgACAAIAAgACAAIAAgACAAIAAgACAAIABJAEYAKABTAHAAaQBsAGwAUgBpAHMAawA/ACwAIABcACIAIwBOAFUATQAhAFwAIgAsAFwAbgBcAG4ATABFAFQAKABcAG4AIAAgACAAIAAvAC8AIABJAG4AZABpAGMAZQBzACAAKABkAGUAZgBlAHIAcgBlAGQAKQBcAG4AIAAgACAAIABpACwAIAAgACAAIAAgACAAIAAgACAAIAAgACAAIAAgAEwAQQBNAEIARABBACgAVABPAFIATwBXACgARQBjAGgAbwC7AygAUwBFAFEAVQBFAE4AQwBFACgALAAgAGIAbABvAGMAawBzACwAIAAxACwAIABuAGUAdwBfAGgAZQBpAGcAaAB0ACkALAAgAHcAKQApACAAXABuACAAIAAgACAAIAAgACAAIAAgACAAIAAgACAAIAAgACAAIAAgACAAIAAgACAAIAAgACAAIAAgACsAIABTAEUAUQBVAEUATgBDAEUAKABuAGUAdwBfAGgAZQBpAGcAaAB0ACwALAAgADAALAAgADEAKQApACwAXABuAFwAbgAgACAAIAAgAG0AbwBkAHUAbABvACwAIAAgACAAIAAgACAAIAAgACAATABBAE0AQgBEAEEAKABNAE8ARAAoAFMARQBRAFUARQBOAEMARQAoACwAIAB3ACAAKgAgAGIAbABvAGMAawBzACkALAAgAHcAKQApACwAXABuACAAIAAgACAAagAsACAAIAAgACAAIAAgACAAIAAgACAAIAAgACAAIABMAEEATQBCAEQAQQAoAEkARgAoAG0AbwBkAHUAbABvACgAKQAgAD0AIAAwACwAIAB3ACwAIABtAG8AZAB1AGwAbwAoACkAKQAgACoAIABTAEUAUQBVAEUATgBDAEUAKABuAGUAdwBfAGgAZQBpAGcAaAB0ACwALAAgADEALAAgADAAKQApACwAXABuAFwAbgAgACAAIAAgAC8ALwAgAFcAcgBhAHAAcABlAGQAIABhAHIAcgBhAHkAXABuACAAIAAgACAAcgBlAHMAdQBsAHQALAAgACAAIAAgACAAIAAgACAAIABJAEYARQBSAFIATwBSACgASQBOAEQARQBYACgAYQByAHIAYQB5ACwAIABpACgAKQAsACAAagAoACkAKQAsACAAcABhAGQAXwB3AGkAdABoACkALABcAG4AXABuACAAIAAgACAAcgBlAHMAdQBsAHQAXABuACkAKQApACkAKQApACkAOwBcAG4AXABuAFwAbgBcAG4ALwAqACAAWwBTAEEAMAA4AF0AIAAtAC0ALQAtAC0ALQAtAC0ALQAtAC0ALQAtAC0ALQAtAC0ALQAtAC0ALQAtAC0ALQAtAC0ALQAtAC0ALQAtAC0ALQAtAC0ALQAtAC0ALQAtAC0ALQAtAC0ALQAtAC0ALQAtAC0ALQAtAC0ALQAtAC0ALQAtAC0ALQAtAC0ALQAtAC0ALQAtAC0ALQAtAC0ALQAtAFwAbgBGAHUAbgBjAHQAaQBvAG4AOgAgACAAIAAgACAAVwByAGEAcABDAG8AbABzADIARAC7A1wAbgBDAGEAdABlAGcAbwByAHkAOgAgACAAIAAgACAAMgBEACAAQQByAHIAYQB5ACAAUwBoAGEAcABpAG4AZwBcAG4AQQB1AHQAaABvAHIAOgAgACAAIAAgACAAIAAgAFAAYQB0AHIAaQBjAGsAIABIAC4AXABuAFYAZQByAHMAaQBvAG4AOgAgACAAIAAgACAAIAAxAC4AMQBcAG4ARABlAHAAZQBuAGQAZQBuAGMAaQBlAHMAOgAgAEUAYwBoAG8AuwNcAG4AXABuAEQAZQBzAGMAcgBpAHAAdABpAG8AbgA6AFwAbgAgACAAIAAgAFcAcgBhAHAAcwAgAGEAIAAyAEQAIABhAHIAcgBhAHkAIABpAG4AdABvACAAYwBvAGwAdQBtAG4AIABiAGwAbwBjAGsAcwAgAG8AZgAgAGEAIABzAHAAZQBjAGkAZgBpAGUAZAAgAHcAaQBkAHQAaAAgAHcAaABpAGwAZQAgAHAAcgBlAHMAZQByAHYAaQBuAGcAXABuACAAIAAgACAAcgBvAHcAIABoAGUAaQBnAGgAdAAuACAAVABoAGUAIAB3AHIAYQBwAHAAZQBkACAAYgBsAG8AYwBrAHMAIABhAHIAZQAgAHMAdABhAGMAawBlAGQAIAB2AGUAcgB0AGkAYwBhAGwAbAB5ACAAaQBuACAAdABoAGUAIABvAHUAdABwAHUAdAAuAFwAbgAgACAAIAAgAEoAYQBnAGcAZQBkACAAbwByACAAaQBuAGMAbwBtAHAAbABlAHQAZQAgAGYAaQBuAGEAbAAgAGIAbABvAGMAawBzACAAYQByAGUAIABwAGEAZABkAGUAZAAgAHcAaQB0AGgAIABOAEEAKAApACAAdQBuAGwAZQBzAHMAIABhACAAZgBpAGwAbABcAG4AIAAgACAAIAB2AGEAbAB1AGUAIABpAHMAIABzAHUAcABwAGwAaQBlAGQAIAB2AGkAYQAgAHAAYQBkAF8AdwBpAHQAaAAuAFwAbgBcAG4AUABhAHIAYQBtAGUAdABlAHIAcwA6AFwAbgAgACAAIAAgAGEAcgByAGEAeQAgACAAIAAgACAAIAAgAC0AIABSAGUAcQB1AGkAcgBlAGQAIAAyAEQAIABhAHIAcgBhAHkAIAAoADEARAAgAGEAcgByAGEAeQBzACAAbgBvAHQAIABzAHUAcABwAG8AcgB0AGUAZAApAC4AXABuACAAIAAgACAAbgBlAHcAXwB3AGkAZAB0AGgAIAAgACAALQAgAE4AdQBtAGIAZQByACAAbwBmACAAYwBvAGwAdQBtAG4AcwAgAGkAbgAgAGUAYQBjAGgAIAB3AHIAYQBwAHAAZQBkACAAYgBsAG8AYwBrAC4AXABuAFwAbgBPAHAAdABpAG8AbgBhAGwAOgBcAG4AIAAgACAAIABbAHAAYQBkAF8AdwBpAHQAaABdACAAIAAtACAARgBpAGwAbAAgAHYAYQBsAHUAZQAgAHUAcwBlAGQAIAB0AG8AIABwAGEAZAAgAGkAbgBjAG8AbQBwAGwAZQB0AGUAIABiAGwAbwBjAGsAcwAuACAARABlAGYAYQB1AGwAdABzACAAdABvACAATgBBACgAKQAuAFwAbgBcAG4ATgBvAHQAZQBzADoAXABuACAAIAAgACAAIiAgAE8AdQB0AHAAdQB0ACAAaABlAGkAZwBoAHQAIAA9ACAAYgBsAG8AYwBrAHMAIADXACAAbwByAGkAZwBpAG4AYQBsACAAaABlAGkAZwBoAHQALgBcAG4AIAAgACAAIAAiICAAbgBlAHcAXwB3AGkAZAB0AGgAIABtAHUAcwB0ACAAYgBlACAAcwB0AHIAaQBjAHQAbAB5ACAAbABlAHMAcwAgAHQAaABhAG4AIAB0AGgAZQAgAGEAcgByAGEAeQAgAHcAaQBkAHQAaAAuAFwAbgAgACAAIAAgACIgIABTAHAAaQBsAGwAIAByAGkAcwBrACAAaQBzACAAYwBoAGUAYwBrAGUAZAAgAGEAZwBhAGkAbgBzAHQAIABFAHgAYwBlAGwAGSBzACAAMQAsADAANAA4ACwANQA3ADYAESByAG8AdwAgAGwAaQBtAGkAdAAuAFwAbgAtAC0ALQAtAC0ALQAtAC0ALQAtAC0ALQAtAC0ALQAtAC0ALQAtAC0ALQAtAC0ALQAtAC0ALQAtAC0ALQAtAC0ALQAtAC0ALQAtAC0ALQAtAC0ALQAtAC0ALQAtAC0ALQAtAC0ALQAtAC0ALQAtAC0ALQAtAC0ALQAtAC0ALQAtAC0ALQAtAC0ALQAtAC0ALQAtAC0ALQAtAC0ALQAqAC8AXABuAFwAbgBXAHIAYQBwAEMAbwBsAHMAMgBEALsDIAA9AFwAbgBMAEEATQBCAEQAQQAoAFwAbgAgACAAIAAgAGEAcgByAGEAeQAsAFwAbgAgACAAIAAgAG4AZQB3AF8AdwBpAGQAdABoACwAXABuACAAIAAgACAAWwBwAGEAZABfAHcAaQB0AGgAXQAsAFwAbgBMAEUAVAAoAFwAbgAgACAAIAAgAC8ALwAgAFMAaABhAHAAZQBcAG4AIAAgACAAIABoACwAIAAgACAAIAAgACAAIAAgACAAIAAgACAAIAAgAFIATwBXAFMAKABhAHIAcgBhAHkAKQAsAFwAbgAgACAAIAAgAHcALAAgACAAIAAgACAAIAAgACAAIAAgACAAIAAgACAAQwBPAEwAVQBNAE4AUwAoAGEAcgByAGEAeQApACwAXABuACAAIAAgACAAYgBsAG8AYwBrAHMALAAgACAAIAAgACAAIAAgACAAIABDAEUASQBMAEkATgBHACgAdwAgAC8AIABuAGUAdwBfAHcAaQBkAHQAa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GgAZQBpAGcAaAB0AFwAbgAgACAAIAAgAHIALAAgACAAIAAgACAAIAAgACAAIAAgACAAIAAgACAAYgBsAG8AYwBrAHMAIAAqACAAaAAsAFwAbgBcAG4AIAAgACAAIAAvAC8AIABTAGMAZQBuAGEAcgBpAG8AcwBcAG4AIAAgACAAIABJAHMAMQBEAD8ALAAgACAAIAAgACAAIAAgACAAIAAgAE8AUgAoAGgAIAA9ACAAMQAsACAAdwAgAD0AIAAxACkALABcAG4AIAAgACAAIABJAHMAUwBjAGEAbABhAHIAPwAsACAAIAAgACAAIAAgAEEATgBEACgAaAAgAD0AIAAxACwAIAB3ACAAPQAgADEAKQAsAFwAbgAgACAAIAAgAEkAbgB2AGEAbABpAGQARABpAG0APwAsACAAIAAgACAAbgBlAHcAXwB3AGkAZAB0AGgAIAA+AD0AIAB3ACwAXABuACAAIAAgACAAUwBwAGkAbABsAFIAaQBzAGsAPwAsACAAIAAgACAAIAByACAAPgAgADEAMAA0ADgANQA3ADYALABcAG4AXABuACAAIAAgACAALwAvACAATABvAGcAaQBjACAAZwBhAHQAZQBcAG4AIAAgACAAIABJAEYAKABJAHMAUwBjAGEAbABhAHIAPwAsACAAXAAiACMAVgBBAEwAVQBFACEAXAAiACwAXABuAFwAbgAgACAAIAAgACAAIAAgACAASQBGACgASQBzADEARAA/ACwAIABcACIAIwBWAEEATABVAEUAIQBcACIALABcAG4AXABuACAAIAAgACAAIAAgACAAIAAgACAAIAAgAEkARgAoAEkAbgB2AGEAbABpAGQARABpAG0APwAsACAAXAAiACMAVwBJAEQAVABIACEAXAAiACwAXABuAFwAbgAgACAAIAAgACAAIAAgACAAIAAgACAAIAAgACAAIAAgAEkARgAoAFMAcABpAGwAbABSAGkAcwBrAD8ALAAgAFwAIgAjAE4AVQBNACEAXAAiACwAXABuAFwAbgBMAEUAVAAoAFwAbgAgACAAIAAgAC8ALwAgAEkAbgBkAGkAYwBlAHMAIAAoAGQAZQBmAGUAcgByAGUAZAApAFwAbgAgACAAIAAgAG0AbwBkAHUAbABvACwAIAAgACAAIAAgACAAIAAgACAATABBAE0AQgBEAEEAKABNAE8ARAAoAFMARQBRAFUARQBOAEMARQAoAHIAKQAsACAAaAApACkALABcAG4AXABuACAAIAAgACAAaQAsACAAIAAgACAAIAAgACAAIAAgACAAIAAgACAAIABMAEEATQBCAEQAQQAoAEkARgAoAG0AbwBkAHUAbABvACgAKQAgAD0AIAAwACwAIABoACwAIABtAG8AZAB1AGwAbwAoACkAKQAgACoAIABTAEUAUQBVAEUATgBDAEUAKAAsACAAbgBlAHcAXwB3AGkAZAB0AGgALAAgADEALAAgADAAKQApACwAXABuAFwAbgAgACAAIAAgAGoALAAgACAAIAAgACAAIAAgACAAIAAgACAAIAAgACAATABBAE0AQgBEAEEAKABFAGMAaABvALsDKABTAEUAUQBVAEUATgBDAEUAKAByACAALwAgAGgALAAsACAAMQAsACAAbgBlAHcAXwB3AGkAZAB0AGgAKQAsACAAaAApAFwAbgAgACAAIAAgACAAIAAgACAAIAAgACAAIAAgACAAIAAgACAAIAAgACAAIAAgACAAIAAgACAAIAArACAAUwBFAFEAVQBFAE4AQwBFACgALAAgAG4AZQB3AF8AdwBpAGQAdABoACwAIAAwACwAIAAxACkAKQAsAFwAbgBcAG4AIAAgACAAIAAvAC8AIABXAHIAYQBwAHAAZQBkACAAYQByAHIAYQB5AFwAbgAgACAAIAAgAHIAZQBzAHUAbAB0ACwAIAAgACAAIAAgACAAIAAgACAASQBGAEUAUgBSAE8AUgAoAEkATgBEAEUAWAAoAGEAcgByAGEAeQAsACAAaQAoACkALAAgAGoAKAApACkALAAgAHAAYQBkAF8AdwBpAHQAaAApACwAXABuAFwAbgAgACAAIAAgAHIAZQBzAHUAbAB0AFwAbgApACkAKQApACkAKQApADsAXABuAFwAbgBcAG4AXABuAC8AKgAgAFsAUwBBADAAOQBdACAALQAtAC0ALQAtAC0ALQAtAC0ALQAtAC0ALQAtAC0ALQAtAC0ALQAtAC0ALQAtAC0ALQAtAC0ALQAtAC0ALQAtAC0ALQAtAC0ALQAtAC0ALQAtAC0ALQAtAC0ALQAtAC0ALQAtAC0ALQAtAC0ALQAtAC0ALQAtAC0ALQAtAC0ALQAtAC0ALQAtAC0ALQAtAC0ALQBcAG4ARgB1AG4AYwB0AGkAbwBuADoAIAAgACAAIAAgAFMAdABhAGkAcgBjAGEAcwBlALsDXABuAEMAYQB0AGUAZwBvAHIAeQA6ACAAIAAgACAAIAAyAEQAIABBAHIAcgBhAHkAIABTAGgAYQBwAGkAbgBnAFwAbgBBAHUAdABoAG8AcgA6ACAAIAAgACAAIAAgACAAUABhAHQAcgBpAGMAawAgAEgALgBcAG4AVgBlAHIAcwBpAG8AbgA6ACAAIAAgACAAIAAgADEALgAxAFwAbgBEAGUAcABlAG4AZABlAG4AYwBpAGUAcwA6ACAAVgBhAGwAaQBkAGEAdABlAFMAdABhAGkAcgBjAGEAcwBlALsDXABuAFwAbgBEAGUAcwBjAHIAaQBwAHQAaQBvAG4AOgBcAG4AIAAgACAAIABDAG8AbgBzAHQAcgB1AGMAdABzACAAZABpAGEAZwBvAG4AYQBsACAAcwB0AGEAaQByAGMAYQBzAGUAIABwAGEAdAB0AGUAcgBuAHMAIABmAHIAbwBtACAAYQAgAHYAZQBjAHQAbwByACAAbwByACAAMgBEACAAYQByAHIAYQB5AC4AIABUAGgAZQAgAGkAbgBwAHUAdABcAG4AIAAgACAAIABhAHIAcgBhAHkAIABpAHMAIABmAGwAYQB0AHQAZQBuAGUAZAAgAHIAbwB3ABEgdwBpAHMAZQAsACAAcABhAHIAdABpAHQAaQBvAG4AZQBkACAAaQBuAHQAbwAgAGIAbABvAGMAawBzACAAbwBmACAAcwBpAHoAZQAgAGIAbABvAGMAawBfAHMAaQB6AGUALAAgAGEAbgBkAFwAbgAgACAAIAAgAGEAcgByAGEAbgBnAGUAZAAgAGkAbgB0AG8AIABkAGkAYQBnAG8AbgBhAGwAIABcACIAcwB0AGUAcABzAFwAIgAuACAATwBwAHQAaQBvAG4AYQBsACAAcABhAHIAYQBtAGUAdABlAHIAcwAgAGMAbwBuAHQAcgBvAGwAIABiAGwAbwBjAGsAIABzAHAAYQBjAGkAbgBnACwAXABuACAAIAAgACAAaABvAHIAaQB6AG8AbgB0AGEAbAAvAHYAZQByAHQAaQBjAGEAbAAgAG8AcgBpAGUAbgB0AGEAdABpAG8AbgAsACAAYQBuAGQAIABhAG4AdABpABEgZABpAGEAZwBvAG4AYQBsACAAbABhAHkAbwB1AHQALgBcAG4AXABuAFAAYQByAGEAbQBlAHQAZQByAHMAOgBcAG4AIAAgACAAIABhAHIAcgBhAHkAIAAgACAAIAAgACAAIAAgACAAIAAgAC0AIABJAG4AcAB1AHQAIABhAHIAcgBhAHkAIAAoAGYAbABhAHQAdABlAG4AZQBkACAAcgBvAHcAESB3AGkAcwBlACkALgBcAG4AIAAgACAAIABiAGwAbwBjAGsAXwBzAGkAegBlACAAIAAgACAAIAAgAC0AIABSAG8AdwBzAC8AYwBvAGwAdQBtAG4AcwAgAGkAbgAgAGUAYQBjAGgAIABzAHQAYQBpAHIAYwBhAHMAZQAgAGIAbABvAGMAawAuAFwAbgAgACAAIAAgAFsAYgBsAG8AYwBrAF8AbwBmAGYAcwBlAHQAXQAgACAALQAgAE8AcAB0AGkAbwBuAGEAbAAgAHMAcABhAGMAaQBuAGcAIABiAGUAdAB3AGUAZQBuACAAcwB0AGEAaQByAGMAYQBzAGUAIABiAGwAbwBjAGsAcwAuAFwAbgAgACAAIAAgAFsASQBzAEgAbwByAGkAegBvAG4AdABhAGwAPwBdACAALQAgAE8AcAB0AGkAbwBuAGEAbAAgAHQAbwBnAGcAbABlACAAZgBvAHIAIABjAG8AbAB1AG0AbgARIHcAaQBzAGUAIABvAHIAaQBlAG4AdABhAHQAaQBvAG4ALgBcAG4AIAAgACAAIABbAEkAcwBBAG4AdABpAEQAaQBhAGcAPwBdACAAIAAgAC0AIABPAHAAdABpAG8AbgBhAGwAIAB0AG8AZwBnAGwAZQAgAGYAbwByACAAYQBuAHQAaQARIGQAaQBhAGcAbwBuAGEAbAAgAGwAYQB5AG8AdQB0AC4AXABuAFwAbgBOAG8AdABlAHMAOgBcAG4AIAAgACAAIAAiICAASQBuAHAAdQB0ACAAaQBzACAAZgBsAGEAdAB0AGUAbgBlAGQAIAB1AHMAaQBuAGcAIABUAE8AQwBPAEwALgBcAG4AIAAgACAAIAAiICAAYgBsAG8AYwBrAF8AbwBmAGYAcwBlAHQAIABkAGUAZgBhAHUAbAB0AHMAIAB0AG8AIAAwAC4AXABuACAAIAAgACAAIiAgAE8AcgBpAGUAbgB0AGEAdABpAG8AbgAgAGQAZQBmAGEAdQBsAHQAcwAgAHQAbwAgAHYAZQByAHQAaQBjAGEAbAAgAHUAbgBsAGUAcwBzACAASQBzAEgAbwByAGkAegBvAG4AdABhAGwAPwAgAGkAcwAgAHAAcgBvAHYAaQBkAGUAZAAuAFwAbgAtAC0ALQAtAC0ALQAtAC0ALQAtAC0ALQAtAC0ALQAtAC0ALQAtAC0ALQAtAC0ALQAtAC0ALQAtAC0ALQAtAC0ALQAtAC0ALQAtAC0ALQAtAC0ALQAtAC0ALQAtAC0ALQAtAC0ALQAtAC0ALQAtAC0ALQAtAC0ALQAtAC0ALQAtAC0ALQAtAC0ALQAtAC0ALQAtAC0ALQAtAC0ALQAqAC8AXABuAFwAbgBTAHQAYQBpAHIAYwBhAHMAZQC7AyAAPQBcAG4ATABBAE0AQgBEAEEAKABcAG4AIAAgACAAIABhAHIAcgBhAHkALABcAG4AIAAgACAAIABiAGwAbwBjAGsAXwBzAGkAegBlACwAXABuACAAIAAgACAAWwBiAGwAbwBjAGsAXwBvAGYAZgBzAGUAdABdACwAXABuACAAIAAgACAAWwBJAHMASABvAHIAaQB6AG8AbgB0AGEAbAA/AF0ALABcAG4AIAAgACAAIABbAEkAcwBBAG4AdABpAEQAaQBhAGcAPwBdACwAXABuAFwAbgBWAGEAbABpAGQAYQB0AGUAUwB0AGEAaQByAGMAYQBzAGUAuwMoAGEAcgByAGEAeQAsACAAYgBsAG8AYwBrAF8AcwBpAHoAZQAsACAAYgBsAG8AYwBrAF8AbwBmAGYAcwBlAHQALABcAG4AXABuAEwARQBUACgAXABuACAAIAAgACAALwAvACAATwBwAHQAaQBvAG4AYQBsACAAcABhAHIAYQBtAGUAdABlAHIAcwBcAG4AIAAgACAAIABOAG8ATwBmAGYAcwBlAHQAPwAsACAAIAAgACAAIAAgACAAIAAgACAASQBTAE8ATQBJAFQAVABFAEQAKABiAGwAbwBjAGsAXwBvAGYAZgBzAGUAdAApACwAXABuACAAIAAgACAAWgBlAHIAbwBPAGYAZgBzAGUAdAA/ACwAIAAgACAAIAAgACAAIAAgAGIAbABvAGMAawBfAG8AZgBmAHMAZQB0ACAAPQAgADAALABcAG4AIAAgACAAIABjAG8AbABfAG8AZgBmAHMAZQB0ACwAIAAgACAAIAAgACAAIAAgACAASQBGACgATgBvAE8AZgBmAHMAZQB0AD8ALAAgADAALAAgAGIAbABvAGMAawBfAG8AZgBmAHMAZQB0ACkALABcAG4AXABuACAAIAAgACAASQBzAFYAZQByAHQAaQBjAGEAbAA/ACwAIAAgACAAIAAgACAAIAAgAEkAUwBPAE0ASQBUAFQARQBEACgASQBzAEgAbwByAGkAegBvAG4AdABhAGwAPwApACwAXABuACAAIAAgACAATgBvAEEAbgB0AGkARABpAGEAZwA/ACwAIAAgACAAIAAgACAAIAAgAEkAUwBPAE0ASQBUAFQARQBEACgASQBzAEEAbgB0AGkARABpAGEAZwA/ACkALABcAG4AXABuACAAIAAgACAALwAvACAARgBsAGEAdAB0AGUAbgAgAGkAbgBwAHUAdABcAG4AIAAgACAAIABmAGwAYQB0ACwAIAAgACAAIAAgACAAIAAgACAAIAAgACAAIAAgACAAVABPAEMATwBMACgAYQByAHIAYQB5ACkALABcAG4AIAAgACAAIABrACwAIAAgACAAIAAgACAAIAAgACAAIAAgACAAIAAgACAAIAAgACAAQwBPAFUATgBUAEEAKABmAGwAYQB0ACkALABcAG4AIAAgACAAIABzAGUAcQAsACAAIAAgACAAIAAgACAAIAAgACAAIAAgACAAIAAgACAATABBAE0AQgBEAEEAKABTAEUAUQBVAEUATgBDAEUAKABrACkAKQAsAFwAbgBcAG4AIAAgACAAIAAvAC8AIABQAGEAcgB0AGkAdABpAG8AbgAgAGkAbgB0AG8AIABiAGwAbwBjAGsAcwBcAG4AIAAgACAAIABWACwAIAAgACAAIAAgACAAIAAgACAAIAAgACAAIAAgACAAIAAgACAAVABPAFIATwBXACgARQBYAFAAQQBOAEQAKABXAFIAQQBQAFIATwBXAFMAKABzAGUAcQAoACkALAAgAGIAbABvAGMAawBfAHMAaQB6AGUAKQAsACwAYgBsAG8AYwBrAF8AcwBpAHoAZQAgACsAIABiAGwAbwBjAGsAXwBvAGYAZgBzAGUAdAAsADAAKQApACwAXABuAFwAbgAgACAAIAAgAHcAaQBkAHQAaAAsACAAIAAgACAAIAAgACAAIAAgACAAIAAgACAAIABDAE8ATABVAE0ATgBTACgAVgApACwAXABuAFwAbgAgACAAIAAgAC8ALwAgAEEAbgBjAGgAbwByAHMAIABhAG4AZAAgAGkAbgBkAGkAYwBlAHMAXABuACAAIAAgACAAaQAsACAAIAAgACAAIAAgACAAIAAgACAAIAAgACAAIAAgACAAIAAgAEwAQQBNAEIARABBACgAUwBFAFEAVQBFAE4AQwBFACgAYgBsAG8AYwBrAF8AcwBpAHoAZQApACAAKgAgAFMARQBRAFUARQBOAEMARQAoACwAIAB3AGkAZAB0AGgALAAgADEALAAgADAAKQApACwAXABuAFwAbgAgACAAIAAgAGMAbwBsAF8AYQByAHIALAAgACAAIAAgACAAIAAgACAAIAAgACAAIABMAEEATQBCAEQAQQAoAFwAbgAgACAAIAAgACAAIAAgACAAIAAgACAAIAAgACAAIAAgACAAIAAgACAAIAAgACAAIAAgACAAIAAgAEkARgAoAE4AbwBBAG4AdABpAEQAaQBhAGcAPwAsAFwAbgAgACAAIAAgACAAIAAgACAAIAAgACAAIAAgACAAIAAgACAAIAAgACAAIAAgACAAIAAgACAAIAAgACAAIAAgAFMARQBRAFUARQBOAEMARQAoACwAIAB3AGkAZAB0AGgAKQAsAFwAbgAgACAAIAAgACAAIAAgACAAIAAgACAAIAAgACAAIAAgACAAIAAgACAAIAAgACAAIAAgACAAIAAgACAAIAAgAFMARQBRAFUARQBOAEMARQAoACwAIAB3AGkAZAB0AGgALAAgAHcAaQBkAHQAaAAsACAALQAxACkAKQApACwAXABuAFwAbgAgACAAIAAgAGoALAAgACAAIAAgACAAIAAgACAAIAAgACAAIAAgACAAIAAgACAAIABMAEEATQBCAEQAQQAoAE0ATwBEACgAYwBvAGwAXwBhAHIAcgAoACkALAAgAGIAbABvAGMAawBfAHMAaQB6AGUAIAArACAAYgBsAG8AYwBrAF8AbwBmAGYAcwBlAHQAKQApACwAXABuAFwAbgAgACAAIAAgAGoAXwAsACAAIAAgACAAIAAgACAAIAAgACAAIAAgACAAIAAgACAAIABMAEEATQBCAEQAQQAoAEkARgAoAE8AUgAoAE4AbwBPAGYAZgBzAGUAdAA/ACwAIABaAGUAcgBvAE8AZgBmAHMAZQB0AD8AKQAsAFwAbgAgACAAIAAgACAAIAAgACAAIAAgACAAIAAgACAAIAAgACAAIAAgACAAIAAgACAAIAAgACAAIAAgACAAIAAgACAASQBGACgAagAoACkAIAA9ACAAMAAsACAAYgBsAG8AYwBrAF8AcwBpAHoAZQAsACAAagAoACkAKQAsAFwAbgAgACAAIAAgACAAIAAgACAAIAAgACAAIAAgACAAIAAgACAAIAAgACAAIAAgACAAIAAgACAAIAAgACAAIAAgACAAagAoACkAKQApACwAXABuAFwAbgAgACAAIAAgAGkAZAB4ACwAIAAgACAAIAAgACAAIAAgACAAIAAgACAAIAAgACAAIABMAEEATQBCAEQAQQAoAEkARgAoAGkAKAApACAAPQAgAGoAXwAoACkALAAgAFYALAAgAE4AQQAoACkAKQApACwAXABuAFwAbgAgACAAIAAgAC8ALwAgAEUAeAB0AHIAYQBjAHQAIABzAHQAYQBpAHIAYwBhAHMAZQBcAG4AIAAgACAAIAByAGUAcwB1AGwAdAAsACAAIAAgACAAIAAgACAAIAAgACAAIAAgACAARABSAE8AUAAoAEkARgBOAEEAKABJAE4ARABFAFgAKABmAGwAYQB0ACwAIABpAGQAeAAoACkAKQAsACAAXAAiAFwAIgApACwALAAgAC0AYwBvAGwAXwBvAGYAZgBzAGUAdAApACwAXABuAFwAbgAgACAAIAAgAGYAaQBuAGEAbAAsACAAIAAgACAAIAAgACAAIAAgACAAIAAgACAAIABJAEYAKABJAHMAVgBlAHIAdABpAGMAYQBsAD8ALAAgAFQAUgBBAE4AUwBQAE8AUwBFACgAcgBlAHMAdQBsAHQAKQAsACAAcgBlAHMAdQBsAHQAKQAsAFwAbgBcAG4AIAAgACAAIABmAGkAbgBhAGwAXABuACkAKQApADsAXABuAFwAbgBcAG4AXABuAC8AKgAgAFsAUwBBAC0AQwBPAFIARQBdACAALQAtAC0ALQAtAC0ALQAtAC0ALQAtAC0ALQAtAC0ALQAtAC0ALQAtAC0ALQAtAC0ALQAtAC0ALQAtAC0ALQAtAC0ALQAtAC0ALQAtAC0ALQAtAC0ALQAtAC0ALQAtAC0ALQAtAC0ALQAtAC0ALQAtAC0ALQAtAC0ALQAtAC0ALQAtAC0ALQAtAC0ALQAtAFwAbgBGAHUAbgBjAHQAaQBvAG4AOgAgACAAIAAgACAAVgBhAGwAaQBkAGEAdABlAFMAdABhAGkAcgBjAGEAcwBlALsDXABuAEMAYQB0AGUAZwBvAHIAeQA6ACAAIAAgACAAIAAyAEQAIABBAHIAcgBhAHkAIABTAGgAYQBwAGkAbgBnACAAKABWAGEAbABpAGQAYQB0AGkAbwBuACkAXABuAEEAdQB0AGgAbwByADoAIAAgACAAIAAgACAAIABQAGEAdAByAGkAYwBrACAASAAuAFwAbgBWAGUAcgBzAGkAbwBuADoAIAAgACAAIAAgACAAMQAuADEAXABuAFwAbgBEAGUAcwBjAHIAaQBwAHQAaQBvAG4AOgBcAG4AIAAgACAAIABWAGEAbABpAGQAYQB0AGkAbwBuACAAaABlAGwAcABlAHIAIABmAG8AcgAgAFMAdABhAGkAcgBjAGEAcwBlALsDLgAgAEUAbgBzAHUAcgBlAHMAIABhAHIAcgBhAHkAIABpAHMAIAB2AGEAbABpAGQALAAgAGIAbABvAGMAawBfAHMAaQB6AGUAIABpAHMAXABuACAAIAAgACAAcABvAHMAaQB0AGkAdgBlACAAYQBuAGQAIABkAG8AZQBzACAAbgBvAHQAIABlAHgAYwBlAGUAZAAgAGEAcgByAGEAeQAgAGwAZQBuAGcAdABoACwAIABhAG4AZAAgAGIAbABvAGMAawBfAG8AZgBmAHMAZQB0ACAAaQBzACAAbgBvAG4AESBuAGUAZwBhAHQAaQB2AGUALgBcAG4AXABuAFAAYQByAGEAbQBlAHQAZQByAHMAOgBcAG4AIAAgACAAIABhAHIAcgBhAHkAIAAgACAAIAAgACAAIAAgACAAIAAgAC0AIABJAG4AcAB1AHQAIABhAHIAcgBhAHkALgBcAG4AIAAgACAAIABiAGwAbwBjAGsAXwBzAGkAegBlACAAIAAgACAAIAAgAC0AIABSAGUAcQB1AGkAcgBlAGQAIABiAGwAbwBjAGsAIABzAGkAegBlAC4AXABuACAAIAAgACAAWwBiAGwAbwBjAGsAXwBvAGYAZgBzAGUAdABdACAAIAAtACAATwBwAHQAaQBvAG4AYQBsACAAcwBwAGEAYwBpAG4AZwAgAGIAZQB0AHcAZQBlAG4AIABiAGwAbwBjAGsAcwAuAFwAbgAgACAAIAAgAFsAbwBuAF8AdgBhAGwAaQBkAF0AIAAgACAAIAAgACAALQAgAEUAeABwAHIAZQBzAHMAaQBvAG4AIAB0AG8AIABlAHYAYQBsAHUAYQB0AGUAIAB3AGgAZQBuACAAdgBhAGwAaQBkAGEAdABpAG8AbgAgAHAAYQBzAHMAZQBzAC4AXABuAC0ALQAtAC0ALQAtAC0ALQAtAC0ALQAtAC0ALQAtAC0ALQAtAC0ALQAtAC0ALQAtAC0ALQAtAC0ALQAtAC0ALQAtAC0ALQAtAC0ALQAtAC0ALQAtAC0ALQAtAC0ALQAtAC0ALQAtAC0ALQAtAC0ALQAtAC0ALQAtAC0ALQAtAC0ALQAtAC0ALQAtAC0ALQAtAC0ALQAtAC0ALQAtACoALwBcAG4AXABuAFYAYQBsAGkAZABhAHQAZQBTAHQAYQBpAHIAYwBhAHMAZQC7AyAAPQBcAG4ATABBAE0AQgBEAEEAKABcAG4AIAAgACAAIABhAHIAcgBhAHkALABcAG4AIAAgACAAIABiAGwAbwBjAGsAXwBzAGkAegBlACwAXABuACAAIAAgACAAWwBiAGwAbwBjAGsAXwBvAGYAZgBzAGUAdABdACwAXABuACAAIAAgACAAWwBvAG4AXwB2AGEAbABpAGQAXQAsAFwAbgBMAEUAVAAoAFwAbgAgACAAIAAgAC8ALwAgAEMAaABlAGMAawBzAFwAbgAgACAAIAAgAE4AbwB0AEEAcgByAGEAeQA/ACwAIAAgACAAIAAgACAAIAAgACAAIAAgACAAIAAgAFQAWQBQAEUAKABhAHIAcgBhAHkAKQAgADwAPgAgADYANAAsAFwAbgBcAG4AIAAgACAAIABJAG4AdgBhAGwAaQBkAEIAbABvAGMAawBTAGkAegBlAD8ALAAgACAAIAAgACAAIABPAFIAKABJAFMAVABFAFgAVAAoAGIAbABvAGMAawBfAHMAaQB6AGUAKQAsAFwAbgAgACAAIAAgACAAIAAgACAAIAAgACAAIAAgACAAIAAgACAAIAAgACAAIAAgACAAIAAgACAAIAAgACAAIAAgAGIAbABvAGMAawBfAHMAaQB6AGUAIAA8AD0AIAAwACwAXABuACAAIAAgACAAIAAgACAAIAAgACAAIAAgACAAIAAgACAAIAAgACAAIAAgACAAIAAgACAAIAAgACAAIAAgACAAYgBsAG8AYwBrAF8AcwBpAHoAZQAgAD4AIABDAE8AVQBOAFQAQQAoAGEAcgByAGEAeQApACkALABcAG4AXABuACAAIAAgACAASQBuAHYAYQBsAGkAZABCAGwAbwBjAGsATwBmAGYAcwBlAHQAPwAsACAAIAAgACAATwBSACgASQBTAFQARQBYAFQAKABiAGwAbwBjAGsAXwBvAGYAZgBzAGUAdAApACwAYgBsAG8AYwBrAF8AbwBmAGYAcwBlAHQAIAA8ACAAMAApACwAXABuAFwAbgAgACAAIAAgAC8ALwAgAEwAbwBnAGkAYwAgAGcAYQB0AGUAXABuACAAIAAgACAASQBGACgATgBvAHQAQQByAHIAYQB5AD8ALAAgACAAIAAgACAAIAAgACAAIAAgACAAIAAgAFwAIgAjAE4ATwBUAC0AQQBSAFIAQQBZACEAXAAiACwAXABuAFwAbgAgACAAIAAgACAAIAAgACAASQBGACgASQBuAHYAYQBsAGkAZABCAGwAbwBjAGsAUwBpAHoAZQA/ACwAIAAgAFwAIgAjAEIATABPAEMASwAtAFMASQBaAEUAIQBcACIALABcAG4AXABuACAAIAAgACAAIAAgACAAIAAgACAAIAAgAEkARgAoAEkAbgB2AGEAbABpAGQAQgBsAG8AYwBrAE8AZgBmAHMAZQB0AD8ALAAgAFwAIgAjAEIATABPAEMASwAtAE8ARgBGAFMARQBUACEAXAAiACwAXABuAFwAbgAgACAAIAAgACAAIAAgACAAIAAgACAAIAAgACAAIAAgAG8AbgBfAHYAYQBsAGkAZABcAG4AIAAgACAAIAAgACAAIAAgACAAIAAgACAAKQApACkAKQApADsAXABuAFwAbgBcAG4AXABuAC8AKgAgAFsAUwBBADEAMABdACAALQAtAC0ALQAtAC0ALQAtAC0ALQAtAC0ALQAtAC0ALQAtAC0ALQAtAC0ALQAtAC0ALQAtAC0ALQAtAC0ALQAtAC0ALQAtAC0ALQAtAC0ALQAtAC0ALQAtAC0ALQAtAC0ALQAtAC0ALQAtAC0ALQAtAC0ALQAtAC0ALQAtAC0ALQAtAC0ALQAtAC0ALQAtAC0ALQBcAG4ARgB1AG4AYwB0AGkAbwBuADoAIAAgACAAIAAgAFUAbgBQAGkAdgBvAHQAuwNcAG4AQwBhAHQAZQBnAG8AcgB5ADoAIAAgACAAIAAgADIARAAgAEEAcgByAGEAeQAgAFMAaABhAHAAaQBuAGcAXABuAEEAdQB0AGgAbwByADoAIAAgACAAIAAgACAAIABQAGEAdAByAGkAYwBrACAASAAuAFwAbgBWAGUAcgBzAGkAbwBuADoAIAAgACAAIAAgACAAMQAuADEAXABuAEQAZQBwAGUAbgBkAGUAbgBjAGkAZQBzADoAIABSAGUAcABlAGEAdABSAG8AdwBzALsDLAAgAFIAZQBzAGkAegBlALsDLAAgAEkAbgBzAHUAbABhAHQAZQBSAG8AdwBzALsDXABuAFwAbgBEAGUAcwBjAHIAaQBwAHQAaQBvAG4AOgBcAG4AIAAgACAAIABDAG8AbgB2AGUAcgB0AHMAIABhACAAYQByAHIAYQB5AF8AMgBEACAAaQBuAHQAbwAgAGEAIABmAGwAYQB0AHQAZQBuAGUAZAAgAHIAbwB3ABEgdwBpAHMAZQAgAHQAYQBiAGwAZQAgAGIAeQAgAHAAcgBvAHYAaQBkAGkAbgBnACAAcgBvAHcAIABsAGEAYgBlAGwAcwAsAFwAbgAgACAAIAAgAGMAbwBsAHUAbQBuACAAbABhAGIAZQBsAHMALAAgAGEAbgBkACAAYQAgAHYAYQBsAHUAZQAgAGEAcgByAGEAeQBfADIARAAuACAATwBwAHQAaQBvAG4AYQBsACAAZgBpAGwAdABlAHIAaQBuAGcAIAByAGUAbQBvAHYAZQBzACAAYgBsAGEAbgBrAHMALABcAG4AIAAgACAAIABlAHIAcgBvAHIAcwAsACAAYQBuAGQAIAB6AGUAcgBvAHMALgBcAG4AXABuAFAAYQByAGEAbQBlAHQAZQByAHMAOgBcAG4AIAAgACAAIAByAG8AdwBzACAAIAAgACAAIAAgACAAIAAtACAAVgBlAHIAdABpAGMAYQBsACAAYQByAHIAYQB5ACAAbwBmACAAcgBvAHcAIABsAGEAYgBlAGwAcwAuAFwAbgAgACAAIAAgAGMAbwBsAHUAbQBuAHMAIAAgACAAIAAgAC0AIABIAG8AcgBpAHoAbwBuAHQAYQBsACAAYQByAHIAYQB5ACAAbwBmACAAYwBvAGwAdQBtAG4AIABsAGEAYgBlAGwAcwAuAFwAbgAgACAAIAAgAHYAYQBsAHUAZQBzACAAIAAgACAAIAAgAC0AIABhAHIAcgBhAHkAXwAyAEQAIABvAGYAIAB2AGEAbAB1AGUAcwAgAHQAbwAgAHUAbgBwAGkAdgBvAHQALgBcAG4AIAAgACAAIABbAGkAZwBuAG8AcgBlAF0AIAAgACAAIAAtACAATwBwAHQAaQBvAG4AYQBsADoAIABpAGYAIABUAFIAVQBFACwAIAByAGUAbQBvAHYAZQAgAGIAbABhAG4AawBzACwAIABlAHIAcgBvAHIAcwAsACAAYQBuAGQAIAB6AGUAcgBvAHMALgBcAG4AXABuAE4AbwB0AGUAcwA6AFwAbgAgACAAIAAgACIgIAByAG8AdwBzACAAbQB1AHMAdAAgAG0AYQB0AGMAaAAgAHQAaABlACAAaABlAGkAZwBoAHQAIABvAGYAIAB2AGEAbAB1AGUAcwAuAFwAbgAgACAAIAAgACIgIABjAG8AbAB1AG0AbgBzACAAbQB1AHMAdAAgAG0AYQB0AGMAaAAgAHQAaABlACAAdwBpAGQAdABoACAAbwBmACAAdgBhAGwAdQBlAHMALgBcAG4AIAAgACAAIAAiICAATwB1AHQAcAB1AHQAIABpAHMAIABhACAAMwARIGMAbwBsAHUAbQBuACAAdABhAGIAbABlADoAIAB7AHIAbwB3AF8AbABhAGIAZQBsACwAIABjAG8AbAB1AG0AbgBfAGwAYQBiAGUAbAAsACAAdgBhAGwAdQBlAH0ALgBcAG4ALQAtAC0ALQAtAC0ALQAtAC0ALQAtAC0ALQAtAC0ALQAtAC0ALQAtAC0ALQAtAC0ALQAtAC0ALQAtAC0ALQAtAC0ALQAtAC0ALQAtAC0ALQAtAC0ALQAtAC0ALQAtAC0ALQAtAC0ALQAtAC0ALQAtAC0ALQAtAC0ALQAtAC0ALQAtAC0ALQAtAC0ALQAtAC0ALQAtAC0ALQAtAC0AKgAvAFwAbgBcAG4AVQBuAFAAaQB2AG8AdAC7AyAAPQBcAG4ATABBAE0AQgBEAEEAKABcAG4AIAAgACAAIAByAG8AdwBzACwAXABuACAAIAAgACAAYwBvAGwAdQBtAG4AcwAsAFwAbgAgACAAIAAgAHYAYQBsAHUAZQBzACwAXABuACAAIAAgACAAWwBpAGcAbgBvAHIAZQBdACwAXABuAEwARQBUACgAXABuACAAIAAgACAALwAvACAARABpAG0AZQBuAHMAaQBvAG4AcwBcAG4AIAAgACAAIABoACwAIAAgACAAIAAgACAAIAAgACAAIAAgACAAIAAgAFIATwBXAFMAKAByAG8AdwBzACkALABcAG4AIAAgACAAIAB3ACwAIAAgACAAIAAgACAAIAAgACAAIAAgACAAIAAgAEMATwBMAFUATQBOAFMAKABjAG8AbAB1AG0AbgBzACkALABcAG4AXABuACAAIAAgACAAaABfAHYALAAgACAAIAAgACAAIAAgACAAIAAgACAAIABSAE8AVwBTACgAdgBhAGwAdQBlAHMAKQAsAFwAbgAgACAAIAAgAHcAXwB2ACwAIAAgACAAIAAgACAAIAAgACAAIAAgACAAQwBPAEwAVQBNAE4AUwAoAHYAYQBsAHUAZQBzACkALABcAG4AXABuACAAIAAgACAALwAvACAAUwBjAGUAbgBhAHIAaQBvAHMAXABuACAAIAAgACAASQBzAFMAYwBhAGwAYQByAD8ALAAgACAAIAAgACAAIABBAE4ARAAoAGgAIAA9ACAAMQAsACAAdwAgAD0AIAAxACwAIABoAF8AdgAgAD0AIAAxACwAIAB3AF8AdgAgAD0AIAAxACkALABcAG4AIAAgACAAIABOAG8AUABpAHYAbwB0AD8ALAAgACAAIAAgACAAIAAgAHcAXwB2ACAAPQAgADEALABcAG4AXABuACAAIAAgACAAUgBvAHcATQBpAHMAbQBhAHQAYwBoAD8ALAAgACAAIABoACAAPAA+ACAAaABfAHYALABcAG4AIAAgACAAIABDAG8AbABNAGkAcwBtAGEAdABjAGgAPwAsACAAIAAgAHcAIAA8AD4AIAB3AF8AdgAsAFwAbgBcAG4AIAAgACAAIABTAHAAaQBsAGwAUgBpAHMAawA/ACwAIAAgACAAIAAgAGgAXwB2ACAAKgAgAHcAXwB2ACAAPgAgADEAMAA0ADgANQA3ADYALABcAG4AXABuACAAIAAgACAALwAvACAAUwBjAGEAbABhAHIAIABwAGEAcwBzAHQAaAByAG8AdQBnAGgAXABuACAAIAAgACAATwByAGkAZwBEAGEAdABhACwAIAAgACAAIAAgACAAIABIAFMAVABBAEMASwAoAHIAbwB3AHMALAAgAGMAbwBsAHUAbQBuAHMALAAgAHYAYQBsAHUAZQBzACkALABcAG4AXABuACAAIAAgACAALwAvACAAMQARIGMAbwBsAHUAbQBuACAAcABhAHMAcwB0AGgAcgBvAHUAZwBoAFwAbgAgACAAIAAgAE8AcgBpAGcARABhAHQAYQBQAGEAZAAsACAAIAAgACAASABTAFQAQQBDAEsAKABJAG4AcwB1AGwAYQB0AGUAUgBvAHcAcwC7AygAcgBvAHcAcwAsACAAMQAsACAAMAApACwAVgBTAFQAQQBDAEsAKABjAG8AbAB1AG0AbgBzACwAIAB2AGEAbAB1AGUAcwApACkALABcAG4AXABuACAAIAAgACAALwAvACAATABvAGcAaQBjACAAZwBhAHQAZQBcAG4AIAAgACAAIABJAEYAKABJAHMAUwBjAGEAbABhAHIAPwAsACAATwByAGkAZwBEAGEAdABhACwAXABuAFwAbgAgACAAIAAgACAAIAAgACAASQBGACgATgBvAFAAaQB2AG8AdAA/ACwAIABPAHIAaQBnAEQAYQB0AGEAUABhAGQALABcAG4AXABuACAAIAAgACAAIAAgACAAIAAgACAAIAAgAEkARgAoAFIAbwB3AE0AaQBzAG0AYQB0AGMAaAA/ACwAIABcACIAIwBEAEkATQAtAFIATwBXAFMALwBWAEEATABVAEUAUwAhAFwAIgAsAFwAbgBcAG4AIAAgACAAIAAgACAAIAAgACAAIAAgACAAIAAgACAAIABJAEYAKABDAG8AbABNAGkAcwBtAGEAdABjAGgAPwAsACAAXAAiACMARABJAE0ALQBDAE8ATAAvAFYAQQBMAFUARQBTACEAXAAiACwAXABuAFwAbgAgACAAIAAgACAAIAAgACAAIAAgACAAIAAgACAAIAAgACAAIAAgACAASQBGACgAUwBwAGkAbABsAFIAaQBzAGsAPwAsACAAXAAiACMAUgBPAFcALQBMAEkATQBJAFQAIQBcACIALABcAG4AXABuAEwARQBUACgAXABuACAAIAAgACAALwAvACAAQgByAG8AYQBkAGMAYQBzAHQAIAByAG8AdwAgAGwAYQBiAGUAbABzACAAKAByAGUAcABlAGEAdAAgAGUAYQBjAGgAIAByAG8AdwAgAGwAYQBiAGUAbAAgAGEAYwByAG8AcwBzACAAYQBsAGwAIABjAG8AbAB1AG0AbgBzACkAXABuACAAIAAgACAAcgBvAHcAXwBsAGEAYgBlAGwAcwAsACAAIAAgACAAIABSAGUAcABlAGEAdABSAG8AdwBzALsDKAByAG8AdwBzACwAIAB3ACkALABcAG4AXABuACAAIAAgACAALwAvACAAQgByAG8AYQBkAGMAYQBzAHQAIABjAG8AbAB1AG0AbgAgAGwAYQBiAGUAbABzACAAKAByAGUAcABlAGEAdAAgAGUAYQBjAGgAIABjAG8AbAB1AG0AbgAgAGwAYQBiAGUAbAAgAGQAbwB3AG4AIABhAGwAbAAgAHIAbwB3AHMAKQBcAG4AIAAgACAAIABhAHQAdAByAGkAYgB1AHQAZQAsACAAIAAgACAAIAAgAFIAZQBzAGkAegBlALsDKABUAFIAQQBOAFMAUABPAFMARQAoAGMAbwBsAHUAbQBuAHMAKQAsAGgAKQAsAFwAbgBcAG4AIAAgACAAIAAvAC8AIABGAGwAYQB0AHQAZQBuACAAdgBhAGwAdQBlAHMAXABuACAAIAAgACAAZgBsAGEAdABfAHYAYQBsAHUAZQBzACwAIAAgACAAIABUAE8AQwBPAEwAKAB2AGEAbAB1AGUAcwApACwAXABuAFwAbgAgACAAIAAgAC8ALwAgAFMAdABhAGMAawAgAGkAbgB0AG8AIAAzABEgYwBvAGwAdQBtAG4AIAB0AGEAYgBsAGUAXABuACAAIAAgACAAcwB0AGEAYwBrACwAIAAgACAAIAAgACAAIAAgACAAIABIAFMAVABBAEMASwAoAHIAbwB3AF8AbABhAGIAZQBsAHMALAAgAGEAdAB0AHIAaQBiAHUAdABlACwAIABmAGwAYQB0AF8AdgBhAGwAdQBlAHMAKQAsAFwAbgBcAG4AIAAgACAAIAAvAC8AIABGAGkAbAB0AGUAcgBpAG4AZwBcAG4AIAAgACAAIABrAGUAZQBwAF8AbQBhAHMAawAsACAAIAAgACAAIAAgAE4ATwBUACgASQBTAEIATABBAE4ASwAoAGYAbABhAHQAXwB2AGEAbAB1AGUAcwApACAAKwAgACgASQBGAEUAUgBSAE8AUgAoAGYAbABhAHQAXwB2AGEAbAB1AGUAcwAsACAAMAApACAAPQAgADAAKQApACwAXABuAFwAbgAgACAAIAAgAGYAaQBsAHQAZQByAGUAZAAsACAAIAAgACAAIAAgACAARgBJAEwAVABFAFIAKABzAHQAYQBjAGsALAAgAGsAZQBlAHAAXwBtAGEAcwBrACkALABcAG4AXABuACAAIAAgACAAcgBlAHMAdQBsAHQALAAgACAAIAAgACAAIAAgACAAIABJAEYAKABJAFMATwBNAEkAVABUAEUARAAoAGkAZwBuAG8AcgBlACkALAAgAHMAdABhAGMAawAsACAAZgBpAGwAdABlAHIAZQBkACkALABcAG4AXABuACAAIAAgACAAcgBlAHMAdQBsAHQAXABuACkAKQApACkAKQApACkAKQA7AFwAbgBcAG4AXABuAFwAbgAvACoAIABbAFMAQQAxADEAXQAgAC0ALQAtAC0ALQAtAC0ALQAtAC0ALQAtAC0ALQAtAC0ALQAtAC0ALQAtAC0ALQAtAC0ALQAtAC0ALQAtAC0ALQAtAC0ALQAtAC0ALQAtAC0ALQAtAC0ALQAtAC0ALQAtAC0ALQAtAC0ALQAtAC0ALQAtAC0ALQAtAC0ALQAtAC0ALQAtAC0ALQAtAC0ALQAtAC0AXABuAEYAdQBuAGMAdABpAG8AbgA6ACAAIAAgACAAIABaAGkAcAC7A1wAbgBDAGEAdABlAGcAbwByAHkAOgAgACAAIAAgACAAMgBEACAAQQByAHIAYQB5ACAAUwBoAGEAcABpAG4AZwBcAG4AQQB1AHQAaABvAHIAOgAgACAAIAAgACAAIAAgAFAAYQB0AHIAaQBjAGsAIABIAC4AXABuAFYAZQByAHMAaQBvAG4AOgAgACAAIAAgACAAIAAxAC4AMQBcAG4AXABuAEQAZQBzAGMAcgBpAHAAdABpAG8AbgA6AFwAbgAgACAAIAAgAFoAaQBwAHMAIAB0AG8AZwBlAHQAaABlAHIAIAAxABMgNAAgAGEAcgByAGEAeQBzACAAYgB5ACAAZgBsAGEAdAB0AGUAbgBpAG4AZwAgAGUAYQBjAGgAIABpAG4AcAB1AHQAIAB3AGkAdABoACAAVABPAEMATwBMACAAYQBuAGQAIABhAGwAaQBnAG4AaQBuAGcAXABuACAAIAAgACAAdABoAGUAbQAgAGIAeQAgAGwAZQBuAGcAdABoAC4AIABCAHkAIABkAGUAZgBhAHUAbAB0ACwAIABaAGkAcAC7AyAAcABlAHIAZgBvAHIAbQBzACAAYQAgAHMAdAByAGkAYwB0ACAAegBpAHAALAAgAHAAYQBpAHIAaQBuAGcAIABlAGwAZQBtAGUAbgB0AHMAXABuACAAIAAgACAAbwBuAGwAeQAgAHUAcAAgAHQAbwAgAHQAaABlACAAbABlAG4AZwB0AGgAIABvAGYAIAB0AGgAZQAgAHMAaABvAHIAdABlAHMAdAAgAGEAcgByAGEAeQAuACAASQBmACAAegBpAHAAXwBsAG8AbgBnAGUAcwB0ACAAPQAgAFQAUgBVAEUALAAgAFoAaQBwALsDXABuACAAIAAgACAAYwBvAG4AdABpAG4AdQBlAHMAIAB1AG4AdABpAGwAIAB0AGgAZQAgAGwAbwBuAGcAZQBzAHQAIABhAHIAcgBhAHkAIABpAHMAIABjAG8AbgBzAHUAbQBlAGQALAAgAHAAYQBkAGQAaQBuAGcAIABzAGgAbwByAHQAZQByACAAYQByAHIAYQB5AHMAIAB3AGkAdABoAFwAbgAgACAAIAAgAGYAaQBsAGwAXwB2AGEAbAB1AGUAIAAoAGQAZQBmAGEAdQBsAHQAOgAgACMATgAvAEEAKQAuAFwAbgBcAG4AIAAgACAAIABUAGgAZQAgAHIAZQBzAHUAbAB0ACAAaQBzACAAYQAgAGgAbwByAGkAegBvAG4AdABhAGwAbAB5ACAAcwB0AGEAYwBrAGUAZAAgAHQAYQBiAGwAZQAgAHcAaABlAHIAZQAgAGUAYQBjAGgAIABjAG8AbAB1AG0AbgAgAHIAZQBwAHIAZQBzAGUAbgB0AHMAIABvAG4AZQBcAG4AIAAgACAAIAB6AGkAcABwAGUAZAAgAGkAbgBwAHUAdAAgAGEAcgByAGEAeQAsACAAbgBvAHIAbQBhAGwAaQB6AGUAZAAgAHQAbwAgAGEAIABjAG8AbQBtAG8AbgAgAGwAZQBuAGcAdABoAC4AXABuAFwAbgBQAGEAcgBhAG0AZQB0AGUAcgBzADoAXABuACAAIAAgACAAYQByAHIAYQB5AF8AMQAgACAAIAAgACAAIAAgAC0AIABGAGkAcgBzAHQAIABpAG4AcAB1AHQAIABhAHIAcgBhAHkAIAAoAHMAYwBhAGwAYQByACwAIAAxAEQALAAgAG8AcgAgADIARAApAC4AXABuACAAIAAgACAAWwBhAHIAcgBhAHkAXwAyAF0AIAAgACAAIAAgAC0AIABPAHAAdABpAG8AbgBhAGwAIABzAGUAYwBvAG4AZAAgAGEAcgByAGEAeQAuAFwAbgAgACAAIAAgAFsAYQByAHIAYQB5AF8AMwBdACAAIAAgACAAIAAtACAATwBwAHQAaQBvAG4AYQBsACAAdABoAGkAcgBkACAAYQByAHIAYQB5AC4AXABuACAAIAAgACAAWwBhAHIAcgBhAHkAXwA0AF0AIAAgACAAIAAgAC0AIABPAHAAdABpAG8AbgBhAGwAIABmAG8AdQByAHQAaAAgAGEAcgByAGEAeQAuAFwAbgAgACAAIAAgAFsAegBpAHAAXwBsAG8AbgBnAGUAcwB0AF0AIAAtACAAVABSAFUARQAgAHQAbwAgAHoAaQBwACAAdQBuAHQAaQBsACAAdABoAGUAIABsAG8AbgBnAGUAcwB0ACAAYQByAHIAYQB5ACAAaQBzACAAYwBvAG4AcwB1AG0AZQBkAC4AXABuACAAIAAgACAAIAAgACAAIAAgACAAIAAgACAAIAAgACAAIAAgACAAIABJAGYAIABvAG0AaQB0AHQAZQBkACwAIABaAGkAcAC7AyAAdQBzAGUAcwAgAHMAdAByAGkAYwB0ACAAbQBvAGQAZQAgACgAcwBoAG8AcgB0AGUAcwB0ACAAYQByAHIAYQB5ACkALgBcAG4AIAAgACAAIABbAGYAaQBsAGwAXwB2AGEAbAB1AGUAXQAgACAALQAgAFYAYQBsAHUAZQAgAHUAcwBlAGQAIAB0AG8AIABwAGEAZAAgAHMAaABvAHIAdABlAHIAIABhAHIAcgBhAHkAcwAgAHcAaABlAG4AIAB6AGkAcABfAGwAbwBuAGcAZQBzAHQAIAA9ACAAVABSAFUARQAuAFwAbgAtAC0ALQAtAC0ALQAtAC0ALQAtAC0ALQAtAC0ALQAtAC0ALQAtAC0ALQAtAC0ALQAtAC0ALQAtAC0ALQAtAC0ALQAtAC0ALQAtAC0ALQAtAC0ALQAtAC0ALQAtAC0ALQAtAC0ALQAtAC0ALQAtAC0ALQAtAC0ALQAtAC0ALQAtAC0ALQAtAC0ALQAtAC0ALQAtAC0ALQAtAC0ALQAqAC8AXABuAFwAbgBaAGkAcAC7Az0AXABuAEwAQQBNAEIARABBACgAXABuACAAIAAgACAAYQByAHIAYQB5AF8AMQAsAFwAbgAgACAAIAAgAFsAYQByAHIAYQB5AF8AMgBdACwAXABuACAAIAAgACAAWwBhAHIAcgBhAHkAXwAzAF0ALABcAG4AIAAgACAAIABbAGEAcgByAGEAeQBfADQAXQAsAFwAbgAgACAAIAAgAFsAegBpAHAAXwBsAG8AbgBnAGUAcwB0AF0ALABcAG4AIAAgACAAIABbAGYAaQBsAGwAXwB2AGEAbAB1AGUAXQAsAFwAbgBcAG4ATABFAFQAKABcAG4AIAAgACAAIAAvAC8AIABTAGUAdAAgAHoAaQBwACAAbQBvAGQAZQBcAG4AIAAgACAAIABaAGkAcABMAG8AbgBnAD8ALAAgACAAIAAgAEkARgAoAEkAUwBPAE0ASQBUAFQARQBEACgAegBpAHAAXwBsAG8AbgBnAGUAcwB0ACkALAAgAEYAQQBMAFMARQAsACAAegBpAHAAXwBsAG8AbgBnAGUAcwB0ACkALABcAG4AXABuACAAIAAgACAALwAvACAAUwBlAHQAIABmAHUAbgBjAHQAaQBvAG4AIABmAG8AcgAgAGQAZQB0AGUAcgBtAGkAbgBpAG4AZwAgAGwAZQBuAGcAdABoACAAbwBmACAAegBpAHAAXABuACAAIAAgACAAZgBuALsDLAAgACAAIAAgACAAIAAgACAAIABJAEYAKABaAGkAcABMAG8AbgBnAD8ALABNAEEAWAAsAE0ASQBOACkALABcAG4AXABuACAAIAAgACAALwAvACAAUwBlAHQAIABmAGkAbABsAF8AdgBhAGwAdQBlAFwAbgAgACAAIAAgAGYAaQBsAGwAXwB2AGEAbAB1AGUALAAgACAASQBGACgAWgBpAHAATABvAG4AZwA/ACwAIABJAEYAKABJAFMATwBNAEkAVABUAEUARAAoAGYAaQBsAGwAXwB2AGEAbAB1AGUAKQAsACAATgBBACgAKQAsACAAZgBpAGwAbABfAHYAYQBsAHUAZQApACwAIABOAEEAKAApACkALABcAG4AXABuACAAIAAgACAALwAvACAAQQByAHIAYQB5AHMAIABzAHUAcABwAGwAaQBlAGQAXABuACAAIAAgACAAVAB3AG8ALAAgACAAIAAgACAAIAAgACAAIABOAE8AVAAoAEkAUwBPAE0ASQBUAFQARQBEACgAYQByAHIAYQB5AF8AMgApACkALABcAG4AIAAgACAAIABUAGgAcgBlAGUALAAgACAAIAAgACAAIAAgAE4ATwBUACgASQBTAE8ATQBJAFQAVABFAEQAKABhAHIAcgBhAHkAXwAzACkAKQAsAFwAbgAgACAAIAAgAEYAbwB1AHIALAAgACAAIAAgACAAIAAgACAATgBPAFQAKABJAFMATwBNAEkAVABUAEUARAAoAGEAcgByAGEAeQBfADQAKQApACwAXABuAFwAbgAgACAAIAAgAC8ALwAgAFQAbwB0AGEAbAAgAGEAcgByAGEAeQBzACAAcwB1AHAAcABsAGkAZQBkAFwAbgAgACAAIAAgAG0ALAAgACAAIAAgACAAIAAgACAAIAAgACAASQBGACgARgBvAHUAcgAsACAANAAsACAAXABuACAAIAAgACAAIAAgACAAIAAgACAAIAAgACAAIAAgACAAIAAgACAAIABJAEYAKABUAGgAcgBlAGUALAAgADMALAAgAFwAbgAgACAAIAAgACAAIAAgACAAIAAgACAAIAAgACAAIAAgACAAIAAgACAAIAAgACAAIABJAEYAKABUAHcAbwAsACAAMgAsADEAKQApACkALABcAG4AXABuACAAIAAgACAALwAvACAARgBsAGEAdAB0AGUAbgAgAGkAbgBwAHUAdABzAFwAbgAgACAAIAAgAGEAcgByAGEAeQBfADEALAAgACAAIAAgACAAVABPAEMATwBMACgAYQByAHIAYQB5AF8AMQApACwAXABuACAAIAAgACAAYQByAHIAYQB5AF8AMgAsACAAIAAgACAAIABJAEYAKABtACAAPgA9ACAAMgAsAFQATwBDAE8ATAAoAGEAcgByAGEAeQBfADIAKQAsAEYAQQBMAFMARQApACwAXABuACAAIAAgACAAYQByAHIAYQB5AF8AMwAsACAAIAAgACAAIABJAEYAKABtACAAPgA9ACAAMwAsAFQATwBDAE8ATAAoAGEAcgByAGEAeQBfADMAKQAsAEYAQQBMAFMARQApACwAXABuACAAIAAgACAAYQByAHIAYQB5AF8ANAAsACAAIAAgACAAIABJAEYAKABtACAAPQAgACAANAAsAFQATwBDAE8ATAAoAGEAcgByAGEAeQBfADQAKQAsAEYAQQBMAFMARQApACwAXABuAFwAbgAgACAAIAAgAC8ALwAgAEwAZQBuAGcAdABoACAAbwBmACAAaQBuAHAAdQB0AHMAXABuACAAIAAgACAAawCBICwAIAAgACAAIAAgACAAIAAgACAAIABSAE8AVwBTACgAYQByAHIAYQB5AF8AMQApACwAIAAgACAAawCCICwAIAAgACAAUgBPAFcAUwAoAGEAcgByAGEAeQBfADIAKQAsAFwAbgAgACAAIAAgAGsAgyAsACAAIAAgACAAIAAgACAAIAAgACAAUgBPAFcAUwAoAGEAcgByAGEAeQBfADMAKQAsACAAIAAgAGsAhCAsACAAIAAgAFIATwBXAFMAKABhAHIAcgBhAHkAXwA0ACkALABcAG4AXABuACAAIAAgACAALwAvACAATABlAG4AZwB0AGgAIABvAGYAIAB6AGkAcABcAG4AIAAgACAAIABMAFoALAAgACAAIAAgACAAIAAgACAAIAAgAEMASABPAE8AUwBFACgAbQAsAGsAgSAsAFwAbgAgACAAIAAgACAAIAAgACAAIAAgACAAIAAgACAAIAAgACAAIAAgACAAIAAgACAAIAAgACAAZgBuALsDKABrAIEgLABrAIIgKQAsAFwAbgAgACAAIAAgACAAIAAgACAAIAAgACAAIAAgACAAIAAgACAAIAAgACAAIAAgACAAIAAgACAAZgBuALsDKABrAIEgLABrAIIgLABrAIMgKQAsAFwAbgAgACAAIAAgACAAIAAgACAAIAAgACAAIAAgACAAIAAgACAAIAAgACAAIAAgACAAIAAgACAAZgBuALsDKABrAIEgLABrAIIgLABrAIMgLABrAIQgKQApACwAXABuAFwAbgAgACAAIAAgAC8ALwAgAEEAcgByAGEAeQBzACAALQAgAG4AbwByAG0AYQBsAGkAegBlAGQAIABmAG8AcgAgAHoAaQBwACAAbQBvAGQAZQBcAG4AIAAgACAAIABOAG8AcgBtAGEAbABpAHoAZQC7AywAIAAgAEwAQQBNAEIARABBACgAYQByAHIAYQB5ACwAXABuACAAIAAgACAAIAAgACAAIAAgACAAIAAgACAAIAAgACAAIAAgACAAIAAgACAAIAAgAEkARgAoAFoAaQBwAEwAbwBuAGcAPwAsAEUAWABQAEEATgBEACgAYQByAHIAYQB5ACwATABaACwALABmAGkAbABsAF8AdgBhAGwAdQBlACkALABcAG4AIAAgACAAIAAgACAAIAAgACAAIAAgACAAIAAgACAAIAAgACAAIAAgACAAIAAgACAAIAAgACAAIAAgACAAIAAgACAAIAAgAFQAQQBLAEUAKABhAHIAcgBhAHkALABMAFoAKQApACkALABcAG4AXABuACAAIAAgACAAYQAsACAAIAAgACAAIAAgACAAIAAgACAAIABOAG8AcgBtAGEAbABpAHoAZQC7AygAYQByAHIAYQB5AF8AMQApACwAXABuACAAIAAgACAAYgAsACAAIAAgACAAIAAgACAAIAAgACAAIABOAG8AcgBtAGEAbABpAHoAZQC7AygAYQByAHIAYQB5AF8AMgApACwAXABuACAAIAAgACAAYwAsACAAIAAgACAAIAAgACAAIAAgACAAIABOAG8AcgBtAGEAbABpAHoAZQC7AygAYQByAHIAYQB5AF8AMwApACwAXABuACAAIAAgACAAZAAsACAAIAAgACAAIAAgACAAIAAgACAAIABOAG8AcgBtAGEAbABpAHoAZQC7AygAYQByAHIAYQB5AF8ANAApACwAXABuACAAIAAgACAAXABuACAAIAAgACAALwAvACAAQQByAHIAYQBuAGcAZQBtAGUAbgB0AFwAbgAgACAAIAAgAHoAaQBwAHAAZQBkACwAIAAgACAAIAAgACAAQwBIAE8ATwBTAEUAKABtACwAYQAsAFwAbgAgACAAIAAgACAAIAAgACAAIAAgACAAIAAgACAAIAAgACAAIAAgACAAIAAgACAAIAAgACAAIABIAFMAVABBAEMASwAoAGEALABiACkALABcAG4AIAAgACAAIAAgACAAIAAgACAAIAAgACAAIAAgACAAIAAgACAAIAAgACAAIAAgACAAIAAgACAASABTAFQAQQBDAEsAKABhACwAYgAsAGMAKQAsAFwAbgAgACAAIAAgACAAIAAgACAAIAAgACAAIAAgACAAIAAgACAAIAAgACAAIAAgACAAIAAgACAAIABIAFMAVABBAEMASwAoAGEALABiACwAYwAsAGQAKQApACwAXABuACAAIAAgACAAegBpAHAAcABlAGQAXABuACkAKQA7AFwAbgBcAG4AXABuAFwAbgAvACoAIABbAFMAQQAxADMAXQAgAC0ALQAtAC0ALQAtAC0ALQAtAC0ALQAtAC0ALQAtAC0ALQAtAC0ALQAtAC0ALQAtAC0ALQAtAC0ALQAtAC0ALQAtAC0ALQAtAC0ALQAtAC0ALQAtAC0ALQAtAC0ALQAtAC0ALQAtAC0ALQAtAC0ALQAtAC0ALQAtAC0ALQAtAC0ALQAtAC0ALQAtAC0ALQAtAC0AXABuAEYAdQBuAGMAdABpAG8AbgA6ACAAIAAgACAAIABTAGwAaQBjAGUAQgB5AEQAZQBnALsDXABuAEMAYQB0AGUAZwBvAHIAeQA6ACAAIAAgACAAIAAyAEQAIABBAHIAcgBhAHkAIABTAGgAYQBwAGkAbgBnAFwAbgBBAHUAdABoAG8AcgA6ACAAIAAgACAAIAAgACAAUABhAHQAcgBpAGMAawAgAEgALgBcAG4AVgBlAHIAcwBpAG8AbgA6ACAAIAAgACAAIAAgADEALgAxAFwAbgBEAGUAcABlAG4AZABlAG4AYwBpAGUAcwA6ACAARABHAHIAaQBkALsDLAAgAEQAZQBsAGUAdABlAFcAaABlAHIAZQC7A1wAbgBcAG4ARABlAHMAYwByAGkAcAB0AGkAbwBuADoAXABuACAAIAAgACAARQB4AHQAcgBhAGMAdABzACAAYQBuACAAYQBuAGcAdQBsAGEAcgAgAHMAbABpAGMAZQAgAGYAcgBvAG0AIABhACAAMgBEACAAYQByAHIAYQB5ACAAdQBzAGkAbgBnACAAZABlAGcAcgBlAGUAIABiAG8AdQBuAGQAcwAgAGkAbgAgAGEAIAAwALAAIAAtACAAMwA2ADAAsABcAG4AIAAgACAAIABjAGkAcgBjAHUAbABhAHIAIABzAHkAcwB0AGUAbQAuACAAVABoAGUAIABzAGwAaQBjAGUAIABwAHIAZQBzAGUAcgB2AGUAcwAgAHQAaABlACAAbwByAGkAZwBpAG4AYQBsACAAZwBlAG8AbQBlAHQAcgB5AC4AIABJAGYAIABtAGEAeABfAGQAZQBnAHIAZQBlACAAaQBzAFwAbgAgACAAIAAgAG8AbQBpAHQAdABlAGQALAAgAGkAdAAgAGQAZQBmAGEAdQBsAHQAcwAgAHQAbwAgADMANgAwALAALgBcAG4AXABuACAAIAAgACAAVwByAGEAcAARIGEAcgBvAHUAbgBkACAAaQBzACAAcwB1AHAAcABvAHIAdABlAGQAOgBcAG4AIAAgACAAIAAgACAAIAAgACIgIABJAGYAIABtAGkAbgBfAGQAZQBnAHIAZQBlACAAPAA9ACAAbQBhAHgAXwBkAGUAZwByAGUAZQA6AFwAbgAgACAAIAAgACAAIAAgACAAIAAgACAAIAAgACAAcwBsAGkAYwBlACAAPQAgAFsAbQBpAG4AXwBkAGUAZwByAGUAZQAsACAAbQBhAHgAXwBkAGUAZwByAGUAZQBdAFwAbgAgACAAIAAgACAAIAAgACAAIiAgAEkAZgAgAG0AaQBuAF8AZABlAGcAcgBlAGUAIAA+ACAAbQBhAHgAXwBkAGUAZwByAGUAZQA6AFwAbgAgACAAIAAgACAAIAAgACAAIAAgACAAIAAgACAAcwBsAGkAYwBlACAAYwByAG8AcwBzAGUAcwAgADMANgAwALAAIACSISAAMACwACAAYQBuAGQAIABpAG4AYwBsAHUAZABlAHMAOgBcAG4AIAAgACAAIAAgACAAIAAgACAAIAAgACAAIAAgACAAIAAgACAAYQBuAGcAbABlAHMAIAA+AD0AIABtAGkAbgBfAGQAZQBnAHIAZQBlACAAIABPAFIAIAAgAGEAbgBnAGwAZQBzACAAPAA9ACAAbQBhAHgAXwBkAGUAZwByAGUAZQBcAG4AXABuACAAIAAgACAAVgBhAGwAdQBlAHMAIABvAHUAdABzAGkAZABlACAAdABoAGUAIABzAGwAaQBjAGUAIABhAHIAZQAgAHIAZQBwAGwAYQBjAGUAZAAgAHcAaQB0AGgAIABmAGkAbABsAF8AdgBhAGwAdQBlACAAKABkAGUAZgBhAHUAbAB0ACAAPQAgAFwAIgBcACIAKQAuAFwAbgBcAG4AUABhAHIAYQBtAGUAdABlAHIAcwA6AFwAbgAgACAAIAAgAGcAcgBpAGQAIAAgACAAIAAgACAAIAAgACAAIAAtACAAMgBEACAAYQByAHIAYQB5ACAAdABvACAAcwBsAGkAYwBlAC4AXABuACAAIAAgACAAbQBpAG4AXwBkAGUAZwByAGUAZQAgACAAIAAgAC0AIABTAHQAYQByAHQAaQBuAGcAIABkAGUAZwByAGUAZQAgACgAMAAtADMANgAwACkALgBcAG4AXABuAE8AcAB0AGkAbwBuAGEAbAA6AFwAbgAgACAAIAAgAFsAbQBhAHgAXwBkAGUAZwByAGUAZQBdACAAIAAtACAARQBuAGQAaQBuAGcAIABkAGUAZwByAGUAZQAgACgAZABlAGYAYQB1AGwAdAAgAD0AIAAzADYAMAApAC4AXABuACAAIAAgACAAWwBmAGkAbABsAF8AdgBhAGwAdQBlAF0AIAAgAC0AIABGAGkAbABsACAAdgBhAGwAdQBlACAAZgBvAHIAIABvAHUAdAARIG8AZgARIHMAbABpAGMAZQAgAGMAZQBsAGwAcwAgACgAZABlAGYAYQB1AGwAdAAgAD0AIABcACIAXAAiACkALgBcAG4AXABuAE4AbwB0AGUAcwA6AFwAbgAgACAAIAAgACIgIABVAHMAZQBzACAARABHAHIAaQBkALsDIAB0AG8AIABjAG8AbQBwAHUAdABlACAAcABlAHIAESBjAGUAbABsACAAYQBuAGcAbABlAHMALgBcAG4AIAAgACAAIAAiICAARABlAGwAZQB0AGUAVwBoAGUAcgBlALsDIAByAGUAbQBvAHYAZQBzACAATgBBACgAKQAgAHcAaABpAGwAZQAgAHAAcgBlAHMAZQByAHYAaQBuAGcAIABzAGgAYQBwAGUALgBcAG4ALQAtAC0ALQAtAC0ALQAtAC0ALQAtAC0ALQAtAC0ALQAtAC0ALQAtAC0ALQAtAC0ALQAtAC0ALQAtAC0ALQAtAC0ALQAtAC0ALQAtAC0ALQAtAC0ALQAtAC0ALQAtAC0ALQAtAC0ALQAtAC0ALQAtAC0ALQAtAC0ALQAtAC0ALQAtAC0ALQAtAC0ALQAtAC0ALQAtAC0ALQAtAC0AKgAvAFwAbgBcAG4AUwBsAGkAYwBlAEIAeQBEAGUAZwC7AyAAPQBcAG4ATABBAE0AQgBEAEEAKABcAG4AIAAgACAAIABnAHIAaQBkACwAXABuACAAIAAgACAAbQBpAG4AXwBkAGUAZwByAGUAZQAsAFwAbgAgACAAIAAgAFsAbQBhAHgAXwBkAGUAZwByAGUAZQBdACwAXABuACAAIAAgACAAWwBmAGkAbABsAF8AdgBhAGwAdQBlAF0ALABcAG4ATABFAFQAKABcAG4AIAAgACAAIAAvAC8AIABPAHAAdABpAG8AbgBhAGwAIABwAGEAcgBhAG0AZQB0AGUAcgBzAFwAbgAgACAAIAAgAG0AYQB4AF8AZABlAGcAcgBlAGUALAAgACAAIAAgACAASQBGACgASQBTAE8ATQBJAFQAVABFAEQAKABtAGEAeABfAGQAZQBnAHIAZQBlACkALAAgADMANgAwACwAIABtAGEAeABfAGQAZQBnAHIAZQBlACkALABcAG4AIAAgACAAIABmAGkAbABsAF8AdgBhAGwAdQBlACwAIAAgACAAIAAgAEkARgAoAEkAUwBPAE0ASQBUAFQARQBEACgAZgBpAGwAbABfAHYAYQBsAHUAZQApACwAIABcACIAXAAiACwAIABmAGkAbABsAF8AdgBhAGwAdQBlACkALABcAG4AXABuACAAIAAgACAALwAvACAAVgBhAGwAaQBkAGEAdABpAG8AbgBcAG4AIAAgACAAIABJAG4AdgBhAGwAaQBkAEQAZQBnAD8ALAAgACAAIAAgAE8AUgAoAEkAUwBUAEUAWABUACgAbQBpAG4AXwBkAGUAZwByAGUAZQApACwAXABuACAAIAAgACAAIAAgACAAIAAgACAAIAAgACAAIAAgACAAIAAgACAAIAAgACAAIABJAFMAVABFAFgAVAAoAG0AYQB4AF8AZABlAGcAcgBlAGUAKQAsAFwAbgAgACAAIAAgACAAIAAgACAAIAAgACAAIAAgACAAIAAgACAAIAAgACAAIAAgACAAbQBpAG4AXwBkAGUAZwByAGUAZQAgADwAIAAwACwAIABtAGkAbgBfAGQAZQBnAHIAZQBlACAAPgAgADMANgAwACwAXABuACAAIAAgACAAIAAgACAAIAAgACAAIAAgACAAIAAgACAAIAAgACAAIAAgACAAIABtAGEAeABfAGQAZQBnAHIAZQBlACAAPAAgADAALAAgAG0AYQB4AF8AZABlAGcAcgBlAGUAIAA+ACAAMwA2ADAAKQAsAFwAbgBcAG4AIAAgACAAIABJAEYAKABJAG4AdgBhAGwAaQBkAEQAZQBnAD8ALAAgAFwAIgAjAEQARQBHAFIARQBFACEAXAAiACwAXABuAFwAbgBMAEUAVAAoAFwAbgAgACAAIAAgAC8ALwAgAEEAbgBnAGwAZQAgAGYAaQBlAGwAZAAgACgAMAATIDMANgAwACkAXABuACAAIAAgACAAZAAsACAAIAAgACAAIAAgACAAIAAgACAAIAAgACAAIABEAEcAcgBpAGQAuwMoAGcAcgBpAGQAKQAsAFwAbgBcAG4AIAAgACAAIAAvAC8AIABXAHIAYQBwABEgYQB3AGEAcgBlACAAbQBhAHMAawBcAG4AIAAgACAAIABtAGEAcwBrACwAIAAgACAAIAAgACAAIAAgACAAIAAgAEkARgAoAG0AaQBuAF8AZABlAGcAcgBlAGUAIAA8AD0AIABtAGEAeABfAGQAZQBnAHIAZQBlACwAXABuACAAIAAgACAAIAAgACAAIAAgACAAIAAgACAAIAAgACAAIAAgACAAIAAgACAAIAAgACgAZAAgAD4APQAgAG0AaQBuAF8AZABlAGcAcgBlAGUAKQAgACoAIAAoAGQAIAA8AD0AIABtAGEAeABfAGQAZQBnAHIAZQBlACkALABcAG4AIAAgACAAIAAgACAAIAAgACAAIAAgACAAIAAgACAAIAAgACAAIAAgACAAIAAgACAAKABkACAAPgA9ACAAbQBpAG4AXwBkAGUAZwByAGUAZQApACAAKwAgACgAZAAgADwAPQAgAG0AYQB4AF8AZABlAGcAcgBlAGUAKQApACwAXABuAFwAbgAgACAAIAAgAC8ALwAgAEEAcABwAGwAeQAgAG0AYQBzAGsAXABuACAAIAAgACAAbQBhAHMAawBlAGQALAAgACAAIAAgACAAIAAgACAAIABJAEYAKABtAGEAcwBrACwAIABnAHIAaQBkACwAIABOAEEAKAApACkALABcAG4AXABuACAAIAAgACAALwAvACAAUgBlAG0AbwB2AGUAIABOAEEAIABiAHUAdAAgAHAAcgBlAHMAZQByAHYAZQAgAHMAaABhAHAAZQBcAG4AIAAgACAAIABjAGwAZQBhAG4AZQBkACwAIAAgACAAIAAgACAAIAAgAEQAZQBsAGUAdABlAFcAaABlAHIAZQC7AygAbQBhAHMAawBlAGQALAAgAEwAQQBNAEIARABBACgAdgAsACAAQQBOAEQAKABJAFMATgBBACgAdgApACkAKQApACwAXABuAFwAbgAgACAAIAAgAC8ALwAgAFIAZQBwAGwAYQBjAGUAIAByAGUAbQBvAHYAZQBkACAAdgBhAGwAdQBlAHMAIAB3AGkAdABoACAAZgBpAGwAbABfAHYAYQBsAHUAZQBcAG4AIAAgACAAIAByAGUAcwB1AGwAdAAsACAAIAAgACAAIAAgACAAIAAgAEkARgBOAEEAKABjAGwAZQBhAG4AZQBkACwAIABmAGkAbABsAF8AdgBhAGwAdQBlACkALABcAG4AXABuACAAIAAgACAAcgBlAHMAdQBsAHQAXABuACkAKQApACkAOwBcAG4AXABuAFwAbgBcAG4ALwAqACAAWwBTAEEAMQA0AF0AIAAtAC0ALQAtAC0ALQAtAC0ALQAtAC0ALQAtAC0ALQAtAC0ALQAtAC0ALQAtAC0ALQAtAC0ALQAtAC0ALQAtAC0ALQAtAC0ALQAtAC0ALQAtAC0ALQAtAC0ALQAtAC0ALQAtAC0ALQAtAC0ALQAtAC0ALQAtAC0ALQAtAC0ALQAtAC0ALQAtAC0ALQAtAC0ALQAtAFwAbgBGAHUAbgBjAHQAaQBvAG4AOgAgACAAIAAgACAAUABhAGQAuwNcAG4AQwBhAHQAZQBnAG8AcgB5ADoAIAAgACAAIAAgADIARAAgAEEAcgByAGEAeQAgAFMAaABhAHAAaQBuAGcAXABuAEEAdQB0AGgAbwByADoAIAAgACAAIAAgACAAIABQAGEAdAByAGkAYwBrACAASAAuAFwAbgBWAGUAcgBzAGkAbwBuADoAIAAgACAAIAAgACAAMQAuADEAXABuAEQAZQBwAGUAbgBkAGUAbgBjAGkAZQBzADoAIABJAG4AcwB1AGwAYQB0AGUAUgBvAHcAcwC7AywAIABJAG4AcwB1AGwAYQB0AGUAQwBvAGwAcwC7A1wAbgBcAG4ARABlAHMAYwByAGkAcAB0AGkAbwBuADoAXABuACAAIAAgACAAQQBwAHAAbABpAGUAcwAgAHIAbwB3ACAAYQBuAGQALwBvAHIAIABjAG8AbAB1AG0AbgAgAHAAYQBkAGQAaQBuAGcAIAB0AG8AIABhAG4AeQAgAGEAcgByAGEAeQAuACAAUABhAGQAuwMgAGcAZQBuAGUAcgBhAGwAaQB6AGUAcwAgAHQAaABlACAAYgBlAGgAYQB2AGkAbwByAFwAbgAgACAAIAAgAG8AZgAgAEkAbgBzAHUAbABhAHQAZQBSAG8AdwBzALsDIABhAG4AZAAgAEkAbgBzAHUAbABhAHQAZQBDAG8AbABzALsDIABiAHkAIABhAGwAbABvAHcAaQBuAGcAIABhAGwAbAAgAGYAbwB1AHIAIABzAGkAZABlAHMAIABvAGYAIABhAG4AIABhAHIAcgBhAHkAIAB0AG8AXABuACAAIAAgACAAYgBlACAAcABhAGQAZABlAGQAIABpAG4AIABhACAAcwBpAG4AZwBsAGUAIABvAHAAZQByAGEAdABpAG8AbgAuACAAUABhAGQAZABpAG4AZwAgAGMAbwB1AG4AdABzACAAbQBhAHkAIABiAGUAIABzAHUAcABwAGwAaQBlAGQAIABpAG4AZABlAHAAZQBuAGQAZQBuAHQAbAB5AFwAbgAgACAAIAAgAG8AcgAgAG8AbQBpAHQAdABlAGQAIABmAG8AcgAgAGMAbwBuAHYAZQBuAGkAZQBuAGMAZQAuAFwAbgBcAG4AUABhAHIAYQBtAGUAdABlAHIAcwA6AFwAbgAgACAAIAAgAGEAcgByAGEAeQAgACAAIAAgACAAIAAgACAAIAAgAC0AIABJAG4AcAB1AHQAIABhAHIAcgBhAHkAIAAoAHMAYwBhAGwAYQByACwAIAAxAEQALAAgAG8AcgAgADIARAApAC4AXABuACAAIAAgACAAcgBvAHcAcwBfAGIAZQBmAG8AcgBlACAAIAAgACAALQAgAFIAbwB3AHMAIAB0AG8AIABwAGEAZAAgAGEAYgBvAHYAZQAgAHQAaABlACAAYQByAHIAYQB5AC4AXABuAFwAbgBPAHAAdABpAG8AbgBhAGwAOgBcAG4AIAAgACAAIABbAHIAbwB3AHMAXwBhAGYAdABlAHIAXQAgACAAIAAtACAAUgBvAHcAcwAgAHQAbwAgAHAAYQBkACAAYgBlAGwAbwB3ACAAKABkAGUAZgBhAHUAbAB0AHMAIAB0AG8AIAByAG8AdwBzAF8AYgBlAGYAbwByAGUAKQAuAFwAbgAgACAAIAAgAFsAYwBvAGwAcwBfAGIAZQBmAG8AcgBlAF0AIAAgAC0AIABDAG8AbAB1AG0AbgBzACAAdABvACAAcABhAGQAIABsAGUAZgB0ACAAKABkAGUAZgBhAHUAbAB0AHMAIAB0AG8AIAByAG8AdwBzAF8AYgBlAGYAbwByAGUAKQAuAFwAbgAgACAAIAAgAFsAYwBvAGwAcwBfAGEAZgB0AGUAcgBdACAAIAAgAC0AIABDAG8AbAB1AG0AbgBzACAAdABvACAAcABhAGQAIAByAGkAZwBoAHQAIAAoAGQAZQBmAGEAdQBsAHQAcwAgAHQAbwAgAHIAbwB3AHMAXwBiAGUAZgBvAHIAZQApAC4AXABuACAAIAAgACAAWwBwAGEAZABfAHcAaQB0AGgAXQAgACAAIAAgACAALQAgAFMAYwBhAGwAYQByACAAcABhAGQAZABpAG4AZwAgAHYAYQBsAHUAZQAgACgAZABlAGYAYQB1AGwAdAAgAD0AIABcACIAXAAiACkALgBcAG4AXABuAE4AbwB0AGUAcwA6AFwAbgAgACAAIAAgACIgIABBAG4AeQAgAG8AbQBpAHQAdABlAGQAIABwAGEAZABkAGkAbgBnACAAYwBvAHUAbgB0ACAAZABlAGYAYQB1AGwAdABzACAAdABvACAAcgBvAHcAcwBfAGIAZQBmAG8AcgBlAFwAbgAgACAAIAAgACAAIAAoAFQAaABpAHMAIABhAGwAbABvAHcAcwAgAGYAbwByACAAZQBhAHMAeQAgAHAAYQBkAGQAaQBuAGcAOgBcAG4AIAAgACAAIAAgACAAIAAgACAAIAAgACAAIAAgACAAIAAgACAAIAAgACAAIAAgACAAIAAgACAAIAAgACAAIAAgACAAIAAgACAAPQBQAGEAZAC7AygAYQByAHIAYQB5ACwAMwApAFwAbgAgACAAIAAgACAAIAAgACAAIAAgACAAIAAgACAAIAAgACAAIAAgACAAIAAgACAAIAAgACAAIAAgACAAIAAgACAAIAAgACAAIABhAGQAZABzACAAcABhAGQAZABpAG4AZwAgAGMAbwB1AG4AdAAgAG8AZgAgADMAIABhAGwAbAAgAGEAcgBvAHUAbgBkACAAdABoAGUAIABpAG4AcAB1AHQAIABhAHIAcgBhAHkAKQBcAG4AIAAgACAAIAAiICAATgBlAGcAYQB0AGkAdgBlACAAbwByACAAdABlAHgAdAAgAHAAYQBkAGQAaQBuAGcAIABjAG8AdQBuAHQAcwAgAHIAZQB0AHUAcgBuACAAXAAiACMAVABFAFgAVAAtAFAAQQBEACEAXAAiAC4AXABuACAAIAAgACAAIiAgAEQAZQBsAGUAZwBhAHQAZQBzACAAcgBvAHcAIABwAGEAZABkAGkAbgBnACAAdABvACAASQBuAHMAdQBsAGEAdABlAFIAbwB3AHMAuwMgAGEAbgBkACAAYwBvAGwAdQBtAG4AIABwAGEAZABkAGkAbgBnACAAdABvACAASQBuAHMAdQBsAGEAdABlAEMAbwBsAHMAuwMuAFwAbgAtAC0ALQAtAC0ALQAtAC0ALQAtAC0ALQAtAC0ALQAtAC0ALQAtAC0ALQAtAC0ALQAtAC0ALQAtAC0ALQAtAC0ALQAtAC0ALQAtAC0ALQAtAC0ALQAtAC0ALQAtAC0ALQAtAC0ALQAtAC0ALQAtAC0ALQAtAC0ALQAtAC0ALQAtAC0ALQAtAC0ALQAtAC0ALQAtAC0ALQAtAC0ALQAqAC8AXABuAFwAbgBQAGEAZAC7AyAAPQBcAG4ATABBAE0AQgBEAEEAKABcAG4AIAAgACAAIABhAHIAcgBhAHkALABcAG4AIAAgACAAIAByAG8AdwBzAF8AYgBlAGYAbwByAGUALABcAG4AIAAgACAAIABbAHIAbwB3AHMAXwBhAGYAdABlAHIAXQAsAFwAbgAgACAAIAAgAFsAYwBvAGwAcwBfAGIAZQBmAG8AcgBlAF0ALABcAG4AIAAgACAAIABbAGMAbwBsAHMAXwBhAGYAdABlAHIAXQAsAFwAbgAgACAAIAAgAFsAcABhAGQAXwB3AGkAdABoAF0ALABcAG4ATABFAFQAKABcAG4AIAAgACAAIAAvAC8AIABTAGMAYQBsAGEAcgBpAHoAZQAgAGEAbgB5ACAAYQByAHIAYQB5ACAAaQBuAHAAdQB0AHMAXABuACAAIAAgACAASQC7AywAIAAgACAAIAAgACAAIAAgACAAIAAgACAAIAAgACAAIAAgAEwAQQBNAEIARABBACgAeAAsACAASQBOAEQARQBYACgAeAAsACAAMQAsACAAMQApACkALABcAG4AXABuACAAIAAgACAALwAvACAAUgBlAHMAbwBsAHYAZQAgAHAAYQBkAGQAaQBuAGcAIABjAG8AdQBuAHQAcwAgACgAbwBtAGkAdAB0AGUAZAAgAJIhIAByAG8AdwBzAF8AYgBlAGYAbwByAGUAKQBcAG4AIAAgACAAIAByAG8AdwBzAF8AYgBlAGYAbwByAGUALAAgACAAIAAgACAAIAAgACAASQC7AygAcgBvAHcAcwBfAGIAZQBmAG8AcgBlACkALABcAG4AIAAgACAAIAByAG8AdwBzAF8AYQBmAHQAZQByACwAIAAgACAAIAAgACAAIAAgACAASQC7AygASQBGACgASQBTAE8ATQBJAFQAVABFAEQAKAByAG8AdwBzAF8AYQBmAHQAZQByACkALAAgAHIAbwB3AHMAXwBiAGUAZgBvAHIAZQAsACAAcgBvAHcAcwBfAGEAZgB0AGUAcgApACkALABcAG4AIAAgACAAIABjAG8AbABzAF8AYgBlAGYAbwByAGUALAAgACAAIAAgACAAIAAgACAASQC7AygASQBGACgASQBTAE8ATQBJAFQAVABFAEQAKABjAG8AbABzAF8AYgBlAGYAbwByAGUAKQAsACAAcgBvAHcAcwBfAGIAZQBmAG8AcgBlACwAIABjAG8AbABzAF8AYgBlAGYAbwByAGUAKQApACwAXABuACAAIAAgACAAYwBvAGwAcwBfAGEAZgB0AGUAcgAsACAAIAAgACAAIAAgACAAIAAgAEkAuwMoAEkARgAoAEkAUwBPAE0ASQBUAFQARQBEACgAYwBvAGwAcwBfAGEAZgB0AGUAcgApACwAIAByAG8AdwBzAF8AYgBlAGYAbwByAGUALAAgAGMAbwBsAHMAXwBhAGYAdABlAHIAKQApACwAXABuAFwAbgAgACAAIAAgAC8ALwAgAFYAYQBsAGkAZABhAHQAZQAgAHAAYQBkAGQAaQBuAGcAIABjAG8AdQBuAHQAcwBcAG4AIAAgACAAIABJAG4AdgBhAGwAaQBkAEkAbgBzAD8ALAAgACAAIAAgACAAIAAgACAATwBSACgASQBTAFQARQBYAFQAKAByAG8AdwBzAF8AYgBlAGYAbwByAGUAKQAsAFwAbgAgACAAIAAgACAAIAAgACAAIAAgACAAIAAgACAAIAAgACAAIAAgACAAIAAgACAAIAAgACAAIABJAFMAVABFAFgAVAAoAHIAbwB3AHMAXwBhAGYAdABlAHIAKQAsAFwAbgAgACAAIAAgACAAIAAgACAAIAAgACAAIAAgACAAIAAgACAAIAAgACAAIAAgACAAIAAgACAAIABJAFMAVABFAFgAVAAoAGMAbwBsAHMAXwBiAGUAZgBvAHIAZQApACwAXABuACAAIAAgACAAIAAgACAAIAAgACAAIAAgACAAIAAgACAAIAAgACAAIAAgACAAIAAgACAAIAAgAEkAUwBUAEUAWABUACgAYwBvAGwAcwBfAGEAZgB0AGUAcgApACkALABcAG4AXABuACAAIAAgACAASQBGACgASQBuAHYAYQBsAGkAZABJAG4AcwA/ACwAIABcACIAIwBUAEUAWABUAC0AUABBAEQAIQBcACIALABcAG4AXABuAEwARQBUACgAXABuACAAIAAgACAALwAvACAAQQBwAHAAbAB5ACAAcgBvAHcAIABwAGEAZABkAGkAbgBnAFwAbgAgACAAIAAgAHAAYQBkAGQAZQBkAF8AcgBvAHcAcwAsACAAIAAgACAAIAAgACAAIABJAG4AcwB1AGwAYQB0AGUAUgBvAHcAcwC7AygAYQByAHIAYQB5ACwAIAByAG8AdwBzAF8AYgBlAGYAbwByAGUALAAgAHIAbwB3AHMAXwBhAGYAdABlAHIALAAgAHAAYQBkAF8AdwBpAHQAaAApACwAXABuAFwAbgAgACAAIAAgAC8ALwAgAEEAcABwAGwAeQAgAGMAbwBsAHUAbQBuACAAcABhAGQAZABpAG4AZwBcAG4AIAAgACAAIABwAGEAZABkAGUAZABfAGEAbABsACwAIAAgACAAIAAgACAAIAAgACAASQBuAHMAdQBsAGEAdABlAEMAbwBsAHMAuwMoAHAAYQBkAGQAZQBkAF8AcgBvAHcAcwAsACAAYwBvAGwAcwBfAGIAZQBmAG8AcgBlACwAIABjAG8AbABzAF8AYQBmAHQAZQByACwAIABwAGEAZABfAHcAaQB0AGgAKQAsAFwAbgBcAG4AIAAgACAAIABwAGEAZABkAGUAZABfAGEAbABsAFwAbgApACkAKQApADsAXABuAFwAbgBcAG4AXABuAC8AKgAgAFsAUwBBADEANQBdACAALQAtAC0ALQAtAC0ALQAtAC0ALQAtAC0ALQAtAC0ALQAtAC0ALQAtAC0ALQAtAC0ALQAtAC0ALQAtAC0ALQAtAC0ALQAtAC0ALQAtAC0ALQAtAC0ALQAtAC0ALQAtAC0ALQAtAC0ALQAtAC0ALQAtAC0ALQAtAC0ALQAtAC0ALQAtAC0ALQAtAC0ALQAtAFwAbgBGAHUAbgBjAHQAaQBvAG4AOgAgACAAIAAgACAASQBuAHMAdQBsAGEAdABlAFIAbwB3AHMAuwNcAG4AQwBhAHQAZQBnAG8AcgB5ADoAIAAgACAAIAAgADIARAAgAEEAcgByAGEAeQAgAFMAaABhAHAAaQBuAGcAIAAoAFAAYQBkAGQAaQBuAGcAKQBcAG4AQQB1AHQAaABvAHIAOgAgACAAIAAgACAAIAAgAFAAYQB0AHIAaQBjAGsAIABIAC4AXABuAFYAZQByAHMAaQBvAG4AOgAgACAAIAAgACAAIAAxAC4AMQBcAG4AXABuAEQAZQBzAGMAcgBpAHAAdABpAG8AbgA6AFwAbgAgACAAIAAgAEEAZABkAHMAIAByAG8AdwBzACAAbwBmACAAcABhAGQAZABpAG4AZwAgAGIAZQBmAG8AcgBlACAAYQBuAGQALwBvAHIAIABhAGYAdABlAHIAIABhAG4AIABpAG4AcAB1AHQAIABhAHIAcgBhAHkALgAgAEkAbgBzAHUAbABhAHQAZQBSAG8AdwBzALsDXABuACAAIAAgACAAZwBlAG4AZQByAGEAbABpAHoAZQBzACAARQBYAFAAQQBOAEQAIABiAHkAIABzAHUAcABwAG8AcgB0AGkAbgBnACAAcwB5AG0AbQBlAHQAcgBpAGMAYQBsACAAcABhAGQAZABpAG4AZwAsACAAegBlAHIAbwARIHAAYQBkAGQAaQBuAGcAIABvAG4AIABlAGkAdABoAGUAcgBcAG4AIAAgACAAIABzAGkAZABlACwAIABhAG4AZAAgAHMAYwBhAGwAYQByAGkAegBlAGQAIABwAGEAZABkAGkAbgBnACAAdgBhAGwAdQBlAHMALgBcAG4AXABuAFAAYQByAGEAbQBlAHQAZQByAHMAOgBcAG4AIAAgACAAIABhAHIAcgBhAHkAIAAgACAAIAAgACAAIAAgACAALQAgAEkAbgBwAHUAdAAgAGEAcgByAGEAeQAgACgAcwBjAGEAbABhAHIALAAgADEARAAsACAAbwByACAAMgBEACkALgBcAG4AIAAgACAAIAByAG8AdwBzAF8AYgBlAGYAbwByAGUAIAAgACAALQAgAFIAbwB3AHMAIAB0AG8AIABwAGEAZAAgAGEAYgBvAHYAZQAgAHQAaABlACAAYQByAHIAYQB5AC4AXABuAFwAbgBPAHAAdABpAG8AbgBhAGwAOgBcAG4AIAAgACAAIABbAHIAbwB3AHMAXwBhAGYAdABlAHIAXQAgACAALQAgAFIAbwB3AHMAIAB0AG8AIABwAGEAZAAgAGIAZQBsAG8AdwAgACgAZABlAGYAYQB1AGwAdABzACAAdABvACAAcgBvAHcAcwBfAGIAZQBmAG8AcgBlACkALgBcAG4AIAAgACAAIABbAHAAYQBkAF8AdwBpAHQAaABdACAAIAAgACAALQAgAFMAYwBhAGwAYQByACAAcABhAGQAZABpAG4AZwAgAHYAYQBsAHUAZQAgACgAZABlAGYAYQB1AGwAdAAgAD0AIABcACIAXAAiACkALgBcAG4AXABuAE4AbwB0AGUAcwA6AFwAbgAgACAAIAAgACIgIABJAGYAIABiAG8AdABoACAAcgBvAHcAcwBfAGIAZQBmAG8AcgBlACAAYQBuAGQAIAByAG8AdwBzAF8AYQBmAHQAZQByACAAPQAgADAALAAgAHQAaABlACAAaQBuAHAAdQB0ACAAYQByAHIAYQB5ACAAaQBzACAAcgBlAHQAdQByAG4AZQBkAC4AXABuACAAIAAgACAAIiAgAHIAbwB3AHMAXwBhAGYAdABlAHIAIABkAGUAZgBhAHUAbAB0AHMAIAB0AG8AIAByAG8AdwBzAF8AYgBlAGYAbwByAGUAIAB1AG4AbABlAHMAcwAgAGUAeABwAGwAaQBjAGkAdABsAHkAIABzAGUAdAAgAHQAbwAgADAALgBcAG4AIAAgACAAIAAiICAAcABhAGQAXwB3AGkAdABoACAAaQBzACAAcwBjAGEAbABhAHIAaQB6AGUAZAAgAHQAbwAgAGEAIAAxANcAMQAgAHYAYQBsAHUAZQAuAFwAbgAgACAAIAAgACIgIABOAGUAZwBhAHQAaQB2AGUAIABvAHIAIAB0AGUAeAB0ACAAcABhAGQAZABpAG4AZwAgAGMAbwB1AG4AdABzACAAcgBlAHQAdQByAG4AIABcACIAIwBSAE8AVwBTAC0AQgBFAEYATwBSAEUALwBBAEYAVABFAFIAIQBcACIALgBcAG4ALQAtAC0ALQAtAC0ALQAtAC0ALQAtAC0ALQAtAC0ALQAtAC0ALQAtAC0ALQAtAC0ALQAtAC0ALQAtAC0ALQAtAC0ALQAtAC0ALQAtAC0ALQAtAC0ALQAtAC0ALQAtAC0ALQAtAC0ALQAtAC0ALQAtAC0ALQAtAC0ALQAtAC0ALQAtAC0ALQAtAC0ALQAtAC0ALQAtAC0ALQAtAC0AKgAvAFwAbgBcAG4ASQBuAHMAdQBsAGEAdABlAFIAbwB3AHMAuwMgAD0AXABuAEwAQQBNAEIARABBACgAXABuACAAIAAgACAAYQByAHIAYQB5ACwAXABuACAAIAAgACAAcgBvAHcAcwBfAGIAZQBmAG8AcgBlACwAXABuACAAIAAgACAAWwByAG8AdwBzAF8AYQBmAHQAZQByAF0ALABcAG4AIAAgACAAIABbAHAAYQBkAF8AdwBpAHQAaABdACwAXABuAEwARQBUACg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PAHAAdABpAG8AbgBhAGwAIABwAGEAcgBhAG0AZQB0AGUAcgBzAFwAbgAgACAAIAAgAHIAbwB3AHMAXwBhAGYAdABlAHIALAAgACAAIAAgACAAIAAgACAAIABJAEYAKABJAFMATwBNAEkAVABUAEUARAAoAHIAbwB3AHMAXwBhAGYAdABlAHIAKQAsACAAcgBvAHcAcwBfAGIAZQBmAG8AcgBlACwAIAByAG8AdwBzAF8AYQBmAHQAZQByACkALABcAG4AIAAgACAAIABwAGEAZABfAHcAaQB0AGgALAAgACAAIAAgACAAIAAgACAAIAAgACAASQBOAEQARQBYACgASQBGACgASQBTAE8ATQBJAFQAVABFAEQAKABwAGEAZABfAHcAaQB0AGgAKQAsACAAXAAiAFwAIgAsACAAcABhAGQAXwB3AGkAdABoACkALAAgADEALAAgADEAKQAsAFwAbgBcAG4AIAAgACAAIAAvAC8AIABWAGEAbABpAGQAYQB0AGkAbwBuAFwAbgAgACAAIAAgAEkAbgB2AGEAbABpAGQAUABhAGQAQwBvAHUAbgB0AD8ALAAgACAAIABPAFIAKABJAFMAVABFAFgAVAAoAHIAbwB3AHMAXwBiAGUAZgBvAHIAZQApACwAXABuACAAIAAgACAAIAAgACAAIAAgACAAIAAgACAAIAAgACAAIAAgACAAIAAgACAAIAAgACAAIAAgAEkAUwBUAEUAWABUACgAcgBvAHcAcwBfAGEAZgB0AGUAcgApACwAXABuACAAIAAgACAAIAAgACAAIAAgACAAIAAgACAAIAAgACAAIAAgACAAIAAgACAAIAAgACAAIAAgAHIAbwB3AHMAXwBiAGUAZgBvAHIAZQAgADwAIAAwACwAXABuACAAIAAgACAAIAAgACAAIAAgACAAIAAgACAAIAAgACAAIAAgACAAIAAgACAAIAAgACAAIAAgAHIAbwB3AHMAXwBhAGYAdABlAHIAIAA8ACAAMAApACwAXABuAFwAbgAgACAAIAAgAC8ALwAgAE4AbwARIHAAYQBkAGQAaQBuAGcAIABzAGMAZQBuAGEAcgBpAG8AXABuACAAIAAgACAATgBvAFAAYQBkAGQAaQBuAGcAPwAsACAAIAAgACAAIAAgACAAIAAgAEEATgBEACgAcgBvAHcAcwBfAGIAZQBmAG8AcgBlACAAPQAgADAALAAgAHIAbwB3AHMAXwBhAGYAdABlAHIAIAA9ACAAMAApACwAXABuAFwAbgAvAC8AIABMAG8AZwBpAGMAIABnAGEAdABlAFwAbgAgACAAIAAgAEkARgAoAEkAbgB2AGEAbABpAGQAUABhAGQAQwBvAHUAbgB0AD8ALAAgAFwAIgAjAFIATwBXAFMALQBCAEUARgBPAFIARQAvAEEARgBUAEUAUgAhAFwAIgAsAFwAbgBcAG4AIAAgACAAIAAgACAAIAAgAEkARgAoAE4AbwBQAGEAZABkAGkAbgBnAD8ALAAgAGEAcgByAGEAeQAsAFwAbgBcAG4ATABFAFQAKABcAG4AIAAgACAAIAAvAC8AIABQAGEAZABkAGkAbgBnACAAYgBsAG8AYwBrAHMAXABuACAAIAAgACAAcABhAGQAXwBiAGUAZgBvAHIAZQAsACAAIAAgACAAIAAgACAAIAAgAEUAWABQAEEATgBEACgAcABhAGQAXwB3AGkAdABoACwAIAByAG8AdwBzAF8AYgBlAGYAbwByAGUALAAgAHcALAAgAHAAYQBkAF8AdwBpAHQAaAApACwAXABuACAAIAAgACAAcABhAGQAXwBhAGYAdABlAHIALAAgACAAIAAgACAAIAAgACAAIAAgAEUAWABQAEEATgBEACgAcABhAGQAXwB3AGkAdABoACwAIAByAG8AdwBzAF8AYQBmAHQAZQByACwAIAB3ACwAIABwAGEAZABfAHcAaQB0AGgAKQAsAFwAbgBcAG4AIAAgACAAIAAvAC8AIABTAGMAZQBuAGEAcgBpAG8AcwBcAG4AIAAgACAAIABiAGUAZgBvAHIAZQBfAG8AbgBsAHkAPwAsACAAIAAgACAAIAAgACAAQQBOAEQAKAByAG8AdwBzAF8AYgBlAGYAbwByAGUAIAA8AD4AIAAwACwAIAByAG8AdwBzAF8AYQBmAHQAZQByACAAPQAgADAAKQAsAFwAbgAgACAAIAAgAGEAZgB0AGUAcgBfAG8AbgBsAHkAPwAsACAAIAAgACAAIAAgACAAIABBAE4ARAAoAHIAbwB3AHMAXwBiAGUAZgBvAHIAZQAgAD0AIAAwACwAIAByAG8AdwBzAF8AYQBmAHQAZQByACAAPAA+ACAAMAApACwAXABuACAAIAAgACAAZgB1AGwAbAB5AF8AaQBuAHMAdQBsAGEAdABlAGQAPwAsACAAIAAgAEEATgBEACgAcgBvAHcAcwBfAGIAZQBmAG8AcgBlACAAPAA+ACAAMAAsACAAcgBvAHcAcwBfAGEAZgB0AGUAcgAgADwAPgAgADAAKQAsAFwAbgBcAG4AIAAgACAAIAAvAC8AIABTAHQAYQBuAGQAYQByAGQAIABFAFgAUABBAE4ARAAgAGYAbwByACAAYQBmAHQAZQByABEgbwBuAGwAeQAgAGMAYQBzAGUAXABuACAAIAAgACAAawAsACAAIAAgACAAIAAgACAAIAAgACAAIAAgACAAIAAgACAAIAAgAHIAbwB3AHMAXwBhAGYAdABlAHIAIAArACAAaAAsAFwAbgAgACAAIAAgAGUAeABwAGEAbgBkAF8AbwBuAGwAeQAsACAAIAAgACAAIAAgACAAIABFAFgAUABBAE4ARAAoAGEAcgByAGEAeQAsACAAawAsACAAdwAsACAAcABhAGQAXwB3AGkAdABoACkALABcAG4AXABuACAAIAAgACAALwAvACAAQQByAHIAYQBuAGcAZQBtAGUAbgB0AHMAXABuACAAIAAgACAAaQBuAHMAdQBsAGEAdABlAF8AYgBlAGYAbwByAGUALAAgACAAIAAgAFYAUwBUAEEAQwBLACgAcABhAGQAXwBiAGUAZgBvAHIAZQAsACAAYQByAHIAYQB5ACkALABcAG4AIAAgACAAIABpAG4AcwB1AGwAYQB0AGUAXwBhAGwAbAAsACAAIAAgACAAIAAgACAAVgBTAFQAQQBDAEsAKABwAGEAZABfAGIAZQBmAG8AcgBlACwAIABhAHIAcgBhAHkALAAgAHAAYQBkAF8AYQBmAHQAZQByACkALABcAG4AXABuACAAIAAgACAALwAvACAAUwBlAGwAZQBjAHQAaQBvAG4AXABuACAAIAAgACAAcgBlAHMAdQBsAHQALAAgACAAIAAgACAAIAAgACAAIAAgACAAIAAgAEkARgAoAGYAdQBsAGwAeQBfAGkAbgBzAHUAbABhAHQAZQBkAD8ALAAgAGkAbgBzAHUAbABhAHQAZQBfAGEAbABsACwAXABuACAAIAAgACAAIAAgACAAIAAgACAAIAAgACAAIAAgACAAIAAgACAAIAAgACAAIAAgACAAIAAgACAASQBGACgAYgBlAGYAbwByAGUAXwBvAG4AbAB5AD8ALAAgACAAIABpAG4AcwB1AGwAYQB0AGUAXwBiAGUAZgBvAHIAZQAsAFwAbgAgACAAIAAgACAAIAAgACAAIAAgACAAIAAgACAAIAAgACAAIAAgACAAIAAgACAAIAAgACAAIAAgACAAIAAgACAAIAAgACAAIAAgACAAIAAgACAAIAAgACAAIAAgACAAIAAgAGUAeABwAGEAbgBkAF8AbwBuAGwAeQApACkALABcAG4AXABuACAAIAAgACAAcgBlAHMAdQBsAHQAXABuACkAKQApACkAKQA7AFwAbgBcAG4AXABuAFwAbgAvACoAIABbAFMAQQAxADYAXQAgAC0ALQAtAC0ALQAtAC0ALQAtAC0ALQAtAC0ALQAtAC0ALQAtAC0ALQAtAC0ALQAtAC0ALQAtAC0ALQAtAC0ALQAtAC0ALQAtAC0ALQAtAC0ALQAtAC0ALQAtAC0ALQAtAC0ALQAtAC0ALQAtAC0ALQAtAC0ALQAtAC0ALQAtAC0ALQAtAC0ALQAtAC0ALQBcAG4ARgB1AG4AYwB0AGkAbwBuADoAIAAgACAAIAAgAEkAbgBzAHUAbABhAHQAZQBDAG8AbABzALsDXABuAEMAYQB0AGUAZwBvAHIAeQA6ACAAIAAgACAAIAAyAEQAIABBAHIAcgBhAHkAIABTAGgAYQBwAGkAbgBnACAAKABQAGEAZABkAGkAbgBnACkAXABuAEEAdQB0AGgAbwByADoAIAAgACAAIAAgACAAIABQAGEAdAByAGkAYwBrACAASAAuAFwAbgBWAGUAcgBzAGkAbwBuADoAIAAgACAAIAAgACAAMQAuADEAXABuAEQAZQBwAGUAbgBkAGUAbgBjAGkAZQBzADoAIABJAG4AcwB1AGwAYQB0AGUAUgBvAHcAcwC7A1wAbgBcAG4ARABlAHMAYwByAGkAcAB0AGkAbwBuADoAXABuACAAIAAgACAAQQBkAGQAcwAgAGMAbwBsAHUAbQBuAHMAIABvAGYAIABwAGEAZABkAGkAbgBnACAAYgBlAGYAbwByAGUAIABhAG4AZAAvAG8AcgAgAGEAZgB0AGUAcgAgAGEAbgAgAGkAbgBwAHUAdAAgAGEAcgByAGEAeQAuACAASQBuAHMAdQBsAGEAdABlAEMAbwBsAHMAuwMgAGkAcwBcAG4AIAAgACAAIAB0AGgAZQAgAGMAbwBsAHUAbQBuABEgbwByAGkAZQBuAHQAZQBkACAAYwBvAHUAbgB0AGUAcgBwAGEAcgB0ACAAdABvACAASQBuAHMAdQBsAGEAdABlAFIAbwB3AHMAuwMuACAAVABoAGUAIABhAHIAcgBhAHkAIABpAHMAIABuAG8AcgBtAGEAbABpAHoAZQBkACAAdABvAFwAbgAgACAAIAAgAHYAZQByAHQAaQBjAGEAbAAgAG8AcgBpAGUAbgB0AGEAdABpAG8AbgAsACAAcABhAGQAZABlAGQAIAB2AGkAYQAgAEkAbgBzAHUAbABhAHQAZQBSAG8AdwBzALsDLAAgAGEAbgBkACAAcgBlAHMAdABvAHIAZQBkACAAdABvACAAaQB0AHMAIABvAHIAaQBnAGkAbgBhAGwAXABuACAAIAAgACAAbwByAGkAZQBuAHQAYQB0AGkAbwBuAC4AXABuAFwAbgBQAGEAcgBhAG0AZQB0AGUAcgBzADoAXABuACAAIAAgACAAYQByAHIAYQB5ACAAIAAgACAAIAAgACAAIAAgACAAIAAgAC0AIABJAG4AcAB1AHQAIABhAHIAcgBhAHkAIAAoAHMAYwBhAGwAYQByACwAIAAxAEQALAAgAG8AcgAgADIARAApAC4AXABuACAAIAAgACAAYwBvAGwAdQBtAG4AcwBfAGIAZQBmAG8AcgBlACAAIAAgAC0AIABDAG8AbAB1AG0AbgBzACAAdABvACAAcABhAGQAIAB0AG8AIAB0AGgAZQAgAGwAZQBmAHQALgBcAG4AXABuAE8AcAB0AGkAbwBuAGEAbAA6AFwAbgAgACAAIAAgAFsAYwBvAGwAdQBtAG4AcwBfAGEAZgB0AGUAcgBdACAAIAAtACAAQwBvAGwAdQBtAG4AcwAgAHQAbwAgAHAAYQBkACAAdABvACAAdABoAGUAIAByAGkAZwBoAHQAIAAoAGQAZQBmAGEAdQBsAHQAcwAgAHQAbwAgAGMAbwBsAHUAbQBuAHMAXwBiAGUAZgBvAHIAZQApAC4AXABuACAAIAAgACAAWwBwAGEAZABfAHcAaQB0AGgAXQAgACAAIAAgACAAIAAgAC0AIABTAGMAYQBsAGEAcgAgAHAAYQBkAGQAaQBuAGcAIAB2AGEAbAB1AGUAIAAoAGQAZQBmAGEAdQBsAHQAIAA9ACAAXAAiAFwAIgApAC4AXABuAFwAbgBOAG8AdABlAHMAOgBcAG4AIAAgACAAIAAiICAASQBmACAAYgBvAHQAaAAgAGMAbwBsAHUAbQBuAHMAXwBiAGUAZgBvAHIAZQAgAGEAbgBkACAAYwBvAGwAdQBtAG4AcwBfAGEAZgB0AGUAcgAgAD0AIAAwACwAIAB0AGgAZQAgAGkAbgBwAHUAdAAgAGEAcgByAGEAeQAgAGkAcwAgAHIAZQB0AHUAcgBuAGUAZAAuAFwAbgAgACAAIAAgACIgIABjAG8AbAB1AG0AbgBzAF8AYQBmAHQAZQByACAAZABlAGYAYQB1AGwAdABzACAAdABvACAAYwBvAGwAdQBtAG4AcwBfAGIAZQBmAG8AcgBlACAAdQBuAGwAZQBzAHMAIABlAHgAcABsAGkAYwBpAHQAbAB5ACAAcwBlAHQAIAB0AG8AIAAwAC4AXABuACAAIAAgACAAIiAgAHAAYQBkAF8AdwBpAHQAaAAgAGkAcwAgAHMAYwBhAGwAYQByAGkAegBlAGQAIAB0AG8AIABhACAAMQDXADEAIAB2AGEAbAB1AGUALgBcAG4AIAAgACAAIAAiICAATgBlAGcAYQB0AGkAdgBlACAAcABhAGQAZABpAG4AZwAgAGMAbwB1AG4AdABzACAAaABhAGwAdAAgAGkAbgBzAGkAZABlACAASQBuAHMAdQBsAGEAdABlAFIAbwB3AHMAuwMuAFwAbgAtAC0ALQAtAC0ALQAtAC0ALQAtAC0ALQAtAC0ALQAtAC0ALQAtAC0ALQAtAC0ALQAtAC0ALQAtAC0ALQAtAC0ALQAtAC0ALQAtAC0ALQAtAC0ALQAtAC0ALQAtAC0ALQAtAC0ALQAtAC0ALQAtAC0ALQAtAC0ALQAtAC0ALQAtAC0ALQAtAC0ALQAtAC0ALQAtAC0ALQAtAC0ALQAqAC8AXABuAFwAbgBJAG4AcwB1AGwAYQB0AGUAQwBvAGwAcwC7AyAAPQBcAG4ATABBAE0AQgBEAEEAKABcAG4AIAAgACAAIABhAHIAcgBhAHkALABcAG4AIAAgACAAIABjAG8AbAB1AG0AbgBzAF8AYgBlAGYAbwByAGUALABcAG4AIAAgACAAIABbAGMAbwBsAHUAbQBuAHMAXwBhAGYAdABlAHIAXQAsAFwAbgAgACAAIAAgAFsAcABhAGQAXwB3AGkAdABoAF0ALABcAG4ATABFAFQAKABcAG4AIAAgACAAIAAvAC8AIABOAG8AcgBtAGEAbABpAHoAZQAgAHQAbwAgAHYAZQByAHQAaQBjAGEAbAAgAG8AcgBpAGUAbgB0AGEAdABpAG8AbgBcAG4AIAAgACAAIABhAHIAcgBhAHkAXwB2ACwAIAAgACAAIAAgACAAIAAgAFQAUgBBAE4AUwBQAE8AUwBFACgAYQByAHIAYQB5ACkALABcAG4AXABuACAAIAAgACAALwAvACAAQQBwAHAAbAB5ACAAcgBvAHcAESBwAGEAZABkAGkAbgBnACAAaQBuACAAdgBlAHIAdABpAGMAYQBsACAAcwBwAGEAYwBlAFwAbgAgACAAIAAgAHAAYQBkAGQAZQBkAF8AdgAsACAAIAAgACAAIAAgACAASQBuAHMAdQBsAGEAdABlAFIAbwB3AHMAuwMoAGEAcgByAGEAeQBfAHYALAAgAGMAbwBsAHUAbQBuAHMAXwBiAGUAZgBvAHIAZQAsACAAYwBvAGwAdQBtAG4AcwBfAGEAZgB0AGUAcgAsACAAcABhAGQAXwB3AGkAdABoACkALABcAG4AXABuACAAIAAgACAALwAvACAAUgBlAHMAdABvAHIAZQAgAG8AcgBpAGcAaQBuAGEAbAAgAG8AcgBpAGUAbgB0AGEAdABpAG8AbgBcAG4AIAAgACAAIAByAGUAcwB1AGwAdAAsACAAIAAgACAAIAAgACAAIAAgAFQAUgBBAE4AUwBQAE8AUwBFACgAcABhAGQAZABlAGQAXwB2ACkALABcAG4AXABuACAAIAAgACAAcgBlAHMAdQBsAHQAXABuACkAKQA7AFwAbgBcAG4AXABuAFwAbgAvACoAIABbAFMAQQAxADcAXQAgAC0ALQAtAC0ALQAtAC0ALQAtAC0ALQAtAC0ALQAtAC0ALQAtAC0ALQAtAC0ALQAtAC0ALQAtAC0ALQAtAC0ALQAtAC0ALQAtAC0ALQAtAC0ALQAtAC0ALQAtAC0ALQAtAC0ALQAtAC0ALQAtAC0ALQAtAC0ALQAtAC0ALQAtAC0ALQAtAC0ALQAtAC0ALQAtAC0AXABuAEYAdQBuAGMAdABpAG8AbgA6ACAAIAAgACAAIABNAGEAZwBuAGkAZgB5ALsDXABuAEMAYQB0AGUAZwBvAHIAeQA6ACAAIAAgACAAIAAyAEQAIABBAHIAcgBhAHkAIABTAGgAYQBwAGkAbgBnACAAKABJAG4AdABlAHIAcABvAGwAYQB0AGkAbwBuACkAXABuAEEAdQB0AGgAbwByADoAIAAgACAAIAAgACAAIABQAGEAdAByAGkAYwBrACAASAAuAFwAbgBWAGUAcgBzAGkAbwBuADoAIAAgACAAIAAgACAAMQAuADEAXABuAFwAbgBEAGUAcwBjAHIAaQBwAHQAaQBvAG4AOgBcAG4AIAAgACAAIABFAHgAcABhAG4AZABzACAAZQBhAGMAaAAgAGUAbABlAG0AZQBuAHQAIABvAGYAIABhAG4AIABpAG4AcAB1AHQAIABhAHIAcgBhAHkAIABpAG4AdABvACAAYQAgAGIAbABvAGMAawAgAG8AZgAgAHMAcABlAGMAaQBmAGkAZQBkACAAaABlAGkAZwBoAHQAIABhAG4AZABcAG4AIAAgACAAIAB3AGkAZAB0AGgAIAB1AHMAaQBuAGcAIABuAGUAYQByAGUAcwB0ABEgbgBlAGkAZwBoAGIAbwByACAAaQBuAHQAZQByAHAAbwBsAGEAdABpAG8AbgAuACAAUwB1AHAAcABvAHIAdABzACAAcwBjAGEAbABhAHIAcwAsACAAMQBEACAAYQByAHIAYQB5AHMALAAgAGEAbgBkAFwAbgAgACAAIAAgADIARAAgAGEAcgByAGEAeQBzAC4AXABuAFwAbgBQAGEAcgBhAG0AZQB0AGUAcgBzADoAXABuACAAIAAgACAAYQByAHIAYQB5ACAAIAAgACAAIAAgACAALQAgAEkAbgBwAHUAdAAgAGEAcgByAGEAeQAgAHQAbwAgAG0AYQBnAG4AaQBmAHkALgBcAG4AIAAgACAAIABoAGUAaQBnAGgAdAAgACAAIAAgACAAIAAtACAATgB1AG0AYgBlAHIAIABvAGYAIAByAG8AdwBzACAAZgBvAHIAIABlAGEAYwBoACAAbQBhAGcAbgBpAGYAaQBlAGQAIABlAGwAZQBtAGUAbgB0ACAAKABwAG8AcwBpAHQAaQB2AGUAIABzAGMAYQBsAGEAcgApAC4AXABuACAAIAAgACAAdwBpAGQAdABoACAAIAAgACAAIAAgACAALQAgAE4AdQBtAGIAZQByACAAbwBmACAAYwBvAGwAdQBtAG4AcwAgAGYAbwByACAAZQBhAGMAaAAgAG0AYQBnAG4AaQBmAGkAZQBkACAAZQBsAGUAbQBlAG4AdAAgACgAcABvAHMAaQB0AGkAdgBlACAAcwBjAGEAbABhAHIAKQAuAFwAbgBcAG4ATgBvAHQAZQBzADoAXABuACAAIAAgACAAIiAgAGgAZQBpAGcAaAB0ACAAYQBuAGQAIAB3AGkAZAB0AGgAIABtAHUAcwB0ACAAYgBlACAAcwBjAGEAbABhAHIALAAgAG4AdQBtAGUAcgBpAGMALAAgAGEAbgBkACAAPgAgADAALgBcAG4AIAAgACAAIAAiICAAVQBzAGUAcwAgAG4AZQBhAHIAZQBzAHQAESBuAGUAaQBnAGgAYgBvAHIAIABlAHgAcABhAG4AcwBpAG8AbgAgAHYAaQBhACAAaQBuAGQAZQB4ACAAcgBlAHAAbABpAGMAYQB0AGkAbwBuAC4AXABuAC0ALQAtAC0ALQAtAC0ALQAtAC0ALQAtAC0ALQAtAC0ALQAtAC0ALQAtAC0ALQAtAC0ALQAtAC0ALQAtAC0ALQAtAC0ALQAtAC0ALQAtAC0ALQAtAC0ALQAtAC0ALQAtAC0ALQAtAC0ALQAtAC0ALQAtAC0ALQAtAC0ALQAtAC0ALQAtAC0ALQAtAC0ALQAtAC0ALQAtAC0ALQAtACoALwBcAG4AXABuAE0AYQBnAG4AaQBmAHkAuwMgAD0AXABuAEwAQQBNAEIARABBACgAXABuACAAIAAgACAAYQByAHIAYQB5ACwAXABuACAAIAAgACAAaABlAGkAZwBoAHQALABcAG4AIAAgACAAIAB3AGkAZAB0AGgALABcAG4AXABuAC8ALwAgAEwAbwBnAGkAYwAgAGcAYQB0AGUAXABuAEkARgAoAE8AUgAoAEMATwBVAE4AVAAoAGgAZQBpAGcAaAB0ACkAIAA8AD4AIAAxACwAIABDAE8AVQBOAFQAKAB3AGkAZAB0AGgAKQAgADwAPgAgADEAKQAsAFwAIgAjAFYAQQBMAFUARQAhAFwAIgAsAFwAbgBcAG4AIAAgACAAIABJAEYAKABPAFIAKABJAFMAVABFAFgAVAAoAGgAZQBpAGcAaAB0ACkALAAgAEkAUwBUAEUAWABUACgAdwBpAGQAdABoACkAKQAsAFwAIgAjAFQARQBYAFQAIQBcACIALABcAG4AXABuACAAIAAgACAAIAAgACAAIABJAEYAKABPAFIAKABoAGUAaQBnAGgAdAAgADwAPQAgADAALAAgAHcAaQBkAHQAaAAgADwAPQAgADAAKQAsAFwAIgAjAFYAQQBMAFUARQAhAFwAIgAsAFwAbgBcAG4ATABFAFQAKABcAG4AIAAgACAAIAAvAC8AIABEAGkAbQBlAG4AcwBpAG8AbgBzACAAbwBmACAAbQBhAGcAbgBpAGYAaQBlAGQAIABvAHUAdABwAHUAdABcAG4AIAAgACAAIABpACwAIAAgACAAIAAgACAAUgBPAFcAUwAoAGEAcgByAGEAeQApACAAKgAgAGgAZQBpAGcAaAB0ACwAXABuACAAIAAgACAAagAsACAAIAAgACAAIAAgAEMATwBMAFUATQBOAFMAKABhAHIAcgBhAHkAKQAgACoAIAB3AGkAZAB0AGgALABcAG4AXABuACAAIAAgACAALwAvACAATQBlAHMAaAAgAGcAcgBpAGQAIABmAG8AcgAgAG4AZQBhAHIAZQBzAHQAESBuAGUAaQBnAGgAYgBvAHIAIAByAGUAcABsAGkAYwBhAHQAaQBvAG4AXABuACAAIAAgACAAeAAsACAAIAAgACAAIAAgAEwAQQBNAEIARABBACgASQBOAFQAKABTAEUAUQBVAEUATgBDAEUAKABpACwALAAsACAAMQAgAC8AIABoAGUAaQBnAGgAdAApACkAXABuACAAIAAgACAAIAAgACAAIAAgACAAIAAgACAAIAAgACAAIAAgACAAIAAgACAAIAAgACAAIAAgACoAIABTAEUAUQBVAEUATgBDAEUAKAAsACAAagAsACAAMQAsACAAMAApACkALABcAG4AXABuACAAIAAgACAAeQAsACAAIAAgACAAIAAgAEwAQQBNAEIARABBACgASQBOAFQAKABTAEUAUQBVAEUATgBDAEUAKAAsACAAagAsACwAIAAxACAALwAgAHcAaQBkAHQAaAApACkAXABuACAAIAAgACAAIAAgACAAIAAgACAAIAAgACAAIAAgACAAIAAgACAAIAAgACAAIAAgACAAIAAgACoAIABTAEUAUQBVAEUATgBDAEUAKABpACwALAAgADEALAAgADAAKQApACwAXABuAFwAbgAgACAAIAAgAC8ALwAgAEQAZQBmAGUAcgByAGUAZAAgAGUAdgBhAGwAdQBhAHQAaQBvAG4AXABuACAAIAAgACAAcgBlAHMAdQBsAHQALAAgAEkATgBEAEUAWAAoAGEAcgByAGEAeQAsACAAeAAoACkALAAgAHkAKAApACkALABcAG4AXABuACAAIAAgACAAcgBlAHMAdQBsAHQAXABuACkAKQApACkAKQA7AFwAbgBcAG4AXABuAFwAbgAvACoAIABbAFMAQQAxADgAXQAgAC0ALQAtAC0ALQAtAC0ALQAtAC0ALQAtAC0ALQAtAC0ALQAtAC0ALQAtAC0ALQAtAC0ALQAtAC0ALQAtAC0ALQAtAC0ALQAtAC0ALQAtAC0ALQAtAC0ALQAtAC0ALQAtAC0ALQAtAC0ALQAtAC0ALQAtAC0ALQAtAC0ALQAtAC0ALQAtAC0ALQAtAC0ALQAtAC0AXABuAEYAdQBuAGMAdABpAG8AbgA6ACAAIAAgACAAIABaAG8AbwBtALsDXABuAEMAYQB0AGUAZwBvAHIAeQA6ACAAIAAgACAAIAAyAEQAIABBAHIAcgBhAHkAIABTAGgAYQBwAGkAbgBnACAAKABLAGUAcgBuAGUAbAAgAEUAeABwAGEAbgBzAGkAbwBuACkAXABuAEEAdQB0AGgAbwByADoAIAAgACAAIAAgACAAIABQAGEAdAByAGkAYwBrACAASAAuAFwAbgBWAGUAcgBzAGkAbwBuADoAIAAgACAAIAAgACAAMQAuADEAXABuAEQAZQBwAGUAbgBkAGUAbgBjAGkAZQBzADoAIABSAGUAcwBpAHoAZQC7A1wAbgBcAG4ARABlAHMAYwByAGkAcAB0AGkAbwBuADoAXABuACAAIAAgACAARQB4AHAAYQBuAGQAcwAgAGUAYQBjAGgAIABlAGwAZQBtAGUAbgB0ACAAbwBmACAAYQBuACAAaQBuAHAAdQB0ACAAYQByAHIAYQB5ACAAaQBuAHQAbwAgAGEAIABiAGwAbwBjAGsAIAB3AGgAbwBzAGUAIABzAGkAegBlACAAbQBhAHQAYwBoAGUAcwAgAHQAaABlAFwAbgAgACAAIAAgAGgAZQBpAGcAaAB0ACAA1wAgAHcAaQBkAHQAaAAgAG8AZgAgAHoAbwBvAG0AXwBrAGUAcgBuAGUAbAAuACAARQBhAGMAaAAgAGUAeABwAGEAbgBkAGUAZAAgAGIAbABvAGMAawAgAGkAcwAgAGYAbwByAG0AZQBkACAAYgB5ACAAYQBkAGQAaQBuAGcAIAB0AGgAZQBcAG4AIAAgACAAIABlAGwAZQBtAGUAbgB0ACAAdgBhAGwAdQBlACAAdABvACAAdABoAGUAIAB6AG8AbwBtAF8AawBlAHIAbgBlAGwALgAgAEkAbgB0AGUAbgBkAGUAZAAgAHMAdAByAGkAYwB0AGwAeQAgAGYAbwByACAAbgB1AG0AZQByAGkAYwAgAGEAcgByAGEAeQBzACAAYQBuAGQAXABuACAAIAAgACAAbgB1AG0AZQByAGkAYwAgAGsAZQByAG4AZQBsAHMALgBcAG4AXABuAFAAYQByAGEAbQBlAHQAZQByAHMAOgBcAG4AIAAgACAAIABhAHIAcgBhAHkAIAAgACAAIAAgACAAIAAgAC0AIAAxAEQAIABvAHIAIAAyAEQAIABuAHUAbQBlAHIAaQBjACAAYQByAHIAYQB5ACAAKABzAGMAYQBsAGEAcgBzACAAYQBsAGwAbwB3AGUAZAApAC4AXABuACAAIAAgACAAegBvAG8AbQBfAGsAZQByAG4AZQBsACAAIAAtACAATgB1AG0AZQByAGkAYwAgAGsAZQByAG4AZQBsACAAZABlAGYAaQBuAGkAbgBnACAAZQB4AHAAYQBuAHMAaQBvAG4AIABoAGUAaQBnAGgAdAAgAGEAbgBkACAAdwBpAGQAdABoAC4AXABuAFwAbgBOAG8AdABlAHMAOgBcAG4AIAAgACAAIAAiICAAUgBlAHQAdQByAG4AcwAgAFwAIgAjAEEAUgBSAEEAWQAhAFwAIgAgAGkAZgAgAGEAbgB5ACAAYQByAHIAYQB5ACAAZQBsAGUAbQBlAG4AdABzACAAYQByAGUAIABuAG8AbgARIG4AdQBtAGUAcgBpAGMALgBcAG4AIAAgACAAIAAiICAAUgBlAHQAdQByAG4AcwAgAFwAIgAjAEsARQBSAE4ARQBMACEAXAAiACAAaQBmACAAYQBuAHkAIABrAGUAcgBuAGUAbAAgAGUAbABlAG0AZQBuAHQAcwAgAGEAcgBlACAAbgBvAG4AESBuAHUAbQBlAHIAaQBjAC4AXABuACAAIAAgACAAIiAgAEkAZgAgAHoAbwBvAG0AXwBrAGUAcgBuAGUAbAAgAGkAcwAgADEA1wAxACwAIABaAG8AbwBtALsDIAByAGUAZAB1AGMAZQBzACAAdABvACAAYQByAHIAYQB5ACAAKwAgAHMAYwBhAGwAYQByAC4AXABuAC0ALQAtAC0ALQAtAC0ALQAtAC0ALQAtAC0ALQAtAC0ALQAtAC0ALQAtAC0ALQAtAC0ALQAtAC0ALQAtAC0ALQAtAC0ALQAtAC0ALQAtAC0ALQAtAC0ALQAtAC0ALQAtAC0ALQAtAC0ALQAtAC0ALQAtAC0ALQAtAC0ALQAtAC0ALQAtAC0ALQAtAC0ALQAtAC0ALQAtAC0ALQAtACoALwBcAG4AXABuAFoAbwBvAG0AuwMgAD0AXABuAEwAQQBNAEIARABBACgAXABuACAAIAAgACAAYQByAHIAYQB5ACwAXABuACAAIAAgACAAegBvAG8AbQBfAGsAZQByAG4AZQBsACwAXABuAEwARQBUACgAXABuACAAIAAgACAALwAvACAASwBlAHIAbgBlAGwAIABkAGkAbQBlAG4AcwBpAG8AbgBzAFwAbgAgACAAIAAgAGgAZQBpAGcAaAB0ACwAIAAgACAAIAAgACAAIAAgACAAIAAgACAAIABSAE8AVwBTACgAegBvAG8AbQBfAGsAZQByAG4AZQBsACkALABcAG4AIAAgACAAIAB3AGkAZAB0AGgALAAgACAAIAAgACAAIAAgACAAIAAgACAAIAAgACAAQwBPAEwAVQBNAE4AUwAoAHoAbwBvAG0AXwBrAGUAcgBuAGUAbAApACwAXABuAFwAbgAgACAAIAAgAC8ALwAgAFMAYwBlAG4AYQByAGkAbwBzAFwAbgAgACAAIAAgAEkAcwBUAGUAeAB0AEsAZQByAG4AZQBsAD8ALAAgACAAIAAgACAAIABPAFIAKABJAFMAVABFAFgAVAAoAHoAbwBvAG0AXwBrAGUAcgBuAGUAbAApACkALABcAG4AIAAgACAAIABJAHMAVABlAHgAdABBAHIAcgBhAHkAPwAsACAAIAAgACAAIAAgACAATwBSACgASQBTAFQARQBYAFQAKABhAHIAcgBhAHkAKQApACwAXABuACAAIAAgACAASQBzAFMAYwBhAGwAYQByAEsAZQByAG4AZQBsAD8ALAAgACAAIAAgAEEATgBEACgAaABlAGkAZwBoAHQAIAA9ACAAMQAsACAAdwBpAGQAdABoACAAPQAgADEAKQAsAFwAbgBcAG4ALwAvACAATABvAGcAaQBjACAAZwBhAHQAZQBcAG4AIAAgACAAIABJAEYAKABJAHMAVABlAHgAdABLAGUAcgBuAGUAbAA/ACwAIABcACIAIwBLAEUAUgBOAEUATAAhAFwAIgAsAFwAbgBcAG4AIAAgACAAIAAgACAAIAAgAEkARgAoAEkAcwBUAGUAeAB0AEEAcgByAGEAeQA/ACwAIABcACIAIwBBAFIAUgBBAFkAIQBcACIALABcAG4AXABuACAAIAAgACAAIAAgACAAIAAgACAAIAAgAEkARgAoAEkAcwBTAGMAYQBsAGEAcgBLAGUAcgBuAGUAbAA/ACwAIABhAHIAcgBhAHkAIAArACAAegBvAG8AbQBfAGsAZQByAG4AZQBsACwAXABuAFwAbgBMAEUAVAAoAFwAbgAgACAAIAAgAC8ALwAgAE8AdQB0AHAAdQB0ACAAZABpAG0AZQBuAHMAaQBvAG4AcwBcAG4AIAAgACAAIABpACwAIAAgACAAIAAgACAAIAAgACAAIABSAE8AVwBTACgAYQByAHIAYQB5ACkAIAAqACAAaABlAGkAZwBoAHQALABcAG4AIAAgACAAIABqACwAIAAgACAAIAAgACAAIAAgACAAIABDAE8ATABVAE0ATgBTACgAYQByAHIAYQB5ACkAIAAqACAAdwBpAGQAdABoACwAXABuAFwAbgAgACAAIAAgAC8ALwAgAE0AZQBzAGgAIABnAHIAaQBkACAAZgBvAHIAIABuAGUAYQByAGUAcwB0ABEgbgBlAGkAZwBoAGIAbwByACAAZQB4AHAAYQBuAHMAaQBvAG4AXABuACAAIAAgACAAeAAsACAAIAAgACAAIAAgACAAIAAgACAATABBAE0AQgBEAEEAKABJAE4AVAAoAFMARQBRAFUARQBOAEMARQAoAGkALAAsACwAIAAxACAALwAgAGgAZQBpAGcAaAB0ACkAKQBcAG4AIAAgACAAIAAgACAAIAAgACAAIAAgACAAIAAgACAAIAAgACAAIAAgACoAIABTAEUAUQBVAEUATgBDAEUAKAAsACAAagAsACAAMQAsACAAMAApACkALABcAG4AXABuACAAIAAgACAAeQAsACAAIAAgACAAIAAgACAAIAAgACAATABBAE0AQgBEAEEAKABJAE4AVAAoAFMARQBRAFUARQBOAEMARQAoACwAIABqACwALAAgADEAIAAvACAAdwBpAGQAdABoACkAKQBcAG4AIAAgACAAIAAgACAAIAAgACAAIAAgACAAIAAgACAAIAAgACAAIAAgACoAIABTAEUAUQBVAEUATgBDAEUAKABpACwALAAgADEALAAgADAAKQApACwAXABuAFwAbgAgACAAIAAgAC8ALwAgAEUAeABwAGEAbgBkAGUAZAAgAGEAcgByAGEAeQAgACgAbgBlAGEAcgBlAHMAdAARIG4AZQBpAGcAaABiAG8AcgApAFwAbgAgACAAIAAgAHoAbwBvAG0AZQBkACwAIAAgACAAIAAgAEwAQQBNAEIARABBACgASQBOAEQARQBYACgAYQByAHIAYQB5ACwAIAB4ACgAKQAsACAAeQAoACkAKQApACwAXABuAFwAbgAgACAAIAAgAC8ALwAgAFIAZQBzAGkAegBlACAAawBlAHIAbgBlAGwAIAB0AG8AIABtAGEAdABjAGgAIAB6AG8AbwBtAGUAZAAgAGIAbABvAGMAawAgAHMAdAByAHUAYwB0AHUAcgBlAFwAbgAgACAAIAAgAGgALAAgACAAIAAgACAAIAAgACAAIAAgAFIATwBXAFMAKAB6AG8AbwBtAGUAZAAoACkAKQAgAC8AIABoAGUAaQBnAGgAdAAsAFwAbgAgACAAIAAgAHcALAAgACAAIAAgACAAIAAgACAAIAAgAEMATwBMAFUATQBOAFMAKAB6AG8AbwBtAGUAZAAoACkAKQAgAC8AIAB3AGkAZAB0AGgALABcAG4AIAAgACAAIABrAGUAcgBuAGUAbABfAG0AYQBnACwAIABSAGUAcwBpAHoAZQC7AygAegBvAG8AbQBfAGsAZQByAG4AZQBsACwAIABoACwAIAB3ACkALABcAG4AXABuACAAIAAgACAALwAvACAARgBpAG4AYQBsACAAegBvAG8AbQBlAGQAIABvAHUAdABwAHUAdABcAG4AIAAgACAAIAByAGUAcwB1AGwAdAAsACAAIAAgACAAIAAgACAAIAAgACAAIAAgACAAegBvAG8AbQBlAGQAKAApACAAKwAgAGsAZQByAG4AZQBsAF8AbQBhAGcALABcAG4AXABuACAAIAAgACAAcgBlAHMAdQBsAHQAXABuACkAKQApACkAKQApADsAXABuAFwAbgBcAG4AXABuAC8ALwAgAFsARwBBAF0AIAAtAC0ALQAtAC0ALQAtAC0ALQAtAC0ALQAtAC0ALQAtAC0ALQAtAC0ALQAtAC0ALQAtAC0ALQAtAC0ALQAtAC0ALQAtAC0ALQAtAC0ALQAtAC0ALQAtAC0ALQAtAC0ALQAtAC0ALQAtAC0ALQAtAC0ALQAtAC0ALQAtAC0ALQAtAC0ALQAtAC0ALQAtAC0ALQAtAC0ALQAtAC0AXABuAC8ALwAgAC0ALQAtACMAIwAgADAANAAgAC0AIABHAHIAaQBkACAAQQBsAGcAZQBiAHIAYQ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HAHIAaQBkACAAQQBsAGcAZQBiAHIAYQAgAGYAdQBuAGMAdABpAG8AbgBzACAAcAByAG8AdgBpAGQAZQAgAGEAIAB0AG8AbwBsAGsAaQB0ACAAZgBvAHIAIABzAHQAcgB1AGMAdAB1AHIAYQBsACAAZQBkAGkAdABpAG4AZwAgAG8AZgBcAG4AIAAgACAAIAAyAEQAIABhAHIAcgBhAHkAcwAuACAAVABoAGUAcwBlACAAbwBwAGUAcgBhAHQAbwByAHMAIABzAHUAcABwAG8AcgB0ACAAZABlAGwAZQB0AGkAbwBuACwAIABzAGUAbABlAGMAdABpAG8AbgAsACAAZgBpAGwAdABlAHIAaQBuAGcALAAgAHIAbwBsAGwAaQBuAGcALABcAG4AIAAgACAAIABlAHgAcABhAG4AcwBpAG8AbgAsACAAYQBuAGQAIABzAHQAcgB1AGMAdAB1AHIAYQBsACAAbQBhAHAAcABpAG4AZwAuAFwAbgBcAG4AIAAgACAAIABTAHUAYgARIGMAYQB0AGUAZwBvAHIAaQBlAHMAOgBcAG4AXABuACAAIAAgACAAIAAgACAAIAAiICAARABlAGwAZQB0AGkAbwBuAFwAbgAgACAAIAAgACAAIAAgACAAIAAgACAAIAAgACAARABlAGwAZQB0AGUAUgBvAHcAcwC7AywAIABEAGUAbABlAHQAZQBDAG8AbABzALsDLAAgAEQAZQBsAGUAdABlAFcAaABlAHIAZQC7AywAXABuACAAIAAgACAAIAAgACAAIAAgACAAIAAgACAAIABQAGkAbgBjAGgAuwMsACAAUgBlAG0AbwB2AGUAuwMsACAAUwBxAHUAZQBlAHoAZQC7A1wAbgBcAG4AIAAgACAAIAAgACAAIAAgACIgIABFAHgAcABhAG4AcwBpAG8AbgBcAG4AIAAgACAAIAAgACAAIAAgACAAIAAgACAAIAAgAEsAcgBvAG4AZQBjAGsAZQByAFAAcgBvAGQAuwNcAG4AXABuACAAIAAgACAAIAAgACAAIAAiICAARgBpAGwAdABlAHIAaQBuAGcAXABuACAAIAAgACAAIAAgACAAIAAgACAAIAAgACAAIABFAHgAYwBsAHUAZABlALsDLAAgAFMAbgBhAHAAuwNcAG4AXABuACAAIAAgACAAIAAgACAAIAAiICAAUgBvAGwAbABpAG4AZwBcAG4AIAAgACAAIAAgACAAIAAgACAAIAAgACAAIAAgAFMAaABpAGYAdAC7AywAIABTAGgAaQBmAHQAUgBvAHcAcwC7AywAIABTAGgAaQBmAHQAQwBvAGwAcwC7A1wAbgBcAG4AIAAgACAAIAAgACAAIAAgACIgIABTAGUAbABlAGMAdABpAG8AbgBcAG4AIAAgACAAIAAgACAAIAAgACAAIAAgACAAIAAgAEUAbQBiAGUAZAC7AywAIABLAGUAZQBwAFIAbwB3AHMAuwMsACAASwBlAGUAcABDAG8AbABzALsDXABuAFwAbgAgACAAIAAgACAAIAAgACAAIiAgAFMAdAByAHUAYwB0AHUAcgBhAGwAIABNAGEAcABwAGkAbgBnAFwAbgAgACAAIAAgACAAIAAgACAAIAAgACAAIAAgACAAQgBsAG8AYwBrAE0AYQBwALsDLAAgAEMAbwBuAHYAbwBsAHYAZQC7AywAIABGAG8AbABkALsDLAAgAEoAbwBpAG4AMgBEALsDXABuACoALwBcAG4AXABuAFwAbgBcAG4ALwAqACAAWwBHAEEAMAAxAF0AIAAtAC0ALQAtAC0ALQAtAC0ALQAtAC0ALQAtAC0ALQAtAC0ALQAtAC0ALQAtAC0ALQAtAC0ALQAtAC0ALQAtAC0ALQAtAC0ALQAtAC0ALQAtAC0ALQAtAC0ALQAtAC0ALQAtAC0ALQAtAC0ALQAtAC0ALQAtAC0ALQAtAC0ALQAtAC0ALQAtAC0ALQAtAC0ALQAtAFwAbgBGAHUAbgBjAHQAaQBvAG4AOgAgACAAIAAgACAARABlAGwAZQB0AGUAUgBvAHcAcwC7A1wAbgBDAGEAdABlAGcAbwByAHkAOgAgACAAIAAgACAARwByAGkAZAAgAEEAbABnAGUAYgByAGEAIAAoAEQAZQBsAGU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EQAZQBsAGUAdABlAHMAIAByAG8AdwBzACAAZgByAG8AbQAgAGEAIAAyAEQAIABhAHIAcgBhAHkAIABiAGEAcwBlAGQAIABvAG4AIABjAG8AbgB0AGkAZwB1AG8AdQBzACAAcwB1AGIAZwByAG8AdQBwACAAcgB1AG4AcwAuACAAQQAgAHAAbwBzAGkAdABpAHYAZQBcAG4AIAAgACAAIABkAGUAbABlAHQAZQAgAHYAYQBsAHUAZQAgAHQAcgBpAG0AcwAgAHIAbwB3AHMAIABmAHIAbwBtACAAdABoAGUAIAB0AG8AcAAgAG8AZgAgAGUAYQBjAGgAIABzAHUAYgBnAHIAbwB1AHAAIAByAHUAbgA7ACAAYQAgAG4AZQBnAGEAdABpAHYAZQAgAGQAZQBsAGUAdABlAFwAbgAgACAAIAAgAHYAYQBsAHUAZQAgAHQAcgBpAG0AcwAgAHIAbwB3AHMAIABmAHIAbwBtACAAdABoAGUAIABiAG8AdAB0AG8AbQAuAFwAbgBcAG4AUABhAHIAYQBtAGUAdABlAHIAcwA6AFwAbgAgACAAIAAgAGEAcgByAGEAeQAgACAAIAAgACAAIAAgACAAIAAgACAALQAgADIARAAgAGEAcgByAGEAeQAuAFwAbgAgACAAIAAgAGQAZQBsAGUAdABlACAAIAAgACAAIAAgACAAIAAgACAALQAgAFMAYwBhAGwAYQByACAAaQBuAHQAZQBnAGUAcgA6AFwAbgAgACAAIAAgACAAIAAgACAAIAAgACAAIAAgACAAIAAgACAAIAAgACAAIAAgACAAIAAgACAAPgAgADAAIACSISAAdAByAGkAbQAgAGYAcgBvAG0AIAB0AG8AcAAgAG8AZgAgAGUAYQBjAGgAIAByAHUAbgBcAG4AIAAgACAAIAAgACAAIAAgACAAIAAgACAAIAAgACAAIAAgACAAIAAgACAAIAAgACAAIAAgADwAIAAwACAAkiEgAHQAcgBpAG0AIABmAHIAbwBtACAAYgBvAHQAdABvAG0AIABvAGYAIABlAGEAYwBoACAAcgB1AG4AXABuACAAIAAgACAAYQB0AF8AZQBhAGMAaABfAGMAaABhAG4AZwBlACAAIAAtACAAUwB1AGIAZwByAG8AdQBwACAAbABhAGIAZQBsAHMAIAAoAHMAYQBtAGUAIABoAGUAaQBnAGgAd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UgBvAHc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kAKQAgAD0AIAAxACwAXABuACAAIAAgACAARABpAHMAYwBhAHIAZAAsACAAIAAgACAAIAAgACAAIAAgACAAIAAgAEQAUgBPAFAAKABhAHIAcgBhAHkALAAgAEAAZABlAGwAZQB0AGUAKQAsAFwAbgBcAG4AIAAgACAAIAAvAC8AIABWAGEAbABpAGQAYQB0AGkAbwBuAFwAbgAgACAAIAAgAFMAaABhAHAAZQBNAGkAcwBtAGEAdABjAGgAPwAsACAAIAAgACAAIABSAE8AVwBTACgAYQByAHIAYQB5ACkAIAA8AD4AIABSAE8AVwBTACgAYQB0AF8AZQBhAGMAaABfAGMAaABhAG4AZwBlACkALABcAG4AIAAgACAAIABJAHMAVABlAHgAdAA/ACwAIAAgACAAIAAgACAAIAAgACAAIAAgACAASQBTAFQARQBYAFQAKABkAGUAbABlAHQAZQApACwAXABuACAAIAAgACAATgBvAHQAUwBjAGEAbABhAHIAPwAsACAAIAAgACAAIAAgACAAIAAgAEEATgBEACgATgBPAFQAKABJAHMAVABlAHgAdAA/ACkALAAgAEMATwBVAE4AVABBACgAZABlAGwAZQB0AGUAKQAgAD4AIAAxACkALABcAG4AIAAgACAAIABzAGMAZQBuAGEAcgBpAG8AcwAsACAAIAAgACAAIAAgACAAIAAgACAAVgBTAFQAQQBDAEsAKABTAGgAYQBwAGUATQBpAHMAbQBhAHQAYwBoAD8ALAAgAEkAcwBUAGUAeAB0AD8ALAAgAE4AbwB0AFMAYwBhAGwAYQByAD8AKQAsAFwAbgBcAG4AIAAgACAAIAAvAC8AIABFAHIAcgBvAHIAIABoAGEAbgBkAGwAaQBuAGcAXABuACAAIAAgACAAaABhAGwAdAAsACAAIAAgACAAIAAgACAAIAAgACAAIAAgACAAIAAgAE8AUgAoAHMAYwBlAG4AYQByAGkAbwBzACkALABcAG4AIAAgACAAIABlAHIAcgBvAHIAcwAsACAAIAAgACAAIAAgACAAIAAgACAAIAAgACAAewBcACIAIwBEAEkATQBFAE4AUwBJAE8ATgBTACEAXAAiADsAIABcACIAIwBUAEUAWABUACEAXAAiADsAIABcACIAIwBTAEMAQQBMAEEAUgAhAFwAIgB9ACwAXABuACAAIAAgACAAYQBsAGUAcgB0ACwAIAAgACAAIAAgACAAIAAgACAAIAAgACAAIAAgAEEAUgBSAEEAWQBUAE8AVABFAFgAVAAoAEYASQBMAFQARQBSACgAZQByAHIAbwByAHMALAAgAHMAYwBlAG4AYQByAGkAbwBzACwAIAAwACkAKQAsAFwAbgBcAG4AIAAgACAAIABJAEYAKABPAG4AZQBTAHUAYgBHAHIAbwB1AHAAPwAsACAARABpAHMAYwBhAHIAZAAsAFwAbgAgACAAIAAgACAAIAAgACAASQBGACgAaABhAGwAdAAsACAAYQBsAGUAcgB0ACwAXABuAFwAbgBMAEUAVAAoAFwAbgAgACAAIAAgAC8ALwAgAEQAaQByAGUAYwB0AGkAbwBuADoAIAArAHQAbwBwACwAIAATIGIAbwB0AHQAbwBtAFwAbgAgACAAIAAgAHMALAAgACAAIAAgACAAIAAgACAAIAAgACAAIAAgACAAIAAgACAAIABTAEkARwBOACgAZABlAGwAZQB0AGUAKQAsAFwAbgBcAG4AIAAgACAAIAAvAC8AIABSAHUAbgAgAGkAbgBkAGkAYwBlAHMAXABuACAAIAAgACAAYQBzAGMAZQBuAGQALAAgACAAIAAgACAAIAAgACAAIAAgACAAIAAgAFMAdAByAGUAYQBrALsDKABhAHQAXwBlAGEAYwBoAF8AYwBoAGEAbgBnAGUAKQAsAFwAbgAgACAAIAAgAGQAZQBzAGMAZQBuAGQALAAgACAAIAAgACAAIAAgACAAIAAgACAAIABDAG8AdQBuAHQAZABvAHcAbgC7AygAYQB0AF8AZQBhAGMAaABfAGMAaABhAG4AZwBl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HIAbwB3AHMAIAB3AGgAZQByAGUAIABpAG4AZABlAHgAIAA+ACAAZABlAGwAZQB0AGUAXABuACAAIAAgACAAawBlAGUAcAA/ACwAIAAgACAAIAAgACAAIAAgACAAIAAgACAAIAAgAE4ATwBUACgAaQBkAHgAIAA8AD0AIABkAGUAbABlAHQAZQApACwAXABuAFwAbgAgACAAIAAgAHIAZQBzAHUAbAB0ACwAIAAgACAAIAAgACAAIAAgACAAIAAgACAAIABGAEkATABUAEUAUgAoAGEAcgByAGEAeQAsACAAawBlAGUAcAA/ACkALABcAG4AXABuACAAIAAgACAAcgBlAHMAdQBsAHQAXABuACkAKQApACkAKQA7AFwAbgBcAG4AXABuAFwAbgAvACoAIABbAEcAQQAwADIAXQAgAC0ALQAtAC0ALQAtAC0ALQAtAC0ALQAtAC0ALQAtAC0ALQAtAC0ALQAtAC0ALQAtAC0ALQAtAC0ALQAtAC0ALQAtAC0ALQAtAC0ALQAtAC0ALQAtAC0ALQAtAC0ALQAtAC0ALQAtAC0ALQAtAC0ALQAtAC0ALQAtAC0ALQAtAC0ALQAtAC0ALQAtAC0ALQAtAC0AXABuAEYAdQBuAGMAdABpAG8AbgA6ACAAIAAgACAAIABEAGUAbABlAHQAZQBDAG8AbABzALsDXABuAEMAYQB0AGUAZwBvAHIAeQA6ACAAIAAgACAAIABHAHIAaQBkACAAQQBsAGcAZQBiAHIAYQAgACgARABlAGwAZQB0AGkAbwBuACkAXABuAEEAdQB0AGgAbwByADoAIAAgACAAIAAgACAAIABQAGEAdAByAGkAYwBrACAASAAuAFwAbgBWAGUAcgBzAGkAbwBuADoAIAAgACAAIAAgACAAMQAuADEAXABuAEQAZQBwAGUAbgBkAGUAbgBjAGkAZQBzADoAIABTAHQAcgBlAGEAawC7AywAIABDAG8AdQBuAHQAZABvAHcAbgC7A1wAbgBcAG4ARABlAHMAYwByAGkAcAB0AGkAbwBuADoAXABuACAAIAAgACAARABlAGwAZQB0AGUAcwAgAGMAbwBsAHUAbQBuAHMAIABmAHIAbwBtACAAYQAgADIARAAgAGEAcgByAGEAeQAgAGIAYQBzAGUAZAAgAG8AbgAgAGMAbwBuAHQAaQBnAHUAbwB1AHMAIABzAHUAYgBnAHIAbwB1AHAAIAByAHUAbgBzAC4AIABBACAAcABvAHMAaQB0AGkAdgBlAFwAbgAgACAAIAAgAGQAZQBsAGUAdABlACAAdgBhAGwAdQBlACAAdAByAGkAbQBzACAAYwBvAGwAdQBtAG4AcwAgAGYAcgBvAG0AIAB0AGgAZQAgAGwAZQBmAHQAIABvAGYAIABlAGEAYwBoACAAcwB1AGIAZwByAG8AdQBwACAAcgB1AG4AOwAgAGEAIABuAGUAZwBhAHQAaQB2AGUAXABuACAAIAAgACAAZABlAGwAZQB0AGUAIAB2AGEAbAB1AGUAIAB0AHIAaQBtAHMAIABjAG8AbAB1AG0AbgBzACAAZgByAG8AbQAgAHQAaABlACAAcgBpAGcAaAB0AC4AXABuAFwAbgBQAGEAcgBhAG0AZQB0AGUAcgBzADoAXABuACAAIAAgACAAYQByAHIAYQB5ACAAIAAgACAAIAAgACAAIAAgACAAIAAtACAAMgBEACAAYQByAHIAYQB5AC4AXABuACAAIAAgACAAZABlAGwAZQB0AGUAIAAgACAAIAAgACAAIAAgACAAIAAtACAAUwBjAGEAbABhAHIAIABpAG4AdABlAGcAZQByADoAXABuACAAIAAgACAAIAAgACAAIAAgACAAIAAgACAAIAAgACAAIAAgACAAIAAgACAAIAAgACAAIAA+ACAAMAAgAJIhIAB0AHIAaQBtACAAZgByAG8AbQAgAGwAZQBmAHQAIABvAGYAIABlAGEAYwBoACAAcgB1AG4AXABuACAAIAAgACAAIAAgACAAIAAgACAAIAAgACAAIAAgACAAIAAgACAAIAAgACAAIAAgACAAIAA8ACAAMAAgAJIhIAB0AHIAaQBtACAAZgByAG8AbQAgAHIAaQBnAGgAdAAgAG8AZgAgAGUAYQBjAGgAIAByAHUAbgBcAG4AIAAgACAAIABhAHQAXwBlAGEAYwBoAF8AYwBoAGEAbgBnAGUAIAAgAC0AIABTAHUAYgBnAHIAbwB1AHAAIABsAGEAYgBlAGwAcwAgACgAcwBhAG0AZQAgAHcAaQBkAHQAa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QwBvAGw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wAIAAxACkAKQAgAD0AIAAxACwAXABuACAAIAAgACAARABpAHMAYwBhAHIAZAAsACAAIAAgACAAIAAgACAAIAAgACAAIAAgAEQAUgBPAFAAKABhAHIAcgBhAHkALAAgACwAIABAAGQAZQBsAGUAdABlACkALABcAG4AXABuACAAIAAgACAALwAvACAAVgBhAGwAaQBkAGEAdABpAG8AbgBcAG4AIAAgACAAIABTAGgAYQBwAGUATQBpAHMAbQBhAHQAYwBoAD8ALAAgACAAIAAgACAAQwBPAEwAVQBNAE4AUwAoAGEAcgByAGEAeQApACAAPAA+ACAAQwBPAEwAVQBNAE4AUwAoAGEAdABfAGUAYQBjAGgAXwBjAGgAYQBuAGcAZQApACwAXABuACAAIAAgACAASQBzAFQAZQB4AHQAPwAsACAAIAAgACAAIAAgACAAIAAgACAAIAAgAEkAUwBUAEUAWABUACgAZABlAGwAZQB0AGUAKQAsAFwAbgAgACAAIAAgAE4AbwB0AFMAYwBhAGwAYQByAD8ALAAgACAAIAAgACAAIAAgACAAIABBAE4ARAAoAE4ATwBUACgASQBzAFQAZQB4AHQAPwApACwAIABDAE8AVQBOAFQAQQAoAGQAZQBsAGUAdABl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AAIAAgACAASQBGACgATwBuAGUAUwB1AGIARwByAG8AdQBwAD8ALAAgAEQAaQBzAGMAYQByAGQALABcAG4AIAAgACAAIAAgACAAIAAgAEkARgAoAGgAYQBsAHQALAAgAGEAbABlAHIAdAAsAFwAbgBcAG4ATABFAFQAKABcAG4AIAAgACAAIAAvAC8AIABEAGkAcgBlAGMAdABpAG8AbgA6ACAAKwBsAGUAZgB0ACwAIAATIHIAaQBnAGgAdABcAG4AIAAgACAAIABzACwAIAAgACAAIAAgACAAIAAgACAAIAAgACAAIAAgACAAIAAgACAAUwBJAEcATgAoAGQAZQBsAGUAdABl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GMAbwBsAHUAbQBuAHMAIAB3AGgAZQByAGUAIABpAG4AZABlAHgAIAA+ACAAZABlAGwAZQB0AGUAXABuACAAIAAgACAAawBlAGUAcAA/ACwAIAAgACAAIAAgACAAIAAgACAAIAAgACAAIAAgAE4ATwBUACgAaQBkAHgAIAA8AD0AIABkAGUAbABlAHQAZQApACwAXABuAFwAbgAgACAAIAAgAC8ALwAgAEMAbwBsAHUAbQBuABEgdwBpAHMAZQAgAGYAaQBsAHQAZQByAFwAbgAgACAAIAAgAHIAZQBzAHUAbAB0ACwAIAAgACAAIAAgACAAIAAgACAAIAAgACAAIABGAEkATABUAEUAUgAoAGEAcgByAGEAeQAsACAAawBlAGUAcAA/ACkALABcAG4AXABuACAAIAAgACAAcgBlAHMAdQBsAHQAXABuACkAKQApACkAKQA7AFwAbgBcAG4AXABuAFwAbgAvACoAIABbAEcAQQAwADMAXQAgAC0ALQAtAC0ALQAtAC0ALQAtAC0ALQAtAC0ALQAtAC0ALQAtAC0ALQAtAC0ALQAtAC0ALQAtAC0ALQAtAC0ALQAtAC0ALQAtAC0ALQAtAC0ALQAtAC0ALQAtAC0ALQAtAC0ALQAtAC0ALQAtAC0ALQAtAC0ALQAtAC0ALQAtAC0ALQAtAC0ALQAtAC0ALQAtAC0AXABuAEYAdQBuAGMAdABpAG8AbgA6ACAAIAAgACAAIABEAGUAbABlAHQAZQBXAGgAZQBy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2AGUAcgB0AGkAYwBhAGwAIABhAG4AZAAgAGgAbwByAGkAegBvAG4AdABhAGwAIAB2AGUAYwB0AG8AcgBzACAAZgByAG8AbQAgAGEAIAAyAEQAIABhAHIAcgBhAHkAIABiAGEAcwBlAGQAIABvAG4AIABhACAAcAByAGUAZABpAGMAYQB0AGUAXABuACAAIAAgACAATABhAG0AYgBkAGEALgAgAFQAaABlACAAcAByAGUAZABpAGMAYQB0AGUAIABpAHMAIABhAHAAcABsAGkAZQBkACAAdABvACAAZQBhAGMAaAAgAHIAbwB3ACAAYQBuAGQAIABlAGEAYwBoACAAYwBvAGwAdQBtAG4AOwAgAGEAbgB5ACAAdgBlAGMAdABvAHIAIABmAG8AcgBcAG4AIAAgACAAIAB3AGgAaQBjAGgAIAB0AGgAZQAgAHAAcgBlAGQAaQBjAGEAdABlACAAcgBlAHQAdQByAG4AcwAgAFQAUgBVAEUAIABpAHMAIAByAGUAbQBvAHYAZQBkAC4AXABuAFwAbgBQAGEAcgBhAG0AZQB0AGUAcgBzADoAXABuACAAIAAgACAAYQByAHIAYQB5ACAAIAAgACAAIAAgACAALQAgADEARAAgAG8AcgAgADIARAAgAGEAcgByAGEAeQAuAFwAbgAgACAAIAAgAGYAdQBuAGMAdABpAG8AbgAgACAAIAAgAC0AIABMAGEAbQBiAGQAYQAgAGEAcABwAGwAaQBlAGQAIAB0AG8AIABlAGEAYwBoACAAcgBvAHcAIABhAG4AZAAgAGMAbwBsAHUAbQBuACAAdgBlAGMAdABvAHIALgBcAG4AXABuAE4AbwB0AGUAcwA6AFwAbgAgACAAIAAgACIgIABUAGgAZQAgAHAAcgBlAGQAaQBjAGEAdABlACAAaQBzACAAZQB2AGEAbAB1AGEAdABlAGQAIABpAG4AZABlAHAAZQBuAGQAZQBuAHQAbAB5ACAAZgBvAHIAIAByAG8AdwBzACAAKABCAFkAUgBPAFcAKQAgAGEAbgBkACAAYwBvAGwAdQBtAG4AcwAgACgAQgBZAEMATwBMACkALgBcAG4AIAAgACAAIAAiICAASQBmACAAbgBvACAAcgBvAHcAcwAgAG8AcgAgAGMAbwBsAHUAbQBuAHMAIABhAHIAZQAgAHIAZQBtAG8AdgBlAGQALAAgAFwAIgAjAEUATQBQAFQAWQAtAEEAUgBSAEEAWQAhAFwAIgAgAGkAcwAgAHIAZQB0AHUAcgBuAGUAZAAuAFwAbgAtAC0ALQAtAC0ALQAtAC0ALQAtAC0ALQAtAC0ALQAtAC0ALQAtAC0ALQAtAC0ALQAtAC0ALQAtAC0ALQAtAC0ALQAtAC0ALQAtAC0ALQAtAC0ALQAtAC0ALQAtAC0ALQAtAC0ALQAtAC0ALQAtAC0ALQAtAC0ALQAtAC0ALQAtAC0ALQAtAC0ALQAtAC0ALQAtAC0ALQAtAC0ALQAqAC8AXABuAFwAbgBEAGUAbABlAHQAZQBXAGgAZQByAGUAuwMgAD0AXABuAEwAQQBNAEIARABBACgAXABuACAAIAAgACAAYQByAHIAYQB5ACwAXABuACAAIAAgACAAZgB1AG4AYwB0AGkAbwBuACwAXABuAEwARQBUACgAXABuACAAIAAgACAALwAvACAASQBuAGQAZQB4ACAAcwBlAHEAdQBlAG4AYwBlAHMAXABuACAAIAAgACAAaQAsACAAIAAgACAAIAAgACAAIAAgACAAUwBFAFEAVQBFAE4AQwBFACgAUgBPAFcAUwAoAGEAcgByAGEAeQApACkALABcAG4AIAAgACAAIABqACwAIAAgACAAIAAgACAAIAAgACAAIABTAEUAUQBVAEUATgBDAEUAKAAsACAAQwBPAEwAVQBNAE4AUwAoAGEAcgByAGEAeQApACkALABcAG4AXABuACAAIAAgACAALwAvACAATgBlAGcAYQB0AGUAZAAgAHAAcgBlAGQAaQBjAGEAdABlACAAKABUAFIAVQBFACAAPQAgAGsAZQBlAHAAKQBcAG4AIAAgACAAIABmAG4ALAAgACAAIAAgACAAIAAgACAAIABMAEEATQBCAEQAQQAoAHYALAAgAE4ATwBUACgAZgB1AG4AYwB0AGkAbwBuACgAdgApACkAKQAsAFwAbgBcAG4AIAAgACAAIAAvAC8AIABSAG8AdwAgAGEAbgBkACAAYwBvAGwAdQBtAG4AIABpAG4AZABpAGMAZQBzACAAdABvACAAawBlAGUAcABcAG4AIAAgACAAIABhACwAIAAgACAAIAAgACAAIAAgACAAIABUAE8AQwBPAEwAKABJAEYAKABCAFkAUgBPAFcAKABhAHIAcgBhAHkALAAgAGYAbgApACwAIABpACwAIABOAEEAKAApACkALAAgADIAKQAsAFwAbgAgACAAIAAgAGIALAAgACAAIAAgACAAIAAgACAAIAAgAFQATwBSAE8AVwAoAEkARgAoAEIAWQBDAE8ATAAoAGEAcgByAGEAeQAsACAAZgBuACkALAAgAGoALAAgAE4AQQAoACkAKQAsACAAMgApACwAXABuAFwAbgAgACAAIAAgAC8ALwAgAE4AbwAgAHIAZQBtAG8AdgBhAGwAcwA/AFwAbgAgACAAIAAgAEkAcwBFAG0AcAB0AHkAPwAsACAAIAAgAEEATgBEACgASQBTAEUAUgBSAE8AUgAoAGEAKQAsACAASQBTAEUAUgBSAE8AUgAoAGIAKQApACwAXABuAFwAbgAgACAAIAAgAC8ALwAgAE4AZQB3ACAAcwBoAGEAcABlAFwAbgAgACAAIAAgAHgALAAgACAAIAAgACAAIAAgACAAIAAgAFIATwBXAFMAKABhACkALABcAG4AIAAgACAAIAB5ACwAIAAgACAAIAAgACAAIAAgACAAIABDAE8ATABVAE0ATgBTACgAYgApACwAXABuAFwAbgAgACAAIAAgAC8ALwAgAEkAbgBkAGUAeAAgAGcAcgBpAGQAcwBcAG4AIAAgACAAIAByACwAIAAgACAAIAAgACAAIAAgACAAIABhACAAKgAgAFMARQBRAFUARQBOAEMARQAoACwAIAB5ACwAIAAxACwAIAAwACkALABcAG4AIAAgACAAIABjACwAIAAgACAAIAAgACAAIAAgACAAIABiACAAKgAgAFMARQBRAFUARQBOAEMARQAoAHgALAAgACwAIAAxACwAIAAwACkALABcAG4AXABuACAAIAAgACAAcgBlAHMAdQBsAHQALAAgACAAIAAgACAASQBGACgASQBzAEUAbQBwAHQAeQA/ACwAIABcACIAIwBFAE0AUABUAFkALQBBAFIAUgBBAFkAIQBcACIALAAgAEkATgBEAEUAWAAoAGEAcgByAGEAeQAsACAAcgAsACAAYwApACkALABcAG4AXABuACAAIAAgACAAcgBlAHMAdQBsAHQAXABuACkAKQA7AFwAbgBcAG4AXABuAFwAbgAvACoAIABbAEcAQQAwADQAXQAgAC0ALQAtAC0ALQAtAC0ALQAtAC0ALQAtAC0ALQAtAC0ALQAtAC0ALQAtAC0ALQAtAC0ALQAtAC0ALQAtAC0ALQAtAC0ALQAtAC0ALQAtAC0ALQAtAC0ALQAtAC0ALQAtAC0ALQAtAC0ALQAtAC0ALQAtAC0ALQAtAC0ALQAtAC0ALQAtAC0ALQAtAC0ALQAtAC0AXABuAEYAdQBuAGMAdABpAG8AbgA6ACAAIAAgACAAIABQAGkAbgBjAGg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hAG4AeQAgAGYAdQBsAGwAIAByAG8AdwBzACAAbwByACAAYwBvAGwAdQBtAG4AcwAgAHcAaABvAHMAZQAgAGMAZQBsAGwAcwAgAGEAbABsACAAaABhAHYAZQAgAEwARQBOACgAYwBlAGwAbAApACAAPQAgADAALgAgAFIAbwB3AHMAIABvAHIAXABuACAAIAAgACAAYwBvAGwAdQBtAG4AcwAgAGMAbwBuAHQAYQBpAG4AaQBuAGcAIABvAG4AbAB5ACAAZQBtAHAAdAB5ACAAcwB0AHIAaQBuAGcAcwAgAG8AcgAgAGUAcgByAG8AcgBzACAAYQByAGUAIABkAGkAcwBjAGEAcgBkAGUAZAAuACAAUABpAG4AYwBoALsDIABpAHMAIABhAFwAbgAgACAAIAAgAHMAdAByAHUAYwB0AHUAcgBhAGwAIABjAGwAZQBhAG4AdQBwACAAbwBwAGUAcgBhAHQAbwByACAAZgBvAHIAIAB0AHIAaQBtAG0AaQBuAGcAIAB3AGgAaQB0AGUAcwBwAGEAYwBlABEgbwBuAGwAeQAgAG8AcgAgAG4AdQBsAGwAIAByAGUAZwBpAG8AbgBzAC4AXABuAFwAbgBQAGEAcgBhAG0AZQB0AGUAcgBzADoAXABuACAAIAAgACAAYQByAHIAYQB5ACAAIAAgAC0AIAAxAEQAIABvAHIAIAAyAEQAIABhAHIAcgBhAHkAIABmAHIAbwBtACAAdwBoAGkAYwBoACAAZQBtAHAAdAB5ACAAcgBvAHcAcwAgAGEAbgBkACAAYwBvAGwAdQBtAG4AcwAgAGEAcgBlACAAcgBlAG0AbwB2AGUAZAAuAFwAbgBcAG4ATgBvAHQAZQBzADoAXABuACAAIAAgACAAIiAgAEkAZgAgAHQAaABlACAAaQBuAHAAdQB0ACAAYQByAHIAYQB5ACAAaQBzACAAZQBtAHAAdAB5ACwAIABQAGkAbgBjAGgAuwMgAHIAZQB0AHUAcgBuAHMAIAAwAC4AXABuACAAIAAgACAAIiAgAEUAcgByAG8AcgBzACAAYQByAGUAIAB0AHIAZQBhAHQAZQBkACAAYQBzACAAbgBvAG4AESBlAG0AcAB0AHkAOwAgAG8AbgBsAHkAIAByAG8AdwBzAC8AYwBvAGwAdQBtAG4AcwAgAHcAaABlAHIAZQAgAEwARQBOACgAYwBlAGwAbAApACAAPQAgADAAIABmAG8AcgBcAG4AIAAgACAAIAAgACAAYQBsAGwAIABjAGUAbABsAHMAIABhAHIAZQAgAHIAZQBtAG8AdgBlAGQALgBcAG4AIAAgACAAIAAiICAAUABpAG4AYwBoALsDIABwAHIAZQBzAGUAcgB2AGUAcwAgAHQAaABlACAAZABpAG0AZQBuAHMAaQBvAG4AYQBsAGkAdAB5ACAAbwBmACAAbgBvAG4AESBlAG0AcAB0AHkAIAByAGUAZwBpAG8AbgBzACAAYQBuAGQAIABkAG8AZQBzACAAbgBvAHQAIABhAGwAdABlAHIAXABuACAAIAAgACAAIAAgAGkAbgB0AGUAcgBuAGEAbAAgAGMAbwBuAHQAZQBuAHQALgBcAG4ALQAtAC0ALQAtAC0ALQAtAC0ALQAtAC0ALQAtAC0ALQAtAC0ALQAtAC0ALQAtAC0ALQAtAC0ALQAtAC0ALQAtAC0ALQAtAC0ALQAtAC0ALQAtAC0ALQAtAC0ALQAtAC0ALQAtAC0ALQAtAC0ALQAtAC0ALQAtAC0ALQAtAC0ALQAtAC0ALQAtAC0ALQAtAC0ALQAtAC0ALQAtAC0AKgAvAFwAbgBcAG4AUABpAG4AYwBoALsDIAA9AFwAbgBMAEEATQBCAEQAQQAoAFwAbgAgACAAIAAgAGEAcgByAGEAeQAsAFwAbgBcAG4ASQBGACgAQwBPAFUATgBUAEEAKABhAHIAcgBhAHkAKQAgAD0AIAAwACwAMAAsAFwAbgBcAG4ATABFAFQAKABcAG4AIAAgACAAIAAvAC8AIABOAG8AbgARIGUAbQBwAHQAeQAgAG0AYQBzAGsAXABuACAAIAAgACAAYgBvAG8AbAAsACAAIAAgACAAIAAgACAAIAAgACAAIAAgACAAIAAgAEwARQBOACgAYQByAHIAYQB5ACkAIAA8AD4AIAAwACwAXABuAFwAbgAgACAAIAAgAC8ALwAgAFIAbwB3AC8AYwBvAGwAdQBtAG4AIABrAGUAZQBwACAAZgBsAGEAZwBzAFwAbgAgACAAIAAgAE8AUgC7AywAIAAgACAAIAAgACAAIAAgACAAIAAgACAAIAAgACAAIABMAEEATQBCAEQAQQAoAHYALAAgAEkARgBFAFIAUgBPAFIAKABPAFIAKABUAE8AQwBPAEwAKAB2ACwAIAAyACkAKQAsACAARgBBAEwAUwBFACkAKQAsAFwAbgAgACAAIAAgAG0AYQByAGsAXwByAG8AdwBzACwAIAAgACAAIAAgACAAIAAgACAAIABCAFkAUgBPAFcAKABiAG8AbwBsACwAIABPAFIAuwMpACwAXABuACAAIAAgACAAbQBhAHIAawBfAGMAbwBsAHMALAAgACAAIAAgACAAIAAgACAAIAAgAEIAWQBDAE8ATAAoAGIAbwBvAGwALAAgAE8AUgC7AykALABcAG4AXABuACAAIAAgACAALwAvACAAUgBlAG0AbwB2AGUAIABlAG0AcAB0AHkAIAByAG8AdwBzAFwAbgAgACAAIAAgAGYAaQByAHMAdABfAHAAYQBzAHMALAAgACAAIAAgACAAIAAgACAAIABGAEkATABUAEUAUgAoAGEAcgByAGEAeQAsACAAbQBhAHIAawBfAHIAbwB3AHMALAAgADAAKQAsAFwAbgBcAG4AIAAgACAAIAAvAC8AIABSAGUAbQBvAHYAZQAgAGUAbQBwAHQAeQAgAGMAbwBsAHUAbQBuAHMAXABuACAAIAAgACAAcgBlAHMAdQBsAHQALAAgACAAIAAgACAAIAAgACAAIAAgACAAIAAgAEYASQBMAFQARQBSACgAZgBpAHIAcwB0AF8AcABhAHMAcwAsACAAbQBhAHIAawBfAGMAbwBsAHMALAAgADAAKQAsAFwAbgBcAG4AIAAgACAAIAByAGUAcwB1AGwAdABcAG4AKQApACkAOwBcAG4AXABuAFwAbgBcAG4ALwAqACAAWwBHAEEAMAA1AF0AIAAtAC0ALQAtAC0ALQAtAC0ALQAtAC0ALQAtAC0ALQAtAC0ALQAtAC0ALQAtAC0ALQAtAC0ALQAtAC0ALQAtAC0ALQAtAC0ALQAtAC0ALQAtAC0ALQAtAC0ALQAtAC0ALQAtAC0ALQAtAC0ALQAtAC0ALQAtAC0ALQAtAC0ALQAtAC0ALQAtAC0ALQAtAC0ALQAtAFwAbgBGAHUAbgBjAHQAaQBvAG4AOgAgACAAIAAgACAAUgBlAG0AbwB2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zAHAAZQBjAGkAZgBpAGMAIAByAG8AdwBzACAAYQBuAGQALwBvAHIAIABjAG8AbAB1AG0AbgBzACAAZgByAG8AbQAgAGEAIABzAHUAcABwAGwAaQBlAGQAIABhAHIAcgBhAHkALgAgAFIAZQBtAG8AdgBlALsDIABzAHUAcABwAG8AcgB0AHMAXABuACAAIAAgACAAcwBjAGEAbABhAHIAcwAsACAAMQBEACAAYQByAHIAYQB5AHMALAAgAGEAbgBkACAAMgBEACAAYQByAHIAYQB5AHMAIABmAG8AcgAgAGIAbwB0AGgAIAByAG8AdwAgAGEAbgBkACAAYwBvAGwAdQBtAG4AIABpAG4AZABlAHgAIABpAG4AcAB1AHQAcwAuACAAQQBsAGwAXABuACAAIAAgACAAaQBuAGQAZQB4ACAAaQBuAHAAdQB0AHMAIABhAHIAZQAgAGYAbABhAHQAdABlAG4AZQBkACAAYgBlAGYAbwByAGUAIABlAHYAYQBsAHUAYQB0AGkAbwBuAC4AXABuAFwAbgBQAGEAcgBhAG0AZQB0AGUAcgBzADoAXABuACAAIAAgACAAYQByAHIAYQB5ACAAIAAgAC0AIABSAGUAcQB1AGkAcgBlAGQAIABhAHIAcgBhAHkAIABmAHIAbwBtACAAdwBoAGkAYwBoACAAcgBvAHcAcwAgAGEAbgBkAC8AbwByACAAYwBvAGwAdQBtAG4AcwAgAGEAcgBlACAAcgBlAG0AbwB2AGUAZAAuAFwAbgAgACAAIAAgAFsAcgBvAHcAcwBdACAAIAAtACAATwBwAHQAaQBvAG4AYQBsACAAcgBvAHcAIABpAG4AZABlAHgAIABvAHIAIABhAHIAcgBhAHkAIABvAGYAIABpAG4AZABpAGMAZQBzACAAdABvACAAcgBlAG0AbwB2AGUALgBcAG4AIAAgACAAIABbAGMAbwBsAHMAXQAgACAALQAgAE8AcAB0AGkAbwBuAGEAbAAgAGMAbwBsAHUAbQBuACAAaQBuAGQAZQB4ACAAbwByACAAYQByAHIAYQB5ACAAbwBmACAAaQBuAGQAaQBjAGUAcwAgAHQAbwAgAHIAZQBtAG8AdgBlAC4AXABuAFwAbgBOAG8AdABlAHMAOgBcAG4AIAAgACAAIAAiICAAUgBlAHQAdQByAG4AcwAgAFwAIgAjAEkATgBWAEEATABJAEQALQBSAE8AVwAhAFwAIgAgAGkAZgAgAGEAbgB5ACAAcgBvAHcAIABpAG4AZABlAHgAIABpAHMAIABvAHUAdAAgAG8AZgAgAGIAbwB1AG4AZABzAC4AXABuACAAIAAgACAAIiAgAFIAZQB0AHUAcgBuAHMAIABcACIAIwBJAE4AVgBBAEwASQBEAC0AQwBPAEwAIQBcACIAIABpAGYAIABhAG4AeQAgAGMAbwBsAHUAbQBuACAAaQBuAGQAZQB4ACAAaQBzACAAbwB1AHQAIABvAGYAIABiAG8AdQBuAGQAcwAuAFwAbgAgACAAIAAgACIgIABTAGMAYQBsAGEAcgBzACAAYQByAGUAIAByAGUAdAB1AHIAbgBlAGQAIAB1AG4AYwBoAGEAbgBnAGUAZAAuAFwAbgAgACAAIAAgACIgIABSAG8AdwAvAGMAbwBsAHUAbQBuACAAaQBuAGQAZQB4ACAAaQBuAHAAdQB0AHMAIABhAHIAZQAgAGYAbABhAHQAdABlAG4AZQBkACAAdwBpAHQAaAAgAFQATwBDAE8ATAAgAGYAbwByACAAYwBvAG4AcwBpAHMAdABlAG4AYwB5AC4AXABuAC0ALQAtAC0ALQAtAC0ALQAtAC0ALQAtAC0ALQAtAC0ALQAtAC0ALQAtAC0ALQAtAC0ALQAtAC0ALQAtAC0ALQAtAC0ALQAtAC0ALQAtAC0ALQAtAC0ALQAtAC0ALQAtAC0ALQAtAC0ALQAtAC0ALQAtAC0ALQAtAC0ALQAtAC0ALQAtAC0ALQAtAC0ALQAtAC0ALQAtAC0ALQAtACoALwBcAG4AXABuAFIAZQBtAG8AdgBlALsDIAA9AFwAbgBMAEEATQBCAEQAQQAoAFwAbgAgACAAIAAgAGEAcgByAGEAeQAsAFwAbgAgACAAIAAgAFsAcgBvAHcAcwBdACwAXABuACAAIAAgACAAWwBjAG8AbABzAF0ALABcAG4ATABFAFQAKABcAG4AIAAgACAAIAAvAC8AIABEAGkAbQBlAG4AcwBpAG8AbgBzAFwAbgAgACAAIAAgAGgALAAgACAAIAAgACAAIAAgACAAIAAgACAAIAAgACAAIAAgACAAIABSAE8AVwBTACgAYQByAHIAYQB5ACkALABcAG4AIAAgACAAIAB3ACwAIAAgACAAIAAgACAAIAAgACAAIAAgACAAIAAgACAAIAAgACAAQwBPAEwAVQBNAE4AUwAoAGEAcgByAGEAeQApACwAXABuAFwAbgAgACAAIAAgAC8ALwAgAE8AcAB0AGkAbwBuAGEAbAAgAHAAYQByAGEAbQBlAHQAZQByACAAcAByAGUAcwBlAG4AYwBlAFwAbgAgACAAIAAgAHIAbwB3AHMAXwBpAG4AYwAsACAAIAAgACAAIAAgACAAIAAgACAAIABOAE8AVAAoAEkAUwBPAE0ASQBUAFQARQBEACgAcgBvAHcAcwApACkALABcAG4AIAAgACAAIABjAG8AbABzAF8AaQBuAGMALAAgACAAIAAgACAAIAAgACAAIAAgACAATgBPAFQAKABJAFMATwBNAEkAVABUAEUARAAoAGMAbwBsAHMAKQApACwAXABuAFwAbgAgACAAIAAgAC8ALwAgAFIAZQBtAG8AdgBhAGwAIABzAGMAZQBuAGEAcgBpAG8AcwBcAG4AIAAgACAAIABSAGUAbQBvAHYAZQBSAG8AdwBzAD8ALAAgACAAIAAgACAAIAAgACAAQQBOAEQAKAByAG8AdwBzAF8AaQBuAGMALAAgAE4ATwBUACgAYwBvAGwAcwBfAGkAbgBjACkAKQAsAFwAbgAgACAAIAAgAFIAZQBtAG8AdgBlAEMAbwBsAHMAPwAsACAAIAAgACAAIAAgACAAIABBAE4ARAAoAGMAbwBsAHMAXwBpAG4AYwAsACAATgBPAFQAKAByAG8AdwBzAF8AaQBuAGMAKQApACwAXABuACAAIAAgACAAUgBlAG0AbwB2AGUAUgBDAD8ALAAgACAAIAAgACAAIAAgACAAIAAgAEEATgBEACgAcgBvAHcAcwBfAGkAbgBjACwAIABjAG8AbABzAF8AaQBuAGMAKQAsAFwAbgBcAG4AIAAgACAAIAAvAC8AIABIAGEAbAB0AGkAbgBnACAAcwBjAGUAbgBhAHIAaQBvAHMAXABuACAAIAAgACAASQBzAFMAYwBhAGwAYQByAD8ALAAgACAAIAAgACAAIAAgACAAIAAgAEEATgBEACgAaAAgAD0AIAAxACwAIAB3ACAAPQAgADEAKQAsAFwAbgAgACAAIAAgAFQAZQB4AHQAUgBvAHcAcwA/ACwAIAAgACAAIAAgACAAIAAgACAAIABPAFIAKABJAFMAVABFAFgAVAAoAHIAbwB3AHMAKQApACwAXABuACAAIAAgACAAVABlAHgAdABDAG8AbABzAD8ALAAgACAAIAAgACAAIAAgACAAIAAgAE8AUgAoAEkAUwBUAEUAWABUACgAYwBvAGwAcwApACkALABcAG4AXABuACAAIAAgACAASQBuAHYAYQBsAGkAZABSAG8AdwA/ACwAIAAgACAAIAAgACAAIAAgAEkARgAoAFQAZQB4AHQAUgBvAHcAcwA/ACwAIABUAFIAVQBFACwAXABuACAAIAAgACAAIAAgACAAIAAgACAAIAAgACAAIAAgACAAIAAgACAAIAAgACAAIAAgACAAIAAgACAAQQBOAEQAKAByAG8AdwBzAF8AaQBuAGMALABcAG4AIAAgACAAIAAgACAAIAAgACAAIAAgACAAIAAgACAAIAAgACAAIAAgACAAIAAgACAAIAAgACAAIAAgACAAIAAgAE8AUgAoAE0ASQBOACgAcgBvAHcAcwApACAAPAAgADEALAAgAE0AQQBYACgAcgBvAHcAcwApACAAPgAgAGgAKQApACkALABcAG4AXABuACAAIAAgACAASQBuAHYAYQBsAGkAZABDAG8AbAA/ACwAIAAgACAAIAAgACAAIAAgAEkARgAoAFQAZQB4AHQAQwBvAGwAcwA/ACwAIABUAFIAVQBFACwAXABuACAAIAAgACAAIAAgACAAIAAgACAAIAAgACAAIAAgACAAIAAgACAAIAAgACAAIAAgACAAIAAgACAAQQBOAEQAKABjAG8AbABzAF8AaQBuAGMALABcAG4AIAAgACAAIAAgACAAIAAgACAAIAAgACAAIAAgACAAIAAgACAAIAAgACAAIAAgACAAIAAgACAAIAAgACAAIAAgAE8AUgAoAE0ASQBOACgAYwBvAGwAcwApACAAPAAgADEALAAgAE0AQQBYACgAYwBvAGwAcwApACAAPgAgAHcAKQApACkALABcAG4AXABuAC8ALwAgAEwAbwBnAGkAYwAgAGcAYQB0AGUAXABuACAAIAAgACAASQBGACgASQBzAFMAYwBhAGwAYQByAD8ALAAgAGEAcgByAGEAeQAsAFwAbgBcAG4AIAAgACAAIAAgACAAIAAgAEkARgAoAEkAbgB2AGEAbABpAGQAUgBvAHcAPwAsACAAXAAiACMASQBOAFYAQQBMAEkARAAtAFIATwBXACEAXAAiACwAXABuAFwAbgAgACAAIAAgACAAIAAgACAAIAAgACAAIABJAEYAKABJAG4AdgBhAGwAaQBkAEMAbwBsAD8ALAAgAFwAIgAjAEkATgBWAEEATABJAEQALQBDAE8ATAAhAFwAIgAsAFwAbgBcAG4ATABFAFQAKABcAG4AIAAgACAAIAAvAC8AIABSAG8AdwAvAGMAbwBsAHUAbQBuACAAaQBuAGQAZQB4ACAAdgBlAGMAdABvAHIAcwBcAG4AIAAgACAAIAByACwAIAAgACAAIAAgACAAIAAgACAAIAAgACAAUwBFAFEAVQBFAE4AQwBFACgAaAApACwAXABuACAAIAAgACAAYwAsACAAIAAgACAAIAAgACAAIAAgACAAIAAgAFMARQBRAFUARQBOAEMARQAoACwAIAB3ACkALABcAG4AXABuACAAIAAgACAALwAvACAAQgBvAG8AbABlAGEAbgAgAG0AYQBzAGsAcwBcAG4AIAAgACAAIAByAG0AYQBzAGsALAAgACAAIAAgACAAIAAgACAATABBAE0AQgBEAEEAKABJAFMATgBBACgAWABNAEEAVABDAEgAKAByACwAIABUAE8AQwBPAEwAKAByAG8AdwBzACkAKQApACkALABcAG4AIAAgACAAIABjAG0AYQBzAGsALAAgACAAIAAgACAAIAAgACAATABBAE0AQgBEAEEAKABJAFMATgBBACgAWABNAEEAVABDAEgAKABjACwAIABUAE8AQwBPAEwAKABjAG8AbABzACkAKQApACkALABcAG4AXABuACAAIAAgACAALwAvACAAUgBvAHcALQBvAG4AbAB5ACAAcgBlAG0AbwB2AGEAbABcAG4AIAAgACAAIAByAG8AdwBzAF8AbwBuAGwAeQAsACAAIAAgACAATABBAE0AQgBEAEEAKABGAEkATABUAEUAUgAoAGEAcgByAGEAeQAsACAAcgBtAGEAcwBrACgAKQAsACAAMAApACkALABcAG4AXABuACAAIAAgACAALwAvACAAQwBvAGwAdQBtAG4ALQBvAG4AbAB5ACAAcgBlAG0AbwB2AGEAbABcAG4AIAAgACAAIABjAG8AbABzAF8AbwBuAGwAeQAsACAAIAAgACAATABBAE0AQgBEAEEAKABGAEkATABUAEUAUgAoAGEAcgByAGEAeQAsACAAYwBtAGEAcwBrACgAKQAsACAAMAApACkALABcAG4AXABuACAAIAAgACAALwAvACAAQgBvAHQAaAAgAHIAbwB3AHMAIABhAG4AZAAgAGMAbwBsAHUAbQBuAHMAXABuACAAIAAgACAAUgBDAF8AcgAsACAAIAAgACAAIAAgACAAIAAgAEwAQQBNAEIARABBACgARgBJAEwAVABFAFIAKABhAHIAcgBhAHkALAAgAHIAbQBhAHMAawAoACkALAAgADAAKQApACwAXABuACAAIAAgACAAUgBDACwAIAAgACAAIAAgACAAIAAgACAAIAAgAEwAQQBNAEIARABBACgARgBJAEwAVABFAFIAKABSAEMAXwByACgAKQAsACAAYwBtAGEAcwBrACgAKQAsACAAMAApACkALABcAG4AXABuACAAIAAgACAALwAvACAAUwBlAGwAZQBjAHQAaQBvAG4AXABuACAAIAAgACAAcgBlAHMAdQBsAHQALAAgACAAIAAgACAAIAAgAEkARgAoAFIAZQBtAG8AdgBlAFIAbwB3AHMAPwAsACAAcgBvAHcAcwBfAG8AbgBsAHkAKAApACwAXABuACAAIAAgACAAIAAgACAAIAAgACAAIAAgACAAIAAgACAAIAAgACAAIAAgACAAIAAgAEkARgAoAFIAZQBtAG8AdgBlAEMAbwBsAHMAPwAsACAAYwBvAGwAcwBfAG8AbgBsAHkAKAApACwAIABSAEMAKAApACkAKQAsAFwAbgBcAG4AIAAgACAAIAByAGUAcwB1AGwAdABcAG4AKQApACkAKQApACkAOwBcAG4AXABuAFwAbgBcAG4ALwAqACAAWwBHAEEAMAA2AF0AIAAtAC0ALQAtAC0ALQAtAC0ALQAtAC0ALQAtAC0ALQAtAC0ALQAtAC0ALQAtAC0ALQAtAC0ALQAtAC0ALQAtAC0ALQAtAC0ALQAtAC0ALQAtAC0ALQAtAC0ALQAtAC0ALQAtAC0ALQAtAC0ALQAtAC0ALQAtAC0ALQAtAC0ALQAtAC0ALQAtAC0ALQAtAC0ALQAtAFwAbgBGAHUAbgBjAHQAaQBvAG4AOgAgACAAIAAgACAAUwBxAHUAZQBlAHoAZQC7A1wAbgBDAGEAdABlAGcAbwByAHkAOgAgACAAIAAgACAARwByAGkAZAAgAEEAbABnAGUAYgByAGEAIAAoAEQAZQBsAGUAdABpAG8AbgApAFwAbgBBAHUAdABoAG8AcgA6ACAAIAAgACAAIAAgACAAUABhAHQAcgBpAGMAawAgAEgALgBcAG4AVgBlAHIAcwBpAG8AbgA6ACAAIAAgACAAIAAgADEALgAxAFwAbgBcAG4ARABlAHMAYwByAGkAcAB0AGkAbwBuADoAXABuACAAIAAgACAAUgBlAG0AbwB2AGUAcwAgAG4AdQBsAGwAIABhAG4AZAAgAHMAdAByAGEAaQBnAGgAdAARIHoAZQByAG8AIAB2AGUAcgB0AGkAYwBhAGwAIABvAHIAIABoAG8AcgBpAHoAbwBuAHQAYQBsACAAdgBlAGMAdABvAHIAcwAgAGYAcgBvAG0AIABhACAAMgBEACAAYQByAHIAYQB5AC4AXABuACAAIAAgACAAUwB1AHAAcABvAHIAdABzACAAYQBuACAAbwBwAHQAaQBvAG4AYQBsACAAYwB1AHMAdABvAG0AIABzAGMAYQBsAGEAcgAgAGMAcgBpAHQAZQByAGkAbwBuACAAZgBvAHIAIAByAGUAbQBvAHYAYQBsAC4AIABTAHEAdQBlAGUAegBlALsDIABjAGEAbgAgAGEAbABzAG8AXABuACAAIAAgACAAbwBwAHQAaQBvAG4AYQBsAGwAeQAgAHMAdQBwAHAAcgBlAHMAcwAgAHoAZQByAG8AcwAgAGkAbgAgAHQAaABlACAAZgBpAG4AYQBsACAAbwB1AHQAcAB1AHQAIABiAHkAIAByAGUAcABsAGEAYwBpAG4AZwAgAHQAaABlAG0AIAB3AGkAdABoACAAXAAiAFwAIgAuAFwAbgBcAG4AUABhAHIAYQBtAGUAdABlAHIAcwA6AFwAbgAgACAAIAAgAGEAcgByAGEAeQAgACAAIAAgACAAIAAgACAAIAAgACAAIAAtACAAMQBEACAAbwByACAAMgBEACAAYQByAHIAYQB5ACAAZgByAG8AbQAgAHcAaABpAGMAaAAgAHIAbwB3AHMALwBjAG8AbAB1AG0AbgBzACAAYQByAGUAIAByAGUAbQBvAHYAZQBkAC4AXABuACAAIAAgACAAWwBjAHUAcwB0AG8AbQBfAGMAcgBpAHQAZQByAGkAYQBdAC0AIABPAHAAdABpAG8AbgBhAGwAIABzAGMAYQBsAGEAcgAgAHUAcwBlAGQAIABhAHMAIAB0AGgAZQAgAHIAZQBtAG8AdgBhAGwAIABjAHIAaQB0AGUAcgBpAG8AbgAuAFwAbgAgACAAIAAgAFsAcwB1AHAAcAByAGUAcwBzAF8AegBlAHIAbwBzAF0AIAAtACAASQBmACAAcAByAG8AdgBpAGQAZQBkACwAIAB6AGUAcgBvAHMAIABpAG4AIAB0AGgAZQAgAGYAaQBuAGEAbAAgAHIAZQBzAHUAbAB0ACAAYQByAGUAIAByAGUAcABsAGEAYwBlAGQAIAB3AGkAdABoACAAXAAiAFwAIgAuAFwAbgBcAG4ATgBvAHQAZQBzADoAXABuACAAIAAgACAAIiAgAEkAZgAgAGIAbwB0AGgAIAByAG8AdwAgAGEAbgBkACAAYwBvAGwAdQBtAG4AIAB2AGUAYwB0AG8AcgBzACAAYQByAGUAIAByAGUAbQBvAHYAZQBkACwAIAB0AGgAZQAgAHIAZQBzAHUAbAB0ACAAbQBhAHkAIABzAGgAcgBpAG4AawAgAGkAbgAgAGIAbwB0AGgAXABuACAAIAAgACAAIAAgAGQAaQBtAGUAbgBzAGkAbwBuAHMALgBcAG4AIAAgACAAIAAiICAASQBmACAAbgBvACAAcgBvAHcAcwAgAG8AcgAgAGMAbwBsAHUAbQBuAHMAIAByAGUAbQBhAGkAbgAsACAAXAAiACMARQBNAFAAVABZAC0AQQBSAFIAQQBZACEAXAAiACAAaQBzACAAcgBlAHQAdQByAG4AZQBkAC4AXABuACAAIAAgACAAIiAgAHMAdQBwAHAAcgBlAHMAcwBfAHoAZQByAG8AcwAgAG8AbgBsAHkAIABhAGYAZgBlAGMAdABzACAAdABoAGUAIAAqAG8AdQB0AHAAdQB0ACoALAAgAG4AbwB0ACAAdABoAGUAIAByAGUAbQBvAHYAYQBsACAAbABvAGcAaQBjAC4AXABuAC0ALQAtAC0ALQAtAC0ALQAtAC0ALQAtAC0ALQAtAC0ALQAtAC0ALQAtAC0ALQAtAC0ALQAtAC0ALQAtAC0ALQAtAC0ALQAtAC0ALQAtAC0ALQAtAC0ALQAtAC0ALQAtAC0ALQAtAC0ALQAtAC0ALQAtAC0ALQAtAC0ALQAtAC0ALQAtAC0ALQAtAC0ALQAtAC0ALQAtAC0ALQAtACoALwBcAG4AXABuAFMAcQB1AGUAZQB6AGUAuwMgAD0AXABuAEwAQQBNAEIARABBACgAXABuACAAIAAgACAAYQByAHIAYQB5ACwAXABuACAAIAAgACAAWwBjAHUAcwB0AG8AbQBfAGMAcgBpAHQAZQByAGkAYQBdACwAXABuACAAIAAgACAAWwBzAHUAcABwAHIAZQBzAHMAXwB6AGUAcgBvAHMAXQAsAFwAbgBMAEUAVAAoAFwAbgAgACAAIAAgAC8ALwAgAFoAZQByAG8AESBzAHUAcABwAHIAZQBzAHMAaQBvAG4AIABmAGwAYQBnAFwAbgAgACAAIAAgAEgAaQBkAGUAWgBlAHIAbwA/ACwAIAAgACAAIAAgACAAIAAgACAAIABOAE8AVAAoAEkAUwBPAE0ASQBUAFQARQBEACgAcwB1AHAAcAByAGUAcwBzAF8AegBlAHIAbwBzACkAKQAsAFwAbgBcAG4AIAAgACAAIAAvAC8AIABJAG4AZABlAHgAIABzAGUAcQB1AGUAbgBjAGUAcwBcAG4AIAAgACAAIABpACwAIAAgACAAIAAgACAAIAAgACAAIAAgACAAIAAgACAAIAAgACAAUwBFAFEAVQBFAE4AQwBFACgAUgBPAFcAUwAoAGEAcgByAGEAeQApACkALABcAG4AIAAgACAAIABqACwAIAAgACAAIAAgACAAIAAgACAAIAAgACAAIAAgACAAIAAgACAAUwBFAFEAVQBFAE4AQwBFACgALAAgAEMATwBMAFUATQBOAFMAKABhAHIAcgBhAHkAKQApACwAXABuAFwAbgAgACAAIAAgAC8ALwAgAEQAZQBmAGEAdQBsAHQAIAByAGUAbQBvAHYAYQBsADoAIAByAGUAbQBvAHYAZQAgAGEAbABsABEgegBlAHIAbwAgAHYAZQBjAHQAbwByAHMAXABuACAAIAAgACAASwBlAGUAcAC7AywAIAAgACAAIAAgACAAIAAgACAAIAAgACAAIAAgAEwAQQBNAEIARABBACgAdgAsACAATgBPAFQAKABBAE4ARAAoAFQATwBDAE8ATAAoAHYALAAgADIAKQAgAD0AIAAwACkAKQApACwAXABuAFwAbgAgACAAIAAgAC8ALwAgAEMAdQBzAHQAbwBtACAAcgBlAG0AbwB2AGEAbAA6ACAAcgBlAG0AbwB2AGUAIAB2AGUAYwB0AG8AcgBzACAAZQBxAHUAYQBsACAAdABvACAAYwB1AHMAdABvAG0AXwBjAHIAaQB0AGUAcgBpAGEAXABuACAAIAAgACAAQwB1AHMAdABvAG0AuwMsACAAIAAgACAAIAAgACAAIAAgACAAIAAgAEwAQQBNAEIARABBACgAdgAsACAATgBPAFQAKABBAE4ARAAoAFQATwBDAE8ATAAoAHYALAAgADIAKQAgAD0AIABjAHUAcwB0AG8AbQBfAGMAcgBpAHQAZQByAGkAYQApACkAKQAsAFwAbgBcAG4AIAAgACAAIAAvAC8AIABTAGUAbABlAGMAdAAgAHAAcgBlAGQAaQBjAGEAdABlAFwAbgAgACAAIAAgAGYAbgAsACAAIAAgACAAIAAgACAAIAAgACAAIAAgACAAIAAgACAAIABJAEYAKABJAFMATwBNAEkAVABUAEUARAAoAGMAdQBzAHQAbwBtAF8AYwByAGkAdABlAHIAaQBhACkALAAgAEsAZQBlAHAAuwMsACAAQwB1AHMAdABvAG0AuwMpACwAXABuAFwAbgAgACAAIAAgAC8ALwAgAFIAbwB3AC8AYwBvAGwAdQBtAG4AIABpAG4AZABpAGMAZQBzACAAdABvACAAawBlAGUAcABcAG4AIAAgACAAIABhACwAIAAgACAAIAAgACAAIAAgACAAIAAgACAAIAAgACAAIAAgACAAVABPAEMATwBMACgASQBGACgAQgBZAFIATwBXACgAYQByAHIAYQB5ACwAIABmAG4AKQAsACAAaQAsACAATgBBACgAKQApACwAIAAyACkALABcAG4AIAAgACAAIABiACwAIAAgACAAIAAgACAAIAAgACAAIAAgACAAIAAgACAAIAAgACAAVABPAFIATwBXACgASQBGACgAQgBZAEMATwBMACgAYQByAHIAYQB5ACwAIABmAG4AKQAsACAAagAsACAATgBBACgAKQApACwAIAAyACkALABcAG4AXABuACAAIAAgACAALwAvACAATgBvACAAcgBvAHcAcwAgAG8AcgAgAGMAbwBsAHUAbQBuAHMAIAByAGUAbQBhAGkAbgA/AFwAbgAgACAAIAAgAEkAcwBFAG0AcAB0AHkAPwAsACAAIAAgACAAIAAgACAAIAAgACAAIABBAE4ARAAoAEkAUwBFAFIAUgBPAFIAKABhACkALAAgAEkAUwBFAFIAUgBPAFIAKABiACkAKQAsAFwAbgBcAG4AIAAgACAAIAAvAC8AIABOAGUAdwAgAHMAaABhAHAAZQBcAG4AIAAgACAAIAB4ACwAIAAgACAAIAAgACAAIAAgACAAIAAgACAAIAAgACAAIAAgACAAUgBPAFcAUwAoAGEAKQAsAFwAbgAgACAAIAAgAHkALAAgACAAIAAgACAAIAAgACAAIAAgACAAIAAgACAAIAAgACAAIABDAE8ATABVAE0ATgBTACgAYgApACwAXABuAFwAbgAgACAAIAAgAC8ALwAgAEkAbgBkAGUAeAAgAGcAcgBpAGQAcwBcAG4AIAAgACAAIAByACwAIAAgACAAIAAgACAAIAAgACAAIAAgACAAIAAgACAAIAAgACAAYQAgACoAIABTAEUAUQBVAEUATgBDAEUAKAAsACAAeQAsACAAMQAsACAAMAApACwAXABuACAAIAAgACAAYwAsACAAIAAgACAAIAAgACAAIAAgACAAIAAgACAAIAAgACAAIAAgAGIAIAAqACAAUwBFAFEAVQBFAE4AQwBFACgAeAAsACAALAAgADEALAAgADAAKQAsAFwAbgBcAG4AIAAgACAAIAAvAC8AIABFAHgAdAByAGEAYwB0ACAAcgBlAHMAdQBsAHQAXABuACAAIAAgACAAcgBlAHMAdQBsAHQALAAgACAAIAAgACAAIAAgACAAIAAgACAAIAAgAEkATgBEAEUAWAAoAGEAcgByAGEAeQAsACAAcgAsACAAYwApACwAXABuAFwAbgAgACAAIAAgAC8ALwAgAE8AcAB0AGkAbwBuAGEAbAAgAHoAZQByAG8AIABzAHUAcABwAHIAZQBzAHMAaQBvAG4AXABuACAAIAAgACAAcgBlAHMAdQBsAHQAXwBiACwAIAAgACAAIAAgACAAIAAgACAAIAAgAEkARgAoAHIAZQBzAHUAbAB0ACAAPQAgADAALAAgAFwAIgBcACIALAAgAHIAZQBzAHUAbAB0ACkALABcAG4AXABuACAAIAAgACAALwAvACAARgBpAG4AYQBsACAAbwB1AHQAcAB1AHQAXABuACAAIAAgACAAbwB1AHQAcAB1AHQALAAgACAAIAAgACAAIAAgACAAIAAgACAAIAAgAEkARgAoAEkAcwBFAG0AcAB0AHkAPwAsAFwAbgAgACAAIAAgACAAIAAgACAAIAAgACAAIAAgACAAIAAgACAAIAAgACAAIAAgACAAIAAgACAAIAAgAFwAIgAjAEUATQBQAFQAWQAtAEEAUgBSAEEAWQAhAFwAIgAsAFwAbgAgACAAIAAgACAAIAAgACAAIAAgACAAIAAgACAAIAAgACAAIAAgACAAIAAgACAAIAAgACAAIAAgAEkARgAoAEgAaQBkAGUAWgBlAHIAbwA/ACwAIAByAGUAcwB1AGwAdABfAGIALAAgAHIAZQBzAHUAbAB0ACkAKQAsAFwAbgBcAG4AIAAgACAAIABvAHUAdABwAHUAdABcAG4AKQApADsAXABuAFwAbgBcAG4AXABuAC8AKgAgAFsARwBBADAANwBdACAALQAtAC0ALQAtAC0ALQAtAC0ALQAtAC0ALQAtAC0ALQAtAC0ALQAtAC0ALQAtAC0ALQAtAC0ALQAtAC0ALQAtAC0ALQAtAC0ALQAtAC0ALQAtAC0ALQAtAC0ALQAtAC0ALQAtAC0ALQAtAC0ALQAtAC0ALQAtAC0ALQAtAC0ALQAtAC0ALQAtAC0ALQAtAC0ALQBcAG4ARgB1AG4AYwB0AGkAbwBuADoAIAAgACAAIAAgAEsAcgBvAG4AZQBjAGsAZQByAFAAcgBvAGQAuwNcAG4AQwBhAHQAZQBnAG8AcgB5ADoAIAAgACAAIAAgAEcAcgBpAGQAIABBAGwAZwBlAGIAcgBhACAAKABFAHgAcABhAG4AcwBpAG8AbgApAFwAbgBBAHUAdABoAG8AcgA6ACAAIAAgACAAIAAgACAAUABhAHQAcgBpAGMAawAgAEgALgBcAG4AVgBlAHIAcwBpAG8AbgA6ACAAIAAgACAAIAAgADEALgAxAFwAbgBEAGUAcABlAG4AZABlAG4AYwBpAGUAcwA6ACAATQBhAGcAbgBpAGYAeQC7AywAIABSAGUAcwBpAHoAZQC7A1wAbgBcAG4ARABlAHMAYwByAGkAcAB0AGkAbwBuADoAXABuACAAIAAgACAAQwBvAG0AcAB1AHQAZQBzACAAdABoAGUAIABLAHIAbwBuAGUAYwBrAGUAcgAgAHAAcgBvAGQAdQBjAHQAIABvAGYAIAB0AHcAbwAgAGEAcgByAGEAeQBzAC4AIABUAGgAZQAgAGYAaQByAHMAdAAgAGEAcgByAGEAeQAgAGkAcwAgAGUAeABwAGEAbgBkAGUAZABcAG4AIAAgACAAIAB1AHMAaQBuAGcAIABNAGEAZwBuAGkAZgB5ALsDIAB0AG8AIABtAGEAdABjAGgAIAB0AGgAZQAgAGgAZQBpAGcAaAB0ACAAYQBuAGQAIAB3AGkAZAB0AGgAIABvAGYAIABhAHIAcgBhAHkAXwAyACwAIAB3AGgAaQBsAGUAIABhAHIAcgBhAHkAXwAyACAAaQBzAFwAbgAgACAAIAAgAHIAZQBzAGkAegBlAGQAIAB1AHMAaQBuAGcAIABSAGUAcwBpAHoAZQC7AyAAdABvACAAbQBhAHQAYwBoACAAdABoAGUAIABkAGkAbQBlAG4AcwBpAG8AbgBzACAAbwBmACAAYQByAHIAYQB5AF8AMQAuACAAVABoAGUAaQByACAAZQBsAGUAbQBlAG4AdAARIHcAaQBzAGUAXABuACAAIAAgACAAcAByAG8AZAB1AGMAdAAgAHkAaQBlAGwAZABzACAAdABoAGUAIABmAHUAbABsACAASwByAG8AbgBlAGMAawBlAHIAIABlAHgAcABhAG4AcwBpAG8AbgAuAFwAbgBcAG4AIAAgACAAIABBAGwAdABoAG8AdQBnAGgAIABLAHIAbwBuAGUAYwBrAGUAcgAgAHAAcgBvAGQAdQBjAHQAcwAgAGEAcgBlACAAdAByAGEAZABpAHQAaQBvAG4AYQBsAGwAeQAgAGQAZQBmAGkAbgBlAGQAIABmAG8AcgAgAG0AYQB0AHIAaQBjAGUAcwAsACAAdABoAGkAcwBcAG4AIAAgACAAIABpAG0AcABsAGUAbQBlAG4AdABhAHQAaQBvAG4AIABhAGwAcwBvACAAcwB1AHAAcABvAHIAdABzACAAcwBjAGEAbABhAHIAcwAgAGEAbgBkACAAMQBEACAAYQByAHIAYQB5AHMALgBcAG4AXABuAFAAYQByAGEAbQBlAHQAZQByAHMAOgBcAG4AIAAgACAAIABhAHIAcgBhAHkAXwAxACAAIAAgACAAIAAtACAAMQBEACAAbwByACAAMgBEACAAYQByAHIAYQB5ACAAKABzAGMAYQBsAGEAcgBzACAAYQBjAGMAZQBwAHQAZQBkACkALgBcAG4AIAAgACAAIABhAHIAcgBhAHkAXwAyACAAIAAgACAAIAAtACAAMQBEACAAbwByACAAMgBEACAAYQByAHIAYQB5ACAAKABzAGMAYQBsAGEAcgBzACAAYQBjAGMAZQBwAHQAZQBkACkALgBcAG4AXABuAE4AbwB0AGUAcwA6AFwAbgAgACAAIAAgACIgIABCAHIAbwBhAGQAYwBhAHMAdABpAG4AZwAgAGkAcwAgAHAAZQByAGYAbwByAG0AZQBkACAAdgBpAGEAIABuAGUAYQByAGUAcwB0ABEgbgBlAGkAZwBoAGIAbwByACAAZQB4AHAAYQBuAHMAaQBvAG4ALgBcAG4AIAAgACAAIAAiICAAVABoAGUAIABvAHUAdABwAHUAdAAgAGQAaQBtAGUAbgBzAGkAbwBuAHMAIABhAHIAZQAgACgAUgBPAFcAUwAoAGEAcgByAGEAeQBfADEAKQAqAFIATwBXAFMAKABhAHIAcgBhAHkAXwAyACkAKQAgANcAXABuACAAIAAgACAAIAAgACgAQwBPAEwAVQBNAE4AUwAoAGEAcgByAGEAeQBfADEAKQAqAEMATwBMAFUATQBOAFMAKABhAHIAcgBhAHkAXwAyACkAKQAuAFwAbgAtAC0ALQAtAC0ALQAtAC0ALQAtAC0ALQAtAC0ALQAtAC0ALQAtAC0ALQAtAC0ALQAtAC0ALQAtAC0ALQAtAC0ALQAtAC0ALQAtAC0ALQAtAC0ALQAtAC0ALQAtAC0ALQAtAC0ALQAtAC0ALQAtAC0ALQAtAC0ALQAtAC0ALQAtAC0ALQAtAC0ALQAtAC0ALQAtAC0ALQAtAC0ALQAqAC8AXABuAFwAbgBLAHIAbwBuAGUAYwBrAGUAcgBQAHIAbwBkALsDIAA9AFwAbgBMAEEATQBCAEQAQQAoAFwAbgAgACAAIAAgAGEAcgByAGEAeQBfADEALABcAG4AIAAgACAAIABhAHIAcgBhAHkAXwAyACwAXABuAEwARQBUACgAXABuACAAIAAgACAALwAvACAARABpAG0AZQBuAHMAaQBvAG4AcwBcAG4AIAAgACAAIABoACwAIAAgACAAIAAgACAAUgBPAFcAUwAoAGEAcgByAGEAeQBfADEAKQAsAFwAbgAgACAAIAAgAHcALAAgACAAIAAgACAAIABDAE8ATABVAE0ATgBTACgAYQByAHIAYQB5AF8AMQApACwAXABuACAAIAAgACAAaACCICwAIAAgACAAIAAgAFIATwBXAFMAKABhAHIAcgBhAHkAXwAyACkALABcAG4AIAAgACAAIAB3AIIgLAAgACAAIAAgACAAQwBPAEwAVQBNAE4AUwAoAGEAcgByAGEAeQBfADIAKQAsAFwAbgBcAG4AIAAgACAAIAAvAC8AIABCAHIAbwBhAGQAYwBhAHMAdAAgAGEAcgByAGEAeQBfADEAIABiAHkAIABtAGEAZwBuAGkAZgB5AGkAbgBnACAAZQBhAGMAaAAgAGUAbABlAG0AZQBuAHQAIABpAG4AdABvACAAYQBuACAAaACCICAA1wAgAHcAgiAgAGIAbABvAGMAawBcAG4AIAAgACAAIABBACwAIAAgACAAIAAgACAATQBhAGcAbgBpAGYAeQC7AygAYQByAHIAYQB5AF8AMQAsACAAaACCICwAIAB3AIIgKQAsAFwAbgBcAG4AIAAgACAAIAAvAC8AIABCAHIAbwBhAGQAYwBhAHMAdAAgAGEAcgByAGEAeQBfADIAIABiAHkAIAByAGUAcwBpAHoAaQBuAGcAIABpAHQAIAB0AG8AIABtAGEAdABjAGgAIABhAHIAcgBhAHkAXwAxABkgcwAgAHMAdAByAHUAYwB0AHUAcgBlAFwAbgAgACAAIAAgAEIALAAgACAAIAAgACAAIABSAGUAcwBpAHoAZQC7AygAYQByAHIAYQB5AF8AMgAsACAAaAAsACAAdwApACwAXABuAFwAbgAgACAAIAAgAC8ALwAgAEUAbABlAG0AZQBuAHQAESB3AGkAcwBlACAAcAByAG8AZAB1AGMAdAAgAHkAaQBlAGwAZABzACAAdABoAGUAIABLAHIAbwBuAGUAYwBrAGUAcgAgAGUAeABwAGEAbgBzAGkAbwBuAFwAbgAgACAAIAAgAHIAZQBzAHUAbAB0ACwAIABBACAAKgAgAEIALABcAG4AXABuACAAIAAgACAAcgBlAHMAdQBsAHQAXABuACkAKQA7AFwAbgBcAG4AXABuAFwAbgAvACoAIABbAEcAQQAwADgAXQAgAC0ALQAtAC0ALQAtAC0ALQAtAC0ALQAtAC0ALQAtAC0ALQAtAC0ALQAtAC0ALQAtAC0ALQAtAC0ALQAtAC0ALQAtAC0ALQAtAC0ALQAtAC0ALQAtAC0ALQAtAC0ALQAtAC0ALQAtAC0ALQAtAC0ALQAtAC0ALQAtAC0ALQAtAC0ALQAtAC0ALQAtAC0ALQAtAC0AXABuAEYAdQBuAGMAdABpAG8AbgA6ACAAIAAgACAAIABFAHgAYwBsAHUAZABl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ZQB4AGMAbAB1AGQAaQBuAGcAIABhAG4AeQAgAHIAbwB3ACAAdABoAGEAdAAgAGMAbwBuAHQAYQBpAG4AcwAgAGEAIABzAHAAZQBjAGkAZgBpAGUAZABcAG4AIAAgACAAIABjAHIAaQB0AGUAcgBpAG8AbgAuACAARQB4AGMAbAB1AGQAZQC7AyAAaQBzACAAYQAgAHMAaQBtAHAAbABpAGYAaQBlAGQAIABhAGwAdABlAHIAbgBhAHQAaQB2AGUAIAB0AG8AIABGAEkATABUAEUAUgAgAHcAaABlAHIAZQAgAHQAaABlACAAdQBzAGUAcgBcAG4AIAAgACAAIABzAHUAcABwAGwAaQBlAHMAIAB0AGgAZQAgAGUAeABjAGwAdQBzAGkAbwBuACAAdgBhAGwAdQBlAHMAIABkAGkAcgBlAGMAdABsAHkAIAByAGEAdABoAGUAcgAgAHQAaABhAG4AIABhACAAYgBvAG8AbABlAGEAbgAgAG0AYQBzAGsALgBcAG4AXABuACAAIAAgACAAVABoAGUAIABmAHUAbgBjAHQAaQBvAG4AIABjAGgAZQBjAGsAcwAgAGUAYQBjAGgAIAByAG8AdwAgAGYAbwByACAAdABoAGUAIABwAHIAZQBzAGUAbgBjAGUAIABvAGYAIABhAG4AeQAgAHYAYQBsAHUAZQAgAGkAbgAgACcAZQB4AGMAbAB1AGQAZQAnAC4AXABuACAAIAAgACAAUgBvAHcAcwAgAHQAaABhAHQAIABjAG8AbgB0AGEAaQBuACAAdABoAGUAIABlAHgAYwBsAHUAcwBpAG8AbgAgAGMAcgBpAHQAZQByAGkAbwBuACAAYQByAGUAIAByAGUAbQBvAHYAZQBkADsAIABhAGwAbAAgAG8AdABoAGUAcgBzACAAYQByAGUAIABrAGUAcAB0AC4AXABuAFwAbgBQAGEAcgBhAG0AZQB0AGUAcgBzADoAXABuACAAIAAgACAAYQByAHIAYQB5ACAAIAAgACAAIAAgACAALQAgADEARAAgAG8AcgAgADIARAAgAGEAcgByAGEAeQAgAHQAbwAgAGYAaQBsAHQAZQByAC4AXABuACAAIAAgACAAZQB4AGMAbAB1AGQAZQAgACAAIAAgACAALQAgAFMAYwBhAGwAYQByACAAbwByACAAMQBEACAAYQByAHIAYQB5ACAAbwBmACAAdgBhAGwAdQBlAHMAIAB0AG8AIABvAG0AaQB0AC4AXABuACAAIAAgACAAWwBpAGYAXwBlAG0AcAB0AHkAXQAgACAALQAgAE8AcAB0AGkAbwBuAGEAbAAgAGYAYQBsAGwAYgBhAGMAawAgAHYAYQBsAHUAZQAgAHcAaABlAG4AIABuAG8AIAByAG8AdwBzACAAcgBlAG0AYQBpAG4AIAAoAGQAZQBmAGEAdQBsAHQAIAA9ACAAMAApAC4AXABuAFwAbgBOAG8AdABlAHMAOgBcAG4AIAAgACAAIAAiICAAQQAgADIARAAgAGUAeABjAGwAdQBkAGUAIABhAHIAcgBhAHkAIABpAHMAIABpAG4AdgBhAGwAaQBkACAAYQBuAGQAIABoAGEAbAB0AHMAIAB3AGkAdABoACAAXAAiACMAMgBEAC0ARQBYAEMATABVAEQARQAhAFwAIgAuAFwAbgAgACAAIAAgACIgIABNAGEAdABjAGgAaQBuAGcAIABpAHMAIABwAGUAcgBmAG8AcgBtAGUAZAAgAHUAcwBpAG4AZwAgAFgATQBBAFQAQwBIADsAIABuAG8AbgARIG0AYQB0AGMAaABlAHMAIABhAHIAZQAgAHQAcgBlAGEAdABlAGQAIABhAHMAIAB6AGUAcgBvAC4AXABuACAAIAAgACAAIiAgAEYAaQBsAHQAZQByAGkAbgBnACAAaQBzACAAcgBvAHcAESB3AGkAcwBlADsAIABjAG8AbAB1AG0AbgBzACAAYQByAGUAIABwAHIAZQBzAGUAcgB2AGUAZAAuAFwAbgAtAC0ALQAtAC0ALQAtAC0ALQAtAC0ALQAtAC0ALQAtAC0ALQAtAC0ALQAtAC0ALQAtAC0ALQAtAC0ALQAtAC0ALQAtAC0ALQAtAC0ALQAtAC0ALQAtAC0ALQAtAC0ALQAtAC0ALQAtAC0ALQAtAC0ALQAtAC0ALQAtAC0ALQAtAC0ALQAtAC0ALQAtAC0ALQAtAC0ALQAtAC0ALQAqAC8AXABuAFwAbgBFAHgAYwBsAHUAZABlALsDIAA9AFwAbgBMAEEATQBCAEQAQQAoAFwAbgAgACAAIAAgAGEAcgByAGEAeQAsAFwAbgAgACAAIAAgAGUAeABjAGwAdQBkAGUALABcAG4AIAAgACAAIABbAGkAZgBfAGUAbQBwAHQAeQBdACwAXABuAFwAbgBJAEYAKABBAE4ARAAoAFIATwBXAFMAKABlAHgAYwBsAHUAZABlACkAIAA+ACAAMQAsACAAQwBPAEwAVQBNAE4AUwAoAGUAeABjAGwAdQBkAGUAKQAgAD4AIAAxACkALABcACIAIwAyAEQALQBFAFgAQwBMAFUARABFACEAXAAiACwAXABuAFwAbgBMAEUAVAAoAFwAbgAgACAAIAAgAC8ALwAgAE8AcAB0AGkAbwBuAGEAbAAgAGYAYQBsAGwAYgBhAGMAawBcAG4AIAAgACAAIABpAGYAXwBlAG0AcAB0AHkALAAgACAAIAAgACAAIAAgAEkARgAoAEkAUwBPAE0ASQBUAFQARQBEACgAaQBmAF8AZQBtAHAAdAB5ACkALAAgADAALAAgAGkAZgBfAGUAbQBwAHQAeQApACwAXABuAFwAbgAgACAAIAAgAC8ALwAgAFQAUgBVAEUAIAA9ACAAawBlAGUAcAAgAHIAbwB3ACwAIABGAEEATABTAEUAIAA9ACAAZQB4AGMAbAB1AGQAZQAgAHIAbwB3AFwAbgAgACAAIAAgAGsAZQBlAHAAPwAsACAAIAAgACAAIAAgACAAIAAgACAATgBPAFQAKABCAFkAUgBPAFcAKABJAEYATgBBACgAWABNAEEAVABDAEgAKABhAHIAcgBhAHkALAAgAGUAeABjAGwAdQBkAGUAKQAsACAAMAApACwATwBSACkAKQAsAFwAbgBcAG4AIAAgACAAIAByAGUAcwB1AGwAdAAsACAAIAAgACAAIAAgACAAIAAgAEYASQBMAFQARQBSACgAYQByAHIAYQB5ACwAIABrAGUAZQBwAD8ALAAgAGkAZgBfAGUAbQBwAHQAeQApACwAXABuAFwAbgAgACAAIAAgAHIAZQBzAHUAbAB0AFwAbgApACkAKQA7AFwAbgBcAG4AXABuAFwAbgAvACoAIABbAEcAQQAwADkAXQAgAC0ALQAtAC0ALQAtAC0ALQAtAC0ALQAtAC0ALQAtAC0ALQAtAC0ALQAtAC0ALQAtAC0ALQAtAC0ALQAtAC0ALQAtAC0ALQAtAC0ALQAtAC0ALQAtAC0ALQAtAC0ALQAtAC0ALQAtAC0ALQAtAC0ALQAtAC0ALQAtAC0ALQAtAC0ALQAtAC0ALQAtAC0ALQAtAC0AXABuAEYAdQBuAGMAdABpAG8AbgA6ACAAIAAgACAAIABTAG4AYQBw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cwBlAGwAZQBjAHQAaQBuAGcAIAByAG8AdwBzACAAdABoAGEAdAAgAGMAbwBuAHQAYQBpAG4AIABhAHQAIABsAGUAYQBzAHQAIABvAG4AZQBcAG4AIAAgACAAIAB2AGEAbAB1AGUAIABmAHIAbwBtACAAdABoAGUAIAAnAGkAbgBjAGwAdQBkAGUAJwAgAGMAcgBpAHQAZQByAGkAYQAuACAAUwBuAGEAcAC7AyAAaQBzACAAYQAgAHMAaQBtAHAAbABpAGYAaQBlAGQAIABhAGwAdABlAHIAbgBhAHQAaQB2AGUAIAB0AG8AXABuACAAIAAgACAARgBJAEwAVABFAFIAIAB3AGgAZQByAGUAIAB0AGgAZQAgAHUAcwBlAHIAIABzAHUAcABwAGwAaQBlAHMAIAB0AGgAZQAgAGkAbgBjAGwAdQBzAGkAbwBuACAAdgBhAGwAdQBlAHMAIABkAGkAcgBlAGMAdABsAHkAIAByAGEAdABoAGUAcgAgAHQAaABhAG4AXABuACAAIAAgACAAYQAgAGIAbwBvAGwAZQBhAG4AIABtAGEAcwBrAC4AXABuAFwAbgAgACAAIAAgAFQAaABlACAAZgB1AG4AYwB0AGkAbwBuACAAYwBoAGUAYwBrAHMAIABlAGEAYwBoACAAcgBvAHcAIABmAG8AcgAgAHQAaABlACAAcAByAGUAcwBlAG4AYwBlACAAbwBmACAAYQBuAHkAIAB2AGEAbAB1AGUAIABpAG4AIAAnAGkAbgBjAGwAdQBkAGUAJwAuAFwAbgAgACAAIAAgAFIAbwB3AHMAIAB0AGgAYQB0ACAAYwBvAG4AdABhAGkAbgAgAHQAaABlACAAaQBuAGMAbAB1AHMAaQBvAG4AIABjAHIAaQB0AGUAcgBpAG8AbgAgAGEAcgBlACAAawBlAHAAdAA7ACAAYQBsAGwAIABvAHQAaABlAHIAcwAgAGEAcgBlACAAcgBlAG0AbwB2AGUAZAAuAFwAbgBcAG4AUABhAHIAYQBtAGUAdABlAHIAcwA6AFwAbgAgACAAIAAgAGEAcgByAGEAeQAgACAAIAAgACAAIAAgAC0AIAAxAEQAIABvAHIAIAAyAEQAIABhAHIAcgBhAHkAIAB0AG8AIABmAGkAbAB0AGUAcgAuAFwAbgAgACAAIAAgAGkAbgBjAGwAdQBkAGUAIAAgACAAIAAgAC0AIABTAGMAYQBsAGEAcgAgAG8AcgAgADEARAAgAGEAcgByAGEAeQAgAG8AZgAgAHYAYQBsAHUAZQBzACAAdABvACAAaQBuAGMAbAB1AGQAZQAuAFwAbgAgACAAIAAgAFsAaQBmAF8AZQBtAHAAdAB5AF0AIAAgAC0AIABPAHAAdABpAG8AbgBhAGwAIABmAGEAbABsAGIAYQBjAGsAIAB2AGEAbAB1AGUAIAB3AGgAZQBuACAAbgBvACAAcgBvAHcAcwAgAHIAZQBtAGEAaQBuACAAKABkAGUAZgBhAHUAbAB0ACAAPQAgADAAKQAuAFwAbgBcAG4ATgBvAHQAZQBzADoAXABuACAAIAAgACAAIiAgAEEAIAAyAEQAIABpAG4AYwBsAHUAZABlACAAYQByAHIAYQB5ACAAaQBzACAAaQBuAHYAYQBsAGkAZAAgAGEAbgBkACAAaABhAGwAdABzACAAdwBpAHQAaAAgAFwAIgAjADIARAAtAEkATgBDAEwAVQBEAEUAIQBcACIALgBcAG4AIAAgACAAIAAiICAATQBhAHQAYwBoAGkAbgBnACAAaQBzACAAcABlAHIAZgBvAHIAbQBlAGQAIAB1AHMAaQBuAGcAIABYAE0AQQBUAEMASAA7ACAAbgBvAG4AESBtAGEAdABjAGgAZQBzACAAYQByAGUAIAB0AHIAZQBhAHQAZQBkACAAYQBzACAAegBlAHIAbwAuAFwAbgAgACAAIAAgACIgIABGAGkAbAB0AGUAcgBpAG4AZwAgAGkAcwAgAHIAbwB3ABEgdwBpAHMAZQA7ACAAYwBvAGwAdQBtAG4AcwAgAGEAcgBlACAAcAByAGUAcwBlAHIAdgBlAGQALgBcAG4ALQAtAC0ALQAtAC0ALQAtAC0ALQAtAC0ALQAtAC0ALQAtAC0ALQAtAC0ALQAtAC0ALQAtAC0ALQAtAC0ALQAtAC0ALQAtAC0ALQAtAC0ALQAtAC0ALQAtAC0ALQAtAC0ALQAtAC0ALQAtAC0ALQAtAC0ALQAtAC0ALQAtAC0ALQAtAC0ALQAtAC0ALQAtAC0ALQAtAC0ALQAtAC0AKgAvAFwAbgBcAG4AUwBuAGEAcAC7AyAAPQBcAG4ATABBAE0AQgBEAEEAKABcAG4AIAAgACAAIABhAHIAcgBhAHkALABcAG4AIAAgACAAIABpAG4AYwBsAHUAZABlACwAXABuACAAIAAgACAAWwBpAGYAXwBlAG0AcAB0AHkAXQAsAFwAbgBcAG4ASQBGACgAQQBOAEQAKABSAE8AVwBTACgAaQBuAGMAbAB1AGQAZQApACAAPgAgADEALAAgAEMATwBMAFUATQBOAFMAKABpAG4AYwBsAHUAZABlACkAIAA+ACAAMQApACwAXAAiACMAMgBEAC0ASQBOAEMATABVAEQARQAhAFwAIgAsAFwAbgBcAG4ATABFAFQAKABcAG4AIAAgACAAIAAvAC8AIABPAHAAdABpAG8AbgBhAGwAIABmAGEAbABsAGIAYQBjAGsAXABuACAAIAAgACAAaQBmAF8AZQBtAHAAdAB5ACwAIAAgACAAIAAgACAAIABJAEYAKABJAFMATwBNAEkAVABUAEUARAAoAGkAZgBfAGUAbQBwAHQAeQApACwAIAAwACwAIABpAGYAXwBlAG0AcAB0AHkAKQAsAFwAbgBcAG4AIAAgACAAIAAvAC8AIABUAFIAVQBFACAAPQAgAGsAZQBlAHAAIAByAG8AdwAsACAARgBBAEwAUwBFACAAPQAgAGQAaQBzAGMAYQByAGQAIAByAG8AdwBcAG4AIAAgACAAIABrAGUAZQBwAD8ALAAgACAAIAAgACAAIAAgACAAIAAgAEIAWQBSAE8AVwAoAEkARgBOAEEAKABYAE0AQQBUAEMASAAoAGEAcgByAGEAeQAsACAAaQBuAGMAbAB1AGQAZQApACwAIAAwACkALABPAFIAKQAsAFwAbgBcAG4AIAAgACAAIAByAGUAcwB1AGwAdAAsACAAIAAgACAAIAAgACAAIAAgAEYASQBMAFQARQBSACgAYQByAHIAYQB5ACwAIABrAGUAZQBwAD8ALAAgAGkAZgBfAGUAbQBwAHQAeQApACwAXABuAFwAbgAgACAAIAAgAHIAZQBzAHUAbAB0AFwAbgApACkAKQA7AFwAbgBcAG4AXABuAFwAbgAvACoAIABbAEcAQQAxADAAXQAgAC0ALQAtAC0ALQAtAC0ALQAtAC0ALQAtAC0ALQAtAC0ALQAtAC0ALQAtAC0ALQAtAC0ALQAtAC0ALQAtAC0ALQAtAC0ALQAtAC0ALQAtAC0ALQAtAC0ALQAtAC0ALQAtAC0ALQAtAC0ALQAtAC0ALQAtAC0ALQAtAC0ALQAtAC0ALQAtAC0ALQAtAC0ALQAtAC0AXABuAEYAdQBuAGMAdABpAG8AbgA6ACAAIAAgACAAIABTAGgAaQBmAHQAuwNcAG4AQwBhAHQAZQBnAG8AcgB5ADoAIAAgACAAIAAgAEcAcgBpAGQAIABBAGwAZwBlAGIAcgBhACAAKABSAG8AbABsAGkAbgBnACkAXABuAEEAdQB0AGgAbwByADoAIAAgACAAIAAgACAAIABQAGEAdAByAGkAYwBrACAASAAuAFwAbgBWAGUAcgBzAGkAbwBuADoAIAAgACAAIAAgACAAMQAuADEAXABuAEQAZQBwAGUAbgBkAGUAbgBjAGkAZQBzADoAIABFAHgAcABsAG8AZABlALsDXABuAFwAbgBEAGUAcwBjAHIAaQBwAHQAaQBvAG4AOgBcAG4AIAAgACAAIABQAGUAcgBmAG8AcgBtAHMAIABhACAAYwBpAHIAYwB1AGwAYQByACAAcwBoAGkAZgB0ACAAbwBuACAAYQAgAHMAdQBwAHAAbABpAGUAZAAgAHQAdQBwAGwAZQAgACgAcwBjAGEAbABhAHIALAAgADEARAAgAGEAcgByAGEAeQAsACAAbwByACAAMgBEACAAYQByAHIAYQB5ACkALgBcAG4AIAAgACAAIABQAG8AcwBpAHQAaQB2AGUAIABzAGgAaQBmAHQAIAB2AGEAbAB1AGUAcwAgAHIAbwB0AGEAdABlACAAbABlAGYAdAA7ACAAbgBlAGcAYQB0AGkAdgBlACAAcwBoAGkAZgB0ACAAdgBhAGwAdQBlAHMAIAByAG8AdABhAHQAZQAgAHIAaQBnAGgAdAAuAFwAbgBcAG4AIAAgACAAIABFAHgAYQBtAHAAbABlAHMAOgBcAG4AIAAgACAAIAAgACAAIAAgAD0AUwBoAGkAZgB0ALsDKAB7ADEALAAyACwAMwAsADQAfQAsACAAMgApAFwAbgAgACAAIAAgACAAIAAgACAAIAAgACAAIACSISAAewAzACwANAAsADEALAAyAH0AXABuAFwAbgAgACAAIAAgACAAIAAgACAAPQBTAGgAaQBmAHQAuwMoAHsAMQAsADIALAAzACwANAB9ACwAIAAtADEAKQBcAG4AIAAgACAAIAAgACAAIAAgACAAIAAgACAAkiEgAHsANAAsADEALAAyACwAMwB9AFwAbgBcAG4AIAAgACAAIAAgACAAIAAgAD0AUwBoAGkAZgB0ALsDKABcACIAMQAyADMANABcACIAKQBcAG4AIAAgACAAIAAgACAAIAAgACAAIAAgACAAkiEgAHsAXAAiADIAXAAiADsAXAAiADMAXAAiADsAXAAiADQAXAAiADsAXAAiADEAXAAiAH0AXABuACAAIAAgACAAIAAgACAAIABcAG4AIAAgACAAIAAgACAAIAAgAD0AUwBoAGkAZgB0ALsDKAB7ADEALAAyACwAMwAsADQAfQAsAHsAMQAsADIALAAzAH0AKQBcAG4AIAAgACAAIAAgACAAIAAgACAAIAAgACAAkiEgAHsAMgAsADMALAA0ACwAMQA7AFwAbgAgACAAIAAgACAAIAAgACAAIAAgACAAIAAgACAAIAAzACwANAAsADEALAAyADsAXABuACAAIAAgACAAIAAgACAAIAAgACAAIAAgACAAIAAgADQALAAxACwAMgAsADMAfQBcAG4AXABuAFAAYQByAGEAbQBlAHQAZQByAHMAOgBcAG4AIAAgACAAIAB0AHUAcABsAGUAIAAgACAAIAAgACAAIAAtACAAUwBjAGEAbABhAHIALAAgADEARAAgAGEAcgByAGEAeQAsACAAbwByACAAMgBEACAAYQByAHIAYQB5AC4AXABuACAAIAAgACAAIAAgACAAIAAgACAAIAAgACAAIAAgACAAIAAgACIgIABTAGMAYQBsAGEAcgBzACAAYQByAGUAIABlAHgAcABsAG8AZABlAGQAIABpAG4AdABvACAAYwBoAGEAcgBhAGMAdABlAHIAIABhAHIAcgBhAHkAcwAgAHYAaQBhACAARQB4AHAAbABvAGQAZQC7Ay4AXABuACAAIAAgACAAIAAgACAAIAAgACAAIAAgACAAIAAgACAAIAAgACIgIAAyAEQAIABhAHIAcgBhAHkAcwAgAGEAcgBlACAAZgBsAGEAdAB0AGUAbgBlAGQAIAB3AGkAdABoACAAVABPAEMATwBMAC4AXABuAFwAbgAgACAAIAAgAFsAcwBoAGkAZgB0AF8AYgB5AF0AIAAgAC0AIABTAGgAaQBmAHQAIABjAG8AdQBuAHQAIAAoAGQAZQBmAGEAdQBsAHQAIAA9ACAAMQApAC4AXABuACAAIAAgACAAIAAgACAAIAAgACAAIAAgACAAIAAgACAAIAAgACIgIABQAG8AcwBpAHQAaQB2AGUAIACSISAAbABlAGYAdAAgAHMAaABpAGYAdABcAG4AIAAgACAAIAAgACAAIAAgACAAIAAgACAAIAAgACAAIAAgACAAIiAgAE4AZQBnAGEAdABpAHYAZQAgAJIhIAByAGkAZwBoAHQAIABzAGgAaQBmAHQAXABuACAAIAAgACAAIAAgACAAIAAgACAAIAAgACAAIAAgACAAIAAgACIgIABNAHUAbAB0AGkAESBzAGgAaQBmAHQAIABhAHIAcgBhAHkAcwAgAHAAcgBvAGQAdQBjAGUAIABhACAAYQByAHIAYQB5AF8AMgBEACAAbwBmACAAcwBoAGkAZgB0AGUAZAAgAHQAdQBwAGwAZQBzAC4AXABuAFwAbgBOAG8AdABlAHMAOgBcAG4AIAAgACAAIAAiICAATwB1AHQAcAB1AHQAIABvAHIAaQBlAG4AdABhAHQAaQBvAG4AIABtAGEAdABjAGgAZQBzACAAaQBuAHAAdQB0ADoAXABuACAAIAAgACAAIAAgACAAIAAgACAALQAgAFMAYwBhAGwAYQByAHMAIACSISAAdgBlAHIAdABpAGMAYQBsAFwAbgAgACAAIAAgACAAIAAgACAAIAAgAC0AIABWAGUAcgB0AGkAYwBhAGwAIABhAHIAcgBhAHkAcwAgAJIhIAB2AGUAcgB0AGkAYwBhAGwAXABuACAAIAAgACAAIAAgACAAIAAgACAALQAgAEgAbwByAGkAegBvAG4AdABhAGwAIABhAHIAcgBhAHkAcwAgAJIhIABoAG8AcgBpAHoAbwBuAHQAYQBsAFwAbgAgACAAIAAgACIgIABNAHUAbAB0AGkAESBzAGgAaQBmAHQAIABpAG4AcAB1AHQAcwAgAHIAZQB0AHUAcgBuACAAYQAgAHMAdABhAGMAawBlAGQAIABhAHIAcgBhAHkAXwAyAEQAIABvAGYAIABzAGgAaQBmAHQAZQBkACAAcgBlAHMAdQBsAHQAcwAuAFwAbgAtAC0ALQAtAC0ALQAtAC0ALQAtAC0ALQAtAC0ALQAtAC0ALQAtAC0ALQAtAC0ALQAtAC0ALQAtAC0ALQAtAC0ALQAtAC0ALQAtAC0ALQAtAC0ALQAtAC0ALQAtAC0ALQAtAC0ALQAtAC0ALQAtAC0ALQAtAC0ALQAtAC0ALQAtAC0ALQAtAC0ALQAtAC0ALQAtAC0ALQAtAC0ALQAqAC8AXABuAFwAbgBTAGgAaQBmAHQAuwMgAD0AXABuAEwAQQBNAEIARABBACgAXABuACAAIAAgACAAdAB1AHAAbABlACwAXABuACAAIAAgACAAWwBzAGgAaQBmAHQAXwBiAHkAXQAsAFwAbgBMAEUAVAAoAFwAbgAgACAAIAAgAC8ALwAgAFMAaABhAHAAZQAgAGMAbABhAHMAcwBpAGYAaQBjAGEAdABpAG8AbgBcAG4AIAAgACAAIABoACwAIAAgACAAIAAgACAAIAAgACAAIAAgACAAIAAgACAAIAAgACAAUgBPAFcAUwAoAHQAdQBwAGwAZQApACwAXABuACAAIAAgACAAdwAsACAAIAAgACAAIAAgACAAIAAgACAAIAAgACAAIAAgACAAIAAgAEMATwBMAFUATQBOAFMAKAB0AHUAcABsAGUAKQAsAFwAbgAgACAAIAAgAEkAcwBTAGMAYQBsAGEAcgA/ACwAIAAgACAAIAAgACAAIAAgACAAIABBAE4ARAAoAGgAIAA9ACAAMQAsACAAdwAgAD0AIAAxACkALABcAG4AIAAgACAAIABJAHMAVgBlAHIAdABpAGMAYQBsAD8ALAAgACAAIAAgACAAIAAgACAAQQBOAEQAKABoACAAPgAgADEALAAgAHcAIAA9ACAAMQApACwAXABuAFwAbgAgACAAIAAgAC8ALwAgAE4AbwByAG0AYQBsAGkAegBlACAAdAB1AHAAbABlACAAkiEgAHYAZQByAHQAaQBjAGEAbAAgAGEAcgByAGEAeQBcAG4AIAAgACAAIAB0AHUAcABsAGUALAAgACAAIAAgACAAIAAgACAAIAAgACAAIAAgACAAVABPAEMATwBMACgASQBGACgASQBzAFMAYwBhAGwAYQByAD8ALABFAHgAcABsAG8AZABlALsDKAB0AHUAcABsAGUAKQAsAHQAdQBwAGwAZQApACkALABcAG4AXABuACAAIAAgACAALwAvACAATgBvAHIAbQBhAGwAaQB6AGUAIABzAGgAaQBmAHQAXwBiAHkAIACSISAAdgBlAHIAdABpAGMAYQBsACAAYQByAHIAYQB5AFwAbgAgACAAIAAgAHMAaABpAGYAdABfAGIAeQAsACAAIAAgACAAIAAgACAAIAAgACAAIABUAE8AQwBPAEwAKABJAEYAKABJAFMATwBNAEkAVABUAEUARAAoAHMAaABpAGYAdABfAGIAeQApACwAIAAxACwAIABzAGgAaQBmAHQAXwBiAHkAKQApACwAXABuACAAIAAgACAASQBzAE0AdQBsAHQAaQBTAGgAaQBmAHQAPwAsACAAIAAgACAAIAAgAEMATwBVAE4AVABBACgAcwBoAGkAZgB0AF8AYgB5ACkAIAA+ACAAMQAsAFwAbgBcAG4AIAAgACAAIAAvAC8AIABTAGMAZQBuAGEAcgBpAG8AcwBcAG4AIAAgACAAIABJAHMAMQBFAGwAZQBtAGUAbgB0AD8ALAAgACAAIAAgACAAIAAgACAAQwBPAFUATgBUAEEAKAB0AHUAcABsAGUAKQAgAD0AIAAxACwAXABuACAAIAAgACAASQBzAFQAZQB4AHQAUwBoAGkAZgB0AD8ALAAgACAAIAAgACAAIAAgAE8AUgAoAEkAUwBUAEUAWABUACgAcwBoAGkAZgB0AF8AYgB5ACkAKQAsAFwAbgBcAG4ALwAvACAATABvAGcAaQBjACAAZwBhAHQAZQBcAG4AIAAgACAAIABJAEYAKABJAHMAMQBFAGwAZQBtAGUAbgB0AD8ALAAgAHQAdQBwAGwAZQAsAFwAbgBcAG4AIAAgACAAIAAgACAAIAAgAEkARgAoAEkAcwBUAGUAeAB0AFMAaABpAGYAdAA/ACwAIABcACIAIwBUAEUAWABUAC0AUwBIAEkARgBUACEAXAAiACwAXABuAFwAbgBMAEUAVAAoAFwAbgAgACAAIAAgAC8ALwAgAFQAdQBwAGwAZQAgAGwAZQBuAGcAdABoAFwAbgAgACAAIAAgAG4ALAAgACAAIAAgACAAIAAgACAAIAAgAEMATwBVAE4AVABBACgAdAB1AHAAbABlACkALABcAG4AXABuACAAIAAgACAALwAvACAAMAARIGIAYQBzAGUAZAAgAGkAbgBkAGUAeAAgAHMAZQBxAHUAZQBuAGMAZQBcAG4AIAAgACAAIABpACwAIAAgACAAIAAgACAAIAAgACAAIABTAEUAUQBVAEUATgBDAEUAKAAsACAAbgAsACAAMAAsACAAMQApACwAXABuAFwAbgAgACAAIAAgAC8ALwAgAEMAaQByAGMAdQBsAGEAcgAgAGkAbgBkAGUAeAAgAHMAZQBsAGUAYwB0AGkAbwBuAFwAbgAgACAAIAAgAGkAZAB4ACwAIAAgACAAIAAgACAAIAAgAE0ATwBEACgAaQAgACsAIABzAGgAaQBmAHQAXwBiAHkALAAgAG4AKQAgACsAIAAxACwAXABuAFwAbgAgACAAIAAgAC8ALwAgAEEAcABwAGwAeQAgAHMAaABpAGYAdABcAG4AIAAgACAAIABzAGgAaQBmAHQAZQBkACwAIAAgACAAIABJAE4ARABFAFgAKAB0AHUAcABsAGUALAAgAGkAZAB4ACkALABcAG4AXABuACAAIAAgACAALwAvACAAUgBlAHMAdABvAHIAZQAgAG8AcgBpAGUAbgB0AGEAdABpAG8AbgBcAG4AIAAgACAAIAByAGUAcwB1AGwAdAAsACAAIAAgACAAIABJAEYAKABJAHMATQB1AGwAdABpAFMAaABpAGYAdAA/ACwAIABzAGgAaQBmAHQAZQBkACwAXABuACAAIAAgACAAIAAgACAAIAAgACAAIAAgACAAIAAgACAAIAAgACAAIAAgACAAIAAgACAAIAAgACAASQBGACgATwBSACgASQBzAFMAYwBhAGwAYQByAD8ALAAgAEkAcwBWAGUAcgB0AGkAYwBhAGwAPwApACwAXABuACAAIAAgACAAIAAgACAAIAAgACAAIAAgACAAIAAgACAAIAAgACAAIAAgACAAIAAgACAAIAAgACAAIAAgACAAIABUAE8AQwBPAEwAKABzAGgAaQBmAHQAZQBkACkALABcAG4AIAAgACAAIAAgACAAIAAgACAAIAAgACAAIAAgACAAIAAgACAAIAAgACAAIAAgACAAIAAgACAAIAAgACAAIAAgAFQATwBSAE8AVwAoAHMAaABpAGYAdABlAGQAKQApACkALABcAG4AXABuACAAIAAgACAAcgBlAHMAdQBsAHQAXABuACkAKQApACkAKQA7AFwAbgBcAG4AXABuAFwAbgAvACoAIABbAEcAQQAxADEAXQAgAC0ALQAtAC0ALQAtAC0ALQAtAC0ALQAtAC0ALQAtAC0ALQAtAC0ALQAtAC0ALQAtAC0ALQAtAC0ALQAtAC0ALQAtAC0ALQAtAC0ALQAtAC0ALQAtAC0ALQAtAC0ALQAtAC0ALQAtAC0ALQAtAC0ALQAtAC0ALQAtAC0ALQAtAC0ALQAtAC0ALQAtAC0ALQAtAC0AXABuAEYAdQBuAGMAdABpAG8AbgA6ACAAIAAgACAAIABTAGgAaQBmAHQAUgBvAHcAcwC7A1wAbgBDAGEAdABlAGcAbwByAHkAOgAgACAAIAAgACAARwByAGkAZAAgAEEAbABnAGUAYgByAGEAIAAoAFIAbwBsAGwAaQBuAGcAKQBcAG4AQQB1AHQAaABvAHIAOgAgACAAIAAgACAAIAAgAFAAYQB0AHIAaQBjAGsAIABIAC4AXABuAFYAZQByAHMAaQBvAG4AOgAgACAAIAAgACAAIAAxAC4AMQBcAG4ARABlAHAAZQBuAGQAZQBuAGMAaQBlAHMAOgAgAFMAaABpAGYAdAC7AywAIABNAEcAcgBpAGQAuwMsACAAUgBlAHMAaQB6AGUAuwNcAG4AXABuAEQAZQBzAGMAcgBpAHAAdABpAG8AbgA6AFwAbgAgACAAIAAgAFAAZQByAGYAbwByAG0AcwAgAGEAIABjAGkAcgBjAHUAbABhAHIAIABoAG8AcgBpAHoAbwBuAHQAYQBsACAAcwBoAGkAZgB0ACAAbwBuACAAZQBhAGMAaAAgAHIAbwB3ACAAbwBmACAAYQAgADIARAAgAGEAcgByAGEAeQAuACAAVABoAGUAIABzAGgAaQBmAHQAXwBiAHkAXABuACAAIAAgACAAdgBhAGwAdQBlACAAZABlAHQAZQByAG0AaQBuAGUAcwAgAGgAbwB3ACAAbQBhAG4AeQAgAHAAbwBzAGkAdABpAG8AbgBzACAAZQBhAGMAaAAgAHIAbwB3ACAAaQBzACAAcgBvAHQAYQB0AGUAZAA6AFwAbgAgACAAIAAgACAAIAAgACAAIiAgAFAAbwBzAGkAdABpAHYAZQAgAJIhIABzAGgAaQBmAHQAIABsAGUAZgB0AFwAbgAgACAAIAAgACAAIAAgACAAIiAgAE4AZQBnAGEAdABpAHYAZQAgAJIhIABzAGgAaQBmAHQAIAByAGkAZwBoAHQAXABuAFwAbgAgACAAIAAgADEARAAgAGEAcgByAGEAeQBzACAAYQBuAGQAIABzAGMAYQBsAGEAcgBzACAAYQByAGUAIABkAGUAbABlAGcAYQB0AGUAZAAgAHQAbwAgAFMAaABpAGYAdAC7Ay4AXABuAFwAbgBFAHgAYQBtAHAAbABlAHMAOgBcAG4AIAAgACAAIABhAHIAcgBhAHkAIAA9ACAAewBcACIAQgBvAGIAXAAiACwAXAAiAE0AYQB0AGgAXAAiACwAXAAiAEIAXAAiADsAXABuACAAIAAgACAAIAAgACAAIAAgACAAIAAgACAAXAAiAEQAZQBiAFwAIgAsAFwAIgBQAGgAeQBzAGkAYwBzAFwAIgAsAFwAIgBBAFwAIgA7AFwAbgAgACAAIAAgACAAIAAgACAAIAAgACAAIAAgAFwAIgBTAHUAZQBcACIALABcACIASABpAHMAdABvAHIAeQBcACIALABcACIAQgBcACIAOwBcAG4AIAAgACAAIAAgACAAIAAgACAAIAAgACAAIABcACIASgBvAGUAXAAiACwAXAAiAEMAaABlAG0AaQBzAHQAcgB5AFwAIgAsAFwAIgBDAFwAIgB9AFwAbgBcAG4AIAAgACAAIAA9AFMAaABpAGYAdABSAG8AdwBzALsDKABhAHIAcgBhAHkALAAgADEAKQBcAG4AIAAgACAAIAAgACAAIAAgAJIhIAB7AFwAIgBNAGEAdABoAFwAIgAsAFwAIgBCAFwAIgAsAFwAIgBCAG8AYgBcACIAOwBcAG4AIAAgACAAIAAgACAAIAAgACAAIAAgAFwAIgBQAGgAeQBzAGkAYwBzAFwAIgAsAFwAIgBBAFwAIgAsAFwAIgBEAGUAYgBcACIAOwBcAG4AIAAgACAAIAAgACAAIAAgACAAIAAgAFwAIgBIAGkAcwB0AG8AcgB5AFwAIgAsAFwAIgBCAFwAIgAsAFwAIgBTAHUAZQBcACIAOwBcAG4AIAAgACAAIAAgACAAIAAgACAAIAAgAFwAIgBDAGgAZQBtAGkAcwB0AHIAeQBcACIALABcACIAQwBcACIALABcACIASgBvAGUAXAAiAH0AXABuAFwAbgAgACAAIAAgAD0AUwBoAGkAZgB0AFIAbwB3AHMAuwMoAGEAcgByAGEAeQAsACAALQAxACkAXABuACAAIAAgACAAIAAgACAAIACSISAAewBcACIAQgBcACIALABcACIAQgBvAGIAXAAiACwAXAAiAE0AYQB0AGgAXAAiADsAXABuACAAIAAgACAAIAAgACAAIAAgACAAIABcACIAQQBcACIALABcACIARABlAGIAXAAiACwAXAAiAFAAaAB5AHMAaQBjAHMAXAAiADsAXABuACAAIAAgACAAIAAgACAAIAAgACAAIABcACIAQgBcACIALABcACIAUwB1AGUAXAAiACwAXAAiAEgAaQBzAHQAbwByAHkAXAAiADsAXABuACAAIAAgACAAIAAgACAAIAAgACAAIABcACIAQwBcACIALABcACIASgBvAGUAXAAiACwAXAAiAEMAaABlAG0AaQBzAHQAcgB5AFwAIgB9AFwAbgAtAC0ALQAtAC0ALQAtAC0ALQAtAC0ALQAtAC0ALQAtAC0ALQAtAC0ALQAtAC0ALQAtAC0ALQAtAC0ALQAtAC0ALQAtAC0ALQAtAC0ALQAtAC0ALQAtAC0ALQAtAC0ALQAtAC0ALQAtAC0ALQAtAC0ALQAtAC0ALQAtAC0ALQAtAC0ALQAtAC0ALQAtAC0ALQAtAC0ALQAtAC0ALQAqAC8AXABuAFwAbgBTAGgAaQBmAHQAUgBvAHcAcwC7AyAAPQBcAG4ATABBAE0AQgBEAEEAKABcAG4AIAAgACAAIABhAHIAcgBhAHkAXwAyAEQALABcAG4AIAAgACAAIABbAHMAaABpAGYAdABfAGIAeQBdACwAXABuAEwARQBUACgAXABuACAAIAAgACAALwAvACAARABpAG0AZQBuAHMAaQBvAG4AcwBcAG4AIAAgACAAIABoACwAIAAgACAAIAAgACAAIAAgAFIATwBXAFMAKABhAHIAcgBhAHkAXwAyAEQAKQAsAFwAbgAgACAAIAAgAHcALAAgACAAIAAgACAAIAAgACAAQwBPAEwAVQBNAE4AUwAoAGEAcgByAGEAeQBfADIARAApACwAXABuAFwAbgAgACAAIAAgAC8ALwAgADEARAAgAGEAcgByAGEAeQBzACAALwAgAHMAYwBhAGwAYQByAHMAIABoAGEAbgBkAGwAZQBkACAAYgB5ACAAUwBoAGkAZgB0ALsDXABuACAAIAAgACAASQBzADEARAA/ACwAIAAgACAAIABPAFIAKABoACAAPQAgADEALAAgAHcAIAA9ACAAMQApACwAXABuAFwAbgAgACAAIAAgAEkARgAoAEkAcwAxAEQAPwAsAFMAaABpAGYAdAC7AygAYQByAHIAYQB5AF8AMgBEACwAIABzAGgAaQBmAHQAXwBiAHkAKQAsAFwAbgBcAG4ATABFAFQAKABcAG4AIAAgACAAIAAvAC8AIABSAG8AdwAgAGkAbgBkAGkAYwBlAHMAIAByAGUAbQBhAGkAbgAgAGYAaQB4AGUAZABcAG4AIAAgACAAIABpACwAIAAgACAAIAAgACAAIAAgAE0ARwByAGkAZAC7AygAYQByAHIAYQB5AF8AMgBEACkALABcAG4AXABuACAAIAAgACAALwAvACAAQwBvAGwAdQBtAG4AIABpAG4AZABpAGMAZQBzACAAYQByAGUAIABjAGkAcgBjAHUAbABhAHIAbAB5ACAAcwBoAGkAZgB0AGUAZABcAG4AIAAgACAAIABqACwAIAAgACAAIAAgACAAIAAgAFIAZQBzAGkAegBlALsDKABTAGgAaQBmAHQAuwMoAFMARQBRAFUARQBOAEMARQAoACwAIAB3ACkALAAgAHMAaABpAGYAdABfAGIAeQApACwAaAApACwAXABuAFwAbgAgACAAIAAgAHIAZQBzAHUAbAB0ACwAIAAgACAASQBOAEQARQBYACgAYQByAHIAYQB5AF8AMgBEACwAIABpACwAIABqACkALABcAG4AXABuACAAIAAgACAAcgBlAHMAdQBsAHQAXABuACkAKQApACkAOwBcAG4AXABuAFwAbgBcAG4ALwAqACAAWwBHAEEAMQAyAF0AIAAtAC0ALQAtAC0ALQAtAC0ALQAtAC0ALQAtAC0ALQAtAC0ALQAtAC0ALQAtAC0ALQAtAC0ALQAtAC0ALQAtAC0ALQAtAC0ALQAtAC0ALQAtAC0ALQAtAC0ALQAtAC0ALQAtAC0ALQAtAC0ALQAtAC0ALQAtAC0ALQAtAC0ALQAtAC0ALQAtAC0ALQAtAC0ALQAtAFwAbgBGAHUAbgBjAHQAaQBvAG4AOgAgACAAIAAgACAAUwBoAGkAZgB0AEMAbwBsAHMAuwNcAG4AQwBhAHQAZQBnAG8AcgB5ADoAIAAgACAAIAAgAEcAcgBpAGQAIABBAGwAZwBlAGIAcgBhACAAKABSAG8AbABsAGkAbgBnACkAXABuAEEAdQB0AGgAbwByADoAIAAgACAAIAAgACAAIABQAGEAdAByAGkAYwBrACAASAAuAFwAbgBWAGUAcgBzAGkAbwBuADoAIAAgACAAIAAgACAAMQAuADEAXABuAEQAZQBwAGUAbgBkAGUAbgBjAGkAZQBzADoAIABTAGgAaQBmAHQAuwMsACAATQBHAHIAaQBkALsDLAAgAFIAZQBzAGkAegBlALsDXABuAFwAbgBEAGUAcwBjAHIAaQBwAHQAaQBvAG4AOgBcAG4AIAAgACAAIABQAGUAcgBmAG8AcgBtAHMAIABhACAAYwBpAHIAYwB1AGwAYQByACAAdgBlAHIAdABpAGMAYQBsACAAcwBoAGkAZgB0ACAAbwBuACAAZQBhAGMAaAAgAGMAbwBsAHUAbQBuACAAbwBmACAAYQAgADIARAAgAGEAcgByAGEAeQAuACAAVABoAGUAIABzAGgAaQBmAHQAXwBiAHkAXABuACAAIAAgACAAdgBhAGwAdQBlACAAZABlAHQAZQByAG0AaQBuAGUAcwAgAGgAbwB3ACAAbQBhAG4AeQAgAHAAbwBzAGkAdABpAG8AbgBzACAAZQBhAGMAaAAgAGMAbwBsAHUAbQBuACAAaQBzACAAcgBvAHQAYQB0AGUAZAA6AFwAbgAgACAAIAAgACAAIAAgACAAIiAgAFAAbwBzAGkAdABpAHYAZQAgAJIhIABzAGgAaQBmAHQAIAB1AHAAXABuACAAIAAgACAAIAAgACAAIAAiICAATgBlAGcAYQB0AGkAdgBlACAAkiEgAHMAaABpAGYAdAAgAGQAbwB3AG4AXABuAFwAbgAgACAAIAAgADEARAAgAGEAcgByAGEAeQBzACAAYQBuAGQAIABzAGMAYQBsAGEAcgBzACAAYQByAGUAIABkAGUAbABlAGcAYQB0AGUAZAAgAHQAbwAgAFMAaABpAGYAdAC7Ay4AXABuAFwAbgBFAHgAYQBtAHAAbABlAHMAOgBcAG4AIAAgACAAIABhAHIAcgBhAHkAIAA9ACAAewBcACIAQgBvAGIAXAAiACwAXAAiAE0AYQB0AGgAXAAiACwAXAAiAEIAXAAiADsAXABuACAAIAAgACAAIAAgACAAIAAgACAAIAAgACAAXAAiAEQAZQBiAFwAIgAsAFwAIgBQAGgAeQBzAGkAYwBzAFwAIgAsAFwAIgBBAFwAIgA7AFwAbgAgACAAIAAgACAAIAAgACAAIAAgACAAIAAgAFwAIgBTAHUAZQBcACIALABcACIASABpAHMAdABvAHIAeQBcACIALABcACIAQgBcACIAOwBcAG4AIAAgACAAIAAgACAAIAAgACAAIAAgACAAIABcACIASgBvAGUAXAAiACwAXAAiAEMAaABlAG0AaQBzAHQAcgB5AFwAIgAsAFwAIgBDAFwAIgB9AFwAbgBcAG4AIAAgACAAIAA9AFMAaABpAGYAdABDAG8AbABzALsDKABhAHIAcgBhAHkALAAgADEAKQBcAG4AIAAgACAAIAAgACAAIAAgAJIhIAB7AFwAIgBEAGUAYgBcACIALABcACIAUABoAHkAcwBpAGMAcwBcACIALABcACIAQQBcACIAOwBcAG4AIAAgACAAIAAgACAAIAAgACAAIAAgAFwAIgBTAHUAZQBcACIALABcACIASABpAHMAdABvAHIAeQBcACIALABcACIAQgBcACIAOwBcAG4AIAAgACAAIAAgACAAIAAgACAAIAAgAFwAIgBKAG8AZQBcACIALABcACIAQwBoAGUAbQBpAHMAdAByAHkAXAAiACwAXAAiAEMAXAAiADsAXABuACAAIAAgACAAIAAgACAAIAAgACAAIABcACIAQgBvAGIAXAAiACwAXAAiAE0AYQB0AGgAXAAiACwAXAAiAEIAXAAiAH0AXABuAFwAbgAgACAAIAAgAD0AUwBoAGkAZgB0AEMAbwBsAHMAuwMoAGEAcgByAGEAeQAsACAALQAxACkAXABuACAAIAAgACAAIAAgACAAIACSISAAewBcACIASgBvAGUAXAAiACwAXAAiAEMAaABlAG0AaQBzAHQAcgB5AFwAIgAsAFwAIgBDAFwAIgA7AFwAbgAgACAAIAAgACAAIAAgACAAIAAgACAAXAAiAEIAbwBiAFwAIgAsAFwAIgBNAGEAdABoAFwAIgAsAFwAIgBCAFwAIgA7AFwAbgAgACAAIAAgACAAIAAgACAAIAAgACAAXAAiAEQAZQBiAFwAIgAsAFwAIgBQAGgAeQBzAGkAYwBzAFwAIgAsAFwAIgBBAFwAIgA7AFwAbgAgACAAIAAgACAAIAAgACAAIAAgACAAXAAiAFMAdQBlAFwAIgAsAFwAIgBIAGkAcwB0AG8AcgB5AFwAIgAsAFwAIgBCAFwAIgB9AFwAbgAtAC0ALQAtAC0ALQAtAC0ALQAtAC0ALQAtAC0ALQAtAC0ALQAtAC0ALQAtAC0ALQAtAC0ALQAtAC0ALQAtAC0ALQAtAC0ALQAtAC0ALQAtAC0ALQAtAC0ALQAtAC0ALQAtAC0ALQAtAC0ALQAtAC0ALQAtAC0ALQAtAC0ALQAtAC0ALQAtAC0ALQAtAC0ALQAtAC0ALQAtAC0ALQAqAC8AXABuAFwAbgBTAGgAaQBmAHQAQwBvAGwAcwC7AyAAPQBcAG4ATABBAE0AQgBEAEEAKABcAG4AIAAgACAAIABhAHIAcgBhAHkAXwAyAEQALABcAG4AIAAgACAAIABbAHMAaABpAGYAdABfAGIAeQBdACwAXABuAEwARQBUACgAXABuACAAIAAgACAALwAvACAARABpAG0AZQBuAHMAaQBvAG4AcwBcAG4AIAAgACAAIABoACwAIAAgACAAIAAgACAAIAAgACAAIAAgAFIATwBXAFMAKABhAHIAcgBhAHkAXwAyAEQAKQAsAFwAbgAgACAAIAAgAHcALAAgACAAIAAgACAAIAAgACAAIAAgACAAQwBPAEwAVQBNAE4AUwAoAGEAcgByAGEAeQBfADIARAApACwAXABuAFwAbgAgACAAIAAgAC8ALwAgADEARAAgAGEAcgByAGEAeQBzACAALwAgAHMAYwBhAGwAYQByAHMAIABoAGEAbgBkAGwAZQBkACAAYgB5ACAAUwBoAGkAZgB0ALsDXABuACAAIAAgACAASQBzADEARAA/ACwAIAAgACAAIAAgACAAIABPAFIAKABoACAAPQAgADEALAAgAHcAIAA9ACAAMQApACwAXABuAFwAbgAgACAAIAAgAEkARgAoAEkAcwAxAEQAPwAsAFMAaABpAGYAdAC7AygAYQByAHIAYQB5AF8AMgBEACwAIABzAGgAaQBmAHQAXwBiAHkAKQAsAFwAbgBcAG4ATABFAFQAKABcAG4AIAAgACAAIAAvAC8AIABDAG8AbAB1AG0AbgAgAGkAbgBkAGkAYwBlAHMAIABhAHIAZQAgAGMAaQByAGMAdQBsAGEAcgBsAHkAIABzAGgAaQBmAHQAZQBkAFwAbgAgACAAIAAgAGkALAAgACAAIAAgACAAIAAgACAAIAAgACAAUgBlAHMAaQB6AGUAuwMoAFMAaABpAGYAdAC7AygAUwBFAFEAVQBFAE4AQwBFACgAaAApACwAIABzAGgAaQBmAHQAXwBiAHkAKQAsACwAdwApACwAXABuAFwAbgAgACAAIAAgAC8ALwAgAFIAbwB3ACAAaQBuAGQAaQBjAGUAcwAgAHIAZQBtAGEAaQBuACAAZgBpAHgAZQBkAFwAbgAgACAAIAAgAGoALAAgACAAIAAgACAAIAAgACAAIAAgACAATQBHAHIAaQBkALsDKABhAHIAcgBhAHkAXwAyAEQALAAgADEAKQAsAFwAbgBcAG4AIAAgACAAIAByAGUAcwB1AGwAdAAsACAAIAAgACAAIAAgAEkATgBEAEUAWAAoAGEAcgByAGEAeQBfADIARAAsACAAaQAsACAAagApACwAXABuAFwAbgAgACAAIAAgAHIAZQBzAHUAbAB0AFwAbgApACkAKQApADsAXABuAFwAbgBcAG4AXABuAC8AKgAgAFsARwBBADEAMwBdACAALQAtAC0ALQAtAC0ALQAtAC0ALQAtAC0ALQAtAC0ALQAtAC0ALQAtAC0ALQAtAC0ALQAtAC0ALQAtAC0ALQAtAC0ALQAtAC0ALQAtAC0ALQAtAC0ALQAtAC0ALQAtAC0ALQAtAC0ALQAtAC0ALQAtAC0ALQAtAC0ALQAtAC0ALQAtAC0ALQAtAC0ALQAtAC0ALQBcAG4ARgB1AG4AYwB0AGkAbwBuADoAIAAgACAAIAAgAEUAbQBiAGUAZAC7A1wAbgBDAGEAdABlAGcAbwByAHkAOgAgACAAIAAgACAARwByAGkAZAAgAEEAbABnAGUAYgByAGEAIAAoAFMAZQBsAGUAYwB0AGkAbwBuACkAXABuAEEAdQB0AGgAbwByADoAIAAgACAAIAAgACAAIABQAGEAdAByAGkAYwBrACAASAAuAFwAbgBWAGUAcgBzAGkAbwBuADoAIAAgACAAIAAgACAAMQAuADEAXABuAFwAbgBEAGUAcwBjAHIAaQBwAHQAaQBvAG4AOgBcAG4AIAAgACAAIABFAG0AYgBlAGQAcwAgAGEAIABzAHUAcABwAGwAaQBlAGQAIABhAHIAcgBhAHkAIABpAG4AdABvACAAYQAgADIARAAgAGgAbwBzAHQAIABhAHIAcgBhAHkAIABhAHQAIABhACAAcwBwAGUAYwBpAGYAaQBlAGQAIAByAG8AdwAgAG8AcgAgAGMAbwBsAHUAbQBuAFwAbgAgACAAIAAgAGkAbgBkAGUAeAAuACAARQBtAGIAZQBkALsDIABzAHUAcABwAG8AcgB0AHMAIABzAGMAYQBsAGEAcgBzACwAIAAxAEQAIABhAHIAcgBhAHkAcwAsACAAYQBuAGQAIAAyAEQAIABhAHIAcgBhAHkAcwAuACAAVABoAGUAIABlAG0AYgBlAGQAZABlAGQAIABhAHIAcgBhAHkAXABuACAAIAAgACAAaQBzACAAYQB1AHQAbwBtAGEAdABpAGMAYQBsAGwAeQAgAGUAeABwAGEAbgBkAGUAZAAgAGEAcwAgAG4AZQBlAGQAZQBkACAAdABvACAAbQBhAGkAbgB0AGEAaQBuACAAcgBlAGMAdABhAG4AZwB1AGwAYQByAGkAdAB5ACAAYQBuAGQAIABhAHYAbwBpAGQAXABuACAAIAAgACAAagBhAGcAZwBlAGQAIAByAGUAcwB1AGwAdABzAC4AXABuAFwAbgBQAGEAcgBhAG0AZQB0AGUAcgBzADoAXABuACAAIAAgACAAYQByAHIAYQB5ACAAIAAgACAAIAAgACAAIAAgAC0AIABSAGUAcQB1AGkAcgBlAGQAIAAxAEQAIABvAHIAIAAyAEQAIABoAG8AcwB0ACAAYQByAHIAYQB5AC4AXABuACAAIAAgACAAZQBtAGIAZQBkAF8AYQByAHIAYQB5ACAAIAAgAC0AIABBAHIAcgBhAHkAIAB0AG8AIABlAG0AYgBlAGQAIAB3AGkAdABoAGkAbgAgAHQAaABlACAAaABvAHMAdAAgAGEAcgByAGEAeQAuAFwAbgAgACAAIAAgAFsAcgBvAHcAXwBpAG4AZABlAHgAXQAgACAAIAAtACAATwBwAHQAaQBvAG4AYQBsACAAcgBvAHcAIABwAG8AcwBpAHQAaQBvAG4AIABmAG8AcgAgAGkAbgBzAGUAcgB0AGkAbwBuAC4AXABuACAAIAAgACAAWwBjAG8AbABfAGkAbgBkAGUAeABdACAAIAAgAC0AIABPAHAAdABpAG8AbgBhAGwAIABjAG8AbAB1AG0AbgAgAHAAbwBzAGkAdABpAG8AbgAgAGYAbwByACAAaQBuAHMAZQByAHQAaQBvAG4ALgBcAG4AIAAgACAAIAAgACAAIAAgACAAIAAgACAAIAAgACAAIAAgACAAIAAgACIgIABJAGYAIABiAG8AdABoACAAYQByAGUAIABzAHUAcABwAGwAaQBlAGQALAAgAHIAbwB3AF8AaQBuAGQAZQB4ACAAdABhAGsAZQBzACAAcAByAGUAYwBlAGQAZQBuAGMAZQAuAFwAbgBcAG4ATgB1AGEAbgBjAGUAcwA6AFwAbgAgACAAIAAgACIgIABTAGMAYQBsAGEAcgBzACAAZQB4AHAAYQBuAGQAIABoAG8AcgBpAHoAbwBuAHQAYQBsAGwAeQAgAHcAaABlAG4AIABpAG4AcwBlAHIAdABlAGQAIABiAHkAIAByAG8AdwBfAGkAbgBkAGUAeAAsACAAdgBlAHIAdABpAGMAYQBsAGwAeQAgAHcAaABlAG4AXABuACAAIAAgACAAIAAgAGkAbgBzAGUAcgB0AGUAZAAgAGIAeQAgAGMAbwBsAF8AaQBuAGQAZQB4AC4AXABuACAAIAAgACAAIiAgADEARAAvADIARAAgAGUAbQBiAGUAZABfAGEAcgByAGEAeQAgAGkAbgBwAHUAdABzACAAdABoAGEAdAAgAGQAbwAgAG4AbwB0ACAAbQBhAHQAYwBoACAAaABvAHMAdAAgAHcAaQBkAHQAaAAvAGgAZQBpAGcAaAB0ACAAYQByAGUAIABwAGEAZABkAGUAZABcAG4AIAAgACAAIAAgACAAdwBpAHQAaAAgAFwAIgBcACIAIAB0AG8AIABtAGEAaQBuAHQAYQBpAG4AIAByAGUAYwB0AGEAbgBnAHUAbABhAHIAaQB0AHkALgBcAG4AIAAgACAAIAAiICAAXAAiACMAUgBPAFcALwBDAE8ATAAtAEkATgBEAEUAWABcACIAIABpAHMAIAByAGUAdAB1AHIAbgBlAGQAIABmAG8AcgAgAG4AbwBuABEgbgB1AG0AZQByAGkAYwAgAG8AcgAgAG8AdQB0ABEgbwBmABEgYgBvAHUAbgBkAHMAIABpAG4AZABpAGMAZQBzAC4AXABuACAAIAAgACAAIiAgAFMAYwBhAGwAYQByAHMAIABjAGEAbgBuAG8AdAAgAHMAZQByAHYAZQAgAGEAcwAgAGgAbwBzAHQAIABhAHIAcgBhAHkAcwA7ACAAXAAiACMAUwBDAEEATABBAFIAIQBcACIAIABpAHMAIAByAGUAdAB1AHIAbgBlAGQALgBcAG4ALQAtAC0ALQAtAC0ALQAtAC0ALQAtAC0ALQAtAC0ALQAtAC0ALQAtAC0ALQAtAC0ALQAtAC0ALQAtAC0ALQAtAC0ALQAtAC0ALQAtAC0ALQAtAC0ALQAtAC0ALQAtAC0ALQAtAC0ALQAtAC0ALQAtAC0ALQAtAC0ALQAtAC0ALQAtAC0ALQAtAC0ALQAtAC0ALQAtAC0ALQAtAC0AKgAvAFwAbgBcAG4ARQBtAGIAZQBkALsDIAA9AFwAbgBMAEEATQBCAEQAQQAoAFwAbgAgACAAIAAgAGEAcgByAGEAeQAsAFwAbgAgACAAIAAgAGUAbQBiAGUAZABfAGEAcgByAGEAeQAsAFwAbgAgACAAIAAgAFsAcgBvAHcAXwBpAG4AZABlAHgAXQAsAFwAbgAgACAAIAAgAFsAYwBvAGwAXwBpAG4AZABlAHgAXQAsAFwAbgBMAEUAVAAoAFwAbgAgACAAIAAgAC8ALwAgAEgAbwBzAHQAIABkAGkAbQBlAG4AcwBpAG8AbgBzAFwAbgAgACAAIAAgAGgALAAgACAAIAAgACAAIAAgACAAIAAgACAAIAAgACAAIAAgACAAIABSAE8AVwBTACgAYQByAHIAYQB5ACkALABcAG4AIAAgACAAIAB3ACwAIAAgACAAIAAgACAAIAAgACAAIAAgACAAIAAgACAAIAAgACAAQwBPAEwAVQBNAE4AUwAoAGEAcgByAGEAeQApACwAXABuAFwAbgAgACAAIAAgAC8ALwAgAEUAbQBiAGUAZAAgAGQAaQBtAGUAbgBzAGkAbwBuAHMAXABuACAAIAAgACAAaACCICwAIAAgACAAIAAgACAAIAAgACAAIAAgACAAIAAgACAAIAAgAFIATwBXAFMAKABlAG0AYgBlAGQAXwBhAHIAcgBhAHkAKQAsAFwAbgAgACAAIAAgAHcAgiAsACAAIAAgACAAIAAgACAAIAAgACAAIAAgACAAIAAgACAAIABDAE8ATABVAE0ATgBTACgAZQBtAGIAZQBkAF8AYQByAHIAYQB5ACkALABcAG4AXABuACAAIAAgACAALwAvACAAUABhAHIAYQBtAGUAdABlAHIAIABwAHIAZQBzAGUAbgBjAGUAXABuACAAIAAgACAAUgBvAHcARQBtAGIAZQBkAD8ALAAgACAAIAAgACAAIAAgACAAIAAgAE4ATwBUACgASQBTAE8ATQBJAFQAVABFAEQAKAByAG8AdwBfAGkAbgBkAGUAeAApACkALABcAG4AIAAgACAAIABDAG8AbABFAG0AYgBlAGQAPwAsACAAIAAgACAAIAAgACAAIAAgACAATgBPAFQAKABJAFMATwBNAEkAVABUAEUARAAoAGMAbwBsAF8AaQBuAGQAZQB4ACkAKQAsAFwAbgAgACAAIAAgAFIAQwBFAG0AYgBlAGQAPwAsACAAIAAgACAAIAAgACAAIAAgACAAIABBAE4ARAAoAFIAbwB3AEUAbQBiAGUAZAA/ACwAIABDAG8AbABFAG0AYgBlAGQAPwApACwAXABuAFwAbgAgACAAIAAgAC8ALwAgAEkAbgB2AGEAbABpAGQAIABlAG0AYgBlAGQAIABzAGkAegBlACAAKABlAG0AYgBlAGQAIABsAGEAcgBnAGUAcgAgAHQAaABhAG4AIABoAG8AcwB0ACkAXABuACAAIAAgACAASQBuAHYAYQBsAGkAZABFAG0AYgBlAGQAPwAsACAAIAAgACAAIAAgAEkARgAoAEEATgBEACgAUgBvAHcARQBtAGIAZQBkAD8ALAAgAHcAgiAgAD4AIAB3ACkALAAgAFQAUgBVAEUALABcAG4AIAAgACAAIAAgACAAIAAgACAAIAAgACAAIAAgACAAIAAgACAAIAAgACAAIAAgACAAIAAgACAAIABJAEYAKABBAE4ARAAoAEMAbwBsAEUAbQBiAGUAZAA/ACwAIABoAIIgIAA+ACAAaAApACwAIABUAFIAVQBFACwAXABuACAAIAAgACAAIAAgACAAIAAgACAAIAAgACAAIAAgACAAIAAgACAAIAAgACAAIAAgACAAIAAgACAAIAAgACAAIABJAEYAKABBAE4ARAAoAFIAQwBFAG0AYgBlAGQAPwAsACAATwBSACgAaACCICAAPgAgAGgALAAgAHcAgiAgAD4AIAB3ACkAKQAsAFwAbgAgACAAIAAgACAAIAAgACAAIAAgACAAIAAgACAAIAAgACAAIAAgACAAIAAgACAAIAAgACAAIAAgACAAIAAgACAAIAAgACAAIABUAFIAVQBFACwAXABuACAAIAAgACAAIAAgACAAIAAgACAAIAAgACAAIAAgACAAIAAgACAAIAAgACAAIAAgACAAIAAgACAAIAAgACAAIAAgACAAIAAgAEYAQQBMAFMARQApACkAKQAsAFwAbgBcAG4AIAAgACAAIAAvAC8AIABJAG4AZABlAHgAIAB2AGEAbABpAGQAYQB0AGkAbwBuAFwAbgAgACAAIAAgAEkAbgB2AGEAbABpAGQASQBkAHgAPwAsACAAIAAgACAAIAAgACAAIABPAFIAKABJAFMAVABFAFgAVAAoAHIAbwB3AF8AaQBuAGQAZQB4ACkALABcAG4AIAAgACAAIAAgACAAIAAgACAAIAAgACAAIAAgACAAIAAgACAAIAAgACAAIAAgACAAIAAgACAASQBTAFQARQBYAFQAKABjAG8AbABfAGkAbgBkAGUAeAApACwAXABuACAAIAAgACAAIAAgACAAIAAgACAAIAAgACAAIAAgACAAIAAgACAAIAAgACAAIAAgACAAIAAgAEEATgBEACgATgBPAFQAKABJAFMATwBNAEkAVABUAEUARAAoAHIAbwB3AF8AaQBuAGQAZQB4ACkAKQAsAFwAbgAgACAAIAAgACAAIAAgACAAIAAgACAAIAAgACAAIAAgACAAIAAgACAAIAAgACAAIAAgACAAIABPAFIAKAByAG8AdwBfAGkAbgBkAGUAeAAgADwAIAAxACwAIAByAG8AdwBfAGkAbgBkAGUAeAAgAD4AIABoACkAKQAsAFwAbgAgACAAIAAgACAAIAAgACAAIAAgACAAIAAgACAAIAAgACAAIAAgACAAIAAgACAAIAAgACAAIABBAE4ARAAoAE4ATwBUACgASQBTAE8ATQBJAFQAVABFAEQAKABjAG8AbABfAGkAbgBkAGUAeAApACkALABcAG4AIAAgACAAIAAgACAAIAAgACAAIAAgACAAIAAgACAAIAAgACAAIAAgACAAIAAgACAAIAAgACAATwBSACgAYwBvAGwAXwBpAG4AZABlAHgAIAA8ACAAMQAsACAAYwBvAGwAXwBpAG4AZABlAHgAIAA+ACAAdwApACkAKQAsAFwAbgBcAG4AIAAgACAAIAAvAC8AIABIAG8AcwB0ACAAYwBhAG4AbgBvAHQAIABiAGUAIABzAGMAYQBsAGEAcgBcAG4AIAAgACAAIABJAHMAUwBjAGEAbABhAHIAPwAsACAAIAAgACAAIAAgACAAIAAgACAAQQBOAEQAKABoACAAPQAgADEALAAgAHcAIAA9ACAAMQApACwAXABuAFwAbgAvAC8AIABMAG8AZwBpAGMAIABnAGEAdABlAFwAbgAgACAAIAAgAEkARgAoAEkAbgB2AGEAbABpAGQASQBkAHgAPwAsACAAXAAiACMAUgBPAFcALwBDAE8ATAAtAEkATgBEAEUAWABcACIALABcAG4AXABuACAAIAAgACAAIAAgACAAIABJAEYAKABJAG4AdgBhAGwAaQBkAEUAbQBiAGUAZAA/ACwAIABcACIAIwBFAE0AQgBFAEQAIQBcACIALABcAG4AXABuACAAIAAgACAAIAAgACAAIAAgACAAIAAgAEkARgAoAEkAcwBTAGMAYQBsAGEAcgA/ACwAIABcACIAIwBTAEMAQQBMAEEAUgAhAFwAIgAsAFwAbgBcAG4ATABFAFQAKABcAG4AIAAgACAAIAAvAC8AIABEAGkAcgBlAGMAdABpAG8AbgA6ACAAdgBlAHIAdABpAGMAYQBsACAAaQBuAHMAZQByAHQAaQBvAG4AIAB1AG4AbABlAHMAcwAgAG8AbgBsAHkAIABjAG8AbABfAGkAbgBkAGUAeAAgAGkAcwAgAHAAcgBvAHYAaQBkAGUAZABcAG4AIAAgACAAIABJAHMAVgBlAHIAdABpAGMAYQBsAD8ALAAgACAAIAAgACAAIAAgACAATwBSACgATgBPAFQAKABJAFMATwBNAEkAVABUAEUARAAoAHIAbwB3AF8AaQBuAGQAZQB4ACkAKQAsACAASQBTAE8ATQBJAFQAVABFAEQAKABjAG8AbABfAGkAbgBkAGUAeAApACkALABcAG4AXABuACAAIAAgACAALwAvACAAUwB0AGEAYwBrACAAZgB1AG4AYwB0AGkAbwBuAFwAbgAgACAAIAAgAFMAdABhAGMAawC7AywAIAAgACAAIAAgACAAIAAgACAAIAAgACAAIABJAEYAKABJAHMAVgBlAHIAdABpAGMAYQBsAD8ALAAgAFYAUwBUAEEAQwBLACwAIABIAFMAVABBAEMASwApACwAXABuAFwAbgAgACAAIAAgAC8ALwAgAFMAYwBhAGwAYQByACAAZQBtAGIAZQBkAD8AXABuACAAIAAgACAASQBzAEkAbgBjAFMAYwBhAGwAYQByAD8ALAAgACAAIAAgACAAIAAgAEEATgBEACgAaACCICAAPQAgADEALAAgAHcAgiAgAD0AIAAxACkALABcAG4AXABuACAAIAAgACAALwAvACAASQBuAHMAZQByAHQAaQBvAG4AIABpAG4AZABlAHgAXABuACAAIAAgACAAaQBkAHgALAAgACAAIAAgACAAIAAgACAAIAAgACAAIAAgACAAIAAgAEkARgAoAEkAcwBWAGUAcgB0AGkAYwBhAGwAPwAsACAAcgBvAHcAXwBpAG4AZABlAHgALAAgAGMAbwBsAF8AaQBuAGQAZQB4ACkALABcAG4AIAAgACAAIABtAGEAeABfAGQAaQBtACwAIAAgACAAIAAgACAAIAAgACAAIAAgACAAMQAgACsAIABJAEYAKABJAHMAVgBlAHIAdABpAGMAYQBsAD8ALAAgAGgALAAgAHcAKQAsAFwAbgBcAG4AIAAgACAAIAAvAC8AIABTAHAAbABpAHQAIABoAG8AcwB0ACAAYQByAHIAYQB5AFwAbgAgACAAIAAgAGIAbABvAGMAawBfAGEALAAgACAAIAAgACAAIAAgACAAIAAgACAAIABJAEYAKABJAHMAVgBlAHIAdABpAGMAYQBsAD8ALABcAG4AIAAgACAAIAAgACAAIAAgACAAIAAgACAAIAAgACAAIAAgACAAIAAgACAAIAAgACAAIAAgACAAIABUAEEASwBFACgAYQByAHIAYQB5ACwAIABpAGQAeAAgAC0AIAAxACkALABcAG4AIAAgACAAIAAgACAAIAAgACAAIAAgACAAIAAgACAAIAAgACAAIAAgACAAIAAgACAAIAAgACAAIABUAEEASwBFACgAYQByAHIAYQB5ACwAIAAsACAAaQBkAHgAIAAtACAAMQApACkALABcAG4AXABuACAAIAAgACAAYgBsAG8AYwBrAF8AYgAsACAAIAAgACAAIAAgACAAIAAgACAAIAAgAEkARgAoAEkAcwBWAGUAcgB0AGkAYwBhAGwAPwAsAFwAbgAgACAAIAAgACAAIAAgACAAIAAgACAAIAAgACAAIAAgACAAIAAgACAAIAAgACAAIAAgACAAIAAgAFQAQQBLAEUAKABhAHIAcgBhAHkALAAgAC0AKAAxACAAKwAgAGgAIAAtACAAaQBkAHgAKQApACwAXABuACAAIAAgACAAIAAgACAAIAAgACAAIAAgACAAIAAgACAAIAAgACAAIAAgACAAIAAgACAAIAAgACAAVABBAEsARQAoAGEAcgByAGEAeQAsACAALAAgAC0AKAAxACAAKwAgAHcAIAAtACAAaQBkAHgAKQApACkALABcAG4AXABuACAAIAAgACAALwAvACAAUwB0AGEAbgBkAGEAcgBkACAAaQBuAHMAZQByAHQAaQBvAG4AIAAoAHQAbwBwACAAbwByACAAYgBvAHQAdABvAG0AKQBcAG4AIAAgACAAIABJAHMAUwB0AGEAbgBkAGEAcgBkAD8ALAAgACAAIAAgACAAIAAgACAATwBSACgAaQBkAHgAIAA9ACAAMQAsACAAaQBkAHgAIAA9ACAAbQBhAHgAXwBkAGkAbQApACwAXABuAFwAbgAgACAAIAAgAC8ALwAgAEUAeABwAGEAbgBzAGkAbwBuACAAcgB1AGwAZQBzAFwAbgAgACAAIAAgAGUAeABwAF8AcwBjAGEAbABhAHIAXwB3AGkAZAB0AGgALAAgACAAIABFAFgAUABBAE4ARAAoAGUAbQBiAGUAZABfAGEAcgByAGEAeQAsACAALAAgAHcALAAgAGUAbQBiAGUAZABfAGEAcgByAGEAeQApACwAXABuACAAIAAgACAAZQB4AHAAXwB3AGkAZAB0AGgALAAgACAAIAAgACAAIAAgACAAIAAgAEUAWABQAEEATgBEACgAZQBtAGIAZQBkAF8AYQByAHIAYQB5ACwAIAAsACAAdwAsACAAXAAiAFwAIgApACwAXABuACAAIAAgACAAZQB4AHAAXwBzAGMAYQBsAGEAcgBfAGgAZQBpAGcAaAB0ACwAIAAgAEUAWABQAEEATgBEACgAZQBtAGIAZQBkAF8AYQByAHIAYQB5ACwAIABoACwAIAAsACAAZQBtAGIAZQBkAF8AYQByAHIAYQB5ACkALABcAG4AIAAgACAAIABlAHgAcABfAGgAZQBpAGcAaAB0ACwAIAAgACAAIAAgACAAIAAgACAARQBYAFAAQQBOAEQAKABlAG0AYgBlAGQAXwBhAHIAcgBhAHkALAAgAGgALAAgACwAIABcACIAXAAiACkALABcAG4AXABuACAAIAAgACAALwAvACAAUABhAGQAIABlAG0AYgBlAGQAXwBhAHIAcgBhAHkAIAB0AG8AIABhAHYAbwBpAGQAIABkAGkAbQBlAG4AcwBpAG8AbgAgAG0AaQBzAG0AYQB0AGMAaABcAG4AIAAgACAAIABlAG0AYgBlAGQAXwBhAHIAcgBhAHkALAAgACAAIAAgACAAIAAgACAASQBGACgASQBzAFYAZQByAHQAaQBjAGEAbAA/ACAAKgAgAEkAcwBJAG4AYwBTAGMAYQBsAGEAcgA/ACwAIABlAHgAcABfAHMAYwBhAGwAYQByAF8AdwBpAGQAdABoACwAXABuACAAIAAgACAAIAAgACAAIAAgACAAIAAgACAAIAAgACAAIAAgACAAIAAgACAAIAAgACAAIAAgACAASQBGACgASQBzAFYAZQByAHQAaQBjAGEAbAA/ACwAIABlAHgAcABfAHcAaQBkAHQAaAAsAFwAbgAgACAAIAAgACAAIAAgACAAIAAgACAAIAAgACAAIAAgACAAIAAgACAAIAAgACAAIAAgACAAIAAgACAAIAAgACAASQBGACgASQBzAEkAbgBjAFMAYwBhAGwAYQByAD8ALAAgAGUAeABwAF8AcwBjAGEAbABhAHIAXwBoAGUAaQBnAGgAdAAsAFwAbgAgACAAIAAgACAAIAAgACAAIAAgACAAIAAgACAAIAAgACAAIAAgACAAIAAgACAAIAAgACAAIAAgACAAIAAgACAAIAAgACAAIABlAHgAcABfAGgAZQBpAGcAaAB0ACkAKQApACwAXABuAFwAbgAgACAAIAAgAC8ALwAgAFMAdABhAG4AZABhAHIAZAAgAHYAcwAgAG0AaQBkABEgYQByAHIAYQB5ACAAaQBuAHMAZQByAHQAaQBvAG4AXABuACAAIAAgACAAcwB0AGEAbgBkAGEAcgBkACwAIAAgACAAIAAgACAAIAAgACAAIAAgAEkARgAoAGkAZAB4ACAAPQAgADEALABTAHQAYQBjAGsAuwMoAGUAbQBiAGUAZABfAGEAcgByAGEAeQAsACAAYQByAHIAYQB5ACkALABcAG4AIAAgACAAIAAgACAAIAAgACAAIAAgACAAIAAgACAAIAAgACAAIAAgACAAIAAgACAAIAAgACAAIABTAHQAYQBjAGsAuwMoAGEAcgByAGEAeQAsACAAZQBtAGIAZQBkAF8AYQByAHIAYQB5ACkAKQAsAFwAbgBcAG4AIAAgACAAIABzAHQAYQBjAGsALAAgACAAIAAgACAAIAAgACAAIAAgACAAIAAgACAAUwB0AGEAYwBrALsDKABiAGwAbwBjAGsAXwBhACwAIABlAG0AYgBlAGQAXwBhAHIAcgBhAHkALAAgAGIAbABvAGMAawBfAGIAKQAsAFwAbgBcAG4AIAAgACAAIAByAGUAcwB1AGwAdAAsACAAIAAgACAAIAAgACAAIAAgACAAIAAgACAASQBGACgASQBzAFMAdABhAG4AZABhAHIAZAA/ACwAIABzAHQAYQBuAGQAYQByAGQALAAgAHMAdABhAGMAawApACwAXABuAFwAbgAgACAAIAAgAHIAZQBzAHUAbAB0AFwAbgApACkAKQApACkAKQA7AFwAbgBcAG4AXABuAFwAbgAvACoAIABbAEcAQQAxADQAXQAgAC0ALQAtAC0ALQAtAC0ALQAtAC0ALQAtAC0ALQAtAC0ALQAtAC0ALQAtAC0ALQAtAC0ALQAtAC0ALQAtAC0ALQAtAC0ALQAtAC0ALQAtAC0ALQAtAC0ALQAtAC0ALQAtAC0ALQAtAC0ALQAtAC0ALQAtAC0ALQAtAC0ALQAtAC0ALQAtAC0ALQAtAC0ALQAtAC0AXABuAEYAdQBuAGMAdABpAG8AbgA6ACAAIAAgACAAIABLAGUAZQBwAFIAbwB3AHMAuwNcAG4AQwBhAHQAZQBnAG8AcgB5ADoAIAAgACAAIAAgAEcAcgBpAGQAIABBAGwAZwBlAGIAcgBhACAAKABTAGUAbABlAGM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FIAZQB0AGEAaQBuAHMAIAByAG8AdwBzACAAZgByAG8AbQAgAGEAIAAyAEQAIABhAHIAcgBhAHkAIABiAGEAcwBlAGQAIABvAG4AIABjAG8AbgB0AGkAZwB1AG8AdQBzACAAcwB1AGIAZwByAG8AdQBwACAAcgB1AG4AcwAuACAAQQAgAHAAbwBzAGkAdABpAHYAZQBcAG4AIAAgACAAIABrAGUAZQBwACAAdgBhAGwAdQBlACAAcgBlAHQAYQBpAG4AcwAgAHIAbwB3AHMAIABmAHIAbwBtACAAdABoAGUAIAB0AG8AcAAgAG8AZgAgAGUAYQBjAGgAIABzAHUAYgBnAHIAbwB1AHAAIAByAHUAbgA7ACAAYQAgAG4AZQBnAGEAdABpAHYAZQAgAGsAZQBlAHAAXABuACAAIAAgACAAdgBhAGwAdQBlACAAcgBlAHQAYQBpAG4AcwAgAHIAbwB3AHMAIABmAHIAbwBtACAAdABoAGUAIABiAG8AdAB0AG8AbQAuAFwAbgBcAG4AUABhAHIAYQBtAGUAdABlAHIAcwA6AFwAbgAgACAAIAAgAGEAcgByAGEAeQAgACAAIAAgACAAIAAgACAAIAAgACAALQAgADIARAAgAGEAcgByAGEAeQAuAFwAbgAgACAAIAAgAGsAZQBlAHAAIAAgACAAIAAgACAAIAAgACAAIAAgACAALQAgAFMAYwBhAGwAYQByACAAaQBuAHQAZQBnAGUAcgA6AFwAbgAgACAAIAAgACAAIAAgACAAIAAgACAAIAAgACAAIAAgACAAIAAgACAAIAAgACAAIAAgACAAPgAgADAAIACSISAAawBlAGUAcAAgAGYAcgBvAG0AIAB0AG8AcAAgAG8AZgAgAGUAYQBjAGgAIAByAHUAbgBcAG4AIAAgACAAIAAgACAAIAAgACAAIAAgACAAIAAgACAAIAAgACAAIAAgACAAIAAgACAAIAAgADwAIAAwACAAkiEgAGsAZQBlAHAAIABmAHIAbwBtACAAYgBvAHQAdABvAG0AIABvAGYAIABlAGEAYwBoACAAcgB1AG4AXABuACAAIAAgACAAYQB0AF8AZQBhAGMAaABfAGMAaABhAG4AZwBlACAAIAAtACAAUwB1AGIAZwByAG8AdQBwACAAbABhAGIAZQBsAHMAIAAoAHMAYQBtAGUAIABoAGUAaQBnAGgAdAAgAGEAcwAgAGEAcgByAGEAeQApAC4AXABuAFwAbgBOAG8AdABlAHMAOgBcAG4AIAAgACAAIAAiICAASQBmACAAbwBuAGwAeQAgAG8AbgBlACAAcwB1AGIAZwByAG8AdQBwACAAZQB4AGkAcwB0AHMALAAgAEQAUgBPAFAAKAApACAAaQBzACAAdQBzAGUAZAAgAGEAcwAgAGEAIABmAGEAcwB0ACAAcABhAHQAaAAuAFwAbgAgACAAIAAgACIgIABrAGUAZQBwACAAbQB1AHMAdAAgAGIAZQAgAGEAIABzAGMAYQBsAGEAcgA7ACAAdABlAHgAdAAgAG8AcgAgAHYAZQBjAHQAbwByACAAaQBuAHAAdQB0AHMAIABoAGEAbAB0ACAAdwBpAHQAaAAgAGEAbgAgAGUAcgByAG8AcgAuAFwAbgAtAC0ALQAtAC0ALQAtAC0ALQAtAC0ALQAtAC0ALQAtAC0ALQAtAC0ALQAtAC0ALQAtAC0ALQAtAC0ALQAtAC0ALQAtAC0ALQAtAC0ALQAtAC0ALQAtAC0ALQAtAC0ALQAtAC0ALQAtAC0ALQAtAC0ALQAtAC0ALQAtAC0ALQAtAC0ALQAtAC0ALQAtAC0ALQAtAC0ALQAtAC0ALQAqAC8AXABuAFwAbgBLAGUAZQBwAFIAbwB3AHMAuwMgAD0AXABuAEwAQQBNAEIARABBACgAXABuACAAIAAgACAAYQByAHIAYQB5ACwAXABuACAAIAAgACAAawBlAGUAcA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kAKQAgAD0AIAAxACwAXABuACAAIAAgACAARABpAHMAYwBhAHIAZAAsACAAIAAgACAAIAAgACAAIAAgACAAIAAgAEQAUgBPAFAAKABhAHIAcgBhAHkALAAgAGsAZQBlAHAAKQAsAFwAbgBcAG4AIAAgACAAIAAvAC8AIABWAGEAbABpAGQAYQB0AGkAbwBuAFwAbgAgACAAIAAgAFMAaABhAHAAZQBNAGkAcwBtAGEAdABjAGgAPwAsACAAIAAgACAAIABSAE8AVwBTACgAYQByAHIAYQB5ACkAIAA8AD4AIABSAE8AVwBTACgAYQB0AF8AZQBhAGMAaABfAGMAaABhAG4AZwBlACkALABcAG4AIAAgACAAIABJAHMAVABlAHgAdAA/ACwAIAAgACAAIAAgACAAIAAgACAAIAAgACAASQBTAFQARQBYAFQAKABrAGUAZQBwACkALABcAG4AIAAgACAAIABOAG8AdABTAGMAYQBsAGEAcgA/ACwAIAAgACAAIAAgACAAIAAgACAAQQBOAEQAKABOAE8AVAAoAEkAcwBUAGUAeAB0AD8AKQAsACAAQwBPAFUATgBUAEEAKABrAGUAZQBw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8ALwAgAEwAbwBnAGkAYwAgAGcAYQB0AGUAXABuACAAIAAgACAASQBGACgATwBuAGUAUwB1AGIARwByAG8AdQBwAD8ALAAgAEQAaQBzAGMAYQByAGQALABcAG4AXABuACAAIAAgACAAIAAgACAAIABJAEYAKABoAGEAbAB0ACwAIABhAGwAZQByAHQALABcAG4AXABuAEwARQBUACgAXABuACAAIAAgACAALwAvACAARABpAHIAZQBjAHQAaQBvAG4AOgAgACsAdABvAHAALAAgABMgYgBvAHQAdABvAG0AXABuACAAIAAgACAAcwAsACAAIAAgACAAIAAgACAAIAAgACAAIAAgACAAIAAgACAAIAAgAFMASQBHAE4AKABrAGUAZQBwACkALABcAG4AXABuACAAIAAgACAALwAvACAAUgB1AG4AIABpAG4AZABpAGMAZQBzAFwAbgAgACAAIAAgAGEAcwBjAGUAbgBkACwAIAAgACAAIAAgACAAIAAgACAAIAAgACAAIABTAHQAcgBlAGEAawC7AygAYQB0AF8AZQBhAGMAaABfAGMAaABhAG4AZwBlACkALABcAG4AIAAgACAAIABkAGUAcwBjAGUAbgBkACwAIAAgACAAIAAgACAAIAAgACAAIAAgACAAQwBvAHUAbgB0AGQAbwB3AG4AuwMoAGEAdABfAGUAYQBjAGgAXwBjAGgAYQBuAGcAZQApACwAXABuACAAIAAgACAAawBlAGUAcAAsACAAIAAgACAAIAAgACAAIAAgACAAIAAgACAAIAAgAEEAQgBTACgAawBlAGUAcA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HIAbwB3AHMAIAB3AGgAZQByAGUAIABpAG4AZABlAHgAIABkIiAAawBlAGUAcABcAG4AIAAgACAAIABrAGUAZQBwAD8ALAAgACAAIAAgACAAIAAgACAAIAAgACAAIAAgACAAaQBkAHgAIAA8AD0AIABrAGUAZQBwACwAXABuAFwAbgAgACAAIAAgAHIAZQBzAHUAbAB0ACwAIAAgACAAIAAgACAAIAAgACAAIAAgACAAIABGAEkATABUAEUAUgAoAGEAcgByAGEAeQAsACAAawBlAGUAcAA/ACkALABcAG4AXABuACAAIAAgACAAcgBlAHMAdQBsAHQAXABuACkAKQApACkAKQA7AFwAbgBcAG4AXABuAFwAbgAvACoAIABbAEcAQQAxADUAXQAgAC0ALQAtAC0ALQAtAC0ALQAtAC0ALQAtAC0ALQAtAC0ALQAtAC0ALQAtAC0ALQAtAC0ALQAtAC0ALQAtAC0ALQAtAC0ALQAtAC0ALQAtAC0ALQAtAC0ALQAtAC0ALQAtAC0ALQAtAC0ALQAtAC0ALQAtAC0ALQAtAC0ALQAtAC0ALQAtAC0ALQAtAC0ALQAtAC0AXABuAEYAdQBuAGMAdABpAG8AbgA6ACAAIAAgACAAIABLAGUAZQBwAEMAbwBsAHMAuwNcAG4AQwBhAHQAZQBnAG8AcgB5ADoAIAAgACAAIAAgAEcAcgBpAGQAIABBAGwAZwBlAGIAcgBhACAAKABTAGUAbABlAGM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FIAZQB0AGEAaQBuAHMAIABjAG8AbAB1AG0AbgBzACAAZgByAG8AbQAgAGEAIAAyAEQAIABhAHIAcgBhAHkAIABiAGEAcwBlAGQAIABvAG4AIABjAG8AbgB0AGkAZwB1AG8AdQBzACAAcwB1AGIAZwByAG8AdQBwACAAcgB1AG4AcwAuACAAQQAgAHAAbwBzAGkAdABpAHYAZQBcAG4AIAAgACAAIABrAGUAZQBwACAAdgBhAGwAdQBlACAAcgBlAHQAYQBpAG4AcwAgAGMAbwBsAHUAbQBuAHMAIABmAHIAbwBtACAAdABoAGUAIABsAGUAZgB0ACAAbwBmACAAZQBhAGMAaAAgAHMAdQBiAGcAcgBvAHUAcAAgAHIAdQBuADsAIABhACAAbgBlAGcAYQB0AGkAdgBlAFwAbgAgACAAIAAgAGsAZQBlAHAAIAB2AGEAbAB1AGUAIAByAGUAdABhAGkAbgBzACAAYwBvAGwAdQBtAG4AcwAgAGYAcgBvAG0AIAB0AGgAZQAgAHIAaQBnAGgAdAAuAFwAbgBcAG4AUABhAHIAYQBtAGUAdABlAHIAcwA6AFwAbgAgACAAIAAgAGEAcgByAGEAeQAgACAAIAAgACAAIAAgACAAIAAgACAALQAgADIARAAgAGEAcgByAGEAeQAuAFwAbgAgACAAIAAgAGsAZQBlAHAAIAAgACAAIAAgACAAIAAgACAAIAAgACAALQAgAFMAYwBhAGwAYQByACAAaQBuAHQAZQBnAGUAcgA6AFwAbgAgACAAIAAgACAAIAAgACAAIAAgACAAIAAgACAAIAAgACAAIAAgACAAIAAgACAAIAAgACAAPgAgADAAIACSISAAawBlAGUAcAAgAGYAcgBvAG0AIABsAGUAZgB0ACAAbwBmACAAZQBhAGMAaAAgAHIAdQBuAFwAbgAgACAAIAAgACAAIAAgACAAIAAgACAAIAAgACAAIAAgACAAIAAgACAAIAAgACAAIAAgACAAPAAgADAAIACSISAAawBlAGUAcAAgAGYAcgBvAG0AIAByAGkAZwBoAHQAIABvAGYAIABlAGEAYwBoACAAcgB1AG4AXABuACAAIAAgACAAYQB0AF8AZQBhAGMAaABfAGMAaABhAG4AZwBlACAAIAAtACAAUwB1AGIAZwByAG8AdQBwACAAbABhAGIAZQBsAHMAIAAoAHMAYQBtAGUAIAB3AGkAZAB0AGgAIABhAHMAIABhAHIAcgBhAHkAKQAuAFwAbgBcAG4ATgBvAHQAZQBzADoAXABuACAAIAAgACAAIiAgAEkAZgAgAG8AbgBsAHkAIABvAG4AZQAgAHMAdQBiAGcAcgBvAHUAcAAgAGUAeABpAHMAdABzACwAIABEAFIATwBQACgAKQAgAGkAcwAgAHUAcwBlAGQAIABhAHMAIABhACAAZgBhAHMAdAAgAHAAYQB0AGgALgBcAG4AIAAgACAAIAAiICAAawBlAGUAcA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SwBlAGUAcABDAG8AbABzALsDIAA9AFwAbgBMAEEATQBCAEQAQQAoAFwAbgAgACAAIAAgAGEAcgByAGEAeQAsAFwAbgAgACAAIAAgAGsAZQBlAHA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sACAAMQApACkAIAA9ACAAMQAsAFwAbgAgACAAIAAgAEQAaQBzAGMAYQByAGQALAAgACAAIAAgACAAIAAgACAAIAAgACAAIABEAFIATwBQACgAYQByAHIAYQB5ACwAIAAsACAAawBlAGUAcAApACwAXABuAFwAbgAgACAAIAAgAC8ALwAgAFYAYQBsAGkAZABhAHQAaQBvAG4AXABuACAAIAAgACAAUwBoAGEAcABlAE0AaQBzAG0AYQB0AGMAaAA/ACwAIAAgACAAIAAgAEMATwBMAFUATQBOAFMAKABhAHIAcgBhAHkAKQAgADwAPgAgAEMATwBMAFUATQBOAFMAKABhAHQAXwBlAGEAYwBoAF8AYwBoAGEAbgBnAGUAKQAsAFwAbgAgACAAIAAgAEkAcwBUAGUAeAB0AD8ALAAgACAAIAAgACAAIAAgACAAIAAgACAAIABJAFMAVABFAFgAVAAoAGsAZQBlAHAAKQAsAFwAbgAgACAAIAAgAE4AbwB0AFMAYwBhAGwAYQByAD8ALAAgACAAIAAgACAAIAAgACAAIABBAE4ARAAoAE4ATwBUACgASQBzAFQAZQB4AHQAPwApACwAIABDAE8AVQBOAFQAQQAoAGsAZQBlAHAAKQAgAD4AIAAxACkALABcAG4AIAAgACAAIABzAGMAZQBuAGEAcgBpAG8AcwAsACAAIAAgACAAIAAgACAAIAAgACAAVgBTAFQAQQBDAEsAKABTAGgAYQBwAGUATQBpAHMAbQBhAHQAYwBoAD8ALAAgAEkAcwBUAGUAeAB0AD8ALAAgAE4AbwB0AFMAYwBhAGwAYQByAD8AKQAsAFwAbgBcAG4AIAAgACAAIAAvAC8AIABFAHIAcgBvAHIAIABoAGEAbgBkAGwAaQBuAGcAXABuACAAIAAgACAAaABhAGwAdAAsACAAIAAgACAAIAAgACAAIAAgACAAIAAgACAAIAAgAE8AUgAoAHMAYwBlAG4AYQByAGkAbwBzACkALABcAG4AIAAgACAAIABlAHIAcgBvAHIAcwAsACAAIAAgACAAIAAgACAAIAAgACAAIAAgACAAewBcACIAIwBEAEkATQBFAE4AUwBJAE8ATgBTACEAXAAiADsAIABcACIAIwBUAEUAWABUACEAXAAiADsAIABcACIAIwBTAEMAQQBMAEEAUgAhAFwAIgB9ACwAXABuACAAIAAgACAAYQBsAGUAcgB0ACwAIAAgACAAIAAgACAAIAAgACAAIAAgACAAIAAgAEEAUgBSAEEAWQBUAE8AVABFAFgAVAAoAEYASQBMAFQARQBSACgAZQByAHIAbwByAHMALAAgAHMAYwBlAG4AYQByAGkAbwBzACwAIAAwACkAKQAsAFwAbgBcAG4ALwAvACAATABvAGcAaQBjACAAZwBhAHQAZQBcAG4AIAAgACAAIABJAEYAKABPAG4AZQBTAHUAYgBHAHIAbwB1AHAAPwAsACAARABpAHMAYwBhAHIAZAAsAFwAbgBcAG4AIAAgACAAIAAgACAAIAAgAEkARgAoAGgAYQBsAHQALAAgAGEAbABlAHIAdAAsAFwAbgBcAG4ATABFAFQAKABcAG4AIAAgACAAIAAvAC8AIABEAGkAcgBlAGMAdABpAG8AbgA6ACAAKwBsAGUAZgB0ACwAIAATIHIAaQBnAGgAdABcAG4AIAAgACAAIABzACwAIAAgACAAIAAgACAAIAAgACAAIAAgACAAIAAgACAAIAAgACAAUwBJAEcATgAoAGsAZQBlAHAAKQAsAFwAbgBcAG4AIAAgACAAIAAvAC8AIABSAHUAbgAgAGkAbgBkAGkAYwBlAHMAIAAoAGgAbwByAGkAegBvAG4AdABhAGwAKQBcAG4AIAAgACAAIABhAHMAYwBlAG4AZAAsACAAIAAgACAAIAAgACAAIAAgACAAIAAgACAAUwB0AHIAZQBhAGsAuwMoAGEAdABfAGUAYQBjAGgAXwBjAGgAYQBuAGcAZQAsACAAVABSAFUARQApACwAXABuACAAIAAgACAAZABlAHMAYwBlAG4AZAAsACAAIAAgACAAIAAgACAAIAAgACAAIAAgAEMAbwB1AG4AdABkAG8AdwBuALsDKABhAHQAXwBlAGEAYwBoAF8AYwBoAGEAbgBnAGUALAAgAFQAUgBVAEUAKQAsAFwAbgAgACAAIAAgAGsAZQBlAHAALAAgACAAIAAgACAAIAAgACAAIAAgACAAIAAgACAAIABBAEIAUwAoAGsAZQBlAHA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jAG8AbAB1AG0AbgBzACAAdwBoAGUAcgBlACAAaQBuAGQAZQB4ACAAZCIgAGsAZQBlAHAAXABuACAAIAAgACAAawBlAGUAcAA/ACwAIAAgACAAIAAgACAAIAAgACAAIAAgACAAIAAgAGkAZAB4ACAAPAA9ACAAawBlAGUAcAAsAFwAbgBcAG4AIAAgACAAIAAvAC8AIABDAG8AbAB1AG0AbgARIHcAaQBzAGUAIABmAGkAbAB0AGUAcgBcAG4AIAAgACAAIAByAGUAcwB1AGwAdAAsACAAIAAgACAAIAAgACAAIAAgACAAIAAgACAARgBJAEwAVABFAFIAKABhAHIAcgBhAHkALAAgAGsAZQBlAHAAPwApACwAXABuAFwAbgAgACAAIAAgAHIAZQBzAHUAbAB0AFwAbgApACkAKQApACkAOwBcAG4AXABuAFwAbgBcAG4ALwAqACAAWwBHAEEAMQA2AF0AIAAtAC0ALQAtAC0ALQAtAC0ALQAtAC0ALQAtAC0ALQAtAC0ALQAtAC0ALQAtAC0ALQAtAC0ALQAtAC0ALQAtAC0ALQAtAC0ALQAtAC0ALQAtAC0ALQAtAC0ALQAtAC0ALQAtAC0ALQAtAC0ALQAtAC0ALQAtAC0ALQAtAC0ALQAtAC0ALQAtAC0ALQAtAC0ALQAtAFwAbgBGAHUAbgBjAHQAaQBvAG4AOgAgACAAIAAgACAAQgBsAG8AYwBrAE0AYQBwALsDXABuAEMAYQB0AGUAZwBvAHIAeQA6ACAAIAAgACAAIABHAHIAaQBkACAAQQBsAGcAZQBiAHIAYQAgACgAUwB0AHIAdQBjAHQAdQByAGEAbAAgAE0AYQBwAHAAaQBuAGcAKQBcAG4AQQB1AHQAaABvAHIAOgAgACAAIAAgACAAIAAgAFAAYQB0AHIAaQBjAGsAIABIAC4AXABuAFYAZQByAHMAaQBvAG4AOgAgACAAIAAgACAAIAAxAC4AMQBcAG4ARABlAHAAZQBuAGQAZQBuAGMAaQBlAHMAOgAgAFYAYQBsAGkAZABhAHQAZQBCAGwAbwBjAGsATQBhAHAAuwNcAG4AXABuAEQAZQBzAGMAcgBpAHAAdABpAG8AbgA6AFwAbgAgACAAIAAgAFIAZQBzAGgAYQBwAGUAcwAgAGEAIABhAHIAcgBhAHkAXwAyAEQAIAByAG8AdwARIHcAaQBzAGUAIABvAHIAIABjAG8AbAB1AG0AbgARIHcAaQBzAGUAIABpAG4AdABvACAAYgBsAG8AYwBrAHMAIABvAGYAIABzAGkAegBlAFwAbgAgACAAIAAgAGQAZQBwAHQAaAAgANcAIAB3AGkAZAB0AGgALgAgAE8AcAB0AGkAbwBuAGEAbAAgAHAAYQByAGEAbQBlAHQAZQByAHMAIABhAGwAbABvAHcAIAByAGUAcwBoAGEAcABpAG4AZwAgAGIAeQAgAGMAbwBsAHUAbQBuACAAYQBuAGQAXABuACAAIAAgACAAdAByAGEAbgBzAHAAbwBzAGkAbgBnACAAdABoAGUAIABhAG4AYwBoAG8AcgAgAGcAcgBpAGQAcwAgAHUAcwBlAGQAIAB0AG8AIABnAGUAbgBlAHIAYQB0AGUAIABiAGwAbwBjAGsAIABpAG4AZABpAGMAZQBzAC4AXABuAFwAbgBQAGEAcgBhAG0AZQB0AGUAcgBzADoAXABuACAAIAAgACAAYQByAHIAYQB5AF8AMgBEACAAIAAgACAAIAAgACAAIAAgACAAIAAgACAAIAAgAC0AIABJAG4AcAB1AHQAIABhAHIAcgBhAHkAXwAyAEQALgBcAG4AIAAgACAAIABkAGUAcAB0AGgAIAAgACAAIAAgACAAIAAgACAAIAAgACAAIAAgACAAIAAtACAASABlAGkAZwBoAHQAIABvAGYAIABlAGEAYwBoACAAYgBsAG8AYwBrAC4AXABuACAAIAAgACAAdwBpAGQAdABoACAAIAAgACAAIAAgACAAIAAgACAAIAAgACAAIAAgACAALQAgAFcAaQBkAHQAaAAgAG8AZgAgAGUAYQBjAGgAIABiAGwAbwBjAGsALgBcAG4AIAAgACAAIABbAHIAZQBfAHMAaABhAHAAZQBfAGIAeQBfAGMAbwBsAHUAbQBuAD8AXQAtACAASQBmACAAVABSAFUARQAsACAAcgBlAHMAaABhAHAAZQAgAGMAbwBsAHUAbQBuABEgdwBpAHMAZQA7ACAAZQBsAHMAZQAgAHIAbwB3ABEgdwBpAHMAZQAuAFwAbgAgACAAIAAgAFsAdAByAGEAbgBzAHAAbwBzAGUAXwBhAG4AYwBoAG8AcgBzAD8AXQAgAC0AIABJAGYAIABUAFIAVQBFACwAIAB0AHIAYQBuAHMAcABvAHMAZQAgAHIAbwB3AC8AYwBvAGwAdQBtAG4AIABhAG4AYwBoAG8AcgAgAGcAcgBpAGQAcwAuAFwAbgBcAG4ATgBvAHQAZQBzADoAXABuACAAIAAgACAAIiAgAFYAYQBsAGkAZABhAHQAZQBCAGwAbwBjAGsATQBhAHAAuwMgAGUAbgBmAG8AcgBjAGUAcwAgAHMAdAByAGkAYwB0ACAAcwBoAGEAcABlACAAYwBvAG0AcABhAHQAaQBiAGkAbABpAHQAeQAuAFwAbgAgACAAIAAgACIgIABBAG4AYwBoAG8AcgBzACAAZABlAGYAaQBuAGUAIAB0AGgAZQAgAHQAbwBwABEgbABlAGYAdAAgAGMAbwByAG4AZQByACAAbwBmACAAZQBhAGMAaAAgAGIAbABvAGMAawAuAFwAbgAgACAAIAAgACIgIABPAHUAdABwAHUAdAAgAGkAcwAgAGEAbAB3AGEAeQBzACAAcgBlAGMAdABhAG4AZwB1AGwAYQByACAAYQBuAGQAIABmAHUAbABsAHkAIAB0AGkAbABlAGQALgBcAG4ALQAtAC0ALQAtAC0ALQAtAC0ALQAtAC0ALQAtAC0ALQAtAC0ALQAtAC0ALQAtAC0ALQAtAC0ALQAtAC0ALQAtAC0ALQAtAC0ALQAtAC0ALQAtAC0ALQAtAC0ALQAtAC0ALQAtAC0ALQAtAC0ALQAtAC0ALQAtAC0ALQAtAC0ALQAtAC0ALQAtAC0ALQAtAC0ALQAtAC0ALQAtAC0AKgAvAFwAbgBcAG4AQgBsAG8AYwBrAE0AYQBwALsDIAA9AFwAbgBMAEEATQBCAEQAQQAoAFwAbgAgACAAIAAgAGEAcgByAGEAeQBfADIARAAsAFwAbgAgACAAIAAgAGQAZQBwAHQAaAAsAFwAbgAgACAAIAAgAHcAaQBkAHQAaAAsAFwAbgAgACAAIAAgAFsAcgBlAF8AcwBoAGEAcABlAF8AYgB5AF8AYwBvAGwAdQBtAG4APwBdACwAXABuACAAIAAgACAAWwB0AHIAYQBuAHMAcABvAHMAZQBfAGEAbgBjAGgAbwByAHMAPwBdACwAXABuAFwAbgAgACAAIAAgAC8ALwAgAFYAYQBsAGkAZABhAHQAZQAgAGkAbgBwAHUAdABzACAAYgBlAGYAbwByAGUAIAByAGUAcwBoAGEAcABpAG4AZwBcAG4AIAAgACAAIABWAGEAbABpAGQAYQB0AGUAQgBsAG8AYwBrAE0AYQBwALsDKABhAHIAcgBhAHkAXwAyAEQALAAgAGQAZQBwAHQAaAAsACAAdwBpAGQAdABoACwAIAByAGUAXwBzAGgAYQBwAGUAXwBiAHkAXwBjAG8AbAB1AG0AbgA/ACwAXABuAFwAbgBMAEUAVAAoAFwAbgAgACAAIAAgAC8ALwAgAEIAbABvAGMAawAgAGcAcgBpAGQAIABkAGkAbQBlAG4AcwBpAG8AbgBzAFwAbgAgACAAIAAgAHgALAAgACAAIAAgACAAIAAgACAAIAAgACAAIAAgAFIATwBVAE4ARABVAFAAKABSAE8AVwBTACgAYQByAHIAYQB5AF8AMgBEACkAIAAvACAAZABlAHAAdABoACwAIAAwACkALAAgACAAIAAgACAALwAvACAAYgBsAG8AYwBrACAAcgBvAHcAcwBcAG4AIAAgACAAIAB5ACwAIAAgACAAIAAgACAAIAAgACAAIAAgACAAIABSAE8AVQBOAEQAVQBQACgAQwBPAEwAVQBNAE4AUwAoAGEAcgByAGEAeQBfADIARAApACAALwAgAHcAaQBkAHQAaAAsACAAMAApACwAIAAgAC8ALwAgAGIAbABvAGMAawAgAGMAbwBsAHUAbQBuAHMAXABuAFwAbgAgACAAIAAgAC8ALwAgAEEAbgBjAGgAbwByACAAZwByAGkAZABzAFwAbgAgACAAIAAgAGkALAAgACAAIAAgACAAIAAgACAAIAAgACAAIAAgAFMARQBRAFUARQBOAEMARQAoAHgALAAgACwAIAAxACwAIABkAGUAcAB0AGgAKQAgACoAXABuACAAIAAgACAAIAAgACAAIAAgACAAIAAgACAAIAAgACAAIAAgACAAUwBFAFEAVQBFAE4AQwBFACgALAAgAHkALAAgADEALAAgADAAKQAsAFwAbgBcAG4AIAAgACAAIABqACwAIAAgACAAIAAgACAAIAAgACAAIAAgACAAIABTAEUAUQBVAEUATgBDAEUAKAAsACAAeQAsACAAMQAsACAAdwBpAGQAdABoACkAIAAqAFwAbgAgACAAIAAgACAAIAAgACAAIAAgACAAIAAgACAAIAAgACAAIAAgAFMARQBRAFUARQBOAEMARQAoAHgALAAgACwAIAAxACwAIAAwACkALABcAG4AXABuACAAIAAgACAAcgBvAHcAXwBhAG4AYwBoAG8AcgAsACAAIAAgACAASQBGACgASQBTAE8ATQBJAFQAVABFAEQAKAB0AHIAYQBuAHMAcABvAHMAZQBfAGEAbgBjAGgAbwByAHMAPwApACwAIABpACwAIABUAFIAQQBOAFMAUABPAFMARQAoAGkAKQApACwAXABuACAAIAAgACAAYwBvAGwAXwBhAG4AYwBoAG8AcgAsACAAIAAgACAASQBGACgASQBTAE8ATQBJAFQAVABFAEQAKAB0AHIAYQBuAHMAcABvAHMAZQBfAGEAbgBjAGgAbwByAHMAPwApACwAIABqACwAIABUAFIAQQBOAFMAUABPAFMARQAoAGoAKQApACwAXABuAFwAbgAgACAAIAAgAC8ALwAgAFIAbwB3ACAAaQBuAGQAaQBjAGUAcwAgAGYAbwByACAAZQBhAGMAaAAgAGIAbABvAGMAawBcAG4AIAAgACAAIAByAG8AdwBfAGkAbgBkAGkAYwBlAHMALAAgACAAIABUAE8AQwBPAEwAKAByAG8AdwBfAGEAbgBjAGgAbwByACkAIAArAFwAbgAgACAAIAAgACAAIAAgACAAIAAgACAAIAAgACAAIAAgACAAIAAgAEkATgBUACgAUwBFAFEAVQBFAE4AQwBFACgALAAgAGQAZQBwAHQAaAAgACoAIAB3AGkAZAB0AGgALAAgADAALAAgADEAIAAvACAAdwBpAGQAdABoACkAKQAsAFwAbgBcAG4AIAAgACAAIAAvAC8AIABDAG8AbAB1AG0AbgAgAGkAbgBkAGkAYwBlAHMAIABmAG8AcgAgAGUAYQBjAGgAIABiAGwAbwBjAGsAXABuACAAIAAgACAAYwBvAGwAXwBpAG4AZABpAGMAZQBzACwAIAAgACAAVABPAEMATwBMACgAYwBvAGwAXwBhAG4AYwBoAG8AcgApACAAKwBcAG4AIAAgACAAIAAgACAAIAAgACAAIAAgACAAIAAgACAAIAAgACAAIABUAE8AUgBPAFcAKABJAEYAUwAoAFMARQBRAFUARQBOAEMARQAoAGQAZQBwAHQAaAApACwAIABTAEUAUQBVAEUATgBDAEUAKAAsACAAdwBpAGQAdABoACwAIAAwACwAIAAxACkAKQApACwAXABuAFwAbgAgACAAIAAgAC8ALwAgAEUAeAB0AHIAYQBjAHQAIABiAGwAbwBjAGsAcwBcAG4AIAAgACAAIAByAGUAcwBoAGEAcABlAGQALAAgACAAIAAgACAAIABJAE4ARABFAFgAKABhAHIAcgBhAHkAXwAyAEQALAAgAHIAbwB3AF8AaQBuAGQAaQBjAGUAcwAsACAAYwBvAGwAXwBpAG4AZABpAGMAZQBzACkALABcAG4AXABuACAAIAAgACAALwAvACAATwBwAHQAaQBvAG4AYQBsACAAYwBvAGwAdQBtAG4AESB3AGkAcwBlACAAcgBlAHMAaABhAHAAZQBcAG4AIAAgACAAIAByAGUAcwB1AGwAdAAsACAAIAAgACAAIAAgACAAIABJAEYAKAByAGUAXwBzAGgAYQBwAGUAXwBiAHkAXwBjAG8AbAB1AG0AbgA/ACwAIABUAFIAQQBOAFMAUABPAFMARQAoAHIAZQBzAGgAYQBwAGUAZAApACwAIAByAGUAcwBoAGEAcABlAGQAKQAsAFwAbgBcAG4AIAAgACAAIAByAGUAcwB1AGwAdABcAG4AKQApACkAOwBcAG4AXABuAFwAbgBcAG4ALwAqACAAWwBHAEEAESBDAE8AUgBFAF0AIAAtAC0ALQAtAC0ALQAtAC0ALQAtAC0ALQAtAC0ALQAtAC0ALQAtAC0ALQAtAC0ALQAtAC0ALQAtAC0ALQAtAC0ALQAtAC0ALQAtAC0ALQAtAC0ALQAtAC0ALQAtAC0ALQAtAC0ALQAtAC0ALQAtAC0ALQAtAC0ALQAtAC0ALQAtAC0ALQAtAC0ALQAtAFwAbgBGAHUAbgBjAHQAaQBvAG4AOgAgACAAIAAgACAAVgBhAGwAaQBkAGEAdABlAEIAbABvAGMAawBNAGEAcAC7A1wAbgBDAGEAdABlAGcAbwByAHkAOgAgACAAIAAgACAARwByAGkAZAAgAEEAbABnAGUAYgByAGEAIAAoAEMAbwByAGUAIABWAGEAbABpAGQAYQB0AGkAbwBuACkAXABuAEEAdQB0AGgAbwByADoAIAAgACAAIAAgACAAIABQAGEAdAByAGkAYwBrACAASAAuAFwAbgBWAGUAcgBzAGkAbwBuADoAIAAgACAAIAAgACAAMQAuADEAXABuAFwAbgBEAGUAcwBjAHIAaQBwAHQAaQBvAG4AOgBcAG4AIAAgACAAIABWAGEAbABpAGQAYQB0AGUAcwAgAGkAbgBwAHUAdABzACAAZgBvAHIAIABCAGwAbwBjAGsATQBhAHAAuwMuACAARQBuAHMAdQByAGUAcwAgAHQAaABlACAAYQByAHIAYQB5AF8AMgBEACAAaQBzACAAdgBhAGwAaQBkACwAIABiAGwAbwBjAGsAIABkAGkAbQBlAG4AcwBpAG8AbgBzAFwAbgAgACAAIAAgAGEAcgBlACAAYwBvAG0AcABhAHQAaQBiAGwAZQAsACAAcgBlAHMAaABhAHAAaQBuAGcAIAB3AGkAbABsACAAbgBvAHQAIABzAHAAaQBsAGwALAAgAGEAbgBkACAAdABoAGUAIABiAGwAbwBjAGsAIABnAGUAbwBtAGUAdAByAHkAIAB0AGkAbABlAHMAIAB0AGgAZQBcAG4AIAAgACAAIABhAHIAcgBhAHkAXwAyAEQAIABjAGwAZQBhAG4AbAB5AC4AXABuAFwAbgBQAGEAcgBhAG0AZQB0AGUAcgBzADoAXABuACAAIAAgACAAYQByAHIAYQB5AF8AMgBEACAAIAAgACAAIAAgACAAIAAgACAAIAAgACAAIAAgAC0AIABJAG4AcAB1AHQAIABhAHIAcgBhAHkAXwAyAEQALgBcAG4AIAAgACAAIABkAGUAcAB0AGgAIAAgACAAIAAgACAAIAAgACAAIAAgACAAIAAgACAAIAAtACAAQgBsAG8AYwBrACAAaABlAGkAZwBoAHQALgBcAG4AIAAgACAAIAB3AGkAZAB0AGgAIAAgACAAIAAgACAAIAAgACAAIAAgACAAIAAgACAAIAAtACAAQgBsAG8AYwBrACAAdwBpAGQAdABoAC4AXABuACAAIAAgACAAcgBlAF8AcwBoAGEAcABlAF8AYgB5AF8AYwBvAGwAdQBtAG4APwAgACAALQAgAE8AcAB0AGkAbwBuAGEAbAAgAGYAbABhAGcAIABmAG8AcgAgAGMAbwBsAHUAbQBuABEgdwBpAHMAZQAgAHIAZQBzAGgAYQBwAGUALgBcAG4AIAAgACAAIABvAG4AXwB2AGEAbABpAGQAIAAgACAAIAAgACAAIAAgACAAIAAgACAAIAAtACAARQB4AHAAcgBlAHMAcwBpAG8AbgAgAHQAbwAgAGUAdgBhAGwAdQBhAHQAZQAgAHcAaABlAG4AIAB2AGEAbABpAGQAYQB0AGkAbwBuACAAcABhAHMAcwBlAHMALgBcAG4AXABuAE4AbwB0AGUAcwA6AFwAbgAgACAAIAAgACIgIABFAG4AcwB1AHIAZQBzACAAYQByAHIAYQB5AF8AMgBEACAAaQBzACAAYQAgAHAAcgBvAHAAZQByACAAYQByAHIAYQB5ACAAKABUAFkAUABFACAAPQAgADYANAApAC4AXABuACAAIAAgACAAIiAgAFAAcgBlAHYAZQBuAHQAcwAgAHMAcABpAGwAbAARIHIAaQBzAGsAIAB3AGgAZQBuACAAcgBlAHMAaABhAHAAaQBuAGcAIABiAHkAIABjAG8AbAB1AG0AbgAuAFwAbgAgACAAIAAgACIgIABFAG4AZgBvAHIAYwBlAHMAIABlAHgAYQBjAHQAIABkAGkAdgBpAHMAaQBiAGkAbABpAHQAeQAgAGIAeQAgAGIAbABvAGMAawAgAGQAaQBtAGUAbgBzAGkAbwBuAHMALgBcAG4AIAAgACAAIAAiICAAUgBlAGoAZQBjAHQAcwAgAGkAbgB2AGEAbABpAGQAIABvAHIAIAB0AGUAeAB0ACAAYgBsAG8AYwBrACAAcwBpAHoAZQBzAC4AXABuAC0ALQAtAC0ALQAtAC0ALQAtAC0ALQAtAC0ALQAtAC0ALQAtAC0ALQAtAC0ALQAtAC0ALQAtAC0ALQAtAC0ALQAtAC0ALQAtAC0ALQAtAC0ALQAtAC0ALQAtAC0ALQAtAC0ALQAtAC0ALQAtAC0ALQAtAC0ALQAtAC0ALQAtAC0ALQAtAC0ALQAtAC0ALQAtAC0ALQAtAC0ALQAtACoALwBcAG4AXABuAFYAYQBsAGkAZABhAHQAZQBCAGwAbwBjAGsATQBhAHAAuwMgAD0AXABuAEwAQQBNAEIARABBACgAXABuACAAIAAgACAAYQByAHIAYQB5AF8AMgBEACwAXABuACAAIAAgACAAZABlAHAAdABoACwAXABuACAAIAAgACAAdwBpAGQAdABoACwAXABuACAAIAAgACAAcgBlAF8AcwBoAGEAcABlAF8AYgB5AF8AYwBvAGwAdQBtAG4APwAsAFwAbgAgACAAIAAgAG8AbgBfAHYAYQBsAGkAZAAsAFwAbgBcAG4AIAAgACAAIAAvAC8AIABNAHUAcwB0ACAAYgBlACAAYQBuACAAYQByAHIAYQB5AFwAbgAgACAAIAAgAEkARgAoAE4ATwBUACgAVABZAFAARQAoAGEAcgByAGEAeQBfADIARAApACAAPQAgADYANAApACwAXAAiACMAYQByAHIAYQB5AF8AMgBEACEAXAAiACwAXABuAFwAbgAgACAAIAAgAC8ALwAgAFMAcABpAGwAbAARIHIAaQBzAGsAIAB3AGgAZQBuACAAcgBlAHMAaABhAHAAaQBuAGcAIABiAHkAIABjAG8AbAB1AG0AbgBcAG4AIAAgACAAIABJAEYAKAAoAHIAZQBfAHMAaABhAHAAZQBfAGIAeQBfAGMAbwBsAHUAbQBuAD8AKQAgACoAIABcAG4AIAAgACAAIAAgACAAIAAoAFIATwBXAFMAKABhAHIAcgBhAHkAXwAyAEQAKQAgACoAIABDAE8ATABVAE0ATgBTACgAYQByAHIAYQB5AF8AMgBEACkAIAAvACAAKAB3AGkAZAB0AGgAIAAqACAAZABlAHAAdABoACkAXgAyACAAPgAgADEANgAzADgANAApACwAXAAiACMAUwBQAEkATABMAC0AUgBJAFMASwAhAFwAIgAsAFwAbgBcAG4AIAAgACAAIAAvAC8AIABNAHUAcwB0ACAAdABpAGwAZQAgAGMAbABlAGEAbgBsAHkAXABuACAAIAAgACAASQBGACgAKABNAE8ARAAoAFIATwBXAFMAKABhAHIAcgBhAHkAXwAyAEQAKQAsACAAZABlAHAAdABoACkAIAA8AD4AIAAwACkAIAArACgATQBPAEQAKABDAE8ATABVAE0ATgBTACgAYQByAHIAYQB5AF8AMgBEACkALAAgAHcAaQBkAHQAaAApACAAPAA+ACAAMAApACwAXAAiACMAQgBMAE8AQwBLACAATQBJAFMATQBBAFQAQwBIACEAXAAiACwAXABuAFwAbgAgACAAIAAgAC8ALwAgAEIAbABvAGMAawAgAHMAaQB6AGUAIABtAHUAcwB0ACAAYgBlACAAdgBhAGwAaQBkAFwAbgAgACAAIAAgAEkARgAoAE8AUgAoAEEATgBEACgAdwBpAGQAdABoACAAPQAgADEALAAgAGQAZQBwAHQAaAAgAD0AIAAxACkALABkAGUAcAB0AGgAIAA+ACAAUgBPAFcAUwAoAGEAcgByAGEAeQBfADIARAApACwAXABuACAAIAAgACAAIAAgACAAIAAgACAAIAAgACAAIAB3AGkAZAB0AGgAIAA+ACAAQwBPAEwAVQBNAE4AUwAoAGEAcgByAGEAeQBfADIARAApACwASQBTAFQARQBYAFQAKAB3AGkAZAB0AGgAKQAsAEkAUwBUAEUAWABUACgAZABlAHAAdABoACkAKQAsAFwAIgAjAEQASQBNAEUATgBTAEkATwBOAFMAIQBcACIALABcAG4AXABuACAAIAAgACAALwAvACAAQQBsAGwAIABjAGgAZQBjAGsAcwAgAHAAYQBzAHMAZQBkAFwAbgAgACAAIAAgAG8AbgBfAHYAYQBsAGkAZABcAG4AIAAgACAAIAApACkAKQApACkAOwBcAG4AXABuAFwAbgBcAG4ALwAqACAAWwBHAEEAMQA3AF0AIAAtAC0ALQAtAC0ALQAtAC0ALQAtAC0ALQAtAC0ALQAtAC0ALQAtAC0ALQAtAC0ALQAtAC0ALQAtAC0ALQAtAC0ALQAtAC0ALQAtAC0ALQAtAC0ALQAtAC0ALQAtAC0ALQAtAC0ALQAtAC0ALQAtAC0ALQAtAC0ALQAtAC0ALQAtAC0ALQAtAC0ALQAtAC0ALQAtAFwAbgBGAHUAbgBjAHQAaQBvAG4AOgAgACAAIAAgACAAQwBvAG4AdgBvAGwAdgBlALsDXABuAEMAYQB0AGUAZwBvAHIAeQA6ACAAIAAgACAAIABHAHIAaQBkACAAQQBsAGcAZQBiAHIAYQAgACgAUwB0AHIAdQBjAHQAdQByAGEAbAAgAE0AYQBwAHAAaQBuAGcAKQBcAG4AQQB1AHQAaABvAHIAOgAgACAAIAAgACAAIAAgAFAAYQB0AHIAaQBjAGsAIABIAC4AXABuAFYAZQByAHMAaQBvAG4AOgAgACAAIAAgACAAIAAxAC4AMQBcAG4ARABlAHAAZQBuAGQAZQBuAGMAaQBlAHMAOgAgAFIAZQBzAGkAegBlALsDXABuAFwAbgBEAGUAcwBjAHIAaQBwAHQAaQBvAG4AOgBcAG4AIAAgACAAIABQAGUAcgBmAG8AcgBtAHMAIABhACAAcwBsAGkAZABpAG4AZwARIHcAaQBuAGQAbwB3ACAAYwBvAG4AdgBvAGwAdQB0AGkAbwBuACAAbwB2AGUAcgAgAGEAIAAyAEQAIABhAHIAcgBhAHkAIAB1AHMAaQBuAGcAIABhACAAMgBEACAAawBlAHIAbgBlAGwALgBcAG4AIAAgACAAIABFAGEAYwBoACAAdwBpAG4AZABvAHcAIABlAHgAdAByAGEAYwB0AGUAZAAgAGYAcgBvAG0AIAB0AGgAZQAgAGkAbgBwAHUAdAAgAGEAcgByAGEAeQAgAGgAYQBzACAAdABoAGUAIABzAGEAbQBlACAAZABpAG0AZQBuAHMAaQBvAG4AcwAgAGEAcwAgAHQAaABlAFwAbgAgACAAIAAgAGsAZQByAG4AZQBsAC4AIABBACAAcgBlAGQAdQBjAGUAcgAgAGYAdQBuAGMAdABpAG8AbgAgAGkAcwAgAGEAcABwAGwAaQBlAGQAIAB0AG8AIABlAGEAYwBoACAAdwBpAG4AZABvAHcAIAB0AG8AIABwAHIAbwBkAHUAYwBlACAAdABoAGUAIABvAHUAdABwAHUAdAAuAFwAbgBcAG4AIAAgACAAIABJAGYAIABuAG8AIAByAGUAZAB1AGMAZQByACAAZgB1AG4AYwB0AGkAbwBuACAAaQBzACAAcwB1AHAAcABsAGkAZQBkACwAIABDAG8AbgB2AG8AbAB2AGUAuwMgAGQAZQBmAGEAdQBsAHQAcwAgAHQAbwAgAGEAIABkAG8AdAARIHAAcgBvAGQAdQBjAHQAXABuACAAIAAgACAAcgBlAGQAdQBjAGUAcgA6ACAAUwBVAE0AKAB2ACAAKgAgAGsAZQByAG4AZQBsACkALgBcAG4AXABuAFAAYQByAGEAbQBlAHQAZQByAHMAOgBcAG4AIAAgACAAIABhAHIAcgBhAHkAIAAgACAAIAAgACAAIAAtACAAMgBEACAAYQByAHIAYQB5ACAAdABvACAAdwBoAGkAYwBoACAAdABoAGUAIABrAGUAcgBuAGUAbAAgAGkAcwAgAGEAcABwAGwAaQBlAGQALgBcAG4AIAAgACAAIABrAGUAcgBuAGUAbAAgACAAIAAgACAAIAAtACAAMgBEACAAYQByAHIAYQB5ACAAZABlAGYAaQBuAGkAbgBnACAAdABoAGUAIABzAGwAaQBkAGkAbgBnACAAdwBpAG4AZABvAHcAIABkAGkAbQBlAG4AcwBpAG8AbgBzAC4AXABuACAAIAAgACAAWwBmAHUAbgBjAHQAaQBvAG4AXQAgACAALQAgAE8AcAB0AGkAbwBuAGEAbAAgAHIAZQBkAHUAYwBlAHIAIABMAEEATQBCAEQAQQAgAGEAYwBjAGUAcAB0AGkAbgBnACAAYQAgAHMAaQBuAGcAbABlACAAYQByAHIAYQB5ACAAYQByAGcAdQBtAGUAbgB0AC4AXABuACAAIAAgACAAIAAgACAAIAAgACAAIAAgACAAIAAgACAAIAAgAEQAZQBmAGEAdQBsAHQAcwAgAHQAbwAgAFMAVQBNACgAdgAgACoAIABrAGUAcgBuAGUAbAApAC4AXABuAFwAbgBOAG8AdABlAHMAOgBcAG4AIAAgACAAIAAiICAAUgBlAHQAdQByAG4AcwAgAFwAIgAjAEsARQBSAE4ARQBMACEAXAAiACAAaQBmACAAdABoAGUAIABrAGUAcgBuAGUAbAAgAGkAcwAgAGwAYQByAGcAZQByACAAdABoAGEAbgAgAHQAaABlACAAaQBuAHAAdQB0ACAAYQByAHIAYQB5AC4AXABuACAAIAAgACAAIiAgAFIAZQB0AHUAcgBuAHMAIABcACIAIwBGAFUATgBDAFQASQBPAE4AIQBcACIAIABpAGYAIAB0AGgAZQAgAHIAZQBkAHUAYwBlAHIAIABpAHMAIABuAG8AdAAgAGEAIAB2AGEAbABpAGQAIABMAEEATQBCAEQAQQAuAFwAbgAgACAAIAAgACIgIABTAGMAYQBsAGEAcgBzACAAYQByAGUAIAB0AHIAZQBhAHQAZQBkACAAYQBzACAAMQDXADEAIABhAHIAcgBhAHkAcwAgAGEAbgBkACAAbQBhAHAAcABlAGQAIAB0AGgAcgBvAHUAZwBoACAAdABoAGUAIAByAGUAZAB1AGMAZQByAC4AXABuACAAIAAgACAAIiAgAFIAZQBkAHUAYwBlAHIAIABiAGUAaABhAHYAaQBvAHIAIABpAHMAIAB1AHMAZQByABEgZABlAGYAaQBuAGUAZAA7ACAAYQByAHIAYQB5AHMAIABuAGUAZQBkACAAbgBvAHQAIABiAGUAIABuAHUAbQBlAHIAaQBjAC4AXABuAC0ALQAtAC0ALQAtAC0ALQAtAC0ALQAtAC0ALQAtAC0ALQAtAC0ALQAtAC0ALQAtAC0ALQAtAC0ALQAtAC0ALQAtAC0ALQAtAC0ALQAtAC0ALQAtAC0ALQAtAC0ALQAtAC0ALQAtAC0ALQAtAC0ALQAtAC0ALQAtAC0ALQAtAC0ALQAtAC0ALQAtAC0ALQAtAC0ALQAtAC0ALQAtACoALwBcAG4AXABuAEMAbwBuAHYAbwBsAHYAZQC7AyAAPQBcAG4ATABBAE0AQgBEAEEAKABcAG4AIAAgACAAIABhAHIAcgBhAHkALABcAG4AIAAgACAAIABrAGUAcgBuAGUAbAAsAFwAbgAgACAAIAAgAFsAZgB1AG4AYwB0AGkAbwBuAF0ALABcAG4ATABFAFQAKABcAG4AIAAgACAAIAAvAC8AIABBAHIAcgBhAHkAIABkAGkAbQBlAG4AcwBpAG8AbgBzAFwAbgAgACAAIAAgAGgALAAgACAAIAAgACAAIAAgACAAIAAgACAAIAAgACAAIAAgACAAIABSAE8AVwBTACgAYQByAHIAYQB5ACkALABcAG4AIAAgACAAIAB3ACwAIAAgACAAIAAgACAAIAAgACAAIAAgACAAIAAgACAAIAAgACAAQwBPAEwAVQBNAE4AUwAoAGEAcgByAGEAeQApACwAXABuAFwAbgAgACAAIAAgAC8ALwAgAEsAZQByAG4AZQBsACAAZABpAG0AZQBuAHMAaQBvAG4AcwBcAG4AIAAgACAAIABoAF8ALAAgACAAIAAgACAAIAAgACAAIAAgACAAIAAgACAAIAAgACAAUgBPAFcAUwAoAGsAZQByAG4AZQBsACkALABcAG4AIAAgACAAIAB3AF8ALAAgACAAIAAgACAAIAAgACAAIAAgACAAIAAgACAAIAAgACAAQwBPAEwAVQBNAE4AUwAoAGsAZQByAG4AZQBsACkALABcAG4AXABuACAAIAAgACAALwAvACAASwBlAHIAbgBlAGwAIABtAHUAcwB0ACAAZgBpAHQAIABpAG4AcwBpAGQAZQAgAGEAcgByAGEAeQBcAG4AIAAgACAAIABJAG4AdgBhAGwAaQBkAEsAZQByAG4AZQBsAD8ALAAgACAAIAAgACAATwBSACgAaABfACAAPgAgAGgALAAgAHcAXwAgAD4AIAB3ACkALABcAG4AXABuACAAIAAgACAALwAvACAAUwBjAGEAbABhAHIAIABoAGEAbgBkAGwAaQBuAGcAXABuACAAIAAgACAASQBzAFMAYwBhAGwAYQByAD8ALAAgACAAIAAgACAAIAAgACAAIAAgAEEATgBEACgAaAAgAD0AIAAxACwAIAB3ACAAPQAgADEAKQAsAFwAbgAgACAAIAAgAEkAcwBTAGMAYQBsAGEAcgBLAGUAcgBuAGUAbAA/ACwAIAAgACAAIABBAE4ARAAoAGgAXwAgAD0AIAAxACwAIAB3AF8AIAA9ACAAMQApACwAXABuAFwAbgAgACAAIAAgAC8ALwAgAEQAZQBmAGEAdQBsAHQAIAByAGUAZAB1AGMAZQByACAAPQAgAGQAbwB0ACAAcAByAG8AZAB1AGMAdABcAG4AIAAgACAAIABmAHUAbgBjAHQAaQBvAG4ALAAgACAAIAAgACAAIAAgACAAIAAgACAASQBGACgASQBTAE8ATQBJAFQAVABFAEQAKABmAHUAbgBjAHQAaQBvAG4AKQAsAEwAQQBNAEIARABBACgAdgAsACAAUwBVAE0AKAB2ACAAKgAgAGsAZQByAG4AZQBsACkAKQAsAGYAdQBuAGMAdABpAG8AbgApACwAXABuAFwAbgAgACAAIAAgAC8ALwAgAFQAWQBQAEUAKABmAHUAbgBjAHQAaQBvAG4AKQAgAD0AIAAxADIAOAAgAJIhIAB2AGEAbABpAGQAIABMAEEATQBCAEQAQQBcAG4AIAAgACAAIABJAG4AdgBhAGwAaQBkAEYAbgA/ACwAIAAgACAAIAAgACAAIAAgACAAVABZAFAARQAoAGYAdQBuAGMAdABpAG8AbgApACAAPAA+ACAAMQAyADgALABcAG4AXABuACAAIAAgACAALwAvACAAUwBjAGEAbABhAHIAIABvAHIAIABzAGMAYQBsAGEAcgARIGsAZQByAG4AZQBsACAAYwBhAHMAZQAgAJIhIABzAGkAbQBwAGwAZQAgAE0AQQBQAFwAbgAgACAAIAAgAFMAdABhAG4AZABhAHIAZABNAGEAcAAsACAAIAAgACAAIAAgACAAIABMAEEATQBCAEQAQQAoAE0AQQBQACgAYQByAHIAYQB5ACwAIABmAHUAbgBjAHQAaQBvAG4AKQApACwAXABuAFwAbgAvAC8AIABMAG8AZwBpAGMAIABnAGEAdABlAFwAbgAgACAAIAAgAEkARgAoAEkAbgB2AGEAbABpAGQASwBlAHIAbgBlAGwAPwAsACAAXAAiACMASwBFAFIATgBFAEwAIQBcACIALABcAG4AXABuACAAIAAgACAAIAAgACAAIABJAEYAKABJAG4AdgBhAGwAaQBkAEYAbgA/ACwAIABcACIAIwBGAFUATgBDAFQASQBPAE4AIQBcACIALABcAG4AXABuACAAIAAgACAAIAAgACAAIAAgACAAIAAgAEkARgAoACgASQBzAFMAYwBhAGwAYQByAD8AKQAgACsAIAAoAEkAcwBTAGMAYQBsAGEAcgBLAGUAcgBuAGUAbAA/ACkALABTAHQAYQBuAGQAYQByAGQATQBhAHAAKAApACwAXABuAFwAbgBMAEUAVAAoAFwAbgAgACAAIAAgAC8ALwAgAEEAbgBjAGgAbwByACAAYwBvAHUAbgB0AHMAXABuACAAIAAgACAAYQBuAGMAaABfAHIALAAgACAAIAAgACAAIAAgACAAIAAgACAAIAAgAGgAIAAtACAAaABfACAAKwAgADEALABcAG4AIAAgACAAIABhAG4AYwBoAF8AYwAsACAAIAAgACAAIAAgACAAIAAgACAAIAAgACAAdwAgAC0AIAB3AF8AIAArACAAMQAsAFwAbgBcAG4AIAAgACAAIAAvAC8AIABBAG4AYwBoAG8AcgAgAGkAbgBkAGUAeAAgAGcAcgBpAGQAcwBcAG4AIAAgACAAIABpACwAIAAgACAAIAAgACAAIAAgACAAIAAgACAAIAAgACAAIAAgACAATABBAE0AQgBEAEEAKABSAGUAcwBpAHoAZQC7AygAUwBFAFEAVQBFAE4AQwBFACgAYQBuAGMAaABfAHIAKQAsACAALAAgAGEAbgBjAGgAXwBjACkAKQAsAFwAbgAgACAAIAAgAGoALAAgACAAIAAgACAAIAAgACAAIAAgACAAIAAgACAAIAAgACAAIABMAEEATQBCAEQAQQAoAFIAZQBzAGkAegBlALsDKABTAEUAUQBVAEUATgBDAEUAKAAsACAAYQBuAGMAaABfAGMAKQAsACAAYQBuAGMAaABfAHIAKQApACwAXABuAFwAbgAgACAAIAAgAC8ALwAgAFcAaQBuAGQAbwB3ACAAcgBlAGQAdQBjAGUAcgBcAG4AIAAgACAAIABCAGwAbwBjAGsAQQBnAGcAuwMsACAAIAAgACAAIAAgACAAIAAgACAATABBAE0AQgBEAEEAKABpAF8ALAAgAGoAXwAsAFwAbgAgACAAIAAgACAAIAAgACAAIAAgACAAIAAgACAAIAAgACAAIAAgACAAIAAgACAAIAAgACAAIAAgAEwARQBUACgAXABuACAAIAAgACAAIAAgACAAIAAgACAAIAAgACAAIAAgACAAIAAgACAAIAAgACAAIAAgACAAIAAgACAAIAAgACAAIABiAGwAbwBjAGsALAAgACAAVABBAEsARQAoAEQAUgBPAFAAKABhAHIAcgBhAHkALAAgAGkAXwAgAC0AIAAxACwAIABqAF8AIAAtACAAMQApACwAIABoAF8ALAAgAHcAXwApACwAXABuACAAIAAgACAAIAAgACAAIAAgACAAIAAgACAAIAAgACAAIAAgACAAIAAgACAAIAAgACAAIAAgACAAIAAgACAAIAB0AG8AdABhAGwALAAgACAAZgB1AG4AYwB0AGkAbwBuACgAYgBsAG8AYwBrACkALABcAG4AIAAgACAAIAAgACAAIAAgACAAIAAgACAAIAAgACAAIAAgACAAIAAgACAAIAAgACAAIAAgACAAIAAgACAAIAAgAHQAbwB0AGEAbAApACkALABcAG4AXABuACAAIAAgACAALwAvACAAQQBwAHAAbAB5ACAAcgBlAGQAdQBjAGUAcgAgAHQAbwAgAGUAYQBjAGgAIAB3AGkAbgBkAG8AdwBcAG4AIAAgACAAIAByAGUAcwB1AGwAdAAsACAAIAAgACAAIAAgACAAIAAgACAAIAAgACAATQBBAFAAKABpACgAKQAsACAAagAoACkALAAgAEIAbABvAGMAawBBAGcAZwC7AykALABcAG4AXABuACAAIAAgACAAcgBlAHMAdQBsAHQAXABuACkAKQApACkAKQApADsAXABuAFwAbgBcAG4AXABuAC8AKgAgAFsARwBBADEAOABdACAALQAtAC0ALQAtAC0ALQAtAC0ALQAtAC0ALQAtAC0ALQAtAC0ALQAtAC0ALQAtAC0ALQAtAC0ALQAtAC0ALQAtAC0ALQAtAC0ALQAtAC0ALQAtAC0ALQAtAC0ALQAtAC0ALQAtAC0ALQAtAC0ALQAtAC0ALQAtAC0ALQAtAC0ALQAtAC0ALQAtAC0ALQAtAC0ALQBcAG4ARgB1AG4AYwB0AGkAbwBuADoAIAAgACAAIAAgAEYAbwBsAGQAuwNcAG4AQwBhAHQAZQBnAG8AcgB5ADoAIAAgACAAIAAgAEcAcgBpAGQAIABBAGwAZwBlAGIAcgBhACAAKABTAHQAcgB1AGMAdAB1AHIAYQBsACAATQBhAHAAcABpAG4AZwApAFwAbgBBAHUAdABoAG8AcgA6ACAAIAAgACAAIAAgACAAUABhAHQAcgBpAGMAawAgAEgALgBcAG4AVgBlAHIAcwBpAG8AbgA6ACAAIAAgACAAIAAgADEALgAxAFwAbgBEAGUAcABlAG4AZABlAG4AYwBpAGUAcwA6ACAAQQBsAGkAZwBuALsDXABuAFwAbgBEAGUAcwBjAHIAaQBwAHQAaQBvAG4AOgBcAG4AIAAgACAAIABSAGUAZAB1AGMAZQBzACAAcgBlAGMAbwByAGQAcwAgAGkAbgAgAGEAbgAgAGEAcgByAGEAeQAgAGIAeQAgAGcAcgBvAHUAcABpAG4AZwAgAGkAZABlAG4AdABpAGMAYQBsACAAcgBvAHcAcwAgAGEAbgBkACAAYQBwAHAAbAB5AGkAbgBnACAAYQBuAFwAbgAgACAAIAAgAGEAZwBnAHIAZQBnAGEAdABpAG8AbgAgAGYAdQBuAGMAdABpAG8AbgAgAHQAbwAgAHQAaABlACAAYwBvAHIAcgBlAHMAcABvAG4AZABpAG4AZwAgAGUAbgB0AHIAaQBlAHMAIABpAG4AIAB2AGEAbAB1AGUAcwBfAGEAcgByAGEAeQAuAFwAbgBcAG4AIAAgACAAIABJAGYAIAB2AGEAbAB1AGUAcwBfAGEAcgByAGEAeQAgAGkAcwAgAG8AbQBpAHQAdABlAGQALAAgAEYAbwBsAGQAuwMgAHUAcwBlAHMAIAB0AGgAZQAgAGYAaQByAHMAdAAgAGYAaQBlAGwAZAAgAG8AZgAgAGUAYQBjAGgAIAByAGUAYwBvAHIAZAAgAGEAcwBcAG4AIAAgACAAIAB0AGgAZQAgAGEAZwBnAHIAZQBnAGEAdABpAG8AbgAgAHYAZQBjAHQAbwByAC4AIABUAGgAaQBzACAAbQBvAGQAZQAgAGkAcwAgAGkAbgB0AGUAbgBkAGUAZAAgAGYAbwByACAAQwBPAFUATgBUAEEAOwAgAG8AdABoAGUAcgAgAHIAZQBkAHUAYwBlAHIAcwBcAG4AIAAgACAAIABtAGEAeQAgAHAAcgBvAGQAdQBjAGUAIAByAGUAcwB1AGwAdABzACAAYgB1AHQAIABhAHIAZQAgAG4AbwB0ACAAbQBlAGEAbgBpAG4AZwBmAHUAbAAuAFwAbgBcAG4AUABhAHIAYQBtAGUAdABlAHIAcwA6AFwAbgAgACAAIAAgAGEAcgByAGEAeQAgACAAIAAgACAAIAAgACAAIAAgACAALQAgADEARAAgAG8AcgAgADIARAAgAGEAcgByAGEAeQAgAHcAaABvAHMAZQAgAHIAbwB3AHMAIABkAGUAZgBpAG4AZQAgAGcAcgBvAHUAcABpAG4AZwAgAGsAZQB5AHMALgBcAG4AIAAgACAAIABbAHYAYQBsAHUAZQBzAF8AYQByAHIAYQB5AF0AIAAgAC0AIABPAHAAdABpAG8AbgBhAGwAIAAxAEQAIABvAHIAIAAyAEQAIABhAHIAcgBhAHkAIABvAGYAIAB2AGEAbAB1AGUAcwAgAHQAbwAgAGEAZwBnAHIAZQBnAGEAdABlAC4AXABuACAAIAAgACAAWwBmAHUAbgBjAHQAaQBvAG4AXQAgACAAIAAgACAAIAAtACAAUgBlAGQAdQBjAGUAcgAgAEwAQQBNAEIARABBACAAYQBjAGMAZQBwAHQAaQBuAGcAIABhACAAMQBEACAAdgBlAGMAdABvAHIAIAAoAGQAZQBmAGEAdQBsAHQAIAA9ACAAQwBPAFUATgBUAEEAKQAuAFwAbgBcAG4ATgBvAHQAZQBzADoAXABuACAAIAAgACAAIiAgAEYAbwBsAGQAuwMgAGgAYQBsAHQAcwAgAHcAaQB0AGgAIAAjAFYAQQBMAFUARQAhACAAaQBmACAAYQByAHIAYQB5ACAAYQBuAGQAIAB2AGEAbAB1AGUAcwBfAGEAcgByAGEAeQAgAGgAZQBpAGcAaAB0AHMAIABkAGkAZgBmAGUAcgAuAFwAbgAgACAAIAAgACIgIABGAG8AbABkALsDIABoAGEAbAB0AHMAIAB3AGkAdABoACAAIwBGAFUATgBDAFQASQBPAE4AIQAgAGkAZgAgAHIAZQBkAHUAYwBlAHIAIABpAHMAIABuAG8AdAAgAGEAIAB2AGEAbABpAGQAIABMAEEATQBCAEQAQQAuAFwAbgAgACAAIAAgACIgIABBAGwAaQBnAG4AuwMgAGMAYQBuAG8AbgBpAGMAYQBsAGkAegBlAHMAIAByAGUAYwBvAHIAZABzACAAcwBvACAAaQBkAGUAbgB0AGkAYwBhAGwAIAByAG8AdwBzACAAZwByAG8AdQBwACAAYwBsAGUAYQBuAGwAeQAuAFwAbgAtAC0ALQAtAC0ALQAtAC0ALQAtAC0ALQAtAC0ALQAtAC0ALQAtAC0ALQAtAC0ALQAtAC0ALQAtAC0ALQAtAC0ALQAtAC0ALQAtAC0ALQAtAC0ALQAtAC0ALQAtAC0ALQAtAC0ALQAtAC0ALQAtAC0ALQAtAC0ALQAtAC0ALQAtAC0ALQAtAC0ALQAtAC0ALQAtAC0ALQAtAC0ALQAqAC8AXABuAFwAbgBGAG8AbABkALsDIAA9AFwAbgBMAEEATQBCAEQAQQAoAFwAbgAgACAAIAAgAGEAcgByAGEAeQAsAFwAbgAgACAAIAAgAFsAdgBhAGwAdQBlAHMAXwBhAHIAcgBhAHkAXQAsAFwAbgAgACAAIAAgAFsAZgB1AG4AYwB0AGkAbwBuAF0ALABcAG4AXABuAEwARQBUACgAXABuACAAIAAgACAALwAvACAARABlAGYAYQB1AGwAdAAgAHYAYQBsAHUAZQBzACAAYQByAHIAYQB5AFwAbgAgACAAIAAgAHYAYQBsAHUAZQBzAF8AYQByAHIAYQB5ACwASQBGACgASQBTAE8ATQBJAFQAVABFAEQAKAB2AGEAbAB1AGUAcwBfAGEAcgByAGEAeQApACwAVABBAEsARQAoAGEAcgByAGEAeQAsACAALAAgADEAKQAsAFwAbgAgACAAIAAgACAAIAAgACAAIAAgACAAIAAgACAAIAAgACAAIAAgACAAIAAgACAAIAAgACAAIAAgACAAIAAgACAAIAAgACAAIAAgACAAIAAgACAAIAAgACAAIAAgACAAdgBhAGwAdQBlAHMAXwBhAHIAcgBhAHkAKQAsAFwAbgAgACAAIAAgAC8ALwAgAEQAZQBmAGEAdQBsAHQAIAByAGUAZAB1AGMAZQByAFwAbgAgACAAIAAgAGYAdQBuAGMAdABpAG8AbgAsACAAIAAgACAASQBGACgATwBSACgASQBTAE8ATQBJAFQAVABFAEQAKABmAHUAbgBjAHQAaQBvAG4AKQAsACAASQBTAE8ATQBJAFQAVABFAEQAKAB2AGEAbAB1AGUAcwBfAGEAcgByAGEAeQApACkALABDAE8AVQBOAFQAQQAsAFwAbgAgACAAIAAgACAAIAAgACAAIAAgACAAIAAgACAAIAAgACAAIAAgACAAIAAgACAAIAAgACAAIAAgACAAIAAgACAAIAAgACAAIAAgACAAIAAgACAAIAAgACAAIAAgACAAIAAgACAAIAAgACAAIAAgACAAIAAgACAAIAAgACAAIAAgACAAIABmAHUAbgBjAHQAaQBvAG4AKQAsAFwAbgBcAG4ALwAvACAATABvAGcAaQBjACAAZwBhAHQAZQBcAG4ASQBGACgAQQBOAEQAKABOAE8AVAAoAEkAUwBPAE0ASQBUAFQARQBEACgAdgBhAGwAdQBlAHMAXwBhAHIAcgBhAHkAKQApACwAXABuACAAIAAgACAAIAAgACAAIABSAE8AVwBTACgAYQByAHIAYQB5ACkAIAA8AD4AIABSAE8AVwBTACgAdgBhAGwAdQBlAHMAXwBhAHIAcgBhAHkAKQApACwAXAAiACMAVgBBAEwAVQBFACEAXAAiACwAXABuAFwAbgAgACAAIAAgAEkARgAoAFQAWQBQAEUAKABmAHUAbgBjAHQAaQBvAG4AKQAgADwAPgAgADEAMgA4ACwAXAAiACMARgBVAE4AQwBUAEkATwBOACEAXAAiACwAXABuAFwAbgBMAEUAVAAoAFwAbgAgACAAIAAgAC8ALwAgAEMAYQBuAG8AbgBpAGMAYQBsACAAZwByAG8AdQBwAGkAbgBnACAAawBlAHkAcwBcAG4AIAAgACAAIABhAGwAaQBnAG4AZQBkACwAIAAgACAAIAAgAEEAbABpAGcAbgC7AygAYQByAHIAYQB5ACkALABcAG4AXABuACAAIAAgACAALwAvACAAQQBnAGcAcgBlAGcAYQB0AGkAbwBuAFwAbgAgACAAIAAgAGEAZwBnACwAIAAgACAAIAAgACAAIAAgACAARwBSAE8AVQBQAEIAWQAoAGEAbABpAGcAbgBlAGQALAAgAHYAYQBsAHUAZQBzAF8AYQByAHIAYQB5ACwAIABmAHUAbgBjAHQAaQBvAG4ALAAgACwAIAAwACkALABcAG4AXABuACAAIAAgACAAYQBnAGcAXABuACkAKQApACkAKQA7AFwAbgBcAG4AXABuAFwAbgAvACoAIABbAEcAQQAxADkAXQAgAC0ALQAtAC0ALQAtAC0ALQAtAC0ALQAtAC0ALQAtAC0ALQAtAC0ALQAtAC0ALQAtAC0ALQAtAC0ALQAtAC0ALQAtAC0ALQAtAC0ALQAtAC0ALQAtAC0ALQAtAC0ALQAtAC0ALQAtAC0ALQAtAC0ALQAtAC0ALQAtAC0ALQAtAC0ALQAtAC0ALQAtAC0ALQAtAC0AXABuAEYAdQBuAGMAdABpAG8AbgA6ACAAIAAgACAAIABKAG8AaQBuADIARAC7A1wAbgBDAGEAdABlAGcAbwByAHkAOgAgACAAIAAgACAARwByAGkAZAAgAEEAbABnAGUAYgByAGEAIAAoAFMAdAByAHUAYwB0AHUAcgBhAGwAIABNAGEAcABwAGkAbgBnACkAXABuAEEAdQB0AGgAbwByADoAIAAgACAAIAAgACAAIABQAGEAdAByAGkAYwBrACAASAAuAFwAbgBWAGUAcgBzAGkAbwBuADoAIAAgACAAIAAgACAAMQAuADEAXABuAFwAbgBEAGUAcwBjAHIAaQBwAHQAaQBvAG4AOgBcAG4AIAAgACAAIABKAG8AaQBuAHMAIABhAGwAbAAgAG4AbwBuABEgZQBtAHAAdAB5ACAAdgBhAGwAdQBlAHMAIABhAGMAcgBvAHMAcwAgADIAIAB0AG8AIAA0ACAAaQBkAGUAbgB0AGkAYwBhAGwAbAB5ABEgcwBoAGEAcABlAGQAIAAyAEQAIABhAHIAcgBhAHkAcwAgAHUAcwBpAG4AZwBcAG4AIAAgACAAIABhACAAcwBwAGUAYwBpAGYAaQBlAGQAIABkAGUAbABpAG0AaQB0AGUAcgAuACAAVABoAGUAIABvAHUAdABwAHUAdAAgAHAAcgBlAHMAZQByAHYAZQBzACAAdABoAGUAIABzAGgAYQBwAGUAIABvAGYAIAB0AGgAZQAgAGkAbgBwAHUAdABzAC4AXABuAFwAbgAgACAAIAAgAEEAIABjAGUAbABsACAAaQBzACAAYwBvAG4AcwBpAGQAZQByAGUAZAAgABwgZQBtAHAAdAB5AB0gIABpAGYAIABpAHQAIABtAGEAdABjAGgAZQBzACAAQQBOAFkAIABvAGYAOgBcAG4AIAAgACAAIAAgACAAIAAgACIgIABMAEUATgAoAGMAZQBsAGwAKQAgAD0AIAAwAFwAbgAgACAAIAAgACAAIAAgACAAIiAgAGMAZQBsAGwAIAA9ACAARgBBAEwAUwBFAFwAbgAgACAAIAAgACAAIAAgACAAIiAgAGMAZQBsAGwAIAA9ACAAaQBnAG4AbwByAGUAIAAoAHUAcwBlAHIAESBzAHAAZQBjAGkAZgBpAGUAZAApAFwAbgBcAG4AIAAgACAAIABKAG8AaQBuADIARAC7AyAAaQBzACAAYQBuACAAYQBsAHQAZQByAG4AYQB0AGkAdgBlACAAdABvACAAbgBlAHMAdABlAGQAIABNAEEAUAAgAGwAbwBnAGkAYwAgAGYAbwByACAAZQBsAGUAbQBlAG4AdAARIHcAaQBzAGUAIABqAG8AaQBuAGkAbgBnAC4AXABuAFwAbgBQAGEAcgBhAG0AZQB0AGUAcgBzADoAXABuACAAIAAgACAAYQByAHIAYQB5AF8AMQAgACAAIAAgACAALQAgAFIAZQBxAHUAaQByAGUAZAAgADIARAAgAGEAcgByAGEAeQAuAFwAbgAgACAAIAAgAGEAcgByAGEAeQBfADIAIAAgACAAIAAgAC0AIABSAGUAcQB1AGkAcgBlAGQAIAAyAEQAIABhAHIAcgBhAHkALgBcAG4AIAAgACAAIABbAGEAcgByAGEAeQBfADMAXQAgACAAIAAtACAATwBwAHQAaQBvAG4AYQBsACAAMgBEACAAYQByAHIAYQB5AC4AXABuACAAIAAgACAAWwBhAHIAcgBhAHkAXwA0AF0AIAAgACAALQAgAE8AcAB0AGkAbwBuAGEAbAAgADIARAAgAGEAcgByAGEAeQAuAFwAbgAgACAAIAAgAFsAZABlAGwAaQBtAGkAdABlAHIAXQAgAC0AIABEAGUAbABpAG0AaQB0AGUAcgAgAGYAbwByACAAagBvAGkAbgBpAG4AZwAgACgAZABlAGYAYQB1AGwAdAAgAD0AIABcACIALAAgAFwAIgApAC4AXABuACAAIAAgACAAWwBpAGcAbgBvAHIAZQBdACAAIAAgACAALQAgAFYAYQBsAHUAZQAgAHQAcgBlAGEAdABlAGQAIABhAHMAIABlAG0AcAB0AHkAIAAoAGQAZQBmAGEAdQBsAHQAIAA9ACAAXAAiAFwAIgApAC4AXABuAFwAbgBOAG8AdABlAHMAOgBcAG4AIAAgACAAIAAiICAAQQBsAGwAIABzAHUAcABwAGwAaQBlAGQAIABhAHIAcgBhAHkAcwAgAG0AdQBzAHQAIABoAGEAdgBlACAAaQBkAGUAbgB0AGkAYwBhAGwAIABkAGkAbQBlAG4AcwBpAG8AbgBzAC4AXABuACAAIAAgACAAIiAgAEUAbQBwAHQAeQAgAGMAZQBsAGwAcwAgAGEAcgBlACAAcwBrAGkAcABwAGUAZAA7ACAAbgBvACAAdAByAGEAaQBsAGkAbgBnACAAZABlAGwAaQBtAGkAdABlAHIAIABpAHMAIABhAGQAZABlAGQALgBcAG4ALQAtAC0ALQAtAC0ALQAtAC0ALQAtAC0ALQAtAC0ALQAtAC0ALQAtAC0ALQAtAC0ALQAtAC0ALQAtAC0ALQAtAC0ALQAtAC0ALQAtAC0ALQAtAC0ALQAtAC0ALQAtAC0ALQAtAC0ALQAtAC0ALQAtAC0ALQAtAC0ALQAtAC0ALQAtAC0ALQAtAC0ALQAtAC0ALQAtAC0ALQAtAC0AKgAvAFwAbgBcAG4ASgBvAGkAbgAyAEQAuwMgAD0AXABuAEwAQQBNAEIARABBACgAXABuACAAIAAgACAAYQByAHIAYQB5AF8AMQAsAFwAbgAgACAAIAAgAGEAcgByAGEAeQBfADIALABcAG4AIAAgACAAIABbAGEAcgByAGEAeQBfADMAXQAsAFwAbgAgACAAIAAgAFsAYQByAHIAYQB5AF8ANABdACwAXABuACAAIAAgACAAWwBkAGUAbABpAG0AaQB0AGUAcgBdACwAXABuACAAIAAgACAAWwBpAGcAbgBvAHIAZQBdACwAXABuAEwARQBUACgAXABuACAAIAAgACAALwAvACAATwBwAHQAaQBvAG4AYQBsACAAYQByAHIAYQB5AHMAXABuACAAIAAgACAASQBuAGMAbAB1AGQAZQAzAD8ALAAgACAAIAAgACAAIAAgACAAIAAgAE4ATwBUACgASQBTAE8ATQBJAFQAVABFAEQAKABhAHIAcgBhAHkAXwAzACkAKQAsAFwAbgAgACAAIAAgAEkAbgBjAGwAdQBkAGUANAA/ACwAIAAgACAAIAAgACAAIAAgACAAIABOAE8AVAAoAEkAUwBPAE0ASQBUAFQARQBEACgAYQByAHIAYQB5AF8ANAApACkALABcAG4AIAAgACAAIABhAHIAcgBhAHkAXwAzACwAIAAgACAAIAAgACAAIAAgACAAIAAgACAASQBGACgASQBTAE8ATQBJAFQAVABFAEQAKABhAHIAcgBhAHkAXwAzACkALAAgAEYAQQBMAFMARQAsACAAYQByAHIAYQB5AF8AMwApACwAXABuACAAIAAgACAAYQByAHIAYQB5AF8ANAAsACAAIAAgACAAIAAgACAAIAAgACAAIAAgAEkARgAoAEkAUwBPAE0ASQBUAFQARQBEACgAYQByAHIAYQB5AF8ANAApACwAIABGAEEATABTAEUALAAgAGEAcgByAGEAeQBfADQAKQAsAFwAbgBcAG4AIAAgACAAIAAvAC8AIABEAGUAbABpAG0AaQB0AGUAcgAgACsAIABpAGcAbgBvAHIAZQBcAG4AIAAgACAAIABkAGUAbABpAG0AaQB0AGUAcgAsACAAIAAgACAAIAAgACAAIAAgACAASQBGACgASQBTAE8ATQBJAFQAVABFAEQAKABkAGUAbABpAG0AaQB0AGUAcgApACwAIABcACIALAAgAFwAIgAsACAAZABlAGwAaQBtAGkAdABlAHIAKQAsAFwAbgAgACAAIAAgAGkAZwBuAG8AcgBlACwAIAAgACAAIAAgACAAIAAgACAAIAAgACAAIABJAEYAKABJAFMATwBNAEkAVABUAEUARAAoAGkAZwBuAG8AcgBlACkALAAgAFwAIgBcACIALAAgAGkAZwBuAG8AcgBlACkALABcAG4AXABuACAAIAAgACAALwAvACAARABpAG0AZQBuAHMAaQBvAG4AcwBcAG4AIAAgACAAIABoACwAIAAgACAAIAAgACAAIAAgACAAIAAgACAAIAAgACAAIAAgACAAUgBPAFcAUwAoAGEAcgByAGEAeQBfADEAKQAsAFwAbgAgACAAIAAgAHcALAAgACAAIAAgACAAIAAgACAAIAAgACAAIAAgACAAIAAgACAAIABDAE8ATABVAE0ATgBTACgAYQByAHIAYQB5AF8AMQApACwAXABuAFwAbgAgACAAIAAgAGgAgiAsACAAIAAgACAAIAAgACAAIAAgACAAIAAgACAAIAAgACAAIABSAE8AVwBTACgAYQByAHIAYQB5AF8AMgApACwAXABuACAAIAAgACAAdwCCICwAIAAgACAAIAAgACAAIAAgACAAIAAgACAAIAAgACAAIAAgAEMATwBMAFUATQBOAFMAKABhAHIAcgBhAHkAXwAyACkALABcAG4AXABuACAAIAAgACAAaACDICwAIAAgACAAIAAgACAAIAAgACAAIAAgACAAIAAgACAAIAAgAFIATwBXAFMAKABhAHIAcgBhAHkAXwAzACkALABcAG4AIAAgACAAIAB3AIMgLAAgACAAIAAgACAAIAAgACAAIAAgACAAIAAgACAAIAAgACAAQwBPAEwAVQBNAE4AUwAoAGEAcgByAGEAeQBfADMAKQAsAFwAbgBcAG4AIAAgACAAIABoAIQgLAAgACAAIAAgACAAIAAgACAAIAAgACAAIAAgACAAIAAgACAAUgBPAFcAUwAoAGEAcgByAGEAeQBfADQAKQAsAFwAbgAgACAAIAAgAHcAhCAsACAAIAAgACAAIAAgACAAIAAgACAAIAAgACAAIAAgACAAIABDAE8ATABVAE0ATgBTACgAYQByAHIAYQB5AF8ANAApACwAXABuAFwAbgAgACAAIAAgAC8ALwAgAEQAaQBtAGUAbgBzAGkAbwBuACAAYwBoAGUAYwBrAHMAXABuACAAIAAgACAAUwBfADIALAAgACAAIAAgACAAIAAgACAAIAAgACAAIAAgACAAIAAgAE8AUgAoAGgAIAA8AD4AIABoAIIgLAAgAHcAIAA8AD4AIAB3AIIgKQAsAFwAbgAgACAAIAAgAFMAXwAzACwAIAAgACAAIAAgACAAIAAgACAAIAAgACAAIAAgACAAIABJAG4AYwBsAHUAZABlADMAPwAgACoAIABPAFIAKABoACAAPAA+ACAAaACDICwAIAB3ACAAPAA+ACAAdwCDICkALABcAG4AIAAgACAAIABTAF8ANAAsACAAIAAgACAAIAAgACAAIAAgACAAIAAgACAAIAAgACAASQBuAGMAbAB1AGQAZQA0AD8AIAAqACAATwBSACgAaAAgADwAPgAgAGgAhCAsACAAdwAgADwAPgAgAHcAhCApACwAXABuAFwAbgAgACAAIAAgAFMAaABhAHAAZQBNAGkAcwBtAGEAdABjAGgAPwAsACAAIAAgACAAIABPAFIAKABTAF8AMgAsACAAUwBfADMALAAgAFMAXwA0ACkALABcAG4AXABuACAAIAAgACAASQBGACgAUwBoAGEAcABlAE0AaQBzAG0AYQB0AGMAaAA/ACwAIABcACIAIwBEAEkATQBFAE4AUwBJAE8ATgBTACEAXAAiACwAXABuAFwAbgBMAEUAVAAoAFwAbgAgACAAIAAgAC8ALwAgAE8AYwBjAHUAcABhAG4AYwB5ACAAcAByAGUAZABpAGMAYQB0AGUAXABuACAAIAAgACAATwBjAGMAdQBwAGkAZQBkALsDLAAgACAATABBAE0AQgBEAEEAKABhACwAXABuACAAIAAgACAAIAAgACAAIAAgACAAIAAgACAAIAAgACAAIAAgACAAIAAgACAAKABhACAAPAA+ACAARgBBAEwAUwBFACkAIAAqACAAKABMAEUATgAoAGEAKQAgADwAPgAgADAAKQAgACoAIAAoAGEAIAA8AD4AIABpAGcAbgBvAHIAZ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SgBvAGkAbgAgAGkAbgAgAG8AcgBkAGUAcgAsACAAcwBrAGkAcABwAGkAbgBnACAAZQBtAHAAdABpAGUAcwBcAG4AIAAgACAAIABqAG8AaQBuAGUAZAAsACAAIAAgACAAIABJAEYAKABtAF8AMQAsACAAYQByAHIAYQB5AF8AMQAgACYAIABkAGUAbABpAG0AaQB0AGUAcgAsACAAXAAiAFwAIgApACAAJgBcAG4AXABuACAAIAAgACAAIAAgACAAIAAgACAAIAAgACAAIAAgACAAIAAgACAAIABJAEYAKABtAF8AMgAsACAAYQByAHIAYQB5AF8AMgAgACYAIABkAGUAbABpAG0AaQB0AGUAcgAsACAAXAAiAFwAIgApACAAJgBcAG4AXABuACAAIAAgACAAIAAgACAAIAAgACAAIAAgACAAIAAgACAAIAAgACAAIAAgACAAIAAgAEkARgAoAG0AXwAzACwAIABhAHIAcgBhAHkAXwAzACAAJgAgAGQAZQBsAGkAbQBpAHQAZQByACwAIABcACIAXAAiACkAIAAmAFwAbgBcAG4AIAAgACAAIAAgACAAIAAgACAAIAAgACAAIAAgACAAIAAgACAAIAAgACAAIAAgACAAIAAgACAAIABJAEYAKABtAF8ANAAsACAAYQByAHIAYQB5AF8ANAAgACYAIABkAGUAbABpAG0AaQB0AGUAcgAsACAAXAAiAFwAIgApACwAXABuAFwAbgAgACAAIAAgAGYAaQBuAGEAbAAsACAAIAAgACAAIAAgAFQARQBYAFQAQgBFAEYATwBSAEUAKABqAG8AaQBuAGUAZAAsAGQAZQBsAGkAbQBpAHQAZQByACwALQAxACwAMQAsACwAagBvAGkAbgBlAGQAKQAsAFwAbgBcAG4AIAAgACAAIABmAGkAbgBhAGwAXABuACkAKQApACkAOwBcAG4AXABuAFwAbgBcAG4ALwAqACAAWwBSAFAAXQAgAC0ALQAtAC0ALQAtAC0ALQAtAC0ALQAtAC0ALQAtAC0ALQAtAC0ALQAtAC0ALQAtAC0ALQAtAC0ALQAtAC0ALQAtAC0ALQAtAC0ALQAtAC0ALQAtAC0ALQAtAC0ALQAtAC0ALQAtAC0ALQAtAC0ALQAtAC0ALQAtAC0ALQAtAC0ALQAtAC0ALQAtAC0ALQAtAC0ALQAtAFwAbgAjACMAIAAwADUAIAAtACAAUgBlAHAAZQB0AGkAdABpAG8Abg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HMAZQBjAHQAaQBvAG4AIABjAG8AbgB0AGEAaQBuAHMAIABmAHUAbgBjAHQAaQBvAG4AcwAgAHQAaABhAHQAIAByAGUAcABsAGkAYwBhAHQAZQAgAGEAcgByAGEAeQBzACAAYQBsAG8AbgBnACAAcgBvAHcAcwAsACAAYwBvAGwAdQBtAG4AcwAsACAAbwByACAAYgBvAHQAaAAuAFwAbgBcAG4ARgB1AG4AYwB0AGkAbwBuAHMAOgBcAG4AIAAgACAAIAAiICAARQBjAGgAbwC7AyAAIAAgACAAIAAgACAAIAAgACAALQAgAFIAZQBwAGUAYQB0ACAAZQBhAGMAaAAgAGUAbABlAG0AZQBuAHQAIABpAG4AIABhACAAMQBEACAAYQByAHIAYQB5ACAAYgB5ACAAYwBvAHUAbgB0AC4AXABuACAAIAAgACAAIiAgAFIAZQBwAGUAYQB0AFIAbwB3AHMAuwMgACAAIAAgAC0AIABSAGUAcABlAGEAdAAgAGUAYQBjAGgAIAByAG8AdwAgAGIAeQAgAGEAIABjAG8AcgByAGUAcwBwAG8AbgBkAGkAbgBnACAAcgBlAHAAZQBhAHQAIABjAG8AdQBuAHQALgBcAG4AIAAgACAAIAAiICAAUgBlAHAAZQBhAHQAQwBvAGwAcwC7AyAAIAAgACAALQAgAFIAZQBwAGUAYQB0ACAAZQBhAGMAaAAgAGMAbwBsAHUAbQBuACAAYgB5ACAAYQAgAGMAbwByAHIAZQBzAHAAbwBuAGQAaQBuAGcAIAByAGUAcABlAGEAdAAgAGMAbwB1AG4AdAAuAFwAbgAgACAAIAAgACIgIABUAGUAcwBzAGUAbABsAGEAdABlALsDIAAgACAAIAAtACAAVABpAGwAZQAgAGEAIAAyAEQAIABhAHIAcgBhAHkAIABpAG4AIABtAG8AZAB1AGwAYQByACAAZgBhAHMAaABpAG8AbgAsACAAcwB1AHAAcABvAHIAdABpAG4AZwBcAG4AIAAgACAAIAAgACAAIAAgACAAIAAgACAAIAAgACAAIAAgACAAIAAgACAAIAAgACAAcABhAHIAdABpAGEAbAAgAHQAaQBsAGUAcwAgAHcAaABlAG4AIABvAHUAdABwAHUAdAAgAGQAaQBtAGUAbgBzAGkAbwBuAHMAIABkAG8AIABuAG8AdABcAG4AIAAgACAAIAAgACAAIAAgACAAIAAgACAAIAAgACAAIAAgACAAIAAgACAAIAAgACAAZABpAHYAaQBkAGUAIABlAHYAZQBuAGwAeQAuAFwAbgBcAG4AXABuAFwAbgBcACIAUAByAGUAcwBlAG4AdAAgAHMAdQBjAGMAZQBzAHMAIABpAHMAIABhAG4AIABlAGMAaABvACAAbwBmACAAYQAgAHAAYQBzAHQAIAB0AHIAaQB1AG0AcABoAC4AIABGAGEAaQBsAHUAcgBlACAAaQBzACAAcgBlAGQAdQBuAGQAYQBuAHQALgBcACIAIAAtACAAUgBlAHAAZQB0AHQAbwBcAG4AKgAvAFwAbgBcAG4AXABuAFwAbgAvACoAIABbAFIAUAAwADEAXQAgAC0ALQAtAC0ALQAtAC0ALQAtAC0ALQAtAC0ALQAtAC0ALQAtAC0ALQAtAC0ALQAtAC0ALQAtAC0ALQAtAC0ALQAtAC0ALQAtAC0ALQAtAC0ALQAtAC0ALQAtAC0ALQAtAC0ALQAtAC0ALQAtAC0ALQAtAC0ALQAtAC0ALQAtAC0ALQAtAC0ALQAtAC0ALQAtAC0AXABuAEYAdQBuAGMAdABpAG8AbgA6ACAAIAAgACAAIABFAGMAaABvALsDXABuAEMAYQB0AGUAZwBvAHIAeQA6ACAAIAAgACAAIABSAGUAcABlAHQAaQB0AGkAbwBuAFwAbgBBAHUAdABoAG8AcgA6ACAAIAAgACAAIAAgACAAUABhAHQAcgBpAGMAawAgAEgALgBcAG4AVgBlAHIAcwBpAG8AbgA6ACAAIAAgACAAIAAgADEALgAxAFwAbgBcAG4ARABlAHMAYwByAGkAcAB0AGkAbwBuADoAXABuACAAIAAgACAAUgBlAHAAZQBhAHQAcwAgAGUAYQBjAGgAIABlAGwAZQBtAGUAbgB0ACAAaQBuACAAYQAgAHMAdQBwAHAAbABpAGUAZAAgADEARAAgAGEAcgByAGEAeQAgAGEAYwBjAG8AcgBkAGkAbgBnACAAdABvACAAYQAgAHYAZQBjAHQAbwByACAAbwBmAFwAbgAgACAAIAAgAHIAZQBwAGUAYQB0ACAAYwBvAHUAbgB0AHMALgAgAFMAYwBhAGwAYQByAHMAIABhAG4AZAAgAGEAcgByAGEAeQBzACAAYQByAGUAIABzAHUAcABwAG8AcgB0AGUAZAAuACAAUgBlAHAAZQBhAHQAIABjAG8AdQBuAHQAcwAgAG0AdQBzAHQAIABiAGUAXABuACAAIAAgACAAbgB1AG0AZQByAGkAYwAgAGEAbgBkACAAZSIgADEALgBcAG4AXABuAFAAYQByAGEAbQBlAHQAZQByAHMAOgBcAG4AIAAgACAAIAB2AGUAYwB0AG8AcgAgACAAIAAtACAAMQBEACAAYQByAHIAYQB5ACAAbwByACAAcwBjAGEAbABhAHIAIAB0AG8AIABiAGUAIABlAGMAaABvAGUAZAAuAFwAbgAgACAAIAAgAHIAZQBwAGUAYQB0ACAAIAAgAC0AIAAxAEQAIABhAHIAcgBhAHkAIABvAGYAIAByAGUAcABlAGEAdAAgAGMAbwB1AG4AdABzACAAKABuAHUAbQBlAHIAaQBjACwAIABlIiAAMQApAC4AXABuAFwAbgBOAG8AdABlAHMAOgBcAG4AIAAgACAAIAAiICAAUwBjAGEAbABhAHIAcwAgAGEAcgBlACAAdAByAGUAYQB0AGUAZAAgAGEAcwAgADEA1wAxACAAYQByAHIAYQB5AHMALgBcAG4AIAAgACAAIAAiICAASQBmACAAcgBlAHAAZQBhAHQAIABoAGEAcwAgAGEAIABkAGkAZgBmAGUAcgBlAG4AdAAgAGwAZQBuAGcAdABoACAAdABoAGEAbgAgAHYAZQBjAHQAbwByACwAIAB0AGgAZQAgAGwAYQBzAHQAIAByAGUAcABlAGEAdAAgAHYAYQBsAHUAZQBcAG4AIAAgACAAIAAgACAAaQBzACAAZQB4AHQAZQBuAGQAZQBkACAAdABvACAAbQBhAHQAYwBoACAAdABoAGUAIAB2AGUAYwB0AG8AcgAgAGwAZQBuAGcAdABoAC4AXABuACAAIAAgACAAIiAgAE8AdQB0AHAAdQB0ACAAaQBzACAAYQBsAHcAYQB5AHMAIABhACAAdgBlAHIAdABpAGMAYQBsACAAYQByAHIAYQB5AC4AXABuAC0ALQAtAC0ALQAtAC0ALQAtAC0ALQAtAC0ALQAtAC0ALQAtAC0ALQAtAC0ALQAtAC0ALQAtAC0ALQAtAC0ALQAtAC0ALQAtAC0ALQAtAC0ALQAtAC0ALQAtAC0ALQAtAC0ALQAtAC0ALQAtAC0ALQAtAC0ALQAtAC0ALQAtAC0ALQAtAC0ALQAtAC0ALQAtAC0ALQAtAC0ALQAtACoALwBcAG4AXABuAEUAYwBoAG8AuwMgAD0AXABuAEwAQQBNAEIARABBACgAXABuACAAIAAgACAAdgBlAGMAdABvAHIALABcAG4AIAAgACAAIAByAGUAcABlAGEAdAAsAFwAbgBcAG4ASQBGACgATwBSACgASQBTAFQARQBYAFQAKAByAGUAcABlAGEAdAApACwAIAByAGUAcABlAGEAdAAgADwAPQAgADAAKQAsAFwAIgAjAFYAQQBMAFUARQAhAFwAIgAsAFwAbgBcAG4ATABFAFQAKABcAG4AIAAgACAAIAAvAC8AIABOAG8AcgBtAGEAbABpAHoAZQAgAGkAbgBwAHUAdABzAFwAbgAgACAAIAAgAHYAZQBjAHQAbwByACwAIAAgACAAIAAgACAAIAAgACAAVABPAEMATwBMACgAdgBlAGMAdABvAHIAKQAsAFwAbgAgACAAIAAgAHIAZQBwAGUAYQB0ACwAIAAgACAAIAAgACAAIAAgACAAVABPAEMATwBMACgAcgBlAHAAZQBhAHQAKQAsAFwAbgBcAG4AIAAgACAAIAAvAC8AIABEAGkAbQBlAG4AcwBpAG8AbgBzAFwAbgAgACAAIAAgAFYAaAAsACAAIAAgACAAIAAgACAAIAAgACAAIAAgACAAUgBPAFcAUwAoAHYAZQBjAHQAbwByACkALABcAG4AIAAgACAAIABSAGgALAAgACAAIAAgACAAIAAgACAAIAAgACAAIAAgAFIATwBXAFMAKAByAGUAcABlAGEAdAApACwAXABuAFwAbgAgACAAIAAgAC8ALwAgAFIAZQBwAGUAYQB0ACAAdgBlAGMAdABvAHIAIAAoAGUAeAB0AGUAbgBkACAAbABhAHMAdAAgAHYAYQBsAHUAZQAgAGkAZgAgAG4AZQBlAGQAZQBkACkAXABuACAAIAAgACAAcgAsACAAIAAgACAAIAAgACAAIAAgACAAIAAgACAAIABJAEYAKABWAGgAIAA8AD4AIABSAGgALABcAG4AIAAgACAAIAAgACAAIAAgACAAIAAgACAAIAAgACAAIAAgACAAIAAgACAAIAAgACAARQBYAFAAQQBOAEQAKAByAGUAcABlAGEAdAAsACAAVgBoACwAIAAsACAAQABUAEEASwBFACgAcgBlAHAAZQBhAHQALAAgAC0AMQApACkALABcAG4AIAAgACAAIAAgACAAIAAgACAAIAAgACAAIAAgACAAIAAgACAAIAAgACAAIAAgACAAcgBlAHAAZQBhAHQAKQAsAFwAbgBcAG4AIAAgACAAIAAvAC8AIABCAGEAcwBlACAAaQBuAGQAZQB4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sACAAKQApACAAPQAgADEALABpACwATgBBACgAKQApACwAMgApACkALABcAG4AXABuACAAIAAgACAAZABlAGwAaQB2AGUAcgAsACAAIAAgACAAIAAgACAAIABJAE4ARABFAFgAKAB2AGUAYwB0AG8AcgAsACAAaQBkAHgAKAApACkALABcAG4AXABuACAAIAAgACAAZABlAGwAaQB2AGUAcgBcAG4AKQApACkAOwBcAG4AXABuAFwAbgBcAG4ALwAqACAAWwBSAFAAMAAyAF0AIAAtAC0ALQAtAC0ALQAtAC0ALQAtAC0ALQAtAC0ALQAtAC0ALQAtAC0ALQAtAC0ALQAtAC0ALQAtAC0ALQAtAC0ALQAtAC0ALQAtAC0ALQAtAC0ALQAtAC0ALQAtAC0ALQAtAC0ALQAtAC0ALQAtAC0ALQAtAC0ALQAtAC0ALQAtAC0ALQAtAC0ALQAtAC0ALQAtAFwAbgBGAHUAbgBjAHQAaQBvAG4AOgAgACAAIAAgACAAUgBlAHAAZQBhAHQAUgBvAHcAcwC7A1wAbgBDAGEAdABlAGcAbwByAHkAOgAgACAAIAAgACAAUgBlAHAAZQB0AGkAdABpAG8AbgBcAG4AQQB1AHQAaABvAHIAOgAgACAAIAAgACAAIAAgAFAAYQB0AHIAaQBjAGsAIABIAC4AXABuAFYAZQByAHMAaQBvAG4AOgAgACAAIAAgACAAIAAxAC4AMQBcAG4AXABuAEQAZQBzAGMAcgBpAHAAdABpAG8AbgA6AFwAbgAgACAAIAAgAFIAZQBwAGUAYQB0AHMAIABlAGEAYwBoACAAcgBvAHcAIABvAGYAIABhACAAcwB1AHAAcABsAGkAZQBkACAAYQByAHIAYQB5ACAAYQBjAGMAbwByAGQAaQBuAGcAIAB0AG8AIABhACAAdgBlAGMAdABvAHIAIABvAGYAIAByAGUAcABlAGEAdABcAG4AIAAgACAAIABjAG8AdQBuAHQAcwAuACAAUwBjAGEAbABhAHIAcwAgAGEAbgBkACAAYQByAHIAYQB5AHMAIABhAHIAZQAgAHMAdQBwAHAAbwByAHQAZQBkAC4AIABSAGUAcABlAGEAdAAgAGMAbwB1AG4AdABzACAAbQB1AHMAdAAgAGIAZQAgAG4AdQBtAGUAcgBpAGMAXABuACAAIAAgACAAYQBuAGQAIABlIiAAMQAuAFwAbgBcAG4AUABhAHIAYQBtAGUAdABlAHIAcwA6AFwAbgAgACAAIAAgAGEAcgByAGEAeQAgACAAIAAgAC0AIAAyAEQAIABhAHIAcgBhAHkAIAB3AGgAbwBzAGUAIAByAG8AdwBzACAAdwBpAGwAbAAgAGIAZQAgAHIAZQBwAGUAYQB0AGUAZAAuAFwAbgAgACAAIAAgAHIAZQBwAGUAYQB0ACAAIAAgAC0AIAAxAEQAIABhAHIAcgBhAHkAIABvAGYAIAByAGUAcABlAGEAdAAgAGMAbwB1AG4AdABzACAAKABuAHUAbQBlAHIAaQBjACwAIABlIiAAMQApAC4AXABuAFwAbgBOAG8AdABlAHMAOgBcAG4AIAAgACAAIAAiICAASQBmACAAcgBlAHAAZQBhAHQAIABoAGEAcwAgAGYAZQB3AGUAcgAgAGUAbgB0AHIAaQBlAHMAIAB0AGgAYQBuACAAdABoAGUAIABuAHUAbQBiAGUAcgAgAG8AZgAgAHIAbwB3AHMALAAgAHQAaABlACAAbABhAHMAdAAgAHIAZQBwAGUAYQB0AFwAbgAgACAAIAAgACAAIAB2AGEAbAB1AGUAIABpAHMAIABlAHgAdABlAG4AZABlAGQAIAB0AG8AIABtAGEAdABjAGgAIAB0AGgAZQAgAGEAcgByAGEAeQAgAGgAZQBpAGcAaAB0AC4AXABuACAAIAAgACAAIiAgAE8AdQB0AHAAdQB0ACAAcAByAGUAcwBlAHIAdgBlAHMAIAB0AGgAZQAgAGMAbwBsAHUAbQBuACAAcwB0AHIAdQBjAHQAdQByAGUAIABvAGYAIAB0AGgAZQAgAGkAbgBwAHUAdAAgAGEAcgByAGEAeQAuAFwAbgAtAC0ALQAtAC0ALQAtAC0ALQAtAC0ALQAtAC0ALQAtAC0ALQAtAC0ALQAtAC0ALQAtAC0ALQAtAC0ALQAtAC0ALQAtAC0ALQAtAC0ALQAtAC0ALQAtAC0ALQAtAC0ALQAtAC0ALQAtAC0ALQAtAC0ALQAtAC0ALQAtAC0ALQAtAC0ALQAtAC0ALQAtAC0ALQAtAC0ALQAtAC0ALQAqAC8AXABuAFwAbgBSAGUAcABlAGEAdABSAG8AdwBzALsDIAA9AFwAbgBMAEEATQBCAEQAQQAoAFwAbgAgACAAIAAgAGEAcgByAGEAeQAsAFwAbgAgACAAIAAgAHIAZQBwAGUAYQB0ACwAXABuAFwAbgBJAEYAKABPAFIAKABJAFMAVABFAFgAVAAoAHIAZQBwAGUAYQB0ACkALAAgAHIAZQBwAGUAYQB0ACAAPAA9ACAAMAApACwAXAAiACMAVgBBAEwAVQBFACEAXAAiACwAXABuAFwAbgBMAEUAVAAoAFwAbgAgACAAIAAgAC8ALwAgAE4AbwByAG0AYQBsAGkAegBlACAAcgBlAHAAZQBhAHQAIAB2AGUAYwB0AG8AcgBcAG4AIAAgACAAIAByAGUAcABlAGEAdAAsACAAIAAgACAAIAAgACAAIAAgAFQATwBDAE8ATAAoAHIAZQBwAGUAYQB0ACkALABcAG4AXABuACAAIAAgACAALwAvACAARABpAG0AZQBuAHMAaQBvAG4AcwBcAG4AIAAgACAAIABBAGgALAAgACAAIAAgACAAIAAgACAAIAAgACAAIAAgAFIATwBXAFMAKABhAHIAcgBhAHkAKQAsAFwAbgAgACAAIAAgAFIAaAAsACAAIAAgACAAIAAgACAAIAAgACAAIAAgACAAUgBPAFcAUwAoAHIAZQBwAGUAYQB0ACkALABcAG4AXABuACAAIAAgACAALwAvACAARQB4AHQAZQBuAGQAIAByAGUAcABlAGEAdAAgAHYAZQBjAHQAbwByACAAaQBmACAAbgBlAGUAZABlAGQAXABuACAAIAAgACAAcgAsACAAIAAgACAAIAAgACAAIAAgACAAIAAgACAAIABJAEYAKABBAGgAIAA8AD4AIABSAGgALABcAG4AIAAgACAAIAAgACAAIAAgACAAIAAgACAAIAAgACAAIAAgACAAIAAgACAAIAAgACAARQBYAFAAQQBOAEQAKAByAGUAcABlAGEAdAAsACAAQQBoACwAIAAsACAAQABUAEEASwBFACgAcgBlAHAAZQBhAHQALAAgAC0AMQApACkALABcAG4AIAAgACAAIAAgACAAIAAgACAAIAAgACAAIAAgACAAIAAgACAAIAAgACAAIAAgACAAcgBlAHAAZQBhAHQAKQAsAFwAbgBcAG4AIAAgACAAIAAvAC8AIABCAGEAcwBlACAAcgBvAHcAIABpAG4AZABpAGMAZQBz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pACkAIAA9ACAAMQAsAGkALABOAEEAKAApACkALAAyACkAKQAsAFwAbgBcAG4AIAAgACAAIABkAGUAbABpAHYAZQByACwAIAAgACAAIAAgACAAIAAgAEMASABPAE8AUwBFAFIATwBXAFMAKABhAHIAcgBhAHkALAAgAGkAZAB4ACgAKQApACwAXABuAFwAbgAgACAAIAAgAGQAZQBsAGkAdgBlAHIAXABuACkAKQApADsAXABuAFwAbgBcAG4AXABuAC8AKgAgAFsAUgBQADAAMwBdACAALQAtAC0ALQAtAC0ALQAtAC0ALQAtAC0ALQAtAC0ALQAtAC0ALQAtAC0ALQAtAC0ALQAtAC0ALQAtAC0ALQAtAC0ALQAtAC0ALQAtAC0ALQAtAC0ALQAtAC0ALQAtAC0ALQAtAC0ALQAtAC0ALQAtAC0ALQAtAC0ALQAtAC0ALQAtAC0ALQAtAC0ALQAtAC0ALQBcAG4ARgB1AG4AYwB0AGkAbwBuADoAIAAgACAAIAAgAFIAZQBwAGUAYQB0AEMAbwBsAHMAuwNcAG4AQwBhAHQAZQBnAG8AcgB5ADoAIAAgACAAIAAgAFIAZQBwAGUAdABpAHQAaQBvAG4AXABuAEEAdQB0AGgAbwByADoAIAAgACAAIAAgACAAIABQAGEAdAByAGkAYwBrACAASAAuAFwAbgBWAGUAcgBzAGkAbwBuADoAIAAgACAAIAAgACAAMQAuADEAXABuAFwAbgBEAGUAcwBjAHIAaQBwAHQAaQBvAG4AOgBcAG4AIAAgACAAIABSAGUAcABlAGEAdABzACAAZQBhAGMAaAAgAGMAbwBsAHUAbQBuACAAbwBmACAAYQAgAHMAdQBwAHAAbABpAGUAZAAgAGEAcgByAGEAeQAgAGEAYwBjAG8AcgBkAGkAbgBnACAAdABvACAAYQAgAHYAZQBjAHQAbwByACAAbwBmACAAcgBlAHAAZQBhAHQAXABuACAAIAAgACAAYwBvAHUAbgB0AHMALgAgAFMAYwBhAGwAYQByAHMAIABhAG4AZAAgAGEAcgByAGEAeQBzACAAYQByAGUAIABzAHUAcABwAG8AcgB0AGUAZAAuACAAUgBlAHAAZQBhAHQAIABjAG8AdQBuAHQAcwAgAG0AdQBzAHQAIABiAGUAIABuAHUAbQBlAHIAaQBjAFwAbgAgACAAIAAgAGEAbgBkACAAZSIgADEALgBcAG4AXABuAFAAYQByAGEAbQBlAHQAZQByAHMAOgBcAG4AIAAgACAAIABhAHIAcgBhAHkAIAAgACAAIAAtACAAMgBEACAAYQByAHIAYQB5ACAAdwBoAG8AcwBlACAAYwBvAGwAdQBtAG4AcwAgAHcAaQBsAGwAIABiAGUAIAByAGUAcABlAGEAdABlAGQALgBcAG4AIAAgACAAIAByAGUAcABlAGEAdAAgACAAIAAtACAAMQBEACAAYQByAHIAYQB5ACAAbwBmACAAcgBlAHAAZQBhAHQAIABjAG8AdQBuAHQAcwAgACgAbgB1AG0AZQByAGkAYwAsACAAZSIgADEAKQAuAFwAbgBcAG4ATgBvAHQAZQBzADoAXABuACAAIAAgACAAIiAgAEkAZgAgAHIAZQBwAGUAYQB0ACAAaABhAHMAIABmAGUAdwBlAHIAIABlAG4AdAByAGkAZQBzACAAdABoAGEAbgAgAHQAaABlACAAbgB1AG0AYgBlAHIAIABvAGYAIABjAG8AbAB1AG0AbgBzACwAIAB0AGgAZQAgAGwAYQBzAHQAIAByAGUAcABlAGEAdABcAG4AIAAgACAAIAAgACAAdgBhAGwAdQBlACAAaQBzACAAZQB4AHQAZQBuAGQAZQBkACAAdABvACAAbQBhAHQAYwBoACAAdABoAGUAIABhAHIAcgBhAHkAIAB3AGkAZAB0AGgALgBcAG4AIAAgACAAIAAiICAATwB1AHQAcAB1AHQAIABwAHIAZQBzAGUAcgB2AGUAcwAgAHQAaABlACAAcgBvAHcAIABzAHQAcgB1AGMAdAB1AHIAZQAgAG8AZgAgAHQAaABlACAAaQBuAHAAdQB0ACAAYQByAHIAYQB5AC4AXABuAC0ALQAtAC0ALQAtAC0ALQAtAC0ALQAtAC0ALQAtAC0ALQAtAC0ALQAtAC0ALQAtAC0ALQAtAC0ALQAtAC0ALQAtAC0ALQAtAC0ALQAtAC0ALQAtAC0ALQAtAC0ALQAtAC0ALQAtAC0ALQAtAC0ALQAtAC0ALQAtAC0ALQAtAC0ALQAtAC0ALQAtAC0ALQAtAC0ALQAtAC0ALQAtACoALwBcAG4AXABuAFIAZQBwAGUAYQB0AEMAbwBsAHMAuwMgAD0AXABuAEwAQQBNAEIARABBACgAXABuACAAIAAgACAAYQByAHIAYQB5ACwAXABuACAAIAAgACAAcgBlAHAAZQBhAHQALABcAG4AXABuAEkARgAoAE8AUgAoAEkAUwBUAEUAWABUACgAcgBlAHAAZQBhAHQAKQAsACAAcgBlAHAAZQBhAHQAIAA8AD0AIAAwACkALABcACIAIwBWAEEATABVAEUAIQBcACIALABcAG4AXABuAEwARQBUACgAXABuACAAIAAgACAALwAvACAATgBvAHIAbQBhAGwAaQB6AGUAIAByAGUAcABlAGEAdAAgAHYAZQBjAHQAbwByAFwAbgAgACAAIAAgAHIAZQBwAGUAYQB0ACwAIAAgACAAIAAgACAAIAAgACAAVABPAEMATwBMACgAcgBlAHAAZQBhAHQAKQAsAFwAbgBcAG4AIAAgACAAIAAvAC8AIABEAGkAbQBlAG4AcwBpAG8AbgBzAFwAbgAgACAAIAAgAEEAdwAsACAAIAAgACAAIAAgACAAIAAgACAAIAAgACAAQwBPAEwAVQBNAE4AUwAoAGEAcgByAGEAeQApACwAXABuACAAIAAgACAAUgBoACwAIAAgACAAIAAgACAAIAAgACAAIAAgACAAIABSAE8AVwBTACgAcgBlAHAAZQBhAHQAKQAsAFwAbgBcAG4AIAAgACAAIAAvAC8AIABFAHgAdABlAG4AZAAgAHIAZQBwAGUAYQB0ACAAdgBlAGMAdABvAHIAIABpAGYAIABuAGUAZQBkAGUAZABcAG4AIAAgACAAIABjACwAIAAgACAAIAAgACAAIAAgACAAIAAgACAAIAAgAEkARgAoAEEAdwAgADwAPgAgAFIAaAAsAFwAbgAgACAAIAAgACAAIAAgACAAIAAgACAAIAAgACAAIAAgACAAIAAgACAAIAAgACAAIABFAFgAUABBAE4ARAAoAHIAZQBwAGUAYQB0ACwAIABBAHcALAAgACwAIABAAFQAQQBLAEUAKAByAGUAcABlAGEAdAAsACAALQAxACkAKQAsAFwAbgAgACAAIAAgACAAIAAgACAAIAAgACAAIAAgACAAIAAgACAAIAAgACAAIAAgACAAIAByAGUAcABlAGEAdAApACwAXABuAFwAbgAgACAAIAAgAC8ALwAgAEIAYQBzAGUAIABjAG8AbAB1AG0AbgAgAGkAbgBkAGkAYwBlAHMAXABuACAAIAAgACAAaQAsACAAIAAgACAAIAAgACAAIAAgACAAIAAgACAAIABTAEUAUQBVAEUATgBDAEUAKABSAE8AVwBTACgAYwApACkALABcAG4AXABuACAAIAAgACAALwAvACAATQBhAHgAaQBtAHUAbQAgAHIAZQBwAGUAYQB0ACAAYwBvAHUAbgB0AFwAbgAgACAAIAAgAG0ALAAgACAAIAAgACAAIAAgACAAIAAgACAAIAAgACAATQBBAFgAKABjACkALABcAG4AXABuACAAIAAgACAALwAvACAAQgB1AGkAbABkACAAaQBuAGQAZQB4ACAAdgBlAGMAdABvAHIAXABuACAAIAAgACAAaQBkAHgALAAgACAAIAAgACAAIAAgACAAIAAgACAAIABMAEEATQBCAEQAQQAoAFQATwBDAE8ATAAoAEkARgAoAFMASQBHAE4AKABjACAALQAgAFMARQBRAFUARQBOAEMARQAoACwAIABtACwAIAAwACkAKQAgAD0AIAAxACwAaQAsAE4AQQAoACkAKQAsADIAKQApACwAXABuAFwAbgAgACAAIAAgAGQAZQBsAGkAdgBlAHIALAAgACAAIAAgACAAIAAgACAAQwBIAE8ATwBTAEUAQwBPAEwAUwAoAGEAcgByAGEAeQAsACAAaQBkAHgAKAApACkALABcAG4AXABuACAAIAAgACAAZABlAGwAaQB2AGUAcgBcAG4AKQApACkAOwBcAG4AXABuAFwAbgBcAG4ALwAqACAAWwBSAFAAMAA0AF0AIAAtAC0ALQAtAC0ALQAtAC0ALQAtAC0ALQAtAC0ALQAtAC0ALQAtAC0ALQAtAC0ALQAtAC0ALQAtAC0ALQAtAC0ALQAtAC0ALQAtAC0ALQAtAC0ALQAtAC0ALQAtAC0ALQAtAC0ALQAtAC0ALQAtAC0ALQAtAC0ALQAtAC0ALQAtAC0ALQAtAC0ALQAtAC0ALQAtAFwAbgBGAHUAbgBjAHQAaQBvAG4AOgAgACAAIAAgACAAVABlAHMAcwBlAGwAbABhAHQAZQC7A1wAbgBDAGEAdABlAGcAbwByAHkAOgAgACAAIAAgACAAUgBlAHAAZQB0AGkAdABpAG8AbgBcAG4AQQB1AHQAaABvAHIAOgAgACAAIAAgACAAIAAgAFAAYQB0AHIAaQBjAGsAIABIAC4AXABuAFYAZQByAHMAaQBvAG4AOgAgACAAIAAgACAAIAAxAC4AMQBcAG4ARABlAHAAZQBuAGQAZQBuAGMAaQBlAHMAOgAgAFQARwByAGkAZAC7A1wAbgBcAG4ARABlAHMAYwByAGkAcAB0AGkAbwBuADoAXABuACAAIAAgACAARwBlAG4AZQByAGEAdABlAHMAIABhACAAbQBvAGQAdQBsAGEAcgAgAHQAZQBzAHMAZQBsAGwAYQB0AGkAbwBuACAAbwBmACAAYQAgADIARAAgAHAAYQB0AHQAZQByAG4AIABkAGUAZgBpAG4AZQBkACAAYgB5ACAAbgBlAHcAXwBoAGUAaQBnAGgAdAAgANcAIABuAGUAdwBfAHcAaQBkAHQAaAAuAFwAbgAgACAAIAAgAFQAaABlACAAcABhAHQAdABlAHIAbgAgAGkAcwAgAHIAZQBwAGUAYQB0AGUAZAAgAHUAcwBpAG4AZwAgAG0AbwBkAHUAbABhAHIAIAByAG8AdwAgAGEAbgBkACAAYwBvAGwAdQBtAG4AIABjAHkAYwBsAGUAcwAgAGQAZQByAGkAdgBlAGQAIABmAHIAbwBtACAAdABoAGUAXABuACAAIAAgACAAcABhAHQAdABlAHIAbgAZIHMAIABvAHcAbgAgAGQAaQBtAGUAbgBzAGkAbwBuAHMALgBcAG4AXABuAFAAYQByAGEAbQBlAHQAZQByAHMAOgBcAG4AIAAgACAAIABwAGEAdAB0AGUAcgBuACAAIAAgACAAIAAgACAALQAgADIARAAgAGEAcgByAGEAeQAgACgAMQBEACAAYQByAHIAYQB5AHMAIABhAGMAYwBlAHAAdABlAGQALAAgAHMAYwBhAGwAYQByAHMAIABhAHIAZQAgAGYAbwByAGIAaQBkAGQAZQBuACkALgBcAG4AIAAgACAAIABuAGUAdwBfAGgAZQBpAGcAaAB0ACAAIAAgACAALQAgAE4AdQBtAGIAZQByACAAbwBmACAAcgBvAHcAcwAgAGkAbgAgAHQAaABlACAAbwB1AHQAcAB1AHQAIAB0AGUAcwBzAGUAbABsAGEAdABpAG8AbgAuAFwAbgAgACAAIAAgAG4AZQB3AF8AdwBpAGQAdABoACAAIAAgACAAIAAtACAATgB1AG0AYgBlAHIAIABvAGYAIABjAG8AbAB1AG0AbgBzACAAaQBuACAAdABoAGUAIABvAHUAdABwAHUAdAAgAHQAZQBzAHMAZQBsAGwAYQB0AGkAbwBuAC4AXABuAFwAbgBOAG8AdABlAHMAOgBcAG4AIAAgACAAIAAiICAAUABlAHIAZgBvAHIAbQBzACAAbQBvAGQAdQBsAGEAcgAgAHIAZQBwAGUAdABpAHQAaQBvAG4AIAB1AHMAaQBuAGcAIABUAEcAcgBpAGQAuwMgAGYAbwByACAAcgBvAHcALwBjAG8AbAB1AG0AbgAgAGMAeQBjAGwAaQBuAGcALgBcAG4AIAAgACAAIAAiICAAUwB1AHAAcABvAHIAdABzACAAcABhAHIAdABpAGEAbAAgAHQAaQBsAGUAcwAgAHcAaABlAG4AIABuAGUAdwAgAGQAaQBtAGUAbgBzAGkAbwBuAHMAIABhAHIAZQAgAG4AbwB0ACAAbQB1AGwAdABpAHAAbABlAHMAIABvAGYAXABuACAAIAAgACAAIAAgAHQAaABlACAAcABhAHQAdABlAHIAbgAgAHMAaQB6AGUALgBcAG4AIAAgACAAIAAiICAAUgBlAGoAZQBjAHQAcwAgAHMAYwBhAGwAYQByACAAaQBuAHAAdQB0AHMALgBcAG4ALQAtAC0ALQAtAC0ALQAtAC0ALQAtAC0ALQAtAC0ALQAtAC0ALQAtAC0ALQAtAC0ALQAtAC0ALQAtAC0ALQAtAC0ALQAtAC0ALQAtAC0ALQAtAC0ALQAtAC0ALQAtAC0ALQAtAC0ALQAtAC0ALQAtAC0ALQAtAC0ALQAtAC0ALQAtAC0ALQAtAC0ALQAtAC0ALQAtAC0ALQAtAC0AKgAvAFwAbgBcAG4AVABlAHMAcwBlAGwAbABhAHQAZQC7AyAAPQBcAG4ATABBAE0AQgBEAEEAKABcAG4AIAAgACAAIABwAGEAdAB0AGUAcgBuACwAXABuACAAIAAgACAAbgBlAHcAXwBoAGUAaQBnAGgAdAAsAFwAbgAgACAAIAAgAG4AZQB3AF8AdwBpAGQAdABoACwAXABuAEwARQBUACgAXABuACAAIAAgACAALwAvACAAUABhAHQAdABlAHIAbgAgAGQAaQBtAGUAbgBzAGkAbwBuAHMAXABuACAAIAAgACAAaAAsACAAIAAgACAAIAAgACAAIAAgACAAIAAgACAAIABSAE8AVwBTACgAcABhAHQAdABlAHIAbgApACwAXABuACAAIAAgACAAdwAsACAAIAAgACAAIAAgACAAIAAgACAAIAAgACAAIABDAE8ATABVAE0ATgBTACgAcABhAHQAdABlAHIAbgApACwAXABuAFwAbgAgACAAIAAgAC8ALwAgAFMAYwBhAGwAYQByACAAZABlAHQAZQBjAHQAaQBvAG4AXABuACAAIAAgACAASQBzAFMAYwBhAGwAYQByAD8ALAAgACAAIAAgACAAIABBAE4ARAAoAGgAIAA9ACAAMQAsACAAdwAgAD0AIAAxACkALABcAG4AXABuACAAIAAgACAALwAvACAATgBvAHIAbQBhAGwAaQB6AGUAIABuAGUAdwAgAGQAaQBtAGUAbgBzAGkAbwBuAHMAXABuACAAIAAgACAAbgBlAHcAXwBoAGUAaQBnAGgAdAAsACAAIAAgACAAIABJAE4ARABFAFgAKABuAGUAdwBfAGgAZQBpAGcAaAB0ACwAIAAxACwAIAAxACkALABcAG4AIAAgACAAIABuAGUAdwBfAHcAaQBkAHQAaAAsACAAIAAgACAAIAAgAEkATgBEAEUAWAAoAG4AZQB3AF8AdwBpAGQAdABoACwAIAAxACwAIAAxACkALABcAG4AXABuACAAIAAgACAALwAvACAAUwBjAGUAbgBhAHIAaQBvAHMAXABuACAAIAAgACAATgBvAEMAaABhAG4AZwBlAD8ALAAgACAAIAAgACAAIABBAE4ARAAoAGgAIAA9ACAAbgBlAHcAXwBoAGUAaQBnAGgAdAAsACAAdwAgAD0AIABuAGUAdwBfAHcAaQBkAHQAaAApACwAXABuAFwAbgAgACAAIAAgAEkAbgB2AGEAbABpAGQASABXAD8ALAAgACAAIAAgACAATwBSACgAbgBlAHcAXwBoAGUAaQBnAGgAdAAgADwAPQAgADAALABcAG4AIAAgACAAIAAgACAAIAAgACAAIAAgACAAIAAgACAAIAAgACAAIAAgACAAIAAgAG4AZQB3AF8AdwBpAGQAdABoACAAIAA8AD0AIAAwACwAXABuACAAIAAgACAAIAAgACAAIAAgACAAIAAgACAAIAAgACAAIAAgACAAIAAgACAAIABJAFMAVABFAFgAVAAoAG4AZQB3AF8AaABlAGkAZwBoAHQAKQAsAFwAbgAgACAAIAAgACAAIAAgACAAIAAgACAAIAAgACAAIAAgACAAIAAgACAAIAAgACAASQBTAFQARQBYAFQAKABuAGUAdwBfAHcAaQBkAHQAaAApACkALABcAG4AXABuAC8ALwAgAEwAbwBnAGkAYwAgAGcAYQB0AGUAXABuACAAIAAgACAASQBGACgASQBzAFMAYwBhAGwAYQByAD8ALAAgAFwAIgAjAFMAQwBBAEwAQQBSACEAXAAiACwAXABuAFwAbgAgACAAIAAgACAAIAAgACAAIAAgACAAIABJAEYAKABOAG8AQwBoAGEAbgBnAGUAPwAsACAAcABhAHQAdABlAHIAbgAsAFwAbgBcAG4AIAAgACAAIAAgACAAIAAgACAAIAAgACAAIAAgACAAIABJAEYAKABJAG4AdgBhAGwAaQBkAEgAVwA/ACwAIABcACIAIwBOAEUAVwAtAEgARQBJAEcASABUAC8AVwBJAEQAVABIACEAXAAiACwAXABuAFwAbgBMAEUAVAAoAFwAbgAgACAAIAAgAC8ALwAgAE8AdQB0AHAAdQB0ACAAZwBlAG8AbQBlAHQAcgB5ACAAcABsAGEAYwBlAGgAbwBsAGQAZQByAFwAbgAgACAAIAAgAGUAeABwAF8AcwBoAGEAcABlACwAIAAgACAAIABFAFgAUABBAE4ARAAoADAALAAgAG4AZQB3AF8AaABlAGkAZwBoAHQALAAgAG4AZQB3AF8AdwBpAGQAdABoACkALABcAG4AXABuACAAIAAgACAALwAvACAATQBvAGQAdQBsAGEAcgAgAHIAbwB3AC8AYwBvAGwAdQBtAG4AIABpAG4AZABpAGMAZQBzAFwAbgAgACAAIAAgAGkALAAgACAAIAAgACAAIAAgACAAIAAgACAAIABUAEcAcgBpAGQAuwMoAGUAeABwAF8AcwBoAGEAcABlACwAIABoACkALABcAG4AIAAgACAAIABqACwAIAAgACAAIAAgACAAIAAgACAAIAAgACAAVABHAHIAaQBkALsDKABlAHgAcABfAHMAaABhAHAAZQAsACAAdwAsACAAMQApACwAXABuAFwAbgAgACAAIAAgAC8ALwAgAFQAZQBzAHMAZQBsAGwAYQB0AGUAZAAgAG8AdQB0AHAAdQB0AFwAbgAgACAAIAAgAHQAZQBzAHMALAAgACAAIAAgACAAIAAgACAAIABJAE4ARABFAFgAKABwAGEAdAB0AGUAcgBuACwAIABpACwAIABqACkALABcAG4AXABuACAAIAAgACAAdABlAHMAcwBcAG4AKQApACkAKQApACkAOwBcAG4AXABuAFwAbgBcAG4ALwAqACAAWwBHAFIAXQAgAC0ALQAtAC0ALQAtAC0ALQAtAC0ALQAtAC0ALQAtAC0ALQAtAC0ALQAtAC0ALQAtAC0ALQAtAC0ALQAtAC0ALQAtAC0ALQAtAC0ALQAtAC0ALQAtAC0ALQAtAC0ALQAtAC0ALQAtAC0ALQAtAC0ALQAtAC0ALQAtAC0ALQAtAC0ALQAtAC0ALQAtAC0ALQAtAC0ALQAtAFwAbgAjACMAIAAwADYAIAAtACAARwByAGkAZAAgAEEAbgBhAGwAeQB0AGkAYwBzAFwAbgAtAC0ALQAtAC0ALQAtAC0ALQAtAC0ALQAtAC0ALQAtAC0ALQAtAC0ALQAtAC0ALQAtAC0ALQAtAC0ALQAtAC0ALQAtAC0ALQAtAC0ALQAtAC0ALQAtAC0ALQAtAC0ALQAtAC0ALQAtAC0ALQAtAC0ALQAtAC0ALQAtAC0ALQAtAC0ALQAtAC0ALQAtAC0ALQAtAC0ALQAtAC0ALQAtACAAKgAvAFwAbgBcAG4ALwAqAFwAbgBEAGUAcwBjAHIAaQBwAHQAaQBvAG4AOgBcAG4AIAAgACAAIABHAHIAaQBkACAAQQBuAGEAbAB5AHQAaQBjAHMAIABpAHMAIABhACAAYwBvAGwAbABlAGMAdABpAG8AbgAgAG8AZgAgAGYAdQBuAGMAdABpAG8AbgBzACAAZgBvAHIAIABlAGwAZQBnAGEAbgB0ACAAcwBlAHEAdQBlAG4AYwBpAG4AZwAsAFwAbgAgACAAIAAgAGMAYQB0AGUAZwBvAHIAaQBjAGEAbAAgAGEAbgBhAGwAeQBzAGkAcwAsACAAbgBlAGkAZwBoAGIAbwByAGgAbwBvAGQAESBiAGEAcwBlAGQAIABhAGcAZwByAGUAZwBhAHQAaQBvAG4ALAAgAGEAbgBkACAAcwB0AGEAdABpAHMAdABpAGMAcwAuAFwAbgAgACAAIAAgAFQAaABpAHMAIABtAG8AZAB1AGwAZQAgAGUAeAB0AGUAbgBkAHMAIAB0AGgAZQAgAGMAYQBwAGEAYgBpAGwAaQB0AGkAZQBzACAAbwBmACAAbgBhAHQAaQB2AGUAIABFAHgAYwBlAGwAIABmAHUAbgBjAHQAaQBvAG4AcwBcAG4AIAAgACAAIAAoAGUALgBnAC4ALAAgAE0AbwBkAGUAuwMgAGMAYQBuACAAcgBlAHQAdQByAG4AIAB0AGgAZQAgAG0AbwBzAHQAIABmAHIAZQBxAHUAZQBuAHQAIABuAHUAbQBlAHIAaQBjAGEAbAAgAG8AcgAgAHQAZQB4AHQAIAB2AGEAbAB1AGUAcwApAC4AXABuAFwAbgAgACAAIAAgAFMAdQBiABEgYwBhAHQAZQBnAG8AcgBpAGUAcwA6AFwAbgBcAG4AIAAgACAAIAAgACAAIAAgACIgIABTAGUAcQB1AGUAbgBjAGkAbgBnAFwAbgAgACAAIAAgACAAIAAgACAAIAAgACAAIAAgACAAUwB0AHIAZQBhAGsAuwMsACAAQwBvAHUAbgB0AGQAbwB3AG4AuwNcAG4AXABuACAAIAAgACAAIAAgACAAIAAiICAAQwBhAHQAZQBnAG8AcgBpAGMAYQBsACAAQQBuAGEAbAB5AHMAaQBzAFwAbgAgACAAIAAgACAAIAAgACAAIAAgACAAIAAgACAAQgB5AEQAaQBhAGcAuwMsACAARABpAGEAZwBNAGEAcAC7AywAIABEAGkAYQBnAEkAbgBkAGUAeAC7AywAXABuACAAIAAgACAAIAAgACAAIAAgACAAIAAgACAAIABQAGEAaQByAHcAaQBzAGUAuwMsACAAVAByAGkAcABsAGUAdwBpAHMAZQC7AywAIABRAHUAYQBkAHcAaQBzAGUAuwMsAFwAbgAgACAAIAAgACAAIAAgACAAIAAgACAAIAAgACAARwByAG8AdQBwAGIAeQBCAGkAbgC7AywAIABHAHIAbwB1AHAAYgB5AEQAYQB0AGUAuwMsACAAUABpAHYAbwB0AGIAeQBDAGEAdAC7A1wAbgBcAG4AIAAgACAAIAAgACAAIAAgACIgIABOAGUAaQBnAGgAYgBvAHIAaABvAG8AZABzAFwAbgAgACAAIAAgACAAIAAgACAAIAAgACAAIAAgACAARwByAGEAaQBuALsDLAAgAE0AbwBvAHIAZQBBAGcAZwC7AywAIABNAG8AbwByAGUAUwBlAGwAZQBjAHQAuwNcAG4AXABuACAAIAAgACAAIAAgACAAIAAiICAAUwB0AGEAdABpAHMAdABpAGMAcwBcAG4AIAAgACAAIAAgACAAIAAgACAAIAAgACAAIAAgAEgAaQBzAHQAbwBnAHIAYQBtALsDLAAgAE0AbwBkAGUAuwMsACAAWgBvAG4AZQBTAHQAYQB0ALsDXABuACoALwBcAG4AXABuAFwAbgBcAG4AXABuAC8AKgAgAFsARwBSADAAMQBdACAALQAtAC0ALQAtAC0ALQAtAC0ALQAtAC0ALQAtAC0ALQAtAC0ALQAtAC0ALQAtAC0ALQAtAC0ALQAtAC0ALQAtAC0ALQAtAC0ALQAtAC0ALQAtAC0ALQAtAC0ALQAtAC0ALQAtAC0ALQAtAC0ALQAtAC0ALQAtAC0ALQAtAC0ALQAtAC0ALQAtAC0ALQAtAC0ALQBcAG4ARgB1AG4AYwB0AGkAbwBuADoAIAAgACAAIAAgAFMAdAByAGUAYQBrALsDXABuAEMAYQB0AGUAZwBvAHIAeQA6ACAAIAAgACAAIABHAHIAaQBkACAAQQBuAGEAbAB5AHQAaQBjAHMAIAAoAFMAZQBxAHUAZQBuAGMAaQBuAGcAKQBcAG4AQQB1AHQAaABvAHIAOgAgACAAIAAgACAAIAAgAFAAYQB0AHIAaQBjAGsAIABIAC4AXABuAFYAZQByAHMAaQBvAG4AOgAgACAAIAAgACAAIAAxAC4AMQBcAG4AXABuAEQAZQBzAGMAcgBpAHAAdABpAG8AbgA6AFwAbgAgACAAIAAgAEMAbwBtAHAAdQB0AGUAcwAgAHMAdAByAGUAYQBrACAAYwBvAHUAbgB0AHMAIABvAGYAIABjAG8AbgBzAGUAYwB1AHQAaQB2AGUAIABpAGQAZQBuAHQAaQBjAGEAbAAgAHYAYQBsAHUAZQBzACAAaQBuACAAYQAgADEARAAgAG8AcgAgADIARAAgAGEAcgByAGEAeQAuAFwAbgAgACAAIAAgAFMAdAByAGUAYQBrAHMAIABpAG4AYwByAGUAbQBlAG4AdAAgAGYAbwByAHcAYQByAGQAIAAoADEALAAgADIALAAgADMALAAgACYgKQAgAHcAaABlAG4AZQB2AGUAcgAgAHQAaABlACAAYwB1AHIAcgBlAG4AdAAgAGUAbABlAG0AZQBuAHQAIABtAGEAdABjAGgAZQBzAFwAbgAgACAAIAAgAHQAaABlACAAcAByAGUAdgBpAG8AdQBzACAAbwBuAGUALgAgAEYAbwByACAAMgBEACAAYQByAHIAYQB5AHMALAAgAHMAdAByAGUAYQBrAHMAIABhAHIAZQAgAGMAbwBtAHAAdQB0AGUAZAAgAHIAbwB3ABEgbQBhAGoAbwByACAAYgB5ACAAZABlAGYAYQB1AGwAdAAuAFwAbgBcAG4AUABhAHIAYQBtAGUAdABlAHIAcwA6AFwAbgAgACAAIAAgAGEAcgByAGEAeQAgACAAIAAgACAAIAAgACAAIAAgACAAIAAgACAALQAgADEARAAgAG8AcgAgADIARAAgAGEAcgByAGEAeQAuAFwAbgBcAG4ATwBwAHQAaQBvAG4AYQBsADoAXABuACAAIAAgACAAWwBIAG8AcgBpAHoAbwBuAHQAYQBsAD8AXQAgACAAIAAgACAAIAAtACAARgBvAHIAIAAxAEQAIABhAHIAcgBhAHkAcwAsACAAYwBvAG0AcAB1AHQAZQAgAHMAdAByAGUAYQBrAHMAIABjAG8AbAB1AG0AbgARIHcAaQBzAGUAIABpAG4AcwB0AGUAYQBkACAAbwBmAFwAbgAgACAAIAAgACAAIAAgACAAIAAgACAAIAAgACAAIAAgACAAIAAgACAAIAAgACAAIAAgACAAcgBvAHcAESB3AGkAcwBlAC4AIABJAGcAbgBvAHIAZQBkACAAZgBvAHIAIAAyAEQAIABhAHIAcgBhAHkAcwAuAFwAbgAgACAAIAAgAFsASQBuAGMAbAB1AGQAZQBfAFMAeQBtAGIAbwBsAD8AXQAgACAALQAgAEkAZgAgAFQAUgBVAEUALAAgAGEAcABwAGUAbgBkACAAdABoAGUAIABzAHkAbQBiAG8AbAAgAHQAbwAgAHQAaABlACAAcwB0AHIAZQBhAGsAIABjAG8AdQBuAHQAXABuACAAIAAgACAAIAAgACAAIAAgACAAIAAgACAAIAAgACAAIAAgACAAIAAgACAAIAAgACAAIAAoAGUALgBnAC4ALAAgAFcAtwAxACwAIABXALcAMgAsACAATAC3ADEAKQAuAFwAbgBcAG4ATgBvAHQAZQBzADoAXABuACAAIAAgACAAIiAgAFMAYwBhAGwAYQByAHMAIAByAGUAdAB1AHIAbgAgAHQAaABlAG0AcwBlAGwAdgBlAHMALgBcAG4AIAAgACAAIAAiICAAMgBEACAAYQByAHIAYQB5AHMAIABhAHIAZQAgAGYAbABhAHQAdABlAG4AZQBkACAAcgBvAHcAESBtAGEAagBvAHIALAAgAHAAcgBvAGMAZQBzAHMAZQBkACwAIAB0AGgAZQBuACAAcgBlAHMAdABvAHIAZQBkAC4AXABuACAAIAAgACAAIiAgAEgAbwByAGkAegBvAG4AdABhAGwAPwAgAG8AbgBsAHkAIABhAHAAcABsAGkAZQBzACAAdABvACAAMQBEACAAYQByAHIAYQB5AHMALgBcAG4AIAAgACAAIAAiICAASQBuAGMAbAB1AGQAZQBfAFMAeQBtAGIAbwBsAD8AIAB1AHMAZQBzACAAVQBOAEkAQwBIAEEAUgAoADEAOAAzACkAIAAoALcAKQAgAGEAcwAgAHQAaABlACAAcwBlAHAAYQByAGEAdABvAHIALgBcAG4ALQAtAC0ALQAtAC0ALQAtAC0ALQAtAC0ALQAtAC0ALQAtAC0ALQAtAC0ALQAtAC0ALQAtAC0ALQAtAC0ALQAtAC0ALQAtAC0ALQAtAC0ALQAtAC0ALQAtAC0ALQAtAC0ALQAtAC0ALQAtAC0ALQAtAC0ALQAtAC0ALQAtAC0ALQAtAC0ALQAtAC0ALQAtAC0ALQAtAC0ALQAtAC0AKgAvAFwAbgBcAG4AUwB0AHIAZQBhAGsAuwMgAD0AXABuAEwAQQBNAEIARABBACgAXABuACAAIAAgACAAYQByAHIAYQB5ACwAXABuACAAIAAgACAAWwBIAG8AcgBpAHoAbwBuAHQAYQBsAD8AXQAsAFwAbgAgACAAIAAgAFsASQBuAGMAbAB1AGQAZQBfAFMAeQBtAGIAbwBsAD8AXQAsAFwAbgBcAG4ASQBGACgAQQBOAEQAKABSAE8AVwBTACgAYQByAHIAYQB5ACkAIAA9ACAAMQAsACAAQwBPAEwAVQBNAE4AUwAoAGEAcgByAGEAeQApACAAPQAgADEAKQAsAGEAcgByAGEAeQAsAFwAbgBcAG4ATABFAFQAKABcAG4AIAAgACAAIAAvAC8AIABEAGkAbQBlAG4AcwBpAG8AbgBzAFwAbgAgACAAIAAgAGgALAAgACAAIAAgACAAIAAgACAAIAAgACAAIAAgACAAUgBPAFcAUwAoAGEAcgByAGEAeQApACwAXABuACAAIAAgACAAdwAsACAAIAAgACAAIAAgACAAIAAgACAAIAAgACAAIABDAE8ATABVAE0ATgBTACgAYQByAHIAYQB5ACkALABcAG4AIAAgACAAIABJAHMAMgBEAD8ALAAgACAAIAAgACAAIAAgACAAIAAgAEEATgBEACgAaAAgAD4AIAAxACwAIAB3ACAAPgAgADEAKQAsAFwAbgBcAG4AIAAgACAAIAAvAC8AIABGAGwAYQB0AHQAZQBuACAAMgBEACAAkiEgADEARABcAG4AIAAgACAAIABhAHIAcgBhAHkALAAgACAAIAAgACAAIAAgACAAIAAgAEkARgAoAEkAcwAyAEQAPwAsACAAVABPAEMATwBMACgAYQByAHIAYQB5ACkALAAgAGEAcgByAGEAeQApACwAXABuAFwAbgAgACAAIAAgAC8ALwAgAEQAaQByAGUAYwB0AGkAbwBuACAAKABvAG4AbAB5ACAAcgBlAGwAZQB2AGEAbgB0ACAAZgBvAHIAIAAxAEQAKQBcAG4AIAAgACAAIABOAG8ARABpAHIAPwAsACAAIAAgACAAIAAgACAAIAAgAEkAUwBPAE0ASQBUAFQARQBEACgASABvAHIAaQB6AG8AbgB0AGEAbAA/ACkALABcAG4AIAAgACAAIABmAG4ALAAgACAAIAAgACAAIAAgACAAIAAgACAAIAAgAEkARgAoAE4AbwBEAGkAcgA/ACwAIABWAFMAVABBAEMASwAsACAASABTAFQAQQBDAEsAKQAsAFwAbgBcAG4AIAAgACAAIAAvAC8AIABDAG8AbQBwAGEAcgBlACAAdwBpAHQAaAAgAHAAcgBlAHYAaQBvAHUAcwAgAGUAbABlAG0AZQBuAHQAXABuACAAIAAgACAAawBlAHAAdAAsACAAIAAgACAAIAAgACAAIAAgACAAIABJAEYAKABOAG8ARABpAHIAPwAsACAARABSAE8AUAAoAGEAcgByAGEAeQAsACAALQAxACkALAAgAEQAUgBPAFAAKABhAHIAcgBhAHkALAAgACwAIAAtADEAKQApACwAXABuACAAIAAgACAAYgBvAG8AbAAsACAAIAAgACAAIAAgACAAIAAgACAAIABhAHIAcgBhAHkAIAA9ACAAZgBuACgAXAAiAG8AbQBpAHQAXAAiACwAIABrAGUAcAB0ACkALABcAG4AXABuACAAIAAgACAALwAvACAAQQBjAGMAdQBtAHUAbABhAHQAZQAgAHMAdAByAGUAYQBrACAAYwBvAHUAbgB0AHMAXABuACAAIAAgACAAYQBjAGMALAAgACAAIAAgACAAIAAgACAAIAAgACAAIABTAEMAQQBOACgAMAAsAGIAbwBvAGwALABMAEEATQBCAEQAQQAoAGEALAAgAHYALABJAEYAKABhACAAPQAgADAALAAgADEALAAgAEkARgAoAHYALAAgAGEAIAArACAAMQAsACAAMQApACkAKQApACwAXABuAFwAbgAgACAAIAAgAC8ALwAgAE8AcAB0AGkAbwBuAGEAbAAgAHMAeQBtAGIAbwBsACAAaQBuAGMAbAB1AHMAaQBvAG4AXABuACAAIAAgACAAcgBlAHMAdQBsAHQALAAgACAAIAAgACAAIAAgACAAIABJAEYAKABJAFMATwBNAEkAVABUAEUARAAoAEkAbgBjAGwAdQBkAGUAXwBTAHkAbQBiAG8AbAA/ACkALABhAGMAYwAsAFwAbgAgACAAIAAgACAAIAAgACAAIAAgACAAIAAgACAAIAAgACAAIAAgACAAIAAgACAAIABhAHIAcgBhAHkAIAAmACAAVQBOAEkAQwBIAEEAUgAoADEAOAAzACkAIAAmACAAYQBjAGMAKQAsAFwAbgBcAG4AIAAgACAAIAAvAC8AIABSAGUAcwB0AG8AcgBlACAAMgBEACAAcwBoAGEAcABlACAAaQBmACAAbgBlAGUAZABlAGQAXABuACAAIAAgACAAZABlAGwAaQB2AGUAcgAsACAAIAAgACAAIAAgACAAIABJAEYAKABJAHMAMgBEAD8ALAAgAFcAUgBBAFAAUgBPAFcAUwAoAHIAZQBzAHUAbAB0ACwAIAB3ACkALAAgAHIAZQBzAHUAbAB0ACkALABcAG4AXABuACAAIAAgACAAZABlAGwAaQB2AGUAcgBcAG4AKQApACkAOwBcAG4AXABuAFwAbgBcAG4ALwAqACAAWwBHAFIAMAAyAF0AIAAtAC0ALQAtAC0ALQAtAC0ALQAtAC0ALQAtAC0ALQAtAC0ALQAtAC0ALQAtAC0ALQAtAC0ALQAtAC0ALQAtAC0ALQAtAC0ALQAtAC0ALQAtAC0ALQAtAC0ALQAtAC0ALQAtAC0ALQAtAC0ALQAtAC0ALQAtAC0ALQAtAC0ALQAtAC0ALQAtAC0ALQAtAC0ALQAtAFwAbgBGAHUAbgBjAHQAaQBvAG4AOgAgACAAIAAgACAAQwBvAHUAbgB0AGQAbwB3AG4AuwNcAG4AQwBhAHQAZQBnAG8AcgB5ADoAIAAgACAAIAAgAEcAcgBpAGQAIABBAG4AYQBsAHkAdABpAGMAcwAgACgAUwBlAHEAdQBlAG4AYwBpAG4AZwApAFwAbgBBAHUAdABoAG8AcgA6ACAAIAAgACAAIAAgACAAUABhAHQAcgBpAGMAawAgAEgALgBcAG4AVgBlAHIAcwBpAG8AbgA6ACAAIAAgACAAIAAgADEALgAxAFwAbgBcAG4ARABlAHMAYwByAGkAcAB0AGkAbwBuADoAXABuACAAIAAgACAARwBlAG4AZQByAGEAdABlAHMAIABjAG8AdQBuAHQAZABvAHcAbgAgAGkAbgBkAGkAYwBlAHMAIABmAG8AcgAgAGMAbwBuAHQAaQBnAHUAbwB1AHMAIAByAHUAbgBzACAAaQBuACAAYQAgADEARAAgAGEAcgByAGEAeQAuACAARQBhAGMAaAAgAHIAdQBuAFwAbgAgACAAIAAgAGMAbwB1AG4AdABzACAAZABvAHcAbgAgAGYAcgBvAG0AIABpAHQAcwAgAGwAZQBuAGcAdABoACAAdABvACAAMQAuACAAQwBvAHUAbgB0AGQAbwB3AG4AuwMgAGkAcwAgAG0AbwBzAHQAIAB1AHMAZQBmAHUAbAAgAHcAaABlAG4AIAB3AG8AcgBrAGkAbgBnAFwAbgAgACAAIAAgAHcAaQB0AGgAIABzAG8AcgB0AGUAZAAgAHYAZQBjAHQAbwByAHMAIABhAG4AZAAgAGkAcwAgAHQAaABlACAAbgBhAHQAdQByAGEAbAAgAHIAZQB2AGUAcgBzAGUAIABvAGYAIABTAHQAcgBlAGEAawC7Ay4AXABuAFwAbgBQAGEAcgBhAG0AZQB0AGUAcgBzADoAXABuACAAIAAgACAAdgBlAGMAdABvAHIAIAAgACAAIAAgACAAIAAgACAAIAAgAC0AIAAxAEQAIABhAHIAcgBhAHkALgBcAG4AXABuAE8AcAB0AGkAbwBuAGEAbAA6AFwAbgAgACAAIAAgAFsASABvAHIAaQB6AG8AbgB0AGEAbAA/AF0AIAAgACAAIAAtACAASQBmACAAbwBtAGkAdAB0AGUAZAAsACAAbwB1AHQAcAB1AHQAIABpAHMAIAB2AGUAcgB0AGkAYwBhAGwALgAgAEkAZgAgAFQAUgBVAEUALAAgAG8AdQB0AHAAdQB0ACAAaQBzAFwAbgAgACAAIAAgACAAIAAgACAAIAAgACAAIAAgACAAIAAgACAAIAAgACAAIAAgACAAIAByAGUAdAB1AHIAbgBlAGQAIABoAG8AcgBpAHoAbwBuAHQAYQBsAGwAeQAuAFwAbgBcAG4ATgBvAHQAZQBzADoAXABuACAAIAAgACAAIiAgAEEAbAB3AGEAeQBzACAAZgBsAGEAdAB0AGUAbgBzACAAaQBuAHAAdQB0ACAAdABvACAAYQAgAHMAaQBuAGcAbABlACAAYwBvAGwAdQBtAG4AIABiAGUAZgBvAHIAZQAgAHAAcgBvAGMAZQBzAHMAaQBuAGcALgBcAG4AXABuAC0ALQAtAC0ALQAtAC0ALQAtAC0ALQAtAC0ALQAtAC0ALQAtAC0ALQAtAC0ALQAtAC0ALQAtAC0ALQAtAC0ALQAtAC0ALQAtAC0ALQAtAC0ALQAtAC0ALQAtAC0ALQAtAC0ALQAtAC0ALQAtAC0ALQAtAC0ALQAtAC0ALQAtAC0ALQAtAC0ALQAtAC0ALQAtAC0ALQAtAC0ALQAtACoALwBcAG4AXABuAEMAbwB1AG4AdABkAG8AdwBuALsDIAA9AFwAbgBMAEEATQBCAEQAQQAoAFwAbgAgACAAIAAgAGEAcgByAGEAeQAsAFwAbgAgACAAIAAgAFsASABvAHIAaQB6AG8AbgB0AGEAbAA/AF0ALABcAG4AXABuAEkARgAoAEEATgBEACgAUgBPAFcAUwAoAGEAcgByAGEAeQApACAAPQAgADEALAAgAEMATwBMAFUATQBOAFMAKABhAHIAcgBhAHkAKQAgAD0AIAAxACkALABhAHIAcgBhAHkALABcAG4AXABuAEwARQBUACgAXABuACAAIAAgACAALwAvACAARABpAG0AZQBuAHMAaQBvAG4AcwBcAG4AIAAgACAAIABoACwAIAAgACAAIAAgACAAIAAgACAAIAAgACAAIAAgAFIATwBXAFMAKABhAHIAcgBhAHkAKQAsAFwAbgAgACAAIAAgAHcALAAgACAAIAAgACAAIAAgACAAIAAgACAAIAAgACAAQwBPAEwAVQBNAE4AUwAoAGEAcgByAGEAeQApACwAXABuACAAIAAgACAASQBzADIARAA/ACwAIAAgACAAIAAgACAAIAAgACAAIABBAE4ARAAoAGgAIAA+ACAAMQAsACAAdwAgAD4AIAAxACkALABcAG4AXABuACAAIAAgACAALwAvACAARgBsAGEAdAB0AGUAbgAgADIARAAgAJIhIAAxAEQAXABuACAAIAAgACAAYQByAHIAYQB5ACwAIAAgACAAIAAgACAAIAAgACAAIABJAEYAKABJAHMAMgBEAD8ALAAgAFQATwBDAE8ATAAoAGEAcgByAGEAeQApACwAIABhAHIAcgBhAHkAKQAsAFwAbgBcAG4AIAAgACAAIAAvAC8AIABEAGkAcgBlAGMAdABpAG8AbgAgACgAbwBuAGwAeQAgAHIAZQBsAGUAdgBhAG4AdAAgAGYAbwByACAAMQBEACkAXABuACAAIAAgACAATgBvAEQAaQByAD8ALAAgACAAIAAgACAAIAAgACAAIABJAFMATwBNAEkAVABUAEUARAAoAEgAbwByAGkAegBvAG4AdABhAGwAPwApACwAXABuACAAIAAgACAAZgBuACwAIAAgACAAIAAgACAAIAAgACAAIAAgACAAIABJAEYAKABOAG8ARABpAHIAPwAsACAAVgBTAFQAQQBDAEsALAAgAEgAUwBUAEEAQwBLACkALABcAG4AXABuACAAIAAgACAALwAvACAAQwBvAG0AcABhAHIAZQAgAHcAaQB0AGgAIABwAHIAZQB2AGkAbwB1AHMAIABlAGwAZQBtAGUAbgB0AFwAbgAgACAAIAAgAGsAZQBwAHQALAAgACAAIAAgACAAIAAgACAAIAAgACAASQBGACgATgBvAEQAaQByAD8ALAAgAEQAUgBPAFAAKABhAHIAcgBhAHkALAAgAC0AMQApACwAIABEAFIATwBQACgAYQByAHIAYQB5ACwAIAAsACAALQAxACkAKQAsAFwAbgAgACAAIAAgAGIAbwBvAGwALAAgACAAIAAgACAAIAAgACAAIAAgACAAYQByAHIAYQB5ACAAPQAgAGYAbgAoAFwAIgBvAG0AaQB0AFwAIgAsACAAawBlAHAAdAApACwAXABuAFwAbgAgACAAIAAgAC8ALwAgAEEAYwBjAHUAbQB1AGwAYQB0AGUAIABzAHQAcgBlAGEAawAgAGMAbwB1AG4AdABzAFwAbgAgACAAIAAgAGEAYwBjACwAIAAgACAAIAAgACAAIAAgACAAIAAgACAAUwBDAEEATgAoADAALABiAG8AbwBsACwATABBAE0AQgBEAEEAKABhACwAIAB2ACwASQBGACgAYQAgAD0AIAAwACwAIAAxACwAIABJAEYAKAB2ACwAIABhACAAKwAgADEALAAgADEAKQApACkAKQAsAFwAbgBcAG4AIAAgACAAIAAvAC8AIABDAGgAYQBuAGcAZQAgAGcAcgBvAHUAcABzAFwAbgAgACAAIAAgAGMAZwAsACAAIAAgACAAIAAgACAAIAAgACAAIAAgACAAUwBDAEEATgAoADAALABOAE8AVAAoAGIAbwBvAGwAKQAsAFMAVQBNACkALABcAG4AXABuACAAIAAgACAALwAvACAAUwBvAHIAdAAgAGQAZQBzAGMAZQBuAGQAaQBuAGcAXABuACAAIAAgACAAcwBvAHIAdABlAGQALAAgACAAIAAgACAAIAAgACAAIABTAE8AUgBUAEIAWQAoAGEAYwBjACwAYwBnACwAMQAsAGEAYwBjACwALQAxACkALABcAG4AXABuACAAIAAgACAALwAvACAAUgBlAHMAdABvAHIAZQAgADIARAAgAHMAaABhAHAAZQAgAGkAZgAgAG4AZQBlAGQAZQBkAFwAbgAgACAAIAAgAGQAZQBsAGkAdgBlAHIALAAgACAAIAAgACAAIAAgACAASQBGACgASQBzADIARAA/ACwAIABXAFIAQQBQAFIATwBXAFMAKABzAG8AcgB0AGUAZAAsACAAdwApACwAIABzAG8AcgB0AGUAZAApACwAXABuAFwAbgAgACAAIAAgAGQAZQBsAGkAdgBlAHIAXABuACkAKQApADsAXABuAFwAbgBcAG4AXABuAC8AKgAgAFsARwBSADAAMwBdACAALQAtAC0ALQAtAC0ALQAtAC0ALQAtAC0ALQAtAC0ALQAtAC0ALQAtAC0ALQAtAC0ALQAtAC0ALQAtAC0ALQAtAC0ALQAtAC0ALQAtAC0ALQAtAC0ALQAtAC0ALQAtAC0ALQAtAC0ALQAtAC0ALQAtAC0ALQAtAC0ALQAtAC0ALQAtAC0ALQAtAC0ALQAtAC0ALQBcAG4ARgB1AG4AYwB0AGkAbwBuADoAIAAgACAAIAAgAEIAeQBEAGkAYQBn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VgBhAGwAaQBkAGEAdABlAEQAaQBhAGcAuwNcAG4AXABuAEQAZQBzAGMAcgBpAHAAdABpAG8AbgA6AFwAbgAgACAAIAAgAEEAcABwAGwAaQBlAHMAIABhAG4AIABFAFQAQQAgAGYAdQBuAGMAdABpAG8AbgAgAG8AcgAgAEwAYQBtAGIAZABhACAAdABvACAAZQBhAGMAaAAgAGQAaQBhAGcAbwBuAGEAbAAgAG8AZgAgAGEAIAAyAEQAIABhAHIAcgBhAHkALgBcAG4AIAAgACAAIABEAGkAYQBnAG8AbgBhAGwAcwAgAGEAcgBlACAAZQB4AHQAcgBhAGMAdABlAGQAIABmAHIAbwBtACAAdABvAHAAESBsAGUAZgB0ACAAdABvACAAYgBvAHQAdABvAG0AESByAGkAZwBoAHQALAAgAHcAaQB0AGgAIABlAGEAYwBoACAAZABpAGEAZwBvAG4AYQBsAFwAbgAgACAAIAAgAHIAZQBwAHIAZQBzAGUAbgB0AGUAZAAgAGEAcwAgAGEAIAByAG8AdwAgAGkAbgAgAHQAaABlACAAbwB1AHQAcAB1AHQALgAgAE8AcAB0AGkAbwBuAGEAbABsAHkALAAgAHIAZQBzAHUAbAB0AHMAIABtAGEAeQAgAGIAZQAgAHMAdABhAGMAawBlAGQAXABuACAAIAAgACAAcgBvAHcAESB3AGkAcwBlACAAKAB2AGUAcgB0AGkAYwBhAGwAKQAgAG8AcgAgAGMAbwBsAHUAbQBuABEgdwBpAHMAZQAgACgAaABvAHIAaQB6AG8AbgB0AGEAbAApAC4AXABuAFwAbgBQAGEAcgBhAG0AZQB0AGUAcgBzADoAXABuACAAIAAgACAAYQByAHIAYQB5ACAAIAAgACAAIAAgACAAIAAgACAAIAAgACAAIAAgAC0AIAAyAEQAIABpAG4AcAB1AHQAIABhAHIAcgBhAHkAIAAoAHMAYwBhAGwAYQByAHMAIABuAG8AdAAgAGEAYwBjAGUAcAB0AGUAZAApAC4AXABuACAAIAAgACAAWwBmAHUAbgBjAHQAaQBvAG4AXQAgACAAIAAgACAAIAAgACAAIAAgAC0AIABFAFQAQQAgAGYAdQBuAGMAdABpAG8AbgAgAG8AcgAgAEwAYQBtAGIAZABhACAAYQBwAHAAbABpAGUAZAAgAHQAbwAgAGUAYQBjAGgAIABkAGkAYQBnAG8AbgBhAGwALgBcAG4AIAAgACAAIABbAHIAbwB3AF8AdwBpAHMAZQBfAHMAdABhAGMAawA/AF0AIAAgACAALQAgAEkAZgAgAFQAUgBVAEUALAAgAHIAZQBzAHUAbAB0AHMAIABhAHIAZQAgAHMAdABhAGMAawBlAGQAIAB2AGUAcgB0AGkAYwBhAGwAbAB5ADsAIABvAHQAaABlAHIAdwBpAHMAZQBcAG4AIAAgACAAIAAgACAAIAAgACAAIAAgACAAIAAgACAAIAAgACAAIAAgACAAIAAgACAAIAAgACAAZABpAGEAZwBvAG4AYQBsAHMAIABhAHIAZQAgAHIAZQB0AHUAcgBuAGUAZAAgAGEAcwAgAGMAbwBsAHUAbQBuAHMALgBcAG4AXABuAE4AbwB0AGUAcwA6AFwAbgAgACAAIAAgACIgIABTAGMAYQBsAGEAcgBzACAAYQBuAGQAIAAxAEQAIABhAHIAcgBhAHkAcwAgAGEAcgBlACAAcgBlAGoAZQBjAHQAZQBkACAAYgB5ACAAVgBhAGwAaQBkAGEAdABlAEQAaQBhAGcAuwMuAFwAbgAgACAAIAAgACIgIABJAGYAIABmAHUAbgBjAHQAaQBvAG4AIABpAHMAIABvAG0AaQB0AHQAZQBkACwAIAByAGEAdwAgAGQAaQBhAGcAbwBuAGEAbABzACAAYQByAGUAIAByAGUAdAB1AHIAbgBlAGQALgBcAG4AIAAgACAAIAAiICAATwB1AHQAcAB1AHQAIABzAGgAYQBwAGUAIABpAHMAIABrACAA1wAgAGoAIAB3AGgAZQByAGUAIABrACAAPQAgAE0ASQBOACgAcgBvAHcAcwAsACAAYwBvAGwAdQBtAG4AcwApAC4AXABuAC0ALQAtAC0ALQAtAC0ALQAtAC0ALQAtAC0ALQAtAC0ALQAtAC0ALQAtAC0ALQAtAC0ALQAtAC0ALQAtAC0ALQAtAC0ALQAtAC0ALQAtAC0ALQAtAC0ALQAtAC0ALQAtAC0ALQAtAC0ALQAtAC0ALQAtAC0ALQAtAC0ALQAtAC0ALQAtAC0ALQAtAC0ALQAtAC0ALQAtAC0ALQAtACoALwBcAG4AXABuAEIAeQBEAGkAYQBnALsDIAA9AFwAbgBMAEEATQBCAEQAQQAoAFwAbgAgACAAIAAgAGEAcgByAGEAeQAsAFwAbgAgACAAIAAgAFsAZgB1AG4AYwB0AGkAbwBuAF0ALABcAG4AIAAgACAAIABbAHIAbwB3AF8AdwBpAHMAZQBfAHMAdABhAGMAawA/AF0ALABcAG4AXABuAFYAYQBsAGkAZABhAHQAZQBEAGkAYQBnALsDKABhAHIAcgBhAHkALAAgACwAIABmAHUAbgBjAHQAaQBvAG4ALAAgAHIAbwB3AF8AdwBpAHMAZQBfAHMAdABhAGMAawA/ACwAXABuAEwARQBUACgAXABuACAAIAAgACAALwAvACAATwBwAHQAaQBvAG4AYQBsACAAcABhAHIAYQBtAGUAdABlAHIAcwBcAG4AIAAgACAAIABOAG8AXwBGAHUAbgBjAHQAaQBvAG4ALAAgACAAIAAgACAAIAAgACAASQBTAE8ATQBJAFQAVABFAEQAKABmAHUAbgBjAHQAaQBvAG4AKQAsAFwAbgAgACAAIAAgAE4AbwBfAFIAbwB3AFMAdABhAGMAawAsACAAIAAgACAAIAAgACAAIABJAFMATwBNAEkAVABUAEUARAAoAHIAbwB3AF8AdwBpAHMAZQBfAHMAdABhAGMAawA/ACkALABcAG4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OAHUAbQBiAGUAcgAgAG8AZgAgAGQAaQBhAGcAbwBuAGEAbABzAFwAbgAgACAAIAAgAGsALAAgACAAIAAgACAAIAAgACAAIAAgACAAIAAgACAAIAAgACAAIABNAEkATgAoAGgALAAgAHcAKQAsAFwAbgBcAG4AIAAgACAAIAAvAC8AIABEAGUAZgBlAHIAcgBlAGQAIABpAG4AZABlAHgAIABnAGUAbgBlAHIAYQB0AG8AcgBzAFwAbgAgACAAIAAgAHIALAAgACAAIAAgACAAIAAgACAAIAAgACAAIAAgACAAIAAgACAAIABMAEEATQBCAEQAQQAoAFMARQBRAFUARQBOAEMARQAoAGsAKQAgACoAIABTAEUAUQBVAEUATgBDAEUAKAAsACAAdwAsACAAMQAsACAAMAApACkALABcAG4AIAAgACAAIAB5ACwAIAAgACAAIAAgACAAIAAgACAAIAAgACAAIAAgACAAIAAgACAATABBAE0AQgBEAEEAKABTAEUAUQBVAEUATgBDAEUAKABrACkAIAArACAAUwBFAFEAVQBFAE4AQwBFACgALAAgAHcALAAgADAALAAgADEAKQApACwAXABuACAAIAAgACAAYwAsACAAIAAgACAAIAAgACAAIAAgACAAIAAgACAAIAAgACAAIAAgAEwAQQBNAEIARABBACgASQBGACgAeQAoACkAIAA+ACAAdwAsACAATgBBACgAKQAsACAAeQAoACkAKQApACwAXABuAFwAbgAgACAAIAAgAC8ALwAgAEUAeAB0AHIAYQBjAHQAIABkAGkAYQBnAG8AbgBhAGwAcwBcAG4AIAAgACAAIAByAGUAcwB1AGwAdAAsACAAIAAgACAAIAAgACAAIAAgACAAIAAgACAASQBGAE4AQQAoAEkATgBEAEUAWAAoAGEAcgByAGEAeQAsACAAcgAoACkALAAgAGMAKAApACkALAAgAFwAIgBcACIAKQAsAFwAbgBcAG4AIAAgACAAIAAvAC8AIABPAHIAaQBlAG4AdABhAHQAaQBvAG4AXABuACAAIAAgACAAcwBoAGEAcABlAGQALAAgACAAIAAgACAAIAAgACAAIAAgACAAIAAgAEkARgAoAE4AbwBfAFIAbwB3AFMAdABhAGMAawAsACAAcgBlAHMAdQBsAHQALAAgAFQAUgBBAE4AUwBQAE8AUwBFACgAcgBlAHMAdQBsAHQAKQApACwAXABuAFwAbgAgACAAIAAgAC8ALwAgAEEAcABwAGwAeQAgAGYAdQBuAGMAdABpAG8AbgAgAGkAZgAgAHAAcgBvAHYAaQBkAGUAZABcAG4AIAAgACAAIABmAGkAbgBhAGwALAAgACAAIAAgACAAIAAgACAAIAAgACAAIAAgACAASQBGACgATgBvAF8ARgB1AG4AYwB0AGkAbwBuACwAcwBoAGEAcABlAGQALABcAG4AIAAgACAAIAAgACAAIAAgACAAIAAgACAAIAAgACAAIAAgACAAIAAgACAAIAAgACAAIAAgACAAIABJAEYAKABOAG8AXwBSAG8AdwBTAHQAYQBjAGsALABCAFkAQwBPAEwAKABzAGgAYQBwAGUAZAAsACAAZgB1AG4AYwB0AGkAbwBuACkALABcAG4AIAAgACAAIAAgACAAIAAgACAAIAAgACAAIAAgACAAIAAgACAAIAAgACAAIAAgACAAIAAgACAAIAAgACAAIAAgACAAIAAgACAAIAAgACAAIAAgACAAIABCAFkAUgBPAFcAKABzAGgAYQBwAGUAZAAsACAAZgB1AG4AYwB0AGkAbwBuACkAKQApACwAXABuAFwAbgAgACAAIAAgAGYAaQBuAGEAbABcAG4AKQApACkAOwBcAG4AXABuAFwAbgBcAG4ALwAqACAAWwBHAFIAMAA0AF0AIAAtAC0ALQAtAC0ALQAtAC0ALQAtAC0ALQAtAC0ALQAtAC0ALQAtAC0ALQAtAC0ALQAtAC0ALQAtAC0ALQAtAC0ALQAtAC0ALQAtAC0ALQAtAC0ALQAtAC0ALQAtAC0ALQAtAC0ALQAtAC0ALQAtAC0ALQAtAC0ALQAtAC0ALQAtAC0ALQAtAC0ALQAtAC0ALQAtAFwAbgBGAHUAbgBjAHQAaQBvAG4AOgAgACAAIAAgACAARABpAGEAZwBNAGEAcA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EIAeQBEAGkAYQBnALsDLAAgAFYAYQBsAGkAZABhAHQAZQBEAGkAYQBnALsDXABuAFwAbgBEAGUAcwBjAHIAaQBwAHQAaQBvAG4AOgBcAG4AIAAgACAAIABDAG8AbgB2AGUAbgBpAGUAbgBjAGUAIAB3AHIAYQBwAHAAZQByACAAZgBvAHIAIABCAHkARABpAGEAZwC7AyAAdABoAGEAdAAgAGUAeAB0AHIAYQBjAHQAcwAgAGEAbABsACAAZABpAGEAZwBvAG4AYQBsAHMAIABmAHIAbwBtACAAYQAgADIARABcAG4AIAAgACAAIABhAHIAcgBhAHkAIABhAG4AZAAgAHIAZQB0AHUAcgBuAHMAIAB0AGgAZQBtACAAYQBzACAAYQAgADIARAAgAGEAcgByAGEAeQBfADIARAAuACAATwBwAHQAaQBvAG4AYQBsACAAcgBvAHcAESB3AGkAcwBlACAAcwB0AGEAYwBrAGkAbgBnACAAaQBzAFwAbgAgACAAIAAgAHMAdQBwAHAAbwByAHQAZQBkAC4AXABuAFwAbgBQAGEAcgBhAG0AZQB0AGUAcgBzADoAXABuACAAIAAgACAAYQByAHIAYQB5ACAAIAAgACAAIAAgACAAIAAgACAAIAAgACAAIAAgAC0AIAAyAEQAIABpAG4AcAB1AHQAIABhAHIAcgBhAHkALgBcAG4AIAAgACAAIABbAHIAbwB3AF8AdwBpAHMAZQBfAHMAdABhAGMAawA/AF0AIAAgACAALQAgAEkAZgAgAFQAUgBVAEUALAAgAGQAaQBhAGcAbwBuAGEAbABzACAAYQByAGUAIABzAHQAYQBjAGsAZQBkACAAdgBlAHIAdABpAGMAYQBsAGwAeQAuAFwAbgBcAG4ATgBvAHQAZQBzADoAXABuACAAIAAgACAAIiAgAEUAcQB1AGkAdgBhAGwAZQBuAHQAIAB0AG8AIABjAGEAbABsAGkAbgBnACAAQgB5AEQAaQBhAGcAuwMoAGEAcgByAGEAeQAsACAALAAgAHIAbwB3AF8AdwBpAHMAZQBfAHMAdABhAGMAawA/ACkALgBcAG4ALQAtAC0ALQAtAC0ALQAtAC0ALQAtAC0ALQAtAC0ALQAtAC0ALQAtAC0ALQAtAC0ALQAtAC0ALQAtAC0ALQAtAC0ALQAtAC0ALQAtAC0ALQAtAC0ALQAtAC0ALQAtAC0ALQAtAC0ALQAtAC0ALQAtAC0ALQAtAC0ALQAtAC0ALQAtAC0ALQAtAC0ALQAtAC0ALQAtAC0ALQAtAC0AKgAvAFwAbgBcAG4ARABpAGEAZwBNAGEAcAC7AyAAPQBcAG4ATABBAE0AQgBEAEEAKABcAG4AIAAgACAAIABhAHIAcgBhAHkALABcAG4AIAAgACAAIABbAHIAbwB3AF8AdwBpAHMAZQBfAHMAdABhAGMAawA/AF0ALABcAG4AIAAgACAAIABCAHkARABpAGEAZwC7AygAYQByAHIAYQB5ACwAIAAsACAAcgBvAHcAXwB3AGkAcwBlAF8AcwB0AGEAYwBrAD8AKQApADsAXABuAFwAbgBcAG4AXABuAC8AKgAgAFsARwBSADAANQBdACAALQAtAC0ALQAtAC0ALQAtAC0ALQAtAC0ALQAtAC0ALQAtAC0ALQAtAC0ALQAtAC0ALQAtAC0ALQAtAC0ALQAtAC0ALQAtAC0ALQAtAC0ALQAtAC0ALQAtAC0ALQAtAC0ALQAtAC0ALQAtAC0ALQAtAC0ALQAtAC0ALQAtAC0ALQAtAC0ALQAtAC0ALQAtAC0ALQBcAG4ARgB1AG4AYwB0AGkAbwBuADoAIAAgACAAIAAgAEQAaQBhAGcASQBuAGQAZQB4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QgB5AEQAaQBhAGcAuwMsACAAVgBhAGwAaQBkAGEAdABlAEQAaQBhAGcAuwNcAG4AXABuAEQAZQBzAGMAcgBpAHAAdABpAG8AbgA6AFwAbgAgACAAIAAgAEUAeAB0AHIAYQBjAHQAcwAgAGEAIABzAGkAbgBnAGwAZQAgAGQAaQBhAGcAbwBuAGEAbAAgAG8AcgAgAGEAbgB0AGkAESBkAGkAYQBnAG8AbgBhAGwAIAB2AGUAYwB0AG8AcgAgAGYAcgBvAG0AIABhACAAMgBEACAAYQByAHIAYQB5AC4AXABuACAAIAAgACAAUABvAHMAaQB0AGkAdgBlACAAYwBvAGwAXwBpAG4AZABlAHgAIABzAGUAbABlAGMAdABzACAAYQAgAHMAdABhAG4AZABhAHIAZAAgACgAUwBFABEgZABpAHIAZQBjAHQAaQBvAG4AKQAgAGQAaQBhAGcAbwBuAGEAbAAuAFwAbgAgACAAIAAgAE4AZQBnAGEAdABpAHYAZQAgAGMAbwBsAF8AaQBuAGQAZQB4ACAAcwBlAGwAZQBjAHQAcwAgAGEAbgAgAGEAbgB0AGkAESBkAGkAYQBnAG8AbgBhAGwAIAAoAFMAVwARIGQAaQByAGUAYwB0AGkAbwBuACkALgBcAG4AXABuAFAAYQByAGEAbQBlAHQAZQByAHMAOgBcAG4AIAAgACAAIABhAHIAcgBhAHkAIAAgACAAIAAgACAAIAAtACAAMgBEACAAaQBuAHAAdQB0ACAAYQByAHIAYQB5ACAAKABzAGMAYQBsAGEAcgBzACAAbgBvAHQAIABhAGMAYwBlAHAAdABlAGQAKQAuAFwAbgAgACAAIAAgAGMAbwBsAF8AaQBuAGQAZQB4ACAAIAAgAC0AIABTAHQAYQByAHQAaQBuAGcAIABjAG8AbAB1AG0AbgAgAGkAbgBkAGUAeAAuACAATgBlAGcAYQB0AGkAdgBlACAAdgBhAGwAdQBlAHMAIABpAG4AZABpAGMAYQB0AGUAXABuACAAIAAgACAAIAAgACAAIAAgACAAIAAgACAAIAAgACAAIAAgACAAYQBuAHQAaQARIGQAaQBhAGcAbwBuAGEAbAAgAGUAeAB0AHIAYQBjAHQAaQBvAG4ALgBcAG4AXABuAE4AbwB0AGUAcwA6AFwAbgAgACAAIAAgACIgIABPAHUAdABwAHUAdAAgAGkAcwAgAGEAbAB3AGEAeQBzACAAYQAgADEARAAgAHYAZQBjAHQAbwByACAAbwBmACAAbABlAG4AZwB0AGgAIABrACAAPQAgAGQAaQBhAGcAbwBuAGEAbAAgAGwAZQBuAGcAdABoAC4AXABuAC0ALQAtAC0ALQAtAC0ALQAtAC0ALQAtAC0ALQAtAC0ALQAtAC0ALQAtAC0ALQAtAC0ALQAtAC0ALQAtAC0ALQAtAC0ALQAtAC0ALQAtAC0ALQAtAC0ALQAtAC0ALQAtAC0ALQAtAC0ALQAtAC0ALQAtAC0ALQAtAC0ALQAtAC0ALQAtAC0ALQAtAC0ALQAtAC0ALQAtAC0ALQAtACoALwBcAG4AXABuAEQAaQBhAGcASQBuAGQAZQB4ALsDIAA9AFwAbgBMAEEATQBCAEQAQQAoAFwAbgAgACAAIAAgAGEAcgByAGEAeQAsAFwAbgAgACAAIAAgAGMAbwBsAF8AaQBuAGQAZQB4ACwAXABuAFwAbgBWAGEAbABpAGQAYQB0AGUARABpAGEAZwC7AygAYQByAHIAYQB5ACwAIABjAG8AbABfAGkAbgBkAGUAeAAsACAALAAgACwAXABuAFwAbgBMAEUAVAAoAFwAbgAgACAAIAAgAC8ALwAgAEQAaQBtAGUAbgBzAGkAbwBuAHMAXABuACAAIAAgACAAaAAsACAAIAAgACAAIAAgACAAUgBPAFcAUwAoAGEAcgByAGEAeQApACwAXABuACAAIAAgACAAdwAsACAAIAAgACAAIAAgACAAQwBPAEwAVQBNAE4AUwAoAGEAcgByAGEAeQApACwAXABuAFwAbgAgACAAIAAgAC8ALwAgAEQAaQByAGUAYwB0AGkAbwBuADoAIAArADEAIAA9ACAAUwBFACwAIAATIDEAIAA9ACAAUwBXAFwAbgAgACAAIAAgAHMALAAgACAAIAAgACAAIAAgAFMASQBHAE4AKABjAG8AbABfAGkAbgBkAGUAeAApACwAXABuAFwAbgAgACAAIAAgAC8ALwAgAEQAaQBhAGcAbwBuAGEAbAAgAGwAZQBuAGcAdABoAFwAbgAgACAAIAAgAGsALAAgACAAIAAgACAAIAAgAEkARgAoAHMAIAA+ACAAMAAsAE0ASQBOACgAaAAsACAAdwAgACsAIAAxACAALQAgAGMAbwBsAF8AaQBuAGQAZQB4ACkALABcAG4AIAAgACAAIAAgACAAIAAgACAAIAAgACAAIAAgACAAIAAgACAAIAAgACAAIABNAEkATgAoAGgALAAgAEEAQgBTACgAYwBvAGwAXwBpAG4AZABlAHgAKQApACkALABcAG4AXABuACAAIAAgACAALwAvACAAUwB0AGEAcgB0AGkAbgBnACAAYwBvAGwAdQBtAG4AXABuACAAIAAgACAAcwB0AGEAcgB0ACwAIAAgACAASQBGACgAcwAgADwAIAAwACwAIABBAEIAUwAoAGMAbwBsAF8AaQBuAGQAZQB4ACkALAAgAGMAbwBsAF8AaQBuAGQAZQB4ACkALABcAG4AXABuACAAIAAgACAALwAvACAARABlAGYAZQByAHIAZQBkACAAaQBuAGQAZQB4ACAAZwBlAG4AZQByAGEAdABvAHIAcwBcAG4AIAAgACAAIAB4ACwAIAAgACAAIAAgACAAIABMAEEATQBCAEQAQQAoAFMARQBRAFUARQBOAEMARQAoAGsAKQApACwAXABuACAAIAAgACAAeQAsACAAIAAgACAAIAAgACAATABBAE0AQgBEAEEAKABTAEUAUQBVAEUATgBDAEUAKABrACwAIAAsACAAcwB0AGEAcgB0ACwAIABzACkAKQAsAFwAbgBcAG4AIAAgACAAIAAvAC8AIABFAHgAdAByAGEAYwB0ACAAZABpAGEAZwBvAG4AYQBsAFwAbgAgACAAIAAgAGQAZQBsAGkAdgBlAHIALAAgAEkATgBEAEUAWAAoAGEAcgByAGEAeQAsACAAeAAoACkALAAgAHkAKAApACkALABcAG4AXABuACAAIAAgACAAZABlAGwAaQB2AGUAcgBcAG4AKQApACkAOwBcAG4AXABuAFwAbgBcAG4ALwAqACAAWwBHAFIAESBDAE8AUgBFAF0AIAAtAC0ALQAtAC0ALQAtAC0ALQAtAC0ALQAtAC0ALQAtAC0ALQAtAC0ALQAtAC0ALQAtAC0ALQAtAC0ALQAtAC0ALQAtAC0ALQAtAC0ALQAtAC0ALQAtAC0ALQAtAC0ALQAtAC0ALQAtAC0ALQAtAC0ALQAtAC0ALQAtAC0ALQAtAC0ALQAtAC0ALQAtAFwAbgBGAHUAbgBjAHQAaQBvAG4AOgAgACAAIAAgACAAVgBhAGwAaQBkAGEAdABlAEQAaQBhAGcAuwNcAG4AQwBhAHQAZQBnAG8AcgB5ADoAIAAgACAAIAAgAEcAcgBpAGQAIABBAG4AYQBsAHkAdABpAGMAcwAgACgAQwBvAHIAZQAgAFYAYQBsAGkAZABhAHQAaQBvAG4AKQBcAG4AQQB1AHQAaABvAHIAOgAgACAAIAAgACAAIAAgAFAAYQB0AHIAaQBjAGsAIABIAC4AXABuAFYAZQByAHMAaQBvAG4AOgAgACAAIAAgACAAIAAxAC4AMQBcAG4AXABuAEQAZQBzAGMAcgBpAHAAdABpAG8AbgA6AFwAbgAgACAAIAAgAFYAYQBsAGkAZABhAHQAZQBzACAAaQBuAHAAdQB0AHMAIABmAG8AcgAgAEIAeQBEAGkAYQBnALsDLAAgAEQAaQBhAGcATQBhAHAAuwMsACAAYQBuAGQAIABEAGkAYQBnAEkAbgBkAGUAeAC7Ay4AIABFAG4AcwB1AHIAZQBzACAAdABoAGEAdAAgAHQAaABlAFwAbgAgACAAIAAgAGEAcgByAGEAeQAgAGkAcwAgAGEAIAB2AGEAbABpAGQAIAAyAEQAIABzAHQAcgB1AGMAdAB1AHIAZQAsACAAdABoAGEAdAAgAGMAbwBsAHUAbQBuACAAaQBuAGQAaQBjAGUAcwAgACgAdwBoAGUAbgAgAHMAdQBwAHAAbABpAGUAZAApACAAYQByAGUAXABuACAAIAAgACAAdwBpAHQAaABpAG4AIABiAG8AdQBuAGQAcwAsACAAYQBuAGQAIAB0AGgAYQB0ACAAYQBuAHkAIABzAHUAcABwAGwAaQBlAGQAIABmAHUAbgBjAHQAaQBvAG4AIABpAHMAIABhACAAdgBhAGwAaQBkACAATABBAE0AQgBEAEEALwBFAFQAQQBcAG4AIAAgACAAIABmAHUAbgBjAHQAaQBvAG4ALgBcAG4AXABuAFAAYQByAGEAbQBlAHQAZQByAHMAOgBcAG4AIAAgACAAIABhAHIAcgBhAHkAIAAgACAAIAAgACAAIAAgACAAIAAgACAAIAAgACAALQAgADIARAAgAGkAbgBwAHUAdAAgAGEAcgByAGEAeQAuAFwAbgAgACAAIAAgAFsAYwBvAGwAXwBpAG4AZABlAHgAXQAgACAAIAAgACAAIAAgACAAIAAtACAAUwB0AGEAcgB0AGkAbgBnACAAYwBvAGwAdQBtAG4AIABpAG4AZABlAHgAIAAoAEQAaQBhAGcASQBuAGQAZQB4ALsDIABvAG4AbAB5ACkALgBcAG4AIAAgACAAIABbAGYAdQBuAGMAdABpAG8AbgBdACAAIAAgACAAIAAgACAAIAAgACAALQAgAEUAVABBACAAbwByACAATABBAE0AQgBEAEEAIAAoAEIAeQBEAGkAYQBnALsDIABvAG4AbAB5ACkALgBcAG4AIAAgACAAIABbAHIAbwB3AF8AdwBpAHMAZQBfAHMAdABhAGMAawA/AF0AIAAgACAALQAgAE8AcgBpAGUAbgB0AGEAdABpAG8AbgAgAGYAbABhAGcAIAAoAEIAeQBEAGkAYQBnALsDIAAvACAARABpAGEAZwBNAGEAcAC7AykALgBcAG4AIAAgACAAIABbAG8AbgBfAHYAYQBsAGkAZABdACAAIAAgACAAIAAgACAAIAAgACAALQAgAEUAeABwAHIAZQBzAHMAaQBvAG4AIAB0AG8AIABlAHYAYQBsAHUAYQB0AGUAIAB3AGgAZQBuACAAaQBuAHAAdQB0AHMAIABhAHIAZQAgAHYAYQBsAGkAZAAuAFwAbgBcAG4ATgBvAHQAZQBzADoAXABuACAAIAAgACAAIiAgAFMAYwBhAGwAYQByAHMAIABhAG4AZAAgAG4AbwBuABEgYQByAHIAYQB5AHMAIABhAHIAZQAgAHIAZQBqAGUAYwB0AGUAZAAuAFwAbgAgACAAIAAgACIgIABjAG8AbABfAGkAbgBkAGUAeAAgAD0AIAAwACAAaQBzACAAaQBuAHYAYQBsAGkAZAAgAGIAeQAgAGQAZQBzAGkAZwBuAC4AXABuACAAIAAgACAAIiAgAEYAdQBuAGMAdABpAG8AbgAgAHYAYQBsAGkAZABhAHQAaQBvAG4AIAB1AHMAZQBzACAAYQAgAHMAYQBmAGUAIABUAFkAUABFABEgYgBhAHMAZQBkACAAaQBuAHYAbwBjAGEAdABpAG8AbgAgAHQAZQBzAHQALgBcAG4AIAAgACAAIAAiICAAUgBvAHUAdABpAG4AZwAgAGwAbwBnAGkAYwAgAGQAZQB0AGUAcgBtAGkAbgBlAHMAIAB3AGgAaQBjAGgAIABvAHAAZQByAGEAdABvAHIAIABpAHMAIABiAGUAaQBuAGcAIAB2AGEAbABpAGQAYQB0AGUAZAAuAFwAbgAtAC0ALQAtAC0ALQAtAC0ALQAtAC0ALQAtAC0ALQAtAC0ALQAtAC0ALQAtAC0ALQAtAC0ALQAtAC0ALQAtAC0ALQAtAC0ALQAtAC0ALQAtAC0ALQAtAC0ALQAtAC0ALQAtAC0ALQAtAC0ALQAtAC0ALQAtAC0ALQAtAC0ALQAtAC0ALQAtAC0ALQAtAC0ALQAtAC0ALQAtAC0ALQAqAC8AXABuAFwAbgBWAGEAbABpAGQAYQB0AGUARABpAGEAZwC7AyAAPQBcAG4ATABBAE0AQgBEAEEAKABcAG4AIAAgACAAIABhAHIAcgBhAHkALABcAG4AIAAgACAAIABbAGMAbwBsAF8AaQBuAGQAZQB4AF0ALABcAG4AIAAgACAAIABbAGYAdQBuAGMAdABpAG8AbgBdACwAXABuACAAIAAgACAAWwByAG8AdwBfAHcAaQBzAGUAXwBzAHQAYQBjAGsAPwBdACwAXABuACAAIAAgACAAWwBvAG4AXwB2AGEAbABpAGQAXQAsAFwAbgBMAEUAVAAoAFwAbgAgACAAIAAgAC8ALwAgAC0ALQAtACAAQQByAHIAYQB5ACAAdgBhAGwAaQBkAGEAdABpAG8AbgAgAC0ALQAtAFwAbgAgACAAIAAgAEkAcwBBAHIAcgBhAHkAPwAsACAAIAAgACAAIAAgACAAIAAgACAAIAAgACAAIAAgAFQAWQBQAEUAKABhAHIAcgBhAHkAKQAgAD0AIAA2ADQALABcAG4AIAAgACAAIABOAG8AdABfAEEAcgByAGEAeQAsACAAIAAgACAAIAAgACAAIAAgACAAIAAgACAAIABOAE8AVAAoAEkAcwBBAHIAcgBhAHkAPwApACwAXABuAFwAbgAgACAAIAAgAC8ALwAgAC0ALQAtACAAQwBvAGwAdQBtAG4AIABpAG4AZABlAHgAIAB2AGEAbABpAGQAYQB0AGkAbwBuACAAKABEAGkAYQBnAEkAbgBkAGUAeAC7AyAAbwBuAGwAeQApACAALQAtAC0AXABuACAAIAAgACAATgBvAF8AQwBvAGwAXwBJAG4AZABlAHgALAAgACAAIAAgACAAIAAgACAAIAAgACAASQBTAE8ATQBJAFQAVABFAEQAKABjAG8AbABfAGkAbgBkAGUAeAApACwAXABuACAAIAAgACAAQwBvAGwASQBuAGQAZQB4AF8ASQBuAGMAbAB1AGQAZQBkACwAIAAgACAAIAAgACAATgBPAFQAKABOAG8AXwBDAG8AbABfAEkAbgBkAGUAeAApACwAXABuACAAIAAgACAATgBvAHQAXwBWAGEAbABpAGQAXwBDAG8AbABJAG4AZABlAHgAPwAsACAAIAAgACAATgBPAFQAKABBAE4ARAAoAGMAbwBsAF8AaQBuAGQAZQB4ACAAPAA+ACAAMAAsAFwAbgAgACAAIAAgACAAIAAgACAAIAAgACAAIAAgACAAIAAgACAAIAAgACAAIAAgACAAIAAgACAAIAAgACAAIAAgACAAIAAgACAAIABBAEIAUwAoAGMAbwBsAF8AaQBuAGQAZQB4ACkAIAA8AD0AIABDAE8ATABVAE0ATgBTACgAYQByAHIAYQB5ACkAKQApACwAXABuAFwAbgAgACAAIAAgAC8ALwAgAC0ALQAtACAARgB1AG4AYwB0AGkAbwBuACAAdgBhAGwAaQBkAGEAdABpAG8AbgAgACgAQgB5AEQAaQBhAGcAuwMgAG8AbgBsAHkAKQAgAC0ALQAtAFwAbgAgACAAIAAgAE4AbwBfAEYAdQBuAGMAdABpAG8AbgAsACAAIAAgACAAIAAgACAAIAAgACAAIAAgAEkAUwBPAE0ASQBUAFQARQBEACgAZgB1AG4AYwB0AGkAbwBuACkALABcAG4AIAAgACAAIABGAHUAbgBjAHQAaQBvAG4AXwBJAG4AYwBsAHUAZABlAGQALAAgACAAIAAgACAAIABOAE8AVAAoAE4AbwBfAEYAdQBuAGMAdABpAG8AbgApACwAXABuAFwAbgAgACAAIAAgAC8ALwAgAFMAYQBmAGUAIABmAHUAbgBjAHQAaQBvAG4AIAB2AGEAbABpAGQAYQB0AGkAbwBuADoAIABlAG4AcwB1AHIAZQAgAGYAdQBuAGMAdABpAG8AbgAgAGkAcwAgAGMAYQBsAGwAYQBiAGwAZQBcAG4AIAAgACAAIABJAG4AdgBhAGwAaQBkAF8ARgB1AG4AYwB0AGkAbwBuAD8ALAAgACAAIAAgACAAIABBAE4ARAAoAEYAdQBuAGMAdABpAG8AbgBfAEkAbgBjAGwAdQBkAGUAZAAsAFwAbgAgACAAIAAgACAAIAAgACAAIAAgACAAIAAgACAAIAAgACAAIAAgACAAIAAgACAAIAAgACAAIAAgACAAIAAgACAASQBTAEUAUgBSAE8AUgAoAEIAWQBSAE8AVwAoAHsAMQAsADEAfQAsACAAZgB1AG4AYwB0AGkAbwBuACkAKQApACwAXABuAFwAbgAgACAAIAAgAC8ALwAgAC0ALQAtACAATwByAGkAZQBuAHQAYQB0AGkAbwBuACAAZgBsAGEAZwAgACgARABpAGEAZwBNAGEAcAC7AyAALwAgAEIAeQBEAGkAYQBnALsDKQAgAC0ALQAtAFwAbgAgACAAIAAgAFIAbwB3AFcAaQBzAGUAUwB0AGEAYwBrAD8ALAAgACAAIAAgACAAIAAgACAAIAAgAE4ATwBUACgASQBTAE8ATQBJAFQAVABFAEQAKAByAG8AdwBfAHcAaQBzAGUAXwBzAHQAYQBjAGsAPwApACkALABcAG4AXABuACAAIAAgACAALwAvACAALQAtAC0AIABEAGUAdABlAHIAbQBpAG4AZQAgAHcAaABpAGMAaAAgAG8AcABlAHIAYQB0AG8AcgAgAGkAcwAgAGIAZQBpAG4AZwAgAHYAYQBsAGkAZABhAHQAZQBkACAALQAtAC0AXABuACAAIAAgACAASQBzAEQAaQBhAGcASQBuAGQAZQB4AD8ALAAgACAAIAAgACAAIAAgACAAIAAgACAAQwBvAGwASQBuAGQAZQB4AF8ASQBuAGMAbAB1AGQAZQBkACwAXABuACAAIAAgACAASQBzAEIAeQBEAGkAYQBnAD8ALAAgACAAIAAgACAAIAAgACAAIAAgACAAIAAgACAAQQBOAEQAKABOAG8AXwBDAG8AbABfAEkAbgBkAGUAeAAsACAARgB1AG4AYwB0AGkAbwBuAF8ASQBuAGMAbAB1AGQAZQBkACkALABcAG4AIAAgACAAIABJAHMARABpAGEAZwBNAGEAcAA/ACwAIAAgACAAIAAgACAAIAAgACAAIAAgACAAIABBAE4ARAAoAE4AbwBfAEMAbwBsAF8ASQBuAGQAZQB4ACwAIABOAG8AXwBGAHUAbgBjAHQAaQBvAG4AKQAsAFwAbgBcAG4AIAAgACAAIAAvAC8AIAAtAC0ALQAgAEwAbwBnAGkAYwAgAGcAYQB0AGUAcwAgAC0ALQAtAFwAbgAgACAAIAAgAC8ALwAgAEQAaQBhAGcASQBuAGQAZQB4ALsDXABuACAAIAAgACAAZwBhAHQAZQBfAEQAaQBhAGcASQBuAGQAZQB4ACwAIAAgACAAIAAgACAAIAAgACAASQBGACgATgBvAHQAXwBBAHIAcgBhAHkALAAgACAAIAAgACAAIAAgACAAIAAgACAAXAAiACMATgBPAFQALQBBAFIAUgBBAFkAIQBcACIALABcAG4AIAAgACAAIAAgACAAIAAgACAAIAAgACAAIAAgACAAIAAgACAAIAAgACAAIAAgACAAIAAgACAAIAAgACAAIAAgAEkARgAoAE4AbwB0AF8AVgBhAGwAaQBkAF8AQwBvAGwASQBuAGQAZQB4AD8ALAAgAFwAIgAjAEMATwBMAFUATQBOAC0ASQBOAEQARQBYACEAXAAiACwAXABuACAAIAAgACAAIAAgACAAIAAgACAAIAAgACAAIAAgACAAIAAgACAAIAAgACAAIAAgACAAIAAgACAAIAAgACAAIAAgACAAIAAgAG8AbgBfAHYAYQBsAGkAZAApACkALABcAG4AXABuACAAIAAgACAALwAvACAAQgB5AEQAaQBhAGcAuwNcAG4AIAAgACAAIABnAGEAdABlAF8AQgB5AEQAaQBhAGcALAAgACAAIAAgACAAIAAgACAAIAAgACAAIABJAEYAKABOAG8AdABfAEEAcgByAGEAeQAsACAAIAAgACAAIAAgACAAIAAgACAAIABcACIAIwBOAE8AVAAtAEEAUgBSAEEAWQAhAFwAIgAsAFwAbgAgACAAIAAgACAAIAAgACAAIAAgACAAIAAgACAAIAAgACAAIAAgACAAIAAgACAAIAAgACAAIAAgACAAIAAgACAASQBGACgASQBuAHYAYQBsAGkAZABfAEYAdQBuAGMAdABpAG8AbgA/ACwAIABcACIAIwBGAFUATgBDAFQASQBPAE4AIQBcACIALABcAG4AIAAgACAAIAAgACAAIAAgACAAIAAgACAAIAAgACAAIAAgACAAIAAgACAAIAAgACAAIAAgACAAIAAgACAAIAAgACAAIAAgACAAbwBuAF8AdgBhAGwAaQBkACkAKQAsAFwAbgBcAG4AIAAgACAAIAAvAC8AIABEAGkAYQBnAE0AYQBwALsDXABuACAAIAAgACAAZwBhAHQAZQBfAEQAaQBhAGcATQBhAHAALAAgACAAIAAgACAAIAAgACAAIAAgACAASQBGACgATgBvAHQAXwBBAHIAcgBhAHkALAAgACAAIAAgACAAIAAgACAAIAAgACAAXAAiACMATgBPAFQALQBBAFIAUgBBAFkAIQBcACIALABcAG4AIAAgACAAIAAgACAAIAAgACAAIAAgACAAIAAgACAAIAAgACAAIAAgACAAIAAgACAAIAAgACAAIAAgACAAIAAgAG8AbgBfAHYAYQBsAGkAZAApACwAXABuAFwAbgAgACAAIAAgAC8ALwAgAC0ALQAtACAAUgBvAHUAdABlACAAdABvACAAYwBvAHIAcgBlAGMAdAAgAGcAYQB0AGUAIAAtAC0ALQBcAG4AIAAgACAAIABkAGUAYwBpAGQAZQAsACAAIAAgACAAIAAgACAAIAAgACAAIAAgACAAIAAgACAAIABJAEYAKABJAHMARABpAGEAZwBJAG4AZABlAHgAPwAsACAAZwBhAHQAZQBfAEQAaQBhAGcASQBuAGQAZQB4ACwAXABuAFwAbgAgACAAIAAgACAAIAAgACAAIAAgACAAIAAgACAAIAAgACAAIAAgACAAIAAgACAAIAAgACAAIAAgACAAIAAgACAASQBGACgASQBzAEQAaQBhAGcATQBhAHAAPwAsACAAZwBhAHQAZQBfAEQAaQBhAGcATQBhAHAALABcAG4AXABuACAAIAAgACAAIAAgACAAIAAgACAAIAAgACAAIAAgACAAIAAgACAAIAAgACAAIAAgACAAIAAgACAAIAAgACAAIAAgACAAIAAgAEkARgAoAEkAcwBCAHkARABpAGEAZwA/ACwAIABnAGEAdABlAF8AQgB5AEQAaQBhAGcALABcAG4AXABuACAAIAAgACAAIAAgACAAIAAgACAAIAAgACAAIAAgACAAIAAgACAAIAAgACAAIAAgACAAIAAgACAAIAAgACAAIAAgACAAIAAgACAAIAAgACAAXAAiACMAVQBOAFIATwBVAFQARQBEACEAXAAiACkAKQApACwAXABuAFwAbgAgACAAIAAgAGQAZQBjAGkAZABlAFwAbgApACkAOwBcAG4AXABuAFwAbgBcAG4ALwAqACAAWwBHAFIAMAA2AF0AIAAtAC0ALQAtAC0ALQAtAC0ALQAtAC0ALQAtAC0ALQAtAC0ALQAtAC0ALQAtAC0ALQAtAC0ALQAtAC0ALQAtAC0ALQAtAC0ALQAtAC0ALQAtAC0ALQAtAC0ALQAtAC0ALQAtAC0ALQAtAC0ALQAtAC0ALQAtAC0ALQAtAC0ALQAtAC0ALQAtAC0ALQAtAC0ALQAtAFwAbgBGAHUAbgBjAHQAaQBvAG4AOgAgACAAIAAgACAAUABhAGkAcgB3AGkAcwBl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RQBjAGgAbwC7AywAIABSAGUAcwBpAHoAZQC7A1wAbgBcAG4ARABlAHMAYwByAGkAcAB0AGkAbwBuADoAXABuACAAIAAgACAAQwByAGUAYQB0AGUAcwAgAHYAZQByAHQAaQBjAGEAbAAgAHAAYQBpAHIAcwAgAGYAcgBvAG0AIAAxAEQAIABhAG4AZAAgAHMAYwBhAGwAYQByACAAaQBuAHAAdQB0AHMALgAgAEkAbgBwAHUAdABzACAAYQByAGUAIABmAGwAYQB0AHQAZQBuAGUAZAAgAHcAaQB0AGgAXABuACAAIAAgACAAVABPAEMATwBMACAAdABvACAAbgBvAHIAbQBhAGwAaQB6AGUAIABvAHIAaQBlAG4AdABhAHQAaQBvAG4ALgAgADIARAAgAGEAcgByAGEAeQBzACAAYQByAGUAIABzAHQAcgBpAGMAdABsAHkAIABwAHIAbwBoAGkAYgBpAHQAZQBkAC4AXABuAFwAbgBQAGEAcgBhAG0AZQB0AGUAcgBzADoAXABuACAAIAAgACAAdgBlAGMAdABvAHIAXwAxACAAIAAgACAALQAgADEARAAgAHYAZQBjAHQAbwByACAAbwByACAAcwBjAGEAbABhAHIALgBcAG4AIAAgACAAIAB2AGUAYwB0AG8AcgBfADIAIAAgACAAIAAtACAAMQBEACAAdgBlAGMAdABvAHIAIABvAHIAIABzAGMAYQBsAGEAcgAuAFwAbgAtAC0ALQAtAC0ALQAtAC0ALQAtAC0ALQAtAC0ALQAtAC0ALQAtAC0ALQAtAC0ALQAtAC0ALQAtAC0ALQAtAC0ALQAtAC0ALQAtAC0ALQAtAC0ALQAtAC0ALQAtAC0ALQAtAC0ALQAtAC0ALQAtAC0ALQAtAC0ALQAtAC0ALQAtAC0ALQAtAC0ALQAtAC0ALQAtAC0ALQAtAC0ALQAqAC8AXABuAFwAbgBQAGEAaQByAHcAaQBzAGUAuwM9AFwAbgBMAEEATQBCAEQAQQAoAFwAbgAgACAAIAAgAHYAZQBjAHQAbwByAF8AMQAsAFwAbgAgACAAIAAgAHYAZQBjAHQAbwByAF8AMgAsAFwAbgBcAG4ATABFAFQAKABcAG4AIAAgACAAIAAvAC8AIABGAGwAYQB0AHQAZQBuACAAaQBuAHAAdQB0AHMAXABuACAAIAAgACAAdgAsACAAIAAgACAAIAAgACAAIAAgACAAVABPAEMATwBMACgAdgBlAGMAdABvAHIAXwAxACkALABcAG4AIAAgACAAIAB2AIIgLAAgACAAIAAgACAAIAAgACAAIABUAE8AQwBPAEwAKAB2AGUAYwB0AG8AcgBfADIAKQAsAFwAbgBcAG4AIAAgACAAIAAvAC8AIABFAGwAZQBtAGUAbgB0ACAAYwBvAHUAbgB0AHMAXABuACAAIAAgACAAawAsACAAIAAgACAAIAAgACAAIAAgACAAQwBPAFUATgBUAEEAKAB2ACkALABcAG4AIAAgACAAIABrAIIgLAAgACAAIAAgACAAIAAgACAAIABDAE8AVQBOAFQAQQAoAHYAgiApACwAXABuAFwAbgAgACAAIAAgAC8ALwAgAEgAYQBsAHQAaQBuAGcAIABzAGMAZQBuAGEAcgBpAG8AcwBcAG4AIAAgACAAIABJAHMAMgBEAEkAbgBwAHUAdAA/ACwAIABPAFIAKABBAE4ARAAoAFIATwBXAFMAKAB2AGUAYwB0AG8AcgBfADEAKQA+ADEALAAgAEMATwBMAFUATQBOAFMAKAB2AGUAYwB0AG8AcgBfADEAKQA+ADEAKQAsAFwAbgAgACAAIAAgACAAIAAgACAAIAAgACAAIAAgACAAIAAgACAAIAAgAEEATgBEACgAUgBPAFcAUwAoAHYAZQBjAHQAbwByAF8AMgApAD4AMQAsACAAQwBPAEwAVQBNAE4AUwAoAHYAZQBjAHQAbwByAF8AMgApAD4AMQApACkALABcAG4AXABuACAAIAAgACAASQBzADIAQgBpAGcAPwAsACAAIAAgACAAawAgACoAIABrAIIgIAA+ACAAMQAwADAAMAAwADAAMAAsAFwAbgBcAG4ASQBGACgASQBzADIARABJAG4AcAB1AHQAPwAsACAAIAAjAFYAQQBMAFUARQAhACwAXABuAFwAbgAgACAAIAAgAEkARgAoAEkAcwAyAEIAaQBnAD8ALAAgACAAIAAgACAAIwBOAFUATQAhACwAXABuAFwAbgBMAEUAVAAoAFwAbgAgACAAIAAgAC8ALwAgAEMAYQByAHQAZQBzAGkAYQBuACAAZQB4AHAAYQBuAHMAaQBvAG4AXABuACAAIAAgACAAeAAsACAAIAAgACAAIAAgAEUAYwBoAG8AuwMoAHYALAAgAGsAgiApACwAXABuACAAIAAgACAAeQAsACAAIAAgACAAIAAgAFIAZQBzAGkAegBlALsDKAB2AIIgLAAgAGsAKQAsAFwAbgAgACAAIAAgAHAAYQBpAHIAcwAsACAAIABIAFMAVABBAEMASwAoAHgALAAgAHkAKQAsAFwAbgBcAG4AIAAgACAAIABwAGEAaQByAHMAXABuACAAIAAgACAAXABuACkAKQApACkAKQA7AFwAbgBcAG4AXABuAFwAbgAvACoAIABbAEcAUgAwADYAYQBdACAALQAtAC0ALQAtAC0ALQAtAC0ALQAtAC0ALQAtAC0ALQAtAC0ALQAtAC0ALQAtAC0ALQAtAC0ALQAtAC0ALQAtAC0ALQAtAC0ALQAtAC0ALQAtAC0ALQAtAC0ALQAtAC0ALQAtAC0ALQAtAC0ALQAtAC0ALQAtAC0ALQAtAC0ALQAtAC0ALQAtAC0ALQAtAC0ALQBcAG4ARgB1AG4AYwB0AGkAbwBuADoAIAAgACAAIAAgACAAIAAgAFQAcgBpAHAAbABlAHcAaQBzAGUAuwNcAG4AQwBhAHQAZQBnAG8AcgB5ADoAIAAgACAAIAAgACAAIAAgAEcAcgBpAGQAIABBAG4AYQBsAHkAdABpAGMAcwAgACgAQwBhAHQAZQBnAG8AcgBpAGMAYQBsACAAQQBuAGEAbAB5AHMAaQBzACkAXABuAEEAdQB0AGgAbwByADoAIAAgACAAIAAgACAAIAAgACAAIABQAGEAdAByAGkAYwBrACAASAAuAFwAbgBWAGUAcgBzAGkAbwBuADoAIAAgACAAIAAgACAAIAAgACAAMQAuADEAXABuAEQAZQBwAGUAbgBkAGUAbgBjAGkAZQBzADoAIAAgACAAIABQAGEAaQByAHcAaQBzAGUAuwNcAG4AXABuAEQAZQBzAGMAcgBpAHAAdABpAG8AbgA6AFwAbgAgACAAIAAgAEcAZQBuAGUAcgBhAHQAZQBzACAAdABoAGUAIABDAGEAcgB0AGUAcwBpAGEAbgAgAHAAcgBvAGQAdQBjAHQAIABvAGYAIAAzACAAcwBlAHQAcwAuACAAQQBsAGwAIABpAG4AcAB1AHQAcwAgAGEAcgBlACAAZgBsAGEAdAB0AGUAbgBlAGQAIABhAG4AZABcAG4AIAAgACAAIAB0AGgAZQAgAHIAZQBzAHUAbAB0AGkAbgBnACAAdAByAGkAcABsAGUAcwAgAHAAcgBlAHMAZQByAHYAZQAgAHQAaABlACAAbwByAGQAZQByACAAbwBmACAAdABoAGUAIABzAHUAcABwAGwAaQBlAGQAIABzAGUAdABzAC4AXABuAFwAbgAgACAAIAAgAFQAcgBpAHAAbABlAHcAaQBzAGUAuwMgAGUAeAB0AGUAbgBkAHMAIABQAGEAaQByAHcAaQBzAGUAuwMgAHQAbwAgAGEAIAAzABEgYQB4AGkAcwAgAGYAYQBiAHIAaQBjADoAXABuACAAIAAgACAAIAAgACAAIAAiICAAcwBlAHQAXwAxACAA1wAgAHMAZQB0AF8AMgAgANcAIABzAGUAdABfADMAXABuACAAIAAgACAAVABoAGUAIABvAHUAdABwAHUAdAAgAGkAcwAgAGEAIABzAHAAaQBsAGwAIAB3AGgAZQByAGUAIABlAGEAYwBoACAAcgBvAHcAIAByAGUAcAByAGUAcwBlAG4AdABzACAAbwBuAGUAIABvAHIAZABlAHIAZQBkACAAdAByAGkAcABsAGUALgBcAG4AXABuAEYAbwByAG0AdQBsAGEAOgAgAD0AVAByAGkAcABsAGUAdwBpAHMAZQC7AygAewBcACIAZABvAGcAXAAiADsAXAAiAGMAYQB0AFwAIgA7AFwAIgBiAGkAcgBkAFwAIgB9ACwAewBcACIAYQBcACIAOwBcACIAYgBcACIAOwBcACIAYwBcACIAfQAsAHsAMQA7ADIAfQApAFwAbgBcAG4AUgBlAHMAdQBsAHQAOgBcAG4AIAAgACAAIAB7AFwAIgBkAG8AZwBcACIALABcACIAYQBcACIALAAxADsAXABuACAAIAAgACAAIABcACIAZABvAGcAXAAiACwAXAAiAGEAXAAiACwAMgA7AFwAbgAgACAAIAAgACAAXAAiAGQAbwBnAFwAIgAsAFwAIgBiAFwAIgAsADEAOwBcAG4AIAAgACAAIAAgAFwAIgBkAG8AZwBcACIALABcACIAYgBcACIALAAyADsAXABuACAAIAAgACAAIABcACIAZABvAGcAXAAiACwAXAAiAGMAXAAiACwAMQA7AFwAbgAgACAAIAAgACAAXAAiAGQAbwBnAFwAIgAsAFwAIgBjAFwAIgAsADIAOwBcAG4AIAAgACAAIAAgAFwAIgBjAGEAdABcACIALABcACIAYQBcACIALAAxADsAXABuACAAIAAgACAAIABcACIAYwBhAHQAXAAiACwAXAAiAGEAXAAiACwAMgA7AFwAbgAgACAAIAAgACAAXAAiAGMAYQB0AFwAIgAsAFwAIgBiAFwAIgAsADEAOwBcAG4AIAAgACAAIAAgAFwAIgBjAGEAdABcACIALABcACIAYgBcACIALAAyADsAXABuACAAIAAgACAAIABcACIAYwBhAHQAXAAiACwAXAAiAGMAXAAiACwAMQA7AFwAbgAgACAAIAAgACAAXAAiAGMAYQB0AFwAIgAsAFwAIgBjAFwAIgAsADIAOwBcAG4AIAAgACAAIAAgAFwAIgBiAGkAcgBkAFwAIgAsAFwAIgBhAFwAIgAsADEAOwBcAG4AIAAgACAAIAAgAFwAIgBiAGkAcgBkAFwAIgAsAFwAIgBhAFwAIgAsADIAOwBcAG4AIAAgACAAIAAgAFwAIgBiAGkAcgBkAFwAIgAsAFwAIgBiAFwAIgAsADEAOwBcAG4AIAAgACAAIAAgAFwAIgBiAGkAcgBkAFwAIgAsAFwAIgBiAFwAIgAsADIAOwBcAG4AIAAgACAAIAAgAFwAIgBiAGkAcgBkAFwAIgAsAFwAIgBjAFwAIgAsADEAOwBcAG4AIAAgACAAIAAgAFwAIgBiAGkAcgBkAFwAIgAsAFwAIgBjAFwAIgAsADIAfQBcAG4AXABuAFAAYQByAGEAbQBlAHQAZQByAHMAOgBcAG4AIAAgACAAIABzAGUAdABfADEAIAAgACAAIABTAGMAYQBsAGEAcgBzACAAYQBuAGQAIABhAHIAcgBhAHkAcwAgACgAMQBEACAAbwByACAAMgBEACkAIABhAHIAZQAgAGEAYwBjAGUAcAB0AGUAZAAuACAAQQBsAGwAIABpAG4AcAB1AHQAcwAgAGEAcgBlACAAZgBsAGEAdAB0AGUAbgBlAGQALgBcAG4AIAAgACAAIABzAGUAdABfADIAXABuACAAIAAgACAAcwBlAHQAXwAzAFwAbgAtAC0ALQAtAC0ALQAtAC0ALQAtAC0ALQAtAC0ALQAtAC0ALQAtAC0ALQAtAC0ALQAtAC0ALQAtAC0ALQAtAC0ALQAtAC0ALQAtAC0ALQAtAC0ALQAtAC0ALQAtAC0ALQAtAC0ALQAtAC0ALQAtAC0ALQAtAC0ALQAtAC0ALQAtAC0ALQAtAC0ALQAtAC0ALQAtAC0ALQAtAC0ALQAqAC8AXABuAFwAbgBUAHIAaQBwAGwAZQB3AGkAcwBlALsDPQBcAG4ATABBAE0AQgBEAEEAKABcAG4AIAAgACAAIABzAGUAdABfADEALABcAG4AIAAgACAAIABzAGUAdABfADIALABcAG4AIAAgACAAIABzAGUAdABfADMALABcAG4ATABFAFQAKABcAG4AIAAgACAAIAAvAC8AIABGAGwAYQB0AHQAZQBuACAAYQBsAGwAIABpAG4AcAB1AHQAcwBcAG4AIAAgACAAIABzAGUAdABfADEALAAgACAAIABUAE8AQwBPAEwAKABzAGUAdABfADEAKQAsAFwAbgAgACAAIAAgAHMAZQB0AF8AMgAsACAAIAAgAFQATwBDAE8ATAAoAHMAZQB0AF8AMgApACwAXABuACAAIAAgACAAcwBlAHQAXwAzACwAIAAgACAAVABPAEMATwBMACgAcwBlAHQAXwAzACkALABcAG4AXABuACAAIAAgACAALwAvACAAUwBlAHQAIABpAHQAZQBtACAAYwBvAHUAbgB0AHMAXABuACAAIAAgACAAawCBICwAIAAgACAAIAAgACAAUgBPAFcAUwAoAHMAZQB0AF8AMQApACwAXABuACAAIAAgACAAawCCICwAIAAgACAAIAAgACAAUgBPAFcAUwAoAHMAZQB0AF8AMgApACwAXABuACAAIAAgACAAawCDICwAIAAgACAAIAAgACAAUgBPAFcAUwAoAHMAZQB0AF8AMwApACwAXABuAFwAbgAgACAAIAAgAC8ALwAgAEQAZQB0AGUAcgBtAGkAbgBlACAAaQBmACAAcwBlAHQAXwAyACAAaQBzACAAcwBjAGEAbABhAHIAXABuACAAIAAgACAAcwB3AGEAcAA/ACwAIAAgACAAawCCICAAPQAgADEALABcAG4AIAAgACAAIABcAG4AIAAgACAAIAAvAC8AIABDAHIAZQBhAHQAZQAgAHAAYQBpAHIAcwAgAGYAcgBvAG0AIABmAGkAcgBzAHQAIAB0AHcAbwAgAHMAZQB0AHMAXABuACAAIAAgACAAcABhAGkAcgBzACwAIAAgACAASQBGACgAcwB3AGEAcAA/ACwAIABQAGEAaQByAHcAaQBzAGUAuwMoAHMAZQB0AF8AMgAsAHMAZQB0AF8AMQApACwAXABuACAAIAAgACAAIAAgACAAIAAgACAAIAAgACAAIAAgACAAIAAgACAAIAAgACAAIABQAGEAaQByAHcAaQBzAGUAuwMoAHMAZQB0AF8AMQAsAHMAZQB0AF8AMgApACkALABcAG4AIAAgACAAIABcAG4AIAAgACAAIAAvAC8AIABzAGUAdABzACAAZQB4AHAAYQBuAGQAZQBkAFwAbgAgACAAIAAgAGEALAAgACAAIAAgACAAIAAgAEkARgAoAHMAdwBhAHAAPwAsAFQAQQBLAEUAKABwAGEAaQByAHMALAAsAC0AMQApACwAVABBAEsARQAoAHAAYQBpAHIAcwAsACwAMQApACkALABcAG4AIAAgACAAIABiACwAIAAgACAAIAAgACAAIABJAEYAKABzAHcAYQBwAD8ALABUAEEASwBFACgAcABhAGkAcgBzACwALAAxACkALABUAEEASwBFACgAcABhAGkAcgBzACwALAAtADEAKQApACwAXABuAFwAbgAgACAAIAAgAC8ALwAgAFAAYQBpAHIAcwAgAGYAcgBvAG0AIABzAGUAdABfADEAIABlAHgAcABhAG4AZABlAGQAIAArACAAcwBlAHQAXwAzAFwAbgAgACAAIAAgAHQAaAByAGkAYwBlACwAIAAgAEkARgAoAGsAgyAgADwAPgAgADEALAAgAFAAYQBpAHIAdwBpAHMAZQC7AygAYQAsAHMAZQB0AF8AMwApACwAUABhAGkAcgB3AGkAcwBlALsDKABzAGUAdABfADMALABhACkAKQAsAFwAbgBcAG4AIAAgACAAIAAvAC8AIABQAGEAaQByAHMAIABmAHIAbwBtACAAcwBlAHQAXwAyACAAZQB4AHAAYQBuAGQAZQBkACAAKwAgAHMAZQB0AF8AMwBcAG4AIAAgACAAIAB0AGgAcgBpAGMAZQBfACwAIABJAEYAKABrAIMgIAA8AD4AIAAxACwAIABQAGEAaQByAHcAaQBzAGUAuwMoAGIALABzAGUAdABfADMAKQAsAFAAYQBpAHIAdwBpAHMAZQC7AygAcwBlAHQAXwAzACwAYgApACkALABcAG4AXABuACAAIAAgACAALwAvACAAUwBlAGwAZQBjAHQAaQBvAG4AXABuACAAIAAgACAAYwBvAGwAcwAsACAAIAAgACAASQBGACgAawCDICAAPQAgADEALAAxACwALQAxACkALABcAG4AIAAgACAAIABhAF8ALAAgACAAIAAgACAAIABEAFIATwBQACgAdABoAHIAaQBjAGUALAAsAGMAbwBsAHMAKQAsAFwAbgAgACAAIAAgAGIAXwAsACAAIAAgACAAIAAgAEQAUgBPAFAAKAB0AGgAcgBpAGMAZQBfACwALABjAG8AbABzACkALABcAG4AIAAgACAAIABjAF8ALAAgACAAIAAgACAAIABUAEEASwBFACgAdABoAHIAaQBjAGUALAAsAGMAbwBsAHMAKQAsAFwAbgAgACAAIAAgAFwAbgAgACAAIAAgAC8ALwAgAFIAZQBzAHQAbwByAGUAIABvAHIAZABlAHIAIAB0AG8AIABtAGEAdABjAGgAIABpAG4AcAB1AHQAIABvAHIAZABlAHIAXABuACAAIAAgACAAZgBpAG4AYQBsACwAIAAgACAASABTAFQAQQBDAEsAKABhAF8ALABiAF8ALABjAF8AKQAsAFwAbgAgACAAIAAgAGYAaQBuAGEAbABcAG4AKQApADsAXABuAFwAbgBcAG4AXABuAC8AKgAgAFsARwBSADAANgBiAF0AIAAtAC0ALQAtAC0ALQAtAC0ALQAtAC0ALQAtAC0ALQAtAC0ALQAtAC0ALQAtAC0ALQAtAC0ALQAtAC0ALQAtAC0ALQAtAC0ALQAtAC0ALQAtAC0ALQAtAC0ALQAtAC0ALQAtAC0ALQAtAC0ALQAtAC0ALQAtAC0ALQAtAC0ALQAtAC0ALQAtAC0ALQAtAC0ALQAtAFwAbgBGAHUAbgBjAHQAaQBvAG4AOgAgACAAIAAgACAAIAAgACAAUQB1AGEAZAB3AGkAcwBlALsDXABuAEMAYQB0AGUAZwBvAHIAeQA6ACAAIAAgACAAIAAgACAAIABHAHIAaQBkACAAQQBuAGEAbAB5AHQAaQBjAHMAIAAoAEMAYQB0AGUAZwBvAHIAaQBjAGEAbAAgAEEAbgBhAGwAeQBzAGkAcwApAFwAbgBBAHUAdABoAG8AcgA6ACAAIAAgACAAIAAgACAAIAAgACAAUABhAHQAcgBpAGMAawAgAEgALgBcAG4AVgBlAHIAcwBpAG8AbgA6ACAAIAAgACAAIAAgACAAIAAgADEALgAxAFwAbgBEAGUAcABlAG4AZABlAG4AYwBpAGUAcwA6ACAAIAAgACAAUgBlAHAAZQBhAHQAUgBvAHcAcwC7AywAIABSAGUAcwBpAHoAZQC7AywAIABUAHIAaQBwAGwAZQB3AGkAcwBlALsDXABuAFwAbgBEAGUAcwBjAHIAaQBwAHQAaQBvAG4AOgBcAG4AIAAgACAAIABHAGUAbgBlAHIAYQB0AGUAcwAgAHQAaABlACAAQwBhAHIAdABlAHMAaQBhAG4AIABwAHIAbwBkAHUAYwB0ACAAbwBmACAANAAgAHMAZQB0AHMALgAgAEEAbABsACAAaQBuAHAAdQB0AHMAIABhAHIAZQAgAGYAbABhAHQAdABlAG4AZQBkACAAYQBuAGQAXABuACAAIAAgACAAdABoAGUAIAByAGUAcwB1AGwAdABpAG4AZwAgAHEAdQBhAGQAcgB1AHAAbABlAHMAIABwAHIAZQBzAGUAcgB2AGUAIAB0AGgAZQAgAG8AcgBkAGUAcgAgAG8AZgAgAHQAaABlACAAcwB1AHAAcABsAGkAZQBkACAAcwBlAHQAcwAuAFwAbgBcAG4AIAAgACAAIABRAHUAYQBkAHcAaQBzAGUAuwMgAGUAeAB0AGUAbgBkAHMAIABUAHIAaQBwAGwAZQB3AGkAcwBlALsDIAB0AG8AIABhACAANAARIGEAeABpAHMAIABmAGEAYgByAGkAYwA6AFwAbgAgACAAIAAgACAAIAAgACAAIiAgAHMAZQB0AF8AMQAgANcAIABzAGUAdABfADIAIADXACAAcwBlAHQAXwAzACAA1wAgAHMAZQB0AF8ANABcAG4AIAAgACAAIABUAGgAZQAgAG8AdQB0AHAAdQB0ACAAaQBzACAAYQAgAHMAcABpAGwAbAAgAHIAYQBuAGcAZQAgAHcAaABlAHIAZQAgAGUAYQBjAGgAIAByAG8AdwAgAHIAZQBwAHIAZQBzAGUAbgB0AHMAIABvAG4AZQAgAG8AcgBkAGUAcgBlAGQAIABxAHUAYQBkAHIAdQBwAGwAZQAuAFwAbgBcAG4AUABhAHIAYQBtAGUAdABlAHIAcwA6AFwAbgAgACAAIAAgAHMAZQB0AF8AMQAgACAAIAAgAFMAYwBhAGwAYQByAHMAIABhAG4AZAAgAGEAcgByAGEAeQBzACAAKAAxAEQAIABvAHIAIAAyAEQAKQAgAGEAcgBlACAAYQBjAGMAZQBwAHQAZQBkAC4AIABBAGwAbAAgAGkAbgBwAHUAdABzACAAYQByAGUAIABmAGwAYQB0AHQAZQBuAGUAZAAuAFwAbgAgACAAIAAgAHMAZQB0AF8AMgBcAG4AIAAgACAAIABzAGUAdABfADMAXABuACAAIAAgACAAcwBlAHQAXwA0AFwAbgAtAC0ALQAtAC0ALQAtAC0ALQAtAC0ALQAtAC0ALQAtAC0ALQAtAC0ALQAtAC0ALQAtAC0ALQAtAC0ALQAtAC0ALQAtAC0ALQAtAC0ALQAtAC0ALQAtAC0ALQAtAC0ALQAtAC0ALQAtAC0ALQAtAC0ALQAtAC0ALQAtAC0ALQAtAC0ALQAtAC0ALQAtAC0ALQAtAC0ALQAtAC0ALQAqAC8AXABuAFwAbgBRAHUAYQBkAHcAaQBzAGUAuwM9AFwAbgBMAEEATQBCAEQAQQAoAFwAbgAgACAAIAAgAHMAZQB0AF8AMQAsAFwAbgAgACAAIAAgAHMAZQB0AF8AMgAsAFwAbgAgACAAIAAgAHMAZQB0AF8AMwAsAFwAbgAgACAAIAAgAHMAZQB0AF8ANAAsAFwAbgBMAEUAVAAoAFwAbgAgACAAIAAgAC8ALwAgAEYAbABhAHQAdABlAG4AIABhAGwAbAAgAGkAbgBwAHUAdABzAFwAbgAgACAAIAAgAHMAZQB0AF8AMQAsACAAIABUAE8AQwBPAEwAKABzAGUAdABfADEAKQAsAFwAbgAgACAAIAAgAHMAZQB0AF8AMgAsACAAIABUAE8AQwBPAEwAKABzAGUAdABfADIAKQAsAFwAbgAgACAAIAAgAHMAZQB0AF8AMwAsACAAIABUAE8AQwBPAEwAKABzAGUAdABfADMAKQAsAFwAbgAgACAAIAAgAHMAZQB0AF8ANAAsACAAIABUAE8AQwBPAEwAKABzAGUAdABfADQAKQAsAFwAbgBcAG4AIAAgACAAIAAvAC8AIABFAHgAcABhAG4AcwBpAG8AbgAgAGMAbwB1AG4AdABcAG4AIAAgACAAIABrACwAIAAgACAAIAAgACAAUgBPAFcAUwAoAHMAZQB0AF8ANAApACwAXABuAFwAbgAgACAAIAAgAC8ALwAgAE4AbwByAG0AYQBsAGkAegBlACAAcwBlAHQAIAA0ACAAaQBmACAAcwBjAGEAbABhAHIAIAB0AG8AIABhAHYAbwBpAGQAIABUAE8AQwBPAEwAIABoAGEAbgBkAG8AZgBmACAAdABvACAAUgBlAHMAaQB6AGUAuwNcAG4AIAAgACAAIABkACwAIAAgACAAIAAgACAASQBGACgAawAgADwAPgAgADEALABzAGUAdABfADQALABJAE4ARABFAFgAKABzAGUAdABfADQALAAxACkAKQAsAFwAbgBcAG4AIAAgACAAIAAvAC8AIABUAHIAaQBwAGwAZQBzAFwAbgAgACAAIAAgAHQAaAByAGkAYwBlACwAIABUAHIAaQBwAGwAZQB3AGkAcwBlALsDKABzAGUAdABfADEALABzAGUAdABfADIALABzAGUAdABfADMAKQAsAFwAbgAgACAAIAAgAFwAbgAgACAAIAAgAC8ALwAgAEUAeABwAGEAbgBkACAAdAByAGkAcABsAGUAIAByAG8AdwBzACAAYgB5ACAAdABvAHQAYQBsACAAaQB0AGUAbQBzACAAaQBuACAAcwBlAHQAIAA0AFwAbgAgACAAIAAgAHQAaAByAGkAYwBlAF8ALABSAGUAcABlAGEAdABSAG8AdwBzALsDKAB0AGgAcgBpAGMAZQAsAGsAKQAsAFwAbgAgACAAIAAgAGsAgiAsACAAIAAgACAAIABSAE8AVwBTACgAdABoAHIAaQBjAGUAXwApACwAXABuAFwAbgAgACAAIAAgAC8ALwAgAEUAeABwAGEAbgBkACAAcwBlAHQAIAA0ACAAdABvACAAbQBhAHQAYwBoACAAbABlAG4AZwB0AGgAIABvAGYAIAB0AHIAaQBwAGwAZQBcAG4AIAAgACAAIABmAG8AdQByACwAIAAgACAAUgBlAHMAaQB6AGUAuwMoAGQALABrAIIgIAAvACAAawApACwAXABuAFwAbgAgACAAIAAgAC8ALwAgAFMAdABhAGMAawAgAGEAbgBkACAAZABpAHMAcABsAGEAeQBcAG4AIAAgACAAIABmAGkAbgBhAGwALAAgACAASABTAFQAQQBDAEsAKAB0AGgAcgBpAGMAZQBfACwAZgBvAHUAcgApACwAXABuACAAIAAgACAAZgBpAG4AYQBsAFwAbgBcAG4AKQApADsAXABuAFwAbgBcAG4AXABuAC8AKgAgAFsARwBSADAANwBdACAALQAtAC0ALQAtAC0ALQAtAC0ALQAtAC0ALQAtAC0ALQAtAC0ALQAtAC0ALQAtAC0ALQAtAC0ALQAtAC0ALQAtAC0ALQAtAC0ALQAtAC0ALQAtAC0ALQAtAC0ALQAtAC0ALQAtAC0ALQAtAC0ALQAtAC0ALQAtAC0ALQAtAC0ALQAtAC0ALQAtAC0ALQAtAC0ALQBcAG4ARgB1AG4AYwB0AGkAbwBuADoAIAAgACAAIAAgAEcAcgBvAHUAcABiAHkAQgBpAG4AuwNcAG4AQwBhAHQAZQBnAG8AcgB5ADoAIAAgACAAIAAgAEcAcgBpAGQAIABBAG4AYQBsAHkAdABpAGMAcwAgACgAQwBhAHQAZQBnAG8AcgBpAGMAYQBsACAAQQBuAGEAbAB5AHMAaQBzACkAXABuAEEAdQB0AGgAbwByADoAIAAgACAAIAAgACAAIABQAGEAdAByAGkAYwBrACAASAAuAFwAbgBWAGUAcgBzAGkAbwBuADoAIAAgACAAIAAgACAAMQAuADEAXABuAFwAbgBEAGUAcwBjAHIAaQBwAHQAaQBvAG4AOgBcAG4AIAAgACAAIABBAGcAZwByAGUAZwBhAHQAZQBzACAAbwBuAGUAIABvAHIAIABtAG8AcgBlACAAdgBhAGwAdQBlACAAYQByAHIAYQB5AHMAIABpAG4AdABvACAAZgBpAHgAZQBkABEgdwBpAGQAdABoACAAYgBpAG4AcwAgAGQAZQByAGkAdgBlAGQAIABmAHIAbwBtACAAYQBcAG4AIAAgACAAIABuAHUAbQBlAHIAaQBjACAAZgBpAGUAbABkAC4AIABTAHUAcABwAG8AcgB0AHMAIABvAHAAdABpAG8AbgBhAGwAIABoAGUAYQBkAGUAcgBzACAAYQBuAGQAIABjAGgAYQByAHQAESByAGUAYQBkAHkAIABvAHUAdABwAHUAdAAuACAAQgBpAG4AcwAgAGEAcgBlAFwAbgAgACAAIAAgAGQAZQBmAGkAbgBlAGQAIABiAHkAIABhACAAbgB1AG0AZQByAGkAYwAgAGEAcgByAGEAeQAgAGEAbgBkACAAYQAgAHAAbwBzAGkAdABpAHYAZQAgAGkAbgB0AGUAZwBlAHIAIABiAGkAbgBfAHcAaQBkAHQAaAAuAFwAbgBcAG4AUABhAHIAYQBtAGUAdABlAHIAcwA6AFwAbgAgACAAIAAgAGEAcgByAGEAeQAgACAAIAAgACAAIAAgACAAIAAgACAALQAgAE4AdQBtAGUAcgBpAGMAIAAxAEQAIABhAHIAcgBhAHkAIAB1AHMAZQBkACAAdABvACAAZABlAGYAaQBuAGUAIABiAGkAbgAgAGIAbwB1AG4AZABhAHIAaQBlAHMALgBcAG4AIAAgACAAIAB2AGEAbAB1AGUAcwAgACAAIAAgACAAIAAgACAAIAAgAC0AIABBAHIAcgBhAHkAKABzACkAIAB0AG8AIABiAGUAIABhAGcAZwByAGUAZwBhAHQAZQBkACAAKAAxAEQAIABvAHIAIAAyAEQAKQAuAFwAbgAgACAAIAAgAGIAaQBuAF8AdwBpAGQAdABoACAAIAAgACAAIAAgACAALQAgAFAAbwBzAGkAdABpAHYAZQAgAGkAbgB0AGUAZwBlAHIAIABzAHAAZQBjAGkAZgB5AGkAbgBnACAAYgBpAG4AIAB3AGkAZAB0AGgAIAAoAGUiIAAxACkALgBcAG4AIAAgACAAIABmAHUAbgBjAHQAaQBvAG4AIAAgACAAIAAgACAAIAAgAC0AIABFAFQAQQARIGMAbwBtAHAAYQB0AGkAYgBsAGUAIABmAHUAbgBjAHQAaQBvAG4AIABvAHIAIABzAGkAbgBnAGwAZQARIHAAYQByAGEAbQBlAHQAZQByACAATABBAE0AQgBEAEEALgBcAG4AXABuAE8AcAB0AGkAbwBuAGEAbAA6AFwAbgAgACAAIAAgAFsAZgBpAGUAbABkAF8AaABlAGEAZABlAHIAXQAgACAALQAgAFQAUgBVAEUAIABpAGYAIABpAG4AcAB1AHQAIABhAHIAcgBhAHkAcwAgAGkAbgBjAGwAdQBkAGUAIABoAGUAYQBkAGUAcgBzACAAdABvACAAYgBlACAAYwBhAHIAcgBpAGUAZAAgAGYAbwByAHcAYQByAGQALgBcAG4AIAAgACAAIABbAGMAaABhAHIAdABfAHAAcgBlAHAAXQAgACAAIAAgAC0AIABUAFIAVQBFACAAdABvACAAcgBlAHQAdQByAG4AIABhACAAYwBvAG4AYwBpAHMAZQAgAGMAaABhAHIAdAARIHIAZQBhAGQAeQAgAGwAYQB5AG8AdQB0AC4AXABuAFwAbgBOAG8AdABlAHMAOgBcAG4AIAAgACAAIAAiICAAYgBpAG4AXwB3AGkAZAB0AGgAIAA9ACAAMQAgAJIhIABiAGUAaABhAHYAZQBzACAAbABpAGsAZQAgAEcAUgBPAFUAUABCAFkAIAAoAG4AbwAgAGIAaQBuAG4AaQBuAGcAKQAuAFwAbgAgACAAIAAgACIgIABiAGkAbgBfAHcAaQBkAHQAaAAgAGUiIAAoAG0AYQB4ACAAEiIgAG0AaQBuACkAIACSISAAYwBvAGwAbABhAHAAcwBlAHMAIAB0AG8AIABhACAAcwBpAG4AZwBsAGUAIABiAGkAbgAuAFwAbgAgACAAIAAgACIgIABDAGgAYQByAHQAIABtAG8AZABlACAAcgBlAHQAdQByAG4AcwAgAHsAXAAiAEIAaQBuAFwAIgAsAFwAIgBBAGcAZwByAGUAZwBhAHQAZQBcACIAfQAgAGYAbwByACAAZQBhAHMAeQAgAHAAbABvAHQAdABpAG4AZwAuAFwAbgAtAC0ALQAtAC0ALQAtAC0ALQAtAC0ALQAtAC0ALQAtAC0ALQAtAC0ALQAtAC0ALQAtAC0ALQAtAC0ALQAtAC0ALQAtAC0ALQAtAC0ALQAtAC0ALQAtAC0ALQAtAC0ALQAtAC0ALQAtAC0ALQAtAC0ALQAtAC0ALQAtAC0ALQAtAC0ALQAtAC0ALQAtAC0ALQAtAC0ALQAtAC0ALQAqAC8AXABuAFwAbgBHAHIAbwB1AHAAYgB5AEIAaQBuALsDIAA9AFwAbgBMAEEATQBCAEQAQQAoAFwAbgAgACAAIAAgAGEAcgByAGEAeQAsAFwAbgAgACAAIAAgAHYAYQBsAHUAZQBzACwAXABuACAAIAAgACAAYgBpAG4AXwB3AGkAZAB0AGgALABcAG4AIAAgACAAIABmAHUAbgBjAHQAaQBvAG4ALABcAG4AIAAgACAAIABbAGYAaQBlAGwAZABfAGgAZQBhAGQAZQByAF0ALABcAG4AIAAgACAAIABbAGMAaABhAHIAdABfAHAAcgBlAHAAXQAsAFwAbgBMAEUAVAAoAFwAbgAgACAAIAAgAC8ALwAgAEQAaQBtAGUAbgBzAGkAbwBuAHMAXABuACAAIAAgACAAaQAsACAAIAAgACAAIAAgACAAIAAgACAAIAAgACAAIAAgACAAIAAgAFIATwBXAFMAKABhAHIAcgBhAHkAKQAsAFwAbgAgACAAIAAgAGoALAAgACAAIAAgACAAIAAgACAAIAAgACAAIAAgACAAIAAgACAAIABDAE8ATABVAE0ATgBTACgAYQByAHIAYQB5ACkALABcAG4AIAAgACAAIABpAF8ALAAgACAAIAAgACAAIAAgACAAIAAgACAAIAAgACAAIAAgACAAUgBPAFcAUwAoAHYAYQBsAHUAZQBzACkALABcAG4AIAAgACAAIABqAF8ALAAgACAAIAAgACAAIAAgACAAIAAgACAAIAAgACAAIAAgACAAQwBPAEwAVQBNAE4AUwAoAHYAYQBsAHUAZQBzACkALABcAG4AXABuACAAIAAgACAALwAvACAASABlAGEAZABlAHIAIABmAGwAYQBnAFwAbgAgACAAIAAgAEgAZQBhAGQAZQByAHMAPwAsACAAIAAgACAAIAAgACAAIAAgACAAIABOAE8AVAAoAEkAUwBPAE0ASQBUAFQARQBEACgAZgBpAGUAbABkAF8AaABlAGEAZABlAHIAKQApACwAXABuAFwAbgAgACAAIAAgAC8ALwAgAEgAYQBsAHQAaQBuAGcAIABjAG8AbgBkAGkAdABpAG8AbgBzAFwAbgAgACAAIAAgAEkAcwAyAEQAPwAsACAAIAAgACAAIAAgACAAIAAgACAAIAAgACAAIABBAE4ARAAoAGkAIAA+ACAAMQAsACAAagAgAD4AIAAxACkALABcAG4AIAAgACAAIABTAGgAYQBwAGUATQBpAHMAbQBhAHQAYwBoAD8ALAAgACAAIAAgACAAaQAgADwAPgAgAGkAXwAsAFwAbgAgACAAIAAgAEkAbgB2AGEAbABpAGQAQgBpAG4APwAsACAAIAAgACAAIAAgACAAIABPAFIAKABJAFMAVABFAFgAVAAoAGIAaQBuAF8AdwBpAGQAdABoACkALAAgAGIAaQBuAF8AdwBpAGQAdABoACAAPAAgADEAKQAsAFwAbgAgACAAIAAgAEkAbgB2AGEAbABpAGQARgBuAD8ALAAgACAAIAAgACAAIAAgACAAIABUAFkAUABFACgAZgB1AG4AYwB0AGkAbwBuACkAIAA8AD4AIAAxADIAOAAsAFwAbgAgACAAIAAgAE4AbwBuAE4AdQBtAGUAcgBpAGMAPwAsACAAIAAgACAAIAAgACAAIABOAE8AVAAoAEEATgBEACgASQBTAE4AVQBNAEIARQBSACgASQBGACgASABlAGEAZABlAHIAcwA/ACwAIABEAFIATwBQACgAYQByAHIAYQB5ACwAIAAxACkALAAgAGEAcgByAGEAeQApACkAKQApACwAXABuAFwAbgAgACAAIAAgAC8ALwAgAEwAbwBnAGkAYwAgAGcAYQB0AGUAXABuACAAIAAgACAASQBGACgASQBzADIARAA/ACwAIAAgACAAIAAgACAAIAAgACAAIAAgACAAIABcACIAIwAxAEQALQBBAFIAUgBBAFkAIQBcACIALABcAG4AXABuACAAIAAgACAAIAAgACAAIABJAEYAKABTAGgAYQBwAGUATQBpAHMAbQBhAHQAYwBoAD8ALAAgAFwAIgAjAEQASQBNAEUATgBTAEkATwBOAFMAIQBcACIALABcAG4AXABuACAAIAAgACAAIAAgACAAIAAgACAAIAAgAEkARgAoAE4AbwBuAE4AdQBtAGUAcgBpAGMAPwAsACAAXAAiACMATgBVAE0AIQBcACIALABcAG4AXABuACAAIAAgACAAIAAgACAAIAAgACAAIAAgACAAIAAgACAASQBGACgASQBuAHYAYQBsAGkAZABCAGkAbgA/ACwAIABcACIAIwBCAEkATgAtAFcASQBEAFQASAAhAFwAIgAsAFwAbgBcAG4AIAAgACAAIAAgACAAIAAgACAAIAAgACAAIAAgACAAIAAgACAAIAAgAEkARgAoAEkAbgB2AGEAbABpAGQARgBuAD8ALAAgAFwAIgAjAEkATgBWAEEATABJAEQALQBGAFUATgBDAFQASQBPAE4AIQBcACIALABcAG4AXABuAEwARQBUACgAXABuACAAIAAgACAALwAvACAATwBwAHQAaQBvAG4AYQBsACAAZgBsAGEAZwBzAFwAbgAgACAAIAAgAE4AbwBDAGgAYQByAHQAPwAsACAAIAAgACAAIAAgACAAIAAgACAAIABJAFMATwBNAEkAVABUAEUARAAoAGMAaABhAHIAdABfAHAAcgBlAHAAKQAsAFwAbgBcAG4AIAAgACAAIAAvAC8AIABTAHQAcgBpAHAAIABoAGUAYQBkAGUAcgBzACAAaQBmACAAcAByAGUAcwBlAG4AdABcAG4AIAAgACAAIABhAHIAcgAsACAAIAAgACAAIAAgACAAIAAgACAAIAAgACAAIAAgACAASQBGACgASABlAGEAZABlAHIAcwA/ACwAIABEAFIATwBQACgAYQByAHIAYQB5ACwAIAAxACkALAAgAGEAcgByAGEAeQApACwAXABuACAAIAAgACAAdgBhAGwALAAgACAAIAAgACAAIAAgACAAIAAgACAAIAAgACAAIAAgAEkARgAoAEgAZQBhAGQAZQByAHMAPwAsACAARABSAE8AUAAoAHYAYQBsAHUAZQBzACwAIAAxACkALAAgAHYAYQBsAHUAZQBzACkALABcAG4AXABuACAAIAAgACAALwAvACAASABlAGEAZABlAHIAIABjAG8AbgBzAHQAcgB1AGMAdABpAG8AbgBcAG4AIAAgACAAIAByAG8AdwBfAGgAZQBhAGQAZQByACwAIAAgACAAIAAgACAAIAAgACAASABTAFQAQQBDAEsAKABcACIAQgBpAG4AIABTAHQAYQByAHQAIABcACIAIAAmACAASQBGACgASABlAGEAZABlAHIAcwA/ACwAIABUAEEASwBFACgAYQByAHIAYQB5ACwAIAAxACkALAAgAFwAIgBcACIAKQAgACYAIABcACIAIABWAGEAbAB1AGUAXAAiACwAXAAiAEIAaQBuACAARQBuAGQAXAAiACkALABcAG4AIAAgACAAIAB2AGEAbABfAGgAZQBhAGQAZQByACwAIAAgACAAIAAgACAAIAAgACAARQBYAFAAQQBOAEQAKABJAEYAKABIAGUAYQBkAGUAcgBzAD8ALAAgAFQAQQBLAEUAKAB2AGEAbAB1AGUAcwAsACAAMQApACwAIABcACIAVABvAHQAYQBsAFwAIgApACwALABqAF8ALABcACIAXAAiACkALABcAG4AIAAgACAAIABoAGUAYQBkAGUAcgAsACAAIAAgACAAIAAgACAAIAAgACAAIAAgACAASABTAFQAQQBDAEsAKAByAG8AdwBfAGgAZQBhAGQAZQByACwAIAB2AGEAbABfAGgAZQBhAGQAZQByACkALABcAG4AXABuACAAIAAgACAALwAvACAAQgBpAG4AIABiAG8AdQBuAGQAYQByAGkAZQBzAFwAbgAgACAAIAAgAG0AaQBuACwAIAAgACAAIAAgACAAIAAgACAAIAAgACAAIAAgACAAIABNAEkATgAoAGEAcgByACkALABcAG4AIAAgACAAIABzAHQAYQByAHQALAAgACAAIAAgACAAIAAgACAAIAAgACAAIAAgACAARgBMAE8ATwBSACgAbQBpAG4ALAAgAGIAaQBuAF8AdwBpAGQAdABoACkALABcAG4AXABuACAAIAAgACAAbQBhAHgALAAgACAAIAAgACAAIAAgACAAIAAgACAAIAAgACAAIAAgAE0AQQBYACgAYQByAHIAKQAsAFwAbgAgACAAIAAgAGUAbgBkACwAIAAgACAAIAAgACAAIAAgACAAIAAgACAAIAAgACAAIABDAEUASQBMAEkATgBHACgAbQBhAHgALAAgAGIAaQBuAF8AdwBpAGQAdABoACkALABcAG4AXABuACAAIAAgACAAawAsACAAIAAgACAAIAAgACAAIAAgACAAIAAgACAAIAAgACAAIAAgACgAZQBuAGQAIAAtACAAcwB0AGEAcgB0ACkAIAAvACAAYgBpAG4AXwB3AGkAZAB0AGgALABcAG4AXABuACAAIAAgACAAYgBpAG4ALAAgACAAIAAgACAAIAAgACAAIAAgACAAIAAgACAAIAAgAFMARQBRAFUARQBOAEMARQAoAGsAIAArACAAMQAsACAALAAgAHMAdABhAHIAdAAsACAAYgBpAG4AXwB3AGkAZAB0AGgAKQAsAFwAbgAgACAAIAAgAGIAaQBuAF8AcwB0AGEAcgB0ACwAIAAgACAAIAAgACAAIAAgACAAIABEAFIATwBQACgAYgBpAG4ALAAgAC0AMQApACwAXABuACAAIAAgACAAYgBpAG4AXwBlAG4AZAAsACAAIAAgACAAIAAgACAAIAAgACAAIAAgAEQAUgBPAFAAKABiAGkAbgAsACAAMQApACwAXABuAFwAbgAgACAAIAAgAC8ALwAgAEIAaQBuACAAYQBzAHMAaQBnAG4AbQBlAG4AdABcAG4AIAAgACAAIABpAGQAeAAsACAAIAAgACAAIAAgACAAIAAgACAAIAAgACAAIAAgACAAWABNAEEAVABDAEgAKABhAHIAcgAsACAAYgBpAG4AXwBzAHQAYQByAHQALAAgAC0AMQApACwAXABuACAAIAAgACAAcgBvAHcAXwBzAHQAYQByAHQALAAgACAAIAAgACAAIAAgACAAIAAgAEkATgBEAEUAWAAoAGIAaQBuAF8AcwB0AGEAcgB0ACwAIABpAGQAeAApACwAXABuACAAIAAgACAAcgBvAHcAXwBlAG4AZAAsACAAIAAgACAAIAAgACAAIAAgACAAIAAgAEkATgBEAEUAWAAoAGIAaQBuAF8AZQBuAGQALAAgAGkAZAB4ACkALABcAG4AIAAgACAAIAByAG8AdwBfAGYAaQBlAGwAZABzACwAIAAgACAAIAAgACAAIAAgACAASABTAFQAQQBDAEsAKAByAG8AdwBfAHMAdABhAHIAdAAsACAAcgBvAHcAXwBlAG4AZAApACwAXABuAFwAbgAgACAAIAAgAC8ALwAgAEEAZwBnAHIAZQBnAGEAdABpAG8AbgBcAG4AIAAgACAAIABhAGcAZwAsACAAIAAgACAAIAAgACAAIAAgACAAIAAgACAAIAAgACAARwBSAE8AVQBQAEIAWQAoAHIAbwB3AF8AZgBpAGUAbABkAHMALAAgAHYAYQBsACwAIABmAHUAbgBjAHQAaQBvAG4ALAAgAEgAZQBhAGQAZQByAHMAPwAsACAAMAApACwAXABuAFwAbgAgACAAIAAgAC8ALwAgAEMAaABhAHIAdAAgAHAAcgBlAHAAXABuACAAIAAgACAAYQAsACAAIAAgACAAIAAgACAAIAAgACAAIAAgACAAIAAgACAAIAAgAEMASABPAE8AUwBFAEMATwBMAFMAKABhAGcAZwAsACAAMQApACAAJgAgAFwAIgAgAC0AIAA8AFwAIgAgACYAIABDAEgATwBPAFMARQBDAE8ATABTACgAYQBnAGcALAAgADIAKQAsAFwAbgAgACAAIAAgAGIALAAgACAAIAAgACAAIAAgACAAIAAgACAAIAAgACAAIAAgACAAIABEAFIATwBQACgAYQBnAGcALAAgACwAIAAyACkALABcAG4AIAAgACAAIABjAGgAYQByAHQAXwBsAGEAYgBlAGwAcwAsACAAIAAgACAAIAAgACAAewBcACIAQgBpAG4AXAAiACwAIABcACIAQQBnAGcAcgBlAGcAYQB0AGUAXAAiAH0ALABcAG4AXABuACAAIAAgACAALwAvACAAUgBlAHQAdQByAG4AIABtAG8AZABlAHMAXABuACAAIAAgACAAZABhAHQAYQAsACAAIAAgACAAIAAgACAAIAAgACAAIAAgACAAIAAgAFYAUwBUAEEAQwBLACgAaABlAGEAZABlAHIALAAgAGEAZwBnACkALABcAG4AIAAgACAAIABjAGgAYQByAHQALAAgACAAIAAgACAAIAAgACAAIAAgACAAIAAgACAAVgBTAFQAQQBDAEsAKABjAGgAYQByAHQAXwBsAGEAYgBlAGwAcwAsACAASABTAFQAQQBDAEsAKABhACwAIABiACkAKQAsAFwAbgBcAG4AIAAgACAAIABkAGUAbABpAHYAZQByAHkALAAgACAAIAAgACAAIAAgACAAIAAgACAASQBGACgATgBvAEMAaABhAHIAdAA/ACwAIABkAGEAdABhACwAIABjAGgAYQByAHQAKQAsAFwAbgAgACAAIAAgAGQAZQBsAGkAdgBlAHIAeQBcAG4AKQApACkAKQApACkAKQApADsAXABuAFwAbgBcAG4AXABuAC8AKgAgAFsARwBSADAAOABdACAALQAtAC0ALQAtAC0ALQAtAC0ALQAtAC0ALQAtAC0ALQAtAC0ALQAtAC0ALQAtAC0ALQAtAC0ALQAtAC0ALQAtAC0ALQAtAC0ALQAtAC0ALQAtAC0ALQAtAC0ALQAtAC0ALQAtAC0ALQAtAC0ALQAtAC0ALQAtAC0ALQAtAC0ALQAtAC0ALQAtAC0ALQAtAC0ALQBcAG4ARgB1AG4AYwB0AGkAbwBuADoAIAAgACAAIAAgAEcAcgBvAHUAcABiAHkARABhAHQAZQ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FYAYQBsAGkAZABhAHQAZQBHAEQAuwNcAG4AXABuAEQAZQBzAGMAcgBpAHAAdABpAG8AbgA6AFwAbgAgACAAIAAgAEEAZwBnAHIAZQBnAGEAdABlAHMAIAB2AGEAbAB1AGUAcwAgAGIAeQAgAHIAbwB3ACAAZgBpAGUAbABkAHMAIABjAG8AbgB0AGEAaQBuAGkAbgBnACAAZABhAHQAZQBzACwAIAB1AHMAaQBuAGcAIABhACAAcwBwAGUAYwBpAGYAaQBlAGQAXABuACAAIAAgACAAZABhAHQAZQAvAHQAaQBtAGUAIABpAG4AdABlAHIAdgBhAGwAIAAoAG0AaQBuAHUAdABlACwAIABoAG8AdQByACwAIABkAGEAeQAsACAAdwBlAGUAawAsACAAZgBvAHIAdABuAGkAZwBoAHQALAAgAG0AbwBuAHQAaAAsACAAcQB1AGEAcgB0AGUAcgAsAFwAbgAgACAAIAAgAHkAZQBhAHIAKQAuACAAUwB1AHAAcABvAHIAdABzACAAbwBwAHQAaQBvAG4AYQBsACAAaABlAGEAZABlAHIAcwAsACAAYwB1AHMAdABvAG0AIABmAG8AcgBtAGEAdAB0AGkAbgBnACwAIABhAG4AZAAgAHIAbwB3ACAAZgBpAGwAdABlAHIAaQBuAGcALgBcAG4AXABuAFAAYQByAGEAbQBlAHQAZQByAHMAOgBcAG4AIAAgACAAIAByAG8AdwBfAGYAaQBlAGwAZABzACAAIAAgACAAIAAgAC0AIABBAHIAcgBhAHkAIAAoADEARAAgAG8AcgAgADIARAApACAAdwBpAHQAaAAgAGQAYQB0AGUAcwAgAGkAbgAgAHQAaABlACAAbABlAGYAdABtAG8AcwB0ACAAYwBvAGwAdQBtAG4ALgBcAG4AIAAgACAAIAB2AGEAbAB1AGUAcwAgACAAIAAgACAAIAAgACAAIAAgAC0AIABBAHIAcgBhAHkAIAAoADEARAAgAG8AcgAgADIARAApACAAYwBvAG4AdABhAGkAbgBpAG4AZwAgAHYAYQBsAHUAZQBzACAAZgBvAHIAIABhAGcAZwByAGUAZwBhAHQAaQBvAG4ALgBcAG4AIAAgACAAIABpAG4AdABlAHIAdgBhAGwAIAAgACAAIAAgACAAIAAgAC0AIABEAGEAdABlAC8AdABpAG0AZQAgAGEAZwBnAHIAZQBnAGEAdABpAG8AbgAgAGkAbgB0AGUAcgB2AGEAbAAgACgAbgB1AG0AYgBlAHIAIABvAHIAIAB0AGUAeAB0ACkALgBcAG4AIAAgACAAIABmAHUAbgBjAHQAaQBvAG4AIAAgACAAIAAgACAAIAAgAC0AIABFAFQAQQARIGMAbwBtAHAAYQB0AGkAYgBsAGUAIABmAHUAbgBjAHQAaQBvAG4AIABvAHIAIABzAGkAbgBnAGwAZQARIHAAYQByAGEAbQBlAHQAZQByACAATABBAE0AQgBEAEEALgBcAG4AXABuAE8AcAB0AGkAbwBuAGEAbAA6AFwAbgAgACAAIAAgAFsAZgBvAHIAbQBhAHQAXQAgACAAIAAgACAAIAAgACAALQAgAEMAdQBzAHQAbwBtACAAZABhAHQAZQAvAHQAaQBtAGUAIABmAG8AcgBtAGEAdAAgAHMAdAByAGkAbgBnAC4AXABuACAAIAAgACAAWwBmAGkAZQBsAGQAXwBoAGUAYQBkAGUAcgBzAF0AIAAtACAAVABSAFUARQAgAGkAZgAgAGkAbgBwAHUAdAAgAGEAcgByAGEAeQBzACAAaQBuAGMAbAB1AGQAZQAgAGgAZQBhAGQAZQByAHMALgBcAG4AIAAgACAAIABbAGYAaQBsAHQAZQByAF8AYQByAHIAYQB5AF0AIAAgAC0AIABCAG8AbwBsAGUAYQBuACAAYQByAHIAYQB5ACAAdABvACAAZgBpAGwAdABlAHIAIAByAG8AdwBzACAAYgBlAGYAbwByAGUAIABhAGcAZwByAGUAZwBhAHQAaQBvAG4ALgBcAG4ALQAtAC0ALQAtAC0ALQAtAC0ALQAtAC0ALQAtAC0ALQAtAC0ALQAtAC0ALQAtAC0ALQAtAC0ALQAtAC0ALQAtAC0ALQAtAC0ALQAtAC0ALQAtAC0ALQAtAC0ALQAtAC0ALQAtAC0ALQAtAC0ALQAtAC0ALQAtAC0ALQAtAC0ALQAtAC0ALQAtAC0ALQAtAC0ALQAtAC0ALQAtAC0AKgAvAFwAbgBcAG4ARwByAG8AdQBwAGIAeQBEAGEAdABlALsDIAA9AFwAbgBMAEEATQBCAEQAQQAoAFwAbgAgACAAIAAgAHIAbwB3AF8AZgBpAGUAbABkAHMALABcAG4AIAAgACAAIAB2AGEAbAB1AGUAcwAsAFwAbgAgACAAIAAgAGkAbgB0AGUAcgB2AGEAbAAsAFwAbgAgACAAIAAgAGYAdQBuAGMAdABpAG8AbgAsAFwAbgAgACAAIAAgAFsAZgBvAHIAbQBhAHQAXQAsAFwAbgAgACAAIAAgAFsAZgBpAGUAbABkAF8AaABlAGEAZABlAHIAcwBdACwAXABuACAAIAAgACAAWwBmAGkAbAB0AGUAcgBfAGEAcgByAGEAeQBdACwAXABuAFwAbgBWAGEAbABpAGQAYQB0AGUARwBEALsDKAByAG8AdwBfAGYAaQBlAGwAZABzACwAIAB2AGEAbAB1AGUAcwAsACAAaQBuAHQAZQByAHYAYQBsACwAIABmAHUAbgBjAHQAaQBvAG4ALAAgAGYAaQBlAGwAZABfAGgAZQBhAGQAZQByAHMALAAgAGYAaQBsAHQAZQByAF8AYQByAHIAYQB5ACwAXABuAFwAbgBMAEUAVAAoAFwAbgAgACAAIAAgAC8ALwAgAEkAbgB0AGUAcgB2AGEAbAAgAG4AbwByAG0AYQBsAGkAegBhAHQAaQBvAG4AXABuACAAIAAgACAATgB1AG0ASQBuAHQAZQByAHYAYQBsAD8ALAAgACAAIAAgACAAIAAgAE4ATwBUACgASQBTAFQARQBYAFQAKABpAG4AdABlAHIAdgBhAGwAKQApACwAXABuAFwAbgAgACAAIAAgAGMAbwBuAHMAdAAsACAAIAAgACAAIAAgACAAIAAgACAAIAAgACAAIAB7AFwAIgBtAGkAbgB1AHQAZQBcACIAOwBcACIAaABvAHUAcgBcACIAOwBcACIAZABhAHkAXAAiADsAXAAiAHcAZQBlAGsAXAAiADsAXABuACAAIAAgACAAIAAgACAAIAAgACAAIAAgACAAIAAgACAAIAAgACAAIAAgACAAIAAgACAAXAAiAGYAbwByAHQAbgBpAGcAaAB0AFwAIgA7AFwAIgBtAG8AbgB0AGgAXAAiADsAXAAiAHEAdQBhAHIAdABlAHIAXAAiADsAXAAiAHkAZQBhAHIAXAAiAH0ALABcAG4AXABuACAAIAAgACAAaQBuAHQAZQByAHYAYQBsACwAIAAgACAAIAAgACAAIAAgACAAIAAgAEkARgAoAE4AdQBtAEkAbgB0AGUAcgB2AGEAbAA/ACwAaQBuAHQAZQByAHYAYQBsACwAXABuACAAIAAgACAAIAAgACAAIAAgACAAIAAgACAAIAAgACAAIAAgACAAIAAgACAAIAAgACAAIAAgACAAWABNAEEAVABDAEgAKABMAE8AVwBFAFIAKABpAG4AdABlAHIAdgBhAGwAKQAgACYAIABcACIAKgBcACIALAAgAGMAbwBuAHMAdAAsACAAMgApACkALABcAG4AXABuACAAIAAgACAASQBuAGMAbAB1AGQAZQBzAF8AZQBuAGQAPwAsACAAIAAgACAAIAAgACgAaQBuAHQAZQByAHYAYQBsACAAPQAgADQAKQAgACsAIAAoAGkAbgB0AGUAcgB2AGEAbAAgAD0AIAA1ACkALABcAG4AXABuACAAIAAgACAAdQBuAGkAdAAsACAAIAAgACAAIAAgACAAIAAgACAAIAAgACAAIAAgAEMASABPAE8AUwBFACgAaQBuAHQAZQByAHYAYQBsACwAIAAxADQANAAwACwAIAAyADQALAAgADEALAAgADEALAAgADEALAAgADEALAAgADEALAAgADEAKQAsAFwAbgBcAG4AIAAgACAAIAAvAC8AIABPAHAAdABpAG8AbgBhAGwAIABwAGEAcgBhAG0AZQB0AGUAcgBzAFwAbgAgACAAIAAgAE4AbwBGAG8AcgBtAGEAdAA/ACwAIAAgACAAIAAgACAAIAAgACAAIABJAFMATwBNAEkAVABUAEUARAAoAGYAbwByAG0AYQB0ACkALABcAG4AIAAgACAAIABIAGUAYQBkAGUAcgA/ACwAIAAgACAAIAAgACAAIAAgACAAIAAgACAATgBPAFQAKABJAFMATwBNAEkAVABUAEUARAAoAGYAaQBlAGwAZABfAGgAZQBhAGQAZQByAHMAKQApACwAXABuACAAIAAgACAARgBpAGwAdABlAHIAPwAsACAAIAAgACAAIAAgACAAIAAgACAAIAAgAE4ATwBUACgASQBTAE8ATQBJAFQAVABFAEQAKABmAGkAbAB0AGUAcgBfAGEAcgByAGEAeQApACkALABcAG4AXABuACAAIAAgACAALwAvACAARABhAHQAZQAgAHYAZQBjAHQAbwByACAAZgByAG8AbQAgAHIAbwB3AF8AZgBpAGUAbABkAHMAXABuACAAIAAgACAAZABhAHQAZQBfAGMAbwBsACwAIAAgACAAIAAgACAAIAAgACAAIAAgAEkARgAoAEgAZQBhAGQAZQByAD8ALABcAG4AIAAgACAAIAAgACAAIAAgACAAIAAgACAAIAAgACAAIAAgACAAIAAgACAAIAAgACAAIAAgACAAIABEAFIATwBQACgAVABBAEsARQAoAHIAbwB3AF8AZgBpAGUAbABkAHMALAAgACwAIAAxACkALAAgADEAKQAsAFwAbgAgACAAIAAgACAAIAAgACAAIAAgACAAIAAgACAAIAAgACAAIAAgACAAIAAgACAAIAAgACAAIAAgAFQAQQBLAEUAKAByAG8AdwBfAGYAaQBlAGwAZABzACwAIAAsACAAMQApACkALABcAG4AXABuACAAIAAgACAAZABhAHQAZQBzACwAIAAgACAAIAAgACAAIAAgACAAIAAgACAAIAAgAEkARgAoAGkAbgB0AGUAcgB2AGEAbAAgADwAIAAzACwAXABuACAAIAAgACAAIAAgACAAIAAgACAAIAAgACAAIAAgACAAIAAgACAAIAAgACAAIAAgACAAIAAgACAAUgBPAFUATgBEACgAZABhAHQAZQBfAGMAbwBsACAAKgAgAHUAbgBpAHQALAAgADAAKQAgAC8AIAB1AG4AaQB0ACwAXABuACAAIAAgACAAIAAgACAAIAAgACAAIAAgACAAIAAgACAAIAAgACAAIAAgACAAIAAgACAAIAAgACAASQBOAFQAKABkAGEAdABlAF8AYwBvAGwAKQApACwAXABuAFwAbgAgACAAIAAgAHYAYQBsAHUAZQBzAF8AaABlAGEAZABlAHIALAAgACAAIAAgACAAIABUAEEASwBFACgAdgBhAGwAdQBlAHMALAAgADEAKQAsAFwAbgAgACAAIAAgAHYAYQBsAHUAZQBzACwAIAAgACAAIAAgACAAIAAgACAAIAAgACAAIABJAEYAKABIAGUAYQBkAGUAcgA/ACwAIABEAFIATwBQACgAdgBhAGwAdQBlAHMALAAgADEAKQAsACAAdgBhAGwAdQBlAHMAKQAsAFwAbgAgACAAIAAgAHIAbwB3AF8AZABlAHQAYQBpAGwAcwAsACAAIAAgACAAIAAgACAAIABEAFIATwBQACgARABSAE8AUAAoAHIAbwB3AF8AZgBpAGUAbABkAHMALAAgACwAIAAxACkALAAgAEgAZQBhAGQAZQByAD8AKQAsAFwAbgAgACAAIAAgAGYAaQBsAHQAZQByAF8AdQBzAGUAZAAsACAAIAAgACAAIAAgACAAIABJAEYAKABIAGUAYQBkAGUAcgA/ACAAKgAgAEYAaQBsAHQAZQByAD8ALABcAG4AIAAgACAAIAAgACAAIAAgACAAIAAgACAAIAAgACAAIAAgACAAIAAgACAAIAAgACAAIAAgACAAIABEAFIATwBQACgAZgBpAGwAdABlAHIAXwBhAHIAcgBhAHkALAAgADEAKQAsAFwAbgAgACAAIAAgACAAIAAgACAAIAAgACAAIAAgACAAIAAgACAAIAAgACAAIAAgACAAIAAgACAAIAAgAGYAaQBsAHQAZQByAF8AYQByAHIAYQB5ACkALABcAG4AXABuACAAIAAgACAALwAvACAAVwBpAGQAdABoAHMAXABuACAAIAAgACAAdwAsACAAIAAgACAAIAAgACAAIAAgACAAIAAgACAAIAAgACAAIAAgAEMATwBMAFUATQBOAFMAKAByAG8AdwBfAGYAaQBlAGwAZABzACkALABcAG4AIAAgACAAIAB3AF8ALAAgACAAIAAgACAAIAAgACAAIAAgACAAIAAgACAAIAAgACAAQwBPAEwAVQBNAE4AUwAoAHYAYQBsAHUAZQBzACkALABcAG4AIAAgACAAIABqACwAIAAgACAAIAAgACAAIAAgACAAIAAgACAAIAAgACAAIAAgACAAdwAgACsAIAB3AF8ALABcAG4AXABuACAAIAAgACAALwAvACAARABhAHQAZQAgAGIAbwB1AG4AZABzAFwAbgAgACAAIAAgAG0AaQBuACwAIAAgACAAIAAgACAAIAAgACAAIAAgACAAIAAgACAAIABJAE4AVAAoAE0ASQBOACgAZABhAHQAZQBzACkAKQAsAFwAbgAgACAAIAAgAG0AYQB4ACwAIAAgACAAIAAgACAAIAAgACAAIAAgACAAIAAgACAAIABJAE4AVAAoAE0AQQBYACgAZABhAHQAZQBzACkAKQAsAFwAbgAgACAAIAAgAG0ALAAgACAAIAAgACAAIAAgACAAIAAgACAAIAAgACAAIAAgACAAIABNAE8ATgBUAEgAKABtAGkAbgApACwAXABuACAAIAAgACAAZAAsACAAIAAgACAAIAAgACAAIAAgACAAIAAgACAAIAAgACAAIAAgAEQAQQBZACgAbQBpAG4AKQAsAFwAbgAgACAAIAAgAHkALAAgACAAIAAgACAAIAAgACAAIAAgACAAIAAgACAAIAAgACAAIABZAEUAQQBSACgAbQBpAG4AKQAsAFwAbgBcAG4AIAAgACAAIAAvAC8AIABUAGkAbQBlACAAbwBmACAAZgBpAHIAcwB0ACAAZABhAHQAZQBcAG4AIAAgACAAIABmAGkAcgBzAHQALAAgACAAIAAgACAAIAAgACAAIAAgACAAIAAgACAATQBJAE4AKABkAGEAdABlAHMAKQAsAFwAbgAgACAAIAAgAGwAYQBzAHQALAAgACAAIAAgACAAIAAgACAAIAAgACAAIAAgACAAIABNAEEAWAAoAGQAYQB0AGUAcwApACwAXABuACAAIAAgACAAaAByACwAIAAgACAAIAAgACAAIAAgACAAIAAgACAAIAAgACAAIAAgAEgATwBVAFIAKABmAGkAcgBzAHQAKQAsAFwAbgAgACAAIAAgAG0AbQAsACAAIAAgACAAIAAgACAAIAAgACAAIAAgACAAIAAgACAAIABNAEkATgBVAFQARQAoAGYAaQByAHMAdAApACwAXABuAFwAbgAgACAAIAAgAC8ALwAgAFIAYQBuAGcAZQBzAFwAbgAgACAAIAAgAHMAZQBjAG8AbgBkAHMALAAgACAAIAAgACAAIAAgACAAIAAgACAAIAAoAGwAYQBzAHQAIAAtACAAZgBpAHIAcwB0ACkAIAAqACAAOAA2ADQAMAAwACwAXABuACAAIAAgACAAbQBpAG4AdQB0AGUAcwAsACAAIAAgACAAIAAgACAAIAAgACAAIAAgAEMARQBJAEwASQBOAEcAKABzAGUAYwBvAG4AZABzACAALwAgADYAMAAsACAAMQApACwAXABuACAAIAAgACAAaABvAHUAcgBzACwAIAAgACAAIAAgACAAIAAgACAAIAAgACAAIAAgAG0AaQBuAHUAdABlAHMAIAAvACAANgAwACwAXABuACAAIAAgACAAZABhAHkAcwAsACAAIAAgACAAIAAgACAAIAAgACAAIAAgACAAIAAgAG0AYQB4ACAALQAgAG0AaQBuACwAXABuACAAIAAgACAAdwBlAGUAawBzACwAIAAgACAAIAAgACAAIAAgACAAIAAgACAAIAAgAEMARQBJAEwASQBOAEcAKABkAGEAeQBzACAALwAgADcALAAgADEAKQAsAFwAbgAgACAAIAAgAGYAbwByAHQAbgBpAGcAaAB0ACwAIAAgACAAIAAgACAAIAAgACAAIABDAEUASQBMAEkATgBHACgAZABhAHkAcwAgAC8AIAAxADQALAAgADEAKQAsAFwAbgAgACAAIAAgAG0AbwBuAHQAaABzACwAIAAgACAAIAAgACAAIAAgACAAIAAgACAAIABEAEEAVABFAEQASQBGACgAbQBpAG4ALAAgAG0AYQB4ACwAIABcACIAbQBcACIAKQAsAFwAbgAgACAAIAAgAHEAdQBhAHIAdABlAHIAcwAsACAAIAAgACAAIAAgACAAIAAgACAAIABDAEUASQBMAEkATgBHACgAbQBvAG4AdABoAHMAIAAvACAAMwAsACAAMQApACwAXABuACAAIAAgACAAeQBlAGEAcgBzACwAIAAgACAAIAAgACAAIAAgACAAIAAgACAAIAAgAEMARQBJAEwASQBOAEcAKABtAG8AbgB0AGgAcwAgAC8AIAAxADIALAAgADEAKQAsAFwAbgBcAG4AIAAgACAAIAAvAC8AIABEAGkAcwBwAGwAYQB5ACAAZgBvAHIAbQBhAHQAcwBcAG4AIAAgACAAIABoAF8AbQBtACwAIAAgACAAIAAgACAAIAAgACAAIAAgACAAIAAgACAASQBGACgAZABhAHkAcwAgAD4AIAAxACwAIABcACIAbQAvAGQALwB5AHkAeQAgAGgAOgBtAG0AIABBAE0ALwBQAE0AXAAiACwAIABcACIAaAA6AG0AbQAgAEEATQAvAFAATQBcACIAKQAsAFwAbgAgACAAIAAgAG0AbQBtAG0ALAAgACAAIAAgACAAIAAgACAAIAAgACAAIAAgACAAIABcACIAbQBtAG0AbQAgAHkAeQB5AFwAIgAsAFwAbgAgACAAIAAgAGQAYQB5ACwAIAAgACAAIAAgACAAIAAgACAAIAAgACAAIAAgACAAIABcACIAbQAvAGQALwB5AHkAeQBcACIALABcAG4AIAAgACAAIAB5AHkAeQAsACAAIAAgACAAIAAgACAAIAAgACAAIAAgACAAIAAgACAAXAAiAHkAeQB5AFwAIgAsAFwAbgBcAG4AIAAgACAAIABmAG0AdAAsACAAIAAgACAAIAAgACAAIAAgACAAIAAgACAAIAAgACAASQBGACgATgBvAEYAbwByAG0AYQB0AD8ALABcAG4AIAAgACAAIAAgACAAIAAgACAAIAAgACAAIAAgACAAIAAgACAAIAAgACAAIAAgACAAIAAgACAAIABTAFcASQBUAEMASAAoAGkAbgB0AGUAcgB2AGEAbAAsAFwAbgAgACAAIAAgACAAIAAgACAAIAAgACAAIAAgACAAIAAgACAAIAAgACAAIAAgACAAIAAgACAAIAAgACAAIAAgACAAIAAgACAAIAAxACwAIABoAF8AbQBtACwAXABuACAAIAAgACAAIAAgACAAIAAgACAAIAAgACAAIAAgACAAIAAgACAAIAAgACAAIAAgACAAIAAgACAAIAAgACAAIAAgACAAIAAgADIALAAgAGgAXwBtAG0ALABcAG4AIAAgACAAIAAgACAAIAAgACAAIAAgACAAIAAgACAAIAAgACAAIAAgACAAIAAgACAAIAAgACAAIAAgACAAIAAgACAAIAAgACAAMwAsACAAZABhAHkALABcAG4AIAAgACAAIAAgACAAIAAgACAAIAAgACAAIAAgACAAIAAgACAAIAAgACAAIAAgACAAIAAgACAAIAAgACAAIAAgACAAIAAgACAANAAsACAAZABhAHkALABcAG4AIAAgACAAIAAgACAAIAAgACAAIAAgACAAIAAgACAAIAAgACAAIAAgACAAIAAgACAAIAAgACAAIAAgACAAIAAgACAAIAAgACAANQAsACAAZABhAHkALABcAG4AIAAgACAAIAAgACAAIAAgACAAIAAgACAAIAAgACAAIAAgACAAIAAgACAAIAAgACAAIAAgACAAIAAgACAAIAAgACAAIAAgACAANgAsACAAbQBtAG0AbQAsAFwAbgAgACAAIAAgACAAIAAgACAAIAAgACAAIAAgACAAIAAgACAAIAAgACAAIAAgACAAIAAgACAAIAAgACAAIAAgACAAIAAgACAAIAA3ACwAIABtAG0AbQBtACwAXABuACAAIAAgACAAIAAgACAAIAAgACAAIAAgACAAIAAgACAAIAAgACAAIAAgACAAIAAgACAAIAAgACAAIAAgACAAIAAgACAAIAAgADgALAAgAHkAeQB5ACwAXABuACAAIAAgACAAIAAgACAAIAAgACAAIAAgACAAIAAgACAAIAAgACAAIAAgACAAIAAgACAAIAAgACAAIAAgACAAIAAgACAAIAAgAG0AbQBtAG0AKQAsAFwAbgAgACAAIAAgACAAIAAgACAAIAAgACAAIAAgACAAIAAgACAAIAAgACAAIAAgACAAIAAgACAAIAAgAGYAbwByAG0AYQB0ACkALABcAG4AXABuACAAIAAgACAALwAvACAARABhAHQAZQAvAHQAaQBtAGUAIABhAHIAcgBhAHkAcwAgACgAZABlAGYAZQByAHIAZQBkACkAXABuACAAIAAgACAAbQBpAG4AXwBhAHIAcgAsACAAIAAgACAAIAAgACAAIAAgACAAIAAgAEwAQQBNAEIARABBACgAUwBFAFEAVQBFAE4AQwBFACgAQABtAGkAbgB1AHQAZQBzACAAKwAgADEALAAgACwAIABmAGkAcgBzAHQALAAgADEAIAAvACAAMQA0ADQAMAApACkALABcAG4AIAAgACAAIABoAHIAcwBfAGEAcgByACwAIAAgACAAIAAgACAAIAAgACAAIAAgACAATABBAE0AQgBEAEEAKABTAEUAUQBVAEUATgBDAEUAKABAAGgAbwB1AHIAcwAgACsAIAAxACwAIAAsACAAZgBpAHIAcwB0ACwAIAAxACAALwAgADIANAApACkALABcAG4AIAAgACAAIABkAGEAeQBzAF8AYQByAHIALAAgACAAIAAgACAAIAAgACAAIAAgACAATABBAE0AQgBEAEEAKABTAEUAUQBVAEUATgBDAEUAKABkAGEAeQBzACAAKwAgADEALAAgACwAIABtAGkAbgAsACAAMQApACkALABcAG4AIAAgACAAIAB3AGUAZQBrAHMAXwBhAHIAcgAsACAAIAAgACAAIAAgACAAIAAgACAATABBAE0AQgBEAEEAKABEAEEAVABFACgAeQAsACAAbQAsACAAUwBFAFEAVQBFAE4AQwBFACgAdwBlAGUAawBzACAAKwAgADEALAAgACwAIABkACwAIAA3ACkAKQApACwAXABuACAAIAAgACAAZgBvAHIAdABfAGEAcgByACwAIAAgACAAIAAgACAAIAAgACAAIAAgAEwAQQBNAEIARABBACgARABBAFQARQAoAHkALAAgAG0ALAAgAFMARQBRAFUARQBOAEMARQAoAGYAbwByAHQAbgBpAGcAaAB0ACAAKwAgADEALAAgACwAIABkACwAIAAxADQAKQApACkALABcAG4AIAAgACAAIABtAG8AbgB0AGgAXwBhAHIAcgAsACAAIAAgACAAIAAgACAAIAAgACAATABBAE0AQgBEAEEAKABEAEEAVABFACgAeQAsACAAbQAgACsAIABTAEUAUQBVAEUATgBDAEUAKABtAG8AbgB0AGgAcwAgACsAIAAxACwAIAAsACAAMAApACwAIABkACkAKQAsAFwAbgAgACAAIAAgAHEAdAByAHMAXwBhAHIAcgAsACAAIAAgACAAIAAgACAAIAAgACAAIABMAEEATQBCAEQAQQAoAEQAQQBUAEUAKAB5ACwAIABtACAAKwAgAFMARQBRAFUARQBOAEMARQAoAHEAdQBhAHIAdABlAHIAcwAgACsAIAAxACwAIAAsACAAMAAsACAAMwApACwAIABkACkAKQAsAFwAbgAgACAAIAAgAHkAcgBzAF8AYQByAHIALAAgACAAIAAgACAAIAAgACAAIAAgACAAIABMAEEATQBCAEQAQQAoAEQAQQBUAEUAKAB5ACAAKwAgAFMARQBRAFUARQBOAEMARQAoAEAAeQBlAGEAcgBzACAAKwAgADEALAAgACwAIAAwACkALAAgAG0ALAAgADEAKQApACwAXABuAFwAbgAgACAAIAAgAC8ALwAgAEkAbgB0AGUAcgB2AGEAbAAgAHMAZQBsAGUAYwB0AGkAbwBuAFwAbgAgACAAIAAgAGIAaQBuACwAIAAgACAAIAAgACAAIAAgACAAIAAgACAAIAAgACAAIABMAEEATQBCAEQAQQAoAEkARgAoAGkAbgB0AGUAcgB2AGEAbAAgADwAIAAzACwAXABuACAAIAAgACAAIAAgACAAIAAgACAAIAAgACAAIAAgACAAIAAgACAAIAAgACAAIAAgACAAIAAgACAAIAAgACAAIABSAE8AVQBOAEQAKABDAEgATwBPAFMARQAoAGkAbgB0AGUAcgB2AGEAbAAsACAAbQBpAG4AXwBhAHIAcgAoACkALAAgAGgAcgBzAF8AYQByAHIAKAApACkAIAAqACAAdQBuAGkAdAAsAFwAbgAgACAAIAAgACAAIAAgACAAIAAgACAAIAAgACAAIAAgACAAIAAgACAAIAAgACAAIAAgACAAIAAgACAAIAAgACAAIAAgACAAIAAwACkAIAAvACAAdQBuAGkAdAAsAFwAbgAgACAAIAAgACAAIAAgACAAIAAgACAAIAAgACAAIAAgACAAIAAgACAAIAAgACAAIAAgACAAIAAgACAAIAAgACAAQwBIAE8ATwBTAEUAKABcAG4AIAAgACAAIAAgACAAIAAgACAAIAAgACAAIAAgACAAIAAgACAAIAAgACAAIAAgACAAIAAgACAAIAAgACAAIAAgACAAIAAgACAAaQBuAHQAZQByAHYAYQBsACAALQAgADIALABcAG4AIAAgACAAIAAgACAAIAAgACAAIAAgACAAIAAgACAAIAAgACAAIAAgACAAIAAgACAAIAAgACAAIAAgACAAIAAgACAAIAAgACAAZABhAHkAcwBfAGEAcgByACgAKQAsAFwAbgAgACAAIAAgACAAIAAgACAAIAAgACAAIAAgACAAIAAgACAAIAAgACAAIAAgACAAIAAgACAAIAAgACAAIAAgACAAIAAgACAAIAB3AGUAZQBrAHMAXwBhAHIAcgAoACkALABcAG4AIAAgACAAIAAgACAAIAAgACAAIAAgACAAIAAgACAAIAAgACAAIAAgACAAIAAgACAAIAAgACAAIAAgACAAIAAgACAAIAAgACAAZgBvAHIAdABfAGEAcgByACgAKQAsAFwAbgAgACAAIAAgACAAIAAgACAAIAAgACAAIAAgACAAIAAgACAAIAAgACAAIAAgACAAIAAgACAAIAAgACAAIAAgACAAIAAgACAAIABtAG8AbgB0AGgAXwBhAHIAcgAoACkALABcAG4AIAAgACAAIAAgACAAIAAgACAAIAAgACAAIAAgACAAIAAgACAAIAAgACAAIAAgACAAIAAgACAAIAAgACAAIAAgACAAIAAgACAAcQB0AHIAcwBfAGEAcgByACgAKQAsAFwAbgAgACAAIAAgACAAIAAgACAAIAAgACAAIAAgACAAIAAgACAAIAAgACAAIAAgACAAIAAgACAAIAAgACAAIAAgACAAIAAgACAAIAB5AHIAcwBfAGEAcgByACgAKQApACkAKQAsAFwAbgBcAG4AIAAgACAAIAAvAC8AIABMAGEAYgBlAGwAIABhAHMAcwBpAGcAbgBtAGUAbgB0AFwAbgAgACAAIAAgAGkALAAgACAAIAAgACAAIAAgACAAIAAgACAAIAAgACAAIAAgACAAIABMAEEATQBCAEQAQQAoAEkARgAoAGkAbgB0AGUAcgB2AGEAbAAgAD0AIAA4ACwAWABNAEEAVABDAEgAKABZAEUAQQBSACgAZABhAHQAZQBzACkALAAgAFkARQBBAFIAKABiAGkAbgAoACkAKQApACwAXABuACAAIAAgACAAIAAgACAAIAAgACAAIAAgACAAIAAgACAAIAAgACAAIAAgACAAIAAgACAAIAAgACAAIAAgACAAIABYAE0AQQBUAEMASAAoAGQAYQB0AGUAcwAsACAAYgBpAG4AKAApACwAIAAtADEAKQApACkALABcAG4AXABuACAAIAAgACAAZABhAHQAZQBfAGYAaQBlAGwAZAAsACAAIAAgACAAIAAgACAAIAAgAEwAQQBNAEIARABBACgASQBOAEQARQBYACgAYgBpAG4AKAApACwAIABpACgAKQApACkALABcAG4AXABuACAAIAAgACAALwAvACAAUgBvAHcAIABsAGEAYgBlAGwAcwBcAG4AIAAgACAAIAByAG8AdwBfAGwAYQBiAGUAbABzACwAIAAgACAAIAAgACAAIAAgACAASQBGACgAdwAgAD0AIAAxACwAZABhAHQAZQBfAGYAaQBlAGwAZAAoACkALABcAG4AIAAgACAAIAAgACAAIAAgACAAIAAgACAAIAAgACAAIAAgACAAIAAgACAAIAAgACAAIAAgACAAIABIAFMAVABBAEMASwAoAGQAYQB0AGUAXwBmAGkAZQBsAGQAKAApACwAIAByAG8AdwBfAGQAZQB0AGEAaQBsAHMAKQApACwAXABuAFwAbgAgACAAIAAgAC8ALwAgAEgAZQBhAGQAZQByAHMAXABuACAAIAAgACAAdABvAHQAYQBsAF8AbABhAGIAZQBsACwAIAAgACAAIAAgACAAIAAgAFMAVwBJAFQAQwBIACgAaQBuAHQAZQByAHYAYQBsACwAXABuACAAIAAgACAAIAAgACAAIAAgACAAIAAgACAAIAAgACAAIAAgACAAIAAgACAAIAAgACAAIAAgACAAIAAgACAAIAAgACAAIAAgACAAIAAgACAAMQAsACAAXAAiAFQAbwB0AGEAbABzACAAYgB5ACAAbQBpAG4AdQB0AGUAXAAiACwAXABuACAAIAAgACAAIAAgACAAIAAgACAAIAAgACAAIAAgACAAIAAgACAAIAAgACAAIAAgACAAIAAgACAAIAAgACAAIAAgACAAIAAgACAAIAAgACAAMgAsACAAXAAiAFQAbwB0AGEAbABzACAAYgB5ACAAaABvAHUAcgBcACIALABcAG4AIAAgACAAIAAgACAAIAAgACAAIAAgACAAIAAgACAAIAAgACAAIAAgACAAIAAgACAAIAAgACAAIAAgACAAIAAgACAAIAAgACAAIAAgACAAIAAzACwAIABcACIAVABvAHQAYQBsAHMAIABiAHkAIABEAGEAeQBcACIALABcAG4AIAAgACAAIAAgACAAIAAgACAAIAAgACAAIAAgACAAIAAgACAAIAAgACAAIAAgACAAIAAgACAAIAAgACAAIAAgACAAIAAgACAAIAAgACAAIAA0ACwAIABcACIAVwBlAGUAawBsAHkAIABUAG8AdABhAGwAcwBcACIALABcAG4AIAAgACAAIAAgACAAIAAgACAAIAAgACAAIAAgACAAIAAgACAAIAAgACAAIAAgACAAIAAgACAAIAAgACAAIAAgACAAIAAgACAAIAAgACAAIAA1ACwAIABcACIAQgBpAHcAZQBlAGsAbAB5ACAAVABvAHQAYQBsAHMAXAAiACwAXABuACAAIAAgACAAIAAgACAAIAAgACAAIAAgACAAIAAgACAAIAAgACAAIAAgACAAIAAgACAAIAAgACAAIAAgACAAIAAgACAAIAAgACAAIAAgACAANgAsACAAXAAiAE0AbwBuAHQAaABsAHkAIABUAG8AdABhAGwAcwBcACIALABcAG4AIAAgACAAIAAgACAAIAAgACAAIAAgACAAIAAgACAAIAAgACAAIAAgACAAIAAgACAAIAAgACAAIAAgACAAIAAgACAAIAAgACAAIAAgACAAIAA3ACwAIABcACIAVABvAHQAYQBsAHMAIABiAHkAIABRAHUAYQByAHQAZQByAFwAIgAsAFwAbgAgACAAIAAgACAAIAAgACAAIAAgACAAIAAgACAAIAAgACAAIAAgACAAIAAgACAAIAAgACAAIAAgACAAIAAgACAAIAAgACAAIAAgACAAIAAgADgALAAgAFwAIgBZAGUAYQByAGwAeQAgAFQAbwB0AGEAbABzAFwAIgAsAFwAbgAgACAAIAAgACAAIAAgACAAIAAgACAAIAAgACAAIAAgACAAIAAgACAAIAAgACAAIAAgACAAIAAgACAAIAAgACAAIAAgACAAIAAgACAAIAAgAFwAIgBcACIAKQAsAFwAbgBcAG4AIAAgACAAIAB0AG8AdABhAGwAXwBoAGUAYQBkAGUAcgAsACAAIAAgACAAIAAgACAARQBYAFAAQQBOAEQAKABJAEYAKABPAFIAKABpAG4AdABlAHIAdgBhAGwAIAA9ACAANAAsACAAaQBuAHQAZQByAHYAYQBsACAAPQAgADUAKQAsAFwAbgAgACAAIAAgACAAIAAgACAAIAAgACAAIAAgACAAIAAgACAAIAAgACAAIAAgACAAIAAgACAAIAAgACAAIAAgACAASABTAFQAQQBDAEsAKAB0AG8AdABhAGwAXwBsAGEAYgBlAGwALAAgAFwAIgBFAG4AZABpAG4AZwAgAEQAYQB0AGUAXAAiACkALABcAG4AIAAgACAAIAAgACAAIAAgACAAIAAgACAAIAAgACAAIAAgACAAIAAgACAAIAAgACAAIAAgACAAIAAgACAAIAAgAHQAbwB0AGEAbABfAGwAYQBiAGUAbAApACwALAB3ACAAKwAgAEkAbgBjAGwAdQBkAGUAcwBfAGUAbgBkAD8ALABcACIAXAAiACkALABcAG4AXABuACAAIAAgACAAYQBnAGcAXwBoAGUAYQBkAGUAcgAsACAAIAAgACAAIAAgACAAIAAgAEkARgAoAEgAZQBhAGQAZQByAD8ALAB2AGEAbAB1AGUAcwBfAGgAZQBhAGQAZQByACwAXABuACAAIAAgACAAIAAgACAAIAAgACAAIAAgACAAIAAgACAAIAAgACAAIAAgACAAIAAgACAAIAAgACAARQBYAFAAQQBOAEQAKABcACIAXAAiACwAIAAsACAAdwBfACwAIABcACIAXAAiACkAKQAsAFwAbgBcAG4AIAAgACAAIAAvAC8AIABBAGcAZwByAGUAZwBhAHQAaQBvAG4AXABuACAAIAAgACAAbgBvAF8AZgBpAGwAdABlAHIALAAgACAAIAAgACAAIAAgACAAIAAgAEcAUgBPAFUAUABCAFkAKAByAG8AdwBfAGwAYQBiAGUAbABzACwAIAB2AGEAbAB1AGUAcwAsACAAZgB1AG4AYwB0AGkAbwBuACwAIABIAGUAYQBkAGUAcgA/ACkALABcAG4AIAAgACAAIABmAGkAbAB0AGUAcgBfAGkAbgBjACwAIAAgACAAIAAgACAAIAAgACAARwBSAE8AVQBQAEIAWQAoAHIAbwB3AF8AbABhAGIAZQBsAHMALAAgAHYAYQBsAHUAZQBzACwAIABmAHUAbgBjAHQAaQBvAG4ALAAgAEgAZQBhAGQAZQByAD8ALAAgACwAIAAsACAAZgBpAGwAdABlAHIAXwB1AHMAZQBkACkALABcAG4AIAAgACAAIABhAGcAZwAsACAAIAAgACAAIAAgACAAIAAgACAAIAAgACAAIAAgACAASQBGACgARgBpAGwAdABlAHIAPwAsACAAZgBpAGwAdABlAHIAXwBpAG4AYwAsACAAbgBvAF8AZgBpAGwAdABlAHIAKQAsAFwAbgBcAG4AIAAgACAAIAAvAC8AIABSAG8AdwAgAGwAYQBiAGUAbAAgACgAdQBuAGYAbwByAG0AYQB0AHQAZQBkACkAIABhAG4AZAAgAGYAbwByAG0AYQB0AHQAZQBkAFwAbgAgACAAIAAgAHIAbwB3AF8AbABhAGIAZQBsACwAIAAgACAAIAAgACAAIAAgACAAIABMAEEATQBCAEQAQQAoAFQAQQBLAEUAKABhAGcAZwAsACAALAAgADEAKQApACwAXABuACAAIAAgACAAYQAsACAAIAAgACAAIAAgACAAIAAgACAAIAAgACAAIAAgACAAIAAgAEwAQQBNAEIARABBACgAVABFAFgAVAAoAHIAbwB3AF8AbABhAGIAZQBsACgAKQAsACAAZgBtAHQAKQApACwAXABuAFwAbgAgACAAIAAgAC8ALwAgAEUAbgBkAGkAbgBnACAAZABhAHQAZQBzACAAZgBvAHIAIAB3AGUAZQBrAGwAeQAgAC8AIABiAGkAdwBlAGUAawBsAHkAXABuACAAIAAgACAAYgBpAG4AXwBlAG4AZAAsACAAIAAgACAAIAAgACAAIAAgACAAIAAgAEwAQQBNAEIARABBACgASQBGACgAaQBuAHQAZQByAHYAYQBsACAAPQAgADQALABUAEUAWABUACgAYQAoACkAIAArACAANgAsACAAZgBtAHQAKQAsAFwAbgAgACAAIAAgACAAIAAgACAAIAAgACAAIAAgACAAIAAgACAAIAAgACAAIAAgACAAIAAgACAAIAAgACAAIAAgACAASQBGACgAaQBuAHQAZQByAHYAYQBsACAAPQAgADUALAAgAFQARQBYAFQAKABhACgAKQAgACsAIAAxADMALAAgAGYAbQB0ACkALAAgADAAKQApACkALABcAG4AXABuACAAIAAgACAALwAvACAAUgBlAG0AYQBpAG4AaQBuAGcAIABjAG8AbAB1AG0AbgBzAFwAbgAgACAAIAAgAGIALAAgACAAIAAgACAAIAAgACAAIAAgACAAIAAgACAAIAAgACAAIABMAEEATQBCAEQAQQAoAEQAUgBPAFAAKABhAGcAZwAsACAALAAgADEAKQApACwAXABuAFwAbgAgACAAIAAgAC8ALwAgAFMAdABhAGMAawBzAFwAbgAgACAAIAAgAHMAdABhAGMAawAsACAAIAAgACAAIAAgACAAIAAgACAAIAAgACAAIABWAFMAVABBAEMASwAoAEgAUwBUAEEAQwBLACgAdABvAHQAYQBsAF8AaABlAGEAZABlAHIALAAgAGEAZwBnAF8AaABlAGEAZABlAHIAKQAsAFwAbgAgACAAIAAgACAAIAAgACAAIAAgACAAIAAgACAAIAAgACAAIAAgACAAIAAgACAAIAAgACAAIAAgACAAIAAgAEgAUwBUAEEAQwBLACgAYQAoACkALAAgAGIAKAApACkAKQAsAFwAbgBcAG4AIAAgACAAIABzAHQAYQBjAGsAXwBlAG4AZAAsACAAIAAgACAAIAAgACAAIAAgACAASQBGAEUAUgBSAE8AUgAoAFwAbgAgACAAIAAgACAAIAAgACAAIAAgACAAIAAgACAAIAAgACAAIAAgACAAIAAgACAAIAAgACAAIAAgAFYAUwBUAEEAQwBLACgAXABuACAAIAAgACAAIAAgACAAIAAgACAAIAAgACAAIAAgACAAIAAgACAAIAAgACAAIAAgACAAIAAgACAAIAAgACAAIABIAFMAVABBAEMASwAoAHQAbwB0AGEAbABfAGgAZQBhAGQAZQByACwAIABhAGcAZwBfAGgAZQBhAGQAZQByACkALABcAG4AIAAgACAAIAAgACAAIAAgACAAIAAgACAAIAAgACAAIAAgACAAIAAgACAAIAAgACAAIAAgACAAIAAgACAAIAAgAEgAUwBUAEEAQwBLACgAYQAoACkALAAgAGIAaQBuAF8AZQBuAGQAKAApACwAIABiACgAKQApAFwAbgAgACAAIAAgACAAIAAgACAAIAAgACAAIAAgACAAIAAgACAAIAAgACAAIAAgACAAIAAgACAAIAAgACkALABcACIAXAAiACkALABcAG4AXABuACAAIAAgACAAZABlAGwAaQB2AGUAcgB5ACwAIAAgACAAIAAgACAAIAAgACAAIAAgAEkARgAoAE8AUgAoAGkAbgB0AGUAcgB2AGEAbAAgAD0AIAA0ACwAIABpAG4AdABlAHIAdgBhAGwAIAA9ACAANQApACwAIABzAHQAYQBjAGsAXwBlAG4AZAAsACAAcwB0AGEAYwBrACkALABcAG4AXABuACAAIAAgACAAZABlAGwAaQB2AGUAcgB5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wBEALsDXABuAEMAYQB0AGUAZwBvAHIAeQA6ACAAIAAgACAAIABHAHIAaQBkACAAQQBuAGEAbAB5AHQAaQBjAHMAIAAoAEMAbwByAGUAIABWAGEAbABpAGQAYQB0AGkAbwBuACkAXABuAEEAdQB0AGgAbwByADoAIAAgACAAIAAgACAAIABQAGEAdAByAGkAYwBrACAASAAuAFwAbgBWAGUAcgBzAGkAbwBuADoAIAAgACAAIAAgACAAMQAuADEAXABuAFwAbgBEAGUAcwBjAHIAaQBwAHQAaQBvAG4AOgBcAG4AIAAgACAAIABWAGEAbABpAGQAYQB0AGUAcwAgAGkAbgBwAHUAdABzACAAZgBvAHIAIABHAHIAbwB1AHAAYgB5AEQAYQB0AGUAuwMuACAARQBuAHMAdQByAGUAcwAgAHQAaABhAHQAIAByAG8AdwBfAGYAaQBlAGwAZABzACAAYwBvAG4AdABhAGkAbgAgAHYAYQBsAGkAZABcAG4AIAAgACAAIABkAGEAdABlAHMALAAgAHQAaABhAHQAIABpAG4AdABlAHIAdgBhAGwAcwAgAGEAcgBlACAAcgBlAGMAbwBnAG4AaQB6AGUAZAAsACAAdABoAGEAdAAgAHYAYQBsAHUAZQBzACAAYQBuAGQAIABmAGkAbAB0AGUAcgBzACAAYQBsAGkAZwBuACAAaQBuAFwAbgAgACAAIAAgAHMAaABhAHAAZQAsACAAYQBuAGQAIAB0AGgAYQB0ACAAdABoAGUAIABhAGcAZwByAGUAZwBhAHQAaQBvAG4AIABmAHUAbgBjAHQAaQBvAG4AIABpAHMAIABjAGEAbABsAGEAYgBsAGUALgBcAG4AXABuAFAAYQByAGEAbQBlAHQAZQByAHMAOgBcAG4AIAAgACAAIAByAG8AdwBfAGYAaQBlAGwAZABzACAAIAAgACAAIAAgAC0AIABBAHIAcgBhAHkAIAB3AGkAdABoACAAZABhAHQAZQBzACAAaQBuACAAdABoAGUAIABsAGUAZgB0AG0AbwBzAHQAIABjAG8AbAB1AG0AbgAuAFwAbgAgACAAIAAgAHYAYQBsAHUAZQBzACAAIAAgACAAIAAgACAAIAAgACAALQAgAEEAcgByAGEAeQAgAG8AZgAgAHYAYQBsAHUAZQBzACAAdABvACAAYQBnAGcAcgBlAGcAYQB0AGUALgBcAG4AIAAgACAAIABpAG4AdABlAHIAdgBhAGwAIAAgACAAIAAgACAAIAAgAC0AIABEAGEAdABlAC8AdABpAG0AZQAgAGkAbgB0AGUAcgB2AGEAbAAgACgAbgB1AG0AZQByAGkAYwAgAG8AcgAgAHQAZQB4AHQAKQAuAFwAbgAgACAAIAAgAGYAdQBuAGMAdABpAG8AbgAgACAAIAAgACAAIAAgACAALQAgAEUAVABBACAAbwByACAAcwBpAG4AZwBsAGUAESBwAGEAcgBhAG0AZQB0AGUAcgAgAEwAQQBNAEIARABBAC4AXABuACAAIAAgACAAWwBmAGkAZQBsAGQAXwBoAGUAYQBkAGUAcgBzAF0AIAAtACAAVABSAFUARQAgAGkAZgAgAHIAbwB3AF8AZgBpAGUAbABkAHMALwB2AGEAbAB1AGUAcwAgAGkAbgBjAGwAdQBkAGUAIABoAGUAYQBkAGUAcgBzAC4AXABuACAAIAAgACAAWwBmAGkAbAB0AGUAcgBfAGEAcgByAGEAeQBdACAAIAAtACAAQgBvAG8AbABlAGEAbgAgAGYAaQBsAHQAZQByACAAYQByAHIAYQB5AC4AXABuACAAIAAgACAAWwBPAG4AXwBWAGEAbABpAGQAXQAgACAAIAAgACAAIAAtACAARQB4AHAAcgBlAHMAcwBpAG8AbgAgAHQAbwAgAGUAdgBhAGwAdQBhAHQAZQAgAHcAaABlAG4AIABpAG4AcAB1AHQAcwAgAGEAcgBlACAAdgBhAGwAaQBkAC4AXABuAFwAbgBOAG8AdABlAHMAOgBcAG4AIAAgACAAIAAiICAARABlAHQAZQBjAHQAcwAgAGkAbgB2AGEAbABpAGQAIABkAGEAdABlAHMALAAgAG0AaQBzAHMAaQBuAGcAIAB0AGkAbQBlACAAYwBvAG0AcABvAG4AZQBuAHQAcwAsACAAYQBuAGQAIABtAGEAbABmAG8AcgBtAGUAZAAgAGkAbgB0AGUAcgB2AGEAbABzAC4AXABuACAAIAAgACAAIiAgAEUAbgBzAHUAcgBlAHMAIAByAG8AdwBfAGYAaQBlAGwAZABzACwAIAB2AGEAbAB1AGUAcwAsACAAYQBuAGQAIABmAGkAbAB0AGUAcgBfAGEAcgByAGEAeQAgAGgAYQB2AGUAIABtAGEAdABjAGgAaQBuAGcAIABoAGUAaQBnAGgAdABzAC4AXABuACAAIAAgACAAIiAgAEUAbgBzAHUAcgBlAHMAIABmAHUAbgBjAHQAaQBvAG4AIABpAHMAIABjAGEAbABsAGEAYgBsAGUAIAB2AGkAYQAgAGEAIABzAGEAZgBlACAAQgBZAFIATwBXACAAdABlAHMAdAAuAFwAbgAtAC0ALQAtAC0ALQAtAC0ALQAtAC0ALQAtAC0ALQAtAC0ALQAtAC0ALQAtAC0ALQAtAC0ALQAtAC0ALQAtAC0ALQAtAC0ALQAtAC0ALQAtAC0ALQAtAC0ALQAtAC0ALQAtAC0ALQAtAC0ALQAtAC0ALQAtAC0ALQAtAC0ALQAtAC0ALQAtAC0ALQAtAC0ALQAtAC0ALQAtAC0ALQAqAC8AXABuAFwAbgBWAGEAbABpAGQAYQB0AGUARwBEALsDIAA9AFwAbgBMAEEATQBCAEQAQQAoAFwAbgAgACAAIAAgAHIAbwB3AF8AZgBpAGUAbABkAHMALABcAG4AIAAgACAAIAB2AGEAbAB1AGUAcwAsAFwAbgAgACAAIAAgAGkAbgB0AGUAcgB2AGEAbAAsAFwAbgAgACAAIAAgAGYAdQBuAGMAdABpAG8AbgAsAFwAbgAgACAAIAAgAFsAZgBpAGUAbABkAF8AaABlAGEAZABlAHIAcwBdACwAXABuACAAIAAgACAAWwBmAGkAbAB0AGUAcgBfAGEAcgByAGEAeQBdACwAXABuACAAIAAgACAAWwBPAG4AXwBWAGEAbABpAGQAXQAsAFwAbgBMAEUAVAAoAFwAbgAgACAAIAAgAC8ALwAgAC0ALQAtACAATwBwAHQAaQBvAG4AYQBsACAAZgBsAGEAZwBzACAALQAtAC0AXABuACAAIAAgACAATgBvAF8ARgBpAGUAbABkAF8ASABlAGEAZABlAHIAcwA/ACwAIAAgACAAIAAgACAASQBTAE8ATQBJAFQAVABFAEQAKABmAGkAZQBsAGQAXwBoAGUAYQBkAGUAcgBzACkALABcAG4AIAAgACAAIABGAGkAbAB0AGUAcgBJAG4AYwBsAHUAZABlAGQAPwAsACAAIAAgACAAIAAgACAAIABOAE8AVAAoAEkAUwBPAE0ASQBUAFQARQBEACgAZgBpAGwAdABlAHIAXwBhAHIAcgBhAHkAKQApACwAXABuAFwAbgAgACAAIAAgAC8ALwAgAC0ALQAtACAARQB4AHQAcgBhAGMAdAAgAGQAYQB0AGUAIABhAG4AZAAgAHYAYQBsAHUAZQAgAGMAbwBsAHUAbQBuAHMAIAAtAC0ALQBcAG4AIAAgACAAIABEAGEAdABlAF8AYwBvAGwALAAgACAAIAAgACAAIAAgACAAIAAgACAAIAAgACAAIABJAEYAKABOAG8AXwBGAGkAZQBsAGQAXwBIAGUAYQBkAGUAcgBzAD8ALABUAEEASwBFACgAcgBvAHcAXwBmAGkAZQBsAGQAcwAsACAALAAgADEAKQAsAFwAbgAgACAAIAAgACAAIAAgACAAIAAgACAAIAAgACAAIAAgACAAIAAgACAAIAAgACAAIAAgACAAIAAgACAAIAAgACAARABSAE8AUAAoAFQAQQBLAEUAKAByAG8AdwBfAGYAaQBlAGwAZABzACwAIAAsACAAMQApACwAIAAxACkAKQAsAFwAbgBcAG4AIAAgACAAIABWAGEAbAB1AGUAcwBfAGMAbwBsACwAIAAgACAAIAAgACAAIAAgACAAIAAgACAAIABJAEYAKABOAG8AXwBGAGkAZQBsAGQAXwBIAGUAYQBkAGUAcgBzAD8ALABUAEEASwBFACgAdgBhAGwAdQBlAHMALAAgACwAIAAxACkALABcAG4AIAAgACAAIAAgACAAIAAgACAAIAAgACAAIAAgACAAIAAgACAAIAAgACAAIAAgACAAIAAgACAAIAAgACAAIAAgAEQAUgBPAFAAKABUAEEASwBFACgAdgBhAGwAdQBlAHMALAAgACwAIAAxACkALAAgADEAKQApACwAXABuAFwAbgAgACAAIAAgAC8ALwAgAC0ALQAtACAARgBpAGwAdABlAHIAIABhAHIAcgBhAHkAIABuAG8AcgBtAGEAbABpAHoAYQB0AGkAbwBuACAALQAtAC0AXABuACAAIAAgACAAQgBvAG8AbAAsACAAIAAgACAAIAAgACAAIAAgACAAIAAgACAAIAAgACAAIAAgACAASQBGAEUAUgBSAE8AUgAoAEkARgAoAE4AbwBfAEYAaQBlAGwAZABfAEgAZQBhAGQAZQByAHMAPwAsAGYAaQBsAHQAZQByAF8AYQByAHIAYQB5ACwAXABuACAAIAAgACAAIAAgACAAIAAgACAAIAAgACAAIAAgACAAIAAgACAAIAAgACAAIAAgACAAIAAgACAAIAAgACAAIAAgACAAIAAgAEQAUgBPAFAAKABmAGkAbAB0AGUAcgBfAGEAcgByAGEAeQAsACAAMQApACAAKQAsADAAKQAsAFwAbgBcAG4AIAAgACAAIAAvAC8AIAAtAC0ALQAgAEQAYQB0AGUAIAB2AGEAbABpAGQAaQB0AHkAIABjAGgAZQBjAGsAcwAgAC0ALQAtAFwAbgAgACAAIAAgAE4AbwBfAEQAYQB0AGUAcwA/ACwAIAAgACAAIAAgACAAIAAgACAAIAAgACAAIAAgAE8AUgAoAEQAYQB0AGUAXwBjAG8AbAAgADwAIAAwACwARABhAHQAZQBfAGMAbwBsACAAPgAgADIAOQA1ADgANAA2ADUALABOAE8AVAAoAEEATgBEACgASQBTAE4AVQBNAEIARQBSACgARABhAHQAZQBfAGMAbwBsACkAKQApACkALABcAG4AXABuACAAIAAgACAATgBvAF8AVABpAG0AZQBzAD8ALAAgACAAIAAgACAAIAAgACAAIAAgACAAIAAgACAAQQBOAEQAKABEAGEAdABlAF8AYwBvAGwAIAAtACAASQBOAFQAKABEAGEAdABlAF8AYwBvAGwAKQAgAD0AIAAwACkALABcAG4AXABuACAAIAAgACAALwAvACAALQAtAC0AIABEAGkAbQBlAG4AcwBpAG8AbgAgAGMAaABlAGMAawBzACAALQAtAC0AXABuACAAIAAgACAAaQBfAGQALAAgACAAIAAgACAAIAAgACAAIAAgACAAIAAgACAAIAAgACAAIAAgACAAUgBPAFcAUwAoAEQAYQB0AGUAXwBjAG8AbAApACwAXABuACAAIAAgACAAaQBfAHYALAAgACAAIAAgACAAIAAgACAAIAAgACAAIAAgACAAIAAgACAAIAAgACAAUgBPAFcAUwAoAFYAYQBsAHUAZQBzAF8AYwBvAGwAKQAsAFwAbgAgACAAIAAgAGkAXwBmACwAIAAgACAAIAAgACAAIAAgACAAIAAgACAAIAAgACAAIAAgACAAIAAgAEkARgAoAEYAaQBsAHQAZQByAEkAbgBjAGwAdQBkAGUAZAA/ACwAIABSAE8AVwBTACgAQgBvAG8AbAApACwAIAAwACkALABcAG4AXABuACAAIAAgACAALwAvACAALQAtAC0AIABJAG4AdABlAHIAdgBhAGwAIAB2AGEAbABpAGQAYQB0AGkAbwBuACAALQAtAC0AXABuACAAIAAgACAAQwBvAG4AcwB0ACwAIAAgACAAIAAgACAAIAAgACAAIAAgACAAIAAgACAAIAAgACAAewBcACIAbQBpAG4AdQB0AGUAXAAiADsAXAAiAGgAbwB1AHIAXAAiADsAXAAiAGQAYQB5AFwAIgA7AFwAIgB3AGUAZQBrAFwAIgA7AFwAbgAgACAAIAAgACAAIAAgACAAIAAgACAAIAAgACAAIAAgACAAIAAgACAAIAAgACAAIAAgACAAIAAgACAAXAAiAGYAbwByAHQAbgBpAGcAaAB0AFwAIgA7AFwAIgBtAG8AbgB0AGgAXAAiADsAXAAiAHEAdQBhAHIAdABlAHIAXAAiADsAXAAiAHkAZQBhAHIAXAAiAH0ALABcAG4AXABuACAAIAAgACAAVABlAHgAdABJAG4AdABlAHIAdgBhAGwAPwAsACAAIAAgACAAIAAgACAAIAAgACAASQBTAFQARQBYAFQAKABpAG4AdABlAHIAdgBhAGwAKQAsAFwAbgAgACAAIAAgAE4AdQBtAGUAcgBpAGMASQBuAHQAZQByAHYAYQBsAD8ALAAgACAAIAAgACAAIAAgAEkAUwBOAFUATQBCAEUAUgAoAGkAbgB0AGUAcgB2AGEAbAApACwAXABuAFwAbgAgACAAIAAgAEkAbgB2AGEAbABpAGQASQBuAHQAZQByAHYAYQBsAD8ALAAgACAAIAAgACAAIAAgAEkARgAoAEEATgBEACgATgB1AG0AZQByAGkAYwBJAG4AdABlAHIAdgBhAGwAPwAsACAATwBSACgAaQBuAHQAZQByAHYAYQBsACAAPAAgADEALAAgAGkAbgB0AGUAcgB2AGEAbAAgAD4AIAA4ACkAKQAsAFQAUgBVAEUALABcAG4AIAAgACAAIAAgACAAIAAgACAAIAAgACAAIAAgACAAIAAgACAAIAAgACAAIAAgACAAIAAgACAAIAAgACAAIAAgAEkARgAoAEEATgBEACgAVABlAHgAdABJAG4AdABlAHIAdgBhAGwAPwAsACAASQBTAE4AQQAoAFgATQBBAFQAQwBIACgAaQBuAHQAZQByAHYAYQBsACAAJgAgAFwAIgAqAFwAIgAsACAAQwBvAG4AcwB0ACwAIAAyACkAKQApACwAVABSAFUARQAsAFwAbgAgACAAIAAgACAAIAAgACAAIAAgACAAIAAgACAAIAAgACAAIAAgACAAIAAgACAAIAAgACAAIAAgACAAIAAgACAAIAAgACAAIABGAEEATABTAEUAKQApACwAXABuAFwAbgAgACAAIAAgAEkAcwBUAGkAbQBlAD8ALAAgACAAIAAgACAAIAAgACAAIAAgACAAIAAgACAAIAAgAGkAbgB0AGUAcgB2AGEAbAAgADwAIAAzACwAXABuAFwAbgAgACAAIAAgAC8ALwAgAC0ALQAtACAASABhAGwAdABpAG4AZwAgAGMAbwBuAGQAaQB0AGkAbwBuAHMAIAAtAC0ALQBcAG4AIAAgACAAIABFAG0AcAB0AHkASQBuAHAAdQB0AHMAPwAsACAAIAAgACAAIAAgACAAIAAgACAAIABPAFIAKABJAFMATwBNAEkAVABUAEUARAAoAHIAbwB3AF8AZgBpAGUAbABkAHMAKQAsACAASQBTAE8ATQBJAFQAVABFAEQAKAB2AGEAbAB1AGUAcwApACkALABcAG4AXABuACAAIAAgACAASABhAGwAdABEAGEAdABlAHMAPwAsACAAIAAgACAAIAAgACAAIAAgACAAIAAgACAAQQBOAEQAKABpAG4AdABlAHIAdgBhAGwAIAA+ACAAMgAsACAATgBvAF8ARABhAHQAZQBzAD8AKQAsAFwAbgAgACAAIAAgAEgAYQBsAHQAVABpAG0AZQA/ACwAIAAgACAAIAAgACAAIAAgACAAIAAgACAAIAAgAEEATgBEACgASQBzAFQAaQBtAGUAPwAsACAATgBvAF8AVABpAG0AZQBzAD8AKQAsAFwAbgBcAG4AIAAgACAAIABTAGgAYQBwAGUATQBpAHMAbQBhAHQAYwBoAD8ALAAgACAAIAAgACAAIAAgACAAIABPAFIAKABpAF8AZAAgADwAPgAgAGkAXwB2ACwAQQBOAEQAKABGAGkAbAB0AGUAcgBJAG4AYwBsAHUAZABlAGQAPwAsACAAaQBfAGQAIAA8AD4AIABpAF8AZgApACkALABcAG4AXABuACAAIAAgACAASQBuAHYAYQBsAGkAZABGAG4APwAsACAAIAAgACAAIAAgACAAIAAgACAAIAAgACAAVABZAFAARQAoAGYAdQBuAGMAdABpAG8AbgApACAAPAA+ACAAMQAyADgALABcAG4AXABuACAAIAAgACAARQBtAHAAdAB5AEYAaQBsAHQAZQByAD8ALAAgACAAIAAgACAAIAAgACAAIAAgACAAQQBOAEQAKABGAGkAbAB0AGUAcgBJAG4AYwBsAHUAZABlAGQAPwAsACAATgBPAFQAKABPAFIAKABCAG8AbwBsACkAKQApACwAXABuAFwAbgAgACAAIAAgAC8ALwAgAEMAbwBsAGwAZQBjAHQAIABhAGwAbAAgAGMAbwBuAGQAaQB0AGkAbwBuAHMAXABuACAAIAAgACAAYwBvAG4AZABpAHQAaQBvAG4AcwAsACAAIAAgACAAIAAgACAAIAAgACAAIAAgACAAVgBTAFQAQQBDAEsAKABFAG0AcAB0AHkASQBuAHAAdQB0AHMAPwAsAEgAYQBsAHQARABhAHQAZQBzAD8ALABIAGEAbAB0AFQAaQBtAGUAPwAsAFwAbgAgACAAIAAgACAAIAAgACAAIAAgACAAIAAgACAAIAAgACAAIAAgACAAIAAgACAAIAAgACAAIAAgACAAIAAgACAAIAAgACAAUwBoAGEAcABlAE0AaQBzAG0AYQB0AGMAaAA/ACwASQBuAHYAYQBsAGkAZABJAG4AdABlAHIAdgBhAGwAPwAsAEkAbgB2AGEAbABpAGQARgBuAD8ALABFAG0AcAB0AHkARgBpAGwAdABlAHIAPwApACwAXABuAFwAbgAgACAAIAAgAGgAYQBsAHQALAAgACAAIAAgACAAIAAgACAAIAAgACAAIAAgACAAIAAgACAAIAAgAE8AUgAoAGMAbwBuAGQAaQB0AGkAbwBuAHMAKQAsAFwAbgBcAG4AIAAgACAAIAAvAC8AIABFAHIAcgBvAHIAIABtAGUAcwBzAGEAZwBlAHMAIAAoAGEAbABpAGcAbgBlAGQAIAB3AGkAdABoACAARwByAG8AdQBwAGIAeQBEAGEAdABlALsDKQBcAG4AIAAgACAAIABlAHIAcgBvAHIAcwAsACAAIAAgACAAIAAgACAAIAAgACAAIAAgACAAIAAgACAAIAB7AFwAIgAjAEUATQBQAFQAWQAtAEkATgBQAFUAVAAhAFwAIgA7AFwAbgAgACAAIAAgACAAIAAgACAAIAAgACAAIAAgACAAIAAgACAAIAAgACAAIAAgACAAIAAgACAAIAAgACAAXAAiACMATgBPAC0ARABBAFQARQBTACEAXAAiADsAXABuACAAIAAgACAAIAAgACAAIAAgACAAIAAgACAAIAAgACAAIAAgACAAIAAgACAAIAAgACAAIAAgACAAIABcACIAIwBOAE8ALQBUAEkATQBFAFMAIQBcACIAOwBcAG4AIAAgACAAIAAgACAAIAAgACAAIAAgACAAIAAgACAAIAAgACAAIAAgACAAIAAgACAAIAAgACAAIAAgAFwAIgAjAEQASQBNAEUATgBTAEkATwBOAFMAIQBcACIAOwBcAG4AIAAgACAAIAAgACAAIAAgACAAIAAgACAAIAAgACAAIAAgACAAIAAgACAAIAAgACAAIAAgACAAIAAgAFwAIgAjAEkATgBUAEUAUgBWAEEATAAhAFwAIgA7AFwAbgAgACAAIAAgACAAIAAgACAAIAAgACAAIAAgACAAIAAgACAAIAAgACAAIAAgACAAIAAgACAAIAAgACAAXAAiACMASQBOAFYAQQBMAEkARAAtAEYAVQBOAEMAVABJAE8ATgAhAFwAIgA7AFwAbgAgACAAIAAgACAAIAAgACAAIAAgACAAIAAgACAAIAAgACAAIAAgACAAIAAgACAAIAAgACAAIAAgACAAXAAiACMARQBNAFAAVABZAC0ARgBJAEwAVABFAFIAIQBcACIAfQAsAFwAbgBcAG4AIAAgACAAIABhAGwAZQByAHQALAAgACAAIAAgACAAIAAgACAAIAAgACAAIAAgACAAIAAgACAAIABGAEkATABUAEUAUgAoAGUAcgByAG8AcgBzACwAIABjAG8AbgBkAGkAdABpAG8AbgBzACwAIABcACIAXAAiACkALABcAG4AXABuACAAIAAgACAALwAvACAALQAtAC0AIABMAG8AZwBpAGMAIABnAGEAdABlACAALQAtAC0AXABuACAAIAAgACAASQBGACgAaABhAGwAdAAsACAAYQBsAGUAcgB0ACwAIABPAG4AXwBWAGEAbABpAGQAKQBcAG4AKQApADsAXABuAFwAbgBcAG4AXABuAC8AKgAgAFsARwBSADAAOQBdACAALQAtAC0ALQAtAC0ALQAtAC0ALQAtAC0ALQAtAC0ALQAtAC0ALQAtAC0ALQAtAC0ALQAtAC0ALQAtAC0ALQAtAC0ALQAtAC0ALQAtAC0ALQAtAC0ALQAtAC0ALQAtAC0ALQAtAC0ALQAtAC0ALQAtAC0ALQAtAC0ALQAtAC0ALQAtAC0ALQAtAC0ALQAtAC0ALQBcAG4ARgB1AG4AYwB0AGkAbwBuADoAIAAgACAAIAAgAFAAaQB2AG8AdABiAHkAQwBhAHQ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TAHQAcgBlAGEAawC7AywAIABSAGUAcABlAGEAdABSAG8AdwBzALsDXABuAFwAbgBEAGUAcwBjAHIAaQBwAHQAaQBvAG4AOgBcAG4AIAAgACAAIABQAGkAdgBvAHQAcwAgAGQAYQB0AGEAIABiAHkAIAByAG8AdwAgAGYAaQBlAGwAZABzACAAKABkAGUAdABhAGkAbAAgACsAIABkAGEAdABlACkALAAgAGMAYQB0AGUAZwBvAHIAaQBlAHMALAAgAGEAbgBkACAAdgBhAGwAdQBlAHMALgBcAG4AIAAgACAAIABDAGEAdABlAGcAbwByAGkAZQBzACAAYQByAGUAIABhAHMAcwB1AG0AZQBkACAAdABvACAAYgBlACAAcAByAGUAESBjAG8AbgBjAGEAdABlAG4AYQB0AGUAZAAgAHUAcwBpAG4AZwAgAGEAIABkAGUAbABpAG0AaQB0AGUAcgAuAFwAbgAgACAAIAAgAFMAdQBwAHAAbwByAHQAcwAgAG8AcAB0AGkAbwBuAGEAbAAgAGEAZwBnAHIAZQBnAGEAdABpAG8AbgAgAGYAdQBuAGMAdABpAG8AbgAgAGEAbgBkACAAZABhAHQAZQAgAGYAbwByAG0AYQB0AHQAaQBuAGcALgBcAG4AXABuAFAAYQByAGEAbQBlAHQAZQByAHMAOgBcAG4AIAAgACAAIAByAG8AdwBfAGQAZQB0AGEAaQBsACAAIAAgACAAIAAgAC0AIAAxAEQAIABhAHIAcgBhAHkAIABvAGYAIABuAG8AbgARIGQAYQB0AGUAIAByAG8AdwAgAGYAaQBlAGwAZABzAC4AXABuACAAIAAgACAAcgBvAHcAXwBkAGEAdABlAHMAIAAgACAAIAAgACAAIAAtACAAMQBEACAAYQByAHIAYQB5ACAAbwBmACAAZABhAHQAZQBzAC4AXABuACAAIAAgACAAYwBhAHQAZQBnAG8AcgBpAGUAcwAgACAAIAAgACAAIAAtACAAMQBEACAAYQByAHIAYQB5ACAAbwBmACAAZABlAGwAaQBtAGkAdABlAGQAIABjAGEAdABlAGcAbwByAHkAIABzAHQAcgBpAG4AZwBzAC4AXABuACAAIAAgACAAdgBhAGwAdQBlAHMAIAAgACAAIAAgACAAIAAgACAAIAAtACAAMQBEACAAYQByAHIAYQB5ACAAbwBmACAAbgB1AG0AZQByAGkAYwAgAHYAYQBsAHUAZQBzAC4AXABuACAAIAAgACAAZABlAGwAaQBtAGkAdABlAHIAIAAgACAAIAAgACAAIAAtACAARABlAGwAaQBtAGkAdABlAHIAIAB1AHMAZQBkACAAaQBuACAAdABoAGUAIABjAGEAdABlAGcAbwByAGkAZQBzACAAYQByAHIAYQB5AC4AXABuAFwAbgBPAHAAdABpAG8AbgBhAGwAOgBcAG4AIAAgACAAIABbAGQAYQB0AGUAXwBmAG8AcgBtAGEAdABdACAAIAAgAC0AIABGAG8AcgBtAGEAdAAgAGMAbwBkAGUAIABmAG8AcgAgAGQAYQB0AGUAcwAgACgAZABlAGYAYQB1AGwAdAAgAFwAIgB5AHkAeQBcACIAKQAuAFwAbgAgACAAIAAgAFsAZgB1AG4AYwB0AGkAbwBuAF0AIAAgACAAIAAgACAALQAgAEUAVABBACAAbwByACAATABBAE0AQgBEAEEAIABhAGcAZwByAGUAZwBhAHQAaQBvAG4AIABmAHUAbgBjAHQAaQBvAG4AIAAoAGQAZQBmAGEAdQBsAHQAIABTAFUATQApAC4AXABuAFwAbgBOAG8AdABlAHMAOgBcAG4AIAAgACAAIAAiICAAQwBhAHQAZQBnAG8AcgBpAGUAcwAgAGEAcgBlACAAcwBwAGwAaQB0ACAAaQBuAHQAbwAgAG0AdQBsAHQAaQBwAGwAZQAgAHIAbwB3AHMAIAB1AHMAaQBuAGcAIABSAGUAcABlAGEAdABSAG8AdwBzALsDLgBcAG4AIAAgACAAIAAiICAARABhAHQAZQBzACAAYQByAGUAIABmAG8AcgBtAGEAdAB0AGUAZAAgAGEAbgBkACAAcwBvAHIAdABlAGQAIAB1AHMAaQBuAGcAIABhACAAbgB1AG0AZQByAGkAYwAgAHMAbwByAHQAIABrAGUAeQAuAFwAbgAgACAAIAAgACIgIABWAGEAbAB1AGUAcwAgAGEAcgBlACAAYQBwAHAAbwByAHQAaQBvAG4AZQBkACAAYQBjAHIAbwBzAHMAIAByAGUAcABlAGEAdABlAGQAIABjAGEAdABlAGcAbwByAHkAIAByAG8AdwBzAC4AXABuAC0ALQAtAC0ALQAtAC0ALQAtAC0ALQAtAC0ALQAtAC0ALQAtAC0ALQAtAC0ALQAtAC0ALQAtAC0ALQAtAC0ALQAtAC0ALQAtAC0ALQAtAC0ALQAtAC0ALQAtAC0ALQAtAC0ALQAtAC0ALQAtAC0ALQAtAC0ALQAtAC0ALQAtAC0ALQAtAC0ALQAtAC0ALQAtAC0ALQAtAC0ALQAtACoALwBcAG4AXABuAFAAaQB2AG8AdABiAHkAQwBhAHQAuwMgAD0AXABuAEwAQQBNAEIARABBACgAXABuACAAIAAgACAAcgBvAHcAXwBkAGUAdABhAGkAbAAsAFwAbgAgACAAIAAgAHIAbwB3AF8AZABhAHQAZQBzACwAXABuACAAIAAgACAAYwBhAHQAZQBnAG8AcgBpAGUAcwAsAFwAbgAgACAAIAAgAHYAYQBsAHUAZQBzACwAXABuACAAIAAgACAAZABlAGwAaQBtAGkAdABlAHIALABcAG4AIAAgACAAIABbAGQAYQB0AGUAXwBmAG8AcgBtAGEAdABdACwAXABuACAAIAAgACAAWwBmAHUAbgBjAHQAaQBvAG4AXQAsAFwAbgBcAG4ATABFAFQAKABcAG4AIAAgACAAIAAvAC8AIAAtAC0ALQAgAEQAaQBtAGUAbgBzAGkAbwBuAHMAIAAtAC0ALQBcAG4AIAAgACAAIAByAIEgLAAgACAAIAAgACAAIAAgACAAIAAgACAAIAAgACAAIAAgACAAUgBPAFcAUwAoAHIAbwB3AF8AZABlAHQAYQBpAGwAKQAsAFwAbgAgACAAIAAgAHIAgiAsACAAIAAgACAAIAAgACAAIAAgACAAIAAgACAAIAAgACAAIABSAE8AVwBTACgAcgBvAHcAXwBkAGEAdABlAHMAKQAsAFwAbgAgACAAIAAgAHIAgyAsACAAIAAgACAAIAAgACAAIAAgACAAIAAgACAAIAAgACAAIABSAE8AVwBTACgAYwBhAHQAZQBnAG8AcgBpAGUAcwApACwAXABuACAAIAAgACAAcgCEICwAIAAgACAAIAAgACAAIAAgACAAIAAgACAAIAAgACAAIAAgAFIATwBXAFMAKAB2AGEAbAB1AGUAcwApACwAXABuAFwAbgAgACAAIAAgAC8ALwAgAC0ALQAtACAASABhAGwAdABpAG4AZwAgAGMAbwBuAGQAaQB0AGkAbwBuAHMAIAAtAC0ALQBcAG4AIAAgACAAIABTAGgAYQBwAGUATQBpAHMAbQBhAHQAYwBoACwAIAAgACAAIAAgACAATwBSACgAcgCBICAAPAA+ACAAcgCCICwAIAByAIEgIAA8AD4AIAByAIMgLAAgAHIAgSAgADwAPgAgAHIAhCApACwAXABuAFwAbgAgACAAIAAgAGQAYQB0AGUAXwBmAG8AcgBtAGEAdAAsACAAIAAgACAAIAAgACAAIABJAEYAKABJAFMATwBNAEkAVABUAEUARAAoAGQAYQB0AGUAXwBmAG8AcgBtAGEAdAApACwAIABcACIAeQB5AHkAXAAiACwAIABkAGEAdABlAF8AZgBvAHIAbQBhAHQAKQAsAFwAbgBcAG4AIAAgACAAIABJAG4AdgBhAGwAaQBkAEQAYQB0AGUAcwAsACAAIAAgACAAIAAgACAATwBSACgAQQBOAEQAKABJAFMARQBSAFIATwBSACgARABBAFQARQBWAEEATABVAEUAKABUAEUAWABUACgAcgBvAHcAXwBkAGEAdABlAHMALAAgAGQAYQB0AGUAXwBmAG8AcgBtAGEAdAApACkAKQAsAFwAbgAgACAAIAAgACAAIAAgACAAIAAgACAAIAAgACAAIAAgACAAIAAgACAAIAAgACAAIAAgACAAIAAgACAAIAAgAEkAUwBFAFIAUgBPAFIAKABWAEEATABVAEUAKABUAEUAWABUACgAcgBvAHcAXwBkAGEAdABlAHMALAAgAGQAYQB0AGUAXwBmAG8AcgBtAGEAdAApACkAKQApACwAXABuACAAIAAgACAAIAAgACAAIAAgACAAIAAgACAAIAAgACAAIAAgACAAIAAgACAAIAAgACAAIAAgAE4ATwBUACgAQQBOAEQAKABJAFMATgBVAE0AQgBFAFIAKAByAG8AdwBfAGQAYQB0AGUAcwApACkAKQApACwAXABuAFwAbgAgACAAIAAgAEkAbgB2AGEAbABpAGQARgBuACwAIAAgACAAIAAgACAAIAAgACAAIABUAFkAUABFACgAZgB1AG4AYwB0AGkAbwBuACkAIAA8AD4AIAAxADIAOAAsAFwAbgBcAG4AIAAgACAAIABzAGMAZQBuAGEAcgBpAG8AcwAsACAAIAAgACAAIAAgACAAIAAgACAAVgBTAFQAQQBDAEsAKABTAGgAYQBwAGUATQBpAHMAbQBhAHQAYwBoACwAIABJAG4AdgBhAGwAaQBkAEQAYQB0AGUAcwAsACAASQBuAHYAYQBsAGkAZABGAG4AKQAsAFwAbgBcAG4AIAAgACAAIABlAHIAcgBvAHIAcwAsACAAIAAgACAAIAAgACAAIAAgACAAIAAgACAAewBcACIAIwBEAEkATQBFAE4AUwBJAE8ATgBTACEAXAAiADsAXABuACAAIAAgACAAIAAgACAAIAAgACAAIAAgACAAIAAgACAAIAAgACAAIAAgACAAIAAgACAAXAAiACMARABBAFQARQBTACEAXAAiADsAXABuACAAIAAgACAAIAAgACAAIAAgACAAIAAgACAAIAAgACAAIAAgACAAIAAgACAAIAAgACAAXAAiACMASQBOAFYAQQBMAEkARAAtAEYAVQBOAEMAVABJAE8ATgAhAFwAIgB9ACwAXABuAFwAbgAgACAAIAAgAC8ALwAgAC0ALQAtACAATABvAGcAaQBjACAAZwBhAHQAZQAgAC0ALQAtAFwAbgAgACAAIAAgAEYASQBMAFQARQBSACgAZQByAHIAbwByAHMALAAgAHMAYwBlAG4AYQByAGkAbwBzACwAXABuAFwAbgBMAEUAVAAoAFwAbgAgACAAIAAgAC8ALwAgAC0ALQAtACAATwBwAHQAaQBvAG4AYQBsACAAcABhAHIAYQBtAGUAdABlAHIAIAAtAC0ALQBcAG4AIAAgACAAIABmAG4AuwMsACAAIAAgACAAIAAgACAAIAAgACAAIAAgACAAIAAgACAASQBGACgASQBTAE8ATQBJAFQAVABFAEQAKABmAHUAbgBjAHQAaQBvAG4AKQAsACAAUwBVAE0ALAAgAGYAdQBuAGMAdABpAG8AbgApACwAXABuAFwAbgBcAG4AIAAgACAAIAAvAC8AIAAtAC0ALQAgAEwAbwBjAGEAbAAgAGgAZQBsAHAAZQByAHMAIAAtAC0ALQBcAG4AIAAgACAAIABDAG8AdQBuAHQAQwBhAHQAuwMsACAAIAAgACAAIAAgACAAIAAgACAATABBAE0AQgBEAEEAKAByAG8AdwAsAFwAbgAgACAAIAAgACAAIAAgACAAIAAgACAAIAAgACAAIAAgACAAIAAgACAAIAAgACAAIAAgACAAIAAgAEMATwBVAE4AVABBACgAVABFAFgAVABTAFAATABJAFQAKAByAG8AdwAsACAAZABlAGwAaQBtAGkAdABlAHIAKQApACkALABcAG4AXABuACAAIAAgACAAUABhAHIAcwBlALsDLAAgACAAIAAgACAAIAAgACAAIAAgACAAIAAgAEwAQQBNAEIARABBACgAYQByAHIAYQB5ACwAIABpAG4AcwB0AGEAbgBjAGUALABcAG4AIAAgACAAIAAgACAAIAAgACAAIAAgACAAIAAgACAAIAAgACAAIAAgACAAIAAgACAAIAAgACAAIABUAEUAWABUAEIARQBGAE8AUgBFACgAVABFAFgAVABBAEYAVABFAFIAKABkAGUAbABpAG0AaQB0AGUAcgAgACYAIABhAHIAcgBhAHkAIAAmACAAZABlAGwAaQBtAGkAdABlAHIALABcAG4AIAAgACAAIAAgACAAIAAgACAAIAAgACAAIAAgACAAIAAgACAAIAAgACAAIAAgACAAIAAgACAAIAAgACAAIAAgACAAIAAgACAAIAAgACAAIAAgACAAIAAgACAAIAAgACAAIABkAGUAbABpAG0AaQB0AGUAcgAsAGkAbgBzAHQAYQBuAGMAZQAsACwALABhAHIAcgBhAHkAKQAsAFwAbgAgACAAIAAgACAAIAAgACAAIAAgACAAIAAgACAAIAAgACAAIAAgACAAIAAgACAAIAAgACAAIAAgACAAIAAgACAAIAAgACAAIAAgACAAZABlAGwAaQBtAGkAdABlAHIALAAsACwALABcAG4AIAAgACAAIAAgACAAIAAgACAAIAAgACAAIAAgACAAIAAgACAAIAAgACAAIAAgACAAIAAgACAAIAAgACAAIAAgACAAIAAgACAAIAAgAGMAYQB0AGUAZwBvAHIAaQBlAHMAKQApACwAXABuAFwAbgAgACAAIAAgAC8ALwAgAC0ALQAtACAAQwBhAHQAZQBnAG8AcgB5ACAAZQB4AHAAYQBuAHMAaQBvAG4AIAAtAC0ALQBcAG4AIAAgACAAIABrACwAIAAgACAAIAAgACAAIAAgACAAIAAgACAAIAAgACAAIAAgACAAQgBZAFIATwBXACgAYwBhAHQAZQBnAG8AcgBpAGUAcwAsACAAQwBvAHUAbgB0AEMAYQB0ALsDKQAsAFwAbgBcAG4AIAAgACAAIABpACwAIAAgACAAIAAgACAAIAAgACAAIAAgACAAIAAgACAAIAAgACAAUgBlAHAAZQBhAHQAUgBvAHcAcwC7AygAUwBFAFEAVQBFAE4AQwBFACgAcgCBICkALAAgAGsAKQAsAFwAbgAgACAAIAAgAGoALAAgACAAIAAgACAAIAAgACAAIAAgACAAIAAgACAAIAAgACAAIABTAHQAcgBlAGEAawC7AygAaQApACwAXABuAFwAbgAgACAAIAAgAC8ALwAgAC0ALQAtACAAUgBvAHcAIABmAGkAZQBsAGQAcwAgAC0ALQAtAFwAbgAgACAAIAAgAGEALAAgACAAIAAgACAAIAAgACAAIAAgACAAIAAgACAAIAAgACAAIABSAGUAcABlAGEAdABSAG8AdwBzALsDKAByAG8AdwBfAGQAZQB0AGEAaQBsACwAIABrACkALABcAG4AIAAgACAAIABkAGUAdABhAGkAbAAsACAAIAAgACAAIAAgACAAIAAgACAAIAAgACAASQBGACgAYQAgAD0AIAAwACwAIABcACIAVQBuAGsAbgBvAHcAbgBcACIALAAgAGEAKQAsAFwAbgBcAG4AIAAgACAAIABkAGEAdABlAHMALAAgACAAIAAgACAAIAAgACAAIAAgACAAIAAgACAAUgBlAHAAZQBhAHQAUgBvAHcAcwC7AygAVABFAFgAVAAoAHIAbwB3AF8AZABhAHQAZQBzACwAIABkAGEAdABlAF8AZgBvAHIAbQBhAHQAKQAsACAAawApACwAXABuACAAIAAgACAAcwBvAHIAdABfAGsAZQB5ACwAIAAgACAAIAAgACAAIAAgACAAIAAgAEkARgBFAFIAUgBPAFIAKABEAEEAVABFAFYAQQBMAFUARQAoAGQAYQB0AGUAcwApACwAIABWAEEATABVAEUAKABkAGEAdABlAHMAKQApACwAXABuAFwAbgAgACAAIAAgAHIAbwB3AF8AZgBpAGUAbABkAHMALAAgACAAIAAgACAAIAAgACAAIABIAFMAVABBAEMASwAoAHMAbwByAHQAXwBrAGUAeQAsACAAZABlAHQAYQBpAGwALAAgAGQAYQB0AGUAcwApACwAXABuAFwAbgAgACAAIAAgAC8ALwAgAC0ALQAtACAAQwBvAGwAdQBtAG4AIABmAGkAZQBsAGQAcwAgAC0ALQAtAFwAbgAgACAAIAAgAHUAbgBwAGEAYwBrACwAIAAgACAAIAAgACAAIAAgACAAIAAgACAAIABSAGUAcABlAGEAdABSAG8AdwBzALsDKABjAGEAdABlAGcAbwByAGkAZQBzACwAIABrACkALABcAG4AIAAgACAAIABjAGEAdABlAGcAbwByAGkAZQBzACwAIAAgACAAIAAgACAAIAAgACAAUABhAHIAcwBlALsDKAB1AG4AcABhAGMAawAsACAAagApACwAXABuAFwAbgAgACAAIAAgAC8ALwAgAC0ALQAtACAAVgBhAGwAdQBlAHMAIAAoAGEAcABwAG8AcgB0AGkAbwBuAGUAZAApACAALQAtAC0AXABuACAAIAAgACAAdgBhAGwAdQBlAHMALAAgACAAIAAgACAAIAAgACAAIAAgACAAIAAgAFIAZQBwAGUAYQB0AFIAbwB3AHMAuwMoAHYAYQBsAHUAZQBzACAALwAgAGsALAAgAGsAKQAsAFwAbgBcAG4AIAAgACAAIAAvAC8AIAAtAC0ALQAgAEEAZwBnAHIAZQBnAGEAdABpAG8AbgAgAC0ALQAtAFwAbgAgACAAIAAgAGEAZwBnACwAIAAgACAAIAAgACAAIAAgACAAIAAgACAAIAAgACAAIABEAFIATwBQACgAUABJAFYATwBUAEIAWQAoAHIAbwB3AF8AZgBpAGUAbABkAHMALABjAGEAdABlAGcAbwByAGkAZQBzACwAdgBhAGwAdQBlAHMALABmAG4AuwMsACwAMAAsACwAMAApACwALAAxACkALABcAG4AXABuACAAIAAgACAAYQBnAGcAXABuACkAKQApACkAOwBcAG4AXABuAFwAbgBcAG4ALwAqACAAWwBHAFIAMQAwAF0AIAAtAC0ALQAtAC0ALQAtAC0ALQAtAC0ALQAtAC0ALQAtAC0ALQAtAC0ALQAtAC0ALQAtAC0ALQAtAC0ALQAtAC0ALQAtAC0ALQAtAC0ALQAtAC0ALQAtAC0ALQAtAC0ALQAtAC0ALQAtAC0ALQAtAC0ALQAtAC0ALQAtAC0ALQAtAC0ALQAtAC0ALQAtAC0ALQAtAFwAbgBGAHUAbgBjAHQAaQBvAG4AOgAgACAAIAAgACAARwByAGEAaQBu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EQAbwB3AG4AcwBhAG0AcABsAGUAcwAgAGEAIABhAHIAcgBhAHkAXwAyAEQAIABiAHkAIABhAGcAZwByAGUAZwBhAHQAaQBuAGcAIABvAHYAZQByACAAbgBvAG4AESBvAHYAZQByAGwAYQBwAHAAaQBuAGcAIABzAHAAYQB0AGkAYQBsACAAYgBsAG8AYwBrAHMAXABuACAAIAAgACAAbwBmACAAcwBpAHoAZQAgAGQAZQBwAHQAaAAgANcAIAB3AGkAZAB0AGgALgAgAFAAYQByAHQAaQBhAGwAIABiAGwAbwBjAGsAcwAgAGEAdAAgAHQAaABlACAAZQBkAGcAZQBzACAAYQByAGUAIABpAG4AYwBsAHUAZABlAGQALgAgAFQAaABlAFwAbgAgACAAIAAgAGEAZwBnAHIAZQBnAGEAdABpAG8AbgAgAGkAcwAgAHAAZQByAGYAbwByAG0AZQBkACAAdQBzAGkAbgBnACAAYQBuACAARQBUAEEAESBjAG8AbQBwAGEAdABpAGIAbABlACAAZgB1AG4AYwB0AGkAbwBuACAAKABlAC4AZwAuACwAIABTAFUATQAsAFwAbgAgACAAIAAgAEEAVgBFAFIAQQBHAEUALAAgAE0AQQBYACwAIABNAEkATgAsACAATQBFAEQASQBBAE4ALAAgAG8AcgAgAGEAIABjAHUAcwB0AG8AbQAgAEwAQQBNAEIARABBACkALgBcAG4AXABuAFAAYQByAGEAbQBlAHQAZQByAHMAOgBcAG4AIAAgACAAIABhAHIAcgBhAHkAXwAyAEQAIAAgACAAIAAgACAALQAgADIARAAgAGkAbgBwAHUAdAAgAGEAcgByAGEAeQBfADIARAAuAFwAbgAgACAAIAAgAGQAZQBwAHQAaAAgACAAIAAgACAAIAAgAC0AIABOAHUAbQBiAGUAcgAgAG8AZgAgAHIAbwB3AHMAIABwAGUAcgAgAGIAbABvAGMAawAuAFwAbgAgACAAIAAgAHcAaQBkAHQAaAAgACAAIAAgACAAIAAgAC0AIABOAHUAbQBiAGUAcgAgAG8AZgAgAGMAbwBsAHUAbQBuAHMAIABwAGUAcgAgAGIAbABvAGMAawAuAFwAbgAgACAAIAAgAGYAdQBuAGMAdABpAG8AbgAgACAAIAAgAC0AIABFAFQAQQAgAG8AcgAgAEwAQQBNAEIARABBACAAYQBwAHAAbABpAGUAZAAgAHQAbwAgAGUAYQBjAGgAIABiAGwAbwBjAGsALgBcAG4AXABuAE4AbwB0AGUAcwA6AFwAbgAgACAAIAAgACIgIABSAGUAagBlAGMAdABzACAAbgBvAG4AESBhAHIAcgBhAHkAXwAyAEQAIABpAG4AcAB1AHQAcwAuAFwAbgAgACAAIAAgACIgIABSAGUAagBlAGMAdABzACAAaQBuAHYAYQBsAGkAZAAgAGIAbABvAGMAawAgAHMAaQB6AGUAcwAgAG8AcgAgAHQAZQB4AHQAIABkAGkAbQBlAG4AcwBpAG8AbgBzAC4AXABuACAAIAAgACAAIiAgAFAAYQByAHQAaQBhAGwAIABiAGwAbwBjAGsAcwAgAGEAcgBlACAAaABhAG4AZABsAGUAZAAgAGEAdQB0AG8AbQBhAHQAaQBjAGEAbABsAHkAIAB2AGkAYQAgAEkATgBEAEUAWAAgACsAIABUAE8AQwBPAEwALgBcAG4ALQAtAC0ALQAtAC0ALQAtAC0ALQAtAC0ALQAtAC0ALQAtAC0ALQAtAC0ALQAtAC0ALQAtAC0ALQAtAC0ALQAtAC0ALQAtAC0ALQAtAC0ALQAtAC0ALQAtAC0ALQAtAC0ALQAtAC0ALQAtAC0ALQAtAC0ALQAtAC0ALQAtAC0ALQAtAC0ALQAtAC0ALQAtAC0ALQAtAC0ALQAtAC0AKgAvAFwAbgBcAG4ARwByAGEAaQBuALsDIAA9AFwAbgBMAEEATQBCAEQAQQAoAFwAbgAgACAAIAAgAGEAcgByAGEAeQBfADIARAAsAFwAbgAgACAAIAAgAGQAZQBwAHQAaAAsAFwAbgAgACAAIAAgAHcAaQBkAHQAaAAsAFwAbgAgACAAIAAgAGYAdQBuAGMAdABpAG8AbgAsAFwAbgBcAG4ASQBGACgATgBPAFQAKABUAFkAUABFACgAYQByAHIAYQB5AF8AMgBEACkAIAA9ACAANgA0ACkALABcACIAIwBhAHIAcgBhAHkAXwAyAEQAIQBcACIALABcAG4AXABuACAAIAAgACAASQBGACgATwBSACgAZABlAHAAdABoACAAPgAgAFIATwBXAFMAKABhAHIAcgBhAHkAXwAyAEQAKQAsACAAdwBpAGQAdABoACAAIAA+ACAAQwBPAEwAVQBNAE4AUwAoAGEAcgByAGEAeQBfADIARAApACwASQBTAFQARQBYAFQAKABkAGUAcAB0AGgAKQAsAEkAUwBUAEUAWABUACgAdwBpAGQAdABoACkAKQAsAFwAIgAjAEQASQBNAEUATgBTAEkATwBOAFMAIQBcACIALABcAG4AXABuACAAIAAgACAAIAAgACAAIABJAEYAKABUAFkAUABFACgAZgB1AG4AYwB0AGkAbwBuACkAIAA8AD4AIAAxADIAOAAsAFwAIgAjAEUAVABBACAARgBVAE4AQwBUAEkATwBOACEAXAAiACwAXABuAFwAbgBMAEUAVAAoAFwAbgAgACAAIAAgAC8ALwAgAEQAaQBtAGUAbgBzAGkAbwBuAHMAXABuACAAIAAgACAAaAAsACAAIAAgACAAIAAgACAAIAAgACAAIAAgACAAIABSAE8AVwBTACgAYQByAHIAYQB5AF8AMgBEACkALABcAG4AIAAgACAAIAB3ACwAIAAgACAAIAAgACAAIAAgACAAIAAgACAAIAAgAEMATwBMAFUATQBOAFMAKABhAHIAcgBhAHkAXwAyAEQAKQAsAFwAbgBcAG4AIAAgACAAIAAvAC8AIABOAHUAbQBiAGUAcgAgAG8AZgAgAGIAbABvAGMAawBzACAAKAByAG8AdQBuAGQAZQBkACAAdQBwACkAXABuACAAIAAgACAAeAAsACAAIAAgACAAIAAgACAAIAAgACAAIAAgACAAIABSAE8AVQBOAEQAVQBQACgAaAAgAC8AIABkAGUAcAB0AGgALAAgADAAKQAsAFwAbgAgACAAIAAgAHkALAAgACAAIAAgACAAIAAgACAAIAAgACAAIAAgACAAUgBPAFUATgBEAFUAUAAoAHcAIAAvACAAdwBpAGQAdABoACwAIAAwACkALABcAG4AXABuACAAIAAgACAALwAvACAAQgBsAG8AYwBrACAAYQBuAGMAaABvAHIAIABnAHIAaQBkAHMAIAAoAGQAZQBmAGUAcgByAGUAZAApAFwAbgAgACAAIAAgAGQAbwB3AG4ALAAgACAAIAAgACAAIAAgACAAIAAgACAATABBAE0AQgBEAEEAKABTAEUAUQBVAEUATgBDAEUAKAB4ACwAIAAsACAAMQAsACAAZABlAHAAdABoACkAIAAqACAAUwBFAFEAVQBFAE4AQwBFACgALAAgAHkALAAgADEALAAgADAAKQApACwAXABuACAAIAAgACAAYQBjAHIAbwBzAHMALAAgACAAIAAgACAAIAAgACAAIABMAEEATQBCAEQAQQAoAFMARQBRAFUARQBOAEMARQAoACwAIAB5ACwAIAAxACwAIAB3AGkAZAB0AGgAKQAgACoAIABTAEUAUQBVAEUATgBDAEUAKAB4ACwAIAAsACAAMQAsACAAMAApACkALABcAG4AXABuACAAIAAgACAALwAvACAAQgBsAG8AYwBrACAAYQBnAGcAcgBlAGcAYQB0AG8AcgBcAG4AIAAgACAAIABCAGwAbwBjAGsAcwC7AywAIAAgACAAIAAgACAAIAAgAEwAQQBNAEIARABBACgAcgAsACAAYwAsAFwAbgAgACAAIAAgACAAIAAgACAAIAAgACAAIAAgACAAIAAgACAAIAAgACAAIAAgACAAIABMAEUAVAAoAFwAbgAgACAAIAAgACAAIAAgACAAIAAgACAAIAAgACAAIAAgACAAIAAgACAAIAAgACAAIAAgACAAIAAgAGkALAAgACAAIAAgACAAIABMAEEATQBCAEQAQQAoAFMARQBRAFUARQBOAEMARQAoAGQAZQBwAHQAaAAsACAALAAgAHIAKQAgACoAIABTAEUAUQBVAEUATgBDAEUAKAAsACAAdwBpAGQAdABoACwAIAAxACwAIAAwACkAKQAsAFwAbgAgACAAIAAgACAAIAAgACAAIAAgACAAIAAgACAAIAAgACAAIAAgACAAIAAgACAAIAAgACAAIAAgAGoALAAgACAAIAAgACAAIABMAEEATQBCAEQAQQAoAFMARQBRAFUARQBOAEMARQAoACwAIAB3AGkAZAB0AGgALAAgAGMAKQAgACoAIABTAEUAUQBVAEUATgBDAEUAKABkAGUAcAB0AGgALAAgACwAIAAxACwAIAAwACkAKQAsAFwAbgAgACAAIAAgACAAIAAgACAAIAAgACAAIAAgACAAIAAgACAAIAAgACAAIAAgACAAIAAgACAAIAAgAGIAbABvAGMAawAsACAAIABUAE8AQwBPAEwAKABJAE4ARABFAFgAKABhAHIAcgBhAHkAXwAyAEQALAAgAGkAKAApACwAIABqACgAKQApACwAIAAyACkALABcAG4AIAAgACAAIAAgACAAIAAgACAAIAAgACAAIAAgACAAIAAgACAAIAAgACAAIAAgACAAIAAgACAAIAByAGUAcwB1AGwAdAAsACAAZgB1AG4AYwB0AGkAbwBuACgAYgBsAG8AYwBrACkALABcAG4AIAAgACAAIAAgACAAIAAgACAAIAAgACAAIAAgACAAIAAgACAAIAAgACAAIAAgACAAIAAgACAAIAByAGUAcwB1AGwAdAApACkALABcAG4AXABuACAAIAAgACAALwAvACAAQQBwAHAAbAB5ACAAYQBnAGcAcgBlAGcAYQB0AGkAbwBuACAAdABvACAAZQBhAGMAaAAgAGIAbABvAGMAawBcAG4AIAAgACAAIABkAGUAbABpAHYAZQByACwAIAAgACAAIAAgACAAIAAgAE0AQQBQACgAZABvAHcAbgAoACkALAAgAGEAYwByAG8AcwBzACgAKQAsACAAQgBsAG8AYwBrAHMAuwMpACwAXABuAFwAbgAgACAAIAAgAGQAZQBsAGkAdgBlAHIAXABuACkAKQApACkAKQA7AFwAbgBcAG4AXABuAFwAbgAvACoAIABbAEcAUgAxADEAXQAgAC0ALQAtAC0ALQAtAC0ALQAtAC0ALQAtAC0ALQAtAC0ALQAtAC0ALQAtAC0ALQAtAC0ALQAtAC0ALQAtAC0ALQAtAC0ALQAtAC0ALQAtAC0ALQAtAC0ALQAtAC0ALQAtAC0ALQAtAC0ALQAtAC0ALQAtAC0ALQAtAC0ALQAtAC0ALQAtAC0ALQAtAC0ALQAtAC0AXABuAEYAdQBuAGMAdABpAG8AbgA6ACAAIAAgACAAIABNAG8AbwByAGUAQQBnAGcAuwNcAG4AQwBhAHQAZQBnAG8AcgB5ADoAIAAgACAAIAAgAEcAcgBpAGQAIABBAG4AYQBsAHkAdABpAGMAcwAgACgATgBlAGkAZwBoAGIAbwByAGgAbwBvAGQAcwApAFwAbgBBAHUAdABoAG8AcgA6ACAAIAAgACAAIAAgACAAUABhAHQAcgBpAGMAawAgAEgALgBcAG4AVgBlAHIAcwBpAG8AbgA6ACAAIAAgACAAIAAgADEALgAxAFwAbgBcAG4ARABlAHMAYwByAGkAcAB0AGkAbwBuADoAXABuACAAIAAgACAAUABlAHIAZgBvAHIAbQBzACAAYQBnAGcAcgBlAGcAYQB0AGkAbwBuACAAbwB2AGUAcgAgAE0AbwBvAHIAZQAgAG8AcgAgAHYAbwBuACAATgBlAHUAbQBhAG4AbgAgAG4AZQBpAGcAaABiAG8AcgBoAG8AbwBkAHMAIAB1AHMAaQBuAGcAIABhAG4AXABuACAAIAAgACAARQBUAEEAESBjAG8AbQBwAGEAdABpAGIAbABlACAAZgB1AG4AYwB0AGkAbwBuACAAKABTAFUATQAsACAAQQBWAEUAUgBBAEcARQAsACAATQBBAFgALAAgAE0ASQBOACwAIABNAEUARABJAEEATgAsACAAbwByACAAYQAgAGMAdQBzAHQAbwBtAFwAbgAgACAAIAAgAEwAQQBNAEIARABBACkALgAgAE8AcAB0AGkAbwBuAGEAbAAgAHAAYQByAGEAbQBlAHQAZQByAHMAIABjAG8AbgB0AHIAbwBsACAAbgBlAGkAZwBoAGIAbwByAGgAbwBvAGQAIAB0AHkAcABlACAAYQBuAGQAIABpAGYAIAB0AGgAZQBcAG4AIAAgACAAIABjAGUAbgB0AGUAcgAgAGMAZQBsAGwAIABpAHMAIAB0AG8AIABiAGUAIABpAG4AYwBsAHUAZABlAGQALgBcAG4AXABuAE4AZQBpAGcAaABiAG8AcgBoAG8AbwBkAHMAOgBcAG4AIAAgACAAIABNAG8AbwByAGUAIAAoADgAESBjAG8AbgBuAGUAYwB0AGUAZAApADoAIAAgACAAIAAgACAAIAAgAHYAbwBuACAATgBlAHUAbQBhAG4AbgAgACgANAARIGMAbwBuAG4AZQBjAHQAZQBkACkAOgBcAG4AIAAgACAAIAAgACAAIAAgADEAIAAgADIAIAAgADMAIAAgACAAIAAgACAAIAAgACAAIAAgACAAIAAgACAAIAAgACAAIAAgACAAMQBcAG4AIAAgACAAIAAgACAAIAAgADQAIAAgAEMAIAAgADYAIAAgACAAIAAgACAAIAAgACAAIAAgACAAIAAgACAAIAAgACAAMgAgACAAQwAgACAAMwBcAG4AIAAgACAAIAAgACAAIAAgADcAIAAgADgAIAAgADkAIAAgACAAIAAgACAAIAAgACAAIAAgACAAIAAgACAAIAAgACAAIAAgACAANABcAG4AXABuAFAAYQByAGEAbQBlAHQAZQByAHMAOgBcAG4AIAAgACAAIABhAHIAcgBhAHkAXwAyAEQAIAAgACAAIAAgACAAIAAgACAAIAAtACAAMgBEACAAaQBuAHAAdQB0ACAAYQByAHIAYQB5AF8AMgBEAC4AXABuACAAIAAgACAAZgB1AG4AYwB0AGkAbwBuACAAIAAgACAAIAAgACAAIAAtACAARQBUAEEAIABvAHIAIABMAEEATQBCAEQAQQAgAGEAZwBnAHIAZQBnAGEAdABpAG8AbgAgAGYAdQBuAGMAdABpAG8AbgAuAFwAbgAgACAAIAAgAFsASQBzAHYAbwBuAE4AZQB1AG0AYQBuAG4APwBdACAALQAgAFQAUgBVAEUAIACSISAAdQBzAGUAIAB2AG8AbgAgAE4AZQB1AG0AYQBuAG4AIABuAGUAaQBnAGgAYgBvAHIAaABvAG8AZAAuAFwAbgAgACAAIAAgAFsAbwBtAGkAdABfAGMAZQBuAHQAZQByAF0AIAAgACAALQAgAFQAUgBVAEUAIACSISAAZQB4AGMAbAB1AGQAZQAgAGMAZQBuAHQAZQByACAAYwBlAGwAbAAgAGYAcgBvAG0AIABhAGcAZwByAGUAZwBhAHQAaQBvAG4ALgBcAG4ALQAtAC0ALQAtAC0ALQAtAC0ALQAtAC0ALQAtAC0ALQAtAC0ALQAtAC0ALQAtAC0ALQAtAC0ALQAtAC0ALQAtAC0ALQAtAC0ALQAtAC0ALQAtAC0ALQAtAC0ALQAtAC0ALQAtAC0ALQAtAC0ALQAtAC0ALQAtAC0ALQAtAC0ALQAtAC0ALQAtAC0ALQAtAC0ALQAtAC0ALQAtAC0AKgAvAFwAbgBcAG4ATQBvAG8AcgBlAEEAZwBnALsDIAA9AFwAbgBMAEEATQBCAEQAQQAoAFwAbgAgACAAIAAgAGEAcgByAGEAeQBfADIARAAsAFwAbgAgACAAIAAgAGYAdQBuAGMAdABpAG8AbgAsAFwAbgAgACAAIAAgAFsASQBzAHYAbwBuAE4AZQB1AG0AYQBuAG4APwBdACwAXABuACAAIAAgACAAWwBvAG0AaQB0AF8AYwBlAG4AdABlAHIAXQAsAFwAbgBcAG4ASQBGACgAVABZAFAARQAoAGEAcgByAGEAeQBfADIARAApACAAPAA+ACAANgA0ACwAXAAiACMAYQByAHIAYQB5AF8AMgBEACEAXAAiACwAXABuAFwAbgAgACAAIAAgAEkARgAoAFQAWQBQAEUAKABmAHUAbgBjAHQAaQBvAG4AKQAgADwAPgAgADEAMgA4ACAALABcACIAIwBFAFQAQQAgAEYAVQBOAEMAVABJAE8ATgAhAFwAIgAsAFwAbgBcAG4ATABFAFQAKABcAG4AIAAgACAAIAAvAC8AIABPAHAAdABpAG8AbgBhAGwAIABwAGEAcgBhAG0AZQB0AGUAcgBzAFwAbgAgACAAIAAgAEkAcwB2AG8AbgBOAGUAdQBtAGEAbgBuAD8ALAAgACAAIAAgACAAIABOAE8AVAAoAEkAUwBPAE0ASQBUAFQARQBEACgASQBzAHYAbwBuAE4AZQB1AG0AYQBuAG4APwApACkALABcAG4AIAAgACAAIABvAG0AaQB0AF8AYwBlAG4AdABlAHIALAAgACAAIAAgACAAIAAgACAATgBPAFQAKABJAFMATwBNAEkAVABUAEUARAAoAG8AbQBpAHQAXwBjAGUAbgB0AGUAcgApACkALABcAG4AXABuACAAIAAgACAALwAvACAARABpAG0AZQBuAHMAaQBvAG4AcwBcAG4AIAAgACAAIABoAGUAaQBnAGgAdAAsACAAIAAgACAAIAAgACAAIAAgACAAIAAgACAAUgBPAFcAUwAoAGEAcgByAGEAeQBfADIARAApACwAXABuACAAIAAgACAAdwBpAGQAdABoACwAIAAgACAAIAAgACAAIAAgACAAIAAgACAAIAAgAEMATwBMAFUATQBOAFMAKABhAHIAcgBhAHkAXwAyAEQAKQAsAFwAbgBcAG4AIAAgACAAIAAvAC8AIABQAGEAZAAgAGEAcgByAGEAeQBfADIARAAgAHcAaQB0AGgAIABcACIAbwBtAGkAdABcACIAIAB0AG8AIABzAGEAZgBlAGwAeQAgAGQAcgBvAHAAIABlAGQAZwBlAHMAXABuACAAIAAgACAATQAsACAAIAAgACAAIAAgACAAIAAgACAAIAAgACAAIAAgACAAIAAgAFYAUwBUAEEAQwBLACgAXAAiAG8AbQBpAHQAXAAiACwAXABuACAAIAAgACAAIAAgACAAIAAgACAAIAAgACAAIAAgACAAIAAgACAAIAAgACAAIAAgACAAIAAgACAAIAAgACAASABTAFQAQQBDAEsAKABcACIAbwBtAGkAdABcACIALAAgAGEAcgByAGEAeQBfADIARAAsACAAXAAiAG8AbQBpAHQAXAAiACkALABcAG4AIAAgACAAIAAgACAAIAAgACAAIAAgACAAIAAgACAAIAAgACAAIAAgACAAIAAgACAAIAAgACAAIAAgACAAIABcACIAbwBtAGkAdABcACIAKQAsAFwAbgBcAG4AIAAgACAAIAAvAC8AIABEAGkAcgBlAGMAdABpAG8AbgBhAGwAIAB2AGUAYwB0AG8AcgBzACAAKABmAGwAYQB0AHQAZQBuAGUAZAApAFwAbgAgACAAIAAgAGEALAAgACAAIAAgACAAIABUAE8AQwBPAEwAKABEAFIATwBQACgATQAsACAALQAyACwAIAAtADIAKQApACwAIAAgACAAIAAgACAAIAAgACAAIAAgACAAIAAgACAAIAAgACAAIAAgACAAIAAgACAAIAAvAC8AIABOAFcAXABuACAAIAAgACAAYgAsACAAIAAgACAAIAAgAFQATwBDAE8ATAAoAFQAQQBLAEUAKABEAFIATwBQACgATQAsACAALAAgADEAKQAsACAAaABlAGkAZwBoAHQALAAgAHcAaQBkAHQAaAApACkALAAgACAAIAAgACAAIAAgAC8ALwAgAE4AXABuACAAIAAgACAAYwAsACAAIAAgACAAIAAgAFQATwBDAE8ATAAoAFQAQQBLAEUAKABEAFIATwBQACgATQAsACAALAAgADIAKQAsACAAaABlAGkAZwBoAHQAKQApACwAIAAgACAAIAAgACAAIAAgACAAIAAgACAAIAAgAC8ALwAgAE4ARQBcAG4AIAAgACAAIABkACwAIAAgACAAIAAgACAAVABPAEMATwBMACgAVABBAEsARQAoAEQAUgBPAFAAKABNACwAIAAxACwAIAAtADEAKQAsACAAaABlAGkAZwBoAHQALAAgAHcAaQBkAHQAaAApACkALAAgACAAIAAgACAALwAvACAAVwBcAG4AIAAgACAAIABjAGUAbgB0AGUAcgAsACAAVABPAEMATwBMACgAVABBAEsARQAoAEQAUgBPAFAAKABNACwAIAAxACwAIAAxACkALAAgAGgAZQBpAGcAaAB0ACwAIAB3AGkAZAB0AGgAKQApACwAIAAgACAAIAAgACAALwAvACAAQwBcAG4AIAAgACAAIABmACwAIAAgACAAIAAgACAAVABPAEMATwBMACgAVABBAEsARQAoAEQAUgBPAFAAKABNACwAIAAxACwAIAAxACkALAAgAGgAZQBpAGcAaAB0ACwAIAAtAHcAaQBkAHQAaAApACkALAAgACAAIAAgACAALwAvACAARQBcAG4AIAAgACAAIABnACwAIAAgACAAIAAgACAAVABPAEMATwBMACgAVABBAEsARQAoAEQAUgBPAFAAKABNACwAIAAxACwAIAAtADEAKQAsACAALQBoAGUAaQBnAGgAdAAsACAAdwBpAGQAdABoACkAKQAsACAAIAAgACAALwAvACAAUwBXAFwAbgAgACAAIAAgAGgALAAgACAAIAAgACAAIABUAE8AQwBPAEwAKABUAEEASwBFACgARABSAE8AUAAoAE0ALAAgADEALAAgAC0AMQApACwAIAAtAGgAZQBpAGcAaAB0ACwAIAAtAHcAaQBkAHQAaAApACkALAAgACAAIAAvAC8AIABTAFwAbgAgACAAIAAgAGkALAAgACAAIAAgACAAIABUAE8AQwBPAEwAKABUAEEASwBFACgARABSAE8AUAAoAE0ALAAgADEALAAgADEAKQAsACAALQBoAGUAaQBnAGgAdAAsACAALQB3AGkAZAB0AGgAKQApACwAIAAgACAAIAAvAC8AIABTAEUAXABuAFwAbgAgACAAIAAgAC8ALwAgAE4AZQBpAGcAaABiAG8AcgBoAG8AbwBkACAAYQBzAHMAZQBtAGIAbABpAGUAcwBcAG4AIAAgACAAIABNAG8AbwByAGUAXwBuAG8AXwBjAGUAbgB0AGUAcgAsACAAIAAgACAAIAAgACAASABTAFQAQQBDAEsAKABhACwAYgAsAGMALABkACwAZgAsAGcALABoACwAaQApACwAXABuACAAIAAgACAATQBvAG8AcgBlAF8AdwBpAHQAaABfAGMAZQBuAHQAZQByACwAIAAgACAAIAAgAEgAUwBUAEEAQwBLACgAYQAsAGIALABjACwAZAAsAGMAZQBuAHQAZQByACwAZgAsAGcALABoACwAaQApACwAXABuAFwAbgAgACAAIAAgAHYAbwBuAF8AbgBvAF8AYwBlAG4AdABlAHIALAAgACAAIAAgACAAIAAgACAAIABIAFMAVABBAEMASwAoAGIALABkACwAZgAsAGgAKQAsAFwAbgAgACAAIAAgAHYAbwBuAF8AdwBpAHQAaABfAGMAZQBuAHQAZQByACwAIAAgACAAIAAgACAAIABIAFMAVABBAEMASwAoAGIALABkACwAZgAsAGgALABjAGUAbgB0AGUAcgApACwAXABuAFwAbgAgACAAIAAgAC8ALwAgAEEAZwBnAHIAZQBnAGEAdABvAHIAXABuACAAIAAgACAAQQBnAGcAcgBlAGcAYQB0AGUAuwMsACAAIAAgACAAIAAgACAAIAAgACAAIAAgAEwAQQBNAEIARABBACgAdgAsAFwAbgAgACAAIAAgACAAIAAgACAAIAAgACAAIAAgACAAIAAgACAAIAAgACAAIAAgACAAIAAgACAAIAAgAGYAdQBuAGMAdABpAG8AbgAoAFQATwBDAE8ATAAoAEkARgBTACgAdgAsACAAdgApACwAMgApACkAKQAsAFwAbgBcAG4AIAAgACAAIAAvAC8AIABBAHAAcABsAHkAIABhAGcAZwByAGUAZwBhAHQAaQBvAG4AXABuACAAIAAgACAAYQBnAGcALAAgACAAIAAgACAAIAAgACAAIAAgACAAIAAgACAAIAAgACAAIAAgAEkARgAoAEkAcwB2AG8AbgBOAGUAdQBtAGEAbgBuAD8ALABcAG4AXABuACAAIAAgACAAIAAgACAAIAAgACAAIAAgACAAIAAgACAAIAAgACAAIAAgACAAIAAgACAAIAAgACAAIAAgACAAIABJAEYAKABvAG0AaQB0AF8AYwBlAG4AdABlAHIALABCAFkAUgBPAFcAKAB2AG8AbgBfAG4AbwBfAGMAZQBuAHQAZQByACwAIABBAGcAZwByAGUAZwBhAHQAZQC7AykALABcAG4AIAAgACAAIAAgACAAIAAgACAAIAAgACAAIAAgACAAIAAgACAAIAAgACAAIAAgACAAIAAgACAAIAAgACAAIAAgACAAIAAgACAAIAAgACAAIAAgACAAIAAgACAAIAAgAEIAWQBSAE8AVwAoAHYAbwBuAF8AdwBpAHQAaABfAGMAZQBuAHQAZQByACwAIABBAGcAZwByAGUAZwBhAHQAZQC7AykAKQAsAFwAbgBcAG4AIAAgACAAIAAgACAAIAAgACAAIAAgACAAIAAgACAAIAAgACAAIAAgACAAIAAgACAAIAAgACAAIAAgACAAIAAgAEkARgAoAG8AbQBpAHQAXwBjAGUAbgB0AGUAcgAsAEIAWQBSAE8AVwAoAE0AbwBvAHIAZQBfAG4AbwBfAGMAZQBuAHQAZQByACwAIABBAGcAZwByAGUAZwBhAHQAZQC7AykALABcAG4AIAAgACAAIAAgACAAIAAgACAAIAAgACAAIAAgACAAIAAgACAAIAAgACAAIAAgACAAIAAgACAAIAAgACAAIAAgACAAIAAgACAAIAAgACAAIAAgACAAIAAgACAAIAAgAEIAWQBSAE8AVwAoAE0AbwBvAHIAZQBfAHcAaQB0AGgAXwBjAGUAbgB0AGUAcgAsACAAQQBnAGcAcgBlAGcAYQB0AGUAuwMpACkAKQAsAFwAbgBcAG4AIAAgACAAIAAvAC8AIABSAGUAcwBoAGEAcABlACAAYgBhAGMAawAgAHQAbwAgAGEAcgByAGEAeQBfADIARABcAG4AIAAgACAAIABkAGUAbABpAHYAZQByACwAIAAgACAAIAAgACAAIAAgACAAIAAgACAAIAAgACAASQBGAEUAUgBSAE8AUgAoAFcAUgBBAFAAUgBPAFcAUwAoAGEAZwBnACwAIAB3AGkAZAB0AGgAKQAsACAAMAApACwAXABuAFwAbgAgACAAIAAgAGQAZQBsAGkAdgBlAHIAXABuACkAKQApACkAOwBcAG4AXABuAFwAbgBcAG4ALwAqACAAWwBHAFIAMQAyAF0AIAAtAC0ALQAtAC0ALQAtAC0ALQAtAC0ALQAtAC0ALQAtAC0ALQAtAC0ALQAtAC0ALQAtAC0ALQAtAC0ALQAtAC0ALQAtAC0ALQAtAC0ALQAtAC0ALQAtAC0ALQAtAC0ALQAtAC0ALQAtAC0ALQAtAC0ALQAtAC0ALQAtAC0ALQAtAC0ALQAtAC0ALQAtAC0ALQAtAFwAbgBGAHUAbgBjAHQAaQBvAG4AOgAgACAAIAAgACAATQBvAG8AcgBlAFMAZQBsAGUAYwB0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FMAZQBsAGUAYwB0AHMAIABhACAAcwBwAGUAYwBpAGYAaQBjACAAbgBlAGkAZwBoAGIAbwByACAAKAAxABMgOQApACAAZgByAG8AbQAgAHQAaABlACAATQBvAG8AcgBlACAAbgBlAGkAZwBoAGIAbwByAGgAbwBvAGQAIABmAG8AcgAgAGUAYQBjAGgAXABuACAAIAAgACAAZQBsAGUAbQBlAG4AdAAgAGkAbgAgAGEAIABhAHIAcgBhAHkAXwAyAEQALgAgAE4AZQBpAGcAaABiAG8AcgAgAGkAbgBkAGUAeAAgADUAIAByAGUAdAB1AHIAbgBzACAAdABoAGUAIABjAGUAbgB0AGUAcgAgAGMAZQBsAGwALgBcAG4AXABuAE0AbwBvAHIAZQAgAE4AZQBpAGcAaABiAG8AcgBoAG8AbwBkADoAXABuACAAIAAgACAAIAAgACAAIAAxACAAIAAgADIAIAAgACAAMwBcAG4AIAAgACAAIAAgACAAIAAgADQAIAAgACAAQwAgACAAIAA2AFwAbgAgACAAIAAgACAAIAAgACAANwAgACAAIAA4ACAAIAAgADkAXABuAFwAbgBQAGEAcgBhAG0AZQB0AGUAcgBzADoAXABuACAAIAAgACAAYQByAHIAYQB5AF8AMgBEACAAIAAgACAAIAAgAC0AIAAyAEQAIABpAG4AcAB1AHQAIABhAHIAcgBhAHkAXwAyAEQALgBcAG4AIAAgACAAIABuAGUAaQBnAGgAYgBvAHIAIAAgACAAIAAtACAASQBuAHQAZQBnAGUAcgAgADEAEyA5ACAAaQBuAGQAaQBjAGEAdABpAG4AZwAgAHcAaABpAGMAaAAgAG4AZQBpAGcAaABiAG8AcgAgAHQAbwAgAHIAZQB0AHUAcgBuAC4AXABuAC0ALQAtAC0ALQAtAC0ALQAtAC0ALQAtAC0ALQAtAC0ALQAtAC0ALQAtAC0ALQAtAC0ALQAtAC0ALQAtAC0ALQAtAC0ALQAtAC0ALQAtAC0ALQAtAC0ALQAtAC0ALQAtAC0ALQAtAC0ALQAtAC0ALQAtAC0ALQAtAC0ALQAtAC0ALQAtAC0ALQAtAC0ALQAtAC0ALQAtAC0ALQAtACoALwBcAG4AXABuAE0AbwBvAHIAZQBTAGUAbABlAGMAdAC7AyAAPQBcAG4ATABBAE0AQgBEAEEAKABcAG4AIAAgACAAIABhAHIAcgBhAHkAXwAyAEQALABcAG4AIAAgACAAIABuAGUAaQBnAGgAYgBvAHIALABcAG4AXABuAEkARgAoAFQAWQBQAEUAKABhAHIAcgBhAHkAXwAyAEQAKQAgADwAPgAgADYANAAsAFwAIgAjAGEAcgByAGEAeQBfADIARAAhAFwAIgAsAFwAbgBcAG4AIAAgACAAIABJAEYAKABOAE8AVAAoAEEATgBEACgAbgBlAGkAZwBoAGIAbwByACAAPgA9ACAAMQAsACAAbgBlAGkAZwBoAGIAbwByACAAPAA9ACAAOQAsACAATgBPAFQAKABJAFMAVABFAFgAVAAoAG4AZQBpAGcAaABiAG8AcgApACkAKQApACwAXAAiACMATgBFAEkARwBIAEIATwBSACEAXAAiACwAXABuAFwAbgBMAEUAVAAoAFwAbgAgACAAIAAgAC8ALwAgAEQAaQBtAGUAbgBzAGkAbwBuAHMAXABuACAAIAAgACAAaABlAGkAZwBoAHQALAAgACAAIAAgACAAIAAgACAAIAAgACAAIAAgAFIATwBXAFMAKABhAHIAcgBhAHkAXwAyAEQAKQAsAFwAbgAgACAAIAAgAHcAaQBkAHQAaAAsACAAIAAgACAAIAAgACAAIAAgACAAIAAgACAAIABDAE8ATABVAE0ATgBTACgAYQByAHIAYQB5AF8AMgBEACkALABcAG4AXABuACAAIAAgACAALwAvACAAUABhAGQAIABhAHIAcgBhAHkAXwAyAEQAIAB3AGkAdABoACAAegBlAHIAbwBzACAAKABuAG8AIABhAGcAZwByAGUAZwBhAHQAaQBvAG4AIABuAGUAZQBkAGUAZAApAFwAbgAgACAAIAAgAGgAcABhAGQALAAgACAAIAAgACAAIAAgACAAIAAgACAAIAAgACAAIABFAFgAUABBAE4ARAAoADAALAAgACwAIAB3AGkAZAB0AGgAIAArACAAMgAsACAAMAApACwAXABuACAAIAAgACAAdgBwAGEAZAAsACAAIAAgACAAIAAgACAAIAAgACAAIAAgACAAIAAgAEUAWABQAEEATgBEACgAMAAsACAAaABlAGkAZwBoAHQALAAgACwAIAAwACkALABcAG4AIAAgACAAIABNACwAIAAgACAAIAAgACAAIAAgACAAIAAgACAAIAAgACAAIAAgACAAVgBTAFQAQQBDAEsAKABoAHAAYQBkACwAIABIAFMAVABBAEMASwAoAHYAcABhAGQALAAgAGEAcgByAGEAeQBfADIARAAsACAAdgBwAGEAZAApACwAIABoAHAAYQBkACkALABcAG4AXABuACAAIAAgACAALwAvACAATQBvAG8AcgBlACAAbgBlAGkAZwBoAGIAbwByAGgAbwBvAGQAIABlAHgAdAByAGEAYwB0AGkAbwBuAFwAbgAgACAAIAAgAGEALAAgACAAIAAgACAAIAAgACAAIAAgACAAIAAgACAAIAAgACAAIABEAFIATwBQACgATQAsACAALQAyACwAIAAtADIAKQAsACAAIAAgACAAIAAgACAAIAAgACAAIAAgACAAIAAgACAAIAAgACAAIAAgACAAIAAgACAALwAvACAATgBXAFwAbgAgACAAIAAgAGIALAAgACAAIAAgACAAIAAgACAAIAAgACAAIAAgACAAIAAgACAAIABUAEEASwBFACgARABSAE8AUAAoAE0ALAAgACwAIAAxACkALAAgAGgAZQBpAGcAaAB0ACwAIAB3AGkAZAB0AGgAKQAsACAAIAAgACAAIAAgACAALwAvACAATgBcAG4AIAAgACAAIABjACwAIAAgACAAIAAgACAAIAAgACAAIAAgACAAIAAgACAAIAAgACAAVABBAEsARQAoAEQAUgBPAFAAKABNACwAIAAsACAAMgApACwAIABoAGUAaQBnAGgAdAApACwAIAAgACAAIAAgACAAIAAgACAAIAAgACAAIAAgAC8ALwAgAE4ARQBcAG4AIAAgACAAIABkACwAIAAgACAAIAAgACAAIAAgACAAIAAgACAAIAAgACAAIAAgACAAVABBAEsARQAoAEQAUgBPAFAAKABNACwAIAAxACwAIAAtADEAKQAsACAAaABlAGkAZwBoAHQALAAgAHcAaQBkAHQAaAApACwAIAAgACAAIAAgAC8ALwAgAFcAXABuACAAIAAgACAAYwBlAG4AdABlAHIALAAgACAAIAAgACAAIAAgACAAIAAgACAAIAAgAFQAQQBLAEUAKABEAFIATwBQACgATQAsACAAMQAsACAAMQApACwAIABoAGUAaQBnAGgAdAAsACAAdwBpAGQAdABoACkALAAgACAAIAAgACAAIAAvAC8AIABDAFwAbgAgACAAIAAgAGYALAAgACAAIAAgACAAIAAgACAAIAAgACAAIAAgACAAIAAgACAAIABUAEEASwBFACgARABSAE8AUAAoAE0ALAAgADEALAAgADEAKQAsACAAaABlAGkAZwBoAHQALAAgAC0AdwBpAGQAdABoACkALAAgACAAIAAgACAALwAvACAARQBcAG4AIAAgACAAIABnACwAIAAgACAAIAAgACAAIAAgACAAIAAgACAAIAAgACAAIAAgACAAVABBAEsARQAoAEQAUgBPAFAAKABNACwAIAAxACwAIAAtADEAKQAsACAALQBoAGUAaQBnAGgAdAAsACAAdwBpAGQAdABoACkALAAgACAAIAAgAC8ALwAgAFMAVwBcAG4AIAAgACAAIABoACwAIAAgACAAIAAgACAAIAAgACAAIAAgACAAIAAgACAAIAAgACAAVABBAEsARQAoAEQAUgBPAFAAKABNACwAIAAxACwAIAAtADEAKQAsACAALQBoAGUAaQBnAGgAdAAsACAALQB3AGkAZAB0AGgAKQAsACAAIAAgAC8ALwAgAFMAXABuACAAIAAgACAAaQAsACAAIAAgACAAIAAgACAAIAAgACAAIAAgACAAIAAgACAAIAAgAFQAQQBLAEUAKABEAFIATwBQACgATQAsACAAMQAsACAAMQApACwAIAAtAGgAZQBpAGcAaAB0ACwAIAAtAHcAaQBkAHQAaAApACwAIAAgACAAIAAvAC8AIABTAEUAXABuAFwAbgAgACAAIAAgAC8ALwAgAFMAdABhAGMAawAgAGEAbABsACAAOQAgAG4AZQBpAGcAaABiAG8AcgBzACAAaABvAHIAaQB6AG8AbgB0AGEAbABsAHkAXABuACAAIAAgACAATQBvAG8AcgBlACwAIAAgACAAIAAgACAAIAAgACAAIAAgACAAIAAgAEgAUwBUAEEAQwBLACgAYQAsACAAYgAsACAAYwAsACAAZAAsACAAYwBlAG4AdABlAHIALAAgAGYALAAgAGcALAAgAGgALAAgAGkAKQAsAFwAbgBcAG4AIAAgACAAIAAvAC8AIABDAG8AbQBwAHUAdABlACAAcwB0AGEAcgB0AGkAbgBnACAAYwBvAGwAdQBtAG4AIABmAG8AcgAgAHQAaABlACAAYwBoAG8AcwBlAG4AIABuAGUAaQBnAGgAYgBvAHIAXABuACAAIAAgACAAcwB0AGEAcgB0ACwAIAAgACAAIAAgACAAIAAgACAAIAAgACAAIAAgACgAbgBlAGkAZwBoAGIAbwByACAALQAgADEAKQAgACoAIAB3AGkAZAB0AGgAIAArACAAMQAsAFwAbgBcAG4AIAAgACAAIAAvAC8AIABTAGUAbABlAGMAdAAgAHQAaABlACAAbgBlAGkAZwBoAGIAbwByACAAYgBsAG8AYwBrAFwAbgAgACAAIAAgAHMAZQBsAGUAYwB0AF8AbgBlAGkAZwBoAGIAbwByACwAIAAgACAAIABDAEgATwBPAFMARQBDAE8ATABTACgATQBvAG8AcgBlACwAIABTAEUAUQBVAEUATgBDAEUAKAAsACAAdwBpAGQAdABoACwAIABzAHQAYQByAHQAKQApACwAXABuAFwAbgAgACAAIAAgAHMAZQBsAGUAYwB0AF8AbgBlAGkAZwBoAGIAbwByAFwAbgApACkAKQApADsAXABuAFwAbgBcAG4AXABuAC8AKgAgAFsARwBSADEAMwBdACAALQAtAC0ALQAtAC0ALQAtAC0ALQAtAC0ALQAtAC0ALQAtAC0ALQAtAC0ALQAtAC0ALQAtAC0ALQAtAC0ALQAtAC0ALQAtAC0ALQAtAC0ALQAtAC0ALQAtAC0ALQAtAC0ALQAtAC0ALQAtAC0ALQAtAC0ALQAtAC0ALQAtAC0ALQAtAC0ALQAtAC0ALQAtAC0ALQBcAG4ARgB1AG4AYwB0AGkAbwBuADoAIAAgACAAIAAgAEgAaQBzAHQAbwBnAHIAYQBtALsDXABuAEMAYQB0AGUAZwBvAHIAeQA6ACAAIAAgACAAIABHAHIAaQBkACAAQQBuAGEAbAB5AHQAaQBjAHMAIAAoAFMAdABhAHQAaQBzAHQAaQBjAHMAKQBcAG4AQQB1AHQAaABvAHIAOgAgACAAIAAgACAAIAAgAFAAYQB0AHIAaQBjAGsAIABIAC4AXABuAFYAZQByAHMAaQBvAG4AOgAgACAAIAAgACAAIAAxAC4AMQBcAG4AXABuAEQAZQBzAGMAcgBpAHAAdABpAG8AbgA6AFwAbgAgACAAIAAgAEcAZQBuAGUAcgBhAHQAZQBzACAAYQAgAGgAaQBzAHQAbwBnAHIAYQBtACAAdQBzAGkAbgBnACAAYQB1AHQAbwBtAGEAdABpAGMAIABiAGkAbgBuAGkAbgBnACAAcgB1AGwAZQBzACAAKABTAHQAdQByAGcAZQBzACwAIABSAGkAYwBlACwAXABuACAAIAAgACAAUwBjAG8AdAB0ACwAIABGAHIAZQBlAGQAbQBhAG4AKQAgAGQAZQBwAGUAbgBkAGkAbgBnACAAbwBuACAAcwBhAG0AcABsAGUAIABzAGkAegBlACAAYQBuAGQAIABzAGsAZQB3AG4AZQBzAHMALgAgAFMAdQBwAHAAbwByAHQAcwAgAGEAbgBcAG4AIAAgACAAIABvAHAAdABpAG8AbgBhAGwAIABmAGkAeABlAGQAIABiAGkAbgAgAHcAaQBkAHQAaAAgAGEAbgBkACAAYQBuACAAbwBwAHQAaQBvAG4AYQBsACAAUABhAHIAZQB0AG8AIAAoAGMAdQBtAHUAbABhAHQAaQB2AGUAIAAlACkAIABjAG8AbAB1AG0AbgAuAFwAbgBcAG4AUABhAHIAYQBtAGUAdABlAHIAcwA6AFwAbgAgACAAIAAgAGEAcgByAGEAeQAgACAAIAAgACAAIAAgACAAIAAgACAAIAAtACAATgB1AG0AZQByAGkAYwAgAGEAcgByAGEAeQAgACgAMQBEACAAbwByACAAMgBEACkALgBcAG4AIAAgACAAIABbAGIAaQBuAF8AdwBpAGQAdABoAF0AIAAgACAAIAAgACAALQAgAE8AcAB0AGkAbwBuAGEAbAAgAGYAaQB4AGUAZAAgAGIAaQBuACAAdwBpAGQAdABoACAAKAAwACAAPAAgAHcAaQBkAHQAaAAgAGQiIAAxADAAMAAwACkALgBcAG4AIAAgACAAIABbAGkAbgBjAGwAdQBkAGUAXwBQAGEAcgBlAHQAbwBdACAALQAgAFQAUgBVAEUAIACSISAAaQBuAGMAbAB1AGQAZQAgAGMAdQBtAHUAbABhAHQAaQB2AGUAIAAlACAAYwBvAGwAdQBtAG4ALgBcAG4AXABuAE4AbwB0AGUAcwA6AFwAbgAgACAAIAAgACIgIABSAGUAdAB1AHIAbgBzACAAIwBWAEEATABVAEUAIQAgAGkAZgAgAGYAZQB3AGUAcgAgAHQAaABhAG4AIAAyACAAdgBhAGwAdQBlAHMAIABhAHIAZQAgAHMAdQBwAHAAbABpAGUAZAAuAFwAbgAgACAAIAAgACIgIABDAGEAcABzACAAdABvAHQAYQBsACAAYgBpAG4AcwAgAGEAdAAgADEAMAAwAC4AXABuACAAIAAgACAAIiAgAEkAZgAgAGIAaQBuAF8AdwBpAGQAdABoACAAaQBzACAAcwB1AHAAcABsAGkAZQBkACwAIABhAHUAdABvAG0AYQB0AGkAYwAgAHIAdQBsAGUAcwAgAGEAcgBlACAAYgB5AHAAYQBzAHMAZQBkAC4AXABuAC0ALQAtAC0ALQAtAC0ALQAtAC0ALQAtAC0ALQAtAC0ALQAtAC0ALQAtAC0ALQAtAC0ALQAtAC0ALQAtAC0ALQAtAC0ALQAtAC0ALQAtAC0ALQAtAC0ALQAtAC0ALQAtAC0ALQAtAC0ALQAtAC0ALQAtAC0ALQAtAC0ALQAtAC0ALQAtAC0ALQAtAC0ALQAtAC0ALQAtAC0ALQAtACoALwBcAG4AXABuAEgAaQBzAHQAbwBnAHIAYQBtALsDIAA9AFwAbgBMAEEATQBCAEQAQQAoAFwAbgAgACAAIAAgAGEAcgByAGEAeQAsAFwAbgAgACAAIAAgAFsAYgBpAG4AXwB3AGkAZAB0AGgAXQAsAFwAbgAgACAAIAAgAFsAaQBuAGMAbAB1AGQAZQBfAFAAYQByAGUAdABvAF0ALABcAG4AXABuAFwAbgBJAEYAKABDAE8AVQBOAFQAKABhAHIAcgBhAHkAKQAgADwAPQAgADEALAAjAFYAQQBMAFUARQAhACwAXABuAFwAbgAgACAAIAAgAEkARgAoAEEATgBEACgATgBPAFQAKABJAFMATwBNAEkAVABUAEUARAAoAGIAaQBuAF8AdwBpAGQAdABoACkAKQAsAE8AUgAoAGIAaQBuAF8AdwBpAGQAdABoACAAPAAgADAALAAgAGIAaQBuAF8AdwBpAGQAdABoACAAPgAgADEAMAAwADAAKQApACwAXAAiACMAQgBJAE4ALQBXAEkARABUAEgAIQBcACIALABcAG4AXABuAEwARQBUACgAXABuACAAIAAgACAALwAvACAAUwBhAG0AcABsAGUAIABjAGgAYQByAGEAYwB0AGUAcgBpAHMAdABpAGMAcwBcAG4AIAAgACAAIABuACwAIAAgACAAIAAgACAAIAAgACAAIAAgACAAIAAgAEMATwBVAE4AVAAoAGEAcgByAGEAeQApACwAXABuACAAIAAgACAAUwBtAGEAbABsAEQAYQB0AGEAPwAsACAAIAAgACAAIABuACAAPAAgADIAMAAwACwAXABuACAAIAAgACAAQQBkAGQAXwBQAGEAcgBlAHQAbwA/ACwAIAAgACAAIABOAE8AVAAoAEkAUwBPAE0ASQBUAFQARQBEACgAaQBuAGMAbAB1AGQAZQBfAFAAYQByAGUAdABvACkAKQAsAFwAbgBcAG4AIAAgACAAIABtAGkAbgAsACAAIAAgACAAIAAgACAAIAAgACAAIAAgAE0ASQBOACgAYQByAHIAYQB5ACkALABcAG4AIAAgACAAIABtAGEAeAAsACAAIAAgACAAIAAgACAAIAAgACAAIAAgAE0AQQBYACgAYQByAHIAYQB5ACkALABcAG4AIAAgACAAIAByAGEAbgBnAGUALAAgACAAIAAgACAAIAAgACAAIAAgAG0AYQB4ACAALQAgAG0AaQBuACwAXABuACAAIAAgACAAaQBxAHIALAAgACAAIAAgACAAIAAgACAAIAAgACAAIABRAFUAQQBSAFQASQBMAEUAKABhAHIAcgBhAHkALAAgADMAKQAgAC0AIABRAFUAQQBSAFQASQBMAEUAKABhAHIAcgBhAHkALAAgADEAKQAsAFwAbgBcAG4AIAAgACAAIABzACwAIAAgACAAIAAgACAAIAAgACAAIAAgACAAIAAgAFMASwBFAFcAKABhAHIAcgBhAHkAKQAsAFwAbgAgACAAIAAgAEkAcwBTAGsAZQB3AGUAZAA/ACwAIAAgACAAIAAgACAASQBGACgAUwBtAGEAbABsAEQAYQB0AGEAPwAsACAARgBBAEwAUwBFACwAIABBAEIAUwAoAHMAKQAgAD4AIAAwAC4AMgApACwAXABuAFwAbgAgACAAIAAgAC8ALwAgAE8AcAB0AGkAbwBuAGEAbAAgAGYAaQB4AGUAZAAgAGIAaQBuACAAdwBpAGQAdABoAFwAbgAgACAAIAAgAEkAcwBGAGkAeABlAGQAPwAsACAAIAAgACAAIAAgACAATgBPAFQAKABJAFMATwBNAEkAVABUAEUARAAoAGIAaQBuAF8AdwBpAGQAdABoACkAKQAsAFwAbgBcAG4AIAAgACAAIAAvAC8AIABBAHUAdABvAG0AYQB0AGkAYwAgAGIAaQBuAG4AaQBuAGcAIAByAHUAbABlAHMAXABuACAAIAAgACAAUwB0AHUAcgBnAGUALAAgACAAIAAgACAAIAAgACAAIABDAEUASQBMAEkATgBHACgATABPAEcAKABuACwAIAAyACkAIAArACAAMQAsACAAMQApACwAXABuACAAIAAgACAAUwBSAFIALAAgACAAIAAgACAAIAAgACAAIAAgACAAIABDAEUASQBMAEkATgBHACgAUwBRAFIAVAAoAG4AKQAsACAAMQApACwAXABuACAAIAAgACAAUgBpAGMAZQAsACAAIAAgACAAIAAgACAAIAAgACAAIABDAEUASQBMAEkATgBHACgAMgAgACoAIABuAF4AKAAxAC8AMwApACwAIAAxACkALABcAG4AIAAgACAAIABTAGMAbwB0AHQALAAgACAAIAAgACAAIAAgACAAIAAgAEMARQBJAEwASQBOAEcAKAAzAC4ANQAgACoAIABTAFQARABFAFYALgBQACgAYQByAHIAYQB5ACkAIAAvACAAbgBeACgAMQAvADMAKQAsACAAMQApACwAXABuACAAIAAgACAARgByAGUAZQBkAG0AYQBuACwAIAAgACAAIAAgACAAIABDAEUASQBMAEkATgBHACgAMgAgACoAIABpAHEAcgAgAC8AIABuAF4AKAAxAC8AMwApACwAIAAxACkALABcAG4AXABuACAAIAAgACAAZgBpAHgAZQBkACwAIAAgACAAIAAgACAAIAAgACAAIABDAEUASQBMAEkATgBHACgAcgBhAG4AZwBlACAALwAgAGIAaQBuAF8AdwBpAGQAdABoACwAIAAxACAALwAgAGIAaQBuAF8AdwBpAGQAdABoACkALABcAG4AXABuACAAIAAgACAALwAvACAAQgBpAG4AIABjAG8AdQBuAHQAIABzAGUAbABlAGMAdABpAG8AbgBcAG4AIAAgACAAIABrACwAIAAgACAAIAAgACAAIAAgACAAIAAgACAAIAAgAEkARgAoAEkAcwBGAGkAeABlAGQAPwAsAGYAaQB4AGUAZAAsAFwAbgAgACAAIAAgACAAIAAgACAAIAAgACAAIAAgACAAIAAgACAAIAAgACAAIAAgACAAIABJAEYAKABuACAAPAA9ACAAMwAwACwATQBBAFgAKABTAHQAdQByAGcAZQAsACAAUgBpAGMAZQApACwAXABuACAAIAAgACAAIAAgACAAIAAgACAAIAAgACAAIAAgACAAIAAgACAAIAAgACAAIAAgACAAIAAgACAASQBGACgASQBzAFMAawBlAHcAZQBkAD8ALABNAEkATgAoAEYAcgBlAGUAZABtAGEAbgAsACAAMQA1ACkALABcAG4AIAAgACAAIAAgACAAIAAgACAAIAAgACAAIAAgACAAIAAgACAAIAAgACAAIAAgACAAIAAgACAAIAAgACAAIAAgAE0ASQBOACgAUwBjAG8AdAB0ACwAIAAxADUAKQApACkAKQAsAFwAbgBcAG4AIAAgACAAIAAvAC8AIABBAHYAbwBpAGQAIABzAGkAbgBnAGwAZQAtAGIAaQBuACAAbwB1AHQAcAB1AHQAOwAgAGMAYQBwACAAYQB0ACAAMQAwADAAXABuACAAIAAgACAAawBfACwAIAAgACAAIAAgACAAIAAgACAAIAAgACAAIABNAEkATgAoAEkARgAoAGsAIAA9ACAAMQAsACAANQAsACAAawApACwAIAAxADAAMAApACwAXABuAFwAbgAgACAAIAAgAC8ALwAgAEIAaQBuACAAaQBuAHQAZQByAHYAYQBsAFwAbgAgACAAIAAgAGkAbgB0AGUAcgB2AGEAbAAsACAAIAAgACAAIAAgACAASQBGACgAcgBhAG4AZwBlACAAPQAgADAALAAgADEALAAgAE0AQQBYACgAcgBhAG4AZwBlACAALwAgAGsAXwAsACAAMAAuADEAKQApACwAXABuACAAIAAgACAAYgBpAG4AXwB1AHAAcABlAHIALAAgACAAIAAgACAAIABDAEUASQBMAEkATgBHACgAbQBhAHgALAAgAGkAbgB0AGUAcgB2AGEAbAApACwAXABuACAAIAAgACAAYgBpAG4AXwBsAG8AdwBlAHIALAAgACAAIAAgACAAIABGAEwATwBPAFIAKABtAGkAbgAsACAAaQBuAHQAZQByAHYAYQBsACkALABcAG4AXABuACAAIAAgACAAYgBpAG4AXwBhAHIAcgAsACAAIAAgACAAIAAgACAAIABTAEUAUQBVAEUATgBDAEUAKAAxACAAKwAgACgAYgBpAG4AXwB1AHAAcABlAHIAIAAtACAAYgBpAG4AXwBsAG8AdwBlAHIAKQAgAC8AIABpAG4AdABlAHIAdgBhAGwALAAsAGIAaQBuAF8AbABvAHcAZQByACwAaQBuAHQAZQByAHYAYQBsACkALABcAG4AXABuACAAIAAgACAALwAvACAAQgBpAG4AIABsAGEAYgBlAGwAcwBcAG4AIAAgACAAIABiAGkAbgBfAHMAdABhAHIAdAAsACAAIAAgACAAIAAgAEQAUgBPAFAAKABiAGkAbgBfAGEAcgByACwAIAAtADEAKQAsAFwAbgAgACAAIAAgAGIAaQBuAF8AZQBuAGQALAAgACAAIAAgACAAIAAgACAARABSAE8AUAAoAGIAaQBuAF8AYQByAHIALAAgADEAKQAsAFwAbgBcAG4AIAAgACAAIABiAGkAbgBfAGgAZQBhAGQAZQByACwAIAAgACAAIAAgAHsAXAAiAFMAdABhAHIAdABcACIALAAgAFwAIgBFAG4AZABcACIALAAgAFwAIgBUAG8AdABhAGwAXAAiAH0ALABcAG4AIAAgACAAIABiAGkAbgBfAGwAYQBiAGUAbABzACwAIAAgACAAIAAgAEgAUwBUAEEAQwBLACgAVgBTAFQAQQBDAEsAKABcACIAPABcACIALAAgAGIAaQBuAF8AcwB0AGEAcgB0ACkALABcAG4AIAAgACAAIAAgACAAIAAgACAAIAAgACAAIAAgACAAIAAgACAAIAAgACAAIAAgACAAIAAgACAAVgBTAFQAQQBDAEsAKABUAEEASwBFACgAYgBpAG4AXwBzAHQAYQByAHQALAAgADEAKQAsACAAYgBpAG4AXwBlAG4AZAApACkALABcAG4AXABuACAAIAAgACAALwAvACAARgByAGUAcQB1AGUAbgBjAGkAZQBzACAAYQBuAGQAIABQAGEAcgBlAHQAbwBcAG4AIAAgACAAIABmAHIAZQBxACwAIAAgACAAIAAgACAAIAAgACAAIAAgAEQAUgBPAFAAKABGAFIARQBRAFUARQBOAEMAWQAoAGEAcgByAGEAeQAsACAAYgBpAG4AXwBhAHIAcgApACwAIAAtADEAKQAsAFwAbgAgACAAIAAgAFAAYQByAGUAdABvACwAIAAgACAAIAAgACAAIAAgACAAQgBZAFIATwBXACgAZgByAGUAcQAsACAATABBAE0AQgBEAEEAKAB2ACwAIABQAEUAUgBDAEUATgBUAE8ARgAoAHYALAAgAGYAcgBlAHEAKQApACkALABcAG4AXABuACAAIAAgACAALwAvACAARgBpAG4AYQBsACAAYQBzAHMAZQBtAGIAbAB5AFwAbgAgACAAIAAgAHMAdABhAGMAawAsACAAIAAgACAAIAAgACAAIAAgACAAVgBTAFQAQQBDAEsAKABiAGkAbgBfAGgAZQBhAGQAZQByACwAIABIAFMAVABBAEMASwAoAGIAaQBuAF8AbABhAGIAZQBsAHMALAAgAGYAcgBlAHEAKQApACwAXABuAFwAbgAgACAAIAAgAGQAZQBsAGkAdgBlAHIALAAgACAAIAAgACAAIAAgACAASQBGACgAQQBkAGQAXwBQAGEAcgBlAHQAbwA/ACwAUwBPAFIAVAAoAEgAUwBUAEEAQwBLACgAcwB0AGEAYwBrACwAVgBTAFQAQQBDAEsAKABcACIAQwB1AG0AdQBsAGEAdABpAHYAZQAgACUAXAAiACwAIABQAGEAcgBlAHQAbwApACkALAAzACwALQAxACkALABcAG4AIAAgACAAIAAgACAAIAAgACAAIAAgACAAIAAgACAAIAAgACAAIAAgACAAIAAgACAAcwB0AGEAYwBrACkALABcAG4AXABuACAAIAAgACAAZABlAGwAaQB2AGUAcgBcAG4AKQApACkAKQA7AFwAbgBcAG4AXABuAFwAbgAvACoAIABbAEcAUgAxADQAXQAgAC0ALQAtAC0ALQAtAC0ALQAtAC0ALQAtAC0ALQAtAC0ALQAtAC0ALQAtAC0ALQAtAC0ALQAtAC0ALQAtAC0ALQAtAC0ALQAtAC0ALQAtAC0ALQAtAC0ALQAtAC0ALQAtAC0ALQAtAC0ALQAtAC0ALQAtAC0ALQAtAC0ALQAtAC0ALQAtAC0ALQAtAC0ALQAtAC0AXABuAEYAdQBuAGMAdABpAG8AbgA6ACAAIAAgACAAIABNAG8AZABlALsDXABuAEMAYQB0AGUAZwBvAHIAeQA6ACAAIAAgACAAIABHAHIAaQBkACAAQQBuAGEAbAB5AHQAaQBjAHMAIAAoAFMAdABhAHQAaQBzAHQAaQBjAHMAKQBcAG4AQQB1AHQAaABvAHIAOgAgACAAIAAgACAAIAAgAFAAYQB0AHIAaQBjAGsAIABIAC4AXABuAFYAZQByAHMAaQBvAG4AOgAgACAAIAAgACAAIAAxAC4AMQBcAG4AXABuAEQAZQBzAGMAcgBpAHAAdABpAG8AbgA6AFwAbgAgACAAIAAgAFIAZQB0AHUAcgBuAHMAIABhACAAdgBlAHIAdABpAGMAYQBsACAAYQByAHIAYQB5ACAAbwBmACAAdABoAGUAIABtAG8AcwB0ACAAZgByAGUAcQB1AGUAbgB0AGwAeQAgAG8AYwBjAHUAcgByAGkAbgBnACAAdgBhAGwAdQBlAHMAIABvAHIAXABuACAAIAAgACAAdABlAHgAdAAgAGUAbgB0AHIAaQBlAHMAIABpAG4AIABhAG4AIABhAHIAcgBhAHkALgAgAFMAdQBwAHAAbwByAHQAcwAgAGEAbgAgAG8AcAB0AGkAbwBuAGEAbAAgAHQAbwB0AGEAbABzACAAYwBvAGwAdQBtAG4AIABzAGgAbwB3AGkAbgBnAFwAbgAgACAAIAAgAHQAaABlACAAYwBvAHUAbgB0ACAAbwBmACAAZQBhAGMAaAAgAG0AbwBkAGUALgBcAG4AXABuAFAAYQByAGEAbQBlAHQAZQByAHMAOgBcAG4AIAAgACAAIABhAHIAcgBhAHkAIAAgACAAIAAgACAAIAAgACAAIAAgAC0AIABBAHIAcgBhAHkAIAAoADEARAAgAG8AcgAgADIARAApAC4AXABuACAAIAAgACAAWwBpAG4AYwBsAHUAZABlAF8AdABvAHQAYQBsAHMAXQAtACAAVABSAFUARQAgAJIhIABpAG4AYwBsAHUAZABlACAAYwBvAHUAbgB0AHMAIABvAGYAIABmAHIAZQBxAHUAZQBuAHQAIAB2AGEAbAB1AGUAcwAuAFwAbgBcAG4ATgBvAHQAZQBzADoAXABuACAAIAAgACAAIiAgAEkAZgAgAHQAaABlACAAYQByAHIAYQB5ACAAYwBvAG4AdABhAGkAbgBzACAAbgBvACAAdABlAHgAdAAsACAATQBPAEQARQAuAE0AVQBMAFQAIABpAHMAIAB1AHMAZQBkACAAZgBvAHIAIABuAHUAbQBlAHIAaQBjACAAbQBvAGQAZQAuAFwAbgAgACAAIAAgACIgIABJAGYAIABuAG8AIAByAGUAcABlAGEAdABzACAAZQB4AGkAcwB0ACwAIAByAGUAdAB1AHIAbgBzACAAXAAiACMATgBPAC0AUgBFAFAARQBBAFQAUwAhAFwAIgAuAFwAbgAtAC0ALQAtAC0ALQAtAC0ALQAtAC0ALQAtAC0ALQAtAC0ALQAtAC0ALQAtAC0ALQAtAC0ALQAtAC0ALQAtAC0ALQAtAC0ALQAtAC0ALQAtAC0ALQAtAC0ALQAtAC0ALQAtAC0ALQAtAC0ALQAtAC0ALQAtAC0ALQAtAC0ALQAtAC0ALQAtAC0ALQAtAC0ALQAtAC0ALQAtAC0ALQAqAC8AXABuAFwAbgBNAG8AZABlALsDIAA9AFwAbgBMAEEATQBCAEQAQQAoAFwAbgAgACAAIAAgAGEAcgByAGEAeQAsAFwAbgAgACAAIAAgAFsAaQBuAGMAbAB1AGQAZQBfAHQAbwB0AGEAbABzAF0ALABcAG4AXABuAEkARgAoAEMATwBVAE4AVAAoAC0ALQBJAFMAVABFAFgAVAAoAGEAcgByAGEAeQApACkAIAA9ACAAMAAsAE0ATwBEAEUALgBNAFUATABUACgAYQByAHIAYQB5ACkALABcAG4AXABuAEwARQBUACgAXABuACAAIAAgACAALwAvACAATQBlAHMAcwBhAGcAZQAgAGYAbwByACAAbgBvACAAcgBlAHAAZQBhAHQAcwBcAG4AIAAgACAAIABtAHMAZwAsACAAIAAgACAAIAAgACAAIAAgACAAIAAgAFwAIgAjAE4ATwAtAFIARQBQAEUAQQBUAFMAIQBcACIALABcAG4AXABuACAAIAAgACAALwAvACAARgBsAGEAdAB0AGUAbgAgAGkAbgBwAHUAdAAgAGEAbgBkACAAYwBvAG0AcAB1AHQAZQAgAG0AbwBkAGUAIABpAG4AZABpAGMAZQBzAFwAbgAgACAAIAAgAFYALAAgACAAIAAgACAAIAAgACAAIAAgACAAIAAgACAAVABPAEMATwBMACgAYQByAHIAYQB5ACkALABcAG4AIAAgACAAIABpACwAIAAgACAAIAAgACAAIAAgACAAIAAgACAAIAAgAE0ATwBEAEUALgBNAFUATABUACgAWABNAEEAVABDAEgAKABWACwAIABWACkAKQAsAFwAbgAgACAAIAAgAHIAZQBzAHUAbAB0ACwAIAAgACAAIAAgACAAIAAgACAAUwBPAFIAVAAoAEkARgBFAFIAUgBPAFIAKABJAE4ARABFAFgAKABWACwAIABpACkALAAgAG0AcwBnACkAKQAsAFwAbgBcAG4AIAAgACAAIAAvAC8AIABUAG8AdABhAGwAcwAgAGYAbwByACAAcgBlAHAAZQBhAHQAZQBkACAAdgBhAGwAdQBlAHMAXABuACAAIAAgACAAawBlAGUAcAAsACAAIAAgACAAIAAgACAAIAAgACAAIABJAFMATgBVAE0AQgBFAFIAKABYAE0AQQBUAEMASAAoAFYALAAgAHIAZQBzAHUAbAB0ACkAKQAsAFwAbgAgACAAIAAgAHQAbwB0AGEAbABzACwAIAAgACAAIAAgACAAIAAgACAARwBSAE8AVQBQAEIAWQAoAFYALAAgAFYALAAgAEMATwBVAE4AVABBACwAIAAwACwAIAAwACwAIAAsACAAawBlAGUAcAApACwAXABuAFwAbgAgACAAIAAgAC8ALwAgAEQAZQBsAGkAdgBlAHIAIAB0AG8AdABhAGwAcwAgAGkAZgAgAHIAZQBxAHUAZQBzAHQAZQBkAFwAbgAgACAAIAAgAGQAZQBsAGkAdgBlAHIALAAgACAAIAAgACAAIAAgACAASQBGACgAQQBOAEQAKABpAG4AYwBsAHUAZABlAF8AdABvAHQAYQBsAHMALAAgAHIAZQBzAHUAbAB0ACAAPAA+ACAAbQBzAGcAKQAsAHQAbwB0AGEAbABzACwAXABuACAAIAAgACAAIAAgACAAIAAgACAAIAAgACAAIAAgACAAIAAgACAAIAAgACAAIAAgAHIAZQBzAHUAbAB0ACkALABcAG4AXABuACAAIAAgACAAZABlAGwAaQB2AGUAcgBcAG4AKQApACkAOwBcAG4AXABuAFwAbgBcAG4ALwAqACAAWwBHAFIAMQA1AF0AIAAtAC0ALQAtAC0ALQAtAC0ALQAtAC0ALQAtAC0ALQAtAC0ALQAtAC0ALQAtAC0ALQAtAC0ALQAtAC0ALQAtAC0ALQAtAC0ALQAtAC0ALQAtAC0ALQAtAC0ALQAtAC0ALQAtAC0ALQAtAC0ALQAtAC0ALQAtAC0ALQAtAC0ALQAtAC0ALQAtAC0ALQAtAC0ALQAtAFwAbgBGAHUAbgBjAHQAaQBvAG4AOgAgACAAIAAgACAAWgBvAG4AZQBTAHQAYQB0ALsDXABuAEMAYQB0AGUAZwBvAHIAeQA6ACAAIAAgACAAIABHAHIAaQBkACAAQQBuAGEAbAB5AHQAaQBjAHMAIAAoAFMAdABhAHQAaQBzAHQAaQBjAHMAKQBcAG4AQQB1AHQAaABvAHIAOgAgACAAIAAgACAAIAAgAFAAYQB0AHIAaQBjAGsAIABIAC4AXABuAFYAZQByAHMAaQBvAG4AOgAgACAAIAAgACAAIAAxAC4AMQBcAG4ARABlAHAAZQBuAGQAZQBuAGMAaQBlAHMAOgAgAEgAaQBzAHQAbwBnAHIAYQBtALsDXABuAFwAbgBEAGUAcwBjAHIAaQBwAHQAaQBvAG4AOgBcAG4AIAAgACAAIABBAGcAZwByAGUAZwBhAHQAZQBzACAAdgBhAGwAdQBlAHMAIABiAHkAIABcACIAegBvAG4AZQBzAFwAIgAgAGQAZQB0AGUAcgBtAGkAbgBlAGQAIABiAHkAIABIAGkAcwB0AG8AZwByAGEAbQC7Ay4AIABUAGgAZQAgAGIAaQBuACAAdwBpAGQAdABoACAAaQBzAFwAbgAgACAAIAAgAGMAbwBtAHAAdQB0AGUAZAAgAGEAcwAgADEAMABeAG0AIAB3AGgAZQByAGUAIABtACAAaQBzACAAdABoAGUAIABtAG8AcwB0ACAAZgByAGUAcQB1AGUAbgB0ACAAaQBuAHQAZQBnAGUAcgAgAEwATwBHACAAbQBhAGcAbgBpAHQAdQBkAGUAIABvAGYAXABuACAAIAAgACAAdABoAGUAIAB2AGEAbAB1AGUAcwAuACAAUwB1AHAAcABvAHIAdABzACAARQBUAEEAIABmAHUAbgBjAHQAaQBvAG4AcwAgAGEAbgBkACAAYwB1AHMAdABvAG0AIABMAEEATQBCAEQAQQBzAC4AXABuAFwAbgBQAGEAcgBhAG0AZQB0AGUAcgBzADoAXABuACAAIAAgACAAZwByAGkAZAAgACAAIAAgACAAIAAgACAALQAgAE4AdQBtAGUAcgBpAGMAIABhAHIAcgBhAHkAIAAoADEARAAgAG8AcgAgADIARAApAC4AXABuACAAIAAgACAAWwBmAHUAbgBjAHQAaQBvAG4AXQAgACAALQAgAEUAVABBACAAbwByACAATABBAE0AQgBEAEEAIABhAGcAZwByAGUAZwBhAHQAaQBvAG4AIABmAHUAbgBjAHQAaQBvAG4AIAAoAGQAZQBmAGEAdQBsAHQAIABTAFUATQApAC4AXABuAFwAbgBOAG8AdABlAHMAOgBcAG4AIAAgACAAIAAiICAAUwBjAGEAbABhAHIAcwAgAHIAZQB0AHUAcgBuACAAZgB1AG4AYwB0AGkAbwBuACgAZwByAGkAZAApAC4AXABuACAAIAAgACAAIiAgAE4AbwBuABEgbgB1AG0AZQByAGkAYwAgAGcAcgBpAGQAcwAgAHIAZQB0AHUAcgBuACAAIwBWAEEATABVAEUAIQAuAFwAbgAgACAAIAAgACIgIABaAG8AbgBlAHMAIABhAHIAZQAgAGEAcwBzAGkAZwBuAGUAZAAgAHYAaQBhACAASABpAHMAdABvAGcAcgBhAG0AuwMgAHUAcwBpAG4AZwAgAGEAdQB0AG8AbQBhAHQAaQBjACAAYgBpAG4AbgBpAG4AZwAuAFwAbgAtAC0ALQAtAC0ALQAtAC0ALQAtAC0ALQAtAC0ALQAtAC0ALQAtAC0ALQAtAC0ALQAtAC0ALQAtAC0ALQAtAC0ALQAtAC0ALQAtAC0ALQAtAC0ALQAtAC0ALQAtAC0ALQAtAC0ALQAtAC0ALQAtAC0ALQAtAC0ALQAtAC0ALQAtAC0ALQAtAC0ALQAtAC0ALQAtAC0ALQAtAC0ALQAqAC8AXABuAFwAbgBaAG8AbgBlAFMAdABhAHQAuwMgAD0AXABuAEwAQQBNAEIARABBACgAXABuACAAIAAgACAAZwByAGkAZAAsAFwAbgAgACAAIAAgAFsAZgB1AG4AYwB0AGkAbwBuAF0ALABcAG4AXABuAEwARQBUACgAXABuACAAIAAgACAALwAvACAARABlAGYAYQB1AGwAdAAgAGEAZwBnAHIAZQBnAGEAdABpAG8AbgAgAGYAdQBuAGMAdABpAG8AbgBcAG4AIAAgACAAIABmAHUAbgBjAHQAaQBvAG4ALAAgACAAIAAgACAAIAAgACAAIAAgACAASQBGACgASQBTAE8ATQBJAFQAVABFAEQAKABmAHUAbgBjAHQAaQBvAG4AKQAsACAAUwBVAE0ALAAgAGYAdQBuAGMAdABpAG8AbgApACwAXABuAFwAbgAgACAAIAAgAC8ALwAgAC0ALQAtACAAVgBhAGwAaQBkAGEAdABpAG8AbgAgAC0ALQAtAFwAbgAgACAAIAAgAEkAcwBOAG8AbgBOAHUAbQA/ACwAIAAgACAAIAAgACAAIAAgACAAIABBAE4ARAAoAEkAUwBUAEUAWABUACgAZwByAGkAZAApACkALABcAG4AIAAgACAAIABJAG4AdgBhAGwAaQBkAEYAbgA/ACwAIAAgACAAIAAgACAAIAAgACAAVABZAFAARQAoAGYAdQBuAGMAdABpAG8AbgApACAAPAA+ACAAMQAyADgALABcAG4AIAAgACAAIABJAHMAUwBjAGEAbABhAHIAPwAsACAAIAAgACAAIAAgACAAIAAgACAAQQBOAEQAKABSAE8AVwBTACgAZwByAGkAZAApAD0AMQAsACAAQwBPAEwAVQBNAE4AUwAoAGcAcgBpAGQAKQA9ADEAKQAsAFwAbgBcAG4AIAAgACAAIAAvAC8AIABMAG8AZwBpAGMAIABnAGEAdABlAFwAbgAgACAAIAAgAEkARgAoAEkAcwBOAG8AbgBOAHUAbQA/ACwAIAAgACAAIAAgACAAIAAgACAAIAAjAFYAQQBMAFUARQAhACwAXABuAFwAbgAgACAAIAAgACAAIAAgACAASQBGACgASQBuAHYAYQBsAGkAZABGAG4APwAsACAAIAAgACAAIABcACIAIwBGAFUATgBDAFQASQBPAE4AIQBcACIALABcAG4AXABuACAAIAAgACAAIAAgACAAIAAgACAAIAAgAEkARgAoAEkAcwBTAGMAYQBsAGEAcgA/ACwAIAAgAGYAdQBuAGMAdABpAG8AbgAoAGcAcgBpAGQAKQAsAFwAbgBcAG4ATABFAFQAKABcAG4AIAAgACAAIAAvAC8AIABEAGUAdABlAHIAbQBpAG4AZQAgAGIAaQBuACAAdwBpAGQAdABoACAAZgByAG8AbQAgAG0AYQBnAG4AaQB0AHUAZABlAFwAbgAgACAAIAAgAG0AYQBnACwAIAAgACAAIAAgACAAIAAgACAAIAAgACAAIAAgACAAIABJAEYARQBSAFIATwBSACgATQBPAEQARQAoAEkATgBUACgATABPAEcAKABnAHIAaQBkACkAKQApACwAIAAxACkALABcAG4AIAAgACAAIABiAGkAbgBfAHcAaQBkAHQAaAAsACAAIAAgACAAIAAgACAAIAAgACAAMQAwACAAXgAgAG0AYQBnACwAXABuAFwAbgAgACAAIAAgAC8ALwAgAEgAaQBzAHQAbwBnAHIAYQBtACAAYgBpAG4AcwAgACgAZgBpAHIAcwB0ACAAYwBvAGwAdQBtAG4AIABvAG4AbAB5ACkAXABuACAAIAAgACAAaABpAHMAdAAsACAAIAAgACAAIAAgACAAIAAgACAAIAAgACAAIAAgAFQAQQBLAEUAKABEAFIATwBQACgASABpAHMAdABvAGcAcgBhAG0AuwMoAGcAcgBpAGQALAAgAGIAaQBuAF8AdwBpAGQAdABoACkALAAgADIAKQAsACAALAAgADEAKQAsAFwAbgBcAG4AIAAgACAAIAAvAC8AIABBAHMAcwBpAGcAbgAgAHoAbwBuAGUAcwBcAG4AIAAgACAAIAB6AG8AbgBlAHMALAAgACAAIAAgACAAIAAgACAAIAAgACAAIAAgACAASQBGAE4AQQAoAFgATQBBAFQAQwBIACgAZwByAGkAZAAsACAAaABpAHMAdAAsACAALQAxACkALAAgADAAKQAsAFwAbgBcAG4AIAAgACAAIAAvAC8AIABGAGwAYQB0AHQAZQBuACAAYQByAHIAYQB5AHMAXABuACAAIAAgACAAZwAsACAAIAAgACAAIAAgACAAIAAgACAAIAAgACAAIAAgACAAIAAgAFQATwBDAE8ATAAoAGcAcgBpAGQAKQAsAFwAbgAgACAAIAAgAHoALAAgACAAIAAgACAAIAAgACAAIAAgACAAIAAgACAAIAAgACAAIABUAE8AQwBPAEwAKAB6AG8AbgBlAHMAKQAsAFwAbgBcAG4AIAAgACAAIAAvAC8AIABBAGcAZwByAGUAZwBhAHQAZQAgAGIAeQAgAHoAbwBuAGUAXABuACAAIAAgACAAYQBnAGcALAAgACAAIAAgACAAIAAgACAAIAAgACAAIAAgACAAIAAgAEcAUgBPAFUAUABCAFkAKAB6ACwAIABnACwAIABmAHUAbgBjAHQAaQBvAG4ALAAgACwAIAAwACkALABcAG4AIAAgACAAIAB6AG8AbgBlAF8ASQBEAHMALAAgACAAIAAgACAAIAAgACAAIAAgACAAVABBAEsARQAoAGEAZwBnACwAIAAsACAAMQApACwAXABuACAAIAAgACAAZwByAGkAZABfAHYAYQBsAHUAZQBzACwAIAAgACAAIAAgACAAIAAgAFQAQQBLAEUAKABhAGcAZwAsACAALAAgAC0AMQApACwAXABuAFwAbgAgACAAIAAgAC8ALwAgAEIAcgBvAGEAZABjAGEAcwB0ACAAYQBnAGcAcgBlAGcAYQB0AGUAZAAgAHYAYQBsAHUAZQBzACAAYgBhAGMAawAgAHQAbwAgAGcAcgBpAGQAIABzAGgAYQBwAGUAXABuACAAIAAgACAAZgBpAG4AYQBsACwAIAAgACAAIAAgACAAIAAgACAAIAAgACAAIAAgAFgATABPAE8ASwBVAFAAKAB6AG8AbgBlAHMALAAgAHoAbwBuAGUAXwBJAEQAcwAsACAAZwByAGkAZABfAHYAYQBsAHUAZQBzACwAIAAwACkALABcAG4AXABuACAAIAAgACAAZgBpAG4AYQBsAFwAbgApACkAKQApACkAKQA7AFwAbgBcAG4AXABuAFwAbgAvAC8AIABbAFQAWABdACAALQAtAC0ALQAtAC0ALQAtAC0ALQAtAC0ALQAtAC0ALQAtAC0ALQAtAC0ALQAtAC0ALQAtAC0ALQAtAC0ALQAtAC0ALQAtAC0ALQAtAC0ALQAtAC0ALQAtAC0ALQAtAC0ALQAtAC0ALQAtAC0ALQAtAC0ALQAtAC0ALQAtAC0ALQAtAC0ALQAtAC0ALQAtAC0ALQAtAC0ALQAtAFwAbgAvAC8AIAAtAC0ALQAjACMAIAAwADcAIAAUICAAVABlAHgAdA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aQBzACAAYwBhAHQAZQBnAG8AcgB5ACAAcAByAG8AdgBpAGQAZQBzACAAbwBwAGUAcgBhAHQAbwByAHMAIAB0AGgAYQB0ACAAbwB2AGUAcgBjAG8AbQBlACAAYwBvAG0AbQBvAG4AIABsAGkAbQBpAHQAYQB0AGkAbwBuAHMAIABpAG4AXABuACAAIAAgACAARQB4AGMAZQBsACcAcwAgAG4AYQB0AGkAdgBlACAAdABlAHgAdAAgAGUAbgBnAGkAbgBlACAAKABlAC4AZwAuACwAIABUAEUAWABUAFMAUABMAEkAVAAgAGMAYQBuAG4AbwB0ACAAcwBwAGkAbABsACAAMgBEACAAcgBlAHMAdQBsAHQAcwA7ACAAQgBZAFIATwBXAFwAbgAgACAAIAAgAGMAYQBuAG4AbwB0ACAAZABlAHAAbABvAHkAIABTAE8AUgBUACAAdABvACAAYQBsAGkAZwBuACAAYwBvAGwAdQBtAG4AcwApAC4AIABUAGgAZQBzAGUAIABmAHUAbgBjAHQAaQBvAG4AcwAgAGUAbgBhAGIAbABlACAAcwB0AHIAdQBjAHQAdQByAGEAbABcAG4AIAAgACAAIABhAGwAaQBnAG4AbQBlAG4AdAAsACAAZQB4AHQAcgBhAGMAdABpAG8AbgAsACAAYQBuAGQAIAB0AHIAYQBuAHMAZgBvAHIAbQBhAHQAaQBvAG4AIABvAGYAIAB0AGUAeAB0ACAAYQByAHIAYQB5AHMALAAgAGUAeAB0AGUAbgBkAGkAbgBnACAARQB4AGMAZQBsACcAcwBcAG4AIAAgACAAIABjAGEAcABhAGIAaQBsAGkAdABpAGUAcwAgAGYAbwByACAAYgBvAHQAaAAgADEARAAgAGEAbgBkACAAMgBEACAAaQBuAHAAdQB0AHMALgBcAG4AXABuAEYAdQBuAGMAdABpAG8AbgBzADoAXABuACAAIAAgACAAIiAgAEEAbABpAGcAbgC7A1wAbgAgACAAIAAgACAAIAAgACAAUwBvAHIAdABzACAAZQBhAGMAaAAgAHIAbwB3ACAAbwByACAAYwBvAGwAdQBtAG4AIABhAGwAcABoAGEAYgBlAHQAaQBjAGEAbABsAHkALgBcAG4AXABuACAAIAAgACAAIiAgAEEAbABpAGcAbgBEAGkAcwB0AGkAbgBjAHQAuwNcAG4AIAAgACAAIAAgACAAIAAgAEMAYQBsAGwAcwAgAEEAbABpAGcAbgC7AyAAdABvACAAcwBvAHIAdAAgAGEAIAAyAEQAIABhAHIAcgBhAHkALAAgAHQAaABlAG4AIAByAGUAdAB1AHIAbgBzACAAZABpAHMAdABpAG4AYwB0ACAAdgBhAGwAdQBlAHMALgBcAG4AXABuACAAIAAgACAAIiAgAEEAbABpAGcAbgBVAG4AaQBxAHUAZQC7A1wAbgAgACAAIAAgACAAIAAgACAAQwBhAGwAbABzACAAQQBsAGkAZwBuALsDIAB0AG8AIABzAG8AcgB0ACAAYQAgADIARAAgAGEAcgByAGEAeQAsACAAdABoAGUAbgAgAHIAZQB0AHUAcgBuAHMAIAB1AG4AaQBxAHUAZQAgAHYAYQBsAHUAZQBzAC4AXABuAFwAbgAgACAAIAAgACIgIABDAG8AYQBsAGUAcwBjAGUAuwNcAG4AIAAgACAAIAAgACAAIAAgAFIAZQB0AHUAcgBuAHMAIAB0AGgAZQAgAGYAaQByAHMAdAAgAG4AbwBuABEgZQBtAHAAdAB5ACAAdgBhAGwAdQBlACAAYQBjAHIAbwBzAHMAIABtAHUAbAB0AGkAcABsAGUAIAAyAEQAIABhAHIAcgBhAHkAcwAgACgAMgAgAHQAbwAgADQAIABpAG4AcAB1AHQAcwApAC4AXABuAFwAbgAgACAAIAAgACIgIABFAHgAcABsAG8AZABlALsDXABuACAAIAAgACAAIAAgACAAIABDAG8AbgB2AGUAcgB0AHMAIABhACAAcwBjAGEAbABhAHIALAAgADEARAAgAGEAcgByAGEAeQAsACAAbwByACAAMgBEACAAYQByAHIAYQB5ACAAaQBuAHQAbwAgAGEAbgAgAGUAeABwAGwAbwBkAGUAZAAgAGMAaABhAHIAYQBjAHQAZQByACAAYQByAHIAYQB5AC4AXABuAFwAbgAgACAAIAAgACIgIABOAHUAbQBiAGUAcgBzAE8AbgBsAHkAuwNcAG4AIAAgACAAIAAgACAAIAAgAEUAeAB0AHIAYQBjAHQAcwAgAG4AdQBtAGUAcgBpAGMAIAB2AGEAbAB1AGUAcwAgAGYAcgBvAG0AIABhACAAcwBjAGEAbABhAHIALAAgADEARAAgAGEAcgByAGEAeQAsACAAbwByACAAMgBEACAAYQByAHIAYQB5AC4AXABuAFwAbgAgACAAIAAgACIgIABUAGUAeAB0AE8AbgBsAHkAuwNcAG4AIAAgACAAIAAgACAAIAAgAEUAeAB0AHIAYQBjAHQAcwAgAHQAZQB4AHQAIAB2AGEAbAB1AGUAcwAgAGYAcgBvAG0AIABhACAAcwBjAGEAbABhAHIALAAgADEARAAgAGEAcgByAGEAeQAsACAAbwByACAAMgBEACAAYQByAHIAYQB5AC4AXABuAFwAbgAgACAAIAAgACIgIABTAHAAbABpAHQAuwNcAG4AIAAgACAAIAAgACAAIAAgAFMAcABsAGkAdABzACAAMQBEACAAdABlAHgAdAAgAGEAcgByAGEAeQBzACAAdQBzAGkAbgBnACAAYQAgAHMAcABlAGMAaQBmAGkAZQBkACAAZABlAGwAaQBtAGkAdABlAHIALAAgAHcAaQB0AGgAIABmAHUAbABsACAAMgBEACAAcwBwAGkAbABsACAAcwB1AHAAcABvAHIAdAAuAFwAbgAqAC8AXABuAFwAbgBcAG4AXABuAC8AKgAgAFsAVABYADAAMQBdACAALQAtAC0ALQAtAC0ALQAtAC0ALQAtAC0ALQAtAC0ALQAtAC0ALQAtAC0ALQAtAC0ALQAtAC0ALQAtAC0ALQAtAC0ALQAtAC0ALQAtAC0ALQAtAC0ALQAtAC0ALQAtAC0ALQAtAC0ALQAtAC0ALQAtAC0ALQAtAC0ALQAtAC0ALQAtAC0ALQAtAC0ALQAtAC0ALQBcAG4ARgB1AG4AYwB0AGkAbwBuADoAIAAgACAAIAAgACAAIAAgAEEAbABpAGcAbgC7A1wAbgBDAGEAdABlAGcAbwByAHkAOgAgACAAIAAgACAAIAAgACAAVABlAHgAdABcAG4AQQB1AHQAaABvAHIAOgAgACAAIAAgACAAIAAgACAAIAAgAFAAYQB0AHIAaQBjAGsAIABIAC4AXABuAFYAZQByAHMAaQBvAG4AOgAgACAAIAAgACAAIAAgACAAIAAxAC4AMQBcAG4ARABlAHAAZQBuAGQAZQBuAGMAaQBlAHMAOgAgACAAIAAgAFMAcABsAGkAdAC7A1wAbgBcAG4ARABlAHMAYwByAGkAcAB0AGkAbwBuADoAXABuACAAIAAgACAAUwBvAHIAdABzACAAZQBhAGMAaAAgAHIAbwB3ACAAYQBsAHAAaABhAGIAZQB0AGkAYwBhAGwAbAB5ACAAKABkAGUAZgBhAHUAbAB0ACkAIABvAHIAIABlAGEAYwBoACAAYwBvAGwAdQBtAG4AIAB3AGgAZQBuAFwAbgAgACAAIAAgAGIAeQBfAGMAbwBsACAAPQAgAFQAUgBVAEUALgAgAE8AcgBpAGUAbgB0AGEAdABpAG8AbgAgAGkAcwAgAG4AbwByAG0AYQBsAGkAegBlAGQAIABpAG4AdABlAHIAbgBhAGwAbAB5ACAAcwBvACAAdABoAGUAXABuACAAIAAgACAAcwBhAG0AZQAgAHAAaQBwAGUAbABpAG4AZQAgAGgAYQBuAGQAbABlAHMAIABiAG8AdABoACAAbQBvAGQAZQBzAC4AIABTAG8AcgB0AGkAbgBnACAAaQBzACAAbABlAHgAaQBjAG8AZwByAGEAcABoAGkAYwBcAG4AIAAgACAAIABhAG4AZAAgAGMAYQBzAGUAESBzAGUAbgBzAGkAdABpAHYAZQAuAFwAbgBcAG4AUABhAHIAYQBtAGUAdABlAHIAcwA6AFwAbgAgACAAIAAgAGEAcgByAGEAeQAgACAAIAAgACAAIAAgAC0AIAAyAEQAIABhAHIAcgBhAHkAIAB0AG8AIABiAGUAIABhAGwAaQBnAG4AZQBkAC4AXABuACAAIAAgACAAWwBiAHkAXwBjAG8AbABdACAAIAAgACAALQAgAE8AcAB0AGkAbwBuAGEAbAAuACAAVABSAFUARQAgAJIhIABzAG8AcgB0ACAAZQBhAGMAaAAgAGMAbwBsAHUAbQBuACAAdABvAHAAESB0AG8AESBiAG8AdAB0AG8AbQAuAFwAbgAgACAAIAAgACAAIAAgACAAIAAgACAAIAAgACAAIAAgACAAIABPAG0AaQB0AHQAZQBkACAAkiEgAHMAbwByAHQAIABlAGEAYwBoACAAcgBvAHcAIABsAGUAZgB0ABEgdABvABEgcgBpAGcAaAB0AC4AXABuAFwAbgBOAG8AdABlAHMAOgBcAG4AIAAgACAAIAAiICAAVQBzAGUAcwAgAFQARQBYAFQASgBPAEkATgAgACsAIABTAHAAbABpAHQAuwMgAGYAbwByACAAZgBhAHMAdAAgAHIAbwB3ABEgdwBpAHMAZQAgAGMAYQBuAG8AbgBpAGMAYQBsAGkAegBhAHQAaQBvAG4ALgBcAG4ALQAtAC0ALQAtAC0ALQAtAC0ALQAtAC0ALQAtAC0ALQAtAC0ALQAtAC0ALQAtAC0ALQAtAC0ALQAtAC0ALQAtAC0ALQAtAC0ALQAtAC0ALQAtAC0ALQAtAC0ALQAtAC0ALQAtAC0ALQAtAC0ALQAtAC0ALQAtAC0ALQAtAC0ALQAtAC0ALQAtAC0ALQAtAC0ALQAtAC0ALQAtAC0AKgAvAFwAbgBcAG4AQQBsAGkAZwBuALsDIAA9AFwAbgBMAEEATQBCAEQAQQAoAFwAbgAgACAAIAAgAGEAcgByAGEAeQAsAFwAbgAgACAAIAAgAFsAYgB5AF8AYwBvAGwAXQAsAFwAbgBcAG4ATABFAFQAKABcAG4AIAAgACAAIAAvAC8AIABEAGUAdABlAHIAbQBpAG4AZQAgAHMAbwByAHQAIABvAHIAaQBlAG4AdABhAHQAaQBvAG4AXABuACAAIAAgACAASQBzAFIAbwB3AFMAbwByAHQAPwAsACAASQBTAE8ATQBJAFQAVABFAEQAKABiAHkAXwBjAG8AbAApACwAXABuAFwAbgAgACAAIAAgAC8ALwAgAE4AbwByAG0AYQBsAGkAegBlACAAbwByAGkAZQBuAHQAYQB0AGkAbwBuACAAKABhAGwAdwBhAHkAcwAgAHMAbwByAHQAIAByAG8AdwBzACkAXABuACAAIAAgACAAYQByAHIAYQB5ACwAIAAgACAAIAAgACAASQBGACgASQBzAFIAbwB3AFMAbwByAHQAPwAsACAAYQByAHIAYQB5ACwAIABUAFIAQQBOAFMAUABPAFMARQAoAGEAcgByAGEAeQApACkALABcAG4AXABuACAAIAAgACAALwAvACAAUgBvAHcAESB3AGkAcwBlACAAcwBvAHIAdAAgAJIhIABzAGMAYQBsAGEAcgAgAGoAbwBpAG4AIAB3AGkAdABoACAAaQBuAHYAaQBzAGkAYgBsAGUAIABzAGUAcABhAHIAYQB0AG8AcgBcAG4AIAAgACAAIABpAG4AdgBpAHMALAAgACAAIAAgACAAIABVAE4ASQBDAEgAQQBSACgAOAAyADkAMQApACwAXABuACAAIAAgACAAUgBvAHcAUwBvAHIAdAC7AywAIAAgACAATABBAE0AQgBEAEEAKAB2ACwAIABUAEUAWABUAEoATwBJAE4AKABpAG4AdgBpAHMALAAgACwAIABTAE8AUgBUACgAdgAsACAALAAgACwAIAAxACkAKQApACwAXABuAFwAbgAgACAAIAAgAC8ALwAgAEMAbwBuAHYAZQByAHQAIABlAGEAYwBoACAAcgBvAHcAIAB0AG8AIABhACAAagBvAGkAbgBlAGQAIABzAHQAcgBpAG4AZwBcAG4AIAAgACAAIABqAG8AaQBuAGUAZAAsACAAIAAgACAAIABCAFkAUgBPAFcAKABhAHIAcgBhAHkALAAgAFIAbwB3AFMAbwByAHQAuwMpACwAXABuAFwAbgAgACAAIAAgAC8ALwAgAFMAcABsAGkAdAAgAGIAYQBjAGsAIABpAG4AdABvACAAYwBvAGwAdQBtAG4AcwBcAG4AIAAgACAAIABlAHgALAAgACAAIAAgACAAIAAgACAAIABTAHAAbABpAHQAuwMoAGoAbwBpAG4AZQBkACwAIABpAG4AdgBpAHMAKQAsAFwAbgBcAG4AIAAgACAAIAAvAC8AIABSAGUAcwB0AG8AcgBlACAAbwByAGkAZwBpAG4AYQBsACAAbwByAGkAZQBuAHQAYQB0AGkAbwBuAFwAbgAgACAAIAAgAGYAaQBuAGEAbAAsACAAIAAgACAAIAAgAEkARgAoAEkAcwBSAG8AdwBTAG8AcgB0AD8ALAAgAGUAeAAsACAAVABSAEEATgBTAFAATwBTAEUAKABlAHgAKQApACwAXABuAFwAbgAgACAAIAAgAGYAaQBuAGEAbABcAG4AKQApADsAXABuAFwAbgBcAG4AXABuAC8AKgAgAFsAVABYADAAMgBdACAALQAtAC0ALQAtAC0ALQAtAC0ALQAtAC0ALQAtAC0ALQAtAC0ALQAtAC0ALQAtAC0ALQAtAC0ALQAtAC0ALQAtAC0ALQAtAC0ALQAtAC0ALQAtAC0ALQAtAC0ALQAtAC0ALQAtAC0ALQAtAC0ALQAtAC0ALQAtAC0ALQAtAC0ALQAtAC0ALQAtAC0ALQAtAC0ALQBcAG4ARgB1AG4AYwB0AGkAbwBuADoAIAAgACAAIAAgACAAIAAgAEEAbABpAGcAbgBEAGkAcwB0AGkAbgBjAHQAuwNcAG4AQwBhAHQAZQBnAG8AcgB5ADoAIAAgACAAIAAgACAAIAAgAFQAZQB4AHQAXABuAEEAdQB0AGgAbwByADoAIAAgACAAIAAgACAAIAAgACAAIABQAGEAdAByAGkAYwBrACAASAAuAFwAbgBWAGUAcgBzAGkAbwBuADoAIAAgACAAIAAgACAAIAAgACAAMQAuADEAXABuAEQAZQBwAGUAbgBkAGUAbgBjAGkAZQBzADoAIAAgACAAIABBAGwAaQBnAG4AuwNcAG4AXABuAEQAZQBzAGMAcgBpAHAAdABpAG8AbgA6AFwAbgAgACAAIAAgAEMAYQBsAGwAcwAgAEEAbABpAGcAbgC7AyAAdABvACAAYQBsAHAAaABhAGIAZQB0AGkAYwBhAGwAbAB5ACAAcwBvAHIAdAAgAGUAYQBjAGgAIAByAG8AdwAgAG8AcgAgAGMAbwBsAHUAbQBuACwAIAB0AGgAZQBuACAAcgBlAHQAdQByAG4AcwBcAG4AIAAgACAAIABkAGkAcwB0AGkAbgBjAHQAIAB2AGEAbAB1AGUAcwAgAGEAbABvAG4AZwAgAHQAaABlACAAcwBhAG0AZQAgAG8AcgBpAGUAbgB0AGEAdABpAG8AbgAuAFwAbgBcAG4AUABhAHIAYQBtAGUAdABlAHIAcwA6AFwAbgAgACAAIAAgAGEAcgByAGEAeQAgACAAIAAgACAAIAAgAC0AIAAyAEQAIABhAHIAcgBhAHkAIAB0AG8AIABiAGUAIABhAGwAaQBnAG4AZQBkACAAYQBuAGQAIABkAGUAZAB1AHAAbABpAGMAYQB0AGUAZAAuAFwAbgAgACAAIAAgAFsAYgB5AF8AYwBvAGwAXQAgACAAIAAgAC0AIABPAHAAdABpAG8AbgBhAGwALgAgAFQAUgBVAEUAIACSISAAbwBwAGUAcgBhAHQAZQAgAGMAbwBsAHUAbQBuABEgdwBpAHMAZQAuACAATwBtAGkAdAB0AGUAZAAgAJIhIAByAG8AdwARIHcAaQBzAGUALgBcAG4AXABuAE4AbwB0AGUAcwA6AFwAbgAgACAAIAAgACIgIABEAEkAUwBUAEkATgBDAFQAIAByAGUAbQBvAHYAZQBzACAAZQB4AGEAYwB0ACAAZAB1AHAAbABpAGMAYQB0AGUAcwAuAFwAbgAgACAAIAAgACIgIABPAHIAaQBlAG4AdABhAHQAaQBvAG4AIABpAHMAIABwAHIAZQBzAGUAcgB2AGUAZAAuAFwAbgAtAC0ALQAtAC0ALQAtAC0ALQAtAC0ALQAtAC0ALQAtAC0ALQAtAC0ALQAtAC0ALQAtAC0ALQAtAC0ALQAtAC0ALQAtAC0ALQAtAC0ALQAtAC0ALQAtAC0ALQAtAC0ALQAtAC0ALQAtAC0ALQAtAC0ALQAtAC0ALQAtAC0ALQAtAC0ALQAtAC0ALQAtAC0ALQAtAC0ALQAtAC0ALQAqAC8AXABuAFwAbgBBAGwAaQBnAG4ARABpAHMAdABpAG4AYwB0ALsDIAA9AFwAbgBMAEEATQBCAEQAQQAoAFwAbgAgACAAIAAgAGEAcgByAGEAeQAsAFwAbgAgACAAIAAgAFsAYgB5AF8AYwBvAGwAXQAsAFwAbgBcAG4ATABFAFQAKABcAG4AIAAgACAAIAAvAC8AIABPAHIAaQBlAG4AdABhAHQAaQBvAG4AIABmAGwAYQBnAFwAbgAgACAAIAAgAFMAbwByAHQAQgB5AEMAbwBsAD8ALAAgAE4ATwBUACgASQBTAE8ATQBJAFQAVABFAEQAKABiAHkAXwBjAG8AbAApACkALABcAG4AXABuACAAIAAgACAALwAvACAAQQBsAGkAZwBuAG0AZQBuAHQAXABuACAAIAAgACAAYQBsAGkAZwBuAGUAZAAsACAAIAAgACAAQQBsAGkAZwBuALsDKABhAHIAcgBhAHkALAAgAGIAeQBfAGMAbwBsACkALABcAG4AXABuACAAIAAgACAALwAvACAARABpAHMAdABpAG4AYwB0ACAAcgBlAG0AbwB2AGEAbABcAG4AIAAgACAAIAB1ACwAIAAgACAAIAAgACAAIAAgACAAIABVAE4ASQBRAFUARQAoAGEAbABpAGcAbgBlAGQALAAgAFMAbwByAHQAQgB5AEMAbwBsAD8ALAAgAFQAUgBVAEUAKQAsAFwAbgBcAG4AIAAgACAAIAB1AFwAbgApACkAOwBcAG4AXABuAFwAbgBcAG4ALwAqACAAWwBUAFgAMAAzAF0AIAAtAC0ALQAtAC0ALQAtAC0ALQAtAC0ALQAtAC0ALQAtAC0ALQAtAC0ALQAtAC0ALQAtAC0ALQAtAC0ALQAtAC0ALQAtAC0ALQAtAC0ALQAtAC0ALQAtAC0ALQAtAC0ALQAtAC0ALQAtAC0ALQAtAC0ALQAtAC0ALQAtAC0ALQAtAC0ALQAtAC0ALQAtAC0ALQAtAFwAbgBGAHUAbgBjAHQAaQBvAG4AOgAgACAAIAAgACAAIAAgACAAQQBsAGkAZwBuAFUAbgBpAHEAdQBlALsDXABuAEMAYQB0AGUAZwBvAHIAeQA6ACAAIAAgACAAIAAgACAAIABUAGUAeAB0AFwAbgBBAHUAdABoAG8AcgA6ACAAIAAgACAAIAAgACAAIAAgACAAUABhAHQAcgBpAGMAawAgAEgALgBcAG4AVgBlAHIAcwBpAG8AbgA6ACAAIAAgACAAIAAgACAAIAAgADEALgAxAFwAbgBEAGUAcABlAG4AZABlAG4AYwBpAGUAcwA6ACAAIAAgACAAQQBsAGkAZwBuALsDXABuAFwAbgBEAGUAcwBjAHIAaQBwAHQAaQBvAG4AOgBcAG4AIAAgACAAIABDAGEAbABsAHMAIABBAGwAaQBnAG4AuwMgAHQAbwAgAGEAbABwAGgAYQBiAGUAdABpAGMAYQBsAGwAeQAgAHMAbwByAHQAIABlAGEAYwBoACAAcgBvAHcAIABvAHIAIABjAG8AbAB1AG0AbgAsACAAdABoAGUAbgAgAHIAZQB0AHUAcgBuAHMAXABuACAAIAAgACAAdQBuAGkAcQB1AGUAIAB2AGEAbAB1AGUAcwAgAGEAbABvAG4AZwAgAHQAaABlACAAcwBhAG0AZQAgAG8AcgBpAGUAbgB0AGEAdABpAG8AbgAuAFwAbgBcAG4AUABhAHIAYQBtAGUAdABlAHIAcwA6AFwAbgAgACAAIAAgAGEAcgByAGEAeQAgACAAIAAgACAAIAAgAC0AIAAyAEQAIABhAHIAcgBhAHkAIAB0AG8AIABiAGUAIABhAGwAaQBnAG4AZQBkACAAYQBuAGQAIABkAGUAZAB1AHAAbABpAGMAYQB0AGUAZAAuAFwAbgAgACAAIAAgAFsAYgB5AF8AYwBvAGwAXQAgACAAIAAgAC0AIABPAHAAdABpAG8AbgBhAGwALgAgAFQAUgBVAEUAIACSISAAbwBwAGUAcgBhAHQAZQAgAGMAbwBsAHUAbQBuABEgdwBpAHMAZQAuACAATwBtAGkAdAB0AGUAZAAgAJIhIAByAG8AdwARIHcAaQBzAGUALgBcAG4AXABuAE4AbwB0AGUAcwA6AFwAbgAgACAAIAAgACIgIABVAE4ASQBRAFUARQAgAHIAZQBtAG8AdgBlAHMAIAByAGUAcABlAGEAdABlAGQAIAByAG8AdwBzAC8AYwBvAGwAdQBtAG4AcwAgAGIAdQB0ACAAcAByAGUAcwBlAHIAdgBlAHMAIABmAGkAcgBzAHQAIABvAGMAYwB1AHIAcgBlAG4AYwBlAHMALgBcAG4AIAAgACAAIAAiICAATwByAGkAZQBuAHQAYQB0AGkAbwBuACAAaQBzACAAcAByAGUAcwBlAHIAdgBlAGQALgBcAG4ALQAtAC0ALQAtAC0ALQAtAC0ALQAtAC0ALQAtAC0ALQAtAC0ALQAtAC0ALQAtAC0ALQAtAC0ALQAtAC0ALQAtAC0ALQAtAC0ALQAtAC0ALQAtAC0ALQAtAC0ALQAtAC0ALQAtAC0ALQAtAC0ALQAtAC0ALQAtAC0ALQAtAC0ALQAtAC0ALQAtAC0ALQAtAC0ALQAtAC0ALQAtAC0AKgAvAFwAbgBcAG4AQQBsAGkAZwBuAFUAbgBpAHEAdQBlALsDIAA9AFwAbgBMAEEATQBCAEQAQQAoAFwAbgAgACAAIAAgAGEAcgByAGEAeQAsAFwAbgAgACAAIAAgAFsAYgB5AF8AYwBvAGwAXQAsAFwAbgBcAG4ATABFAFQAKABcAG4AIAAgACAAIAAvAC8AIABPAHIAaQBlAG4AdABhAHQAaQBvAG4AIABmAGwAYQBnAFwAbgAgACAAIAAgAFMAbwByAHQAQgB5AEMAbwBsAD8ALAAgAE4ATwBUACgASQBTAE8ATQBJAFQAVABFAEQAKABiAHkAXwBjAG8AbAApACkALABcAG4AXABuACAAIAAgACAALwAvACAAQQBsAGkAZwBuAG0AZQBuAHQAXABuACAAIAAgACAAYQBsAGkAZwBuAGUAZAAsACAAIAAgACAAQQBsAGkAZwBuALsDKABhAHIAcgBhAHkALAAgAGIAeQBfAGMAbwBsACkALABcAG4AXABuACAAIAAgACAALwAvACAAVQBuAGkAcQB1AGUAIAByAGUAbQBvAHYAYQBsAFwAbgAgACAAIAAgAHUALAAgACAAIAAgACAAIAAgACAAIAAgAFUATgBJAFEAVQBFACgAYQBsAGkAZwBuAGUAZAAsACAAUwBvAHIAdABCAHkAQwBvAGwAPwApACwAXABuAFwAbgAgACAAIAAgAHUAXABuACkAKQA7AFwAbgBcAG4AXABuAFwAbgAvACoAIABbAFQAWAAwADQAXQAgAC0ALQAtAC0ALQAtAC0ALQAtAC0ALQAtAC0ALQAtAC0ALQAtAC0ALQAtAC0ALQAtAC0ALQAtAC0ALQAtAC0ALQAtAC0ALQAtAC0ALQAtAC0ALQAtAC0ALQAtAC0ALQAtAC0ALQAtAC0ALQAtAC0ALQAtAC0ALQAtAC0ALQAtAC0ALQAtAC0ALQAtAC0ALQAtAC0AXABuAEYAdQBuAGMAdABpAG8AbgA6ACAAIAAgACAAIAAgACAAIABDAG8AYQBsAGUAcwBjAGUAuwNcAG4AQwBhAHQAZQBnAG8AcgB5ADoAIAAgACAAIAAgACAAIAAgAFQAZQB4AHQAXABuAEEAdQB0AGgAbwByADoAIAAgACAAIAAgACAAIAAgACAAIABQAGEAdAByAGkAYwBrACAASAAuAFwAbgBWAGUAcgBzAGkAbwBuADoAIAAgACAAIAAgACAAIAAgACAAMQAuADEAXABuAFwAbgBEAGUAcwBjAHIAaQBwAHQAaQBvAG4AOgBcAG4AIAAgACAAIABSAGUAdAB1AHIAbgBzACAAdABoAGUAIABmAGkAcgBzAHQAIABuAG8AbgARIGUAbQBwAHQAeQAgAHYAYQBsAHUAZQAgAGEAYwByAG8AcwBzACAAbQB1AGwAdABpAHAAbABlACAAMgBEACAAYQByAHIAYQB5AHMAIAAoADIAIAB0AG8AIAA0ACAAaQBuAHAAdQB0AHMAKQAsAFwAbgAgACAAIAAgAGUAdgBhAGwAdQBhAHQAZQBkACAAaQBuACAAcAByAGkAbwByAGkAdAB5ACAAbwByAGQAZQByADoAXABuAFwAbgAgACAAIAAgACAAIAAgACAAYQByAHIAYQB5AF8AMQAgAJIhIABhAHIAcgBhAHkAXwAyACAAkiEgAGEAcgByAGEAeQBfADMAIACSISAAYQByAHIAYQB5AF8ANAAgAJIhIABmAGkAbABsAF8AdgBhAGwAdQBlAFwAbgBcAG4AIAAgACAAIABBACAAYwBlAGwAbAAgAGkAcwAgAGMAbwBuAHMAaQBkAGUAcgBlAGQAIABcACIAZQBtAHAAdAB5AFwAIgAgAGkAZgAgAGkAdAAgAG0AYQB0AGMAaABlAHMAIABhAG4AeQAgAG8AZgAgAHQAaABlACAAZgBvAGwAbABvAHcAaQBuAGcAOgBcAG4AIAAgACAAIAAgACAAIAAgACIgIABMAEUATgAoAGMAZQBsAGwAKQAgAD0AIAAwAFwAbgAgACAAIAAgACAAIAAgACAAIiAgAGMAZQBsAGwAIAA9ACAARgBBAEwAUwBFAFwAbgAgACAAIAAgACAAIAAgACAAIiAgAGMAZQBsAGwAIAA9ACAAaQBnAG4AbwByAGUAIAAgACAAKAB1AHMAZQByABEgcwBwAGUAYwBpAGYAaQBlAGQAKQBcAG4AXABuACAAIAAgACAARQBtAHAAdAB5ACAAYwBlAGwAbABzACAAYQByAGUAIABzAGsAaQBwAHAAZQBkACAAdwBoAGUAbgAgAGQAZQB0AGUAcgBtAGkAbgBpAG4AZwAgAHQAaABlACAAbwB1AHQAcAB1AHQAIAB2AGEAbAB1AGUALgAgAFQAaABpAHMAIABmAHUAbgBjAHQAaQBvAG4AIABpAHMAXABuACAAIAAgACAAdQBzAGUAZgB1AGwAIABmAG8AcgAgAHIAZQBjAG8AbQBwAG8AcwBpAG4AZwAgAG0AYQBzAGsAZQBkACAAbwByACAAbABhAHkAZQByAGUAZAAgAGEAcgByAGEAeQBzACAAKABlAC4AZwAuACwAIAByAGkAbgBnAHMAKQAgAGkAbgB0AG8AIABhACAAcwBpAG4AZwBsAGUAXABuACAAIAAgACAAYwBvAGgAZQByAGUAbgB0ACAAZwByAGkAZAAgAGEAZgB0AGUAcgAgAHQAcgBhAG4AcwBmAG8AcgBtAGEAdABpAG8AbgBzAC4AXABuAFwAbgBQAGEAcgBhAG0AZQB0AGUAcgBzADoAXABuACAAIAAgACAAYQByAHIAYQB5AF8AMQAgACAAIAAgACAAIAAgAC0AIABSAGUAcQB1AGkAcgBlAGQAIAAyAEQAIABhAHIAcgBhAHkALgBcAG4AIAAgACAAIABhAHIAcgBhAHkAXwAyACAAIAAgACAAIAAgACAALQAgAFIAZQBxAHUAaQByAGUAZAAgADIARAAgAGEAcgByAGEAeQAuAFwAbgBcAG4ATwBwAHQAaQBvAG4AYQBsADoAXABuACAAIAAgACAAWwBhAHIAcgBhAHkAXwAzAF0AIAAgACAAIAAgAC0AIABPAHAAdABpAG8AbgBhAGwAIAAyAEQAIABhAHIAcgBhAHkALgBcAG4AIAAgACAAIABbAGEAcgByAGEAeQBfADQAXQAgACAAIAAgACAALQAgAE8AcAB0AGkAbwBuAGEAbAAgADIARAAgAGEAcgByAGEAeQAuAFwAbgAgACAAIAAgAFsAaQBnAG4AbwByAGUAXQAgACAAIAAgACAAIAAtACAAVgBhAGwAdQBlACAAdAByAGUAYQB0AGUAZAAgAGEAcwAgAGUAbQBwAHQAeQAgAGQAdQByAGkAbgBnACAAbwBjAGMAdQBwAGEAbgBjAHkAIABlAHYAYQBsAHUAYQB0AGkAbwBuAC4AXABuACAAIAAgACAAWwBmAGkAbABsAF8AdgBhAGwAdQBlAF0AIAAgAC0AIABTAGMAYQBsAGEAcgAgAHUAcwBlAGQAIAB3AGgAZQBuACAAYQBsAGwAIABhAHIAcgBhAHkAcwAgAHMAdQBwAHAAbAB5ACAAYQBuACAAZQBtAHAAdAB5ACAAdgBhAGwAdQBlAC4AXABuAC0ALQAtAC0ALQAtAC0ALQAtAC0ALQAtAC0ALQAtAC0ALQAtAC0ALQAtAC0ALQAtAC0ALQAtAC0ALQAtAC0ALQAtAC0ALQAtAC0ALQAtAC0ALQAtAC0ALQAtAC0ALQAtAC0ALQAtAC0ALQAtAC0ALQAtAC0ALQAtAC0ALQAtAC0ALQAtAC0ALQAtAC0ALQAtAC0ALQAtAC0ALQAtACoALwBcAG4AXABuAEMAbwBhAGwAZQBzAGMAZQC7AyAAPQBcAG4ATABBAE0AQgBEAEEAKABcAG4AIAAgACAAIABhAHIAcgBhAHkAXwAxACwAIABhAHIAcgBhAHkAXwAyACwAIABbAGEAcgByAGEAeQBfADMAXQAsACAAWwBhAHIAcgBhAHkAXwA0AF0ALABcAG4AIAAgACAAIABbAGkAZwBuAG8AcgBlAF0ALABcAG4AIAAgACAAIABbAGYAaQBsAGwAXwB2AGEAbAB1AGUAXQAsAFwAbgBcAG4ATABFAFQAKABcAG4AIAAgACAAIAAvAC8AIABPAHAAdABpAG8AbgBhAGwAIABhAHIAcgBhAHkAIABwAHIAZQBzAGUAbgBjAGUAXABuACAAIAAgACAASQBuAGMAbAB1AGQAZQAzACwAIAAgACAAIAAgACAAIABOAE8AVAAoAEkAUwBPAE0ASQBUAFQARQBEACgAYQByAHIAYQB5AF8AMwApACkALABcAG4AIAAgACAAIABJAG4AYwBsAHUAZABlADQALAAgACAAIAAgACAAIAAgAE4ATwBUACgASQBTAE8ATQBJAFQAVABFAEQAKABhAHIAcgBhAHkAXwA0ACkAKQAsAFwAbgAgACAAIAAgAGEAcgByAGEAeQBfADMALAAgACAAIAAgACAAIAAgACAASQBGACgASQBTAE8ATQBJAFQAVABFAEQAKABhAHIAcgBhAHkAXwAzACkALAAgAEYAQQBMAFMARQAsACAAYQByAHIAYQB5AF8AMwApACwAXABuACAAIAAgACAAYQByAHIAYQB5AF8ANAAsACAAIAAgACAAIAAgACAAIABJAEYAKABJAFMATwBNAEkAVABUAEUARAAoAGEAcgByAGEAeQBfADQAKQAsACAARgBBAEwAUwBFACwAIABhAHIAcgBhAHkAXwA0ACkALABcAG4AXABuACAAIAAgACAALwAvACAARQBtAHAAdAB5ABEgdgBhAGwAdQBlACAAcgB1AGwAZQBzAFwAbgAgACAAIAAgAGkAZwBuAG8AcgBlACwAIAAgACAAIAAgACAAIAAgACAASQBGACgASQBTAE8ATQBJAFQAVABFAEQAKABpAGcAbgBvAHIAZQApACwAIABcACIAXAAiACwAIABpAGcAbgBvAHIAZQApACwAXABuACAAIAAgACAAZgBpAGwAbABfAHYAYQBsAHUAZQAsACAAIAAgACAAIABJAEYAKABJAFMATwBNAEkAVABUAEUARAAoAGYAaQBsAGwAXwB2AGEAbAB1AGUAKQAsACAAXAAiAFwAIgAsACAAZgBpAGwAbABfAHYAYQBsAHUAZQApACwAXABuAFwAbgAgACAAIAAgAC8ALwAgAEQAaQBtAGUAbgBzAGkAbwBuAHMAXABuACAAIAAgACAAaAAsACAAIAAgACAAIAAgACAAIAAgACAAIAAgACAAIABSAE8AVwBTACgAYQByAHIAYQB5AF8AMQApACwAIAAgACAAIAAgACAAdwAsACAAIAAgAEMATwBMAFUATQBOAFMAKABhAHIAcgBhAHkAXwAxACkALABcAG4AIAAgACAAIABoAIIgLAAgACAAIAAgACAAIAAgACAAIAAgACAAIAAgAFIATwBXAFMAKABhAHIAcgBhAHkAXwAyACkALAAgACAAIAAgACAAIAB3AIIgLAAgACAAQwBPAEwAVQBNAE4AUwAoAGEAcgByAGEAeQBfADIAKQAsAFwAbgAgACAAIAAgAGgAgyAsACAAIAAgACAAIAAgACAAIAAgACAAIAAgACAAUgBPAFcAUwAoAGEAcgByAGEAeQBfADMAKQAsACAAIAAgACAAIAAgAHcAgyAsACAAIABDAE8ATABVAE0ATgBTACgAYQByAHIAYQB5AF8AMwApACwAXABuACAAIAAgACAAaACEICwAIAAgACAAIAAgACAAIAAgACAAIAAgACAAIABSAE8AVwBTACgAYQByAHIAYQB5AF8ANAApACwAIAAgACAAIAAgACAAdwCEICwAIAAgAEMATwBMAFUATQBOAFMAKABhAHIAcgBhAHkAXwA0ACkALABcAG4AXABuACAAIAAgACAALwAvACAARABpAG0AZQBuAHMAaQBvAG4AIABtAGkAcwBtAGEAdABjAGgAZQBzAFwAbgAgACAAIAAgAFMAXwAyACwAIAAgACAAIAAgACAAIAAgACAAIAAgACAATwBSACgAaAAgADwAPgAgAGgAgiAsACAAdwAgADwAPgAgAHcAgiApACwAXABuACAAIAAgACAAUwBfADMALAAgACAAIAAgACAAIAAgACAAIAAgACAAIABJAG4AYwBsAHUAZABlADMAIAAqACAATwBSACgAaAAgADwAPgAgAGgAgyAsACAAdwAgADwAPgAgAHcAgyApACwAXABuACAAIAAgACAAUwBfADQALAAgACAAIAAgACAAIAAgACAAIAAgACAAIABJAG4AYwBsAHUAZABlADQAIAAqACAATwBSACgAaAAgADwAPgAgAGgAhCAsACAAdwAgADwAPgAgAHcAhCApACwAXABuAFwAbgAgACAAIAAgAFMAaABhAHAAZQBNAGkAcwBtAGEAdABjAGgAPwAsACAATwBSACgAUwBfADIALAAgAFMAXwAzACwAIABTAF8ANAApACwAXABuAFwAbgAgACAAIAAgAEkARgAoAFMAaABhAHAAZQBNAGkAcwBtAGEAdABjAGgAPwAsAFwAIgAjAEQASQBNAEUATgBTAEkATwBOAFMAIQBcACIALABcAG4AXABuAEwARQBUACgAXABuACAAIAAgACAALwAvACAATwBjAGMAdQBwAGEAbgBjAHkAIAB0AGUAcwB0AFwAbgAgACAAIAAgAE8AYwBjAHUAcABpAGUAZAC7AywAIAAgAEwAQQBNAEIARABBACgAYQByAHIALABcAG4AIAAgACAAIAAgACAAIAAgACAAIAAgACAAIAAgACAAIAAgACAAIAAgAEwAQQBNAEIARABBACgAKABhAHIAcgAgADwAPgAgAEYAQQBMAFMARQApACAAKgAoAEwARQBOACgAYQByAHIAKQAgADwAPgAgADAAKQAgACoAIAAoAGEAcgByACAAPAA+ACAAaQBnAG4AbwByAGUAK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UAByAGkAbwByAGkAdAB5ACAAYwBoAGEAaQBuAFwAbgAgACAAIAAgAGYAaQBuAGEAbAAsACAAIAAgACAAIAAgAEkARgAoAG0AXwAxACgAKQAsACAAYQByAHIAYQB5AF8AMQAsAFwAbgAgACAAIAAgACAAIAAgACAAIAAgACAAIAAgACAAIAAgACAAIAAgACAASQBGACgAbQBfADIAKAApACwAIABhAHIAcgBhAHkAXwAyACwAXABuACAAIAAgACAAIAAgACAAIAAgACAAIAAgACAAIAAgACAAIAAgACAAIAAgACAAIAAgAEkARgAoAG0AXwAzACgAKQAsACAAYQByAHIAYQB5AF8AMwAsAFwAbgAgACAAIAAgACAAIAAgACAAIAAgACAAIAAgACAAIAAgACAAIAAgACAAIAAgACAAIAAgACAAIAAgAEkARgAoAG0AXwA0ACgAKQAsACAAYQByAHIAYQB5AF8ANAAsACAAZgBpAGwAbABfAHYAYQBsAHUAZQApACkAKQApACwAXABuAFwAbgAgACAAIAAgAGYAaQBuAGEAbABcAG4AKQApACkAKQA7AFwAbgBcAG4AXABuAFwAbgAvACoAIABbAFQAWAAwADUAXQAgAC0ALQAtAC0ALQAtAC0ALQAtAC0ALQAtAC0ALQAtAC0ALQAtAC0ALQAtAC0ALQAtAC0ALQAtAC0ALQAtAC0ALQAtAC0ALQAtAC0ALQAtAC0ALQAtAC0ALQAtAC0ALQAtAC0ALQAtAC0ALQAtAC0ALQAtAC0ALQAtAC0ALQAtAC0ALQAtAC0ALQAtAC0ALQAtAC0AXABuAEYAdQBuAGMAdABpAG8AbgA6ACAAIAAgACAAIAAgACAAIABFAHgAcABsAG8AZABlALsDXABuAEMAYQB0AGUAZwBvAHIAeQA6ACAAIAAgACAAIAAgACAAIABUAGUAeAB0AFwAbgBBAHUAdABoAG8AcgA6ACAAIAAgACAAIAAgACAAIAAgACAAUABhAHQAcgBpAGMAawAgAEgALgBcAG4AVgBlAHIAcwBpAG8AbgA6ACAAIAAgACAAIAAgACAAIAAgADEALgAxAFwAbgBEAGUAcABlAG4AZABlAG4AYwBpAGUAcwA6ACAAIAAgACAATQBHAHIAaQBkALsDLAAgAFIAZQBzAGkAegBlALsDXABuAFwAbgBEAGUAcwBjAHIAaQBwAHQAaQBvAG4AOgBcAG4AIAAgACAAIABDAG8AbgB2AGUAcgB0AHMAIABhACAAcwBjAGEAbABhAHIALAAgADEARAAgAGEAcgByAGEAeQAsACAAbwByACAAMgBEACAAYQByAHIAYQB5ACAAaQBuAHQAbwAgAGEAbgAgAGUAeABwAGwAbwBkAGUAZAAgAGMAaABhAHIAYQBjAHQAZQByACAAYQByAHIAYQB5AC4AXABuACAAIAAgACAARQB4AHAAbABvAHMAaQBvAG4AIABiAGUAaABhAHYAaQBvAHIAIABkAGUAcABlAG4AZABzACAAbwBuACAAdABoAGUAIABpAG4AcAB1AHQAIABzAGgAYQBwAGUAOgBcAG4AXABuACAAIAAgACAAIAAgACAAIAAiICAAUwBjAGEAbABhAHIAcwAgAGUAeABwAGwAbwBkAGUAIABjAG8AbAB1AG0AbgARIHcAaQBzAGUALgBcAG4AIAAgACAAIAAgACAAIAAgACIgIABWAGUAcgB0AGkAYwBhAGwAIAAxAEQAIABhAHIAcgBhAHkAcwAgAGUAeABwAGwAbwBkAGUAIABjAG8AbAB1AG0AbgARIHcAaQBzAGUALgBcAG4AIAAgACAAIAAgACAAIAAgACIgIABIAG8AcgBpAHoAbwBuAHQAYQBsACAAMQBEACAAYQByAHIAYQB5AHMAIABlAHgAcABsAG8AZABlACAAcgBvAHcAESB3AGkAcwBlAC4AXABuACAAIAAgACAAIAAgACAAIAAiICAAMgBEACAAYQByAHIAYQB5AHMAIABlAHgAcABsAG8AZABlACAAcgBvAHcAESB3AGkAcwBlACAAYgB5ACAAZABlAGYAYQB1AGwAdAAsACAAbwByACAAdwBpAGQAdABoABEgdwBpAHMAZQAgAHcAaABlAG4AXABuACAAIAAgACAAIAAgACAAIAAgACAAZQB4AHAAbABvAGQAZQBfADIARABfAGIAeQBjAG8AbAAgAD0AIABUAFIAVQBFAC4AXABuAFwAbgBQAGEAcgBhAG0AZQB0AGUAcgBzADoAXABuACAAIAAgACAAYQByAHIAYQB5ACAAIAAgACAAIAAgACAAIAAgACAAIAAgACAAIAAgAC0AIABJAG4AcAB1AHQAIABjAGEAbgAgAGIAZQAgAHMAYwBhAGwAYQByACwAIAAxAEQALAAgAG8AcgAgADIARAAuAFwAbgAgACAAIAAgAFsAZQB4AHAAbABvAGQAZQBfADIARABfAGIAeQBjAG8AbABdACAAIAAtACAATwBwAHQAaQBvAG4AYQBsAC4AIABUAFIAVQBFACAAkiEgAGUAeABwAGwAbwBkAGUAIAAyAEQAIABhAHIAcgBhAHkAcwAgAHcAaQBkAHQAaAARIHcAaQBzAGUALgBcAG4AIAAgACAAIAAgACAAIAAgACAAIAAgACAAIAAgACAAIAAgACAAIAAgACAAIAAgACAAIAAgAE8AbQBpAHQAdABlAGQAIACSISAAZQB4AHAAbABvAGQAZQAgAHIAbwB3ABEgdwBpAHMAZQAuAFwAbgBcAG4ATgBvAHQAZQBzADoAXABuACAAIAAgACAAIiAgAEwARQBOACgAYQByAHIAYQB5ACkAIABkAGUAdABlAHIAbQBpAG4AZQBzACAAdABoAGUAIABtAGEAeABpAG0AdQBtACAAYwBoAGEAcgBhAGMAdABlAHIAIABjAG8AdQBuAHQAIABwAGUAcgAgAGMAZQBsAGwALgBcAG4ALQAtAC0ALQAtAC0ALQAtAC0ALQAtAC0ALQAtAC0ALQAtAC0ALQAtAC0ALQAtAC0ALQAtAC0ALQAtAC0ALQAtAC0ALQAtAC0ALQAtAC0ALQAtAC0ALQAtAC0ALQAtAC0ALQAtAC0ALQAtAC0ALQAtAC0ALQAtAC0ALQAtAC0ALQAtAC0ALQAtAC0ALQAtAC0ALQAtAC0ALQAtAC0AKgAvAFwAbgBcAG4ARQB4AHAAbABvAGQAZQC7AyAAPQBcAG4ATABBAE0AQgBEAEEAKABcAG4AIAAgACAAIABhAHIAcgBhAHkALABcAG4AIAAgACAAIABbAGUAeABwAGwAbwBkAGUAXwAyAEQAXwBiAHkAYwBvAGwAXQAsAFwAbgBcAG4ATABFAFQAKABcAG4AIAAgACAAIAAvAC8AIABEAGkAbQBlAG4AcwBpAG8AbgBzAFwAbgAgACAAIAAgAGgALAAgACAAIAAgACAAIAAgACAAIAAgACAAIAAgACAAUgBPAFcAUwAoAGEAcgByAGEAeQApACwAXABuACAAIAAgACAAdwAsACAAIAAgACAAIAAgACAAIAAgACAAIAAgACAAIABDAE8ATABVAE0ATgBTACgAYQByAHIAYQB5ACkALABcAG4AXABuACAAIAAgACAALwAvACAARwBlAG8AbQBlAHQAcgB5ACAAYwBsAGEAcwBzAGkAZgBpAGMAYQB0AGkAbwBuAFwAbgAgACAAIAAgAEkAcwBWAGUAcgB0AGkAYwBhAGwAPwAsACAAIAAgACAAaAAgAD4AIAB3ACwAXABuACAAIAAgACAASQBzAEgAbwByAGkAegBvAG4AdABhAGwAPwAsACAAIAB3ACAAPgAgAGgALABcAG4AIAAgACAAIABJAHMAUwBjAGEAbABhAHIAPwAsACAAIAAgACAAIAAgAEEATgBEACgAaAAgAD0AIAAxACwAIAB3ACAAPQAgADEAKQAsAFwAbgAgACAAIAAgAEkAcwAxAEQAPwAsACAAIAAgACAAIAAgACAAIAAgACAAWABPAFIAKABoACAAPgAgADEALAAgAHcAIAA+ACAAMQApACwAXABuACAAIAAgACAASQBzADIARAA/ACwAIAAgACAAIAAgACAAIAAgACAAIABBAE4ARAAoAGgAIAA+ACAAMQAsACAAdwAgAD4AIAAxACkALABcAG4AIAAgACAAIABEAGkAcgBPAG0AaQB0AHQAZQBkAD8ALAAgACAAIAAgAEkAUwBPAE0ASQBUAFQARQBEACgAZQB4AHAAbABvAGQAZQBfADIARABfAGIAeQBjAG8AbAApACwAXABuAFwAbgAgACAAIAAgAC8ALwAgAFMAYwBhAGwAYQByACAAZQB4AHAAbABvAHMAaQBvAG4AXABuACAAIAAgACAARQB4AHAAbABvAGQAZQBTAGMAYQBsAGEAcgAsACAAIABSAEUARwBFAFgARQBYAFQAUgBBAEMAVAAoAGEAcgByAGEAeQAsACAAXAAiAC4AXAAiACwAIAAxACkALABcAG4AXABuACAAIAAgACAASQBGACgASQBzAFMAYwBhAGwAYQByAD8ALABFAHgAcABsAG8AZABlAFMAYwBhAGwAYQByACwAXABuAFwAbgBMAEUAVAAoAFwAbgAgACAAIAAgAC8ALwAgAE0AYQB4AGkAbQB1AG0AIABjAGgAYQByAGEAYwB0AGUAcgBzACAAYQBjAHIAbwBzAHMAIABhAGwAbAAgAGMAZQBsAGwAcwBcAG4AIAAgACAAIABtACwAIAAgACAAIAAgACAAIAAgACAAIABNAEEAWAAoAEwARQBOACgAYQByAHIAYQB5ACkAKQAsAFwAbgBcAG4AIAAgACAAIAAvAC8AIAAtAC0ALQAgADEARAAgAGkAbgBkAGUAeABpAG4AZwAgAC0ALQAtAFwAbgAgACAAIAAgAGkAZAB4ACwAIAAgACAAIAAgACAAIAAgAEwAQQBNAEIARABBACgASQBGACgASQBzAFYAZQByAHQAaQBjAGEAbAA/ACwAUwBFAFEAVQBFAE4AQwBFACgALAAgAG0AKQAsAFwAbgAgACAAIAAgACAAIAAgACAAIAAgACAAIAAgACAAIAAgACAAIAAgACAAIAAgACAAIAAgACAAIAAgACAAIAAgACAAIAAgACAAIAAgACAAUwBFAFEAVQBFAE4AQwBFACgAbQApACkAKQAsAFwAbgBcAG4AIAAgACAAIAAvAC8AIAAtAC0ALQAgADIARAAgAGkAbgBkAGUAeABpAG4AZwAgACgAdgBlAHIAdABpAGMAYQBsACAAZQB4AHAAbABvAHMAaQBvAG4AKQAgAC0ALQAtAFwAbgAgACAAIAAgAGkAXwAsACAAIAAgACAAIAAgACAAIAAgAEwAQQBNAEIARABBACgAIABSAGUAcwBpAHoAZQC7AygAIABJAE4AVAAoAFMARQBRAFUARQBOAEMARQAoAG0AIAAqACAAaAAsACAALAAgACwAIAAxACAALwAgAG0AKQApACwAIAAsACAAdwAgACkAIAApACwAXABuACAAIAAgACAAagBfACwAIAAgACAAIAAgACAAIAAgACAATABBAE0AQgBEAEEAKAAgAFIAZQBzAGkAegBlALsDKAAgAE0ARwByAGkAZAC7AygAYQByAHIAYQB5ACwAIAAxACkALAAgAG0AIAApACAAKQAsAFwAbgAgACAAIAAgAHMAdABhAHIAdABfAGEAdABfACwAIAAgAEwAQQBNAEIARABBACgAIABSAGUAcwBpAHoAZQC7AygAIABTAEUAUQBVAEUATgBDAEUAKABtACkALAAgAGgALAAgAHcAIAApACAAKQAsAFwAbgBcAG4AIAAgACAAIAAvAC8AIAAtAC0ALQAgADIARAAgAGkAbgBkAGUAeABpAG4AZwAgACgAaABvAHIAaQB6AG8AbgB0AGEAbAAgAGUAeABwAGwAbwBzAGkAbwBuACkAIAAtAC0ALQBcAG4AIAAgACAAIABpACwAIAAgACAAIAAgACAAIAAgACAAIABMAEEATQBCAEQAQQAoACAAUgBlAHMAaQB6AGUAuwMoACAATQBHAHIAaQBkALsDKABhAHIAcgBhAHkAKQAsACAALAAgAG0AIAApACAAKQAsAFwAbgAgACAAIAAgAGoALAAgACAAIAAgACAAIAAgACAAIAAgAEwAQQBNAEIARABBACgAIABSAGUAcwBpAHoAZQC7AygAIABJAE4AVAAoAFMARQBRAFUARQBOAEMARQAoACwAIABtACAAKgAgAHcALAAgACwAIAAxACAALwAgAG0AKQApACwAIABoACAAKQAgACkALABcAG4AIAAgACAAIABzAHQAYQByAHQAXwBhAHQALAAgACAAIABMAEEATQBCAEQAQQAoACAAUgBlAHMAaQB6AGUAuwMoACAAUwBFAFEAVQBFAE4AQwBFACgALAAgAG0AKQAsACAAaAAsACAAdwAgACkAIAApACwAXABuAFwAbgAgACAAIAAgAC8ALwAgADEARAAgAGUAeABwAGwAbwBzAGkAbwBuAFwAbgAgACAAIAAgAGUAeAAxAEQALAAgACAAIAAgACAAIAAgAEwAQQBNAEIARABBACgAIABNAEkARAAoAGEAcgByAGEAeQAsACAAaQBkAHgAKAApACwAIAAxACkAIAApACwAXABuAFwAbgAgACAAIAAgAC8ALwAgADIARAAgAGUAeABwAGwAbwBzAGkAbwBuACAAdgBhAHIAaQBhAG4AdABzAFwAbgAgACAAIAAgAGUAeAAyAEQAXwBWACwAIAAgACAAIAAgAEwAQQBNAEIARABBACgAIABNAEkARAAoAEkATgBEAEUAWAAoAGEAcgByAGEAeQAsACAAaQBfACgAKQAsACAAagBfACgAKQApACwAIABzAHQAYQByAHQAXwBhAHQAXwAoACkALAAgADEAKQAgACkALABcAG4AIAAgACAAIABlAHgAMgBEAF8ASAAsACAAIAAgACAAIABMAEEATQBCAEQAQQAoACAATQBJAEQAKABJAE4ARABFAFgAKABhAHIAcgBhAHkALAAgAGkAKAApACwAIAAgAGoAKAApACkALAAgAHMAdABhAHIAdABfAGEAdAAoACkALAAgACAAMQApACAAKQAsAFwAbgBcAG4AIAAgACAAIAAvAC8AIAAyAEQAIABzAGUAbABlAGMAdABpAG8AbgBcAG4AIAAgACAAIABlAHgAMgBEACwAIAAgACAAIAAgACAAIABMAEEATQBCAEQAQQAoAEkARgAoAEQAaQByAE8AbQBpAHQAdABlAGQAPwAsAGUAeAAyAEQAXwBWACgAKQAsAGUAeAAyAEQAXwBIACgAKQApACkALABcAG4AXABuACAAIAAgACAALwAvACAARgBpAG4AYQBsACAAcwBlAGwAZQBjAHQAaQBvAG4AXABuACAAIAAgACAAZgBpAG4AYQBsACwAIAAgACAAIAAgACAASQBGACgASQBzADEARAA/ACwAIABlAHgAMQBEACgAKQAsACAAZQB4ADIARAAoACkAKQAsAFwAbgBcAG4AIAAgACAAIABmAGkAbgBhAGwAXABuACkAKQApACkAOwBcAG4AXABuAFwAbgBcAG4ALwAqACAAWwBUAFgAMAA2AF0AIAAtAC0ALQAtAC0ALQAtAC0ALQAtAC0ALQAtAC0ALQAtAC0ALQAtAC0ALQAtAC0ALQAtAC0ALQAtAC0ALQAtAC0ALQAtAC0ALQAtAC0ALQAtAC0ALQAtAC0ALQAtAC0ALQAtAC0ALQAtAC0ALQAtAC0ALQAtAC0ALQAtAC0ALQAtAC0ALQAtAC0ALQAtAC0ALQAtAFwAbgBGAHUAbgBjAHQAaQBvAG4AOgAgACAAIAAgACAAIAAgACAATgB1AG0AYgBlAHIAcwBPAG4AbAB5ALsDXABuAEMAYQB0AGUAZwBvAHIAeQA6ACAAIAAgACAAIAAgACAAIABUAGUAeAB0AFwAbgBBAHUAdABoAG8AcgA6ACAAIAAgACAAIAAgACAAIAAgACAAUABhAHQAcgBpAGMAawAgAEgALgBcAG4AVgBlAHIAcwBpAG8AbgA6ACAAIAAgACAAIAAgACAAIAAgADEALgAxAFwAbgBEAGUAcABlAG4AZABlAG4AYwBpAGUAcwA6ACAAIAAgACAARQB4AHAAbABvAGQAZQC7A1wAbgBcAG4ARABlAHMAYwByAGkAcAB0AGkAbwBuADoAXABuACAAIAAgACAARQB4AHQAcgBhAGMAdABzACAAbgB1AG0AZQByAGkAYwAgAGMAaABhAHIAYQBjAHQAZQByAHMAIAAoADAAEyA5ACkAIABmAHIAbwBtACAAYQAgAHMAYwBhAGwAYQByACwAIAAxAEQAIABhAHIAcgBhAHkALAAgAG8AcgAgADIARAAgAGEAcgByAGEAeQAuAFwAbgBcAG4AUABhAHIAYQBtAGUAdABlAHIAcwA6AFwAbgAgACAAIAAgAGEAcgByAGEAeQAgACAAIAAgACAAIAAgAC0AIABJAG4AcAB1AHQAIABzAGMAYQBsAGEAcgAsACAAMQBEACAAYQByAHIAYQB5ACwAIABvAHIAIAAyAEQAIABhAHIAcgBhAHkALgBcAG4AXABuAE4AbwB0AGUAcwA6AFwAbgAgACAAIAAgACIgIABVAHMAZQBzACAARQB4AHAAbABvAGQAZQC7AyAAZgBvAHIAIABjAGgAYQByAGEAYwB0AGUAcgARIGwAZQB2AGUAbAAgAGUAeABwAGEAbgBzAGkAbwBuAC4AXABuACAAIAAgACAAIiAgAEMATwBEAEUAKAApACAAZgBpAGwAdABlAHIAaQBuAGcAIABlAG4AcwB1AHIAZQBzACAAcwB0AHIAaQBjAHQAIABkAGkAZwBpAHQAIABlAHgAdAByAGEAYwB0AGkAbwBuAC4AXABuAC0ALQAtAC0ALQAtAC0ALQAtAC0ALQAtAC0ALQAtAC0ALQAtAC0ALQAtAC0ALQAtAC0ALQAtAC0ALQAtAC0ALQAtAC0ALQAtAC0ALQAtAC0ALQAtAC0ALQAtAC0ALQAtAC0ALQAtAC0ALQAtAC0ALQAtAC0ALQAtAC0ALQAtAC0ALQAtAC0ALQAtAC0ALQAtAC0ALQAtAC0ALQAtACoALwBcAG4AXABuAE4AdQBtAGIAZQByAHMATwBuAGwAeQC7AyAAPQBcAG4ATABBAE0AQgBEAEEAKABcAG4AIAAgACAAIABhAHIAcgBhAHkALABcAG4AXABuAEwARQBUACgAXABuACAAIAAgACAALwAvACAARgBsAGEAdAB0AGUAbgAgAGkAbgBwAHUAdAAgAGkAZgAgAGEAcgByAGEAeQBcAG4AIAAgACAAIABhAHIAcgBhAHkALAAgACAAIAAgACAAIAAgACAAIABJAEYAKABUAFkAUABFACgAYQByAHIAYQB5ACkAIAA8AD4AIAA2ADQALAAgAGEAcgByAGEAeQAsAFQATwBDAE8ATAAoAGEAcgByAGEAeQApACkALABcAG4AXABuACAAIAAgACAALwAvACAARQB4AHAAbABvAGQAZQAgAHQAbwAgAGMAaABhAHIAYQBjAHQAZQByAHMAXABuACAAIAAgACAAZQB4ACwAIAAgACAAIAAgACAAIAAgACAAIAAgACAARQB4AHAAbABvAGQAZQC7AygAYQByAHIAYQB5ACkALABcAG4AXABuACAAIAAgACAALwAvACAARABpAGcAaQB0ACAAbQBhAHMAawBcAG4AIAAgACAAIABLAGUAZQBwACwAIAAgACAAIAAgACAAIAAgACAAIABJAEYARQBSAFIATwBSACgAKABDAE8ARABFACgAZQB4ACkAIAA+AD0AIAA0ADgAKQAgACoAIAAoAEMATwBEAEUAKABlAHgAKQAgADwAPQAgADUANwApACwAIABGAEEATABTAEUAKQAsAFwAbgBcAG4AIAAgACAAIAAvAC8AIABNAGEAcwBrAGUAZAAgAHIAZQBzAHUAbAB0AFwAbgAgACAAIAAgAFIAZQBzAHUAbAB0ACwAIAAgACAAIAAgACAAIAAgAEkARgAoAEsAZQBlAHAALAAgAGUAeAAsACAAXAAiAFwAIgApACwAXABuAFwAbgAgACAAIAAgAC8ALwAgADEARAAgAGMAbwBuAGMAYQB0AGUAbgBhAHQAZQBkACAAbwB1AHQAcAB1AHQAXABuACAAIAAgACAAZgBpAG4AYQBsACwAIAAgACAAIAAgACAAIAAgACAASQBGAEUAUgBSAE8AUgAoAEIAWQBSAE8AVwAoAFIAZQBzAHUAbAB0ACwAIABDAE8ATgBDAEEAVAApACAAKwAgADAALABcACIAXAAiACkALABcAG4AXABuACAAIAAgACAAZgBpAG4AYQBsAFwAbgApACkAOwBcAG4AXABuAFwAbgBcAG4ALwAqACAAWwBUAFgAMAA3AF0AIAAtAC0ALQAtAC0ALQAtAC0ALQAtAC0ALQAtAC0ALQAtAC0ALQAtAC0ALQAtAC0ALQAtAC0ALQAtAC0ALQAtAC0ALQAtAC0ALQAtAC0ALQAtAC0ALQAtAC0ALQAtAC0ALQAtAC0ALQAtAC0ALQAtAC0ALQAtAC0ALQAtAC0ALQAtAC0ALQAtAC0ALQAtAC0ALQAtAFwAbgBGAHUAbgBjAHQAaQBvAG4AOgAgACAAIAAgACAAIAAgACAAVABlAHgAdABPAG4AbAB5ALsDXABuAEMAYQB0AGUAZwBvAHIAeQA6ACAAIAAgACAAIAAgACAAIABUAGUAeAB0AFwAbgBBAHUAdABoAG8AcgA6ACAAIAAgACAAIAAgACAAIAAgACAAUABhAHQAcgBpAGMAawAgAEgALgBcAG4AVgBlAHIAcwBpAG8AbgA6ACAAIAAgACAAIAAgACAAIAAgADEALgAxAFwAbgBEAGUAcABlAG4AZABlAG4AYwBpAGUAcwA6ACAAIAAgACAARQB4AHAAbABvAGQAZQC7A1wAbgBcAG4ARABlAHMAYwByAGkAcAB0AGkAbwBuADoAXABuACAAIAAgACAARQB4AHQAcgBhAGMAdABzACAAbgBvAG4AESBuAHUAbQBlAHIAaQBjACAAYwBoAGEAcgBhAGMAdABlAHIAcwAgAGYAcgBvAG0AIABhACAAcwBjAGEAbABhAHIALAAgADEARAAgAGEAcgByAGEAeQAsACAAbwByACAAMgBEACAAYQByAHIAYQB5AC4AXABuAFwAbgBQAGEAcgBhAG0AZQB0AGUAcgBzADoAXABuACAAIAAgACAAYQByAHIAYQB5ACAAIAAgACAAIAAgACAALQAgAEkAbgBwAHUAdAAgAHMAYwBhAGwAYQByACwAIAAxAEQAIABhAHIAcgBhAHkALAAgAG8AcgAgADIARAAgAGEAcgByAGEAeQAuAFwAbgBcAG4ATgBvAHQAZQBzADoAXABuACAAIAAgACAAIiAgAFUAcwBlAHMAIABFAHgAcABsAG8AZABlALsDIABmAG8AcgAgAGMAaABhAHIAYQBjAHQAZQByABEgbABlAHYAZQBsACAAZQB4AHAAYQBuAHMAaQBvAG4ALgBcAG4AIAAgACAAIAAiICAAQwBvAG0AcABsAGUAbQBlAG4AdABzACAATgB1AG0AYgBlAHIAcwBPAG4AbAB5ALsDIABiAHkAIABzAGUAbABlAGMAdABpAG4AZwAgAGEAbABsACAAbgBvAG4AESBkAGkAZwBpAHQAIABjAGgAYQByAGEAYwB0AGUAcgBzAC4AXABuAC0ALQAtAC0ALQAtAC0ALQAtAC0ALQAtAC0ALQAtAC0ALQAtAC0ALQAtAC0ALQAtAC0ALQAtAC0ALQAtAC0ALQAtAC0ALQAtAC0ALQAtAC0ALQAtAC0ALQAtAC0ALQAtAC0ALQAtAC0ALQAtAC0ALQAtAC0ALQAtAC0ALQAtAC0ALQAtAC0ALQAtAC0ALQAtAC0ALQAtAC0ALQAtACoALwBcAG4AXABuAFQAZQB4AHQATwBuAGwAeQC7AyAAPQBcAG4ATABBAE0AQgBEAEEAKABcAG4AIAAgACAAIABhAHIAcgBhAHkALABcAG4AXABuAEwARQBUACgAXABuACAAIAAgACAALwAvACAARgBsAGEAdAB0AGUAbgAgAGkAbgBwAHUAdAAgAGkAZgAgAGEAcgByAGEAeQBcAG4AIAAgACAAIABhAHIAcgBhAHkALAAgACAAIAAgACAAIAAgACAAIABJAEYAKABUAFkAUABFACgAYQByAHIAYQB5ACkAIAA8AD4AIAA2ADQALAAgAGEAcgByAGEAeQAsAFQATwBDAE8ATAAoAGEAcgByAGEAeQApACkALABcAG4AXABuACAAIAAgACAALwAvACAARQB4AHAAbABvAGQAZQAgAHQAbwAgAGMAaABhAHIAYQBjAHQAZQByAHMAXABuACAAIAAgACAAZQB4ACwAIAAgACAAIAAgACAAIAAgACAAIAAgACAARQB4AHAAbABvAGQAZQC7AygAYQByAHIAYQB5ACkALABcAG4AXABuACAAIAAgACAALwAvACAATgBvAG4AESBkAGkAZwBpAHQAIABtAGEAcwBrAFwAbgAgACAAIAAgAEsAZQBlAHAALAAgACAAIAAgACAAIAAgACAAIAAgAEkARgBFAFIAUgBPAFIAKAAoAEMATwBEAEUAKABlAHgAKQAgADwAIAA0ADgAKQAgACsAIAAoAEMATwBEAEUAKABlAHgAKQAgAD4AIAA1ADcAKQAsACAARgBBAEwAUwBFACkALABcAG4AXABuACAAIAAgACAALwAvACAATQBhAHMAawBlAGQAIAByAGUAcwB1AGwAdABcAG4AIAAgACAAIABSAGUAcwB1AGwAdAAsACAAIAAgACAAIAAgACAAIABJAEYAKABLAGUAZQBwACwAIABlAHgALAAgAFwAIgBcACIAKQAsAFwAbgBcAG4AIAAgACAAIAAvAC8AIAAxAEQAIABjAG8AbgBjAGEAdABlAG4AYQB0AGUAZAAgAG8AdQB0AHAAdQB0AFwAbgAgACAAIAAgAGYAaQBuAGEAbAAsACAAIAAgACAAIAAgACAAIAAgAEkARgBFAFIAUgBPAFIAKABCAFkAUgBPAFcAKABSAGUAcwB1AGwAdAAsACAAQwBPAE4AQwBBAFQAKQAsAFwAIgBcACIAKQAsAFwAbgBcAG4AIAAgACAAIABmAGkAbgBhAGwAXABuACkAKQA7AFwAbgBcAG4AXABuAFwAbgAvACoAIABbAFQAWAAwADgAXQAgAC0ALQAtAC0ALQAtAC0ALQAtAC0ALQAtAC0ALQAtAC0ALQAtAC0ALQAtAC0ALQAtAC0ALQAtAC0ALQAtAC0ALQAtAC0ALQAtAC0ALQAtAC0ALQAtAC0ALQAtAC0ALQAtAC0ALQAtAC0ALQAtAC0ALQAtAC0ALQAtAC0ALQAtAC0ALQAtAC0ALQAtAC0ALQAtAC0AXABuAEYAdQBuAGMAdABpAG8AbgA6ACAAIAAgACAAIAAgACAAIABTAHAAbABpAHQAuwNcAG4AQwBhAHQAZQBnAG8AcgB5ADoAIAAgACAAIAAgACAAIAAgAFQAZQB4AHQAXABuAEEAdQB0AGgAbwByADoAIAAgACAAIAAgACAAIAAgACAAIABQAGEAdAByAGkAYwBrACAASAAuAFwAbgBWAGUAcgBzAGkAbwBuADoAIAAgACAAIAAgACAAIAAgACAAMQAuADEAXABuAEQAZQBwAGUAbgBkAGUAbgBjAGkAZQBzADoAIAAgACAAIABSAGUAZwBlAHgAUwBhAGYAZQC7A1wAbgBcAG4ARABlAHMAYwByAGkAcAB0AGkAbwBuADoAXABuACAAIAAgACAAUwBwAGwAaQB0AHMAIAAxAEQAIAB0AGUAeAB0ACAAYQByAHIAYQB5AHMAIABpAG4AdABvACAAdABvAGsAZQBuAHMAIAB1AHMAaQBuAGcAIABhACAAcwBwAGUAYwBpAGYAaQBlAGQAIABkAGUAbABpAG0AaQB0AGUAcgAuACAAVABoAGUAIABmAHUAbgBjAHQAaQBvAG4AXABuACAAIAAgACAAaQBzACAAcwBoAGEAcABlABEgYQB3AGEAcgBlACAAYQBuAGQAIAByAGUAdAB1AHIAbgBzACAAYQAgADIARAAgAHMAcABpAGwAbAAgAGEAbABpAGcAbgBlAGQAIAB0AG8AIAB0AGgAZQAgAG8AcgBpAGUAbgB0AGEAdABpAG8AbgAgAG8AZgAgAHQAaABlAFwAbgAgACAAIAAgAGkAbgBwAHUAdAAgAGEAcgByAGEAeQAuACAAUwB1AHAAcABvAHIAdABzACAAbQB1AGwAdABpABEgYwBoAGEAcgBhAGMAdABlAHIAIABkAGUAbABpAG0AaQB0AGUAcgBzACAAYQBuAGQAIABmAHUAbABsACAAcgBlAGcAZQB4ABEgcwBhAGYAZQBcAG4AIAAgACAAIABlAHMAYwBhAHAAaQBuAGcALgBcAG4AXABuAFAAYQByAGEAbQBlAHQAZQByAHMAOgBcAG4AIAAgACAAIABhAHIAcgBhAHkAIAAgACAAIAAgACAAIAAtACAAQQAgADEARAAgAGEAcgByAGEAeQAgACgAdgBlAHIAdABpAGMAYQBsACAAbwByACAAaABvAHIAaQB6AG8AbgB0AGEAbAApAC4AIAAyAEQAIABhAHIAcgBhAHkAcwAgAGEAcgBlACAAbgBvAHQAIABzAHUAcABwAG8AcgB0AGUAZAAuAFwAbgAgACAAIAAgAGQAZQBsAGkAbQBpAHQAZQByACAAIAAgAC0AIABEAGUAbABpAG0AaQB0AGUAcgAgAHUAcwBlAGQAIAB0AG8AIABzAHAAbABpAHQAIABlAGEAYwBoACAAdABlAHgAdAAgAGUAbABlAG0AZQBuAHQALgAgAFMAcABpAGwAbAAgAG8AcgBpAGUAbgB0AGEAdABpAG8AbgBcAG4AIAAgACAAIAAgACAAIAAgACAAIAAgACAAIAAgACAAIAAgACAAaQBzACAAaQBuAGYAZQByAHIAZQBkACAAZgByAG8AbQAgAHQAaABlACAAcwBoAGEAcABlACAAbwBmACAAYQByAHIAYQB5AC4AXABuAFwAbgBPAHAAdABpAG8AbgBhAGwAOgBcAG4AIAAgACAAIABbAGkAZgBfAG4AbwB0AF8AZgBvAHUAbgBkAF0AXABuACAAIAAgACAAIAAgACAAIABWAGEAbAB1AGUAIAByAGUAdAB1AHIAbgBlAGQAIAB3AGgAZQBuACAAYQAgAHQAZQB4AHQAIABlAGwAZQBtAGUAbgB0ACAAYwBvAG4AdABhAGkAbgBzACAAbgBvACAAZABlAGwAaQBtAGkAdABlAHIALgBcAG4AIAAgACAAIAAgACAAIAAgAEQAZQBmAGEAdQBsAHQAcwAgAHQAbwAgAFwAIgBcACIALgBcAG4AXABuACAAIAAgACAAWwB0AHIAZQBhAHQAXwBjAG8AbgBzAGUAYwB1AHQAaQB2AGUAXwBkAGUAbABpAG0AaQB0AGUAcgBzAF8AYQBzAF8AbwBuAGUAXQBcAG4AIAAgACAAIAAgACAAIAAgAFQAUgBVAEUAIACSISAAYwBvAGwAbABhAHAAcwBlACAAcgB1AG4AcwAgAG8AZgAgAGMAbwBuAHMAZQBjAHUAdABpAHYAZQAgAGQAZQBsAGkAbQBpAHQAZQByAHMAIABiAGUAZgBvAHIAZQAgAHMAcABsAGkAdAB0AGkAbgBnAC4AXABuACAAIAAgACAAIAAgACAAIABVAHMAZQBmAHUAbAAgAGYAbwByACAAQwBTAFYAESBzAHQAeQBsAGUAIABuAG8AcgBtAGEAbABpAHoAYQB0AGkAbwBuAC4AXABuAFwAbgBOAG8AdABlAHMAOgBcAG4AIAAgACAAIAAiICAAQwBvAGwAbABhAHAAcwBlACAAbQBvAGQAZQAgAHAAZQByAGYAbwByAG0AcwAgAGEAIABSAEUARwBFAFgAUgBFAFAATABBAEMARQAgAHAAYQBzAHMAIAB3AGgAZQBuACAAYwBvAG4AcwBlAGMAdQB0AGkAdgBlACAAZABlAGwAaQBtAGkAdABlAHIAcwAgAGUAeABpAHMAdAAuAFwAbgAgACAAIAAgACAAIABGAG8AcgAgAHYAZQByAHkAIABsAGEAcgBnAGUAIABhAHIAcgBhAHkAcwAgAG8AcgAgAGgAaQBnAGgAIAB0AG8AawBlAG4AIABjAG8AdQBuAHQAcwAsACAAdABoAGkAcwAgAG0AYQB5ACAAaQBuAGMAcgBlAGEAcwBlACAAYwBhAGwAYwB1AGwAYQB0AGkAbwBuACAAdABpAG0AZQAuAFwAbgAgACAAIAAgACIgIABEAGUAbABpAG0AaQB0AGUAcgBzACAAYQByAGUAIABmAHUAbABsAHkAIAByAGUAZwBlAHgAESBlAHMAYwBhAHAAZQBkACAAdgBpAGEAIABSAGUAZwBlAHgAUwBhAGYAZQC7AywAIABhAGwAbABvAHcAaQBuAGcAIABsAGkAdABlAHIAYQBsACAAdQBzAGUAIABvAGYAXABuACAAIAAgACAAIAAgAG0AZQB0AGEAYwBoAGEAcgBhAGMAdABlAHIAcwAgACgAKgAsACAAPwAsACAAKwAsACAAfAAsACAAKAAsACAAKQAsACAAWwAsACAAXQAsACAAXgAsACAAJAAsACAAZQB0AGMALgApAC4AXABuAC0ALQAtAC0ALQAtAC0ALQAtAC0ALQAtAC0ALQAtAC0ALQAtAC0ALQAtAC0ALQAtAC0ALQAtAC0ALQAtAC0ALQAtAC0ALQAtAC0ALQAtAC0ALQAtAC0ALQAtAC0ALQAtAC0ALQAtAC0ALQAtAC0ALQAtAC0ALQAtAC0ALQAtAC0ALQAtAC0ALQAtAC0ALQAtAC0ALQAtAC0ALQAtACoALwBcAG4AXABuAFMAcABsAGkAdAC7AyAAPQBcAG4ATABBAE0AQgBEAEEAKABcAG4AIAAgACAAIABhAHIAcgBhAHkALABcAG4AIAAgACAAIABkAGUAbABpAG0AaQB0AGUAcgAsAFwAbgAgACAAIAAgAFsAaQBmAF8AbgBvAHQAXwBmAG8AdQBuAGQAXQAsAFwAbgAgACAAIAAgAFsAdAByAGUAYQB0AF8AYwBvAG4AcwBlAGMAdQB0AGkAdgBlAF8AZABlAGwAaQBtAGkAdABlAHIAcwBfAGEAcwBfAG8AbgBlAF0ALABcAG4AXABuAEwARQBUACgAXABuACAAIAAgACAALwAvACAARABpAG0AZQBuAHMAaQBvAG4AcwAgAG8AZgAgAGkAbgBwAHUAdAAgAGEAcgByAGEAeQBcAG4AIAAgACAAIABoACwAIAAgAFIATwBXAFMAKABhAHIAcgBhAHkAKQAsAFwAbgAgACAAIAAgAHcALAAgACAAQwBPAEwAVQBNAE4AUwAoAGEAcgByAGEAeQApACwAXABuAFwAbgAgACAAIAAgAC8ALwAgAEQAaQBtAGUAbgBzAGkAbwBuAHMAIABvAGYAIABkAGUAbABpAG0AaQB0AGUAcgBcAG4AIAAgACAAIABoAIIgLAAgAFIATwBXAFMAKABkAGUAbABpAG0AaQB0AGUAcgApACwAXABuACAAIAAgACAAdwCCICwAIABDAE8ATABVAE0ATgBTACgAZABlAGwAaQBtAGkAdABlAHIAKQAsAFwAbgBcAG4AIAAgACAAIAAvAC8AIABPAHIAaQBlAG4AdABhAHQAaQBvAG4AIABjAGgAZQBjAGsAcwBcAG4AIAAgACAAIABJAHMAVgBlAHIAdABpAGMAYQBsAD8ALAAgACAAIAAgAGgAIAA+ACAAdwAsAFwAbgAgACAAIAAgAEkAcwAyAEQAPwAsACAAIAAgACAAIAAgACAAIAAgACAAQQBOAEQAKABoACAAPgAgADEALAAgAHcAIAA+ACAAMQApACwAXABuACAAIAAgACAASQBzAFMAYwBhAGwAYQByAD8ALAAgACAAIAAgACAAIABBAE4ARAAoAGgAIAA9ACAAMQAsACAAdwAgAD0AIAAxACkALABcAG4AXABuACAAIAAgACAALwAvACAATwBwAHQAaQBvAG4AYQBsACAAcABhAHIAYQBtAGUAdABlAHIAcwBcAG4AIAAgACAAIABpAGYAXwBuAG8AdABfAGYAbwB1AG4AZAAsACAAIAAgAEkARgAoAEkAUwBPAE0ASQBUAFQARQBEACgAaQBmAF8AbgBvAHQAXwBmAG8AdQBuAGQAKQAsACAAXAAiAFwAIgAsACAAaQBmAF8AbgBvAHQAXwBmAG8AdQBuAGQAKQAsAFwAbgAgACAAIAAgAEMAbwBsAGwAYQBwAHMAZQBEAGUAbABpAG0APwAsACAATgBPAFQAKABJAFMATwBNAEkAVABUAEUARAAoAHQAcgBlAGEAdABfAGMAbwBuAHMAZQBjAHUAdABpAHYAZQBfAGQAZQBsAGkAbQBpAHQAZQByAHMAXwBhAHMAXwBvAG4AZQApACkALABcAG4AIAAgACAAIABNAHUAbAB0AGkAcABsAGUARABlAGwAaQBtAD8ALAAgAE8AUgAoAGgAgiAgAD4AIAAxACwAIAB3AIIgIAA+ACAAMQApACwAXABuAFwAbgAgACAAIAAgAC8ALwAgAFYAYQBsAGkAZABhAHQAaQBvAG4AXABuACAAIAAgACAASQBGACgASQBzADIARAA/ACwAIAAgACAAIAAgACAAIAAgACAAIAAgACAAIAAgAFwAIgAjADIARAAtAEkATgBQAFUAVAAhAFwAIgAsAFwAbgBcAG4AIAAgACAAIAAgACAAIAAgAEkARgAoAE0AdQBsAHQAaQBwAGwAZQBEAGUAbABpAG0APwAsACAAXAAiACMARABFAEwASQBNAEkAVABFAFIALQBBAFIAUgBBAFkAIQBcACIALABcAG4AXABuAEwARQBUACgAXABuACAAIAAgACAALwAvACAAVwByAGEAcAAgAGUAYQBjAGgAIABlAGwAZQBtAGUAbgB0ACAAdwBpAHQAaAAgAGQAZQBsAGkAbQBpAHQAZQByACAAbwBuACAAYgBvAHQAaAAgAHMAaQBkAGUAcwBcAG4AIAAgACAAIABqAG8AaQBuAGUAZAAsACAAIAAgACAAIAAgACAAIAAgAGQAZQBsAGkAbQBpAHQAZQByACAAJgAgAGEAcgByAGEAeQAgACYAIABkAGUAbABpAG0AaQB0AGUAcgAsAFwAbgBcAG4AIAAgACAAIAAvAC8AIABSAGUAZwBlAHgAESBzAGEAZgBlACAAZABlAGwAaQBtAGkAdABlAHIAXABuACAAIAAgACAAZABlAGwAaQBtAF8AYgAsACAAIAAgACAAIAAgACAAIABSAGUAZwBlAHgAUwBhAGYAZQC7AygAZABlAGwAaQBtAGkAdABlAHIAKQAsAFwAbgBcAG4AIAAgACAAIAAvAC8AIABEAGUAdABlAGMAdAAgAGMAbwBuAHMAZQBjAHUAdABpAHYAZQAgAGQAZQBsAGkAbQBpAHQAZQByAHMAXABuACAAIAAgACAASQBzAEMAbwBuAHMAZQBjAEQAZQBsAGkAbQA/ACwAIABPAFIAKABSAEUARwBFAFgAVABFAFMAVAAoAGoAbwBpAG4AZQBkACwAIABcACIAKABcACIAIAAmACAAZABlAGwAaQBtAF8AYgAgACYAIABcACIAKQB7ADIALAB9AFwAIgApACkALABcAG4AXABuACAAIAAgACAALwAvACAAQwBvAGwAbABhAHAAcwBlACAAYwBvAG4AcwBlAGMAdQB0AGkAdgBlACAAZABlAGwAaQBtAGkAdABlAHIAcwAgAGkAZgAgAHIAZQBxAHUAZQBzAHQAZQBkAFwAbgAgACAAIAAgAHQAZQB4AHQAcwAsACAAIAAgACAAIAAgACAAIAAgACAASQBGACgAQQBOAEQAKABDAG8AbABsAGEAcABzAGUARABlAGwAaQBtAD8ALAAgAEkAcwBDAG8AbgBzAGUAYwBEAGUAbABpAG0APwApACwAXABuACAAIAAgACAAIAAgACAAIAAgACAAIAAgACAAIAAgACAAIAAgACAAIAAgACAAIAAgAFIARQBHAEUAWABSAEUAUABMAEEAQwBFACgAagBvAGkAbgBlAGQALAAgAFwAIgAoAFwAIgAgACYAIABkAGUAbABpAG0AXwBiACAAJgAgAFwAIgApACsAXAAiACwAIABkAGUAbABpAG0AXwBiACkALABcAG4AIAAgACAAIAAgACAAIAAgACAAIAAgACAAIAAgACAAIAAgACAAIAAgACAAIAAgACAAagBvAGkAbgBlAGQAKQAsAFwAbgBcAG4AIAAgACAAIAAvAC8AIABUAG8AawBlAG4AIABjAG8AdQBuAHQAXABuACAAIAAgACAATAAsACAAIAAgACAAIAAgACAAIAAgACAAIAAgACAAIABMAEUATgAoAGQAZQBsAGkAbQBpAHQAZQByACkALABcAG4AIAAgACAAIAB0AG8AawBlAG4ALAAgACAAIAAgACAAIAAgACAAIAAgAE0AQQBYACgATABFAE4AKAB0AGUAeAB0AHMAKQAgAC0AIABMAEUATgAoAFMAVQBCAFMAVABJAFQAVQBUAEUAKAB0AGUAeAB0AHMALAAgAGQAZQBsAGkAbQBpAHQAZQByACwAIABcACIAXAAiACkAKQApACAALwAgAEwAIAAtACAAMQAsAFwAbgBcAG4AIAAgACAAIAAvAC8AIABJAG4AZABlAHgAaQBuAGcAIABmAG8AcgAgAFQARQBYAFQAQQBGAFQARQBSAC8AVABFAFgAVABCAEUARgBPAFIARQBcAG4AIAAgACAAIABpAGQAeAAsACAAIAAgACAAIAAgACAAIAAgACAAIAAgAEwAQQBNAEIARABBACgASQBGACgAKABJAHMAVgBlAHIAdABpAGMAYQBsAD8AKQAgACsAIAAoAEkAcwBTAGMAYQBsAGEAcgA/ACkALABTAEUAUQBVAEUATgBDAEUAKAAsACAAdABvAGsAZQBuACkALABcAG4AIAAgACAAIAAgACAAIAAgACAAIAAgACAAIAAgACAAIAAgACAAIAAgACAAIAAgACAAIAAgACAAIAAgACAAIAAgACAAIAAgACAAIAAgACAAIAAgACAAIAAgACAAIAAgACAAIAAgACAAIAAgACAAIAAgACAAIABTAEUAUQBVAEUATgBDAEUAKAB0AG8AawBlAG4AKQApACkALABcAG4AXABuACAAIAAgACAALwAvACAAUABhAHIAcwBlACAAdABvAGsAZQBuAHMAXABuACAAIAAgACAAZgBpAG4AYQBsACwAIAAgACAAIAAgACAAIAAgACAAIABJAEYARQBSAFIATwBSACgAXABuACAAIAAgACAAIAAgACAAIAAgACAAIAAgACAAIAAgACAAIAAgACAAIAAgACAAIAAgACAAIAAgACAAVABFAFgAVABCAEUARgBPAFIARQAoAFQARQBYAFQAQQBGAFQARQBSACgAdABlAHgAdABzACwAIABkAGUAbABpAG0AaQB0AGUAcgAsACAAaQBkAHgAKAApACwAIAAsACAALAAgAGkAZgBfAG4AbwB0AF8AZgBvAHUAbgBkACkALABcAG4AIAAgACAAIAAgACAAIAAgACAAIAAgACAAIAAgACAAIAAgACAAIAAgACAAIAAgACAAIAAgACAAIABkAGUAbABpAG0AaQB0AGUAcgAsACwAIAAsACAALAAgAGkAZgBfAG4AbwB0AF8AZgBvAHUAbgBkACkALABcAG4AIAAgACAAIAAgACAAIAAgACAAIAAgACAAIAAgACAAIAAgACAAIAAgACAAIAAgACAAIAAgACAAIABpAGYAXwBuAG8AdABfAGYAbwB1AG4AZAApACwAXABuAFwAbgAgACAAIAAgAGYAaQBuAGEAbABcAG4AKQApACkAKQApADsAXABuAFwAbgBcAG4AXABuAC8AKgAgAFsAVABYAC0AQwBPAFIARQBdACAALQAtAC0ALQAtAC0ALQAtAC0ALQAtAC0ALQAtAC0ALQAtAC0ALQAtAC0ALQAtAC0ALQAtAC0ALQAtAC0ALQAtAC0ALQAtAC0ALQAtAC0ALQAtAC0ALQAtAC0ALQAtAC0ALQAtAC0ALQAtAC0ALQAtAC0ALQAtAC0ALQAtAC0ALQAtAC0ALQAtAC0ALQBcAG4ARgB1AG4AYwB0AGkAbwBuADoAIAAgACAAIAAgACAAIAAgAFIAZQBnAGUAeABTAGEAZgBlALsDXABuAEMAYQB0AGUAZwBvAHIAeQA6ACAAIAAgACAAIAAgACAAIABUAGUAeAB0ACAAKABDAG8AcgBlACkAXABuAEEAdQB0AGgAbwByADoAIAAgACAAIAAgACAAIAAgACAAIABQAGEAdAByAGkAYwBrACAASAAuAFwAbgBWAGUAcgBzAGkAbwBuADoAIAAgACAAIAAgACAAIAAgACAAMQAuADEAXABuAFwAbgBEAGUAcwBjAHIAaQBwAHQAaQBvAG4AOgBcAG4AIAAgACAAIABFAHMAYwBhAHAAZQBzACAAcgBlAGcAZQB4ACAAbQBlAHQAYQBjAGgAYQByAGEAYwB0AGUAcgBzACAAaQBuACAAYQAgAHMAdQBwAHAAbABpAGUAZAAgAGQAZQBsAGkAbQBpAHQAZQByACAAcwBvACAAaQB0ACAAYwBhAG4AIABiAGUAIAB1AHMAZQBkAFwAbgAgACAAIAAgAHMAYQBmAGUAbAB5ACAAaQBuACAAUgBFAEcARQBYAFQARQBTAFQALAAgAFIARQBHAEUAWABSAEUAUABMAEEAQwBFACwAIABhAG4AZAAgAFIARQBHAEUAWABFAFgAVABSAEEAQwBUACAAcABhAHQAdABlAHIAbgBzAC4AIABNAHUAbAB0AGkAESBcAG4AIAAgACAAIABjAGgAYQByAGEAYwB0AGUAcgAgAGQAZQBsAGkAbQBpAHQAZQByAHMAIABhAHIAZQAgAHAAcgBvAGMAZQBzAHMAZQBkACAAYwBoAGEAcgBhAGMAdABlAHIAESBiAHkAESBjAGgAYQByAGEAYwB0AGUAcgAsACAAYQBuAGQAIABvAG4AbAB5AFwAbgAgACAAIAAgAGMAaABhAHIAYQBjAHQAZQByAHMAIAB0AGgAYQB0ACAAcgBlAHEAdQBpAHIAZQAgAGUAcwBjAGEAcABpAG4AZwAgAGEAcgBlACAAcAByAGUAZgBpAHgAZQBkACAAdwBpAHQAaAAgAFwAIgBcAFwAXAAiAC4AXABuAFwAbgBFAHgAYQBtAHAAbABlADoAXABuACAAIAAgACAAPQBSAGUAZwBlAHgAUwBhAGYAZQC7AygAXAAiAHwAXAAiACkAXABuACAAIAAgACAAcgBlAHQAdQByAG4AcwA6ACAAXAAiAFwAXAB8AFwAIgBcAG4ALQAtAC0ALQAtAC0ALQAtAC0ALQAtAC0ALQAtAC0ALQAtAC0ALQAtAC0ALQAtAC0ALQAtAC0ALQAtAC0ALQAtAC0ALQAtAC0ALQAtAC0ALQAtAC0ALQAtAC0ALQAtAC0ALQAtAC0ALQAtAC0ALQAtAC0ALQAtAC0ALQAtAC0ALQAtAC0ALQAtAC0ALQAtAC0ALQAtAC0ALQAtAC0AKgAvAFwAbgBcAG4AUgBlAGcAZQB4AFMAYQBmAGUAuwMgAD0AXABuAEwAQQBNAEIARABBACgAXABuACAAIAAgACAAZABlAGwAaQBtAGkAdABlAHIAcwAsAFwAbgBMAEUAVAAoAFwAbgAgACAAIAAgAC8ALwAgAEMAaABhAHIAYQBjAHQAZQByAHMAIAByAGUAcQB1AGkAcgBpAG4AZwAgAGUAcwBjAGEAcABpAG4AZwAgAGkAbgAgAEUAeABjAGUAbAAnAHMAIABQAEMAUgBFADIAIABlAG4AZwBpAG4AZQBcAG4AIAAgACAAIABtAGUAdABhACwAIAAgACAAIAAgACAAIAB7AFwAIgBcAFwAXAAiACwAIABcACIAKwBcACIALAAgAFwAIgAqAFwAIgAsACAAXAAiAD8AXAAiACwAIABcACIAXgBcACIALABcAG4AIAAgACAAIAAgACAAIAAgACAAIAAgACAAIAAgACAAIAAgAFwAIgAkAFwAIgAsACAAXAAiACgAXAAiACwAIABcACIAKQBcACIALAAgAFwAIgBbAFwAIgAsACAAXAAiAHwAXAAiAH0ALABcAG4AXABuACAAIAAgACAALwAvACAARQBuAHUAbQBlAHIAYQB0AGUAIABlAGEAYwBoACAAYwBoAGEAcgBhAGMAdABlAHIAIABvAGYAIAB0AGgAZQAgAGQAZQBsAGkAbQBpAHQAZQByAFwAbgAgACAAIAAgAGMAaABhAHIAcwAsACAAIAAgACAAIAAgAFIARQBHAEUAWABFAFgAVABSAEEAQwBUACgAZABlAGwAaQBtAGkAdABlAHIAcwAsAFwAIgAuAFwAIgAsADEAKQAsAFwAbgBcAG4AIAAgACAAIAAvAC8AIABJAGQAZQBuAHQAaQBmAHkAIABtAGUAdABhAGMAaABhAHIAYQBjAHQAZQByAHMAXABuACAAIAAgACAASQBzAE0AZQB0AGEAPwAsACAAIAAgACAASQBTAE4AVQBNAEIARQBSACgAWABNAEEAVABDAEgAKABjAGgAYQByAHMALAAgAG0AZQB0AGEAKQApACwAXABuAFwAbgAgACAAIAAgAC8ALwAgAEUAcwBjAGEAcABlACAAbwBuAGwAeQAgAHQAaABvAHMAZQAgAHQAaABhAHQAIAByAGUAcQB1AGkAcgBlACAAaQB0AFwAbgAgACAAIAAgAHAAYQB0AHQAZQByAG4ALAAgACAAIAAgAEMATwBOAEMAQQBUACgASQBGACgASQBzAE0AZQB0AGEAPwAsACAAXAAiAFwAXABcACIAIAAmACAAYwBoAGEAcgBzACwAIABjAGgAYQByAHMAKQApACwAXABuAFwAbgAgACAAIAAgAHAAYQB0AHQAZQByAG4AXABuACkAKQA7AFwAbgBcAG4AXABuAFwAbgAvAC8AIABbAEUATgBdACAALQAtAC0ALQAtAC0ALQAtAC0ALQAtAC0ALQAtAC0ALQAtAC0ALQAtAC0ALQAtAC0ALQAtAC0ALQAtAC0ALQAtAC0ALQAtAC0ALQAtAC0ALQAtAC0ALQAtAC0ALQAtAC0ALQAtAC0ALQAtAC0ALQAtAC0ALQAtAC0ALQAtAC0ALQAtAC0ALQAtAC0ALQAtAC0ALQAtAC0ALQAtAFwAbgAvAC8AIAAtAC0ALQAjACMAIAAwADgAIAAUICAARQBuAGcAaQBuAGUAZQByAGkAbgBnAFwAbgAvAC8AIAAtAC0ALQAtAC0ALQAtAC0ALQAtAC0ALQAtAC0ALQAtAC0ALQAtAC0ALQAtAC0ALQAtAC0ALQAtAC0ALQAtAC0ALQAtAC0ALQAtAC0ALQAtAC0ALQAtAC0ALQAtAC0ALQAtAC0ALQAtAC0ALQAtAC0ALQAtAC0ALQAtAC0ALQAtAC0ALQAtAC0ALQAtAC0ALQAtAC0ALQAtAC0AXABuAFwAbgAvACoAXABuAEQAZQBzAGMAcgBpAHAAdABpAG8AbgA6AFwAbgAgACAAIAAgAFQAaABlACAARQBuAGcAaQBuAGUAZQByAGkAbgBnACAAYwBhAHQAZQBnAG8AcgB5ACAAcAByAG8AdgBpAGQAZQBzACAAYgBpAG4AYQByAHkALAAgAEcAcgBhAHkAESBjAG8AZABlACwAIABhAG4AZAAgAGIAaQB0ABEgbABlAHYAZQBsACAAdQB0AGkAbABpAHQAaQBlAHMAXABuACAAIAAgACAAZABlAHMAaQBnAG4AZQBkACAAdABvACAAbwBwAGUAcgBhAHQAZQAgAHcAZQBsAGwAIABiAGUAeQBvAG4AZAAgAEUAeABjAGUAbAAnAHMAIABuAGEAdABpAHYAZQAgAEQARQBDADIAQgBJAE4AIABsAGkAbQBpAHQAIABvAGYAIAA1ADEAMQAuACAAQQBsAGwAXABuACAAIAAgACAAZgB1AG4AYwB0AGkAbwBuAHMAIABzAHUAcABwAG8AcgB0ACAAYwBvAG4AYwBpAHMAZQAgAGIAaQBuAGEAcgB5ACAAcwB0AHIAaQBuAGcAcwAgAGEAbgBkACAAcwBoAGEAcABlABEgcAByAGUAcwBlAHIAdgBpAG4AZwAgAGEAcgByAGEAeQAgAGIAZQBoAGEAdgBpAG8AcgAsAFwAbgAgACAAIAAgAHcAaQB0AGgAIABvAHAAdABpAG8AbgBhAGwAIAAyAEQAIABlAHgAcABsAG8AZABlAGQAIABiAGkAdAARIG0AYQB0AHIAaQBjAGUAcwAgAHcAaABlAHIAZQAgAGEAcABwAGwAaQBjAGEAYgBsAGUALgBcAG4AXABuAEYAdQBuAGMAdABpAG8AbgBzADoAXABuACAAIAAgACAAIiAgAEIAaQBuADIARABlAGMAuwNcAG4AIAAgACAAIAAgACAAIAAgAEMAbwBuAHYAZQByAHQAcwAgAGMAbwBuAGMAaQBzAGUAIABiAGkAbgBhAHIAeQAgAGkAbgB0AG8AIABkAGUAYwBpAG0AYQBsACAAdgBhAGwAdQBlAHMALgBcAG4AXABuACAAIAAgACAAIiAgAEIAaQBuADIARwByAGEAeQC7A1wAbgAgACAAIAAgACAAIAAgACAAQwBvAG4AdgBlAHIAdABzACAAYwBvAG4AYwBpAHMAZQAgAGIAaQBuAGEAcgB5ACAAaQBuAHQAbwAgAEcAcgBhAHkAESBjAG8AZABlACAAdgBhAGwAdQBlAHMALAAgAHcAaQB0AGgAIABvAHAAdABpAG8AbgBhAGwAIABlAHgAcABsAG8AZABlAGQAIABmAG8AcgBtAC4AXABuAFwAbgAgACAAIAAgACIgIABCAGkAdABDAG8AdQBuAHQAuwNcAG4AIAAgACAAIAAgACAAIAAgAEMAbwBuAHYAZQByAHQAcwAgAGkAbgB0AGUAZwBlAHIAcwAgAHQAbwAgAGIAaQBuAGEAcgB5ACAAYQBuAGQAIAByAGUAdAB1AHIAbgBzACAAYgBpAHQAIABjAG8AdQBuAHQAcwAsACAAcAByAGUAcwBlAHIAdgBpAG4AZwAgAGkAbgBwAHUAdAAgAHMAaABhAHAAZQAuAFwAbgBcAG4AIAAgACAAIAAiICAARABlAGMAMgBCAGkAbgC7A1wAbgAgACAAIAAgACAAIAAgACAAQwBvAG4AdgBlAHIAdABzACAAaQBuAHQAZQBnAGUAcgBzACAAaQBuAHQAbwAgAGIAaQBuAGEAcgB5ACAAdgBhAGwAdQBlAHMALAAgAHIAZQB0AHUAcgBuAGUAZAAgAGEAcwAgAGMAbwBuAGMAaQBzAGUAIABzAHQAcgBpAG4AZwBzACAAbwByAFwAbgAgACAAIAAgACAAIAAgACAAZQB4AHAAbABvAGQAZQBkACAAMgBEACAAYgBpAHQAESBhAHIAcgBhAHkAcwAuAFwAbgBcAG4AIAAgACAAIAAiICAARABlAGMAMgBHAHIAYQB5ALsDXABuACAAIAAgACAAIAAgACAAIABDAG8AbgB2AGUAcgB0AHMAIABpAG4AdABlAGcAZQByAHMAIABpAG4AdABvACAARwByAGEAeQARIGMAbwBkAGUAIAB2AGEAbAB1AGUAcwAgACgAdwByAGEAcABwAGUAcgA6ACAARABlAGMAMgBCAGkAbgC7AyAAkiEgAEIAaQBuADIARwByAGEAeQC7AykALgBcAG4AXABuAE4AbwB0AGUAcwA6AFwAbgAgACAAIAAgACIgIABOAGUAZwBhAHQAaQB2AGUAIABuAHUAbQBiAGUAcgBzACAAYQByAGUAIABuAG8AdAAgAHMAdQBwAHAAbwByAHQAZQBkACAAZgBvAHIAIABEAGUAYwAyAEIAaQBuALsDIABvAHIAIABEAGUAYwAyAEcAcgBhAHkAuwMuAFwAbgAqAC8AXABuAFwAbgBcAG4AXABuAC8AKgAgAFsARQBOADAAMQBdACAALQAtAC0ALQAtAC0ALQAtAC0ALQAtAC0ALQAtAC0ALQAtAC0ALQAtAC0ALQAtAC0ALQAtAC0ALQAtAC0ALQAtAC0ALQAtAC0ALQAtAC0ALQAtAC0ALQAtAC0ALQAtAC0ALQAtAC0ALQAtAC0ALQAtAC0ALQAtAC0ALQAtAC0ALQAtAC0ALQAtAC0ALQAtAC0ALQBcAG4ARgB1AG4AYwB0AGkAbwBuADoAIAAgACAAIAAgACAAIAAgAEIAaQBuADIARABlAGMAuwNcAG4AQwBhAHQAZQBnAG8AcgB5ADoAIAAgACAAIAAgACAAIAAgAEUAbgBnAGkAbgBlAGUAcgBpAG4AZwBcAG4AQQB1AHQAaABvAHIAOgAgACAAIAAgACAAIAAgACAAIAAgAFAAYQB0AHIAaQBjAGsAIABIAC4AXABuAFYAZQByAHMAaQBvAG4AOgAgACAAIAAgACAAIAAgACAAIAAxAC4AMQBcAG4ARABlAHAAZQBuAGQAZQBuAGMAaQBlAHMAOgAgACAAIAAgAEUAeABwAGwAbwBkAGUAuwNcAG4AXABuAEQAZQBzAGMAcgBpAHAAdABpAG8AbgA6AFwAbgAgACAAIAAgAEMAbwBuAHYAZQByAHQAcwAgAGMAbwBuAGMAaQBzAGUAIABiAGkAbgBhAHIAeQAgAGkAbgB0AG8AIABkAGUAYwBpAG0AYQBsACAAdgBhAGwAdQBlAHMALgAgAFMAdQBwAHAAbwByAHQAcwAgAHMAYwBhAGwAYQByACwAIAAxAEQALAAgAGEAbgBkACAAMgBEAFwAbgAgACAAIAAgAGkAbgBwAHUAdABzACAAdwBpAHQAaAAgAGYAdQBsAGwAIABzAGgAYQBwAGUAIABwAHIAZQBzAGUAcgB2AGEAdABpAG8AbgAuACAAQgBpAHQAESB3AGkAZAB0AGgAIABpAHMAIABpAG4AZgBlAHIAcgBlAGQAIABhAHUAdABvAG0AYQB0AGkAYwBhAGwAbAB5AFwAbgAgACAAIAAgAGEAbgBkACAAYQBsAGwAIAB2AGEAbAB1AGUAcwAgAGEAcgBlACAAbgBvAHIAbQBhAGwAaQB6AGUAZAAgAGIAZQBmAG8AcgBlACAAZQB4AHAAbABvAHMAaQBvAG4ALgBcAG4AXABuAFAAYQByAGEAbQBlAHQAZQByAHMAOgBcAG4AIAAgACAAIABiAGkAbgBhAHIAeQBcAG4AIAAgACAAIAAgACAAIAAgAFMAYwBhAGwAYQByACwAIAAxAEQAIABhAHIAcgBhAHkALAAgAG8AcgAgADIARAAgAGEAcgByAGEAeQAgAGMAbwBuAHQAYQBpAG4AaQBuAGcAIABjAG8AbgBjAGkAcwBlACAAYgBpAG4AYQByAHkAIABzAHQAcgBpAG4AZwBzAC4AXABuAFwAbgAgACAAIAAgACAAIAAgACAAIiAgAEMAbwBuAGMAaQBzAGUAIABmAG8AcgBtADoAXABuACAAIAAgACAAIAAgACAAIAAgACAAIAAgACAAIABcACIAMQAwADEAMQBcACIALAAgAFwAIgAwADAAMAAxADEAMAAxADAAXAAiACwAIABlAHQAYwAuACAAIAAoAGEAbgB5ACAAcwBoAGEAcABlACkAXABuAFwAbgBOAG8AdABlAHMAOgBcAG4AIAAgACAAIAAiICAATwB1AHQAcAB1AHQAIABzAGgAYQBwAGUAIABtAGEAdABjAGgAZQBzACAAaQBuAHAAdQB0ACAAcwBoAGEAcABlACAAKABzAGMAYQBsAGEAcgAsACAAdgBlAHIAdABpAGMAYQBsACwAIABoAG8AcgBpAHoAbwBuAHQAYQBsACwAIABvAHIAIAAyAEQAKQAuAFwAbgAgACAAIAAgACIgIABTAHUAcABwAG8AcgB0AHMAIABiAGkAbgBhAHIAeQAgAHYAYQBsAHUAZQBzACAAZgBhAHIAIABiAGUAeQBvAG4AZAAgAEUAeABjAGUAbAAZIHMAIABuAGEAdABpAHYAZQAgADEANgARIGQAaQBnAGkAdAAgAG4AdQBtAGUAcgBpAGMAIABsAGkAbQBpAHQALgBcAG4ALQAtAC0ALQAtAC0ALQAtAC0ALQAtAC0ALQAtAC0ALQAtAC0ALQAtAC0ALQAtAC0ALQAtAC0ALQAtAC0ALQAtAC0ALQAtAC0ALQAtAC0ALQAtAC0ALQAtAC0ALQAtAC0ALQAtAC0ALQAtAC0ALQAtAC0ALQAtAC0ALQAtAC0ALQAtAC0ALQAtAC0ALQAtAC0ALQAtAC0ALQAtAC0AKgAvAFwAbgBcAG4AQgBpAG4AMgBEAGUAYwC7AyAAPQBcAG4ATABBAE0AQgBEAEEAKABcAG4AIAAgACAAIABiAGkAbgBhAHIAeQAsAFwAbgBMAEUAVAAoAFwAbgAgACAAIAAgAC8ALwAgAFMAaABhAHAAZQAgAG8AZgAgAGkAbgBwAHUAdABcAG4AIAAgACAAIABoACwAIAAgACAAIAAgACAAIAAgACAAIAAgACAAIAAgAFIATwBXAFMAKABiAGkAbgBhAHIAeQApACwAXABuACAAIAAgACAAdwAsACAAIAAgACAAIAAgACAAIAAgACAAIAAgACAAIABDAE8ATABVAE0ATgBTACgAYgBpAG4AYQByAHkAKQAsAFwAbgAgACAAIAAgAEkAcwBTAGMAYQBsAGEAcgA/ACwAIAAgACAAIAAgACAAQQBOAEQAKABoACAAPQAgADEALAAgAHcAIAA9ACAAMQApACwAXABuACAAIAAgACAASQBzAFYAZQByAHQAaQBjAGEAbAA/ACwAIAAgACAAIABBAE4ARAAoAGgAIAA+ACAAMQAsACAAdwAgAD0AIAAxACkALABcAG4AIAAgACAAIABJAHMASABvAHIAaQB6AG8AbgB0AGEAbAA/ACwAIAAgAEEATgBEACgAdwAgAD4AIAAxACwAIABoACAAPQAgADEAKQAsAFwAbgBcAG4AIAAgACAAIAAvAC8AIABOAG8AcgBtAGEAbABpAHoAZQAgAGIAaQB0ABEgdwBpAGQAdABoACAAYQBuAGQAIABlAHgAcABsAG8AZABlAFwAbgAgACAAIAAgAGIAaQB0AHMALAAgACAAIAAgACAAIAAgACAAIAAgACAATQBBAFgAKABMAEUATgAoAGIAaQBuAGEAcgB5ACkAKQAsAFwAbgAgACAAIAAgAGEAcgByACwAIAAgACAAIAAgACAAIAAgACAAIAAgACAAVABFAFgAVAAoAGIAaQBuAGEAcgB5ACwAIABSAEUAUABUACgAXAAiADAAXAAiACwAIABiAGkAdABzACkAKQAsAFwAbgAgACAAIAAgAGIAaQBuAGEAcgB5ACwAIAAgACAAIAAgACAAIAAgACAASQBGACgASQBzAFMAYwBhAGwAYQByAD8ALABFAHgAcABsAG8AZABlALsDKABiAGkAbgBhAHIAeQApACwAXABuACAAIAAgACAAIAAgACAAIAAgACAAIAAgACAAIAAgACAAIAAgACAAIAAgACAAIAAgACAAIAAgACAAIAAgACAAIAAgAEUAeABwAGwAbwBkAGUAuwMoAFQATwBDAE8ATAAoAGEAcgByACkAKQApACwAXABuAFwAbgAgACAAIAAgAC8ALwAgAE0AYQB0AGgAXABuACAAIAAgACAAcABvAHcAZQByAHMALAAgAFMARQBRAFUARQBOAEMARQAoACwAIABiAGkAdABzACwAIABiAGkAdABzACAALQAgADEALAAgAC0AMQApACwAXABuACAAIAAgACAAcAAsACAAIAAgACAAIAAgAFAATwBXAEUAUgAoADIALAAgAHAAbwB3AGUAcgBzACkALABcAG4AXABuACAAIAAgACAALwAvACAAQQBnAGcAcgBlAGcAYQB0AGkAbwBuACAAJgAgAGQAZQBsAGkAdgBlAHIAeQBcAG4AIAAgACAAIAByAGUAcwB1AGwAdAAsACAAQgBZAFIATwBXACgAYgBpAG4AYQByAHkAIAAqACAAcAAsACAAUwBVAE0AKQAsAFwAbgAgACAAIAAgAGYAaQBuAGEAbAAsACAAIABJAEYAKABPAFIAKABJAHMAUwBjAGEAbABhAHIAPwAsACAASQBzAFYAZQByAHQAaQBjAGEAbAA/ACkALAAgAHIAZQBzAHUAbAB0ACwAXABuACAAIAAgACAAIAAgACAAIAAgACAAIAAgACAAIAAgACAASQBGACgASQBzAEgAbwByAGkAegBvAG4AdABhAGwAPwAsACAAVABSAEEATgBTAFAATwBTAEUAKAByAGUAcwB1AGwAdAApACwAXABuACAAIAAgACAAIAAgACAAIAAgACAAIAAgACAAIAAgACAAIAAgACAAIABXAFIAQQBQAFIATwBXAFMAKAByAGUAcwB1AGwAdAAsACAAdwApACkAKQAsAFwAbgBcAG4AIAAgACAAIABmAGkAbgBhAGwAXABuACkAKQA7AFwAbgBcAG4AXABuAFwAbgAvACoAIABbAEUATgAwADIAXQAgAC0ALQAtAC0ALQAtAC0ALQAtAC0ALQAtAC0ALQAtAC0ALQAtAC0ALQAtAC0ALQAtAC0ALQAtAC0ALQAtAC0ALQAtAC0ALQAtAC0ALQAtAC0ALQAtAC0ALQAtAC0ALQAtAC0ALQAtAC0ALQAtAC0ALQAtAC0ALQAtAC0ALQAtAC0ALQAtAC0ALQAtAC0ALQAtAC0AXABuAEYAdQBuAGMAdABpAG8AbgA6ACAAIAAgACAAIAAgACAAIABCAGkAbgAyAEcAcgBhAHkAuwNcAG4AQwBhAHQAZQBnAG8AcgB5ADoAIAAgACAAIAAgACAAIAAgAEUAbgBnAGkAbgBlAGUAcgBpAG4AZwBcAG4AQQB1AHQAaABvAHIAOgAgACAAIAAgACAAIAAgACAAIAAgAFAAYQB0AHIAaQBjAGsAIABIAC4AXABuAFYAZQByAHMAaQBvAG4AOgAgACAAIAAgACAAIAAgACAAIAAxAC4AMQBcAG4ARABlAHAAZQBuAGQAZQBuAGMAaQBlAHMAOgAgACAAIAAgAEUAeABwAGwAbwBkAGUAuwNcAG4AXABuAEQAZQBzAGMAcgBpAHAAdABpAG8AbgA6AFwAbgAgACAAIAAgAEMAbwBuAHYAZQByAHQAcwAgAGIAaQBuAGEAcgB5ACAAaQBuAHQAbwAgAEcAcgBhAHkAESBjAG8AZABlACAAdgBhAGwAdQBlAHMALgAgAFMAdQBwAHAAbwByAHQAcwAgAHMAYwBhAGwAYQByACwAXABuACAAIAAgACAAMQBEACwAIABhAG4AZAAgADIARAAgAGkAbgBwAHUAdABzAC4AIABPAHUAdABwAHUAdAAgAGMAYQBuACAAYgBlACAAcgBlAHQAdQByAG4AZQBkACAAZQBpAHQAaABlAHIAIABhAHMAIABhACAAMgBEACAAYQByAHIAYQB5ACAAbwByACAAYQBzAFwAbgAgACAAIAAgAGMAbwBuAGMAaQBzAGUAIAByAG8AdwARIHcAaQBzAGUAIABzAHQAcgBpAG4AZwBzAC4AXABuAFwAbgBQAGEAcgBhAG0AZQB0AGUAcgBzADoAXABuACAAIAAgACAAYgBpAG4AYQByAHkAXABuACAAIAAgACAAIAAgACAAIABTAGMAYQBsAGEAcgAsACAAMQBEACAAYQByAHIAYQB5ACwAIABvAHIAIAAyAEQAIABhAHIAcgBhAHkAIABjAG8AbgB0AGEAaQBuAGkAbgBnACAAYgBpAG4AYQByAHkAIABkAGEAdABhAC4AXABuAFwAbgAgACAAIAAgAFsAYwBvAG4AYwBpAHMAZQBdAFwAbgAgACAAIAAgACAAIAAgACAATwBwAHQAaQBvAG4AYQBsAC4AIABUAFIAVQBFACAAkiEgAHIAZQB0AHUAcgBuACAARwByAGEAeQAgAGMAbwBkAGUAIABhAHMAIABjAG8AbgBjAGEAdABlAG4AYQB0AGUAZAAgAHMAdAByAGkAbgBnAHMALgBcAG4AIAAgACAAIAAgACAAIAAgAE8AbQBpAHQAdABlAGQAIACSISAAcgBlAHQAdQByAG4AIAAyAEQAIABlAHgAcABsAG8AZABlAGQAIABHAHIAYQB5ABEgYwBvAGQAZQAgAGIAaQB0ACAAYQByAHIAYQB5AHMALgBcAG4AXABuAE4AbwB0AGUAcwA6AFwAbgAgACAAIAAgACIgIAAyAEQAIABhAHIAcgBhAHkAcwAgAGEAcgBlACAAZABlAGwAaQB2AGUAcgBlAGQAIABpAG4AIABjAG8AbgBjAGkAcwBlACAAZgBvAHIAbQBhAHQALgBcAG4AIAAgACAAIAAiICAARwByAGEAeQAgAGMAbwBkAGUAIABpAHMAIABjAG8AbQBwAHUAdABlAGQAIABhAHMAOgAgACAAZwCAICAAPQAgAGIAgCAsACAAIABnAGIdIAA9ACAAYgBiHSAAWABPAFIAIABiAGIdiyCBIC4AXABuAC0ALQAtAC0ALQAtAC0ALQAtAC0ALQAtAC0ALQAtAC0ALQAtAC0ALQAtAC0ALQAtAC0ALQAtAC0ALQAtAC0ALQAtAC0ALQAtAC0ALQAtAC0ALQAtAC0ALQAtAC0ALQAtAC0ALQAtAC0ALQAtAC0ALQAtAC0ALQAtAC0ALQAtAC0ALQAtAC0ALQAtAC0ALQAtAC0ALQAtAC0ALQAtACoALwBcAG4AXABuAEIAaQBuADIARwByAGEAeQC7AyAAPQBcAG4ATABBAE0AQgBEAEEAKABcAG4AIAAgACAAIABiAGkAbgBhAHIAeQAsAFwAbgAgACAAIAAgAFsAYwBvAG4AYwBpAHMAZQBdACwAXABuAFwAbgBMAEUAVAAoAFwAbgAgACAAIAAgAC8ALwAgAE8AdQB0AHAAdQB0ACAAbQBvAGQAZQBcAG4AIAAgACAAIABJAHMAMgBEAEcAcgBhAHkAPwAsACAAIAAgACAAIAAgAEkAUwBPAE0ASQBUAFQARQBEACgAYwBvAG4AYwBpAHMAZQApACwAXABuAFwAbgAgACAAIAAgAC8ALwAgAFMAaABhAHAAZQAgAG8AZgAgAGkAbgBwAHUAdABcAG4AIAAgACAAIABoACwAIAAgACAAIAAgACAAIAAgACAAIAAgACAAIAAgAFIATwBXAFMAKABiAGkAbgBhAHIAeQApACwAXABuACAAIAAgACAAdwAsACAAIAAgACAAIAAgACAAIAAgACAAIAAgACAAIABDAE8ATABVAE0ATgBTACgAYgBpAG4AYQByAHkAKQAsAFwAbgAgACAAIAAgAEkAcwBTAGMAYQBsAGEAcgA/ACwAIAAgACAAIAAgACAAQQBOAEQAKABoACAAPQAgADEALAAgAHcAIAA9ACAAMQApACwAXABuACAAIAAgACAASQBzAFYAZQByAHQAaQBjAGEAbAA/ACwAIAAgACAAIABBAE4ARAAoAGgAIAA+ACAAMQAsACAAdwAgAD0AIAAxACkALABcAG4AIAAgACAAIABJAHMASABvAHIAaQB6AG8AbgB0AGEAbAA/ACwAIAAgAEEATgBEACgAdwAgAD4AIAAxACwAIABoACAAPQAgADEAKQAsAFwAbgAgACAAIAAgAEkAcwAxAEQAPwAsACAAIAAgACAAIAAgACAAIAAgACAAWABPAFIAKABoACAAPQAgADEALAAgAHcAIAA9ACAAMQApACwAXABuAFwAbgAgACAAIAAgAC8ALwAgAE4AbwByAG0AYQBsAGkAegBlACAAYgBpAHQALQB3AGkAZAB0AGgAIABhAG4AZAAgAGUAeABwAGwAbwBkAGUAXABuACAAIAAgACAAYgBpAHQAcwAsACAAIAAgACAAIAAgACAAIAAgACAAIABNAEEAWAAoAEwARQBOACgAYgBpAG4AYQByAHkAKQApACwAXABuACAAIAAgACAAYQByAHIALAAgACAAIAAgACAAIAAgACAAIAAgACAAIABUAEUAWABUACgAYgBpAG4AYQByAHkALAAgAFIARQBQAFQAKABcACIAMABcACIALAAgAGIAaQB0AHMAKQApACwAXABuACAAIAAgACAAYgBpAG4AYQByAHkALAAgACAAIAAgACAAIAAgACAAIABJAEYAKABJAHMAUwBjAGEAbABhAHIAPwAsAEUAeABwAGwAbwBkAGUAuwMoAGIAaQBuAGEAcgB5ACkALABcAG4AIAAgACAAIAAgACAAIAAgACAAIAAgACAAIAAgACAAIAAgACAAIAAgACAAIAAgACAAIAAgACAAIAAgACAAIAAgACAARQB4AHAAbABvAGQAZQC7AygAVABPAEMATwBMACgAYQByAHIAKQApACkALABcAG4AXABuACAAIAAgACAALwAvACAATQBvAHMAdAAgAHMAaQBnAG4AaQBmAGkAYwBhAG4AdAAgAGIAaQB0AFwAbgAgACAAIAAgAG0AcwBiACwAIAAgACAAIAAgACAAIAAgACAAIAAgACAAVABBAEsARQAoAGIAaQBuAGEAcgB5ACwAIAAsACAAMQApACwAXABuAFwAbgAgACAAIAAgAC8ALwAgAFgATwBSACAAbgBlAGkAZwBoAGIAbwByAHMAXABuACAAIAAgACAAeAAsACAAIAAgACAAIAAgACAAIAAgACAAIAAgACAAIABCAEkAVABYAE8AUgAoAEQAUgBPAFAAKABiAGkAbgBhAHIAeQAsACAALAAgADEAKQAsACAARABSAE8AUAAoAGIAaQBuAGEAcgB5ACwAIAAsACAALQAxACkAKQAsAFwAbgBcAG4AIAAgACAAIAAvAC8AIABHAHIAYQB5ACAAYwBvAGQAZQAgAGEAcgByAGEAeQBfADIARABcAG4AIAAgACAAIABnAHIAYQB5ACwAIAAgACAAIAAgACAAIAAgACAAIAAgAEgAUwBUAEEAQwBLACgAbQBzAGIALAAgAHgAKQAsAFwAbgBcAG4AIAAgACAAIAAvAC8AIABPAHUAdABwAHUAdAAgAGEAbgBkACAAZABlAGwAaQB2AGUAcgB5AFwAbgAgACAAIAAgAHIAZQBzAHUAbAB0ACwAIAAgACAAIAAgACAAIAAgACAASQBGACgAQQBOAEQAKABJAHMAMgBEAEcAcgBhAHkAPwAsAEkAcwAxAEQAPwApACwAIABnAHIAYQB5ACwAIABCAFkAUgBPAFcAKABnAHIAYQB5ACwAIABDAE8ATgBDAEEAVAApACkALABcAG4AIAAgACAAIABmAGkAbgBhAGwALAAgACAAIAAgACAAIAAgACAAIAAgAEkARgAoAE8AUgAoAEkAcwBTAGMAYQBsAGEAcgA/ACwASQBzAFYAZQByAHQAaQBjAGEAbAA/ACkALAByAGUAcwB1AGwAdAAsAFwAbgAgACAAIAAgACAAIAAgACAAIAAgACAAIAAgACAAIAAgACAAIAAgACAAIAAgACAAIABJAEYAKABJAHMASABvAHIAaQB6AG8AbgB0AGEAbAA/ACwAVABSAEEATgBTAFAATwBTAEUAKAByAGUAcwB1AGwAdAApACwAXABuACAAIAAgACAAIAAgACAAIAAgACAAIAAgACAAIAAgACAAIAAgACAAIAAgACAAIAAgACAAIAAgACAAIAAgACAAIAAgACAAIAAgACAAIAAgACAAIABXAFIAQQBQAFIATwBXAFMAKAByAGUAcwB1AGwAdAAsAHcAKQApACkALABcAG4AXABuACAAIAAgACAAZgBpAG4AYQBsAFwAbgApACkAOwBcAG4AXABuAFwAbgBcAG4ALwAqACAAWwBFAE4AMAAzAF0AIAAtAC0ALQAtAC0ALQAtAC0ALQAtAC0ALQAtAC0ALQAtAC0ALQAtAC0ALQAtAC0ALQAtAC0ALQAtAC0ALQAtAC0ALQAtAC0ALQAtAC0ALQAtAC0ALQAtAC0ALQAtAC0ALQAtAC0ALQAtAC0ALQAtAC0ALQAtAC0ALQAtAC0ALQAtAC0ALQAtAC0ALQAtAC0ALQAtAFwAbgBGAHUAbgBjAHQAaQBvAG4AOgAgACAAIAAgACAAIAAgACAAQgBpAHQAQwBvAHUAbgB0ALsDXABuAEMAYQB0AGUAZwBvAHIAeQA6ACAAIAAgACAAIAAgACAAIABFAG4AZwBpAG4AZQBlAHIAaQBuAGcAXABuAEEAdQB0AGgAbwByADoAIAAgACAAIAAgACAAIAAgACAAIABQAGEAdAByAGkAYwBrACAASAAuAFwAbgBWAGUAcgBzAGkAbwBuADoAIAAgACAAIAAgACAAIAAgACAAMQAuADEAXABuAEQAZQBwAGUAbgBkAGUAbgBjAGkAZQBzADoAIAAgACAAIABEAGUAYwAyAEIAaQBuALsDXABuAFwAbgBEAGUAcwBjAHIAaQBwAHQAaQBvAG4AOgBcAG4AIAAgACAAIABDAG8AdQBuAHQAcwAgAHQAaABlACAAbgB1AG0AYgBlAHIAIABvAGYAIAAxABEgYgBpAHQAcwAgAGkAbgAgAHQAaABlACAAYgBpAG4AYQByAHkAIAByAGUAcAByAGUAcwBlAG4AdABhAHQAaQBvAG4AIABvAGYAIABlAGEAYwBoACAAaQBuAHQAZQBnAGUAcgAuAFwAbgAgACAAIAAgAFMAdQBwAHAAbwByAHQAcwAgAHMAYwBhAGwAYQByACwAIAAxAEQALAAgAGEAbgBkACAAMgBEACAAaQBuAHAAdQB0AHMAIAB3AGkAdABoACAAZgB1AGwAbAAgAHMAaABhAHAAZQAgAHAAcgBlAHMAZQByAHYAYQB0AGkAbwBuAC4AXABuAFwAbgBQAGEAcgBhAG0AZQB0AGUAcgBzADoAXABuACAAIAAgACAAbgAgACAAIAAtACAAIAAgAFMAYwBhAGwAYQByACwAIAAxAEQAIABhAHIAcgBhAHkALAAgAG8AcgAgADIARAAgAGEAcgByAGEAeQAgAG8AZgAgAG4AbwBuABEgbgBlAGcAYQB0AGkAdgBlACAAaQBuAHQAZQBnAGUAcgBzAC4AXABuAFwAbgBOAG8AdABlAHMAOgBcAG4AIAAgACAAIAAiICAAVQBzAGUAcwAgAEQAZQBjADIAQgBpAG4AuwMoAG4ALAAxACkAIAB0AG8AIABvAGIAdABhAGkAbgAgAGUAeABwAGwAbwBkAGUAZAAgAGIAaQB0ABEgbQBhAHQAcgBpAGMAZQBzAC4AXABuACAAIAAgACAAIiAgAE8AdQB0AHAAdQB0ACAAcwBoAGEAcABlACAAbQBhAHQAYwBoAGUAcwAgAGkAbgBwAHUAdAAgAHMAaABhAHAAZQAuAFwAbgAtAC0ALQAtAC0ALQAtAC0ALQAtAC0ALQAtAC0ALQAtAC0ALQAtAC0ALQAtAC0ALQAtAC0ALQAtAC0ALQAtAC0ALQAtAC0ALQAtAC0ALQAtAC0ALQAtAC0ALQAtAC0ALQAtAC0ALQAtAC0ALQAtAC0ALQAtAC0ALQAtAC0ALQAtAC0ALQAtAC0ALQAtAC0ALQAtAC0ALQAtAC0ALQAqAC8AXABuAFwAbgBCAGkAdABDAG8AdQBuAHQAuwMgAD0AXABuAEwAQQBNAEIARABBACgAXABuACAAIAAgACAAbgAsAFwAbgBMAEUAVAAoAFwAbgAgACAAIAAgAC8ALwAgAFMAaABhAHAAZQBcAG4AIAAgACAAIABoACwAIAAgACAAIAAgACAAIAAgACAAIAAgACAAUgBPAFcAUwAoAG4AKQAsAFwAbgAgACAAIAAgAHcALAAgACAAIAAgACAAIAAgACAAIAAgACAAIABDAE8ATABVAE0ATgBTACgAbgApACwAXABuAFwAbgAgACAAIAAgAEkAcwBTAGMAYQBsAGEAcgA/ACwAIAAgACAAIABBAE4ARAAoAGgAIAA9ACAAMQAsACAAdwAgAD0AIAAxACkALABcAG4AIAAgACAAIABJAHMAVgBlAHIAdABpAGMAYQBsAD8ALAAgACAAQQBOAEQAKABoACAAPgAgADEALAAgAHcAIAA9ACAAMQApACwAXABuAFwAbgAgACAAIAAgAEkAcwAxAEQAPwAsACAAIAAgACAAIAAgACAAIABYAE8AUgAoAGgAIAA9ACAAMQAsACAAdwAgAD0AIAAxACkALABcAG4AIAAgACAAIABJAHMAMgBEAD8ALAAgACAAIAAgACAAIAAgACAAQQBOAEQAKABoACAAPgAgADEALAAgAHcAIAA+ACAAMQApACwAXABuAFwAbgAgACAAIAAgAC8ALwAgAEYAbABhAHQAdABlAG4AIABpAG4AcAB1AHQAIABpAGYAIAAyAEQAXABuACAAIAAgACAAbgAsACAAIAAgACAAIAAgACAAIAAgACAAIAAgAEkARgAoAEkAcwAxAEQAPwAsAG4ALABUAE8AQwBPAEwAKABuACkAKQAsAFwAbgBcAG4AIAAgACAAIAAvAC8AIABGAHUAbgBjAHQAaQBvAG4AIAAoAGYAbwByACAAbgBvAG4ALQBzAGMAYQBsAGEAcgBzACkAXABuACAAIAAgACAAZgBuALsDLAAgACAAIAAgACAAIAAgACAAIAAgAEkARgAoAE8AUgAoAEkAcwBWAGUAcgB0AGkAYwBhAGwAPwAsAEkAcwAyAEQAPwApACwAQgBZAFIATwBXACwAQgBZAEMATwBMACkALABcAG4AXABuACAAIAAgACAALwAvACAARQB4AHAAbABvAGQAZQBkACAAYgBpAG4AYQByAHkAIABhAHIAcgBhAHkAXwAyAEQAXABuACAAIAAgACAAYgBpAHQAcwAsACAAIAAgACAAIAAgACAAIAAgAEQAZQBjADIAQgBpAG4AuwMoAG4ALAAgADEAKQAsAFwAbgBcAG4AIAAgACAAIAAvAC8AIABDAG8AdQBuAHQAIABiAGkAdABzAFwAbgAgACAAIAAgAGMAbwB1AG4AdABzACwAIAAgACAAIAAgACAAIABJAEYAKABJAHMAUwBjAGEAbABhAHIAPwAsACAAUwBVAE0AKABiAGkAdABzACkALABmAG4AuwMoAGIAaQB0AHMALABTAFUATQApACkALABcAG4AXABuACAAIAAgACAAZgBpAG4AYQBsACwAIAAgACAAIAAgACAAIAAgAEkARgAoAEkAcwAxAEQAPwAsAGMAbwB1AG4AdABzACwAVwBSAEEAUABSAE8AVwBTACgAYwBvAHUAbgB0AHMALAB3ACkAKQAsAFwAbgBcAG4AIAAgACAAIABmAGkAbgBhAGwAXABuACkAKQA7AFwAbgBcAG4AXABuAFwAbgAvACoAIABbAEUATgAwADQAXQAgAC0ALQAtAC0ALQAtAC0ALQAtAC0ALQAtAC0ALQAtAC0ALQAtAC0ALQAtAC0ALQAtAC0ALQAtAC0ALQAtAC0ALQAtAC0ALQAtAC0ALQAtAC0ALQAtAC0ALQAtAC0ALQAtAC0ALQAtAC0ALQAtAC0ALQAtAC0ALQAtAC0ALQAtAC0ALQAtAC0ALQAtAC0ALQAtAC0AXABuAEYAdQBuAGMAdABpAG8AbgA6ACAAIAAgACAAIAAgACAAIABEAGUAYwAyAEIAaQBuALsDXABuAEMAYQB0AGUAZwBvAHIAeQA6ACAAIAAgACAAIAAgACAAIABFAG4AZwBpAG4AZQBlAHIAaQBuAGcAXABuAEEAdQB0AGgAbwByADoAIAAgACAAIAAgACAAIAAgACAAIABQAGEAdAByAGkAYwBrACAASAAuAFwAbgBWAGUAcgBzAGkAbwBuADoAIAAgACAAIAAgACAAIAAgACAAMQAuADEAXABuAFwAbgBEAGUAcwBjAHIAaQBwAHQAaQBvAG4AOgBcAG4AIAAgACAAIABDAG8AbgB2AGUAcgB0AHMAIABuAG8AbgARIG4AZQBnAGEAdABpAHYAZQAgAGkAbgB0AGUAZwBlAHIAcwAgAGkAbgB0AG8AIABiAGkAbgBhAHIAeQAuACAAUwB1AHAAcABvAHIAdABzACAAcwBjAGEAbABhAHIALAAgADEARAAsACAAYQBuAGQAIAAyAEQAXABuACAAIAAgACAAaQBuAHAAdQB0AHMAIAB3AGkAdABoACAAZgB1AGwAbAAgAHMAaABhAHAAZQAgAHAAcgBlAHMAZQByAHYAYQB0AGkAbwBuAC4AIABSAGUAdAB1AHIAbgBzACAAZQBpAHQAaABlAHIAIABjAG8AbgBjAGkAcwBlACAAYgBpAG4AYQByAHkAIABzAHQAcgBpAG4AZwBzAFwAbgAgACAAIAAgAG8AcgAgAGUAeABwAGwAbwBkAGUAZAAgADIARAAgAGIAaQB0ABEgYQByAHIAYQB5AHMALgBcAG4AXABuAFAAYQByAGEAbQBlAHQAZQByAHMAOgBcAG4AIAAgACAAIABuAHUAbQBiAGUAcgBzAFwAbgAgACAAIAAgACAAIAAgACAAUwBjAGEAbABhAHIALAAgADEARAAgAGEAcgByAGEAeQAsACAAbwByACAAMgBEACAAYQByAHIAYQB5ACAAbwBmACAAbgBvAG4AESBuAGUAZwBhAHQAaQB2AGUAIABpAG4AdABlAGcAZQByAHMALgBcAG4AXABuACAAIAAgACAAWwBBAHIAcgBhAHkAXwBGAG8AcgBtAF8AMgBEAF0AXABuACAAIAAgACAAIAAgACAAIABPAHAAdABpAG8AbgBhAGwALgAgAFQAUgBVAEUAIACSISAAcgBlAHQAdQByAG4AIABlAHgAcABsAG8AZABlAGQAIAAyAEQAIABiAGkAdAARIGEAcgByAGEAeQBzAC4AXABuACAAIAAgACAAIAAgACAAIABPAG0AaQB0AHQAZQBkACAAkiEgAHIAZQB0AHUAcgBuACAAYwBvAG4AYwBpAHMAZQAgAGIAaQBuAGEAcgB5ACAAcwB0AHIAaQBuAGcAcwAuAFwAbgBcAG4ATgBvAHQAZQBzADoAXABuACAAIAAgACAAIiAgAFMAdQBwAHAAbwByAHQAcwAgAGEAcgBiAGkAdAByAGEAcgBpAGwAeQAgAGwAYQByAGcAZQAgAGkAbgB0AGUAZwBlAHIAcwAgACgAYgBlAHkAbwBuAGQAIABFAHgAYwBlAGwAGSBzACAAbgBhAHQAaQB2AGUAIABCAEkATgAyAEQARQBDACAAbABpAG0AaQB0AHMAKQAuAFwAbgAgACAAIAAgACIgIABDAG8AbgBjAGkAcwBlACAAbwB1AHQAcAB1AHQAIABhAHYAbwBpAGQAcwAgAHMAYwBpAGUAbgB0AGkAZgBpAGMAIABuAG8AdABhAHQAaQBvAG4AIABhAG4AZAAgADEANgARIGQAaQBnAGkAdAAgAHAAcgBlAGMAaQBzAGkAbwBuACAAaQBzAHMAdQBlAHMALgBcAG4AIAAgACAAIAAiICAAMgBEACAAaQBuAHAAdQB0AHMAIABwAHIAZQBzAGUAcgB2AGUAIAB0AGgAZQBpAHIAIABvAHIAaQBnAGkAbgBhAGwAIABzAGgAYQBwAGUAIAB3AGgAZQBuACAAYwBvAG4AYwBpAHMAZQAgAG8AdQB0AHAAdQB0ACAAaQBzACAAcwBlAGwAZQBjAHQAZQBkAC4AXABuAC0ALQAtAC0ALQAtAC0ALQAtAC0ALQAtAC0ALQAtAC0ALQAtAC0ALQAtAC0ALQAtAC0ALQAtAC0ALQAtAC0ALQAtAC0ALQAtAC0ALQAtAC0ALQAtAC0ALQAtAC0ALQAtAC0ALQAtAC0ALQAtAC0ALQAtAC0ALQAtAC0ALQAtAC0ALQAtAC0ALQAtAC0ALQAtAC0ALQAtAC0ALQAtACoALwBcAG4AXABuAEQAZQBjADIAQgBpAG4AuwM9AFwAbgBMAEEATQBCAEQAQQAoAFwAbgAgACAAIAAgAG4AdQBtAGIAZQByAHMALABcAG4AIAAgACAAIABbAEEAcgByAGEAeQBfAEYAbwByAG0AXwAyAEQAXQAsAFwAbgBcAG4ALwAvAEMAaABlAGMAawAgAG4AdQBtAGIAZQByAHMAXABuAEkARgAoAE8AUgAoAEkAUwBUAEUAWABUACgAbgB1AG0AYgBlAHIAcwApACwAIABJAFMARQBSAFIATwBSACgALQAtAG4AdQBtAGIAZQByAHMAKQAsAG4AdQBtAGIAZQByAHMAIAA8ACAAMAApACwAIAAjAFYAQQBMAFUARQAhACwAXABuAFwAbgBMAEUAVAAoAFwAbgAgACAAIAAgAC8ALwAgAEkAbgBwAHUAdAAgAHMAaABhAHAAZQBcAG4AIAAgACAAIABoACwAIAAgACAAIAAgACAAIAAgACAAIAAgACAAIABSAE8AVwBTACgAbgB1AG0AYgBlAHIAcwApACwAXABuACAAIAAgACAAdwAsACAAIAAgACAAIAAgACAAIAAgACAAIAAgACAAQwBPAEwAVQBNAE4AUwAoAG4AdQBtAGIAZQByAHMAKQAsAFwAbgBcAG4AIAAgACAAIABJAHMAUwBjAGEAbABhAHIAPwAsACAAIAAgACAAIABBAE4ARAAoAGgAIAA9ACAAMQAsACAAdwAgAD0AIAAxACkALABcAG4AIAAgACAAIABJAHMAVgBlAHIAdABpAGMAYQBsAD8ALAAgACAAIABoACAAPgAgAHcALABcAG4AIAAgACAAIABJAHMAMgBEAD8ALAAgACAAIAAgACAAIAAgACAAIABBAE4ARAAoAGgAIAA+ACAAMQAsAHcAIAA+ACAAMQApACwAXABuAFwAbgAgACAAIAAgAC8ALwAgAEYAbABhAHQAdABlAG4AIABpAG4AcAB1AHQAXABuACAAIAAgACAAbgB1AG0AYgBlAHIAcwAsACAAIAAgACAAIAAgACAAVABPAEMATwBMACgAbgB1AG0AYgBlAHIAcwApACwAXABuAFwAbgAgACAAIAAgAC8ALwAgAEYAbwByAG0AXABuACAAIAAgACAASQBzAFYAZQBjAHQAbwByAD8ALAAgACAAIAAgACAASQBTAE8ATQBJAFQAVABFAEQAKABBAHIAcgBhAHkAXwBGAG8AcgBtAF8AMgBEACkALABcAG4AXABuACAAIAAgACAALwAvACAATQBhAHgAIABiAGkAdABzACAAbgBlAGUAZABlAGQAIAB0AG8AIABlAHgAcAByAGUAcwBzACAAcgBlAHMAdQBsAHQAcwAgAGEAcwAgAGEAcgByAGEAeQBcAG4AIAAgACAAIABiAGkAdABzACwAIAAgACAAIAAgACAAIAAgACAAIABNAEEAWAAoAEkARgBFAFIAUgBPAFIAKABJAE4AVAAoAEwATwBHACgAbgB1AG0AYgBlAHIAcwAsADIAKQApACAAKwAgADEALAAxACkAKQAsAFwAbgBcAG4AIAAgACAAIAAvAC8AIABGAG8AcgBtAHMAIAAtACAAMgBEACAAYQByAHIAYQB5ACwAIABiAGkAbgAgAHYAZQBjAHQAbwByACAALQAgAGUAYQBnAGUAcgAgAGUAdgBhAGwAdQBhAHQAaQBvAG4AIABkAGUAZgBlAHIAcgBlAGQAXABuACAAIAAgACAAYgBpAG4AXwBhAHIAcgAsACAAIAAgACAAIAAgACAATABBAE0AQgBEAEEAKABNAE8ARAAoAEIASQBUAFIAUwBIAEkARgBUACgAbgB1AG0AYgBlAHIAcwAsAFMARQBRAFUARQBOAEMARQAoACwAYgBpAHQAcwAsAGIAaQB0AHMAIAAtACAAMQAsAC0AMQApACkALAAyACkAKQAsAFwAbgAgACAAIAAgAGIAaQBuAF8AdgBlAGMAdABvAHIALAAgACAAIAAgAEwAQQBNAEIARABBACgAQgBZAFIATwBXACgAYgBpAG4AXwBhAHIAcgAoACkALABDAE8ATgBDAEEAVAApACkALABcAG4AIAAgACAAIABiAGkAbgBfAHIAZQBzAHUAbAB0ACwAIAAgACAAIABMAEEATQBCAEQAQQAoAEkARgAoAEkAcwBWAGUAYwB0AG8AcgA/ACwAYgBpAG4AXwB2AGUAYwB0AG8AcgAoACkALABiAGkAbgBfAGEAcgByACgAKQApACkALABcAG4AXABuACAAIAAgACAALwAvACAAUgBlAC0AcwBoAGEAcABpAG4AZwAgACYAIABkAGUAbABpAHYAZQByAHkAXABuACAAIAAgACAAZABlAGwAaQB2AGUAcgAsACAAIAAgACAAIAAgACAASQBGACgASQBzADIARAA/ACwAVwBSAEEAUABSAE8AVwBTACgAYgBpAG4AXwB2AGUAYwB0AG8AcgAoACkALAB3ACkALABcAG4AIAAgACAAIAAgACAAIAAgACAAIAAgACAAIAAgACAAIAAgACAAIAAgACAAIAAgACAASQBGACgATwBSACgASQBzAFMAYwBhAGwAYQByAD8ALABJAHMAVgBlAHIAdABpAGMAYQBsAD8AKQAsAGIAaQBuAF8AcgBlAHMAdQBsAHQAKAApACwAXABuACAAIAAgACAAIAAgACAAIAAgACAAIAAgACAAIAAgACAAIAAgACAAIAAgACAAIAAgACAAIAAgACAAVABSAEEATgBTAFAATwBTAEUAKABiAGkAbgBfAHIAZQBzAHUAbAB0ACgAKQApACkAKQAsAFwAbgAgACAAIAAgAGQAZQBsAGkAdgBlAHIAXABuACkAKQApADsAXABuAFwAbgBcAG4AXABuAC8AKgAgAFsARQBOADAANQBdACAALQAtAC0ALQAtAC0ALQAtAC0ALQAtAC0ALQAtAC0ALQAtAC0ALQAtAC0ALQAtAC0ALQAtAC0ALQAtAC0ALQAtAC0ALQAtAC0ALQAtAC0ALQAtAC0ALQAtAC0ALQAtAC0ALQAtAC0ALQAtAC0ALQAtAC0ALQAtAC0ALQAtAC0ALQAtAC0ALQAtAC0ALQAtAC0ALQBcAG4ARgB1AG4AYwB0AGkAbwBuADoAIAAgACAAIAAgACAAIAAgAEQAZQBjADIARwByAGEAeQC7A1wAbgBDAGEAdABlAGcAbwByAHkAOgAgACAAIAAgACAAIAAgACAARQBuAGcAaQBuAGUAZQByAGkAbgBnAFwAbgBBAHUAdABoAG8AcgA6ACAAIAAgACAAIAAgACAAIAAgACAAUABhAHQAcgBpAGMAawAgAEgALgBcAG4AVgBlAHIAcwBpAG8AbgA6ACAAIAAgACAAIAAgACAAIAAgADEALgAxAFwAbgBEAGUAcABlAG4AZABlAG4AYwBpAGUAcwA6ACAAIAAgACAARABlAGMAMgBCAGkAbgC7AywAIABCAGkAbgAyAEcAcgBhAHkAuwNcAG4AXABuAEQAZQBzAGMAcgBpAHAAdABpAG8AbgA6AFwAbgAgACAAIAAgAEMAbwBuAHYAZQByAHQAcwAgAG4AbwBuABEgbgBlAGcAYQB0AGkAdgBlACAAaQBuAHQAZQBnAGUAcgBzACAAaQBuAHQAbwAgAEcAcgBhAHkAESBjAG8AZABlACAAdgBhAGwAdQBlAHMALgAgAFMAdQBwAHAAbwByAHQAcwAgAHMAYwBhAGwAYQByACwAIAAxAEQALABcAG4AIAAgACAAIABhAG4AZAAgADIARAAgAGkAbgBwAHUAdABzACAAdwBpAHQAaAAgAGYAdQBsAGwAIABzAGgAYQBwAGUAIABwAHIAZQBzAGUAcgB2AGEAdABpAG8AbgAuACAATwB1AHQAcAB1AHQAIABjAGEAbgAgAGIAZQAgAHIAZQB0AHUAcgBuAGUAZAAgAGUAaQB0AGgAZQByAFwAbgAgACAAIAAgAGEAcwAgAGMAbwBuAGMAaQBzAGUAIABHAHIAYQB5ABEgYwBvAGQAZQAgAHMAdAByAGkAbgBnAHMAIABvAHIAIABhAHMAIABlAHgAcABsAG8AZABlAGQAIAAyAEQAIABiAGkAdAARIGEAcgByAGEAeQBzAC4AXABuAFwAbgBQAGEAcgBhAG0AZQB0AGUAcgBzADoAXABuACAAIAAgACAAbgB1AG0AYgBlAHIAXABuACAAIAAgACAAIAAgACAAIABTAGMAYQBsAGEAcgAsACAAMQBEACAAYQByAHIAYQB5ACwAIABvAHIAIAAyAEQAIABhAHIAcgBhAHkAIABvAGYAIABuAG8AbgARIG4AZQBnAGEAdABpAHYAZQAgAGkAbgB0AGUAZwBlAHIAcwAuAFwAbgBcAG4AIAAgACAAIABbAGMAbwBuAGMAaQBzAGUAXQBcAG4AIAAgACAAIAAgACAAIAAgAE8AcAB0AGkAbwBuAGEAbAAuACAAVABSAFUARQAgAJIhIAByAGUAdAB1AHIAbgAgAEcAcgBhAHkAIABjAG8AZABlACAAYQBzACAAYwBvAG4AYwBhAHQAZQBuAGEAdABlAGQAIABzAHQAcgBpAG4AZwBzAC4AXABuACAAIAAgACAAIAAgACAAIABPAG0AaQB0AHQAZQBkACAAkiEgAHIAZQB0AHUAcgBuACAAZQB4AHAAbABvAGQAZQBkACAAMgBEACAARwByAGEAeQARIGMAbwBkAGUAIABiAGkAdAAgAGEAcgByAGEAeQBzAC4AXABuAFwAbgBOAG8AdABlAHMAOgBcAG4AIAAgACAAIAAiICAAVQBzAGUAcwAgAEQAZQBjADIAQgBpAG4AuwMgAHQAbwAgAG8AYgB0AGEAaQBuACAAYgBpAG4AYQByAHkALAAgAHQAaABlAG4AIABCAGkAbgAyAEcAcgBhAHkAuwMgAHQAbwAgAGMAbwBuAHYAZQByAHQAIAB0AG8AIABHAHIAYQB5ACAAYwBvAGQAZQAuAFwAbgAgACAAIAAgACIgIABPAHUAdABwAHUAdAAgAHMAaABhAHAAZQAgAG0AYQB0AGMAaABlAHMAIABpAG4AcAB1AHQAIABzAGgAYQBwAGUALgBcAG4ALQAtAC0ALQAtAC0ALQAtAC0ALQAtAC0ALQAtAC0ALQAtAC0ALQAtAC0ALQAtAC0ALQAtAC0ALQAtAC0ALQAtAC0ALQAtAC0ALQAtAC0ALQAtAC0ALQAtAC0ALQAtAC0ALQAtAC0ALQAtAC0ALQAtAC0ALQAtAC0ALQAtAC0ALQAtAC0ALQAtAC0ALQAtAC0ALQAtAC0ALQAtAC0AKgAvAFwAbgBcAG4ARABlAGMAMgBHAHIAYQB5ALsDIAA9AFwAbgBMAEEATQBCAEQAQQAoAFwAbgAgACAAIAAgAG4AdQBtAGIAZQByACwAXABuACAAIAAgACAAWwBjAG8AbgBjAGkAcwBlAF0ALABcAG4AIAAgACAAIABCAGkAbgAyAEcAcgBhAHkAuwMoAEQAZQBjADIAQgBpAG4AuwMoAG4AdQBtAGIAZQByACkALAAgAGMAbwBuAGMAaQBzAGUAKQBcAG4AKQA7AFwAbgBcAG4AXABuAFwAbgAvAC8AIABbAEMAQgBdACAALQAtAC0ALQAtAC0ALQAtAC0ALQAtAC0ALQAtAC0ALQAtAC0ALQAtAC0ALQAtAC0ALQAtAC0ALQAtAC0ALQAtAC0ALQAtAC0ALQAtAC0ALQAtAC0ALQAtAC0ALQAtAC0ALQAtAC0ALQAtAC0ALQAtAC0ALQAtAC0ALQAtAC0ALQAtAC0ALQAtAC0ALQAtAC0ALQAtAC0ALQAtAFwAbgAvAC8AIAAtAC0ALQAjACMAIAAwADkAIAAUICAAQwBvAG0AYgBpAG4AYQB0AG8AcgBpAGMAc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ZQAgAEMAbwBtAGIAaQBuAGEAdABvAHIAaQBjAHMAIABjAGEAdABlAGcAbwByAHkAIABwAHIAbwB2AGkAZABlAHMAIABoAGkAZwBoABEgcABlAHIAZgBvAHIAbQBhAG4AYwBlACAAZwBlAG4AZQByAGEAdABvAHIAcwAgAGYAbwByAFwAbgAgACAAIAAgAHAAZQByAG0AdQB0AGEAdABpAG8AbgBzACwAIABjAG8AbQBiAGkAbgBhAHQAaQBvAG4AcwAsACAAcwB1AGIAcwBlAHQAcwAsACAAYQBuAGQAIAByAGUAbABhAHQAZQBkACAAcwB0AHIAdQBjAHQAdQByAGUAcwAuAFwAbgBcAG4ARgB1AG4AYwB0AGkAbwBuAHMAOgBcAG4AIAAgACAAIAAiICAAUABlAHIAbQBSALsDXABuACAAIAAgACAAIAAgACAAIABHAGUAbgBlAHIAYQB0AGUAcwAgAHAAZQByAG0AdQB0AGEAdABpAG8AbgBzACAAdwBpAHQAaAAgAHIAZQBwAGwAYQBjAGUAbQBlAG4AdAAgACgAawARIHQAdQBwAGwAZQBzACAAZAByAGEAdwBuACAAZgByAG8AbQAgAG4AIABpAHQAZQBtAHMAKQAuAFwAbgBcAG4AIAAgACAAIAAiICAAUABlAHIAbQC7A1wAbgAgACAAIAAgACAAIAAgACAARwBlAG4AZQByAGEAdABlAHMAIABwAGUAcgBtAHUAdABhAHQAaQBvAG4AcwAgAHcAaQB0AGgAbwB1AHQAIAByAGUAcABsAGEAYwBlAG0AZQBuAHQALgBcAG4AXABuACAAIAAgACAAIiAgAEMAbwBtAGIAaQBuAGEAdABpAG8AbgBzAFIAuwNcAG4AIAAgACAAIAAgACAAIAAgAEcAZQBuAGUAcgBhAHQAZQBzACAAYwBvAG0AYgBpAG4AYQB0AGkAbwBuAHMAIAB3AGkAdABoACAAcgBlAHAAbABhAGMAZQBtAGUAbgB0AC4AXABuAFwAbgAgACAAIAAgACIgIABDAG8AbQBiAGkAbgBhAHQAaQBvAG4AcwC7A1wAbgAgACAAIAAgACAAIAAgACAARwBlAG4AZQByAGEAdABlAHMAIABjAG8AbQBiAGkAbgBhAHQAaQBvAG4AcwAgAHcAaQB0AGgAbwB1AHQAIAByAGUAcABsAGEAYwBlAG0AZQBuAHQALgBcAG4AXABuACAAIAAgACAAIiAgAEQAZQByAGEAbgBnAGUAbQBlAG4AdABzALsDXABuACAAIAAgACAAIAAgACAAIABHAGUAbgBlAHIAYQB0AGUAcwAgAHAAZQByAG0AdQB0AGEAdABpAG8AbgBzACAAdwBoAGUAcgBlACAAbgBvACAAZQBsAGUAbQBlAG4AdAAgAHIAZQBtAGEAaQBuAHMAIABpAG4AIABpAHQAcwAgAG8AcgBpAGcAaQBuAGEAbAAgAHAAbwBzAGkAdABpAG8AbgAuAFwAbgBcAG4AIAAgACAAIAAiICAASwBuAGEAcABTAGEAYwBrALsDXABuACAAIAAgACAAIAAgACAAIABTAG8AbAB2AGUAcwAgAHQAaABlACAAcwB1AGIAcwBlAHQAESBzAHUAbQAgAC8AIABrAG4AYQBwAHMAYQBjAGsAIABmAGUAYQBzAGkAYgBpAGwAaQB0AHkAIABwAHIAbwBiAGwAZQBtACAAdQBzAGkAbgBnACAAdgBlAGMAdABvAHIAaQB6AGUAZABcAG4AIAAgACAAIAAgACAAIAAgAGUAbgB1AG0AZQByAGEAdABpAG8AbgAgAGEAbgBkACAAZgBpAGwAdABlAHIAaQBuAGcALgBcAG4AXABuACAAIAAgACAAIiAgAFMAdQBiAHMAZQB0AEcAZQBuALsDXABuACAAIAAgACAAIAAgACAAIABHAGUAbgBlAHIAYQB0AGUAcwAgAGEAbABsACAAcwB1AGIAcwBlAHQAcwAgAG8AZgAgAGEAIABzAGUAdAAgACgAdABoAGUAIABwAG8AdwBlAHIAIABzAGUAdAApACwAIAByAGUAdAB1AHIAbgBlAGQAIABpAG4AIABiAGkAbgBhAHIAeQARIG0AYQBzAGsAXABuACAAIAAgACAAIAAgACAAIABvAHIAZABlAHIALgBcAG4AXABuACAAIAAgACAAIiAgAFMAdQBiAHMAZQB0AFMAdQBtALsDXABuACAAIAAgACAAIAAgACAAIABSAGUAdAB1AHIAbgBzACAAYQBsAGwAIABzAHUAYgBzAGUAdABzACAAdwBoAG8AcwBlACAAZQBsAGUAbQBlAG4AdABzACAAcwB1AG0AIAB0AG8AIABhACAAdABhAHIAZwBlAHQAIAB2AGEAbAB1AGUALgBcAG4AXABuAE4AbwB0AGUAcwA6AFwAbgAgACAAIAAgACIgIABBAGwAbAAgAGcAZQBuAGUAcgBhAHQAbwByAHMAIABhAHIAZQAgAHMAaABhAHAAZQARIHAAcgBlAHMAZQByAHYAaQBuAGcAIABhAG4AZAAgAHIAZQB0AHUAcgBuACAAMgBEACAAYQByAHIAYQB5AHMAIAB3AGgAZQByAGUAIABlAGEAYwBoACAAcgBvAHcAXABuACAAIAAgACAAIAAgAHIAZQBwAHIAZQBzAGUAbgB0AHMAIABvAG4AZQAgAGMAbwBtAGIAaQBuAGEAdABvAHIAaQBhAGwAIABvAGIAagBlAGMAdAAuAFwAbgAgACAAIAAgACIgIABBAGwAbAAgAGYAdQBuAGMAdABpAG8AbgBzACAAbwBwAGUAcgBhAHQAZQAgAG8AbgAgAGEAcgByAGEAeQBzACAAbwBmACAAaQB0AGUAbQBzACwAIABuAG8AdAAgAGoAdQBzAHQAIABpAG4AdABlAGcAZQByAHMALgBcAG4AIAAgACAAIAAiICAAVABoAGUAIAB1AG4AZABlAHIAbAB5AGkAbgBnACAAYQByAGMAaABpAHQAZQBjAHQAdQByAGUAIAB1AHMAZQBzACAAYQAgAGYAdQBuAG4AZQBsACAAbQBvAGQAZQBsADoAIABsAGEAcgBnAGUAIABlAG4AdQBtAGUAcgBhAHQAaQBvAG4AcwAgAGEAcgBlAFwAbgAgACAAIAAgACAAIABnAGUAbgBlAHIAYQB0AGUAZAAgAG8AbgBjAGUAIABhAG4AZAAgAGYAaQBsAHQAZQByAGUAZAAgAGIAeQAgAG8AcgBkAGUAcgAsACAAdQBuAGkAcQB1AGUAbgBlAHMAcwAsACAAbwByACAAcABvAHMAaQB0AGkAbwBuAGEAbAAgAHAAcgBlAGQAaQBjAGEAdABlAHMALgBcAG4AXABuAEUAbgB1AG0AZQByAGEAdABlALsDXABuACAAIAAgACAAIAAgACAAIAAgACAAIAAgACAAIAAgACAAIAAgACAAIAAgACAAIAAgACAAIAAgACAAIAAgACAAIAAoAEcAZQBuAGUAcgBhAHQAaQBuAGcAIABmAHUAbgBjAHQAaQBvAG4AKQBcAG4AIAAgACAAIAAgACAAIAAgACAAIAAgACAAIAAgACAAIAAgACAAIAAgACAAIAAgACAAIAAgACAAIAAgACAAIAAgACAAIAAgACAAIAAgACAAIAB8AFwAbgAgACAAIAAgACAAIAAgACAAIAAgACAAIAAgACAAIAAgACAAIAAgACAAIAAgACAAIAAgACAAIAAgACAAIAAgACAAIAAgACAAIAAgACAAUABlAHIAbQBSALsDXABuACAAIAAgACAAIAAgACAAIAAgACAAIAAgACAAIAAgACAAIAAgACAAIAAoAGYAdQBsAGwAIABwAGUAcgBtAHUAdABhAHQAaQBvAG4AcwAgAHcAaQB0AGgAIAByAGUAcABsAGEAYwBlAG0AZQBuAHQAKQBcAG4AIAAgACAAIAAgACAAIAAgACAAIAAgACAAIAAgACAAIAAgACAAIAAgACAAIAAgACAAIAAgACAAIAAgACAAIAAgACAAIAAgACAAIAAgACAAIAB8AFwAbgAgACAAIAAgACAAIAAgACAAIAAgACAAIAAgACAAIAAgAC0ALQAtAC0ALQAtAC0ALQAtAC0ALQAtAC0ALQAtAC0ALQAtAC0ALQAtAC0ALQAtAC0ALQAtAC0ALQAtAC0ALQAtAC0ALQAtAC0ALQAtAC0ALQAtAC0ALQAtAC0ALQAtAC0AXABuACAAIAAgACAAIAAgACAAIAAgACAAIAAgACAAIAAgACAAfAAgACAAIAAgACAAIAAgACAAIAAgACAAIAAgACAAIAAgACAAIAAgACAAIAAgACAAfAAgACAAIAAgACAAIAAgACAAIAAgACAAIAAgACAAIAAgACAAIAAgACAAIAAgACAAfABcAG4AIAAgACAAIAAgACAAIAAgAEMAbwBtAGIAaQBuAGEAdABpAG8AbgBzAFIAuwMgACAAIAAgACAAIAAgACAAIAAgACAAIAAgACAAIAAgAFAAZQByAG0AuwMgACAAIAAgACAAIAAgACAAIAAgACAAIAAgACAARABlAHIAYQBuAGcAZQBtAGUAbgB0AHMAuwNcAG4AIAAgACAAIAAgACAAIAAgACgAZgBpAGwAdABlAHIAIAByAGUAcABlAGEAdABzACkAIAAgACAAIAAgACAAIAAgACgAZgBpAGwAdABlAHIAIABiAHkAIABvAHIAZABlAHIAKQAgACAAIAAgACAAKABmAGkAbAB0AGUAcgAgAGIAeQAgAHAAbwBzAGkAdABpAG8AbgApAFwAbgAgACAAIAAgACAAIAAgACAAIAAgACAAIAAgACAAIAAgAHwAXABuACAAIAAgACAAIAAgACAAIAAgACAAQwBvAG0AYgBpAG4AYQB0AGkAbwBuAHMAuwNcAG4AIAAgACAAIAAgACgAZgBpAGwAdABlAHIAIAByAGUAcABlAGEAdABzACAAKwAgAG8AcgBkAGUAcgApAFwAbgBcAG4AXABuACoALwBcAG4AXABuAFwAbgBcAG4ALwAqACAAWwBDAEIAESBDAE8AUgBFAF0AIAAtAC0ALQAtAC0ALQAtAC0ALQAtAC0ALQAtAC0ALQAtAC0ALQAtAC0ALQAtAC0ALQAtAC0ALQAtAC0ALQAtAC0ALQAtAC0ALQAtAC0ALQAtAC0ALQAtAC0ALQAtAC0ALQAtAC0ALQAtAC0ALQAtAC0ALQAtAC0ALQAtAC0ALQAtAC0ALQAtAC0ALQAtAC0AXABuAEYAdQBuAGMAdABpAG8AbgA6ACAAIAAgACAAIAAgACAAIABFAG4AdQBtAGUAcgBhAHQAZQC7A1wAbgBDAGEAdABlAGcAbwByAHkAOgAgACAAIAAgACAAIAAgACAAQwBvAG0AYgBpAG4AYQB0AG8AcgBpAGMAcwBcAG4AQQB1AHQAaABvAHIAOgAgACAAIAAgACAAIAAgACAAIAAgAFAAYQB0AHIAaQBjAGsAIABIAC4AXABuAFYAZQByAHMAaQBvAG4AOgAgACAAIAAgACAAIAAgACAAIAAxAC4AMQBcAG4AXABuAEQAZQBzAGMAcgBpAHAAdABpAG8AbgA6AFwAbgAgACAAIAAgAEMAbwByAGUAIABnAGUAbgBlAHIAYQB0AGkAbgBnACAAZgB1AG4AYwB0AGkAbwBuACAAZgBvAHIAIABhAGwAbAAgAGMAbwBtAGIAaQBuAGEAdABvAHIAaQBhAGwAIABvAHAAZQByAGEAdABvAHIAcwAgAGkAbgAgAHQAaABlACAAQwBvAG0AYgBpAG4AYQB0AG8AcgBpAGMAcwBcAG4AIAAgACAAIABjAGEAdABlAGcAbwByAHkALgAgAFAAcgBvAGQAdQBjAGUAcwAgAGkAbgBkAGUAeAAgAG0AYQB0AHIAaQBjAGUAcwAgAGYAbwByACAAcABlAHIAbQB1AHQAYQB0AGkAbwBuAHMALAAgAGMAbwBtAGIAaQBuAGEAdABpAG8AbgBzACwAIABtAHUAbAB0AGkAcwBlAHQAcwAsAFwAbgAgACAAIAAgAGEAbgBkACAAZABlAHIAYQBuAGcAZQBtAGUAbgB0AHMAIAB1AHMAaQBuAGcAIABhACAAdgBlAGMAdABvAHIAaQB6AGUAZAAgAGYAdQBuAG4AZQBsACAAYQByAGMAaABpAHQAZQBjAHQAdQByAGUALgAgAEgAaQBnAGgAZQByABEgbABlAHYAZQBsAFwAbgAgACAAIAAgAGYAdQBuAGMAdABpAG8AbgBzACAAKABQAGUAcgBtAFIAuwMsACAAUABlAHIAbQC7AywAIABDAG8AbQBiAGkAbgBhAHQAaQBvAG4AcwBSALsDLAAgAEMAbwBtAGIAaQBuAGEAdABpAG8AbgBzALsDLAAgAEQAZQByAGEAbgBnAGUAbQBlAG4AdABzALsDKQBcAG4AIAAgACAAIABhAHIAZQAgAHQAaABpAG4AIAB3AHIAYQBwAHAAZQByAHMAIABhAHIAbwB1AG4AZAAgAHQAaABpAHMAIABnAGUAbgBlAHIAYQB0AG8Acg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rAFwAbgAgACAAIAAgACAAIAAgACAATABlAG4AZwB0AGgAIABvAGYAIABlAGEAYwBoACAAdAB1AHAAbABlACAAKABrACAAZSIgADAAKQAuACAATQB1AHMAdAAgAGIAZQAgAGEAIABzAGMAYQBsAGEAcgAuAFwAbgBcAG4AIAAgACAAIAB0AHkAcABlAFwAbgAgACAAIAAgACAAIAAgACAAUwBlAGwAZQBjAHQAbwByACAAZgBvAHIAIAB0AGgAZQAgAGMAbwBtAGIAaQBuAGEAdABvAHIAaQBhAGwAIABtAG8AZABlADoAXABuACAAIAAgACAAIAAgACAAIAAgACAAIAAgADEAIACSISAAUABlAHIAbQB1AHQAYQB0AGkAbwBuAHMAIAB3AGkAdABoACAAcgBlAHAAbABhAGMAZQBtAGUAbgB0AFwAbgAgACAAIAAgACAAIAAgACAAIAAgACAAIAAyACAAkiEgAFAAZQByAG0AdQB0AGEAdABpAG8AbgBzACAAdwBpAHQAaABvAHUAdAAgAHIAZQBwAGwAYQBjAGUAbQBlAG4AdABcAG4AIAAgACAAIAAgACAAIAAgACAAIAAgACAAMwAgAJIhIABDAG8AbQBiAGkAbgBhAHQAaQBvAG4AcwAgAHcAaQB0AGgAIAByAGUAcABsAGEAYwBlAG0AZQBuAHQAXABuACAAIAAgACAAIAAgACAAIAAgACAAIAAgADQAIACSISAAQwBvAG0AYgBpAG4AYQB0AGkAbwBuAHMAIAB3AGkAdABoAG8AdQB0ACAAcgBlAHAAbABhAGMAZQBtAGUAbgB0AFwAbgAgACAAIAAgACAAIAAgACAAIAAgACAAIAA1ACAAkiEgAEQAZQByAGEAbgBnAGUAbQBlAG4AdABzAFwAbgBcAG4ATgBvAHQAZQBzADoAXABuACAAIAAgACAAIiAgAEEAbABsACAAcgBlAHMAdQBsAHQAcwAgAGEAcgBlACAAcgBlAHQAdQByAG4AZQBkACAAYQBzACAAMgBEACAAYQByAHIAYQB5AHMAIAB3AGgAZQByAGUAIABlAGEAYwBoACAAcgBvAHcAIABpAHMAIABvAG4AZQAgAHQAdQBwAGwAZQAuAFwAbgAgACAAIAAgACIgIABJAGYAIABpAHQAZQBtAHMAIABhAHIAZQAgAG4AdQBtAGUAcgBpAGMAIABhAG4AZAAgAGUAcQB1AGEAbAAgAHQAbwAgAFMARQBRAFUARQBOAEMARQAoAG4AKQAsACAAcgBhAHcAIABpAG4AZABpAGMAZQBzACAAYQByAGUAIAByAGUAdAB1AHIAbgBlAGQALgBcAG4AIAAgACAAIAAgACAATwB0AGgAZQByAHcAaQBzAGUALAAgAGkAdABlAG0AcwAgAGEAcgBlACAAcwB1AGIAcwB0AGkAdAB1AHQAZQBkACAAaQBuAHQAbwAgAHQAaABlACAAaQBuAGQAZQB4ACAAYQByAHIAYQB5AF8AMgBEAC4AXABuACAAIAAgACAAIiAgAE0AYQB4AGkAbQB1AG0AIABlAG4AdQBtAGUAcgBhAHQAaQBvAG4AIABzAGkAegBlACAAaQBzACAAYwBhAHAAcABlAGQAIABhAHQAIAAxACwAMAA0ADgALAA1ADcANgAgAHIAbwB3AHMALgBcAG4ALQAtAC0ALQAtAC0ALQAtAC0ALQAtAC0ALQAtAC0ALQAtAC0ALQAtAC0ALQAtAC0ALQAtAC0ALQAtAC0ALQAtAC0ALQAtAC0ALQAtAC0ALQAtAC0ALQAtAC0ALQAtAC0ALQAtAC0ALQAtAC0ALQAtAC0ALQAtAC0ALQAtAC0ALQAtAC0ALQAtAC0ALQAtAC0ALQAtAC0ALQAtAC0AKgAvAFwAbgBcAG4ARQBuAHUAbQBlAHIAYQB0AGUAuwMgAD0AXABuAEwAQQBNAEIARABBACgAXABuACAAIAAgACAAaQB0AGUAbQBzACwAXABuACAAIAAgACAAawAsAFwAbgAgACAAIAAgAHQAeQBwAGUALABcAG4AXABuAEkARgAoAE8AUgAoAEkAUwBUAEUAWABUACgAawApACwAIABrACAAPAAgADAALAAgAGsAIAA+ACAAQwBPAFUATgBUAEEAKABpAHQAZQBtAHMAKQApACwAIwBWAEEATABVAEUAIQAsAFwAbgBcAG4AIAAgACAAIABJAEYAKABDAE8AVQBOAFQAQQAoAGsAKQAgADwAPgAgADEALAAjAFYAQQBMAFUARQAhACwAXABuAFwAbgAgACAAIAAgACAAIAAgACAASQBGACgAQwBPAFUATgBUAEEAKABpAHQAZQBtAHMAKQAgAF4AIABrACAAPgAgADEAMAA0ADgANQA3ADYALAAjAE4AVQBNACEALABcAG4AXABuAEwARQBUACgAXABuACAAIAAgACAALwAvACAARgBsAGEAdAB0AGUAbgAgAGkAdABlAG0AcwBcAG4AIAAgACAAIABsAGkAcwB0ACwAIAAgACAAIABUAE8AQwBPAEwAKABpAHQAZQBtAHMAKQAsAFwAbgAgACAAIAAgAG4ALAAgACAAIAAgACAAIAAgAEMATwBVAE4AVABBACgAbABpAHMAdAApACwAXABuAFwAbgAgACAAIAAgAC8ALwAgAFQAbwB0AGEAbAAgAHIAbwB3AHMAXABuACAAIAAgACAAaQAsACAAIAAgACAAIAAgACAAbgAgAF4AIABrACwAXABuAFwAbgAgACAAIAAgAC8ALwAgAEIAYQBzAGUAIABnAGUAbgBlAHIAYQB0AG8AcgA6ACAAcABlAHIAbQB1AHQAYQB0AGkAbwBuAHMAIAB3AGkAdABoACAAcgBlAHAAbABhAGMAZQBtAGUAbgB0AFwAbgAgACAAIAAgAFAAXwByACwAIAAgACAAIAAgAEwAQQBNAEIARABBACgAMQAgACsAIABNAE8ARAAoAFEAVQBPAFQASQBFAE4AVAAoAFMARQBRAFUARQBOAEMARQAoAGkAKQAsAG4AIABeACAAUwBFAFEAVQBFAE4AQwBFACgALAAgAGsALAAgAGsAIAAtACAAMQAsACAALQAxACkAKQAsAG4AKQApACwAXABuAFwAbgAgACAAIAAgAC8ALwAgAFAAZQByAG0AdQB0AGEAdABpAG8AbgBzACAAKABuAG8AIAByAGUAcABsAGEAYwBlAG0AZQBuAHQAKQBcAG4AIAAgACAAIABQACwAIAAgACAAIAAgACAAIABMAEEATQBCAEQAQQAoAEYASQBMAFQARQBSACgAUABfAHIAKAApACwASQBTAE4AQQAoAEIAWQBSAE8AVwAoAFAAXwByACgAKQAsACAATQBPAEQARQApACkAKQApACwAXABuAFwAbgAgACAAIAAgAC8ALwAgAEMAbwBtAGIAaQBuAGEAdABpAG8AbgBzACAAdwBpAHQAaAAgAHIAZQBwAGwAYQBjAGUAbQBlAG4AdABcAG4AIAAgACAAIABDAF8AcgAsACAAIAAgACAAIABMAEEATQBCAEQAQQAoAEYASQBMAFQARQBSACgAUABfAHIAKAApACwAQgBZAFIATwBXACgAUABfAHIAKAApACwATABBAE0AQgBEAEEAKAByAG8AdwAsACAAQQBOAEQAKAByAG8AdwAgAD0AIABTAE8AUgBUACgAcgBvAHcALAAsACwAMQApACkAKQApACkAKQAsAFwAbgBcAG4AIAAgACAAIAAvAC8AIABDAG8AbQBiAGkAbgBhAHQAaQBvAG4AcwAgACgAbgBvACAAcgBlAHAAbABhAGMAZQBtAGUAbgB0ACkAXABuACAAIAAgACAAQwAsACAAIAAgACAAIAAgACAATABBAE0AQgBEAEEAKABGAEkATABUAEUAUgAoAEMAXwByACgAKQAsAEkAUwBOAEEAKABCAFkAUgBPAFcAKABDAF8AcgAoACkALAAgAE0ATwBEAEUAKQApACkAKQAsAFwAbgBcAG4AIAAgACAAIAAvAC8AIABEAGUAcgBhAG4AZwBlAG0AZQBuAHQAcwBcAG4AIAAgACAAIABEACwAIAAgACAAIAAgACAAIABMAEEATQBCAEQAQQAoAEYASQBMAFQARQBSACgAUABfAHIAKAApACwAQgBZAFIATwBXACgAUABfAHIAKAApACwATABBAE0AQgBEAEEAKAByAG8AdwAsACAATgBPAFQAKABPAFIAKABTAEUAUQBVAEUATgBDAEUAKAAsACAAawApACAAPQAgAHIAbwB3ACkAKQApACkAKQApACwAXABuAFwAbgAgACAAIAAgAC8ALwAgAFMAZQBsAGUAYwB0ACAAZwBlAG4AZQByAGEAdABvAHIAXABuACAAIAAgACAAaQBkAHgALAAgACAAIAAgACAATABBAE0AQgBEAEEAKABDAEgATwBPAFMARQAoAHQAeQBwAGUALAAgAFAAXwByACgAKQAsACAAUAAoACkALAAgAEMAXwByACgAKQAsACAAQwAoACkALAAgAEQAKAApACkAKQAsAFwAbgBcAG4AIAAgACAAIAAvAC8AIABTAHUAYgBzAHQAaQB0AHUAdABlACAAaQB0AGUAbQBzACAAdQBuAGwAZQBzAHMAIAB0AGgAZQB5ACAAYQByAGUAIABlAHgAYQBjAHQAbAB5ACAAMQAuAC4AbgBcAG4AIAAgACAAIABOAG8AdABJAG4AdAA/ACwAIABOAE8AVAAoAEEATgBEACgAUwBFAFEAVQBFAE4AQwBFACgAbgApACAAPQAgAGwAaQBzAHQAKQApACwAXABuACAAIAAgACAAZABlAGwAaQB2AGUAcgAsACAASQBGACgATgBvAHQASQBuAHQAPwAsACAASQBOAEQARQBYACgAbABpAHMAdAAsACAAaQBkAHgAKAApACkALAAgAGkAZAB4ACgAKQApACwAXABuAFwAbgAgACAAIAAgAGQAZQBsAGkAdgBlAHIAXABuACkAKQApACkAKQA7AFwAbgBcAG4AXABuAFwAbgAvACoAIABbAEMAQgAwADEAXQAgAC0ALQAtAC0ALQAtAC0ALQAtAC0ALQAtAC0ALQAtAC0ALQAtAC0ALQAtAC0ALQAtAC0ALQAtAC0ALQAtAC0ALQAtAC0ALQAtAC0ALQAtAC0ALQAtAC0ALQAtAC0ALQAtAC0ALQAtAC0ALQAtAC0ALQAtAC0ALQAtAC0ALQAtAC0ALQAtAC0ALQAtAC0ALQAtAC0AXABuAEYAdQBuAGMAdABpAG8AbgA6ACAAIAAgACAAIAAgACAAIABQAGUAcgBtAFI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wAGUAcgBtAHUAdABhAHQAaQBvAG4AcwAgAHcAaQB0AGgAIAByAGUAcABsAGEAYwBlAG0AZQBuAHQAIAAoAGsAESB0AHUAcABsAGUAcwAgAGQAcgBhAHcAbgAgAGYAcgBvAG0AIABuACAAaQB0AGUAbQBzACkALgBcAG4AIAAgACAAIABFAGEAYwBoACAAcgBvAHcAIABvAGYAIAB0AGgAZQAgAHIAZQBzAHUAbAB0ACAAcgBlAHAAcgBlAHMAZQBuAHQAcwAgAG8AbgBlACAAcABlAHIAbQB1AHQAYQB0AGkAbwBuACAAbwBmACAAbABlAG4AZwB0AGgAIABrAC4AIABTAHUAcABwAG8AcgB0AHMAXABuACAAIAAgACAAcwBjAGEAbABhAHIALAAgADEARAAsACAAYQBuAGQAIAAyAEQAIABpAHQAZQBtACAAYQByAHIAYQB5AHM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MAGUAbgBnAHQAaAAgAG8AZgAgAGUAYQBjAGgAIAB0AHUAcABsAGUAIAAoAGsAIABlIiAAMAApAC4AIABNAHUAcwB0ACAAYgBlACAAYQAgAHMAYwBhAGwAYQByAC4AXABuAFwAbgBOAG8AdABlAHMAOgBcAG4AIAAgACAAIAAiICAARQBxAHUAaQB2AGEAbABlAG4AdAAgAHQAbwAgAEUAbgB1AG0AZQByAGEAdABlALsDKABpAHQAZQBtAHMALAAgAGsALAAgADEAKQAuAFwAbgAtAC0ALQAtAC0ALQAtAC0ALQAtAC0ALQAtAC0ALQAtAC0ALQAtAC0ALQAtAC0ALQAtAC0ALQAtAC0ALQAtAC0ALQAtAC0ALQAtAC0ALQAtAC0ALQAtAC0ALQAtAC0ALQAtAC0ALQAtAC0ALQAtAC0ALQAtAC0ALQAtAC0ALQAtAC0ALQAtAC0ALQAtAC0ALQAtAC0ALQAtAC0ALQAqAC8AXABuAFwAbgBQAGUAcgBtAFIAuwMgAD0AXABuAEwAQQBNAEIARABBACgAXABuACAAIAAgACAAaQB0AGUAbQBzACwAXABuACAAIAAgACAAaQB0AGUAbQBzAF8AYwBoAG8AcwBlAG4ALABcAG4AIAAgACAAIABFAG4AdQBtAGUAcgBhAHQAZQC7AygAaQB0AGUAbQBzACwAIABpAHQAZQBtAHMAXwBjAGgAbwBzAGUAbgAsACAAMQApAFwAbgApADsAXABuAFwAbgBcAG4AXABuAC8AKgAgAFsAQwBCADAAMgBdACAALQAtAC0ALQAtAC0ALQAtAC0ALQAtAC0ALQAtAC0ALQAtAC0ALQAtAC0ALQAtAC0ALQAtAC0ALQAtAC0ALQAtAC0ALQAtAC0ALQAtAC0ALQAtAC0ALQAtAC0ALQAtAC0ALQAtAC0ALQAtAC0ALQAtAC0ALQAtAC0ALQAtAC0ALQAtAC0ALQAtAC0ALQAtAC0ALQBcAG4ARgB1AG4AYwB0AGkAbwBuADoAIAAgACAAIAAgACAAIAAgAFAAZQByAG0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wAGUAcgBtAHUAdABhAHQAaQBvAG4AcwAgAHcAaQB0AGgAbwB1AHQAIAByAGUAcABsAGEAYwBlAG0AZQBuAHQALgAgAEUAYQBjAGgAIAByAG8AdwAgAG8AZgAgAHQAaABlACAAcgBlAHMAdQBsAHQAIAByAGUAcAByAGUAcwBlAG4AdABzAFwAbgAgACAAIAAgAG8AbgBlACAAawARIHQAdQBwAGwAZQAgAGQAcgBhAHcAbgAgAGYAcgBvAG0AIAB0AGgAZQAgAGkAbgBwAHUAdAAgAGkAdABlAG0AcwAsACAAdwBpAHQAaAAgAG4AbwAgAHIAZQBwAGUAYQB0AGUAZAAgAHAAbwBzAGkAdABpAG8AbgBzAC4AIABTAHUAcABwAG8AcgB0AHMAXABuACAAIAAgACAAcwBjAGEAbABhAHIALAAgADEARAAsACAAYQBuAGQAIAAyAEQAIABpAHQAZQBtACAAYQByAHIAYQB5AHM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MAGUAbgBnAHQAaAAgAG8AZgAgAGUAYQBjAGgAIAB0AHUAcABsAGUAIAAoAGsAIABlIiAAMAApAC4AIABNAHUAcwB0ACAAYgBlACAAYQAgAHMAYwBhAGwAYQByAC4AXABuAFwAbgBOAG8AdABlAHMAOgBcAG4AIAAgACAAIAAiICAARQBxAHUAaQB2AGEAbABlAG4AdAAgAHQAbwAgAEUAbgB1AG0AZQByAGEAdABlALsDKABpAHQAZQBtAHMALAAgAGsALAAgADIAKQAuAFwAbgAtAC0ALQAtAC0ALQAtAC0ALQAtAC0ALQAtAC0ALQAtAC0ALQAtAC0ALQAtAC0ALQAtAC0ALQAtAC0ALQAtAC0ALQAtAC0ALQAtAC0ALQAtAC0ALQAtAC0ALQAtAC0ALQAtAC0ALQAtAC0ALQAtAC0ALQAtAC0ALQAtAC0ALQAtAC0ALQAtAC0ALQAtAC0ALQAtAC0ALQAtAC0ALQAqAC8AXABuAFwAbgBQAGUAcgBtALsDIAA9AFwAbgBMAEEATQBCAEQAQQAoAFwAbgAgACAAIAAgAGkAdABlAG0AcwAsAFwAbgAgACAAIAAgAGkAdABlAG0AcwBfAGMAaABvAHMAZQBuACwAXABuACAAIAAgACAARQBuAHUAbQBlAHIAYQB0AGUAuwMoAGkAdABlAG0AcwAsACAAaQB0AGUAbQBzAF8AYwBoAG8AcwBlAG4ALAAgADIAKQBcAG4AKQA7AFwAbgBcAG4AXABuAFwAbgAvACoAIABbAEMAQgAwADMAXQAgAC0ALQAtAC0ALQAtAC0ALQAtAC0ALQAtAC0ALQAtAC0ALQAtAC0ALQAtAC0ALQAtAC0ALQAtAC0ALQAtAC0ALQAtAC0ALQAtAC0ALQAtAC0ALQAtAC0ALQAtAC0ALQAtAC0ALQAtAC0ALQAtAC0ALQAtAC0ALQAtAC0ALQAtAC0ALQAtAC0ALQAtAC0ALQAtAC0AXABuAEYAdQBuAGMAdABpAG8AbgA6ACAAIAAgACAAIAAgACAAIABDAG8AbQBiAGkAbgBhAHQAaQBvAG4AcwBS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YwBvAG0AYgBpAG4AYQB0AGkAbwBuAHMAIAB3AGkAdABoACAAcgBlAHAAbABhAGMAZQBtAGUAbgB0ACAAKABtAHUAbAB0AGkAcwBlAHQAcwApAC4AIABFAGEAYwBoACAAcgBvAHcAIABvAGYAIAB0AGgAZQAgAHIAZQBzAHUAbAB0AFwAbgAgACAAIAAgAHIAZQBwAHIAZQBzAGUAbgB0AHMAIABvAG4AZQAgAGsAESBlAGwAZQBtAGUAbgB0ACAAbQB1AGwAdABpAHMAZQB0ACAAZAByAGEAdwBuACAAZgByAG8AbQAgAHQAaABlACAAaQBuAHAAdQB0ACAAaQB0AGUAbQBzACwAIAB3AGgAZQByAGUAIABvAHIAZABlAHIAXABuACAAIAAgACAAZABvAGUAcwAgAG4AbwB0ACAAbQBhAHQAdABlAHIAIABhAG4AZAAgAHIAZQBwAGUAYQB0AGUAZAAgAHMAZQBsAGUAYwB0AGkAbwBuAHMAIABhAHIAZQAgAGEAbABsAG8AdwBlAGQ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TAGkAegBlACAAbwBmACAAZQBhAGMAaAAgAGMAbwBtAGIAaQBuAGEAdABpAG8AbgAgACgAawAgAGUiIAAwACkALgAgAE0AdQBzAHQAIABiAGUAIABhACAAcwBjAGEAbABhAHIALgBcAG4AXABuAE4AbwB0AGUAcwA6AFwAbgAgACAAIAAgACIgIABFAHEAdQBpAHYAYQBsAGUAbgB0ACAAdABvACAARQBuAHUAbQBlAHIAYQB0AGUAuwMoAGkAdABlAG0AcwAsACAAawAsACAAMwApAC4AXABuAC0ALQAtAC0ALQAtAC0ALQAtAC0ALQAtAC0ALQAtAC0ALQAtAC0ALQAtAC0ALQAtAC0ALQAtAC0ALQAtAC0ALQAtAC0ALQAtAC0ALQAtAC0ALQAtAC0ALQAtAC0ALQAtAC0ALQAtAC0ALQAtAC0ALQAtAC0ALQAtAC0ALQAtAC0ALQAtAC0ALQAtAC0ALQAtAC0ALQAtAC0ALQAtACoALwBcAG4AXABuAEMAbwBtAGIAaQBuAGEAdABpAG8AbgBzAFIAuwMgAD0AXABuAEwAQQBNAEIARABBACgAXABuACAAIAAgACAAaQB0AGUAbQBzACwAXABuACAAIAAgACAAaQB0AGUAbQBzAF8AYwBoAG8AcwBlAG4ALABcAG4AIAAgACAAIABFAG4AdQBtAGUAcgBhAHQAZQC7AygAaQB0AGUAbQBzACwAIABpAHQAZQBtAHMAXwBjAGgAbwBzAGUAbgAsACAAMwApAFwAbgApADsAXABuAFwAbgBcAG4AXABuAC8AKgAgAFsAQwBCADAANABdACAALQAtAC0ALQAtAC0ALQAtAC0ALQAtAC0ALQAtAC0ALQAtAC0ALQAtAC0ALQAtAC0ALQAtAC0ALQAtAC0ALQAtAC0ALQAtAC0ALQAtAC0ALQAtAC0ALQAtAC0ALQAtAC0ALQAtAC0ALQAtAC0ALQAtAC0ALQAtAC0ALQAtAC0ALQAtAC0ALQAtAC0ALQAtAC0ALQBcAG4ARgB1AG4AYwB0AGkAbwBuADoAIAAgACAAIAAgACAAIAAgAEMAbwBtAGIAaQBuAGEAdABpAG8AbgBz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YwBvAG0AYgBpAG4AYQB0AGkAbwBuAHMAIAB3AGkAdABoAG8AdQB0ACAAcgBlAHAAbABhAGMAZQBtAGUAbgB0AC4AIABFAGEAYwBoACAAcgBvAHcAIABvAGYAIAB0AGgAZQAgAHIAZQBzAHUAbAB0ACAAcgBlAHAAcgBlAHMAZQBuAHQAcwBcAG4AIAAgACAAIABvAG4AZQAgAGsAESBlAGwAZQBtAGUAbgB0ACAAcwB1AGIAcwBlAHQAIABkAHIAYQB3AG4AIABmAHIAbwBtACAAdABoAGUAIABpAG4AcAB1AHQAIABpAHQAZQBtAHMALAAgAHcAaABlAHIAZQAgAG8AcgBkAGUAcgAgAGQAbwBlAHMAIABuAG8AdAAgAG0AYQB0AHQAZQByAFwAbgAgACAAIAAgAGEAbgBkACAAcgBlAHAAZQBhAHQAZQBkACAAcwBlAGwAZQBjAHQAaQBvAG4AcwAgAGEAcgBlACAAbgBvAHQAIABhAGwAbABvAHcAZQBk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UwBpAHoAZQAgAG8AZgAgAGUAYQBjAGgAIABjAG8AbQBiAGkAbgBhAHQAaQBvAG4AIAAoAGsAIABlIiAAMAApAC4AIABNAHUAcwB0ACAAYgBlACAAYQAgAHMAYwBhAGwAYQByAC4AXABuAFwAbgBOAG8AdABlAHMAOgBcAG4AIAAgACAAIAAiICAARQBxAHUAaQB2AGEAbABlAG4AdAAgAHQAbwAgAEUAbgB1AG0AZQByAGEAdABlALsDKABpAHQAZQBtAHMALAAgAGsALAAgADQAKQAuAFwAbgAtAC0ALQAtAC0ALQAtAC0ALQAtAC0ALQAtAC0ALQAtAC0ALQAtAC0ALQAtAC0ALQAtAC0ALQAtAC0ALQAtAC0ALQAtAC0ALQAtAC0ALQAtAC0ALQAtAC0ALQAtAC0ALQAtAC0ALQAtAC0ALQAtAC0ALQAtAC0ALQAtAC0ALQAtAC0ALQAtAC0ALQAtAC0ALQAtAC0ALQAtAC0ALQAqAC8AXABuAFwAbgBDAG8AbQBiAGkAbgBhAHQAaQBvAG4AcwC7AyAAPQBcAG4ATABBAE0AQgBEAEEAKABcAG4AIAAgACAAIABpAHQAZQBtAHMALABcAG4AIAAgACAAIABpAHQAZQBtAHMAXwBjAGgAbwBzAGUAbgAsAFwAbgAgACAAIAAgAEUAbgB1AG0AZQByAGEAdABlALsDKABpAHQAZQBtAHMALAAgAGkAdABlAG0AcwBfAGMAaABvAHMAZQBuACwAIAA0ACkAXABuACkAOwBcAG4AXABuAFwAbgBcAG4ALwAqACAAWwBDAEIAMAA1AF0AIAAtAC0ALQAtAC0ALQAtAC0ALQAtAC0ALQAtAC0ALQAtAC0ALQAtAC0ALQAtAC0ALQAtAC0ALQAtAC0ALQAtAC0ALQAtAC0ALQAtAC0ALQAtAC0ALQAtAC0ALQAtAC0ALQAtAC0ALQAtAC0ALQAtAC0ALQAtAC0ALQAtAC0ALQAtAC0ALQAtAC0ALQAtAC0ALQAtAFwAbgBGAHUAbgBjAHQAaQBvAG4AOgAgACAAIAAgACAAIAAgACAARABlAHIAYQBuAGcAZQBtAGUAbgB0AHM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kAGUAcgBhAG4AZwBlAG0AZQBuAHQAcwAgAG8AZgAgAGwAZQBuAGcAdABoACAAawAuACAAQQAgAGQAZQByAGEAbgBnAGUAbQBlAG4AdAAgAGkAcwAgAGEAIABwAGUAcgBtAHUAdABhAHQAaQBvAG4AIABpAG4AIAB3AGgAaQBjAGgAXABuACAAIAAgACAAbgBvACAAZQBsAGUAbQBlAG4AdAAgAGEAcABwAGUAYQByAHMAIABpAG4AIABpAHQAcwAgAG8AcgBpAGcAaQBuAGEAbAAgAHAAbwBzAGkAdABpAG8AbgAuACAARQBhAGMAaAAgAHIAbwB3ACAAbwBmACAAdABoAGUAIAByAGUAcwB1AGwAdABcAG4AIAAgACAAIAByAGUAcAByAGUAcwBlAG4AdABzACAAbwBuAGUAIABkAGUAcgBhAG4AZwBlAGQAIABrABEgdAB1AHAAbABlACAAZAByAGEAdwBuACAAZgByAG8AbQAgAHQAaABlACAAaQBuAHAAdQB0ACAAaQB0AGUAb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1ACkALgBcAG4ALQAtAC0ALQAtAC0ALQAtAC0ALQAtAC0ALQAtAC0ALQAtAC0ALQAtAC0ALQAtAC0ALQAtAC0ALQAtAC0ALQAtAC0ALQAtAC0ALQAtAC0ALQAtAC0ALQAtAC0ALQAtAC0ALQAtAC0ALQAtAC0ALQAtAC0ALQAtAC0ALQAtAC0ALQAtAC0ALQAtAC0ALQAtAC0ALQAtAC0ALQAtAC0AKgAvAFwAbgBcAG4ARABlAHIAYQBuAGcAZQBtAGUAbgB0AHMAuwMgAD0AXABuAEwAQQBNAEIARABBACgAXABuACAAIAAgACAAaQB0AGUAbQBzACwAXABuACAAIAAgACAAaQB0AGUAbQBzAF8AYwBoAG8AcwBlAG4ALABcAG4AIAAgACAAIABFAG4AdQBtAGUAcgBhAHQAZQC7AygAaQB0AGUAbQBzACwAIABpAHQAZQBtAHMAXwBjAGgAbwBzAGUAbgAsACAANQApAFwAbgApADsAXABuAFwAbgBcAG4AXABuAC8AKgAgAFsAQwBCADAANgBdACAALQAtAC0ALQAtAC0ALQAtAC0ALQAtAC0ALQAtAC0ALQAtAC0ALQAtAC0ALQAtAC0ALQAtAC0ALQAtAC0ALQAtAC0ALQAtAC0ALQAtAC0ALQAtAC0ALQAtAC0ALQAtAC0ALQAtAC0ALQAtAC0ALQAtAC0ALQAtAC0ALQAtAC0ALQAtAC0ALQAtAC0ALQAtAC0ALQBcAG4ARgB1AG4AYwB0AGkAbwBuADoAIAAgACAAIAAgACAAIAAgAEsAbgBhAHAAUwBhAGMAawC7A1wAbgBDAGEAdABlAGcAbwByAHkAOgAgACAAIAAgACAAIAAgACAAQwBvAG0AYgBpAG4AYQB0AG8AcgBpAGMAcwBcAG4AQQB1AHQAaABvAHIAOgAgACAAIAAgACAAIAAgACAAIAAgAFAAYQB0AHIAaQBjAGsAIABIAC4AXABuAFYAZQByAHMAaQBvAG4AOgAgACAAIAAgACAAIAAgACAAIAAxAC4AMQBcAG4ARABlAHAAZQBuAGQAZQBuAGMAaQBlAHMAOgAgACAAIAAgAEQAZQBjADIAQgBpAG4AuwNcAG4AXABuAEQAZQBzAGMAcgBpAHAAdABpAG8AbgA6AFwAbgAgACAAIAAgAFMAbwBsAHYAZQBzACAAdABoAGUAIAAwABEgMQAgAGsAbgBhAHAAcwBhAGMAawAgAHAAcgBvAGIAbABlAG0AIABiAHkAIABlAG4AdQBtAGUAcgBhAHQAaQBuAGcAIABhAGwAbAAgAHMAdQBiAHMAZQB0AHMAIABvAGYAIABpAHQAZQBtAHMAIABhAG4AZABcAG4AIAAgACAAIABzAGUAbABlAGMAdABpAG4AZwAgAHQAaABlACAAZgBlAGEAcwBpAGIAbABlACAAcABhAGMAawAoAHMAKQAgAHcAaQB0AGgAIABtAGEAeABpAG0AdQBtACAAdABvAHQAYQBsACAAdgBhAGwAdQBlAC4AIABVAHMAZQBzACAAYQAgAGIAcgB1AHQAZQARIGYAbwByAGMAZQAsAFwAbgAgACAAIAAgAHYAZQBjAHQAbwByAGkAegBlAGQAIABiAGkAdAARIG0AYQBzAGsAIABnAGUAbgBlAHIAYQB0AG8AcgAgAGEAbgBkACAAcwB1AHAAcABvAHIAdABzACAAYgBvAHQAaAAgAG4AdQBtAGUAcgBpAGMAIABhAG4AZAAgAHQAZQB4AHQAIABpAHQAZQBtACAAbABhAGIAZQBsAHMALgBcAG4AXABuAFAAYQByAGEAbQBlAHQAZQByAHMAOgBcAG4AIAAgACAAIABpAHQAZQBtAHMAXABuACAAIAAgACAAIAAgACAAIABBAHIAcgBhAHkAIABvAGYAIABpAHQAZQBtACAAbABhAGIAZQBsAHMAIAAoAG4AdQBtAGIAZQByAHMAIABvAHIAIAB0AGUAeAB0ACkALgBcAG4AXABuACAAIAAgACAAdgBhAGwAdQBlAF8AbwBmAF8AaQB0AGUAbQBzAFwAbgAgACAAIAAgACAAIAAgACAAQQByAHIAYQB5ACAAbwBmACAAbgB1AG0AZQByAGkAYwAgAHYAYQBsAHUAZQBzACAAYwBvAHIAcgBlAHMAcABvAG4AZABpAG4AZwAgAHQAbwAgAGUAYQBjAGgAIABpAHQAZQBtAC4AXABuAFwAbgAgACAAIAAgAHcAZQBpAGcAaAB0AHMAXABuACAAIAAgACAAIAAgACAAIABBAHIAcgBhAHkAIABvAGYAIABuAHUAbQBlAHIAaQBjACAAdwBlAGkAZwBoAHQAcwAgAGMAbwByAHIAZQBzAHAAbwBuAGQAaQBuAGcAIAB0AG8AIABlAGEAYwBoACAAaQB0AGUAbQAuAFwAbgBcAG4AIAAgACAAIABjAGEAcABhAGMAaQB0AHkAXABuACAAIAAgACAAIAAgACAAIABTAGMAYQBsAGEAcgAgAG4AdQBtAGUAcgBpAGMAIAB3AGUAaQBnAGgAdAAgAGwAaQBtAGkAdAAuAFwAbgBcAG4ATgBvAHQAZQBzADoAXABuACAAIAAgACAAIiAgAGkAdABlAG0AcwAsACAAdgBhAGwAdQBlAF8AbwBmAF8AaQB0AGUAbQBzACwAIABhAG4AZAAgAHcAZQBpAGcAaAB0AHMAIABhAHIAZQAgAGYAbABhAHQAdABlAG4AZQBkACAAdwBpAHQAaAAgAFQATwBSAE8AVwAuAFwAbgAgACAAIAAgACIgIABjAGEAcABhAGMAaQB0AHkAIABpAHMAIABuAG8AcgBtAGEAbABpAHoAZQBkACAAdABvACAAYQAgAHMAYwBhAGwAYQByACAAdwBpAHQAaAAgAEkATgBEAEUAWAAoAGMAYQBwAGEAYwBpAHQAeQAsADEALAAxACkALgBcAG4AIAAgACAAIAAiICAATQBhAHgAaQBtAHUAbQAgAGkAdABlAG0AIABjAG8AdQBuAHQAIABpAHMAIABjAGEAcABwAGUAZAAgAGEAdAAgADIAMAAgAHQAbwAgAGEAdgBvAGkAZAAgAGMAbwBtAGIAaQBuAGEAdABvAHIAaQBhAGwAIABlAHgAcABsAG8AcwBpAG8AbgAuAFwAbgAtAC0ALQAtAC0ALQAtAC0ALQAtAC0ALQAtAC0ALQAtAC0ALQAtAC0ALQAtAC0ALQAtAC0ALQAtAC0ALQAtAC0ALQAtAC0ALQAtAC0ALQAtAC0ALQAtAC0ALQAtAC0ALQAtAC0ALQAtAC0ALQAtAC0ALQAtAC0ALQAtAC0ALQAtAC0ALQAtAC0ALQAtAC0ALQAtAC0ALQAtAC0ALQAqAC8AXABuAFwAbgBLAG4AYQBwAFMAYQBjAGsAuwMgAD0AXABuAEwAQQBNAEIARABBACgAXABuACAAIAAgACAAaQB0AGUAbQBzACwAXABuACAAIAAgACAAdgBhAGwAdQBlAF8AbwBmAF8AaQB0AGUAbQBzACwAXABuACAAIAAgACAAdwBlAGkAZwBoAHQAcwAsAFwAbgAgACAAIAAgAGMAYQBwAGEAYwBpAHQAeQAsAFwAbgBcAG4ATABFAFQAKABcAG4AIAAgACAAIAAvAC8AIABIAGEAbAB0AGkAbgBnACAAcwBjAGUAbgBhAHIAaQBvAHMAXABuACAAIAAgACAAVABvAG8ATQBhAG4AeQBJAHQAZQBtAHMAPwAsACAAIAAgAFIATwBXAFMAKABpAHQAZQBtAHMAKQAgACoAIABDAE8ATABVAE0ATgBTACgAaQB0AGUAbQBzACkAIAA+ACAAMgAwACwAXABuACAAIAAgACAAVABlAHgAdABJAHQAZQBtAFYAYQBsAD8ALAAgACAAIAAgAE8AUgAoAEkAUwBUAEUAWABUACgAdgBhAGwAdQBlAF8AbwBmAF8AaQB0AGUAbQBzACkAKQAsAFwAbgAgACAAIAAgAFQAZQB4AHQAVwBlAGkAZwBoAHQAcwA/ACwAIAAgACAAIABPAFIAKABJAFMAVABFAFgAVAAoAHcAZQBpAGcAaAB0AHMAKQApACwAXABuACAAIAAgACAAVABlAHgAdABDAGEAcABhAGMAaQB0AHkAPwAsACAAIAAgAE8AUgAoAEkAUwBUAEUAWABUACgAYwBhAHAAYQBjAGkAdAB5ACkAKQAsAFwAbgAgACAAIAAgAFMAaABhAHAAZQBNAGkAcwBNAGEAdABjAGgAPwAsACAAIABPAFIAKABDAE8AVQBOAFQAQQAoAGkAdABlAG0AcwApACAAPAA+ACAAQwBPAFUATgBUAEEAKAB2AGEAbAB1AGUAXwBvAGYAXwBpAHQAZQBtAHMAKQAsAFwAbgAgACAAIAAgACAAIAAgACAAIAAgACAAIAAgACAAIAAgACAAIAAgACAAIAAgACAAIABDAE8AVQBOAFQAQQAoAGkAdABlAG0AcwApACAAPAA+ACAAQwBPAFUATgBUAEEAKAB3AGUAaQBnAGgAdABzACkAKQAsAFwAbgBcAG4AIAAgACAAIABzAGMAZQBuAGEAcgBpAG8AcwAsACAAIAAgACAAIAAgACAAVgBTAFQAQQBDAEsAKABUAGUAeAB0AEkAdABlAG0AVgBhAGwAPwAsAFQAZQB4AHQAVwBlAGkAZwBoAHQAcwA/ACwAVABlAHgAdABDAGEAcABhAGMAaQB0AHkAPwAsAFMAaABhAHAAZQBNAGkAcwBNAGEAdABjAGgAPwApACwAXABuAFwAbgAgACAAIAAgAGUAeABpAHQALAAgACAAIAAgACAAIAAgACAAIAAgACAAIABPAFIAKABzAGMAZQBuAGEAcgBpAG8AcwApACwAXABuACAAIAAgACAAZQByAHIAbwByAHMALAAgACAAIAAgACAAIAAgACAAIAAgAHsAXAAiACMAVgBBAEwAVQBFAC0ASQBUAEUATQAhAFwAIgA7AFwAIgAjAFYAQQBMAFUARQAtAFcARQBJAEcASABUAFMAIQBcACIAOwBcACIAIwBWAEEATABVAEUALQBDAEEAUABBAEMASQBUAFkAIQBcACIAOwBcACIAIwBJAE4AUABVAFQALQBNAEkAUwBNAEEAVABDAEgAIQBcACIAfQAsAFwAbgBcAG4AIAAgACAAIABhAGwAZQByAHQALAAgACAAIAAgACAAIAAgACAAIAAgACAAQQBSAFIAQQBZAFQATwBUAEUAWABUACgARgBJAEwAVABFAFIAKABlAHIAcgBvAHIAcwAsACAAcwBjAGUAbgBhAHIAaQBvAHMAKQApACwAXABuAFwAbgBJAEYAKABUAG8AbwBNAGEAbgB5AEkAdABlAG0AcwA/ACwAXAAiACMAVABPAE8ALQBNAEEATgBZAC0ASQBUAEUATQBTACEAXAAiACwAXABuAFwAbgAgACAAIAAgAEkARgAoAGUAeABpAHQALABhAGwAZQByAHQALABcAG4AXABuAEwARQBUACgAXABuACAAIAAgACAALwAvACAARgBsAGEAdAB0AGUAbgAgAGkAbgBwAHUAdABzAFwAbgAgACAAIAAgAGkAdABlAG0AcwAsACAAIAAgACAAIAAgACAAIAAgACAAVABPAFIATwBXACgAaQB0AGUAbQBzACkALABcAG4AIAAgACAAIAB2AGEAbAB1AGUAXwBvAGYAXwBpAHQAZQBtAHMALAAgAFQATwBSAE8AVwAoAHYAYQBsAHUAZQBfAG8AZgBfAGkAdABlAG0AcwApACwAXABuACAAIAAgACAAdwBlAGkAZwBoAHQAcwAsACAAIAAgACAAIAAgACAAIABUAE8AUgBPAFcAKAB3AGUAaQBnAGgAdABzACkALABcAG4AIAAgACAAIABjAGEAcABhAGMAaQB0AHkALAAgACAAIAAgACAAIAAgAEkATgBEAEUAWAAoAGMAYQBwAGEAYwBpAHQAeQAsACAAMQAsACAAMQApACwAXABuAFwAbgAgACAAIAAgAC8ALwAgAEwAYQBiAGUAbABzAFwAbgAgACAAIAAgAGwAYQBiAGUAbABzACwAIAAgACAAIAAgACAAIAAgACAAewBcACIASQB0AGUAbQBzAFwAIgA7ACAAXAAiAFYAYQBsAHUAZQBcACIAOwAgAFwAIgBXAGUAaQBnAGgAdABcACIAOwAgAFwAIgBQAGEAYwBrAFwAIgB9ACwAXABuAFwAbgAgACAAIAAgAC8ALwAgAEUAbgB1AG0AZQByAGEAdABpAG8AbgBcAG4AIAAgACAAIABuACwAIAAgACAAIAAgACAAIAAgACAAIAAgACAAIAAgAEMATwBVAE4AVABBACgAaQB0AGUAbQBzACkALABcAG4AIAAgACAAIABDACwAIAAgACAAIAAgACAAIAAgACAAIAAgACAAIAAgAFMARQBRAFUARQBOAEMARQAoADIAIABeACAAbgAgAC0AIAAxACkALABcAG4AIAAgACAAIABiAGkAbgAsACAAIAAgACAAIAAgACAAIAAgACAAIAAgAEQAZQBjADIAQgBpAG4AuwMoAEMALAAgADEAKQAsAFwAbgBcAG4AIAAgACAAIAAvAC8AIABXAGUAaQBnAGgAdAAgAGYAZQBhAHMAaQBiAGkAbABpAHQAeQBcAG4AIAAgACAAIAB3AF8AYQByAHIALAAgACAAIAAgACAAIAAgACAAIAAgAGIAaQBuACAAKgAgAHcAZQBpAGcAaAB0AHMALABcAG4AIAAgACAAIABmAGUAYQBzAGkAYgBsAGUAPwAsACAAIAAgACAAIAAgAEIAWQBSAE8AVwAoAHcAXwBhAHIAcgAsACAAUwBVAE0AKQAgADwAPQAgAGMAYQBwAGEAYwBpAHQAeQAsAFwAbgBcAG4AIAAgACAAIAAvAC8AIABWAGEAbAB1AGUAIABjAG8AbQBwAHUAdABhAHQAaQBvAG4AXABuACAAIAAgACAAdgBhAGwAXwBhAHIAcgAsACAAIAAgACAAIAAgACAAIABGAEkATABUAEUAUgAoAGIAaQBuACAAKgAgAHYAYQBsAHUAZQBfAG8AZgBfAGkAdABlAG0AcwAsACAAZgBlAGEAcwBpAGIAbABlAD8ALAAgADAAKQAsAFwAbgAgACAAIAAgAHQAbwB0AGEAbABzACwAIAAgACAAIAAgACAAIAAgACAAQgBZAFIATwBXACgAdgBhAGwAXwBhAHIAcgAsACAAUwBVAE0AKQAsAFwAbgBcAG4AIAAgACAAIAAvAC8AIABTAGUAbABlAGMAdAAgAG8AcAB0AGkAbQBhAGwAIABwAGEAYwBrACgAcwApAFwAbgAgACAAIAAgAHAAYQBjAGsALAAgACAAIAAgACAAIAAgACAAIAAgACAAUwBJAEcATgAoAEYASQBMAFQARQBSACgAdgBhAGwAXwBhAHIAcgAsACAATQBBAFgAKAB0AG8AdABhAGwAcwApACAAPQAgAHQAbwB0AGEAbABzACwAIAAwACkAKQAsAFwAbgBcAG4AIAAgACAAIAAvAC8AIABGAGkAbgBhAGwAIAB0AGEAYgBsAGUAXABuACAAIAAgACAAZgBpAG4AYQBsACwAIAAgACAAIAAgACAAIAAgACAAIABJAEYATgBBACgASABTAFQAQQBDAEsAKABsAGEAYgBlAGwAcwAsACAAVgBTAFQAQQBDAEsAKABpAHQAZQBtAHMALAAgAHYAYQBsAHUAZQBfAG8AZgBfAGkAdABlAG0AcwAsACAAdwBlAGkAZwBoAHQAcwAsACAAcABhAGMAawApACkALABcACIAXAAiACkALABcAG4AXABuACAAIAAgACAAZgBpAG4AYQBsAFwAbgApACkAKQApACkAOwBcAG4AXABuAFwAbgBcAG4ALwAqACAAWwBDAEIAMAA3AF0AIAAtAC0ALQAtAC0ALQAtAC0ALQAtAC0ALQAtAC0ALQAtAC0ALQAtAC0ALQAtAC0ALQAtAC0ALQAtAC0ALQAtAC0ALQAtAC0ALQAtAC0ALQAtAC0ALQAtAC0ALQAtAC0ALQAtAC0ALQAtAC0ALQAtAC0ALQAtAC0ALQAtAC0ALQAtAC0ALQAtAC0ALQAtAC0ALQAtAFwAbgBGAHUAbgBjAHQAaQBvAG4AOgAgACAAIAAgACAAIAAgACAAUwB1AGIAcwBlAHQARwBlAG4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HAGUAbgBlAHIAYQB0AGUAcwAgAGEAbABsACAAbgBvAG4AESBlAG0AcAB0AHkAIABzAHUAYgBzAGUAdABzACAAbwBmACAAYQAgAHMAdQBwAHAAbABpAGUAZAAgAGwAaQBzAHQAIAB1AHMAaQBuAGcAIABiAHIAdQB0AGUAESBmAG8AcgBjAGUAXABuACAAIAAgACAAYgBpAHQAbQBhAHMAawBpAG4AZwAuACAARQBhAGMAaAAgAHIAbwB3ACAAbwBmACAAdABoAGUAIAByAGUAcwB1AGwAdAAgAHIAZQBwAHIAZQBzAGUAbgB0AHMAIABvAG4AZQAgAHMAdQBiAHMAZQB0ACwAIABlAHgAcAByAGUAcwBzAGUAZAAgAGEAcwAgAGEAXABuACAAIAAgACAAYwBvAG0AbQBhABEgcwBlAHAAYQByAGEAdABlAGQAIABzAHQAcgBpAG4AZwAuACAAUwB1AHAAcABvAHIAdABzACAAbgB1AG0AYgBlAHIAcwAgAG8AcgAgAHQAZQB4AHQAIABpAHQAZQBtAHMALgBcAG4AXABuAFAAYQByAGEAbQBlAHQAZQByAHMAOgBcAG4AIAAgACAAIABzAGUAdABcAG4AIAAgACAAIAAgACAAIAAgAEEAcgByAGEAeQAgAG8AZgAgAGkAdABlAG0AcwAgACgAbgB1AG0AYgBlAHIAcwAgAG8AcgAgAHQAZQB4AHQAKQAuACAARgBsAGEAdAB0AGUAbgBlAGQAIAB3AGkAdABoACAAVABPAFIATwBXAC4AXABuAFwAbgBOAG8AdABlAHMAOgBcAG4AIAAgACAAIAAiICAATQBhAHgAaQBtAHUAbQAgAGkAdABlAG0AIABjAG8AdQBuAHQAIABpAHMAIABjAGEAcABwAGUAZAAgAGEAdAAgADIAMAAuAFwAbgAtAC0ALQAtAC0ALQAtAC0ALQAtAC0ALQAtAC0ALQAtAC0ALQAtAC0ALQAtAC0ALQAtAC0ALQAtAC0ALQAtAC0ALQAtAC0ALQAtAC0ALQAtAC0ALQAtAC0ALQAtAC0ALQAtAC0ALQAtAC0ALQAtAC0ALQAtAC0ALQAtAC0ALQAtAC0ALQAtAC0ALQAtAC0ALQAtAC0ALQAtAC0ALQAqAC8AXABuAFwAbgBTAHUAYgBzAGUAdABHAGUAbgC7AyAAPQBcAG4ATABBAE0AQgBEAEEAKABcAG4AIAAgACAAIABzAGUAdAAsAFwAbgBcAG4ASQBGACgAUgBPAFcAUwAoAHMAZQB0ACkAIAAqACAAQwBPAEwAVQBNAE4AUwAoAHMAZQB0ACkAIAA+ACAAMgAwACwAXAAiACMAVABPAE8ALQBNAEEATgBZAC0ASQBUAEUATQBTACEAXAAiACwAXABuAFwAbgBMAEUAVAAoAFwAbgAgACAAIAAgAC8ALwAgAEYAbABhAHQAdABlAG4AIABpAG4AcAB1AHQAXABuACAAIAAgACAAcwBlAHQALAAgACAAIAAgAFQATwBSAE8AVwAoAHMAZQB0ACkALABcAG4AXABuACAAIAAgACAALwAvACAAVABvAHQAYQBsACAAaQB0AGUAbQBzAFwAbgAgACAAIAAgAG4ALAAgACAAIAAgACAAIABDAE8AVQBOAFQAQQAoAHMAZQB0ACkALABcAG4AXABuACAAIAAgACAALwAvACAAQgBpAHQAIABtAGEAcwBrAHMAIAAoAGUAeABjAGwAdQBkAGUAIAAwACkAXABuACAAIAAgACAAQwAsACAAIAAgACAAIAAgAFMARQBRAFUARQBOAEMARQAoADIAIABeACAAbgAgAC0AIAAxACkALABcAG4AIAAgACAAIABiAGkAbgAsACAAIAAgACAARABlAGMAMgBCAGkAbgC7AygAQwAsACAAMQApACwAXABuAFwAbgAgACAAIAAgAC8ALwAgAEEAcABwAGwAeQAgAG0AYQBzAGsAXABuACAAIAAgACAAbQBhAHMAawBlAGQALAAgAEkARgAoAGIAaQBuACwAIABzAGUAdAAsACAAXAAiAFwAIgApACwAXABuAFwAbgAgACAAIAAgAC8ALwAgAEMAbwBuAHYAZQByAHQAIABlAGEAYwBoACAAbQBhAHMAawBlAGQAIAByAG8AdwAgAGkAbgB0AG8AIABhACAAYwBvAG0AcABhAGMAdAAgAHMAdQBiAHMAZQB0ACAAcwB0AHIAaQBuAGcAXABuACAAIAAgACAAZgBpAG4AYQBsACwAIAAgAEIAWQBSAE8AVwAoAG0AYQBzAGsAZQBkACwAIABMAEEATQBCAEQAQQAoAHYALAAgAFQARQBYAFQASgBPAEkATgAoAFwAIgAsACAAXAAiACwAIAAxACwAIAB2ACkAKQApACwAXABuAFwAbgAgACAAIAAgAGYAaQBuAGEAbABcAG4AKQApACkAOwBcAG4AXABuAFwAbgBcAG4ALwAqACAAWwBDAEIAMAA4AF0AIAAtAC0ALQAtAC0ALQAtAC0ALQAtAC0ALQAtAC0ALQAtAC0ALQAtAC0ALQAtAC0ALQAtAC0ALQAtAC0ALQAtAC0ALQAtAC0ALQAtAC0ALQAtAC0ALQAtAC0ALQAtAC0ALQAtAC0ALQAtAC0ALQAtAC0ALQAtAC0ALQAtAC0ALQAtAC0ALQAtAC0ALQAtAC0ALQAtAFwAbgBGAHUAbgBjAHQAaQBvAG4AOgAgACAAIAAgACAAIAAgACAAUwB1AGIAcwBlAHQAUwB1AG0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SAGUAdAB1AHIAbgBzACAAYQBsAGwAIABzAHUAYgBzAGUAdABzACAAbwBmACAAYQAgAG4AdQBtAGUAcgBpAGMAIABzAGUAdAAgAHcAaABvAHMAZQAgAGUAbABlAG0AZQBuAHQAcwAgAHMAdQBtACAAZQB4AGEAYwB0AGwAeQAgAHQAbwAgAGEAIAB0AGEAcgBnAGUAdAAuAFwAbgAgACAAIAAgAFUAcwBlAHMAIABiAHIAdQB0AGUAESBmAG8AcgBjAGUAIABiAGkAdABtAGEAcwBrAGkAbgBnACAAKABuACAAZCIgADIAMAApAC4AIABFAGEAYwBoACAAcwB1AGIAcwBlAHQAIABpAHMAIAByAGUAdAB1AHIAbgBlAGQAIABhAHMAIABhACAAYwBvAG0AcABhAGMAdABcAG4AIAAgACAAIABjAG8AbQBtAGEAESBzAGUAcABhAHIAYQB0AGUAZAAgAHMAdAByAGkAbgBnAC4AXABuAFwAbgBQAGEAcgBhAG0AZQB0AGUAcgBzADoAXABuACAAIAAgACAAcwBlAHQAXABuACAAIAAgACAAIAAgACAAIABBAHIAcgBhAHkAIABvAGYAIABuAHUAbQBlAHIAaQBjACAAaQB0AGUAbQBzAC4AIABGAGwAYQB0AHQAZQBuAGUAZAAgAHcAaQB0AGgAIABUAE8AUgBPAFcALgAgAFQAZQB4AHQAIABpAHMAIABuAG8AdAAgAGEAbABsAG8AdwBlAGQALgBcAG4AXABuACAAIAAgACAAdABhAHIAZwBlAHQAXABuACAAIAAgACAAIAAgACAAIABTAGMAYQBsAGEAcgAgAG4AdQBtAGUAcgBpAGMAIAB0AGEAcgBnAGUAdAAgAHMAdQBtAC4AXABuAFwAbgBOAG8AdABlAHMAOgBcAG4AIAAgACAAIAAiICAARQBtAHAAdAB5ACAAcwB1AGIAcwBlAHQAIABpAHMAIABlAHgAYwBsAHUAZABlAGQAIABiAHkAIABjAG8AbgBzAHQAcgB1AGMAdABpAG8AbgAgACgAYgBpAHQAbQBhAHMAawAgADAAIABvAG0AaQB0AHQAZQBkACkALgBcAG4AIAAgACAAIAAiICAAUgBlAHQAdQByAG4AcwAgAFwAIgAjAE4ATwAtAFMATwBMAFUAVABJAE8ATgAhAFwAIgAgAGkAZgAgAG4AbwAgAHMAdQBiAHMAZQB0AHMAIABtAGEAdABjAGgAIAB0AGgAZQAgAHQAYQByAGcAZQB0AC4AXABuAC0ALQAtAC0ALQAtAC0ALQAtAC0ALQAtAC0ALQAtAC0ALQAtAC0ALQAtAC0ALQAtAC0ALQAtAC0ALQAtAC0ALQAtAC0ALQAtAC0ALQAtAC0ALQAtAC0ALQAtAC0ALQAtAC0ALQAtAC0ALQAtAC0ALQAtAC0ALQAtAC0ALQAtAC0ALQAtAC0ALQAtAC0ALQAtAC0ALQAtAC0ALQAtACoALwBcAG4AXABuAFMAdQBiAHMAZQB0AFMAdQBtALsDIAA9AFwAbgBMAEEATQBCAEQAQQAoAFwAbgAgACAAIAAgAHMAZQB0ACwAXABuACAAIAAgACAAdABhAHIAZwBlAHQALABcAG4AXABuAEwARQBUACgAXABuACAAIAAgACAALwAvACAATgBvAHIAbQBhAGwAaQB6AGUAIABzAGMAYQBsAGEAcgBcAG4AIAAgACAAIAB0AGEAcgBnAGUAdAAsACAASQBOAEQARQBYACgAdABhAHIAZwBlAHQALAAgADEALAAgADEAKQAsAFwAbgBcAG4AIAAgACAAIAAvAC8AIABIAGEAbAB0AGkAbgBnACAAcwBjAGUAbgBhAHIAaQBvAHMAXABuACAAIAAgACAAVABvAG8ATQBhAG4AeQBJAHQAZQBtAHMAPwAsACAAUgBPAFcAUwAoAHMAZQB0ACkAIAAqACAAQwBPAEwAVQBNAE4AUwAoAHMAZQB0ACkAIAA+ACAAMgAwACwAXABuACAAIAAgACAAVABlAHgAdABTAGUAdAA/ACwAIAAgACAAIAAgACAATwBSACgASQBTAEUAUgBSAE8AUgAoAC0ALQBzAGUAdAApACkALABcAG4AIAAgACAAIABUAGUAeAB0AFQAYQByAGcAZQB0AD8ALAAgACAAIABJAFMARQBSAFIATwBSACgALQAtAHQAYQByAGcAZQB0ACkALABcAG4AXABuAEkARgAoAFQAbwBvAE0AYQBuAHkASQB0AGUAbQBzAD8ALAAgAFwAIgAjAFQATwBPAC0ATQBBAE4AWQAtAEkAVABFAE0AUwAhAFwAIgAsAFwAbgBcAG4AIAAgACAAIABJAEYAKABUAGUAeAB0AFMAZQB0AD8ALAAgAFwAIgAjAFQARQBYAFQALQBTAEUAVAAhAFwAIgAsAFwAbgBcAG4AIAAgACAAIAAgACAAIAAgAEkARgAoAFQAZQB4AHQAVABhAHIAZwBlAHQAPwAsACAAXAAiACMAVABFAFgAVAAtAFQAQQBSAEcARQBUACEAXAAiACwAXABuAFwAbgBMAEUAVAAoAFwAbgAgACAAIAAgAC8ALwAgAEYAbABhAHQAdABlAG4AIABpAG4AcAB1AHQAXABuACAAIAAgACAAcwBlAHQALAAgACAAIAAgACAAIABUAE8AUgBPAFcAKAAtAC0AcwBlAHQAKQAsAFwAbgBcAG4AIAAgACAAIAAvAC8AIABUAG8AdABhAGwAIABpAHQAZQBtAHMAXABuACAAIAAgACAAbgAsACAAIAAgACAAIAAgACAAIABDAE8AVQBOAFQAQQAoAHMAZQB0ACkALABcAG4AXABuACAAIAAgACAALwAvACAAQgBpAHQAIABtAGEAcwBrAHMAIAAoAGUAeABjAGwAdQBkAGUAIAAwACkAXABuACAAIAAgACAAQwAsACAAIAAgACAAIAAgACAAIABTAEUAUQBVAEUATgBDAEUAKAAyACAAXgAgAG4AIAAtACAAMQApACwAXABuACAAIAAgACAAYgBpAG4ALAAgACAAIAAgACAAIABEAGUAYwAyAEIAaQBuALsDKABDACwAIAAxACkALABcAG4AXABuACAAIAAgACAALwAvACAAQQBwAHAAbAB5ACAAbQBhAHMAawBcAG4AIAAgACAAIAB2AGEAbABfAGEAcgByACwAIAAgAEkARgAoAGIAaQBuACwAIABzAGUAdAAsACAAMAApACwAXABuAFwAbgAgACAAIAAgAC8ALwAgAEwAbwBjAGEAdABlACAAdABhAHIAZwBlAHQAIABzAHUAbQBcAG4AIAAgACAAIABiAG8AbwBsACwAIAAgACAAIAAgAEIAWQBSAE8AVwAoAHYAYQBsAF8AYQByAHIALAAgAFMAVQBNACkAIAA9ACAAdABhAHIAZwBlAHQALABcAG4AIAAgACAAIABmAG8AdQBuAGQALAAgACAAIAAgAEYASQBMAFQARQBSACgAdgBhAGwAXwBhAHIAcgAsACAAYgBvAG8AbAAsACAAMAApACwAXABuAFwAbgAgACAAIAAgAC8ALwAgAEMAbwBuAHYAZQByAHQAIABlAGEAYwBoACAAcwB1AGIAcwBlAHQAIAB0AG8AIABhACAAYwBvAG0AcABhAGMAdAAgAHMAdAByAGkAbgBnAFwAbgAgACAAIAAgAEMAbwBuAGMAaQBzAGUAuwMsACAATABBAE0AQgBEAEEAKAB2ACwAIABUAEUAWABUAEoATwBJAE4AKABcACIALAAgAFwAIgAsACAAMQAsACAAVABFAFgAVAAoAHYALAAgAFwAIgAwADsALQAwADsAOwBcACIAKQApACkALABcAG4AIAAgACAAIAByAGUAcwB1AGwAdAAsACAAIAAgAEIAWQBSAE8AVwAoAGYAbwB1AG4AZAAsACAAQwBvAG4AYwBpAHMAZQC7AykALABcAG4AXABuACAAIAAgACAALwAvACAASABhAG4AZABsAGUAIABuAG8AIABtAGEAdABjAGgAZQBzAFwAbgAgACAAIAAgAGYAaQBuAGEAbAAsACAAIAAgACAASQBGACgAUwBVAE0AKABMAEUATgAoAHIAZQBzAHUAbAB0ACkAKQAgAD0AIAAwACwAIABcACIAIwBOAE8ALQBTAE8ATABVAFQASQBPAE4AIQBcACIALAAgAHIAZQBzAHUAbAB0ACkALABcAG4AXABuACAAIAAgACAAZgBpAG4AYQBsAFwAbgApACkAKQApACkAKQA7AFwAbgBcAG4AXABuAFwAbgAvAC8AIABbAEcARABdACAALQAtAC0ALQAtAC0ALQAtAC0ALQAtAC0ALQAtAC0ALQAtAC0ALQAtAC0ALQAtAC0ALQAtAC0ALQAtAC0ALQAtAC0ALQAtAC0ALQAtAC0ALQAtAC0ALQAtAC0ALQAtAC0ALQAtAC0ALQAtAC0ALQAtAC0ALQAtAC0ALQAtAC0ALQAtAC0ALQAtAC0ALQAtAC0ALQAtAC0ALQAtAFwAbgAvAC8AIAAtAC0ALQAjACMAIAAxADAAIAAUICAARwByAGkAZAAgAEQAaQBhAGcAbgBvAHMAdABpAGMAc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HAHIAaQBkACAARABpAGEAZwBuAG8AcwB0AGkAYwBzACAAYwBvAG4AdABhAGkAbgBzACAAZgB1AG4AYwB0AGkAbwBuAHMAIAB3AGgAbwBzAGUAIABwAHUAcgBwAG8AcwBlACAAaQBzACAAdABvACAAZQB4AHAAbwBzAGUALAAgAGEAbgBuAG8AdABhAHQAZQAsAFwAbgAgACAAIAAgAG8AcgAgAGUAeABwAGwAYQBpAG4AIAB0AGgAZQAgAGkAbgB0AGUAcgBuAGEAbAAgAHMAdAByAHUAYwB0AHUAcgBlACAAbwBmACAAYQAgAGcAcgBpAGQALgAgAEQAaQBhAGcAbgBvAHMAdABpAGMAcwAgAGYAdQBuAGMAdABpAG8AbgBzACAAYQByAGUAXABuACAAIAAgACAAdQBzAGUAZAAgAGYAbwByACAAZABlAGIAdQBnAGcAaQBuAGcALAAgAGkAbgB0AHIAbwBzAHAAZQBjAHQAaQBvAG4ALAAgAHYAaQBzAHUAYQBsAGkAegBhAHQAaQBvAG4ALAAgAGEAbgBkACAAcwB0AHIAdQBjAHQAdQByAGEAbAAgAGEAbgBhAGwAeQBzAGkAcwAuAFwAbgBcAG4ARgB1AG4AYwB0AGkAbwBuAHMAOgBcAG4AIAAgACAAIAAiICAAUgBlAHYAZQBhAGwAuwNcAG4AIAAgACAAIAAgACAAIAAgAGkAbgBzAHAAZQBjAHQAcwAgAGEAIABhAHIAcgBhAHkAXwAyAEQAIABvAGYAIABkAGEAdABhACAAYQBuAGQAIAByAGUAdAB1AHIAbgBzACAAZQBpAHQAaABlAHIAOgBcAG4AIAAgACAAIAAgACAAIAAgACAAIAAgACAAIiAgAEEAIAB0AG8AcAAtAGwAZQB2AGUAbAAgAHMAdQBtAG0AYQByAHkAIABvAGYAIABzAGUAbQBhAG4AdABpAGMAIABtAGUAdAByAGkAYwBzACAAKABOAHUAbQBiAGUAcgBzACwAIABUAGUAeAB0AHMALAAgAEUAcgByAG8AcgBzACwAIABlAHQAYwAuACkAXABuACAAIAAgACAAIAAgACAAIAAgACAAIAAgACIgIABBACAAdgBlAHIAYgBvAHMAZQAsACAAYwBlAGwAbAAtAGIAeQAtAGMAZQBsAGwAIABuAGEAcgByAGEAdABpAG8AbgAgAG8AZgAgAHQAYQBnAHMAIABwAGUAcgAgAGMAZQBsAGwAXABuACoALwBcAG4AXABuAFwAbgBcAG4ALwAqACAAWwBHAEQAMAAxAF0AIAAtAC0ALQAtAC0ALQAtAC0ALQAtAC0ALQAtAC0ALQAtAC0ALQAtAC0ALQAtAC0ALQAtAC0ALQAtAC0ALQAtAC0ALQAtAC0ALQAtAC0ALQAtAC0ALQAtAC0ALQAtAC0ALQAtAC0ALQAtAC0ALQAtAC0ALQAtAC0ALQAtAC0ALQAtAC0ALQAtAC0ALQAtAC0ALQAtAFwAbgBGAHUAbgBjAHQAaQBvAG4AOgAgACAAIAAgACAAIAAgACAAUgBlAHYAZQBhAGwAuwNcAG4AQwBhAHQAZQBnAG8AcgB5ADoAIAAgACAAIAAgACAAIAAgAEcAcgBpAGQAIABEAGkAYQBnAG4AbwBzAHQAaQBjAHMAXABuAEEAdQB0AGgAbwByADoAIAAgACAAIAAgACAAIAAgACAAIABQAGEAdAByAGkAYwBrACAASAAuAFwAbgBWAGUAcgBzAGkAbwBuADoAIAAgACAAIAAgACAAIAAgACAAMQAuADEAXABuAFwAbgBEAGUAcwBjAHIAaQBwAHQAaQBvAG4AOgBcAG4AIAAgACAAIABSAGUAdgBlAGEAbAC7AyAAaQBuAHMAcABlAGMAdABzACAAYQAgAGEAcgByAGEAeQBfADIARAAgAG8AZgAgAGQAYQB0AGEAIABhAG4AZAAgAHIAZQB0AHUAcgBuAHMAIABlAGkAdABoAGUAcgA6AFwAbgAgACAAIAAgACAAIAAgACAAIiAgAEEAIAB0AG8AcAAtAGwAZQB2AGUAbAAgAHMAdQBtAG0AYQByAHkAIABvAGYAIABzAGUAbQBhAG4AdABpAGMAIABtAGUAdAByAGkAYwBzACAAKABOAHUAbQBiAGUAcgBzACwAIABUAGUAeAB0AHMALAAgAEUAcgByAG8AcgBzACwAIABlAHQAYwAuACkAXABuACAAIAAgACAAIAAgACAAIAAiICAAQQAgAHYAZQByAGIAbwBzAGUALAAgAGMAZQBsAGwALQBiAHkALQBjAGUAbABsACAAbgBhAHIAcgBhAHQAaQBvAG4AIABvAGYAIAB0AGEAZwBzACAAcABlAHIAIABjAGUAbABsAFwAbgAgACAAIAAgAFMAdQBwAHAAbwByAHQAcwAgAG8AcAB0AGkAbwBuAGEAbAAgAGQAZQBsAGkAbQBpAHQAZQByACAAYwBvAG4AdAByAG8AbAAgAGEAbgBkACAAYgBsAGEAbgBrAC0AYQB3AGEAcgBlACAAbwBwAHQAaQBtAGkAegBhAHQAaQBvAG4ALgBcAG4AXABuAFAAYQByAGEAbQBlAHQAZQByAHMAOgBcAG4AIAAgACAAIABkAGEAdABhAFwAbgAgACAAIAAgACAAIAAgACAARABhAHQAYQAgAHQAbwAgAGIAZQAgAGkAbgBzAHAAZQBjAHQAZQBkACAAKABhAG4AeQAgAHMAYwBhAGwAYQByACwAIAB2AGUAYwB0AG8AcgAsACAAbwByACAAMgBEACAAYQByAHIAYQB5ACkALgBcAG4AXABuACAAIAAgACAASQBzAFYAZQByAGIAbwBzAGUAPwAgACAAWwBvAHAAdABpAG8AbgBhAGwAXQBcAG4AIAAgACAAIAAgACAAIAAgAEkAZgAgAFQAUgBVAEUALAAgAHIAZQB0AHUAcgBuAHMAIABhACAAYQByAHIAYQB5AF8AMgBEACAAbwBmACAAbgBhAHIAcgBhAHQAYQBiAGwAZQAgAHQAYQBnAHMAIABwAGUAcgAgAGMAZQBsAGwALgBcAG4AIAAgACAAIAAgACAAIAAgAEkAZgAgAG8AbQBpAHQAdABlAGQALAAgAHIAZQB0AHUAcgBuAHMAIABhACAAOQDXADIAIABzAHUAbQBtAGEAcgB5ACAAdABhAGIAbABlAC4AXABuAFwAbgAgACAAIAAgAGQAZQBsAGkAbQBpAHQAZQByACAAIAAgAFsAbwBwAHQAaQBvAG4AYQBsAF0AXABuACAAIAAgACAAIAAgACAAIABEAGUAbABpAG0AaQB0AGUAcgAgAHUAcwBlAGQAIABpAG4AIAB2AGUAcgBiAG8AcwBlACAAbQBvAGQAZQAuACAARABlAGYAYQB1AGwAdABzACAAdABvACAAXAAiACwAIABcACIALgBcAG4AXABuAC0ALQAtAC0ALQAtAC0ALQAtAC0ALQAtAC0ALQAtAC0ALQAtAC0ALQAtAC0ALQAtAC0ALQAtAC0ALQAtAC0ALQAtAC0ALQAtAC0ALQAtAC0ALQAtAC0ALQAtAC0ALQAtAC0ALQAtAC0ALQAtAC0ALQAtAC0ALQAtAC0ALQAtAC0ALQAtAC0ALQAtAC0ALQAtAC0ALQAtAC0ALQAtACoALwBcAG4AXABuAFIAZQB2AGUAYQBsALsDIAA9AFwAbgBMAEEATQBCAEQAQQAoAFwAbgAgACAAIAAgAGQAYQB0AGEALAAgACAAIAAgACAAIAAgACAAXABuACAAIAAgACAAWwBJAHMAVgBlAHIAYgBvAHMAZQA/AF0ALABcAG4AIAAgACAAIABbAGQAZQBsAGkAbQBpAHQAZQByAF0ALABcAG4AXABuAEwARQBUACgAXABuACAAIAAgACAALwAvACAARABpAG0AZQBuAHMAaQBvAG4AXABuACAAIAAgACAAdwBpAGQAdABoACwAIAAgACAAIAAgACAAIAAgACAAIAAgACAAIAAgACAAIAAgACAAQwBPAEwAVQBNAE4AUwAoAGQAYQB0AGEAKQAsAFwAbgBcAG4AIAAgACAAIAAvAC8AIABDAGUAbABsACAAbQBlAHQAcgBpAGMAIABsAGEAYgBlAGwAcwBcAG4AIAAgACAAIABtAGUAdAByAGkAYwBzACwAIAAgACAAIAAgACAAIAAgACAAIAAgACAAIAAgACAAIAB7AFwAIgBOAHUAbQBiAGUAcgBcACIAOwBcAG4AIAAgACAAIAAgACAAIAAgACAAIAAgACAAIAAgACAAIAAgACAAIAAgACAAIAAgACAAIAAgACAAIABcACIAVABlAHgAdABcACIAOwBcAG4AIAAgACAAIAAgACAAIAAgACAAIAAgACAAIAAgACAAIAAgACAAIAAgACAAIAAgACAAIAAgACAAIABcACIATgB1AG0AYgBlAHIALQBzAHQAbwByAGUAZAAtAGEAcwAtAHQAZQB4AHQAXAAiADsAXABuACAAIAAgACAAIAAgACAAIAAgACAAIAAgACAAIAAgACAAIAAgACAAIAAgACAAIAAgACAAIAAgACAAXAAiAEUAcgByAG8AcgBcACIAOwBcAG4AIAAgACAAIAAgACAAIAAgACAAIAAgACAAIAAgACAAIAAgACAAIAAgACAAIAAgACAAIAAgACAAIABcACIAQwBvAG4AdABhAGkAbgBzACAAcwBwAGEAYwBlAHMAXAAiADsAXABuACAAIAAgACAAIAAgACAAIAAgACAAIAAgACAAIAAgACAAIAAgACAAIAAgACAAIAAgACAAIAAgACAAXAAiAEMAbwBuAHQAYQBpAG4AcwAgAHMAcABlAGMAaQBhAGwAIABjAGgAYQByAGEAYwB0AGUAcgBzAFwAIgA7AFwAbgAgACAAIAAgACAAIAAgACAAIAAgACAAIAAgACAAIAAgACAAIAAgACAAIAAgACAAIAAgACAAIAAgAFwAIgBGAG8AcgBtAHUAbABhAFwAIgA7AFwAbgAgACAAIAAgACAAIAAgACAAIAAgACAAIAAgACAAIAAgACAAIAAgACAAIAAgACAAIAAgACAAIAAgAFwAIgBCAGwAYQBuAGsAXAAiADsAXABuACAAIAAgACAAIAAgACAAIAAgACAAIAAgACAAIAAgACAAIAAgACAAIAAgACAAIAAgACAAIAAgACAAXAAiAEwAbwBnAGkAYwBhAGwAXAAiAH0ALABcAG4AXABuACAAIAAgACAALwAvAC0ALQAgAEwAbwBjAGEAbAAgAGYAdQBuAGMAdABpAG8AbgBzACAALQAtAFwAbgBcAG4AIAAgACAAIAAvAC8AIABGAGwAYQB0AHQAZQBuACAAbQBhAHQAcgBpAGMAZQBzACAAYQBuAGQAIABlAG4AcwB1AHIAZQAgAGIAaQBuAGEAcgB5ACAAYQByAHIAYQB5AC4AXABuACAAIAAgACAAQgBpAG4AuwMsACAAIAAgACAAIAAgACAAIAAgACAAIAAgACAAIAAgACAAIAAgACAATABBAE0AQgBEAEEAKAB2ACwAIABUAE8AQwBPAEwAKABJAEYARQBSAFIATwBSACgAdgAsACAAMAApACkAKQAsAFwAbgBcAG4AIAAgACAAIAAvAC8AIABSAGUAbQBvAHYAZQAgAGUAcgByAG8AcgBzACAAZgByAG8AbQAgAHMAYwBhAGwAYQByAHMALgBcAG4AIAAgACAAIABSAGUAbQBvAHYAZQBOAEEAuwMsACAAIAAgACAAIAAgACAAIAAgACAAIAAgACAAIABMAEEATQBCAEQAQQAoAHYALAAgAEkARgBOAEEAKAB2ACwAIAAwACkAKQAsAFwAbgBcAG4AIAAgACAAIAAvAC8AIABPAHAAdABpAG8AbgBhAGwAIABkAGUAbABpAG0AaQB0AGUAcgAgAGYAbwByACAAdgBlAHIAYgBvAHMAZQAgAHIAZQBwAG8AcgB0AC4AXABuACAAIAAgACAAZABlAGwAaQBtAGkAdABlAHIALAAgACAAIAAgACAAIAAgACAAIAAgACAAIAAgACAASQBGACgASQBTAE8ATQBJAFQAVABFAEQAKABkAGUAbABpAG0AaQB0AGUAcgApACwAIABcACIALAAgAFwAIgAsACAAZABlAGwAaQBtAGkAdABlAHIAKQAsAFwAbgBcAG4AIAAgACAAIAAvAC8AIABWAGUAcgBiAG8AcwBlACAAcgBlAHAAbwByAHQAIAAtACAAcgBlAHQAdQByAG4AcwAgAG4AYQByAHIAYQB0AGEAYgBsAGUAIAB0AGEAZwBzACAAYgB5ACAAYwBlAGwAbAAuACAAVABlAHIAbQBpAG4AYQB0AGUAcwAgAGUAYQByAGwAeQAgAGkAZgAgAGIAbABhAG4AawAuAFwAbgAgACAAIAAgAEcAZQB0AEQAZQB0AGEAaQBsAHMAuwMsACAAIAAgACAAIAAgACAAIAAgACAAIAAgAEwAQQBNAEIARABBACgAYQAsACAAYgAsACAAYwAsACAAZAAsACAAZQAsACAAZgAsACAAZwAsACAAaAAsACAAaQAsAFwAbgAgACAAIAAgACAAIAAgACAAIAAgACAAIAAgACAAIAAgACAAIAAgACAAIAAgACAAIAAgACAAIAAgAEwARQBUACgAXABuACAAIAAgACAAIAAgACAAIAAgACAAIAAgACAAIAAgACAAIAAgACAAIAAgACAAIAAgACAAIAAgACAAIAAgACAAIABtACwAIAAgACAAIAAgACAAVgBTAFQAQQBDAEsAKABhACwAIABiACwAIABjACwAIABkACwAIABSAGUAbQBvAHYAZQBOAEEAuwMoAGUAKQAsACAAUgBlAG0AbwB2AGUATgBBALsDKABmACkALAAgAGcALAAgAGgALAAgAGkAKQAsAFwAbgAgACAAIAAgACAAIAAgACAAIAAgACAAIAAgACAAIAAgACAAIAAgACAAIAAgACAAIAAgACAAIAAgACAAIAAgACAAZABlAHQAYQBpAGwALAAgAEkARgAoAGgALAAgAFwAIgBCAGwAYQBuAGsAXAAiACwAIABUAE8AQwBPAEwAKABJAEYAUwAoAG0ALAAgAG0AZQB0AHIAaQBjAHMAKQAsACAAMgApACkALABcAG4AIAAgACAAIAAgACAAIAAgACAAIAAgACAAIAAgACAAIAAgACAAIAAgACAAIAAgACAAIAAgACAAIAAgACAAIAAgAGoAbwBpAG4AZQBkACwAIABUAEUAWABUAEoATwBJAE4AKABkAGUAbABpAG0AaQB0AGUAcgAsACAAMQAsACAAZABlAHQAYQBpAGwAKQAsAFwAbgAgACAAIAAgACAAIAAgACAAIAAgACAAIAAgACAAIAAgACAAIAAgACAAIAAgACAAIAAgACAAIAAgACAAIAAgACAAagBvAGkAbgBlAGQAKQApACwAXABuAFwAbgAgACAAIAAgAC8ALwAgAEMAZQBsAGwAcwAgAHcAaQB0AGgAOgBcAG4AIAAgACAAIABOAHUAbQBiAGUAcgBzACwAIAAgACAAIAAgACAAIAAgACAAIAAgACAAIAAgACAALQAtAFQATwBDAE8ATAAoAEkAUwBOAFUATQBCAEUAUgAoAGQAYQB0AGEAKQApACwAXABuACAAIAAgACAAVABlAHgAdABzACwAIAAgACAAIAAgACAAIAAgACAAIAAgACAAIAAgACAAIAAgAC0ALQBUAE8AQwBPAEwAKABJAFMAVABFAFgAVAAoAGQAYQB0AGEAKQApACwAXABuACAAIAAgACAATgB1AG0AYgBlAHIAcwBfAHMAdABvAHIAZQBkAF8AYQBzAF8AdABlAHgAdAAsACAAVABPAEMATwBMACgASQBTAE4AVQBNAEIARQBSACgASQBGAEUAUgBSAE8AUgAoAGQAYQB0AGEAIAArACAAMAAsACAAXAAiAFwAIgApACkAIAAqACAASQBTAFQARQBYAFQAKABkAGEAdABhACkAKQAsAFwAbgAgACAAIAAgAEMAZQBsAGwAcwBfAHcAaQB0AGgAXwBlAHIAcgBvAHIAcwAsACAAIAAgACAAIAAtAC0AVABPAEMATwBMACgASQBTAEUAUgBSAE8AUgAoAGQAYQB0AGEAKQApACwAXABuACAAIAAgACAAUwBwAGEAYwBlAHMALAAgACAAIAAgACAAIAAgACAAIAAgACAAIAAgACAAIAAgAC0ALQBCAGkAbgC7AygATABFAE4AKABUAFIASQBNACgAZABhAHQAYQApACkAIAA8AD4AIABMAEUATgAoAGQAYQB0AGEAKQApACwAXABuAFwAbgAgACAAIAAgAC8ALwAgAFAAYQB0AHQAZQByAG4AIABtAGEAdABjAGgAZQBzACAAZgBvAHIAIABzAHAAZQBjAGkAYQBsACAAYwBoAGEAcgBhAGMAdABlAHIAcwBcAG4AIAAgACAAIABwAGEAdAB0AGUAcgBuACwAIAAgACAAIAAgACAAIAAgACAAIAAgACAAIAAgACAAXAAiAFsAXgBBAC0AWgBhAC0AegAwAC0AOQAgAC4AXQB8AFsAXABcAHgAewAwADAAQQAwAH0AXABcAHgAewAyADAAMABCAH0ALQBcAFwAeAB7ADIAMAAwAEQAfQBdAHwAWwBcAFwAdABcAFwAbgBcAFwAcgBdAHwAWwBcAFwAeAB7ADEARgA2ADAAMAB9AC0AXABcAHgAewAxAEYANgA0AEYAfQBdAFwAIgAsAFwAbgAgACAAIAAgAFMAcABlAGMAaQBhAGwAXwBjAGgAYQByAGEAYwB0AGUAcgBzACwAIAAgACAAIAAtAC0AQgBpAG4AuwMoAFIARQBHAEUAWABUAEUAUwBUACgAZABhAHQAYQAsACAAcABhAHQAdABlAHIAbgApACkALABcAG4AXABuACAAIAAgACAARgBvAHIAbQB1AGwAYQBzACwAIAAgACAAIAAgACAAIAAgACAAIAAgACAAIAAgAC0ALQBUAE8AQwBPAEwAKABJAFMARgBPAFIATQBVAEwAQQAoAGQAYQB0AGEAKQApACwAXABuACAAIAAgACAAQgBsAGEAbgBrAHMALAAgACAAIAAgACAAIAAgACAAIAAgACAAIAAgACAAIAAgAC0ALQBUAE8AQwBPAEwAKABJAFMAQgBMAEEATgBLACgAZABhAHQAYQApACkALABcAG4AIAAgACAAIABMAG8AZwBpAGMAYQBsACwAIAAgACAAIAAgACAAIAAgACAAIAAgACAAIAAgACAALQAtAFQATwBDAE8ATAAoAEkAUwBMAE8ARwBJAEMAQQBMACgAZABhAHQAYQApACkALABcAG4AXABuACAAIAAgACAALwAvACAATQBlAHQAcgBpAGMAcwAgAGYAbABhAHQAdABlAG4AZQBkACAAcgBvAHcALQB3AGkAcwBlACAAYQBuAGQAIABzAHQAYQBjAGsAZQBkACAAaABvAHIAaQB6AG8AbgB0AGEAbABsAHkALgBcAG4AIAAgACAAIABtAGUAdAByAGkAYwBfAHMAdABhAGMAawAsACAAIAAgACAAIAAgACAAIAAgACAASABTAFQAQQBDAEsAKABcAG4AIAAgACAAIAAgACAAIAAgACAAIAAgACAAIAAgACAAIAAgACAAIAAgACAAIAAgACAAIAAgACAAIAAgACAAIAAgAE4AdQBtAGIAZQByAHMALABcAG4AIAAgACAAIAAgACAAIAAgACAAIAAgACAAIAAgACAAIAAgACAAIAAgACAAIAAgACAAIAAgACAAIAAgACAAIAAgAFQAZQB4AHQAcwAsAFwAbgAgACAAIAAgACAAIAAgACAAIAAgACAAIAAgACAAIAAgACAAIAAgACAAIAAgACAAIAAgACAAIAAgACAAIAAgACAATgB1AG0AYgBlAHIAcwBfAHMAdABvAHIAZQBkAF8AYQBzAF8AdABlAHgAdAAsAFwAbgAgACAAIAAgACAAIAAgACAAIAAgACAAIAAgACAAIAAgACAAIAAgACAAIAAgACAAIAAgACAAIAAgACAAIAAgACAAQwBlAGwAbABzAF8AdwBpAHQAaABfAGUAcgByAG8AcgBzACwAXABuACAAIAAgACAAIAAgACAAIAAgACAAIAAgACAAIAAgACAAIAAgACAAIAAgACAAIAAgACAAIAAgACAAIAAgACAAIABTAHAAYQBjAGUAcwAsAFwAbgAgACAAIAAgACAAIAAgACAAIAAgACAAIAAgACAAIAAgACAAIAAgACAAIAAgACAAIAAgACAAIAAgACAAIAAgACAAUwBwAGUAYwBpAGEAbABfAGMAaABhAHIAYQBjAHQAZQByAHMALABcAG4AIAAgACAAIAAgACAAIAAgACAAIAAgACAAIAAgACAAIAAgACAAIAAgACAAIAAgACAAIAAgACAAIAAgACAAIAAgAEYAbwByAG0AdQBsAGEAcwAsAFwAbgAgACAAIAAgACAAIAAgACAAIAAgACAAIAAgACAAIAAgACAAIAAgACAAIAAgACAAIAAgACAAIAAgACAAIAAgACAAQgBsAGEAbgBrAHMALABcAG4AIAAgACAAIAAgACAAIAAgACAAIAAgACAAIAAgACAAIAAgACAAIAAgACAAIAAgACAAIAAgACAAIAAgACAAIAAgAEwAbwBnAGkAYwBhAGwAKQAsAFwAbgBcAG4AIAAgACAAIAAvAC8AIABNAGUAdAByAGkAYwBzACAAcwB1AG0AbQBhAHIAaQB6AGUAZAAgAGEAbgBkACAAYwBvAG4AdgBlAHIAdABlAGQAIAB0AG8AIAB2AGUAcgB0AGkAYwBhAGwAIABhAHIAcgBhAHkALgBcAG4AIAAgACAAIAB0AG8AdABhAGwAcwAsACAAIAAgACAAIAAgACAAIAAgACAAIAAgACAAIAAgACAAIABUAE8AQwBPAEwAKABCAFkAQwBPAEwAKABtAGUAdAByAGkAYwBfAHMAdABhAGMAawAsACAAUwBVAE0AKQApACwAXABuAFwAbgAgACAAIAAgAC8ALwAtAC0AIABSAGUAcABvAHIAdABpAG4AZwAgAC0ALQBcAG4AXABuACAAIAAgACAALwAvACAAVABvAHAALQBsAGUAdgBlAGwAIAA5ANcAMgAgAHMAdQBtAG0AYQByAHkAIABvAGYAIABkAGEAdABhAC4AXABuACAAIAAgACAAUwB1AG0AbQBhAHIAeQAsACAAIAAgACAAIAAgACAAIAAgACAAIAAgACAAIAAgACAATABBAE0AQgBEAEEAKABTAE8AUgBUACgASABTAFQAQQBDAEsAKABtAGUAdAByAGkAYwBzACwAIAB0AG8AdABhAGwAcwApACwAIAAyACwAIAAtADEAKQApACwAXABuAFwAbgAgACAAIAAgAC8ALwAgAEMAZQBsAGwALQBiAHkALQBjAGUAbABsACAAcgBlAHAAbwByAHQAIABvAGYAIABkAGEAdABhAC4AXABuACAAIAAgACAAVgBlAHIAYgBvAHMAZQAsACAAIAAgACAAIAAgACAAIAAgACAAIAAgACAAIAAgACAAVwBSAEEAUABSAE8AVwBTACgAXABuACAAIAAgACAAIAAgACAAIAAgACAAIAAgACAAIAAgACAAIAAgACAAIAAgACAAIAAgACAAIAAgACAAIAAgACAAIABNAEEAUAAoAFwAbgAgACAAIAAgACAAIAAgACAAIAAgACAAIAAgACAAIAAgACAAIAAgACAAIAAgACAAIAAgACAAIAAgACAAIAAgACAAIAAgACAAIABOAHUAbQBiAGUAcgBzACwAXABuACAAIAAgACAAIAAgACAAIAAgACAAIAAgACAAIAAgACAAIAAgACAAIAAgACAAIAAgACAAIAAgACAAIAAgACAAIAAgACAAIAAgAFQAZQB4AHQAcwAsAFwAbgAgACAAIAAgACAAIAAgACAAIAAgACAAIAAgACAAIAAgACAAIAAgACAAIAAgACAAIAAgACAAIAAgACAAIAAgACAAIAAgACAAIABOAHUAbQBiAGUAcgBzAF8AcwB0AG8AcgBlAGQAXwBhAHMAXwB0AGUAeAB0ACwAXABuACAAIAAgACAAIAAgACAAIAAgACAAIAAgACAAIAAgACAAIAAgACAAIAAgACAAIAAgACAAIAAgACAAIAAgACAAIAAgACAAIAAgAEMAZQBsAGwAcwBfAHcAaQB0AGgAXwBlAHIAcgBvAHIAcwAsAFwAbgAgACAAIAAgACAAIAAgACAAIAAgACAAIAAgACAAIAAgACAAIAAgACAAIAAgACAAIAAgACAAIAAgACAAIAAgACAAIAAgACAAIABTAHAAYQBjAGUAcwAsAFwAbgAgACAAIAAgACAAIAAgACAAIAAgACAAIAAgACAAIAAgACAAIAAgACAAIAAgACAAIAAgACAAIAAgACAAIAAgACAAIAAgACAAIABTAHAAZQBjAGkAYQBsAF8AYwBoAGEAcgBhAGMAdABlAHIAcwAsAFwAbgAgACAAIAAgACAAIAAgACAAIAAgACAAIAAgACAAIAAgACAAIAAgACAAIAAgACAAIAAgACAAIAAgACAAIAAgACAAIAAgACAAIABGAG8AcgBtAHUAbABhAHMALABcAG4AIAAgACAAIAAgACAAIAAgACAAIAAgACAAIAAgACAAIAAgACAAIAAgACAAIAAgACAAIAAgACAAIAAgACAAIAAgACAAIAAgACAAQgBsAGEAbgBrAHMALABcAG4AIAAgACAAIAAgACAAIAAgACAAIAAgACAAIAAgACAAIAAgACAAIAAgACAAIAAgACAAIAAgACAAIAAgACAAIAAgACAAIAAgACAATABvAGcAaQBjAGEAbAAsAFwAbgAgACAAIAAgACAAIAAgACAAIAAgACAAIAAgACAAIAAgACAAIAAgACAAIAAgACAAIAAgACAAIAAgACAAIAAgACAAIAAgACAAIABHAGUAdABEAGUAdABhAGkAbABzALsDKQAsAFwAbgAgACAAIAAgACAAIAAgACAAIAAgACAAIAAgACAAIAAgACAAIAAgACAAIAAgACAAIAAgACAAIAAgACAAIAAgACAAdwBpAGQAdABoACkALABcAG4AXABuACAAIAAgACAAUgBlAHAAbwByAHQALAAgACAAIAAgACAAIAAgACAAIAAgACAAIAAgACAAIAAgACAASQBGACgASQBTAE8ATQBJAFQAVABFAEQAKABJAHMAVgBlAHIAYgBvAHMAZQA/ACkALAAgAFMAdQBtAG0AYQByAHkAKAApACwAIABWAGUAcgBiAG8AcwBlACkALABcAG4AIAAgACAAIABSAGUAcABvAHIAdABcAG4AKQApADsAXABuAFwAbgBcAG4AXABuAC8ALwAgAC0ALQBFAG4AZAAgAG8AZgAgAEIAaQBnAFMAcABpAGwAbAAgAE0AbwBkAHUAbABlAC0ALQAiAH0AXQAsACIAcAByAG8AagBlAGMAdABOAGEAbQBlAHMAIgA6AFsAIgBEAEcAcgBpAGQAuwMiACwAIgBDAEcAcgBpAGQAuwMiACwAIgBNAEcAcgBpAGQAuwMiACwAIgBUAEcAcgBpAGQAuwMiACwAIgBQAG8AbABhAHIARwByAGkAZAC7AyIALAAiAEMAaQByAGMAbABlALsDIgAsACIARABpAGEAbQBvAG4AZAC7AyIALAAiAFAAbAB1AHMAuwMiACwAIgBQAHkAcgBhAG0AaQBkALsDIgAsACIAUgBpAG4AZwC7AyIALAAiAFMAcQB1AGEAcgBlALsDIgAsACIAVAByAGkAYQBuAGcAbABlALsDIgAsACIAUgBlAFMAaABhAHAAZQAyAEQAuwMiACwAIgBSAGUAcwBpAHoAZQC7AyIALAAiAFMAYwBhAG4AMgBEALsDIgAsACIAVAByAGEAdgBlAHIAcwBlALsDIgAsACIAVABhAGsAZQBCAGwAbwBjAGsAuwMiACwAIgBEAFMAdABhAGMAawC7AyIALAAiAFcAcgBhAHAAUgBvAHcAcwAyAEQAuwMiACwAIgBXAHIAYQBwAEMAbwBsAHMAMgBEALsDIgAsACIAUwB0AGEAaQByAGMAYQBzAGUAuwMiACwAIgBWAGEAbABpAGQAYQB0AGUAUwB0AGEAaQByAGMAYQBzAGUAuwMiACwAIgBVAG4AUABpAHYAbwB0ALsDIgAsACIAWgBpAHAAuwMiACwAIgBTAGwAaQBjAGUAQgB5AEQAZQBnALsDIgAsACIAUABhAGQAuwMiACwAIgBJAG4AcwB1AGwAYQB0AGUAUgBvAHcAcwC7AyIALAAiAEkAbgBzAHUAbABhAHQAZQBDAG8AbABzALsDIgAsACIATQBhAGcAbgBpAGYAeQC7AyIALAAiAFoAbwBvAG0AuwMiACwAIgBEAGUAbABlAHQAZQBSAG8AdwBzALsDIgAsACIARABlAGwAZQB0AGUAQwBvAGwAcwC7AyIALAAiAEQAZQBsAGUAdABlAFcAaABlAHIAZQC7AyIALAAiAFAAaQBuAGMAaAC7AyIALAAiAFIAZQBtAG8AdgBlALsDIgAsACIAUwBxAHUAZQBlAHoAZQC7AyIALAAiAEsAcgBvAG4AZQBjAGsAZQByAFAAcgBvAGQAuwMiACwAIgBFAHgAYwBsAHUAZABlALsDIgAsACIAUwBuAGEAcAC7AyIALAAiAFMAaABpAGYAdAC7AyIALAAiAFMAaABpAGYAdABSAG8AdwBzALsDIgAsACIAUwBoAGkAZgB0AEMAbwBsAHMAuwMiACwAIgBFAG0AYgBlAGQAuwMiACwAIgBLAGUAZQBwAFIAbwB3AHMAuwMiACwAIgBLAGUAZQBwAEMAbwBsAHMAuwMiACwAIgBCAGwAbwBjAGsATQBhAHAAuwMiACwAIgBWAGEAbABpAGQAYQB0AGUAQgBsAG8AYwBrAE0AYQBwALsDIgAsACIAQwBvAG4AdgBvAGwAdgBlALsDIgAsACIARgBvAGwAZAC7AyIALAAiAEoAbwBpAG4AMgBEALsDIgAsACIARQBjAGgAbwC7AyIALAAiAFIAZQBwAGUAYQB0AFIAbwB3AHMAuwMiACwAIgBSAGUAcABlAGEAdABDAG8AbABzALsDIgAsACIAVABlAHMAcwBlAGwAbABhAHQAZQC7AyIALAAiAFMAdAByAGUAYQBrALsDIgAsACIAQwBvAHUAbgB0AGQAbwB3AG4AuwMiACwAIgBCAHkARABpAGEAZwC7AyIALAAiAEQAaQBhAGcATQBhAHAAuwMiACwAIgBEAGkAYQBnAEkAbgBkAGUAeAC7AyIALAAiAFYAYQBsAGkAZABhAHQAZQBEAGkAYQBnALsDIgAsACIAUABhAGkAcgB3AGkAcwBlALsDIgAsACIAVAByAGkAcABsAGUAdwBpAHMAZQC7AyIALAAiAFEAdQBhAGQAdwBpAHMAZQC7AyIALAAiAEcAcgBvAHUAcABiAHkAQgBpAG4AuwMiACwAIgBHAHIAbwB1AHAAYgB5AEQAYQB0AGUAuwMiACwAIgBWAGEAbABpAGQAYQB0AGUARwBEALsDIgAsACIAUABpAHYAbwB0AGIAeQBDAGEAdAC7AyIALAAiAEcAcgBhAGkAbgC7AyIALAAiAE0AbwBvAHIAZQBBAGcAZwC7AyIALAAiAE0AbwBvAHIAZQBTAGUAbABlAGMAdAC7AyIALAAiAEgAaQBzAHQAbwBnAHIAYQBtALsDIgAsACIATQBvAGQAZQC7AyIALAAiAFoAbwBuAGUAUwB0AGEAdAC7AyIALAAiAEEAbABpAGcAbgC7AyIALAAiAEEAbABpAGcAbgBEAGkAcwB0AGkAbgBjAHQAuwMiACwAIgBBAGwAaQBnAG4AVQBuAGkAcQB1AGUAuwMiACwAIgBDAG8AYQBsAGUAcwBjAGUAuwMiACwAIgBFAHgAcABsAG8AZABlALsDIgAsACIATgB1AG0AYgBlAHIAcwBPAG4AbAB5ALsDIgAsACIAVABlAHgAdABPAG4AbAB5ALsDIgAsACIAUwBwAGwAaQB0ALsDIgAsACIAUgBlAGcAZQB4AFMAYQBmAGUAuwMiACwAIgBCAGkAbgAyAEQAZQBjALsDIgAsACIAQgBpAG4AMgBHAHIAYQB5ALsDIgAsACIAQgBpAHQAQwBvAHUAbgB0ALsDIgAsACIARABlAGMAMgBCAGkAbgC7AyIALAAiAEQAZQBjADIARwByAGEAeQC7AyIALAAiAEUAbgB1AG0AZQByAGEAdABlALsDIgAsACIAUABlAHIAbQBSALsDIgAsACIAUABlAHIAbQC7AyIALAAiAEMAbwBtAGIAaQBuAGEAdABpAG8AbgBzAFIAuwMiACwAIgBDAG8AbQBiAGkAbgBhAHQAaQBvAG4AcwC7AyIALAAiAEQAZQByAGEAbgBnAGUAbQBlAG4AdABzALsDIgAsACIASwBuAGEAcABTAGEAYwBrALsDIgAsACIAUwB1AGIAcwBlAHQARwBlAG4AuwMiACwAIgBTAHUAYgBzAGUAdABTAHUAbQC7AyIALAAiAFIAZQB2AGUAYQBs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NAEQ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565BFE6C-3862-40D0-AB12-19A68FD10EF4}">
  <ds:schemaRefs>
    <ds:schemaRef ds:uri="http://schemas.advancedformulaenvironment.officeapps.live.com/afejsonblob/1.0"/>
  </ds:schemaRefs>
</ds:datastoreItem>
</file>

<file path=docMetadata/LabelInfo.xml><?xml version="1.0" encoding="utf-8"?>
<clbl:labelList xmlns:clbl="http://schemas.microsoft.com/office/2020/mipLabelMetadata">
  <clbl:label id="{8d0d81ba-ed03-4c6f-9248-a3b3967ca35c}" enabled="0" method="" siteId="{8d0d81ba-ed03-4c6f-9248-a3b3967ca3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16</vt:i4>
      </vt:variant>
    </vt:vector>
  </HeadingPairs>
  <TitlesOfParts>
    <vt:vector size="24" baseType="lpstr">
      <vt:lpstr>Introduction</vt:lpstr>
      <vt:lpstr>Align</vt:lpstr>
      <vt:lpstr>Align_Distinct</vt:lpstr>
      <vt:lpstr>Align_Unique</vt:lpstr>
      <vt:lpstr>Coalesce</vt:lpstr>
      <vt:lpstr>Explode</vt:lpstr>
      <vt:lpstr>Numbers_Text_Only</vt:lpstr>
      <vt:lpstr>Split</vt:lpstr>
      <vt:lpstr>ABC_array</vt:lpstr>
      <vt:lpstr>Addresses</vt:lpstr>
      <vt:lpstr>April</vt:lpstr>
      <vt:lpstr>Colors</vt:lpstr>
      <vt:lpstr>Excel</vt:lpstr>
      <vt:lpstr>February</vt:lpstr>
      <vt:lpstr>HelloWorld</vt:lpstr>
      <vt:lpstr>January</vt:lpstr>
      <vt:lpstr>March</vt:lpstr>
      <vt:lpstr>Mixed2D</vt:lpstr>
      <vt:lpstr>MixedInput</vt:lpstr>
      <vt:lpstr>Numbers</vt:lpstr>
      <vt:lpstr>PQR_array</vt:lpstr>
      <vt:lpstr>RST_array</vt:lpstr>
      <vt:lpstr>ScalarInput</vt:lpstr>
      <vt:lpstr>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BigSpill - Text</dc:title>
  <dc:creator>BigSpill Project</dc:creator>
  <dc:description>Demonstration workbook for BigSpill - Text</dc:description>
  <dcterms:created xsi:type="dcterms:W3CDTF">2026-07-07T14:02:57Z</dcterms:created>
  <dcterms:modified xsi:type="dcterms:W3CDTF">2026-09-04T13:41:20Z</dcterms:modified>
</cp:coreProperties>
</file>