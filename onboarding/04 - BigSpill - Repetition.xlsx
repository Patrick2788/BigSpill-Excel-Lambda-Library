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trickHogan\Downloads\BigSpill\"/>
    </mc:Choice>
  </mc:AlternateContent>
  <xr:revisionPtr revIDLastSave="0" documentId="13_ncr:1_{D9D33269-E8B2-43F4-BD25-407FDCC9E759}" xr6:coauthVersionLast="47" xr6:coauthVersionMax="47" xr10:uidLastSave="{00000000-0000-0000-0000-000000000000}"/>
  <bookViews>
    <workbookView xWindow="28680" yWindow="-120" windowWidth="29040" windowHeight="15720" xr2:uid="{D30FA540-5EF4-4B59-B1AE-F37A3236C2FA}"/>
  </bookViews>
  <sheets>
    <sheet name="Introduction" sheetId="1" r:id="rId1"/>
    <sheet name="Echo" sheetId="3" r:id="rId2"/>
    <sheet name="RepeatRows" sheetId="8" r:id="rId3"/>
    <sheet name="RepeatCols" sheetId="9" r:id="rId4"/>
    <sheet name="Tessellate" sheetId="10" r:id="rId5"/>
  </sheets>
  <definedNames>
    <definedName name="AlignDistinctλ">_xlfn.LAMBDA(_xlpm.array,_xlop.by_col, _xlfn.LET(_xlpm.SortByCol?, NOT(_xlfn.ISOMITTED(_xlpm.by_col)), _xlpm.aligned, Alignλ(_xlpm.array, _xlpm.by_col), _xlpm.u, _xlfn.UNIQUE(_xlpm.aligned, _xlpm.SortByCol?, TRUE), _xlpm.u))</definedName>
    <definedName name="AlignUniqueλ">_xlfn.LAMBDA(_xlpm.array,_xlop.by_col, _xlfn.LET(_xlpm.SortByCol?, NOT(_xlfn.ISOMITTED(_xlpm.by_col)), _xlpm.aligned, Alignλ(_xlpm.array, _xlpm.by_col), _xlpm.u, _xlfn.UNIQUE(_xlpm.aligned, _xlpm.SortByCol?), _xlpm.u))</definedName>
    <definedName name="Alignλ">_xlfn.LAMBDA(_xlpm.array,_xlop.by_col, _xlfn.LET(_xlpm.IsRowSort?, _xlfn.ISOMITTED(_xlpm.by_col), _xlpm.array, IF(_xlpm.IsRowSort?, _xlpm.array, TRANSPOSE(_xlpm.array)), _xlpm.invis, _xlfn.UNICHAR(8291), _xlpm.RowSortλ, _xlfn.LAMBDA(_xlpm.v, _xlfn.TEXTJOIN(_xlpm.invis, , _xlfn._xlws.SORT(_xlpm.v, , , 1))), _xlpm.joined, _xlfn.BYROW(_xlpm.array, _xlpm.RowSortλ), _xlpm.ex, Splitλ(_xlpm.joined, _xlpm.invis), _xlpm.final, IF(_xlpm.IsRowSort?, _xlpm.ex, TRANSPOSE(_xlpm.ex)), _xlpm.final))</definedName>
    <definedName name="Alpha">Tessellate!$C$8:$D$9</definedName>
    <definedName name="Animals">Echo!$C$16:$C$18</definedName>
    <definedName name="Available">RepeatCols!$C$23:$D$23</definedName>
    <definedName name="Bin2Decλ">_xlfn.LAMBDA(_xlpm.binary, _xlfn.LET(_xlpm.h, ROWS(_xlpm.binary), _xlpm.w, COLUMNS(_xlpm.binary), _xlpm.IsScalar?, AND(_xlpm.h = 1, _xlpm.w = 1), _xlpm.IsVertical?, AND(_xlpm.h &gt; 1, _xlpm.w = 1), _xlpm.IsHorizontal?, AND(_xlpm.w &gt; 1, _xlpm.h = 1), _xlpm.bits, MAX(LEN(_xlpm.binary)), _xlpm.arr, TEXT(_xlpm.binary, REPT("0", _xlpm.bits)), _xlpm.binary, IF(_xlpm.IsScalar?, Explodeλ(_xlpm.binary), Explodeλ(_xlfn.TOCOL(_xlpm.arr))), _xlpm.powers, _xlfn.SEQUENCE(, _xlpm.bits, _xlpm.bits - 1, -1), _xlpm.p, POWER(2, _xlpm.powers), _xlpm.result, _xlfn.BYROW(_xlpm.binary * _xlpm.p, _xleta.SUM), _xlpm.final, IF(OR(_xlpm.IsScalar?, _xlpm.IsVertical?), _xlpm.result, IF(_xlpm.IsHorizontal?, TRANSPOSE(_xlpm.result), _xlfn.WRAPROWS(_xlpm.result, _xlpm.w))), _xlpm.final))</definedName>
    <definedName name="Bin2Grayλ">_xlfn.LAMBDA(_xlpm.binary,_xlop.concise, _xlfn.LET(_xlpm.Is2DGray?, _xlfn.ISOMITTED(_xlpm.concise), _xlpm.h, ROWS(_xlpm.binary), _xlpm.w, COLUMNS(_xlpm.binary), _xlpm.IsScalar?, AND(_xlpm.h = 1, _xlpm.w = 1), _xlpm.IsVertical?, AND(_xlpm.h &gt; 1, _xlpm.w = 1), _xlpm.IsHorizontal?, AND(_xlpm.w &gt; 1, _xlpm.h = 1), _xlpm.Is1D?, _xlfn.XOR(_xlpm.h = 1, _xlpm.w = 1), _xlpm.bits, MAX(LEN(_xlpm.binary)), _xlpm.arr, TEXT(_xlpm.binary, REPT("0", _xlpm.bits)), _xlpm.binary, IF(_xlpm.IsScalar?, Explodeλ(_xlpm.binary), Explodeλ(_xlfn.TOCOL(_xlpm.arr))), _xlpm.msb, _xlfn.TAKE(_xlpm.binary, , 1), _xlpm.x, _xlfn.BITXOR(_xlfn.DROP(_xlpm.binary, , 1), _xlfn.DROP(_xlpm.binary, , -1)), _xlpm.gray, _xlfn.HSTACK(_xlpm.msb, _xlpm.x), _xlpm.result, IF(AND(_xlpm.Is2DGray?, _xlpm.Is1D?), _xlpm.gray, _xlfn.BYROW(_xlpm.gray, _xleta.CONCAT)), _xlpm.final, IF(OR(_xlpm.IsScalar?, _xlpm.IsVertical?), _xlpm.result, IF(_xlpm.IsHorizontal?, TRANSPOSE(_xlpm.result), _xlfn.WRAPROWS(_xlpm.result, _xlpm.w))), _xlpm.final))</definedName>
    <definedName name="BitCountλ">_xlfn.LAMBDA(_xlpm.n, _xlfn.LET(_xlpm.h, ROWS(_xlpm.n), _xlpm.w, COLUMNS(_xlpm.n), _xlpm.IsScalar?, AND(_xlpm.h = 1, _xlpm.w = 1), _xlpm.IsVertical?, AND(_xlpm.h &gt; 1, _xlpm.w = 1), _xlpm.Is1D?, _xlfn.XOR(_xlpm.h = 1, _xlpm.w = 1), _xlpm.Is2D?, AND(_xlpm.h &gt; 1, _xlpm.w &gt; 1), _xlpm.n, IF(_xlpm.Is1D?, _xlpm.n, _xlfn.TOCOL(_xlpm.n)), _xlpm.fnλ, IF(OR(_xlpm.IsVertical?, _xlpm.Is2D?), _xleta.BYROW, _xleta.BYCOL), _xlpm.bits, Dec2Binλ(_xlpm.n, 1), _xlpm.counts, IF(_xlpm.IsScalar?, SUM(_xlpm.bits), _xlpm.fnλ(_xlpm.bits, _xleta.SUM)), _xlpm.final, IF(_xlpm.Is1D?, _xlpm.counts, _xlfn.WRAPROWS(_xlpm.counts, _xlpm.w)), _xlpm.final))</definedName>
    <definedName name="BlockMapλ">_xlfn.LAMBDA(_xlpm.matrix,_xlpm.depth,_xlpm.width,_xlop.re_shape_by_column?,_xlop.transpose_anchors?, ValidateBlockMapλ(_xlpm.matrix, _xlpm.depth, _xlpm.width, _xlpm.re_shape_by_column?, _xlfn.LET(_xlpm.x, ROUNDUP(ROWS(_xlpm.matrix) / _xlpm.depth, 0), _xlpm.y, ROUNDUP(COLUMNS(_xlpm.matrix) / _xlpm.width, 0), _xlpm.i, _xlfn.SEQUENCE(_xlpm.x, , 1, _xlpm.depth) * _xlfn.SEQUENCE(, _xlpm.y, 1, 0), _xlpm.j, _xlfn.SEQUENCE(, _xlpm.y, 1, _xlpm.width) * _xlfn.SEQUENCE(_xlpm.x, , 1, 0), _xlpm.row_anchor, IF(_xlfn.ISOMITTED(_xlpm.transpose_anchors?), _xlpm.i, TRANSPOSE(_xlpm.i)), _xlpm.col_anchor, IF(_xlfn.ISOMITTED(_xlpm.transpose_anchors?), _xlpm.j, TRANSPOSE(_xlpm.j)), _xlpm.row_indices, _xlfn.TOCOL(_xlpm.row_anchor) + INT(_xlfn.SEQUENCE(, _xlpm.depth * _xlpm.width, 0, 1 / _xlpm.width)), _xlpm.col_indices, _xlfn.TOCOL(_xlpm.col_anchor) + _xlfn.TOROW(_xlfn.IFS(_xlfn.SEQUENCE(_xlpm.depth), _xlfn.SEQUENCE(, _xlpm.width, 0, 1))), _xlpm.reshaped, INDEX(_xlpm.matrix, _xlpm.row_indices, _xlpm.col_indices), _xlpm.result, IF(_xlpm.re_shape_by_column?, TRANSPOSE(_xlpm.reshaped), _xlpm.reshaped), _xlpm.result)))</definedName>
    <definedName name="Bread">RepeatRows!$C$26:$E$30</definedName>
    <definedName name="ByDiagλ">_xlfn.LAMBDA(_xlpm.array,_xlop.function,_xlop.row_wise_stack?, ValidateDiagλ(_xlpm.array, , _xlpm.function, _xlpm.row_wise_stack?, _xlfn.LET(_xlpm.No_Function, _xlfn.ISOMITTED(_xlpm.function), _xlpm.No_RowStack, _xlfn.ISOMITTED(_xlpm.row_wise_stack?), _xlpm.h, ROWS(_xlpm.array), _xlpm.w, COLUMNS(_xlpm.array), _xlpm.k, MIN(_xlpm.h, _xlpm.w), _xlpm.r, _xlfn.LAMBDA(_xlfn.SEQUENCE(_xlpm.k) * _xlfn.SEQUENCE(, _xlpm.w, 1, 0)), _xlpm.y, _xlfn.LAMBDA(_xlfn.SEQUENCE(_xlpm.k) + _xlfn.SEQUENCE(, _xlpm.w, 0, 1)), _xlpm.c, _xlfn.LAMBDA(IF(_xlpm.y() &gt; _xlpm.w, NA(), _xlpm.y())), _xlpm.result, _xlfn.IFNA(INDEX(_xlpm.array, _xlpm.r(), _xlpm.c()), ""), _xlpm.shaped, IF(_xlpm.No_RowStack, _xlpm.result, TRANSPOSE(_xlpm.result)), _xlpm.final, IF(_xlpm.No_Function, _xlpm.shaped, IF(_xlpm.No_RowStack, _xlfn.BYCOL(_xlpm.shaped, _xlpm.function), _xlfn.BYROW(_xlpm.shaped, _xlpm.function))), _xlpm.final)))</definedName>
    <definedName name="CGridλ">_xlfn.LAMBDA(_xlpm.grid,_xlop.col_index, _xlfn.LET(_xlpm.RowIdx?, _xlfn.ISOMITTED(_xlpm.col_index), _xlpm.h, ROWS(_xlpm.grid), _xlpm.w, COLUMNS(_xlpm.grid), _xlpm.i_start, -(_xlpm.h - 1) / 2, _xlpm.j_start, -(_xlpm.w - 1) / 2, _xlpm.i, _xlfn.LAMBDA(Resizeλ(_xlfn.SEQUENCE(_xlpm.h, , _xlpm.i_start), , _xlpm.w)), _xlpm.j, _xlfn.LAMBDA(Resizeλ(_xlfn.SEQUENCE(, _xlpm.w, _xlpm.j_start), _xlpm.h)), _xlpm.result, IF(_xlpm.RowIdx?, _xlpm.i(), _xlpm.j()), _xlpm.result))</definedName>
    <definedName name="Checker">Tessellate!$C$28:$D$29</definedName>
    <definedName name="Circleλ">_xlfn.LAMBDA(_xlpm.grid,_xlpm.target,_xlpm.extend,_xlop.fill_value, _xlfn.LET(_xlpm.h, ROWS(_xlpm.grid), _xlpm.w, COLUMNS(_xlpm.grid), _xlpm.IsI_J?, COUNT(_xlpm.target) = 2, _xlpm.r, IF(_xlpm.IsI_J?, _xlfn.TAKE(_xlpm.target, 1, 1), 0), _xlpm.c, IF(_xlpm.IsI_J?, _xlfn.TAKE(_xlpm.target, -1, -1), 0), _xlpm.bool, IF(_xlpm.IsI_J?, FALSE, _xlpm.grid = _xlpm.target), _xlpm.IsScalar?, AND(_xlpm.h = 1, _xlpm.w = 1), _xlpm.Is1D?, _xlfn.XOR(_xlpm.h = 1, _xlpm.w = 1), _xlpm.InvalidExtend?, OR(ISTEXT(_xlpm.extend), _xlpm.extend &lt; 1), _xlpm.NoTarget?, IF(_xlpm.IsI_J?, FALSE, NOT(OR(_xlpm.bool))), _xlpm.fill_value, IF(_xlfn.ISOMITTED(_xlpm.fill_value), 0, _xlpm.fill_value), IF(_xlpm.IsScalar?, _xlpm.grid, IF(_xlpm.Is1D?, "#1D-ARRAY!", IF(_xlpm.InvalidExtend?, "#EXTEND!", IF(_xlpm.NoTarget?, "#TARGET!", _xlfn.LET(_xlpm.i, CGridλ(_xlpm.grid), _xlpm.j, CGridλ(_xlpm.grid, 1), _xlpm.x, IF(_xlpm.IsI_J?, INDEX(_xlpm.i, _xlpm.r, _xlpm.c), _xlfn.TOCOL(IF(_xlpm.bool, _xlpm.i, NA()), 2)), _xlpm.y, IF(_xlpm.IsI_J?, INDEX(_xlpm.j, _xlpm.r, _xlpm.c), _xlfn.TOCOL(IF(_xlpm.bool, _xlpm.j, NA()), 2)), _xlpm.mask, (_xlpm.i - _xlpm.x) ^ 2 + (_xlpm.j - _xlpm.y) ^ 2 &lt;= _xlpm.extend ^ 2, _xlpm.result, Squeezeλ(IF(_xlpm.mask, _xlpm.grid, _xlpm.fill_value), _xlpm.fill_value), _xlpm.result)))))))</definedName>
    <definedName name="Coalesceλ">_xlfn.LAMBDA(_xlpm.array_1,_xlpm.array_2,_xlop.array_3,_xlop.array_4,_xlop.ignore,_xlop.fill_value, _xlfn.LET(_xlpm.Include3, NOT(_xlfn.ISOMITTED(_xlpm.array_3)), _xlpm.Include4, NOT(_xlfn.ISOMITTED(_xlpm.array_4)), _xlpm.array_3, IF(_xlfn.ISOMITTED(_xlpm.array_3), FALSE, _xlpm.array_3), _xlpm.array_4, IF(_xlfn.ISOMITTED(_xlpm.array_4), FALSE, _xlpm.array_4), _xlpm.ignore, IF(_xlfn.ISOMITTED(_xlpm.ignore), "", _xlpm.ignore), _xlpm.fill_value, IF(_xlfn.ISOMITTED(_xlpm.fill_value), "", _xlpm.fill_value), _xlpm.h, ROWS(_xlpm.array_1), _xlpm.w, COLUMNS(_xlpm.array_1), _xlpm.h₂, ROWS(_xlpm.array_2), _xlpm.w₂, COLUMNS(_xlpm.array_2), _xlpm.h₃, ROWS(_xlpm.array_3), _xlpm.w₃, COLUMNS(_xlpm.array_3), _xlpm.h₄, ROWS(_xlpm.array_4), _xlpm.w₄, COLUMNS(_xlpm.array_4), _xlpm.S_2, OR(_xlpm.h &lt;&gt; _xlpm.h₂, _xlpm.w &lt;&gt; _xlpm.w₂), _xlpm.S_3, _xlpm.Include3 * OR(_xlpm.h &lt;&gt; _xlpm.h₃, _xlpm.w &lt;&gt; _xlpm.w₃), _xlpm.S_4, _xlpm.Include4 * OR(_xlpm.h &lt;&gt; _xlpm.h₄, _xlpm.w &lt;&gt; _xlpm.w₄), _xlpm.ShapeMismatch?, OR(_xlpm.S_2, _xlpm.S_3, _xlpm.S_4), IF(_xlpm.ShapeMismatch?, "#DIMENSIONS!", _xlfn.LET(_xlpm.Occupiedλ, _xlfn.LAMBDA(_xlpm.arr, _xlfn.LAMBDA((_xlpm.arr &lt;&gt; FALSE) * (LEN(_xlpm.arr) &lt;&gt; 0) * (_xlpm.arr &lt;&gt; _xlpm.ignore))), _xlpm.m_1, _xlpm.Occupiedλ(_xlpm.array_1), _xlpm.m_2, _xlpm.Occupiedλ(_xlpm.array_2), _xlpm.m_3, _xlpm.Occupiedλ(_xlpm.array_3), _xlpm.m_4, _xlpm.Occupiedλ(_xlpm.array_4), _xlpm.final, IF(_xlpm.m_1(), _xlpm.array_1, IF(_xlpm.m_2(), _xlpm.array_2, IF(_xlpm.m_3(), _xlpm.array_3, IF(_xlpm.m_4(), _xlpm.array_4, _xlpm.fill_value)))), _xlpm.final))))</definedName>
    <definedName name="CombinationsRλ">_xlfn.LAMBDA(_xlpm.items,_xlpm.items_chosen, Enumerateλ(_xlpm.items, _xlpm.items_chosen, 3))</definedName>
    <definedName name="Combinationsλ">_xlfn.LAMBDA(_xlpm.items,_xlpm.items_chosen, Enumerateλ(_xlpm.items, _xlpm.items_chosen, 4))</definedName>
    <definedName name="Convolveλ">_xlfn.LAMBDA(_xlpm.array,_xlpm.kernel,_xlop.function, _xlfn.LET(_xlpm.h, ROWS(_xlpm.array), _xlpm.w, COLUMNS(_xlpm.array), _xlpm.h_, ROWS(_xlpm.kernel), _xlpm.w_, COLUMNS(_xlpm.kernel), _xlpm.InvalidKernel?, OR(_xlpm.h_ &gt; _xlpm.h, _xlpm.w_ &gt; _xlpm.w), _xlpm.IsScalar?, AND(_xlpm.h = 1, _xlpm.w = 1), _xlpm.IsScalarKernel?, AND(_xlpm.h_ = 1, _xlpm.w_ = 1), _xlpm.function, IF(_xlfn.ISOMITTED(_xlpm.function), _xlfn.LAMBDA(_xlpm.v, SUM(_xlpm.v * _xlpm.kernel)), _xlpm.function), _xlpm.InvalidFn?, TYPE(_xlpm.function) &lt;&gt; 128, _xlpm.StandardMap, _xlfn.LAMBDA(_xlfn.MAP(_xlpm.array, _xlpm.function)), IF(_xlpm.InvalidKernel?, "#KERNEL!", IF(_xlpm.InvalidFn?, "#FUNCTION!", IF((_xlpm.IsScalar?) + (_xlpm.IsScalarKernel?), _xlpm.StandardMap(), _xlfn.LET(_xlpm.anch_r, _xlpm.h - _xlpm.h_ + 1, _xlpm.anch_c, _xlpm.w - _xlpm.w_ + 1, _xlpm.i, _xlfn.LAMBDA(Resizeλ(_xlfn.SEQUENCE(_xlpm.anch_r), , _xlpm.anch_c)), _xlpm.j, _xlfn.LAMBDA(Resizeλ(_xlfn.SEQUENCE(, _xlpm.anch_c), _xlpm.anch_r)), _xlpm.BlockAggλ, _xlfn.LAMBDA(_xlpm.i_,_xlpm.j_, _xlfn.LET(_xlpm.block, _xlfn.TAKE(_xlfn.DROP(_xlpm.array, _xlpm.i_ - 1, _xlpm.j_ - 1), _xlpm.h_, _xlpm.w_), _xlpm.total, _xlpm.function(_xlpm.block), _xlpm.total)), _xlpm.result, _xlfn.MAP(_xlpm.i(), _xlpm.j(), _xlpm.BlockAggλ), _xlpm.result))))))</definedName>
    <definedName name="Countdownλ">_xlfn.LAMBDA(_xlpm.array,_xlop.Horizontal?, IF(AND(ROWS(_xlpm.array) = 1, COLUMNS(_xlpm.array) = 1), _xlpm.array, _xlfn.LET(_xlpm.h, ROWS(_xlpm.array), _xlpm.w, COLUMNS(_xlpm.array), _xlpm.Is2D?, AND(_xlpm.h &gt; 1, _xlpm.w &gt; 1), _xlpm.array, IF(_xlpm.Is2D?, _xlfn.TOCOL(_xlpm.array), _xlpm.array), _xlpm.NoDir?, _xlfn.ISOMITTED(_xlpm.Horizontal?), _xlpm.fn, IF(_xlpm.NoDir?, _xleta.VSTACK, _xleta.HSTACK), _xlpm.kept, IF(_xlpm.NoDir?, _xlfn.DROP(_xlpm.array, -1), _xlfn.DROP(_xlpm.array, , -1)), _xlpm.bool, _xlpm.array = _xlpm.fn("omit", _xlpm.kept), _xlpm.acc, _xlfn.SCAN(0, _xlpm.bool, _xlfn.LAMBDA(_xlpm.a,_xlpm.v, IF(_xlpm.a = 0, 1, IF(_xlpm.v, _xlpm.a + 1, 1)))), _xlpm.cg, _xlfn.SCAN(0, NOT(_xlpm.bool), _xleta.SUM), _xlpm.sorted, _xlfn.SORTBY(_xlpm.acc, _xlpm.cg, 1, _xlpm.acc, -1), _xlpm.deliver, IF(_xlpm.Is2D?, _xlfn.WRAPROWS(_xlpm.sorted, _xlpm.w), _xlpm.sorted), _xlpm.deliver)))</definedName>
    <definedName name="Dealer">RepeatCols!$C$16:$E$20</definedName>
    <definedName name="Dec2Binλ">_xlfn.LAMBDA(_xlpm.numbers,_xlop.Array_Form_2D, IF(OR(ISTEXT(_xlpm.numbers), ISERROR(--_xlpm.numbers), _xlpm.numbers &lt; 0), #VALUE!, _xlfn.LET(_xlpm.h, ROWS(_xlpm.numbers), _xlpm.w, COLUMNS(_xlpm.numbers), _xlpm.IsScalar?, AND(_xlpm.h = 1, _xlpm.w = 1), _xlpm.IsVertical?, _xlpm.h &gt; _xlpm.w, _xlpm.Is2D?, AND(_xlpm.h &gt; 1, _xlpm.w &gt; 1), _xlpm.numbers, _xlfn.TOCOL(_xlpm.numbers), _xlpm.IsVector?, _xlfn.ISOMITTED(_xlpm.Array_Form_2D), _xlpm.bits, MAX(IFERROR(INT(LOG(_xlpm.numbers, 2)) + 1, 1)), _xlpm.bin_arr, _xlfn.LAMBDA(MOD(_xlfn.BITRSHIFT(_xlpm.numbers, _xlfn.SEQUENCE(, _xlpm.bits, _xlpm.bits - 1, -1)), 2)), _xlpm.bin_vector, _xlfn.LAMBDA(_xlfn.BYROW(_xlpm.bin_arr(), _xleta.CONCAT)), _xlpm.bin_result, _xlfn.LAMBDA(IF(_xlpm.IsVector?, _xlpm.bin_vector(), _xlpm.bin_arr())), _xlpm.deliver, IF(_xlpm.Is2D?, _xlfn.WRAPROWS(_xlpm.bin_vector(), _xlpm.w), IF(OR(_xlpm.IsScalar?, _xlpm.IsVertical?), _xlpm.bin_result(), TRANSPOSE(_xlpm.bin_result()))), _xlpm.deliver)))</definedName>
    <definedName name="Dec2Grayλ">_xlfn.LAMBDA(_xlpm.number,_xlop.concise, Bin2Grayλ(Dec2Binλ(_xlpm.number), _xlpm.concise))</definedName>
    <definedName name="DeleteColsλ">_xlfn.LAMBDA(_xlpm.array,_xlpm.delete,_xlpm.at_each_change, _xlfn.LET(_xlpm.OneSubGroup?, COUNTA(_xlfn.UNIQUE(_xlpm.at_each_change, 1)) = 1, _xlpm.Discard, _xlfn.DROP(_xlpm.array, , _xlfn.SINGLE(_xlpm.delete)), _xlpm.ShapeMismatch?, COLUMNS(_xlpm.array) &lt;&gt; COLUMNS(_xlpm.at_each_change), _xlpm.IsText?, ISTEXT(_xlpm.delete), _xlpm.NotScalar?, AND(NOT(_xlpm.IsText?), COUNTA(_xlpm.delete) &gt; 1), _xlpm.scenarios, _xlfn.VSTACK(_xlpm.ShapeMismatch?, _xlpm.IsText?, _xlpm.NotScalar?), _xlpm.halt, OR(_xlpm.scenarios), _xlpm.errors, {"#DIMENSIONS!";"#TEXT!";"#SCALAR!"}, _xlpm.alert, _xlfn.ARRAYTOTEXT(_xlfn._xlws.FILTER(_xlpm.errors, _xlpm.scenarios, 0)), IF(_xlpm.OneSubGroup?, _xlpm.Discard, IF(_xlpm.halt, _xlpm.alert, _xlfn.LET(_xlpm.s, SIGN(_xlpm.delete), _xlpm.ascend, Streakλ(_xlpm.at_each_change, TRUE), _xlpm.descend, Countdownλ(_xlpm.at_each_change, TRUE), _xlpm.delete, ABS(_xlpm.delete), _xlpm.idx, IF(_xlpm.s = -1, _xlpm.descend, _xlpm.ascend), _xlpm.keep?, NOT(_xlpm.idx &lt;= _xlpm.delete), _xlpm.result, _xlfn._xlws.FILTER(_xlpm.array, _xlpm.keep?), _xlpm.result)))))</definedName>
    <definedName name="DeleteRowsλ">_xlfn.LAMBDA(_xlpm.array,_xlpm.delete,_xlpm.at_each_change, _xlfn.LET(_xlpm.OneSubGroup?, COUNTA(_xlfn.UNIQUE(_xlpm.at_each_change)) = 1, _xlpm.Discard, _xlfn.DROP(_xlpm.array, _xlfn.SINGLE(_xlpm.delete)), _xlpm.ShapeMismatch?, ROWS(_xlpm.array) &lt;&gt; ROWS(_xlpm.at_each_change), _xlpm.IsText?, ISTEXT(_xlpm.delete), _xlpm.NotScalar?, AND(NOT(_xlpm.IsText?), COUNTA(_xlpm.delete) &gt; 1), _xlpm.scenarios, _xlfn.VSTACK(_xlpm.ShapeMismatch?, _xlpm.IsText?, _xlpm.NotScalar?), _xlpm.halt, OR(_xlpm.scenarios), _xlpm.errors, {"#DIMENSIONS!";"#TEXT!";"#SCALAR!"}, _xlpm.alert, _xlfn.ARRAYTOTEXT(_xlfn._xlws.FILTER(_xlpm.errors, _xlpm.scenarios, 0)), IF(_xlpm.OneSubGroup?, _xlpm.Discard, IF(_xlpm.halt, _xlpm.alert, _xlfn.LET(_xlpm.s, SIGN(_xlpm.delete), _xlpm.ascend, Streakλ(_xlpm.at_each_change), _xlpm.descend, Countdownλ(_xlpm.at_each_change), _xlpm.delete, ABS(_xlpm.delete), _xlpm.idx, IF(_xlpm.s = -1, _xlpm.descend, _xlpm.ascend), _xlpm.keep?, NOT(_xlpm.idx &lt;= _xlpm.delete), _xlpm.result, _xlfn._xlws.FILTER(_xlpm.array, _xlpm.keep?), _xlpm.result)))))</definedName>
    <definedName name="DeleteWhereλ">_xlfn.LAMBDA(_xlpm.array,_xlpm.function, _xlfn.LET(_xlpm.i, _xlfn.SEQUENCE(ROWS(_xlpm.array)), _xlpm.j, _xlfn.SEQUENCE(, COLUMNS(_xlpm.array)), _xlpm.fn, _xlfn.LAMBDA(_xlpm.v, NOT(_xlpm.function(_xlpm.v))), _xlpm.a, _xlfn.TOCOL(IF(_xlfn.BYROW(_xlpm.array, _xlpm.fn), _xlpm.i, NA()), 2), _xlpm.b, _xlfn.TOROW(IF(_xlfn.BYCOL(_xlpm.array, _xlpm.fn), _xlpm.j, NA()), 2), _xlpm.IsEmpty?, AND(ISERROR(_xlpm.a), ISERROR(_xlpm.b)), _xlpm.x, ROWS(_xlpm.a), _xlpm.y, COLUMNS(_xlpm.b), _xlpm.r, _xlpm.a * _xlfn.SEQUENCE(, _xlpm.y, 1, 0), _xlpm.c, _xlpm.b * _xlfn.SEQUENCE(_xlpm.x, , 1, 0), _xlpm.result, IF(_xlpm.IsEmpty?, "#EMPTY-ARRAY!", INDEX(_xlpm.array, _xlpm.r, _xlpm.c)), _xlpm.result))</definedName>
    <definedName name="Derangementsλ">_xlfn.LAMBDA(_xlpm.items,_xlpm.items_chosen, Enumerateλ(_xlpm.items, _xlpm.items_chosen, 5))</definedName>
    <definedName name="DGridλ">_xlfn.LAMBDA(_xlpm.grid, _xlfn.LET(_xlpm.theta, IFERROR(DEGREES(ATAN2(CGridλ(_xlpm.grid), CGridλ(_xlpm.grid, 1))), 0), _xlpm.angle, MOD(_xlpm.theta + 360, 360), _xlpm.angle))</definedName>
    <definedName name="DiagIndexλ">_xlfn.LAMBDA(_xlpm.array,_xlpm.col_index, ValidateDiagλ(_xlpm.array, _xlpm.col_index, , , _xlfn.LET(_xlpm.h, ROWS(_xlpm.array), _xlpm.w, COLUMNS(_xlpm.array), _xlpm.s, SIGN(_xlpm.col_index), _xlpm.k, IF(_xlpm.s &gt; 0, MIN(_xlpm.h, _xlpm.w + 1 - _xlpm.col_index), MIN(_xlpm.h, ABS(_xlpm.col_index))), _xlpm.start, IF(_xlpm.s &lt; 0, ABS(_xlpm.col_index), _xlpm.col_index), _xlpm.x, _xlfn.LAMBDA(_xlfn.SEQUENCE(_xlpm.k)), _xlpm.y, _xlfn.LAMBDA(_xlfn.SEQUENCE(_xlpm.k, , _xlpm.start, _xlpm.s)), _xlpm.deliver, INDEX(_xlpm.array, _xlpm.x(), _xlpm.y()), _xlpm.deliver)))</definedName>
    <definedName name="DiagMapλ">_xlfn.LAMBDA(_xlpm.array,_xlop.row_wise_stack?, ByDiagλ(_xlpm.array, , _xlpm.row_wise_stack?))</definedName>
    <definedName name="Diamondλ">_xlfn.LAMBDA(_xlpm.grid,_xlpm.target,_xlpm.distance,_xlop.fill_value, _xlfn.LET(_xlpm.h, ROWS(_xlpm.grid), _xlpm.w, COLUMNS(_xlpm.grid), _xlpm.IsI_J?, COUNT(_xlpm.target) = 2, _xlpm.r, IF(_xlpm.IsI_J?, _xlfn.TAKE(_xlpm.target, 1, 1), 0), _xlpm.c, IF(_xlpm.IsI_J?, _xlfn.TAKE(_xlpm.target, -1, -1), 0), _xlpm.bool, IF(_xlpm.IsI_J?, FALSE, _xlpm.grid = _xlpm.target), _xlpm.IsScalar?, AND(_xlpm.h = 1, _xlpm.w = 1), _xlpm.Is1D?, _xlfn.XOR(_xlpm.h = 1, _xlpm.w = 1), _xlpm.InvalidDistance?, OR(ISTEXT(_xlpm.distance), _xlpm.distance &lt; 1), _xlpm.NoTarget?, IF(_xlpm.IsI_J?, FALSE, NOT(OR(_xlpm.bool))), _xlpm.fill_value, IF(_xlfn.ISOMITTED(_xlpm.fill_value), 0, _xlpm.fill_value), IF(_xlpm.IsScalar?, _xlpm.grid, IF(_xlpm.Is1D?, "#1D-ARRAY!", IF(_xlpm.InvalidDistance?, "#DISTANCE!", IF(_xlpm.NoTarget?, "#TARGET!", _xlfn.LET(_xlpm.i, CGridλ(_xlpm.grid), _xlpm.j, CGridλ(_xlpm.grid, 1), _xlpm.x, IF(_xlpm.IsI_J?, INDEX(_xlpm.i, _xlpm.r, _xlpm.c), _xlfn.TOCOL(IF(_xlpm.bool, _xlpm.i, NA()), 2)), _xlpm.y, IF(_xlpm.IsI_J?, INDEX(_xlpm.j, _xlpm.r, _xlpm.c), _xlfn.TOCOL(IF(_xlpm.bool, _xlpm.j, NA()), 2)), _xlpm.mask, ABS(_xlpm.i - _xlpm.x) + ABS(_xlpm.j - _xlpm.y) &lt;= _xlpm.distance, _xlpm.result, Squeezeλ(IF(_xlpm.mask, _xlpm.grid, _xlpm.fill_value), _xlpm.fill_value), _xlpm.result)))))))</definedName>
    <definedName name="DStackλ">_xlfn.LAMBDA(_xlpm.array_1,_xlop.array_2,_xlop.array_3,_xlop.array_4,_xlop.pad_with, _xlfn.LET(_xlpm.a, COUNTA(_xlpm.array_1), _xlpm.b, IF(_xlfn.ISOMITTED(_xlpm.array_2), 0, COUNTA(_xlpm.array_2)), _xlpm.c, IF(_xlfn.ISOMITTED(_xlpm.array_3), 0, COUNTA(_xlpm.array_3)), _xlpm.d, IF(_xlfn.ISOMITTED(_xlpm.array_4), 0, COUNTA(_xlpm.array_4)), _xlpm.req, AND(_xlpm.c = 0, _xlpm.d = 0), _xlpm.C_only, AND(_xlpm.c &lt;&gt; 0, _xlpm.d = 0), _xlpm.D_only, AND(_xlpm.c = 0, _xlpm.d &lt;&gt; 0), _xlpm.All, AND(_xlpm.c &lt;&gt; 0, _xlpm.d &lt;&gt; 0), _xlpm.EmptyArr?, OR(_xlpm.a = 0, _xlpm.b = 0), _xlpm.Clampλ, _xlfn.LAMBDA(_xlpm.param, AND(_xlpm.param = 1, ISERROR(_xlpm.param))), _xlpm.ScalarErr?, OR(_xlpm.Clampλ(_xlpm.a), _xlpm.Clampλ(_xlpm.b), _xlpm.Clampλ(_xlpm.c), _xlpm.Clampλ(_xlpm.d)), IF(_xlpm.EmptyArr?, "#EMPTY-ARRAY!", IF(_xlpm.ScalarErr?, "#SCALAR-ERROR!", _xlfn.LET(_xlpm.pad_with, IF(_xlfn.ISOMITTED(_xlpm.pad_with), NA(), _xlpm.pad_with), _xlpm.aᵀ, TRANSPOSE(_xlpm.array_1), _xlpm.bᵀ, TRANSPOSE(_xlpm.array_2), _xlpm.cᵀ, IF(_xlpm.c, TRANSPOSE(_xlpm.array_3), 0), _xlpm.dᵀ, IF(_xlpm.d, TRANSPOSE(_xlpm.array_4), 0), _xlpm.req_stack, _xlfn.HSTACK(_xlpm.aᵀ, _xlpm.bᵀ), _xlpm.C_only_stack, _xlfn.HSTACK(_xlpm.aᵀ, _xlpm.bᵀ, _xlpm.cᵀ), _xlpm.D_only_stack, _xlfn.HSTACK(_xlpm.aᵀ, _xlpm.bᵀ, _xlpm.dᵀ), _xlpm.all_stack, _xlfn.HSTACK(_xlpm.aᵀ, _xlpm.bᵀ, _xlpm.cᵀ, _xlpm.dᵀ), _xlpm.result, IFERROR(IF(_xlpm.req, _xlpm.req_stack, IF(_xlpm.C_only, _xlpm.C_only_stack, IF(_xlpm.D_only, _xlpm.D_only_stack, IF(_xlpm.All, _xlpm.all_stack, FALSE)))), _xlpm.pad_with), _xlpm.result)))))</definedName>
    <definedName name="Echoλ">_xlfn.LAMBDA(_xlpm.vector,_xlpm.repeat, IF(OR(ISTEXT(_xlpm.repeat), _xlpm.repeat &lt;= 0), "#VALUE!", _xlfn.LET(_xlpm.vector, _xlfn.TOCOL(_xlpm.vector), _xlpm.repeat, _xlfn.TOCOL(_xlpm.repeat), _xlpm.Vh, ROWS(_xlpm.vector), _xlpm.Rh, ROWS(_xlpm.repeat), _xlpm.r, IF(_xlpm.Vh &lt;&gt; _xlpm.Rh, _xlfn.EXPAND(_xlpm.repeat, _xlpm.Vh, , _xlfn.SINGLE(_xlfn.TAKE(_xlpm.repeat, -1))), _xlpm.repeat), _xlpm.i, _xlfn.SEQUENCE(ROWS(_xlpm.r)), _xlpm.m, MAX(_xlpm.r), _xlpm.idx, _xlfn.LAMBDA(_xlfn.TOCOL(IF(SIGN(_xlpm.r - _xlfn.SEQUENCE(, _xlpm.m, 0, )) = 1, _xlpm.i, NA()), 2)), _xlpm.deliver, INDEX(_xlpm.vector, _xlpm.idx()), _xlpm.deliver)))</definedName>
    <definedName name="Embedλ">_xlfn.LAMBDA(_xlpm.array,_xlpm.embed_array,_xlop.row_index,_xlop.col_index, _xlfn.LET(_xlpm.h, ROWS(_xlpm.array), _xlpm.w, COLUMNS(_xlpm.array), _xlpm.h₂, ROWS(_xlpm.embed_array), _xlpm.w₂, COLUMNS(_xlpm.embed_array), _xlpm.RowEmbed?, NOT(_xlfn.ISOMITTED(_xlpm.row_index)), _xlpm.ColEmbed?, NOT(_xlfn.ISOMITTED(_xlpm.col_index)), _xlpm.RCEmbed?, AND(_xlpm.RowEmbed?, _xlpm.ColEmbed?), _xlpm.InvalidEmbed?, IF(AND(_xlpm.RowEmbed?, _xlpm.w₂ &gt; _xlpm.w), TRUE, IF(AND(_xlpm.ColEmbed?, _xlpm.h₂ &gt; _xlpm.h), TRUE, IF(AND(_xlpm.RCEmbed?, OR(_xlpm.h₂ &gt; _xlpm.h, _xlpm.w₂ &gt; _xlpm.w)), TRUE, FALSE))), _xlpm.InvalidIdx?, OR(ISTEXT(_xlpm.row_index), ISTEXT(_xlpm.col_index), AND(NOT(_xlfn.ISOMITTED(_xlpm.row_index)), OR(_xlpm.row_index &lt; 1, _xlpm.row_index &gt; _xlpm.h)), AND(NOT(_xlfn.ISOMITTED(_xlpm.col_index)), OR(_xlpm.col_index &lt; 1, _xlpm.col_index &gt; _xlpm.w))), _xlpm.IsScalar?, AND(_xlpm.h = 1, _xlpm.w = 1), IF(_xlpm.InvalidIdx?, "#ROW/COL-INDEX", IF(_xlpm.InvalidEmbed?, "#EMBED!", IF(_xlpm.IsScalar?, "#SCALAR!", _xlfn.LET(_xlpm.IsVertical?, OR(NOT(_xlfn.ISOMITTED(_xlpm.row_index)), _xlfn.ISOMITTED(_xlpm.col_index)), _xlpm.Stackλ, IF(_xlpm.IsVertical?, _xleta.VSTACK, _xleta.HSTACK), _xlpm.IsIncScalar?, AND(_xlpm.h₂ = 1, _xlpm.w₂ = 1), _xlpm.idx, IF(_xlpm.IsVertical?, _xlpm.row_index, _xlpm.col_index), _xlpm.max_dim, 1 + IF(_xlpm.IsVertical?, _xlpm.h, _xlpm.w), _xlpm.block_a, IF(_xlpm.IsVertical?, _xlfn.TAKE(_xlpm.array, _xlpm.idx - 1), _xlfn.TAKE(_xlpm.array, , _xlpm.idx - 1)), _xlpm.block_b, IF(_xlpm.IsVertical?, _xlfn.TAKE(_xlpm.array, -(1 + _xlpm.h - _xlpm.idx)), _xlfn.TAKE(_xlpm.array, , -(1 + _xlpm.w - _xlpm.idx))), _xlpm.IsStandard?, OR(_xlpm.idx = 1, _xlpm.idx = _xlpm.max_dim), _xlpm.exp_scalar_width, _xlfn.EXPAND(_xlpm.embed_array, , _xlpm.w, _xlpm.embed_array), _xlpm.exp_width, _xlfn.EXPAND(_xlpm.embed_array, , _xlpm.w, ""), _xlpm.exp_scalar_height, _xlfn.EXPAND(_xlpm.embed_array, _xlpm.h, , _xlpm.embed_array), _xlpm.exp_height, _xlfn.EXPAND(_xlpm.embed_array, _xlpm.h, , ""), _xlpm.embed_array, IF(_xlpm.IsVertical? * _xlpm.IsIncScalar?, _xlpm.exp_scalar_width, IF(_xlpm.IsVertical?, _xlpm.exp_width, IF(_xlpm.IsIncScalar?, _xlpm.exp_scalar_height, _xlpm.exp_height))), _xlpm.standard, IF(_xlpm.idx = 1, _xlpm.Stackλ(_xlpm.embed_array, _xlpm.array), _xlpm.Stackλ(_xlpm.array, _xlpm.embed_array)), _xlpm.stack, _xlpm.Stackλ(_xlpm.block_a, _xlpm.embed_array, _xlpm.block_b), _xlpm.result, IF(_xlpm.IsStandard?, _xlpm.standard, _xlpm.stack), _xlpm.result))))))</definedName>
    <definedName name="Enumerateλ">_xlfn.LAMBDA(_xlpm.items,_xlpm.k,_xlpm.type, IF(OR(ISTEXT(_xlpm.k), _xlpm.k &lt; 0, _xlpm.k &gt; COUNTA(_xlpm.items)), #VALUE!, IF(COUNTA(_xlpm.k) &lt;&gt; 1, #VALUE!, IF(COUNTA(_xlpm.items) ^ _xlpm.k &gt; 1048576, #NUM!, _xlfn.LET(_xlpm.list, _xlfn.TOCOL(_xlpm.items), _xlpm.n, COUNTA(_xlpm.list), _xlpm.i, _xlpm.n ^ _xlpm.k, _xlpm.P_r, _xlfn.LAMBDA(1 + MOD(QUOTIENT(_xlfn.SEQUENCE(_xlpm.i), _xlpm.n ^ _xlfn.SEQUENCE(, _xlpm.k, _xlpm.k - 1, -1)), _xlpm.n)), _xlpm.P, _xlfn.LAMBDA(_xlfn._xlws.FILTER(_xlpm.P_r(), ISNA(_xlfn.BYROW(_xlpm.P_r(), _xleta.MODE)))), _xlpm.C_r, _xlfn.LAMBDA(_xlfn._xlws.FILTER(_xlpm.P_r(), _xlfn.BYROW(_xlpm.P_r(), _xlfn.LAMBDA(_xlpm.row, AND(_xlpm.row = _xlfn._xlws.SORT(_xlpm.row, , , 1)))))), _xlpm.C, _xlfn.LAMBDA(_xlfn._xlws.FILTER(_xlpm.C_r(), ISNA(_xlfn.BYROW(_xlpm.C_r(), _xleta.MODE)))), _xlpm.D, _xlfn.LAMBDA(_xlfn._xlws.FILTER(_xlpm.P_r(), _xlfn.BYROW(_xlpm.P_r(), _xlfn.LAMBDA(_xlpm.row, NOT(OR(_xlfn.SEQUENCE(, _xlpm.k) = _xlpm.row)))))), _xlpm.idx, _xlfn.LAMBDA(CHOOSE(_xlpm.type, _xlpm.P_r(), _xlpm.P(), _xlpm.C_r(), _xlpm.C(), _xlpm.D())), _xlpm.NotInt?, NOT(AND(_xlfn.SEQUENCE(_xlpm.n) = _xlpm.list)), _xlpm.deliver, IF(_xlpm.NotInt?, INDEX(_xlpm.list, _xlpm.idx()), _xlpm.idx()), _xlpm.deliver)))))</definedName>
    <definedName name="Excludeλ">_xlfn.LAMBDA(_xlpm.array,_xlpm.exclude,_xlop.if_empty, IF(AND(ROWS(_xlpm.exclude) &gt; 1, COLUMNS(_xlpm.exclude) &gt; 1), "#2D-EXCLUDE!", _xlfn.LET(_xlpm.if_empty, IF(_xlfn.ISOMITTED(_xlpm.if_empty), 0, _xlpm.if_empty), _xlpm.keep?, NOT(_xlfn.BYROW(_xlfn.IFNA(_xlfn.XMATCH(_xlpm.array, _xlpm.exclude), 0), _xleta.OR)), _xlpm.result, _xlfn._xlws.FILTER(_xlpm.array, _xlpm.keep?, _xlpm.if_empty), _xlpm.result)))</definedName>
    <definedName name="Explodeλ">_xlfn.LAMBDA(_xlpm.array,_xlop.explode_2D_bycol, _xlfn.LET(_xlpm.h, ROWS(_xlpm.array), _xlpm.w, COLUMNS(_xlpm.array), _xlpm.IsVertical?, _xlpm.h &gt; _xlpm.w, _xlpm.IsHorizontal?, _xlpm.w &gt; _xlpm.h, _xlpm.IsScalar?, AND(_xlpm.h = 1, _xlpm.w = 1), _xlpm.Is1D?, _xlfn.XOR(_xlpm.h &gt; 1, _xlpm.w &gt; 1), _xlpm.Is2D?, AND(_xlpm.h &gt; 1, _xlpm.w &gt; 1), _xlpm.DirOmitted?, _xlfn.ISOMITTED(_xlpm.explode_2D_bycol), _xlpm.ExplodeScalar, _xlfn.REGEXEXTRACT(_xlpm.array, ".", 1), IF(_xlpm.IsScalar?, _xlpm.ExplodeScalar, _xlfn.LET(_xlpm.m, MAX(LEN(_xlpm.array)), _xlpm.idx, _xlfn.LAMBDA(IF(_xlpm.IsVertical?, _xlfn.SEQUENCE(, _xlpm.m), _xlfn.SEQUENCE(_xlpm.m))), _xlpm.i_, _xlfn.LAMBDA(Resizeλ(INT(_xlfn.SEQUENCE(_xlpm.m * _xlpm.h, , , 1 / _xlpm.m)), , _xlpm.w)), _xlpm.j_, _xlfn.LAMBDA(Resizeλ(MGridλ(_xlpm.array, 1), _xlpm.m)), _xlpm.start_at_, _xlfn.LAMBDA(Resizeλ(_xlfn.SEQUENCE(_xlpm.m), _xlpm.h, _xlpm.w)), _xlpm.i, _xlfn.LAMBDA(Resizeλ(MGridλ(_xlpm.array), , _xlpm.m)), _xlpm.j, _xlfn.LAMBDA(Resizeλ(INT(_xlfn.SEQUENCE(, _xlpm.m * _xlpm.w, , 1 / _xlpm.m)), _xlpm.h)), _xlpm.start_at, _xlfn.LAMBDA(Resizeλ(_xlfn.SEQUENCE(, _xlpm.m), _xlpm.h, _xlpm.w)), _xlpm.ex1D, _xlfn.LAMBDA(MID(_xlpm.array, _xlpm.idx(), 1)), _xlpm.ex2D_V, _xlfn.LAMBDA(MID(INDEX(_xlpm.array, _xlpm.i_(), _xlpm.j_()), _xlpm.start_at_(), 1)), _xlpm.ex2D_H, _xlfn.LAMBDA(MID(INDEX(_xlpm.array, _xlpm.i(), _xlpm.j()), _xlpm.start_at(), 1)), _xlpm.ex2D, _xlfn.LAMBDA(IF(_xlpm.DirOmitted?, _xlpm.ex2D_V(), _xlpm.ex2D_H())), _xlpm.final, IF(_xlpm.Is1D?, _xlpm.ex1D(), _xlpm.ex2D()), _xlpm.final))))</definedName>
    <definedName name="Fish">RepeatRows!$C$17:$E$19</definedName>
    <definedName name="Foldλ">_xlfn.LAMBDA(_xlpm.array,_xlop.values_array,_xlop.function, _xlfn.LET(_xlpm.values_array, IF(_xlfn.ISOMITTED(_xlpm.values_array), _xlfn.TAKE(_xlpm.array, , 1), _xlpm.values_array), _xlpm.function, IF(OR(_xlfn.ISOMITTED(_xlpm.function), _xlfn.ISOMITTED(_xlpm.values_array)), _xleta.COUNTA, _xlpm.function), IF(AND(NOT(_xlfn.ISOMITTED(_xlpm.values_array)), ROWS(_xlpm.array) &lt;&gt; ROWS(_xlpm.values_array)), "#VALUE!", IF(TYPE(_xlpm.function) &lt;&gt; 128, "#FUNCTION!", _xlfn.LET(_xlpm.aligned, Alignλ(_xlpm.array), _xlpm.agg, _xlfn.GROUPBY(_xlpm.aligned, _xlpm.values_array, _xlpm.function, , 0), _xlpm.agg)))))</definedName>
    <definedName name="Fruit">RepeatRows!$C$8:$D$10</definedName>
    <definedName name="Grainλ">_xlfn.LAMBDA(_xlpm.matrix,_xlpm.depth,_xlpm.width,_xlpm.function, IF(NOT(TYPE(_xlpm.matrix) = 64), "#MATRIX!", IF(OR(_xlpm.depth &gt; ROWS(_xlpm.matrix), _xlpm.width &gt; COLUMNS(_xlpm.matrix), ISTEXT(_xlpm.depth), ISTEXT(_xlpm.width)), "#DIMENSIONS!", IF(TYPE(_xlpm.function) &lt;&gt; 128, "#ETA FUNCTION!", _xlfn.LET(_xlpm.h, ROWS(_xlpm.matrix), _xlpm.w, COLUMNS(_xlpm.matrix), _xlpm.x, ROUNDUP(_xlpm.h / _xlpm.depth, 0), _xlpm.y, ROUNDUP(_xlpm.w / _xlpm.width, 0), _xlpm.down, _xlfn.LAMBDA(_xlfn.SEQUENCE(_xlpm.x, , 1, _xlpm.depth) * _xlfn.SEQUENCE(, _xlpm.y, 1, 0)), _xlpm.across, _xlfn.LAMBDA(_xlfn.SEQUENCE(, _xlpm.y, 1, _xlpm.width) * _xlfn.SEQUENCE(_xlpm.x, , 1, 0)), _xlpm.Blocksλ, _xlfn.LAMBDA(_xlpm.r,_xlpm.c, _xlfn.LET(_xlpm.i, _xlfn.LAMBDA(_xlfn.SEQUENCE(_xlpm.depth, , _xlpm.r) * _xlfn.SEQUENCE(, _xlpm.width, 1, 0)), _xlpm.j, _xlfn.LAMBDA(_xlfn.SEQUENCE(, _xlpm.width, _xlpm.c) * _xlfn.SEQUENCE(_xlpm.depth, , 1, 0)), _xlpm.block, _xlfn.TOCOL(INDEX(_xlpm.matrix, _xlpm.i(), _xlpm.j()), 2), _xlpm.result, _xlpm.function(_xlpm.block), _xlpm.result)), _xlpm.deliver, _xlfn.MAP(_xlpm.down(), _xlpm.across(), _xlpm.Blocksλ), _xlpm.deliver)))))</definedName>
    <definedName name="GroupbyBinλ">_xlfn.LAMBDA(_xlpm.array,_xlpm.values,_xlpm.bin_width,_xlpm.function,_xlop.field_header,_xlop.chart_prep, _xlfn.LET(_xlpm.i, ROWS(_xlpm.array), _xlpm.j, COLUMNS(_xlpm.array), _xlpm.i_, ROWS(_xlpm.values), _xlpm.j_, COLUMNS(_xlpm.values), _xlpm.Headers?, NOT(_xlfn.ISOMITTED(_xlpm.field_header)), _xlpm.Is2D?, AND(_xlpm.i &gt; 1, _xlpm.j &gt; 1), _xlpm.ShapeMismatch?, _xlpm.i &lt;&gt; _xlpm.i_, _xlpm.InvalidBin?, OR(ISTEXT(_xlpm.bin_width), _xlpm.bin_width &lt; 1), _xlpm.InvalidFn?, TYPE(_xlpm.function) &lt;&gt; 128, _xlpm.NonNumeric?, NOT(AND(ISNUMBER(IF(_xlpm.Headers?, _xlfn.DROP(_xlpm.array, 1), _xlpm.array)))), IF(_xlpm.Is2D?, "#1D-ARRAY!", IF(_xlpm.ShapeMismatch?, "#DIMENSIONS!", IF(_xlpm.NonNumeric?, "#NUM!", IF(_xlpm.InvalidBin?, "#BIN-WIDTH!", IF(_xlpm.InvalidFn?, "#INVALID-FUNCTION!", _xlfn.LET(_xlpm.NoChart?, _xlfn.ISOMITTED(_xlpm.chart_prep), _xlpm.arr, IF(_xlpm.Headers?, _xlfn.DROP(_xlpm.array, 1), _xlpm.array), _xlpm.val, IF(_xlpm.Headers?, _xlfn.DROP(_xlpm.values, 1), _xlpm.values), _xlpm.row_header, _xlfn.HSTACK("Bin Start " &amp; IF(_xlpm.Headers?, _xlfn.TAKE(_xlpm.array, 1), "") &amp; " Value", "Bin End"), _xlpm.val_header, _xlfn.EXPAND(IF(_xlpm.Headers?, _xlfn.TAKE(_xlpm.values, 1), "Total"), , _xlpm.j_, ""), _xlpm.header, _xlfn.HSTACK(_xlpm.row_header, _xlpm.val_header), _xlpm.min, MIN(_xlpm.arr), _xlpm.start, FLOOR(_xlpm.min, _xlpm.bin_width), _xlpm.max, MAX(_xlpm.arr), _xlpm.end, CEILING(_xlpm.max, _xlpm.bin_width), _xlpm.k, (_xlpm.end - _xlpm.start) / _xlpm.bin_width, _xlpm.bin, _xlfn.SEQUENCE(_xlpm.k + 1, , _xlpm.start, _xlpm.bin_width), _xlpm.bin_start, _xlfn.DROP(_xlpm.bin, -1), _xlpm.bin_end, _xlfn.DROP(_xlpm.bin, 1), _xlpm.idx, _xlfn.XMATCH(_xlpm.arr, _xlpm.bin_start, -1), _xlpm.row_start, INDEX(_xlpm.bin_start, _xlpm.idx), _xlpm.row_end, INDEX(_xlpm.bin_end, _xlpm.idx), _xlpm.row_fields, _xlfn.HSTACK(_xlpm.row_start, _xlpm.row_end), _xlpm.agg, _xlfn.GROUPBY(_xlpm.row_fields, _xlpm.val, _xlpm.function, _xlpm.Headers?, 0), _xlpm.a, _xlfn.CHOOSECOLS(_xlpm.agg, 1) &amp; " - &lt;" &amp; _xlfn.CHOOSECOLS(_xlpm.agg, 2), _xlpm.b, _xlfn.DROP(_xlpm.agg, , 2), _xlpm.chart_labels, {"Bin","Aggregate"}, _xlpm.data, _xlfn.VSTACK(_xlpm.header, _xlpm.agg), _xlpm.chart, _xlfn.VSTACK(_xlpm.chart_labels, _xlfn.HSTACK(_xlpm.a, _xlpm.b)), _xlpm.delivery, IF(_xlpm.NoChart?, _xlpm.data, _xlpm.chart), _xlpm.delivery))))))))</definedName>
    <definedName name="GroupbyDateλ">_xlfn.LAMBDA(_xlpm.row_fields,_xlpm.values,_xlpm.interval,_xlpm.function,_xlop.format,_xlop.field_headers,_xlop.filter_array, ValidateGDλ(_xlpm.row_fields, _xlpm.values, _xlpm.interval, _xlpm.function, _xlpm.field_headers, _xlpm.filter_array, _xlfn.LET(_xlpm.NumInterval?, NOT(ISTEXT(_xlpm.interval)), _xlpm.const, {"minute";"hour";"day";"week";"fortnight";"month";"quarter";"year"}, _xlpm.interval, IF(_xlpm.NumInterval?, _xlpm.interval, _xlfn.XMATCH(LOWER(_xlpm.interval) &amp; "*", _xlpm.const, 2)), _xlpm.Includes_end?, (_xlpm.interval = 4) + (_xlpm.interval = 5), _xlpm.unit, CHOOSE(_xlpm.interval, 1440, 24, 1, 1, 1, 1, 1, 1), _xlpm.NoFormat?, _xlfn.ISOMITTED(_xlpm.format), _xlpm.Header?, NOT(_xlfn.ISOMITTED(_xlpm.field_headers)), _xlpm.Filter?, NOT(_xlfn.ISOMITTED(_xlpm.filter_array)), _xlpm.date_col, IF(_xlpm.Header?, _xlfn.DROP(_xlfn.TAKE(_xlpm.row_fields, , 1), 1), _xlfn.TAKE(_xlpm.row_fields, , 1)), _xlpm.dates, IF(_xlpm.interval &lt; 3, ROUND(_xlpm.date_col * _xlpm.unit, 0) / _xlpm.unit, INT(_xlpm.date_col)), _xlpm.values_header, _xlfn.TAKE(_xlpm.values, 1), _xlpm.values, IF(_xlpm.Header?, _xlfn.DROP(_xlpm.values, 1), _xlpm.values), _xlpm.row_details, _xlfn.DROP(_xlfn.DROP(_xlpm.row_fields, , 1), _xlpm.Header?), _xlpm.filter_used, IF(_xlpm.Header? * _xlpm.Filter?, _xlfn.DROP(_xlpm.filter_array, 1), _xlpm.filter_array), _xlpm.w, COLUMNS(_xlpm.row_fields), _xlpm.w_, COLUMNS(_xlpm.values), _xlpm.j, _xlpm.w + _xlpm.w_, _xlpm.min, INT(MIN(_xlpm.dates)), _xlpm.max, INT(MAX(_xlpm.dates)), _xlpm.m, MONTH(_xlpm.min), _xlpm.d, DAY(_xlpm.min), _xlpm.y, YEAR(_xlpm.min), _xlpm.first, MIN(_xlpm.dates), _xlpm.last, MAX(_xlpm.dates), _xlpm.hr, HOUR(_xlpm.first), _xlpm.mm, MINUTE(_xlpm.first), _xlpm.seconds, (_xlpm.last - _xlpm.first) * 86400, _xlpm.minutes, CEILING(_xlpm.seconds / 60, 1), _xlpm.hours, _xlpm.minutes / 60, _xlpm.days, _xlpm.max - _xlpm.min, _xlpm.weeks, CEILING(_xlpm.days / 7, 1), _xlpm.fortnight, CEILING(_xlpm.days / 14, 1), _xlpm.months, DATEDIF(_xlpm.min, _xlpm.max, "m"), _xlpm.quarters, CEILING(_xlpm.months / 3, 1), _xlpm.years, CEILING(_xlpm.months / 12, 1), _xlpm.h_mm, IF(_xlpm.days &gt; 1, "m/d/yyy h:mm AM/PM", "h:mm AM/PM"), _xlpm.mmmm, "mmmm yyy", _xlpm.day, "m/d/yyy", _xlpm.yyy, "yyy", _xlpm.fmt, IF(_xlpm.NoFormat?, _xlfn.SWITCH(_xlpm.interval, 1, _xlpm.h_mm, 2, _xlpm.h_mm, 3, _xlpm.day, 4, _xlpm.day, 5, _xlpm.day, 6, _xlpm.mmmm, 7, _xlpm.mmmm, 8, _xlpm.yyy, _xlpm.mmmm), _xlpm.format), _xlpm.min_arr, _xlfn.LAMBDA(_xlfn.SEQUENCE(_xlfn.SINGLE(_xlpm.minutes) + 1, , _xlpm.first, 1 / 1440)), _xlpm.hrs_arr, _xlfn.LAMBDA(_xlfn.SEQUENCE(_xlfn.SINGLE(_xlpm.hours) + 1, , _xlpm.first, 1 / 24)), _xlpm.days_arr, _xlfn.LAMBDA(_xlfn.SEQUENCE(_xlpm.days + 1, , _xlpm.min, 1)), _xlpm.weeks_arr, _xlfn.LAMBDA(DATE(_xlpm.y, _xlpm.m, _xlfn.SEQUENCE(_xlpm.weeks + 1, , _xlpm.d, 7))), _xlpm.fort_arr, _xlfn.LAMBDA(DATE(_xlpm.y, _xlpm.m, _xlfn.SEQUENCE(_xlpm.fortnight + 1, , _xlpm.d, 14))), _xlpm.month_arr, _xlfn.LAMBDA(DATE(_xlpm.y, _xlpm.m + _xlfn.SEQUENCE(_xlpm.months + 1, , 0), _xlpm.d)), _xlpm.qtrs_arr, _xlfn.LAMBDA(DATE(_xlpm.y, _xlpm.m + _xlfn.SEQUENCE(_xlpm.quarters + 1, , 0, 3), _xlpm.d)), _xlpm.yrs_arr, _xlfn.LAMBDA(DATE(_xlpm.y + _xlfn.SEQUENCE(_xlfn.SINGLE(_xlpm.years) + 1, , 0), _xlpm.m, 1)), _xlpm.bin, _xlfn.LAMBDA(IF(_xlpm.interval &lt; 3, ROUND(CHOOSE(_xlpm.interval, _xlpm.min_arr(), _xlpm.hrs_arr()) * _xlpm.unit, 0) / _xlpm.unit, CHOOSE(_xlpm.interval - 2, _xlpm.days_arr(), _xlpm.weeks_arr(), _xlpm.fort_arr(), _xlpm.month_arr(), _xlpm.qtrs_arr(), _xlpm.yrs_arr()))), _xlpm.i, _xlfn.LAMBDA(IF(_xlpm.interval = 8, _xlfn.XMATCH(YEAR(_xlpm.dates), YEAR(_xlpm.bin())), _xlfn.XMATCH(_xlpm.dates, _xlpm.bin(), -1))), _xlpm.date_field, _xlfn.LAMBDA(INDEX(_xlpm.bin(), _xlpm.i())), _xlpm.row_labels, IF(_xlpm.w = 1, _xlpm.date_field(), _xlfn.HSTACK(_xlpm.date_field(), _xlpm.row_details)), _xlpm.total_label, _xlfn.SWITCH(_xlpm.interval, 1, "Totals by minute", 2, "Totals by hour", 3, "Totals by Day", 4, "Weekly Totals", 5, "Biweekly Totals", 6, "Monthly Totals", 7, "Totals by Quarter", 8, "Yearly Totals", ""), _xlpm.total_header, _xlfn.EXPAND(IF(OR(_xlpm.interval = 4, _xlpm.interval = 5), _xlfn.HSTACK(_xlpm.total_label, "Ending Date"), _xlpm.total_label), , _xlpm.w + _xlpm.Includes_end?, ""), _xlpm.agg_header, IF(_xlpm.Header?, _xlpm.values_header, _xlfn.EXPAND("", , _xlpm.w_, "")), _xlpm.no_filter, _xlfn.GROUPBY(_xlpm.row_labels, _xlpm.values, _xlpm.function, _xlpm.Header?), _xlpm.filter_inc, _xlfn.GROUPBY(_xlpm.row_labels, _xlpm.values, _xlpm.function, _xlpm.Header?, , , _xlpm.filter_used), _xlpm.agg, IF(_xlpm.Filter?, _xlpm.filter_inc, _xlpm.no_filter), _xlpm.row_label, _xlfn.LAMBDA(_xlfn.TAKE(_xlpm.agg, , 1)), _xlpm.a, _xlfn.LAMBDA(TEXT(_xlpm.row_label(), _xlpm.fmt)), _xlpm.bin_end, _xlfn.LAMBDA(IF(_xlpm.interval = 4, TEXT(_xlpm.a() + 6, _xlpm.fmt), IF(_xlpm.interval = 5, TEXT(_xlpm.a() + 13, _xlpm.fmt), 0))), _xlpm.b, _xlfn.LAMBDA(_xlfn.DROP(_xlpm.agg, , 1)), _xlpm.stack, _xlfn.VSTACK(_xlfn.HSTACK(_xlpm.total_header, _xlpm.agg_header), _xlfn.HSTACK(_xlpm.a(), _xlpm.b())), _xlpm.stack_end, IFERROR(_xlfn.VSTACK(_xlfn.HSTACK(_xlpm.total_header, _xlpm.agg_header), _xlfn.HSTACK(_xlpm.a(), _xlpm.bin_end(), _xlpm.b())), ""), _xlpm.delivery, IF(OR(_xlpm.interval = 4, _xlpm.interval = 5), _xlpm.stack_end, _xlpm.stack), _xlpm.delivery)))</definedName>
    <definedName name="Histogramλ">_xlfn.LAMBDA(_xlpm.array,_xlop.bin_width,_xlop.include_Pareto, IF(COUNT(_xlpm.array) &lt;= 1, #VALUE!, IF(AND(NOT(_xlfn.ISOMITTED(_xlpm.bin_width)), OR(_xlpm.bin_width &lt; 0, _xlpm.bin_width &gt; 1000)), "#BIN-WIDTH!", _xlfn.LET(_xlpm.n, COUNT(_xlpm.array), _xlpm.SmallData?, _xlpm.n &lt; 200, _xlpm.Add_Pareto?, NOT(_xlfn.ISOMITTED(_xlpm.include_Pareto)), _xlpm.min, MIN(_xlpm.array), _xlpm.max, MAX(_xlpm.array), _xlpm.range, _xlpm.max - _xlpm.min, _xlpm.iqr, QUARTILE(_xlpm.array, 3) - QUARTILE(_xlpm.array, 1), _xlpm.s, SKEW(_xlpm.array), _xlpm.IsSkewed?, IF(_xlpm.SmallData?, FALSE, ABS(_xlpm.s) &gt; 0.2), _xlpm.IsFixed?, NOT(_xlfn.ISOMITTED(_xlpm.bin_width)), _xlpm.Sturge, CEILING(LOG(_xlpm.n, 2) + 1, 1), _xlpm.SRR, CEILING(SQRT(_xlpm.n), 1), _xlpm.Rice, CEILING(2 * _xlpm.n ^ (1 / 3), 1), _xlpm.Scott, CEILING(3.5 * _xlfn.STDEV.P(_xlpm.array) / _xlpm.n ^ (1 / 3), 1), _xlpm.Freedman, CEILING(2 * _xlpm.iqr / _xlpm.n ^ (1 / 3), 1), _xlpm.fixed, CEILING(_xlpm.range / _xlpm.bin_width, 1 / _xlpm.bin_width), _xlpm.k, IF(_xlpm.IsFixed?, _xlpm.fixed, IF(_xlpm.n &lt;= 30, MAX(_xlpm.Sturge, _xlpm.Rice), IF(_xlpm.IsSkewed?, MIN(_xlpm.Freedman, 15), MIN(_xlpm.Scott, 15)))), _xlpm.k_, MIN(IF(_xlpm.k = 1, 5, _xlpm.k), 100), _xlpm.interval, IF(_xlpm.range = 0, 1, MAX(_xlpm.range / _xlpm.k_, 0.1)), _xlpm.bin_upper, CEILING(_xlpm.max, _xlpm.interval), _xlpm.bin_lower, FLOOR(_xlpm.min, _xlpm.interval), _xlpm.bin_arr, _xlfn.SEQUENCE(1 + (_xlpm.bin_upper - _xlpm.bin_lower) / _xlpm.interval, , _xlpm.bin_lower, _xlpm.interval), _xlpm.bin_start, _xlfn.DROP(_xlpm.bin_arr, -1), _xlpm.bin_end, _xlfn.DROP(_xlpm.bin_arr, 1), _xlpm.bin_header, {"Start","End","Total"}, _xlpm.bin_labels, _xlfn.HSTACK(_xlfn.VSTACK("&lt;", _xlpm.bin_start), _xlfn.VSTACK(_xlfn.TAKE(_xlpm.bin_start, 1), _xlpm.bin_end)), _xlpm.freq, _xlfn.DROP(FREQUENCY(_xlpm.array, _xlpm.bin_arr), -1), _xlpm.Pareto, _xlfn.BYROW(_xlpm.freq, _xlfn.LAMBDA(_xlpm.v, _xlfn.PERCENTOF(_xlpm.v, _xlpm.freq))), _xlpm.stack, _xlfn.VSTACK(_xlpm.bin_header, _xlfn.HSTACK(_xlpm.bin_labels, _xlpm.freq)), _xlpm.deliver, IF(_xlpm.Add_Pareto?, _xlfn._xlws.SORT(_xlfn.HSTACK(_xlpm.stack, _xlfn.VSTACK("Cumulative %", _xlpm.Pareto)), 3, -1), _xlpm.stack), _xlpm.deliver))))</definedName>
    <definedName name="InsulateColsλ">_xlfn.LAMBDA(_xlpm.array,_xlpm.columns_before,_xlop.columns_after,_xlop.pad_with, _xlfn.LET(_xlpm.array_v, TRANSPOSE(_xlpm.array), _xlpm.padded_v, InsulateRowsλ(_xlpm.array_v, _xlpm.columns_before, _xlpm.columns_after, _xlpm.pad_with), _xlpm.result, TRANSPOSE(_xlpm.padded_v), _xlpm.result))</definedName>
    <definedName name="InsulateRowsλ">_xlfn.LAMBDA(_xlpm.array,_xlpm.rows_before,_xlop.rows_after,_xlop.pad_with, _xlfn.LET(_xlpm.h, ROWS(_xlpm.array), _xlpm.w, COLUMNS(_xlpm.array), _xlpm.rows_after, IF(_xlfn.ISOMITTED(_xlpm.rows_after), _xlpm.rows_before, _xlpm.rows_after), _xlpm.pad_with, INDEX(IF(_xlfn.ISOMITTED(_xlpm.pad_with), "", _xlpm.pad_with), 1, 1), _xlpm.InvalidPadCount?, OR(ISTEXT(_xlpm.rows_before), ISTEXT(_xlpm.rows_after), _xlpm.rows_before &lt; 0, _xlpm.rows_after &lt; 0), _xlpm.NoPadding?, AND(_xlpm.rows_before = 0, _xlpm.rows_after = 0), IF(_xlpm.InvalidPadCount?, "#ROWS-BEFORE/AFTER!", IF(_xlpm.NoPadding?, _xlpm.array, _xlfn.LET(_xlpm.pad_before, _xlfn.EXPAND(_xlpm.pad_with, _xlpm.rows_before, _xlpm.w, _xlpm.pad_with), _xlpm.pad_after, _xlfn.EXPAND(_xlpm.pad_with, _xlpm.rows_after, _xlpm.w, _xlpm.pad_with), _xlpm.before_only?, AND(_xlpm.rows_before &lt;&gt; 0, _xlpm.rows_after = 0), _xlpm.after_only?, AND(_xlpm.rows_before = 0, _xlpm.rows_after &lt;&gt; 0), _xlpm.fully_insulated?, AND(_xlpm.rows_before &lt;&gt; 0, _xlpm.rows_after &lt;&gt; 0), _xlpm.k, _xlpm.rows_after + _xlpm.h, _xlpm.expand_only, _xlfn.EXPAND(_xlpm.array, _xlpm.k, _xlpm.w, _xlpm.pad_with), _xlpm.insulate_before, _xlfn.VSTACK(_xlpm.pad_before, _xlpm.array), _xlpm.insulate_all, _xlfn.VSTACK(_xlpm.pad_before, _xlpm.array, _xlpm.pad_after), _xlpm.result, IF(_xlpm.fully_insulated?, _xlpm.insulate_all, IF(_xlpm.before_only?, _xlpm.insulate_before, _xlpm.expand_only)), _xlpm.result)))))</definedName>
    <definedName name="Join2Dλ">_xlfn.LAMBDA(_xlpm.array_1,_xlpm.array_2,_xlop.array_3,_xlop.array_4,_xlop.delimiter,_xlop.ignore, _xlfn.LET(_xlpm.Include3?, NOT(_xlfn.ISOMITTED(_xlpm.array_3)), _xlpm.Include4?, NOT(_xlfn.ISOMITTED(_xlpm.array_4)), _xlpm.array_3, IF(_xlfn.ISOMITTED(_xlpm.array_3), FALSE, _xlpm.array_3), _xlpm.array_4, IF(_xlfn.ISOMITTED(_xlpm.array_4), FALSE, _xlpm.array_4), _xlpm.delimiter, IF(_xlfn.ISOMITTED(_xlpm.delimiter), ", ", _xlpm.delimiter), _xlpm.ignore, IF(_xlfn.ISOMITTED(_xlpm.ignore), "", _xlpm.ignore), _xlpm.h, ROWS(_xlpm.array_1), _xlpm.w, COLUMNS(_xlpm.array_1), _xlpm.h₂, ROWS(_xlpm.array_2), _xlpm.w₂, COLUMNS(_xlpm.array_2), _xlpm.h₃, ROWS(_xlpm.array_3), _xlpm.w₃, COLUMNS(_xlpm.array_3), _xlpm.h₄, ROWS(_xlpm.array_4), _xlpm.w₄, COLUMNS(_xlpm.array_4), _xlpm.S_2, OR(_xlpm.h &lt;&gt; _xlpm.h₂, _xlpm.w &lt;&gt; _xlpm.w₂), _xlpm.S_3, _xlpm.Include3? * OR(_xlpm.h &lt;&gt; _xlpm.h₃, _xlpm.w &lt;&gt; _xlpm.w₃), _xlpm.S_4, _xlpm.Include4? * OR(_xlpm.h &lt;&gt; _xlpm.h₄, _xlpm.w &lt;&gt; _xlpm.w₄), _xlpm.ShapeMismatch?, OR(_xlpm.S_2, _xlpm.S_3, _xlpm.S_4), IF(_xlpm.ShapeMismatch?, "#DIMENSIONS!", _xlfn.LET(_xlpm.Occupiedλ, _xlfn.LAMBDA(_xlpm.a, (_xlpm.a &lt;&gt; FALSE) * (LEN(_xlpm.a) &lt;&gt; 0) * (_xlpm.a &lt;&gt; _xlpm.ignore)), _xlpm.m_1, _xlpm.Occupiedλ(_xlpm.array_1), _xlpm.m_2, _xlpm.Occupiedλ(_xlpm.array_2), _xlpm.m_3, _xlpm.Occupiedλ(_xlpm.array_3), _xlpm.m_4, _xlpm.Occupiedλ(_xlpm.array_4), _xlpm.joined, IF(_xlpm.m_1, _xlpm.array_1 &amp; _xlpm.delimiter, "") &amp; IF(_xlpm.m_2, _xlpm.array_2 &amp; _xlpm.delimiter, "") &amp; IF(_xlpm.m_3, _xlpm.array_3 &amp; _xlpm.delimiter, "") &amp; IF(_xlpm.m_4, _xlpm.array_4 &amp; _xlpm.delimiter, ""), _xlpm.final, _xlfn.TEXTBEFORE(_xlpm.joined, _xlpm.delimiter, -1, 1, , _xlpm.joined), _xlpm.final))))</definedName>
    <definedName name="KeepColsλ">_xlfn.LAMBDA(_xlpm.array,_xlpm.keep,_xlpm.at_each_change, _xlfn.LET(_xlpm.OneSubGroup?, COUNTA(_xlfn.UNIQUE(_xlpm.at_each_change, 1)) = 1, _xlpm.Discard, _xlfn.DROP(_xlpm.array, , _xlpm.keep), _xlpm.ShapeMismatch?, COLUMNS(_xlpm.array) &lt;&gt; COLUMNS(_xlpm.at_each_change), _xlpm.IsText?, ISTEXT(_xlpm.keep), _xlpm.NotScalar?, AND(NOT(_xlpm.IsText?), COUNTA(_xlpm.keep) &gt; 1), _xlpm.scenarios, _xlfn.VSTACK(_xlpm.ShapeMismatch?, _xlpm.IsText?, _xlpm.NotScalar?), _xlpm.halt, OR(_xlpm.scenarios), _xlpm.errors, {"#DIMENSIONS!";"#TEXT!";"#SCALAR!"}, _xlpm.alert, _xlfn.ARRAYTOTEXT(_xlfn._xlws.FILTER(_xlpm.errors, _xlpm.scenarios, 0)), IF(_xlpm.OneSubGroup?, _xlpm.Discard, IF(_xlpm.halt, _xlpm.alert, _xlfn.LET(_xlpm.s, SIGN(_xlpm.keep), _xlpm.ascend, Streakλ(_xlpm.at_each_change, TRUE), _xlpm.descend, Countdownλ(_xlpm.at_each_change, TRUE), _xlpm.keep, ABS(_xlpm.keep), _xlpm.idx, IF(_xlpm.s = -1, _xlpm.descend, _xlpm.ascend), _xlpm.keep?, _xlpm.idx &lt;= _xlpm.keep, _xlpm.result, _xlfn._xlws.FILTER(_xlpm.array, _xlpm.keep?), _xlpm.result)))))</definedName>
    <definedName name="KeepRowsλ">_xlfn.LAMBDA(_xlpm.array,_xlpm.keep,_xlpm.at_each_change, _xlfn.LET(_xlpm.OneSubGroup?, COUNTA(_xlfn.UNIQUE(_xlpm.at_each_change)) = 1, _xlpm.Discard, _xlfn.DROP(_xlpm.array, _xlpm.keep), _xlpm.ShapeMismatch?, ROWS(_xlpm.array) &lt;&gt; ROWS(_xlpm.at_each_change), _xlpm.IsText?, ISTEXT(_xlpm.keep), _xlpm.NotScalar?, AND(NOT(_xlpm.IsText?), COUNTA(_xlpm.keep) &gt; 1), _xlpm.scenarios, _xlfn.VSTACK(_xlpm.ShapeMismatch?, _xlpm.IsText?, _xlpm.NotScalar?), _xlpm.halt, OR(_xlpm.scenarios), _xlpm.errors, {"#DIMENSIONS!";"#TEXT!";"#SCALAR!"}, _xlpm.alert, _xlfn.ARRAYTOTEXT(_xlfn._xlws.FILTER(_xlpm.errors, _xlpm.scenarios, 0)), IF(_xlpm.OneSubGroup?, _xlpm.Discard, IF(_xlpm.halt, _xlpm.alert, _xlfn.LET(_xlpm.s, SIGN(_xlpm.keep), _xlpm.ascend, Streakλ(_xlpm.at_each_change), _xlpm.descend, Countdownλ(_xlpm.at_each_change), _xlpm.keep, ABS(_xlpm.keep), _xlpm.idx, IF(_xlpm.s = -1, _xlpm.descend, _xlpm.ascend), _xlpm.keep?, _xlpm.idx &lt;= _xlpm.keep, _xlpm.result, _xlfn._xlws.FILTER(_xlpm.array, _xlpm.keep?), _xlpm.result)))))</definedName>
    <definedName name="KnapSackλ">_xlfn.LAMBDA(_xlpm.items,_xlpm.value_of_items,_xlpm.weights,_xlpm.capacity, _xlfn.LET(_xlpm.TooManyItems?, ROWS(_xlpm.items) * COLUMNS(_xlpm.items) &gt; 20, _xlpm.TextItemVal?, OR(ISTEXT(_xlpm.value_of_items)), _xlpm.TextWeights?, OR(ISTEXT(_xlpm.weights)), _xlpm.TextCapacity?, OR(ISTEXT(_xlpm.capacity)), _xlpm.ShapeMisMatch?, OR(COUNTA(_xlpm.items) &lt;&gt; COUNTA(_xlpm.value_of_items), COUNTA(_xlpm.items) &lt;&gt; COUNTA(_xlpm.weights)), _xlpm.scenarios, _xlfn.VSTACK(_xlpm.TextItemVal?, _xlpm.TextWeights?, _xlpm.TextCapacity?, _xlpm.ShapeMisMatch?), _xlpm.exit, OR(_xlpm.scenarios), _xlpm.errors, {"#VALUE-ITEM!";"#VALUE-WEIGHTS!";"#VALUE-CAPACITY!";"#INPUT-MISMATCH!"}, _xlpm.alert, _xlfn.ARRAYTOTEXT(_xlfn._xlws.FILTER(_xlpm.errors, _xlpm.scenarios)), IF(_xlpm.TooManyItems?, "#TOO-MANY-ITEMS!", IF(_xlpm.exit, _xlpm.alert, _xlfn.LET(_xlpm.items, _xlfn.TOROW(_xlpm.items), _xlpm.value_of_items, _xlfn.TOROW(_xlpm.value_of_items), _xlpm.weights, _xlfn.TOROW(_xlpm.weights), _xlpm.capacity, INDEX(_xlpm.capacity, 1, 1), _xlpm.labels, {"Items";"Value";"Weight";"Pack"}, _xlpm.n, COUNTA(_xlpm.items), _xlpm.C, _xlfn.SEQUENCE(2 ^ _xlpm.n - 1), _xlpm.bin, Dec2Binλ(_xlpm.C, 1), _xlpm.w_arr, _xlpm.bin * _xlpm.weights, _xlpm.feasible?, _xlfn.BYROW(_xlpm.w_arr, _xleta.SUM) &lt;= _xlpm.capacity, _xlpm.val_arr, _xlfn._xlws.FILTER(_xlpm.bin * _xlpm.value_of_items, _xlpm.feasible?, 0), _xlpm.totals, _xlfn.BYROW(_xlpm.val_arr, _xleta.SUM), _xlpm.pack, SIGN(_xlfn._xlws.FILTER(_xlpm.val_arr, MAX(_xlpm.totals) = _xlpm.totals, 0)), _xlpm.final, _xlfn.IFNA(_xlfn.HSTACK(_xlpm.labels, _xlfn.VSTACK(_xlpm.items, _xlpm.value_of_items, _xlpm.weights, _xlpm.pack)), ""), _xlpm.final)))))</definedName>
    <definedName name="KroneckerProdλ">_xlfn.LAMBDA(_xlpm.array_1,_xlpm.array_2, _xlfn.LET(_xlpm.h, ROWS(_xlpm.array_1), _xlpm.w, COLUMNS(_xlpm.array_1), _xlpm.h₂, ROWS(_xlpm.array_2), _xlpm.w₂, COLUMNS(_xlpm.array_2), _xlpm.A, Magnifyλ(_xlpm.array_1, _xlpm.h₂, _xlpm.w₂), _xlpm.B, Resizeλ(_xlpm.array_2, _xlpm.h, _xlpm.w), _xlpm.result, _xlpm.A * _xlpm.B, _xlpm.result))</definedName>
    <definedName name="Letters">Echo!$C$7:$C$9</definedName>
    <definedName name="Magnifyλ">_xlfn.LAMBDA(_xlpm.array,_xlpm.height,_xlpm.width, IF(OR(COUNT(_xlpm.height) &lt;&gt; 1, COUNT(_xlpm.width) &lt;&gt; 1), "#VALUE!", IF(OR(ISTEXT(_xlpm.height), ISTEXT(_xlpm.width)), "#TEXT!", IF(OR(_xlpm.height &lt;= 0, _xlpm.width &lt;= 0), "#VALUE!", _xlfn.LET(_xlpm.i, ROWS(_xlpm.array) * _xlpm.height, _xlpm.j, COLUMNS(_xlpm.array) * _xlpm.width, _xlpm.x, _xlfn.LAMBDA(INT(_xlfn.SEQUENCE(_xlpm.i, , , 1 / _xlpm.height)) * _xlfn.SEQUENCE(, _xlpm.j, 1, 0)), _xlpm.y, _xlfn.LAMBDA(INT(_xlfn.SEQUENCE(, _xlpm.j, , 1 / _xlpm.width)) * _xlfn.SEQUENCE(_xlpm.i, , 1, 0)), _xlpm.result, INDEX(_xlpm.array, _xlpm.x(), _xlpm.y()), _xlpm.result)))))</definedName>
    <definedName name="MeshC">Tessellate!$C$22:$E$24</definedName>
    <definedName name="MeshR">Tessellate!$C$17:$E$19</definedName>
    <definedName name="MGridλ">_xlfn.LAMBDA(_xlpm.grid,_xlop.col_index, _xlfn.LET(_xlpm.RowIdx?, _xlfn.ISOMITTED(_xlpm.col_index), _xlpm.h, ROWS(_xlpm.grid), _xlpm.w, COLUMNS(_xlpm.grid), _xlpm.i, _xlfn.LAMBDA(Resizeλ(_xlfn.SEQUENCE(_xlpm.h), , _xlpm.w)), _xlpm.j, _xlfn.LAMBDA(Resizeλ(_xlfn.SEQUENCE(, _xlpm.w), _xlpm.h)), _xlpm.result, IF(_xlpm.RowIdx?, _xlpm.i(), _xlpm.j()), _xlpm.result))</definedName>
    <definedName name="Modeλ">_xlfn.LAMBDA(_xlpm.array,_xlop.include_totals, IF(COUNT(--ISTEXT(_xlpm.array)) = 0, _xlfn.MODE.MULT(_xlpm.array), _xlfn.LET(_xlpm.msg, "#NO-REPEATS!", _xlpm.V, _xlfn.TOCOL(_xlpm.array), _xlpm.i, _xlfn.MODE.MULT(_xlfn.XMATCH(_xlpm.V, _xlpm.V)), _xlpm.result, _xlfn._xlws.SORT(IFERROR(INDEX(_xlpm.V, _xlpm.i), _xlpm.msg)), _xlpm.keep, ISNUMBER(_xlfn.XMATCH(_xlpm.V, _xlpm.result)), _xlpm.totals, _xlfn.GROUPBY(_xlpm.V, _xlpm.V, _xleta.COUNTA, 0, 0, , _xlpm.keep), _xlpm.deliver, IF(AND(_xlpm.include_totals, _xlpm.result &lt;&gt; _xlpm.msg), _xlpm.totals, _xlpm.result), _xlpm.deliver)))</definedName>
    <definedName name="MooreAggλ">_xlfn.LAMBDA(_xlpm.Matrix,_xlpm.function,_xlop.IsvonNeumann?,_xlop.omit_center, IF(TYPE(_xlpm.Matrix) &lt;&gt; 64, "#MATRIX!", IF(TYPE(_xlpm.function) &lt;&gt; 128, "#ETA FUNCTION!", _xlfn.LET(_xlpm.IsvonNeumann?, NOT(_xlfn.ISOMITTED(_xlpm.IsvonNeumann?)), _xlpm.omit_center, NOT(_xlfn.ISOMITTED(_xlpm.omit_center)), _xlpm.height, ROWS(_xlpm.Matrix), _xlpm.width, COLUMNS(_xlpm.Matrix), _xlpm.M, _xlfn.VSTACK("omit", _xlfn.HSTACK("omit", _xlpm.Matrix, "omit"), "omit"), _xlpm.a, _xlfn.TOCOL(_xlfn.DROP(_xlpm.M, -2, -2)), _xlpm.b, _xlfn.TOCOL(_xlfn.TAKE(_xlfn.DROP(_xlpm.M, , 1), _xlpm.height, _xlpm.width)), _xlpm.c, _xlfn.TOCOL(_xlfn.TAKE(_xlfn.DROP(_xlpm.M, , 2), _xlpm.height)), _xlpm.d, _xlfn.TOCOL(_xlfn.TAKE(_xlfn.DROP(_xlpm.M, 1, -1), _xlpm.height, _xlpm.width)), _xlpm.center, _xlfn.TOCOL(_xlfn.TAKE(_xlfn.DROP(_xlpm.M, 1, 1), _xlpm.height, _xlpm.width)), _xlpm.f, _xlfn.TOCOL(_xlfn.TAKE(_xlfn.DROP(_xlpm.M, 1, 1), _xlpm.height, -_xlpm.width)), _xlpm.g, _xlfn.TOCOL(_xlfn.TAKE(_xlfn.DROP(_xlpm.M, 1, -1), -_xlpm.height, _xlpm.width)), _xlpm.h, _xlfn.TOCOL(_xlfn.TAKE(_xlfn.DROP(_xlpm.M, 1, -1), -_xlpm.height, -_xlpm.width)), _xlpm.i, _xlfn.TOCOL(_xlfn.TAKE(_xlfn.DROP(_xlpm.M, 1, 1), -_xlpm.height, -_xlpm.width)), _xlpm.Moore_no_center, _xlfn.HSTACK(_xlpm.a, _xlpm.b, _xlpm.c, _xlpm.d, _xlpm.f, _xlpm.g, _xlpm.h, _xlpm.i), _xlpm.Moore_with_center, _xlfn.HSTACK(_xlpm.a, _xlpm.b, _xlpm.c, _xlpm.d, _xlpm.center, _xlpm.f, _xlpm.g, _xlpm.h, _xlpm.i), _xlpm.von_no_center, _xlfn.HSTACK(_xlpm.b, _xlpm.d, _xlpm.f, _xlpm.h), _xlpm.von_with_center, _xlfn.HSTACK(_xlpm.b, _xlpm.d, _xlpm.f, _xlpm.h, _xlpm.center), _xlpm.Aggregateλ, _xlfn.LAMBDA(_xlpm.v, _xlpm.function(_xlfn.TOCOL(_xlfn.IFS(_xlpm.v, _xlpm.v), 2))), _xlpm.agg, IF(_xlpm.IsvonNeumann?, IF(_xlpm.omit_center, _xlfn.BYROW(_xlpm.von_no_center, _xlpm.Aggregateλ), _xlfn.BYROW(_xlpm.von_with_center, _xlpm.Aggregateλ)), IF(_xlpm.omit_center, _xlfn.BYROW(_xlpm.Moore_no_center, _xlpm.Aggregateλ), _xlfn.BYROW(_xlpm.Moore_with_center, _xlpm.Aggregateλ))), _xlpm.deliver, IFERROR(_xlfn.WRAPROWS(_xlpm.agg, _xlpm.width), 0), _xlpm.deliver))))</definedName>
    <definedName name="MooreSelectλ">_xlfn.LAMBDA(_xlpm.matrix,_xlpm.neighbor, IF(TYPE(_xlpm.matrix) &lt;&gt; 64, "#MATRIX!", IF(NOT(AND(_xlpm.neighbor &gt;= 1, _xlpm.neighbor &lt;= 9, NOT(ISTEXT(_xlpm.neighbor)))), "#NEIGHBOR!", _xlfn.LET(_xlpm.height, ROWS(_xlpm.matrix), _xlpm.width, COLUMNS(_xlpm.matrix), _xlpm.hpad, _xlfn.EXPAND(0, , _xlpm.width + 2, 0), _xlpm.vpad, _xlfn.EXPAND(0, _xlpm.height, , 0), _xlpm.M, _xlfn.VSTACK(_xlpm.hpad, _xlfn.HSTACK(_xlpm.vpad, _xlpm.matrix, _xlpm.vpad), _xlpm.hpad), _xlpm.a, _xlfn.DROP(_xlpm.M, -2, -2), _xlpm.b, _xlfn.TAKE(_xlfn.DROP(_xlpm.M, , 1), _xlpm.height, _xlpm.width), _xlpm.c, _xlfn.TAKE(_xlfn.DROP(_xlpm.M, , 2), _xlpm.height), _xlpm.d, _xlfn.TAKE(_xlfn.DROP(_xlpm.M, 1, -1), _xlpm.height, _xlpm.width), _xlpm.center, _xlfn.TAKE(_xlfn.DROP(_xlpm.M, 1, 1), _xlpm.height, _xlpm.width), _xlpm.f, _xlfn.TAKE(_xlfn.DROP(_xlpm.M, 1, 1), _xlpm.height, -_xlpm.width), _xlpm.g, _xlfn.TAKE(_xlfn.DROP(_xlpm.M, 1, -1), -_xlpm.height, _xlpm.width), _xlpm.h, _xlfn.TAKE(_xlfn.DROP(_xlpm.M, 1, -1), -_xlpm.height, -_xlpm.width), _xlpm.i, _xlfn.TAKE(_xlfn.DROP(_xlpm.M, 1, 1), -_xlpm.height, -_xlpm.width), _xlpm.Moore, _xlfn.HSTACK(_xlpm.a, _xlpm.b, _xlpm.c, _xlpm.d, _xlpm.center, _xlpm.f, _xlpm.g, _xlpm.h, _xlpm.i), _xlpm.start, (_xlpm.neighbor - 1) * _xlpm.width + 1, _xlpm.select_neighbor, _xlfn.CHOOSECOLS(_xlpm.Moore, _xlfn.SEQUENCE(, _xlpm.width, _xlpm.start)), _xlpm.select_neighbor))))</definedName>
    <definedName name="Noodle">RepeatCols!$C$8:$E$10</definedName>
    <definedName name="NumbersOnlyλ">_xlfn.LAMBDA(_xlpm.array, _xlfn.LET(_xlpm.array, IF(TYPE(_xlpm.array) &lt;&gt; 64, _xlpm.array, _xlfn.TOCOL(_xlpm.array)), _xlpm.ex, Explodeλ(_xlpm.array), _xlpm.Keep, IFERROR((CODE(_xlpm.ex) &gt;= 48) * (CODE(_xlpm.ex) &lt;= 57), FALSE), _xlpm.Result, IF(_xlpm.Keep, _xlpm.ex, ""), _xlpm.final, IFERROR(_xlfn.BYROW(_xlpm.Result, _xleta.CONCAT) + 0, ""), _xlpm.final))</definedName>
    <definedName name="Padλ">_xlfn.LAMBDA(_xlpm.array,_xlpm.rows_before,_xlop.rows_after,_xlop.cols_before,_xlop.cols_after,_xlop.pad_with, _xlfn.LET(_xlpm.Iλ, _xlfn.LAMBDA(_xlpm.x, INDEX(_xlpm.x, 1, 1)), _xlpm.rows_before, _xlpm.Iλ(_xlpm.rows_before), _xlpm.rows_after, _xlpm.Iλ(IF(_xlfn.ISOMITTED(_xlpm.rows_after), _xlpm.rows_before, _xlpm.rows_after)), _xlpm.cols_before, _xlpm.Iλ(IF(_xlfn.ISOMITTED(_xlpm.cols_before), _xlpm.rows_before, _xlpm.cols_before)), _xlpm.cols_after, _xlpm.Iλ(IF(_xlfn.ISOMITTED(_xlpm.cols_after), _xlpm.rows_before, _xlpm.cols_after)), _xlpm.InvalidIns?, OR(ISTEXT(_xlpm.rows_before), ISTEXT(_xlpm.rows_after), ISTEXT(_xlpm.cols_before), ISTEXT(_xlpm.cols_after)), IF(_xlpm.InvalidIns?, "#TEXT-PAD!", _xlfn.LET(_xlpm.padded_rows, InsulateRowsλ(_xlpm.array, _xlpm.rows_before, _xlpm.rows_after, _xlpm.pad_with), _xlpm.padded_all, InsulateColsλ(_xlpm.padded_rows, _xlpm.cols_before, _xlpm.cols_after, _xlpm.pad_with), _xlpm.padded_all))))</definedName>
    <definedName name="Pairwiseλ">_xlfn.LAMBDA(_xlpm.vector_1,_xlpm.vector_2, _xlfn.LET(_xlpm.v, _xlfn.TOCOL(_xlpm.vector_1), _xlpm.v₂, _xlfn.TOCOL(_xlpm.vector_2), _xlpm.k, COUNTA(_xlpm.v), _xlpm.k₂, COUNTA(_xlpm.v₂), _xlpm.Is2DInput?, OR(AND(ROWS(_xlpm.vector_1) &gt; 1, COLUMNS(_xlpm.vector_1) &gt; 1), AND(ROWS(_xlpm.vector_2) &gt; 1, COLUMNS(_xlpm.vector_2) &gt; 1)), _xlpm.Is2Big?, _xlpm.k * _xlpm.k₂ &gt; 1000000, IF(_xlpm.Is2DInput?, #VALUE!, IF(_xlpm.Is2Big?, #NUM!, _xlfn.LET(_xlpm.x, Echoλ(_xlpm.v, _xlpm.k₂), _xlpm.y, Resizeλ(_xlpm.v₂, _xlpm.k), _xlpm.pairs, _xlfn.HSTACK(_xlpm.x, _xlpm.y), _xlpm.pairs)))))</definedName>
    <definedName name="PermRλ">_xlfn.LAMBDA(_xlpm.items,_xlpm.items_chosen, Enumerateλ(_xlpm.items, _xlpm.items_chosen, 1))</definedName>
    <definedName name="Permλ">_xlfn.LAMBDA(_xlpm.items,_xlpm.items_chosen, Enumerateλ(_xlpm.items, _xlpm.items_chosen, 2))</definedName>
    <definedName name="Pinchλ">_xlfn.LAMBDA(_xlpm.array, IF(COUNTA(_xlpm.array) = 0, 0, _xlfn.LET(_xlpm.bool, LEN(_xlpm.array) &lt;&gt; 0, _xlpm.ORλ, _xlfn.LAMBDA(_xlpm.v, IFERROR(OR(_xlfn.TOCOL(_xlpm.v, 2)), FALSE)), _xlpm.mark_rows, _xlfn.BYROW(_xlpm.bool, _xlpm.ORλ), _xlpm.mark_cols, _xlfn.BYCOL(_xlpm.bool, _xlpm.ORλ), _xlpm.first_pass, _xlfn._xlws.FILTER(_xlpm.array, _xlpm.mark_rows, 0), _xlpm.result, _xlfn._xlws.FILTER(_xlpm.first_pass, _xlpm.mark_cols, 0), _xlpm.result)))</definedName>
    <definedName name="PivotbyCatλ">_xlfn.LAMBDA(_xlpm.row_detail,_xlpm.row_dates,_xlpm.categories,_xlpm.values,_xlpm.delimiter,_xlop.date_format,_xlop.function, _xlfn.LET(_xlpm.r₁, ROWS(_xlpm.row_detail), _xlpm.r₂, ROWS(_xlpm.row_dates), _xlpm.r₃, ROWS(_xlpm.categories), _xlpm.r₄, ROWS(_xlpm.values), _xlpm.ShapeMismatch, OR(_xlpm.r₁ &lt;&gt; _xlpm.r₂, _xlpm.r₁ &lt;&gt; _xlpm.r₃, _xlpm.r₁ &lt;&gt; _xlpm.r₄), _xlpm.date_format, IF(_xlfn.ISOMITTED(_xlpm.date_format), "yyy", _xlpm.date_format), _xlpm.InvalidDates, OR(AND(ISERROR(DATEVALUE(TEXT(_xlpm.row_dates, _xlpm.date_format))), ISERROR(VALUE(TEXT(_xlpm.row_dates, _xlpm.date_format)))), NOT(AND(ISNUMBER(_xlpm.row_dates)))), _xlpm.InvalidFn, TYPE(_xlpm.function) &lt;&gt; 128, _xlpm.scenarios, _xlfn.VSTACK(_xlpm.ShapeMismatch, _xlpm.InvalidDates, _xlpm.InvalidFn), _xlpm.errors, {"#DIMENSIONS!";"#DATES!";"#INVALID-FUNCTION!"}, _xlfn._xlws.FILTER(_xlpm.errors, _xlpm.scenarios, _xlfn.LET(_xlpm.fnλ, IF(_xlfn.ISOMITTED(_xlpm.function), _xleta.SUM, _xlpm.function), _xlpm.CountCatλ, _xlfn.LAMBDA(_xlpm.row, COUNTA(_xlfn.TEXTSPLIT(_xlpm.row, _xlpm.delimiter))), _xlpm.Parseλ, _xlfn.LAMBDA(_xlpm.array,_xlpm.instance, _xlfn.TEXTBEFORE(_xlfn.TEXTAFTER(_xlpm.delimiter &amp; _xlpm.array &amp; _xlpm.delimiter, _xlpm.delimiter, _xlpm.instance, , , _xlpm.array), _xlpm.delimiter, , , , _xlpm.categories)), _xlpm.k, _xlfn.BYROW(_xlpm.categories, _xlpm.CountCatλ), _xlpm.i, RepeatRowsλ(_xlfn.SEQUENCE(_xlpm.r₁), _xlpm.k), _xlpm.j, Streakλ(_xlpm.i), _xlpm.a, RepeatRowsλ(_xlpm.row_detail, _xlpm.k), _xlpm.detail, IF(_xlpm.a = 0, "Unknown", _xlpm.a), _xlpm.dates, RepeatRowsλ(TEXT(_xlpm.row_dates, _xlpm.date_format), _xlpm.k), _xlpm.sort_key, IFERROR(DATEVALUE(_xlpm.dates), VALUE(_xlpm.dates)), _xlpm.row_fields, _xlfn.HSTACK(_xlpm.sort_key, _xlpm.detail, _xlpm.dates), _xlpm.unpack, RepeatRowsλ(_xlpm.categories, _xlpm.k), _xlpm.categories, _xlpm.Parseλ(_xlpm.unpack, _xlpm.j), _xlpm.values, RepeatRowsλ(_xlpm.values / _xlpm.k, _xlpm.k), _xlpm.agg, _xlfn.DROP(_xlfn.PIVOTBY(_xlpm.row_fields, _xlpm.categories, _xlpm.values, _xlpm.fnλ, , 0, , 0), , 1), _xlpm.agg))))</definedName>
    <definedName name="Places">Echo!$C$27:$G$27</definedName>
    <definedName name="Plusλ">_xlfn.LAMBDA(_xlpm.grid,_xlpm.target,_xlpm.extend,_xlop.fill_value, _xlfn.LET(_xlpm.h, ROWS(_xlpm.grid), _xlpm.w, COLUMNS(_xlpm.grid), _xlpm.IsI_J?, COUNT(_xlpm.target) = 2, _xlpm.r, IF(_xlpm.IsI_J?, _xlfn.TAKE(_xlpm.target, 1, 1), 0), _xlpm.c, IF(_xlpm.IsI_J?, _xlfn.TAKE(_xlpm.target, -1, -1), 0), _xlpm.bool, IF(_xlpm.IsI_J?, FALSE, _xlpm.grid = _xlpm.target), _xlpm.IsScalar?, AND(_xlpm.h = 1, _xlpm.w = 1), _xlpm.Is1D?, _xlfn.XOR(_xlpm.h = 1, _xlpm.w = 1), _xlpm.InvalidExtend?, OR(ISTEXT(_xlpm.extend), _xlpm.extend &lt; 1), _xlpm.NoTarget?, IF(_xlpm.IsI_J?, FALSE, NOT(OR(_xlpm.bool))), _xlpm.fill_value, IF(_xlfn.ISOMITTED(_xlpm.fill_value), 0, _xlpm.fill_value), IF(_xlpm.IsScalar?, _xlpm.grid, IF(_xlpm.Is1D?, "#1D-ARRAY!", IF(_xlpm.InvalidExtend?, "#EXTEND!", IF(_xlpm.NoTarget?, "#TARGET!", _xlfn.LET(_xlpm.i, CGridλ(_xlpm.grid), _xlpm.j, CGridλ(_xlpm.grid, 1), _xlpm.x, IF(_xlpm.IsI_J?, INDEX(_xlpm.i, _xlpm.r, _xlpm.c), _xlfn.TOCOL(IF(_xlpm.bool, _xlpm.i, NA()), 2)), _xlpm.y, IF(_xlpm.IsI_J?, INDEX(_xlpm.j, _xlpm.r, _xlpm.c), _xlfn.TOCOL(IF(_xlpm.bool, _xlpm.j, NA()), 2)), _xlpm.mask, (_xlpm.i = _xlpm.x) * (ABS(_xlpm.j - _xlpm.y) &lt;= _xlpm.extend) + (_xlpm.j = _xlpm.y) * (ABS(_xlpm.i - _xlpm.x) &lt;= _xlpm.extend), _xlpm.result, Squeezeλ(IF(_xlpm.mask, _xlpm.grid, _xlpm.fill_value), _xlpm.fill_value), _xlpm.result)))))))</definedName>
    <definedName name="PolarGridλ">_xlfn.LAMBDA(_xlpm.grid,_xlop.phi_coordinate, _xlfn.LET(_xlpm.IsR?, _xlfn.ISOMITTED(_xlpm.phi_coordinate), _xlpm.x, CGridλ(_xlpm.grid), _xlpm.y, CGridλ(_xlpm.grid, 1), _xlpm.r, SQRT(_xlpm.x ^ 2 + _xlpm.y ^ 2), _xlpm.phi, IFERROR(ATAN2(_xlpm.y, _xlpm.x), 0), _xlpm.result, IF(_xlpm.IsR?, _xlpm.r, _xlpm.phi), _xlpm.result))</definedName>
    <definedName name="Pyramidλ">_xlfn.LAMBDA(_xlpm.array,_xlop.piece,_xlop.fill_value, _xlfn.LET(_xlpm.piece, IF(_xlfn.ISOMITTED(_xlpm.piece), 1, _xlpm.piece), _xlpm.InvalidPiece?, OR(_xlpm.piece &lt; 1, _xlpm.piece &gt; 4, ISTEXT(_xlpm.piece)), _xlpm.fill_value, IF(_xlfn.ISOMITTED(_xlpm.fill_value), "", _xlpm.fill_value), IF(_xlpm.InvalidPiece?, "#PIECE!", _xlfn.LET(_xlpm.h, ROWS(_xlpm.array), _xlpm.w, COLUMNS(_xlpm.array), _xlpm.i, MGridλ(_xlpm.array), _xlpm.j, MGridλ(_xlpm.array, 1), _xlpm.upper_right, _xlpm.i &lt;= _xlpm.j, _xlpm.lower_right, _xlpm.i + _xlpm.j &gt;= _xlpm.h + 1, _xlpm.lower_left, _xlpm.i &gt;= _xlpm.j, _xlpm.upper_left, _xlpm.i + _xlpm.j &lt;= _xlpm.h + 1, _xlpm.mask, IF(_xlpm.piece = 1, _xlpm.upper_right, IF(_xlpm.piece = 2, _xlpm.lower_right, IF(_xlpm.piece = 3, _xlpm.lower_left, _xlpm.upper_left))), _xlpm.result, IF(_xlpm.mask, _xlpm.array, _xlpm.fill_value), _xlpm.result))))</definedName>
    <definedName name="Qty">RepeatRows!$F$8:$F$10</definedName>
    <definedName name="RegexSafeλ">_xlfn.LAMBDA(_xlpm.delimiters, _xlfn.LET(_xlpm.meta, {"\","+","*","?","^","$","(",")","[","|"}, _xlpm.chars, _xlfn.REGEXEXTRACT(_xlpm.delimiters, ".", 1), _xlpm.IsMeta?, ISNUMBER(_xlfn.XMATCH(_xlpm.chars, _xlpm.meta)), _xlpm.pattern, _xlfn.CONCAT(IF(_xlpm.IsMeta?, "\" &amp; _xlpm.chars, _xlpm.chars)), _xlpm.pattern))</definedName>
    <definedName name="Removeλ">_xlfn.LAMBDA(_xlpm.array,_xlop.rows,_xlop.cols, _xlfn.LET(_xlpm.h, ROWS(_xlpm.array), _xlpm.w, COLUMNS(_xlpm.array), _xlpm.rows_inc, NOT(_xlfn.ISOMITTED(_xlpm.rows)), _xlpm.cols_inc, NOT(_xlfn.ISOMITTED(_xlpm.cols)), _xlpm.RemoveRows?, AND(_xlpm.rows_inc, NOT(_xlpm.cols_inc)), _xlpm.RemoveCols?, AND(_xlpm.cols_inc, NOT(_xlpm.rows_inc)), _xlpm.RemoveRC?, AND(_xlpm.rows_inc, _xlpm.cols_inc), _xlpm.IsScalar?, AND(_xlpm.h = 1, _xlpm.w = 1), _xlpm.TextRows?, OR(ISTEXT(_xlpm.rows)), _xlpm.TextCols?, OR(ISTEXT(_xlpm.cols)), _xlpm.InvalidRow?, IF(_xlpm.TextRows?, TRUE, AND(_xlpm.rows_inc, OR(MIN(_xlpm.rows) &lt; 1, MAX(_xlpm.rows) &gt; _xlpm.h))), _xlpm.InvalidCol?, IF(_xlpm.TextCols?, TRUE, AND(_xlpm.cols_inc, OR(MIN(_xlpm.cols) &lt; 1, MAX(_xlpm.cols) &gt; _xlpm.w))), IF(_xlpm.IsScalar?, _xlpm.array, IF(_xlpm.InvalidRow?, "#INVALID-ROW!", IF(_xlpm.InvalidCol?, "#INVALID-COL!", _xlfn.LET(_xlpm.r, _xlfn.SEQUENCE(_xlpm.h), _xlpm.c, _xlfn.SEQUENCE(, _xlpm.w), _xlpm.rmask, _xlfn.LAMBDA(ISNA(_xlfn.XMATCH(_xlpm.r, _xlfn.TOCOL(_xlpm.rows)))), _xlpm.cmask, _xlfn.LAMBDA(ISNA(_xlfn.XMATCH(_xlpm.c, _xlfn.TOCOL(_xlpm.cols)))), _xlpm.rows_only, _xlfn.LAMBDA(_xlfn._xlws.FILTER(_xlpm.array, _xlpm.rmask(), 0)), _xlpm.cols_only, _xlfn.LAMBDA(_xlfn._xlws.FILTER(_xlpm.array, _xlpm.cmask(), 0)), _xlpm.RC_r, _xlfn.LAMBDA(_xlfn._xlws.FILTER(_xlpm.array, _xlpm.rmask(), 0)), _xlpm.RC, _xlfn.LAMBDA(_xlfn._xlws.FILTER(_xlpm.RC_r(), _xlpm.cmask(), 0)), _xlpm.result, IF(_xlpm.RemoveRows?, _xlpm.rows_only(), IF(_xlpm.RemoveCols?, _xlpm.cols_only(), _xlpm.RC())), _xlpm.result))))))</definedName>
    <definedName name="Rep">Echo!$E$7:$E$9</definedName>
    <definedName name="RepB">Echo!$E$16:$E$17</definedName>
    <definedName name="RepC">Echo!$E$20:$E$22</definedName>
    <definedName name="RepD">Echo!$C$29:$E$29</definedName>
    <definedName name="RepeatColsλ">_xlfn.LAMBDA(_xlpm.array,_xlpm.repeat, IF(OR(ISTEXT(_xlpm.repeat), _xlpm.repeat &lt;= 0), "#VALUE!", _xlfn.LET(_xlpm.repeat, _xlfn.TOCOL(_xlpm.repeat), _xlpm.Aw, COLUMNS(_xlpm.array), _xlpm.Rh, ROWS(_xlpm.repeat), _xlpm.c, IF(_xlpm.Aw &lt;&gt; _xlpm.Rh, _xlfn.EXPAND(_xlpm.repeat, _xlpm.Aw, , _xlfn.SINGLE(_xlfn.TAKE(_xlpm.repeat, -1))), _xlpm.repeat), _xlpm.i, _xlfn.SEQUENCE(ROWS(_xlpm.c)), _xlpm.m, MAX(_xlpm.c), _xlpm.idx, _xlfn.LAMBDA(_xlfn.TOCOL(IF(SIGN(_xlpm.c - _xlfn.SEQUENCE(, _xlpm.m, 0)) = 1, _xlpm.i, NA()), 2)), _xlpm.deliver, _xlfn.CHOOSECOLS(_xlpm.array, _xlpm.idx()), _xlpm.deliver)))</definedName>
    <definedName name="RepeatRowsλ">_xlfn.LAMBDA(_xlpm.array,_xlpm.repeat, IF(OR(ISTEXT(_xlpm.repeat), _xlpm.repeat &lt;= 0), "#VALUE!", _xlfn.LET(_xlpm.repeat, _xlfn.TOCOL(_xlpm.repeat), _xlpm.Ah, ROWS(_xlpm.array), _xlpm.Rh, ROWS(_xlpm.repeat), _xlpm.r, IF(_xlpm.Ah &lt;&gt; _xlpm.Rh, _xlfn.EXPAND(_xlpm.repeat, _xlpm.Ah, , _xlfn.SINGLE(_xlfn.TAKE(_xlpm.repeat, -1))), _xlpm.repeat), _xlpm.i, _xlfn.SEQUENCE(ROWS(_xlpm.r)), _xlpm.m, MAX(_xlpm.r), _xlpm.idx, _xlfn.LAMBDA(_xlfn.TOCOL(IF(SIGN(_xlpm.r - _xlfn.SEQUENCE(, _xlpm.m, 0)) = 1, _xlpm.i, NA()), 2)), _xlpm.deliver, _xlfn.CHOOSEROWS(_xlpm.array, _xlpm.idx()), _xlpm.deliver)))</definedName>
    <definedName name="ReShape2Dλ">_xlfn.LAMBDA(_xlpm.array,_xlpm.new_width,_xlop.pad_with, _xlfn.LET(_xlpm.h, ROWS(_xlpm.array), _xlpm.w, COLUMNS(_xlpm.array), _xlpm.new_height, CEILING(COUNTA(_xlpm.array) / _xlpm.new_width, 1), _xlpm.pad_with, IF(_xlfn.ISOMITTED(_xlpm.pad_with), NA(), _xlpm.pad_with), _xlpm.InvalidWidth, _xlpm.new_width &gt; _xlpm.w, _xlpm.IsScalar?, AND(_xlpm.h = 1, _xlpm.w = 1), _xlpm.Is1D?, _xlfn.XOR(_xlpm.h = 1, _xlpm.w = 1), _xlpm.IsVertical?, _xlpm.h &gt; _xlpm.w, IF(_xlpm.IsScalar?, _xlpm.array, IF(_xlpm.Is1D?, "#VALUE!", IF(_xlpm.InvalidWidth, "#WIDTH!", _xlfn.LET(_xlpm.i, _xlfn.LAMBDA(CEILING(_xlfn.SEQUENCE(_xlpm.new_height, _xlpm.new_width) / _xlpm.w, 1)), _xlpm.modulo, _xlfn.LAMBDA(MOD(_xlfn.SEQUENCE(_xlpm.new_height, _xlpm.new_width), _xlpm.w)), _xlpm.j, _xlfn.LAMBDA(IF(_xlpm.modulo() = 0, _xlpm.w, _xlpm.modulo())), _xlpm.reshaped, IFERROR(INDEX(_xlpm.array, _xlpm.i(), _xlpm.j()), _xlpm.pad_with), _xlpm.reshaped))))))</definedName>
    <definedName name="Resizeλ">_xlfn.LAMBDA(_xlpm.array,_xlop.height,_xlop.width, _xlfn.LET(_xlpm.h, ROWS(_xlpm.array), _xlpm.w, COLUMNS(_xlpm.array), _xlpm.HeightOmitted?, _xlfn.ISOMITTED(_xlpm.height), _xlpm.WidthOmitted?, _xlfn.ISOMITTED(_xlpm.width), _xlpm.NoHWInput?, _xlpm.HeightOmitted? + _xlpm.WidthOmitted? = 2, _xlpm.height, IF(OR(_xlpm.NoHWInput?, _xlpm.HeightOmitted?), 1, _xlpm.height), _xlpm.width, IF(OR(_xlpm.NoHWInput?, _xlpm.WidthOmitted?), 1, _xlpm.width), _xlpm.NoRepeat?, AND(_xlpm.height = 1, _xlpm.width = 1), _xlpm.IsScalar?, AND(_xlpm.h = 1, _xlpm.w = 1), _xlpm.ExpandScalar, _xlfn.EXPAND(_xlpm.array, _xlpm.height, _xlpm.width, _xlpm.array), _xlpm.InvalidRepeat?, OR(ISTEXT(_xlpm.height), ISTEXT(_xlpm.width), OR(AND(ISNUMBER(_xlpm.height), _xlpm.height &lt;= 0), AND(ISNUMBER(_xlpm.width), _xlpm.width &lt;= 0))), IF(_xlpm.NoRepeat?, _xlpm.array, IF(_xlpm.IsScalar?, _xlpm.ExpandScalar, IF(_xlpm.InvalidRepeat?, _xlpm.array, _xlfn.LET(_xlpm.k, _xlpm.h * _xlpm.height, _xlpm.k₂, _xlpm.w * _xlpm.width, _xlpm.i, _xlfn.LAMBDA(1 + MOD(_xlfn.SEQUENCE(_xlpm.k, , 0, ), _xlpm.h) * _xlfn.SEQUENCE(, _xlpm.k₂, 1, 0)), _xlpm.j, _xlfn.LAMBDA(1 + MOD(_xlfn.SEQUENCE(, _xlpm.k₂, 0), _xlpm.w) * _xlfn.SEQUENCE(_xlpm.k, , 1, 0)), _xlpm.result, INDEX(_xlpm.array, _xlpm.i(), _xlpm.j()), _xlpm.result))))))</definedName>
    <definedName name="Revealλ">_xlfn.LAMBDA(_xlpm.data,_xlop.IsVerbose?,_xlop.delimiter, _xlfn.LET(_xlpm.width, COLUMNS(_xlpm.data), _xlpm.metrics, {"Number";"Text";"Number-stored-as-text";"Error";"Contains spaces";"Contains special characters";"Formula";"Blank";"Logical"}, _xlpm.Binλ, _xlfn.LAMBDA(_xlpm.v, _xlfn.TOCOL(IFERROR(_xlpm.v, 0))), _xlpm.RemoveNAλ, _xlfn.LAMBDA(_xlpm.v, _xlfn.IFNA(_xlpm.v, 0)), _xlpm.delimiter, IF(_xlfn.ISOMITTED(_xlpm.delimiter), ", ", _xlpm.delimiter), _xlpm.GetDetailsλ, _xlfn.LAMBDA(_xlpm.a,_xlpm.b,_xlpm.c,_xlpm.d,_xlpm.e,_xlpm.f,_xlpm.g,_xlpm.h,_xlpm.i, _xlfn.LET(_xlpm.m, _xlfn.VSTACK(_xlpm.a, _xlpm.b, _xlpm.c, _xlpm.d, _xlpm.RemoveNAλ(_xlpm.e), _xlpm.RemoveNAλ(_xlpm.f), _xlpm.g, _xlpm.h, _xlpm.i), _xlpm.detail, IF(_xlpm.h, "Blank", _xlfn.TOCOL(_xlfn.IFS(_xlpm.m, _xlpm.metrics), 2)), _xlpm.joined, _xlfn.TEXTJOIN(_xlpm.delimiter, 1, _xlpm.detail), _xlpm.joined)), _xlpm.Numbers, --_xlfn.TOCOL(ISNUMBER(_xlpm.data)), _xlpm.Texts, --_xlfn.TOCOL(ISTEXT(_xlpm.data)), _xlpm.Numbers_stored_as_text, _xlfn.TOCOL(ISNUMBER(IFERROR(_xlpm.data + 0, "")) * ISTEXT(_xlpm.data)), _xlpm.Cells_with_errors, --_xlfn.TOCOL(ISERROR(_xlpm.data)), _xlpm.Spaces, --_xlpm.Binλ(LEN(TRIM(_xlpm.data)) &lt;&gt; LEN(_xlpm.data)), _xlpm.pattern, "[^A-Za-z0-9 .]|[\x{00A0}\x{200B}-\x{200D}]|[\t\n\r]|[\x{1F600}-\x{1F64F}]", _xlpm.Special_characters, --_xlpm.Binλ(_xlfn.REGEXTEST(_xlpm.data, _xlpm.pattern)), _xlpm.Formulas, --_xlfn.TOCOL(_xlfn.ISFORMULA(_xlpm.data)), _xlpm.Blanks, --_xlfn.TOCOL(ISBLANK(_xlpm.data)), _xlpm.Logical, --_xlfn.TOCOL(ISLOGICAL(_xlpm.data)), _xlpm.metric_stack, _xlfn.HSTACK(_xlpm.Numbers, _xlpm.Texts, _xlpm.Numbers_stored_as_text, _xlpm.Cells_with_errors, _xlpm.Spaces, _xlpm.Special_characters, _xlpm.Formulas, _xlpm.Blanks, _xlpm.Logical), _xlpm.totals, _xlfn.TOCOL(_xlfn.BYCOL(_xlpm.metric_stack, _xleta.SUM)), _xlpm.Summary, _xlfn.LAMBDA(_xlfn._xlws.SORT(_xlfn.HSTACK(_xlpm.metrics, _xlpm.totals), 2, -1)), _xlpm.Verbose, _xlfn.WRAPROWS(_xlfn.MAP(_xlpm.Numbers, _xlpm.Texts, _xlpm.Numbers_stored_as_text, _xlpm.Cells_with_errors, _xlpm.Spaces, _xlpm.Special_characters, _xlpm.Formulas, _xlpm.Blanks, _xlpm.Logical, _xlpm.GetDetailsλ), _xlpm.width), _xlpm.Report, IF(_xlfn.ISOMITTED(_xlpm.IsVerbose?), _xlpm.Summary(), _xlpm.Verbose), _xlpm.Report))</definedName>
    <definedName name="Ringλ">_xlfn.LAMBDA(_xlpm.grid,_xlpm.layer,_xlop.fill_value, _xlfn.LET(_xlpm.h, ROWS(_xlpm.grid), _xlpm.w, COLUMNS(_xlpm.grid), _xlpm.IsScalar?, AND(_xlpm.h = 1, _xlpm.w = 1), _xlpm.Is1D?, OR(_xlpm.h = 1, _xlpm.w = 1), _xlpm.InvalidLayer?, OR(ISTEXT(_xlpm.layer), _xlpm.layer &lt;= 0), _xlpm.MaxLayer, INT((MIN(_xlpm.h, _xlpm.w) + 1) / 2), IF(_xlpm.IsScalar?, _xlpm.grid, IF(_xlpm.Is1D?, "#1D-ARRAY!", IF(_xlpm.InvalidLayer?, "#LAYER!", IF(_xlpm.layer &gt; _xlpm.MaxLayer, "#MAX-LAYER: " &amp; _xlpm.MaxLayer, _xlfn.LET(_xlpm.fill_value, IF(_xlfn.ISOMITTED(_xlpm.fill_value), 0, _xlpm.fill_value), _xlpm.i, MGridλ(_xlpm.grid), _xlpm.j, MGridλ(_xlpm.grid, 1), _xlpm.top, ((_xlpm.i = _xlpm.layer) + (_xlpm.i = 1 + _xlpm.h - _xlpm.layer)) * ((_xlpm.j &gt; _xlpm.layer - 1) * (_xlpm.j &lt;= 1 + _xlpm.w - _xlpm.layer)), _xlpm.side, ((_xlpm.j = _xlpm.layer) + (_xlpm.j = 1 + _xlpm.w - _xlpm.layer)) * ((_xlpm.i &gt; _xlpm.layer - 1) * (_xlpm.i &lt;= 1 + _xlpm.h - _xlpm.layer)), _xlpm.mask, SIGN(_xlpm.top + _xlpm.side), _xlpm.result, IF(_xlpm.mask, _xlpm.grid, _xlpm.fill_value), _xlpm.result)))))))</definedName>
    <definedName name="Scan2Dλ">_xlfn.LAMBDA(_xlpm.initial_value,_xlpm.array,_xlpm.function,_xlop.direction, _xlfn.LET(_xlpm.direction, IF(_xlfn.ISOMITTED(_xlpm.direction), 0, _xlpm.direction), _xlpm.h, ROWS(_xlpm.array), _xlpm.w, COLUMNS(_xlpm.array), _xlpm.IsScalar?, AND(_xlpm.h = 1, _xlpm.w = 1), _xlpm.Is1D?, _xlfn.XOR(_xlpm.h = 1, _xlpm.w = 1), _xlpm.Invalid1DDir?, AND(_xlpm.Is1D?, _xlpm.direction &lt;&gt; 0, _xlpm.direction &lt;&gt; -1), _xlpm.IsReverse?, _xlpm.direction = -1, _xlpm.IsVertical?, AND(_xlpm.Is1D?, _xlpm.h &gt; _xlpm.w), _xlpm.e, IF(_xlpm.IsVertical?, _xlpm.h, _xlpm.w), _xlpm.idx, _xlfn.SEQUENCE(_xlpm.e, , _xlpm.e, -1), _xlpm.rev_array, IF(_xlpm.IsVertical?, INDEX(_xlpm.array, _xlpm.idx), INDEX(_xlpm.array, , _xlpm.idx)), _xlpm.vector, IF(_xlpm.IsReverse?, _xlpm.rev_array, _xlpm.array), IF(_xlpm.IsScalar?, _xlfn.SCAN(_xlpm.initial_value, _xlpm.array, _xlpm.function), IF(_xlpm.Invalid1DDir?, "#direction!", IF(_xlpm.Is1D?, _xlfn.SCAN(_xlpm.initial_value, _xlpm.vector, _xlpm.function), IF(ISNA(_xlfn.XMATCH(_xlpm.direction, {-1;0;1;2;3;"NE";"SE";"SW"})), "#direction!", _xlfn.LET(_xlpm.standard, _xlfn.LAMBDA(_xlfn.SCAN(_xlpm.initial_value, _xlpm.array, _xlpm.function)), _xlpm.standard_bycol, _xlfn.LAMBDA(TRANSPOSE(_xlfn.SCAN(_xlpm.initial_value, TRANSPOSE(_xlpm.array), _xlpm.function))), _xlpm.traversal, _xlfn.LAMBDA(ReShape2Dλ(_xlfn.SCAN(_xlpm.initial_value, Traverseλ(_xlpm.array, _xlpm.direction), _xlpm.function), _xlpm.w)), _xlpm.result, IF(_xlpm.direction = 0, _xlpm.standard(), IF(_xlpm.direction = -1, _xlpm.standard_bycol(), _xlpm.traversal())), _xlpm.result)))))))</definedName>
    <definedName name="Served">RepeatCols!$C$13:$E$13</definedName>
    <definedName name="ShiftColsλ">_xlfn.LAMBDA(_xlpm.matrix,_xlop.shift_by, _xlfn.LET(_xlpm.h, ROWS(_xlpm.matrix), _xlpm.w, COLUMNS(_xlpm.matrix), _xlpm.Is1D?, OR(_xlpm.h = 1, _xlpm.w = 1), IF(_xlpm.Is1D?, Shiftλ(_xlpm.matrix, _xlpm.shift_by), _xlfn.LET(_xlpm.i, Resizeλ(Shiftλ(_xlfn.SEQUENCE(_xlpm.h), _xlpm.shift_by), , _xlpm.w), _xlpm.j, MGridλ(_xlpm.matrix, 1), _xlpm.result, INDEX(_xlpm.matrix, _xlpm.i, _xlpm.j), _xlpm.result))))</definedName>
    <definedName name="ShiftRowsλ">_xlfn.LAMBDA(_xlpm.matrix,_xlop.shift_by, _xlfn.LET(_xlpm.h, ROWS(_xlpm.matrix), _xlpm.w, COLUMNS(_xlpm.matrix), _xlpm.Is1D?, OR(_xlpm.h = 1, _xlpm.w = 1), IF(_xlpm.Is1D?, Shiftλ(_xlpm.matrix, _xlpm.shift_by), _xlfn.LET(_xlpm.i, MGridλ(_xlpm.matrix), _xlpm.j, Resizeλ(Shiftλ(_xlfn.SEQUENCE(, _xlpm.w), _xlpm.shift_by), _xlpm.h), _xlpm.result, INDEX(_xlpm.matrix, _xlpm.i, _xlpm.j), _xlpm.result))))</definedName>
    <definedName name="Shiftλ">_xlfn.LAMBDA(_xlpm.tuple,_xlop.shift_by, _xlfn.LET(_xlpm.h, ROWS(_xlpm.tuple), _xlpm.w, COLUMNS(_xlpm.tuple), _xlpm.IsScalar?, AND(_xlpm.h = 1, _xlpm.w = 1), _xlpm.IsVertical?, AND(_xlpm.h &gt; 1, _xlpm.w = 1), _xlpm.tuple, _xlfn.TOCOL(IF(_xlpm.IsScalar?, Explodeλ(_xlpm.tuple), _xlpm.tuple)), _xlpm.shift_by, _xlfn.TOCOL(IF(_xlfn.ISOMITTED(_xlpm.shift_by), 1, _xlpm.shift_by)), _xlpm.IsMultiShift?, COUNTA(_xlpm.shift_by) &gt; 1, _xlpm.Is1Element?, COUNTA(_xlpm.tuple) = 1, _xlpm.IsTextShift?, OR(ISTEXT(_xlpm.shift_by)), IF(_xlpm.Is1Element?, _xlpm.tuple, IF(_xlpm.IsTextShift?, "#TEXT-SHIFT!", _xlfn.LET(_xlpm.n, COUNTA(_xlpm.tuple), _xlpm.i, _xlfn.SEQUENCE(, _xlpm.n, 0, 1), _xlpm.idx, MOD(_xlpm.i + _xlpm.shift_by, _xlpm.n) + 1, _xlpm.shifted, INDEX(_xlpm.tuple, _xlpm.idx), _xlpm.result, IF(_xlpm.IsMultiShift?, _xlpm.shifted, IF(OR(_xlpm.IsScalar?, _xlpm.IsVertical?), _xlfn.TOCOL(_xlpm.shifted), _xlfn.TOROW(_xlpm.shifted))), _xlpm.result)))))</definedName>
    <definedName name="SliceByDegλ">_xlfn.LAMBDA(_xlpm.grid,_xlpm.min_degree,_xlop.max_degree,_xlop.fill_value, _xlfn.LET(_xlpm.max_degree, IF(_xlfn.ISOMITTED(_xlpm.max_degree), 360, _xlpm.max_degree), _xlpm.fill_value, IF(_xlfn.ISOMITTED(_xlpm.fill_value), "", _xlpm.fill_value), _xlpm.InvalidDeg?, OR(ISTEXT(_xlpm.min_degree), ISTEXT(_xlpm.max_degree), _xlpm.min_degree &lt; 0, _xlpm.min_degree &gt; 360, _xlpm.max_degree &lt; 0, _xlpm.max_degree &gt; 360), IF(_xlpm.InvalidDeg?, "#DEGREE!", _xlfn.LET(_xlpm.d, DGridλ(_xlpm.grid), _xlpm.mask, IF(_xlpm.min_degree &lt;= _xlpm.max_degree, (_xlpm.d &gt;= _xlpm.min_degree) * (_xlpm.d &lt;= _xlpm.max_degree), (_xlpm.d &gt;= _xlpm.min_degree) + (_xlpm.d &lt;= _xlpm.max_degree)), _xlpm.masked, IF(_xlpm.mask, _xlpm.grid, NA()), _xlpm.cleaned, DeleteWhereλ(_xlpm.masked, _xlfn.LAMBDA(_xlpm.v, AND(ISNA(_xlpm.v)))), _xlpm.result, _xlfn.IFNA(_xlpm.cleaned, _xlpm.fill_value), _xlpm.result))))</definedName>
    <definedName name="Snapλ">_xlfn.LAMBDA(_xlpm.array,_xlpm.include,_xlop.if_empty, IF(AND(ROWS(_xlpm.include) &gt; 1, COLUMNS(_xlpm.include) &gt; 1), "#2D-INCLUDE!", _xlfn.LET(_xlpm.if_empty, IF(_xlfn.ISOMITTED(_xlpm.if_empty), 0, _xlpm.if_empty), _xlpm.keep?, _xlfn.BYROW(_xlfn.IFNA(_xlfn.XMATCH(_xlpm.array, _xlpm.include), 0), _xleta.OR), _xlpm.result, _xlfn._xlws.FILTER(_xlpm.array, _xlpm.keep?, _xlpm.if_empty), _xlpm.result)))</definedName>
    <definedName name="Sold">RepeatRows!$F$26:$F$29</definedName>
    <definedName name="Splitλ">_xlfn.LAMBDA(_xlpm.array,_xlpm.delimiter,_xlop.if_not_found,_xlop.treat_consecutive_delimiters_as_one, _xlfn.LET(_xlpm.h, ROWS(_xlpm.array), _xlpm.w, COLUMNS(_xlpm.array), _xlpm.h₂, ROWS(_xlpm.delimiter), _xlpm.w₂, COLUMNS(_xlpm.delimiter), _xlpm.IsVertical?, _xlpm.h &gt; _xlpm.w, _xlpm.Is2D?, AND(_xlpm.h &gt; 1, _xlpm.w &gt; 1), _xlpm.IsScalar?, AND(_xlpm.h = 1, _xlpm.w = 1), _xlpm.if_not_found, IF(_xlfn.ISOMITTED(_xlpm.if_not_found), "", _xlpm.if_not_found), _xlpm.CollapseDelim?, NOT(_xlfn.ISOMITTED(_xlpm.treat_consecutive_delimiters_as_one)), _xlpm.MultipleDelim?, OR(_xlpm.h₂ &gt; 1, _xlpm.w₂ &gt; 1), IF(_xlpm.Is2D?, "#2D-INPUT!", IF(_xlpm.MultipleDelim?, "#DELIMITER-ARRAY!", _xlfn.LET(_xlpm.joined, _xlpm.delimiter &amp; _xlpm.array &amp; _xlpm.delimiter, _xlpm.delim_b, RegexSafeλ(_xlpm.delimiter), _xlpm.IsConsecDelim?, OR(_xlfn.REGEXTEST(_xlpm.joined, "(" &amp; _xlpm.delim_b &amp; "){2,}")), _xlpm.texts, IF(AND(_xlpm.CollapseDelim?, _xlpm.IsConsecDelim?), _xlfn.REGEXREPLACE(_xlpm.joined, "(" &amp; _xlpm.delim_b &amp; ")+", _xlpm.delim_b), _xlpm.joined), _xlpm.L, LEN(_xlpm.delimiter), _xlpm.token, MAX(LEN(_xlpm.texts) - LEN(SUBSTITUTE(_xlpm.texts, _xlpm.delimiter, ""))) / _xlpm.L - 1, _xlpm.idx, _xlfn.LAMBDA(IF((_xlpm.IsVertical?) + (_xlpm.IsScalar?), _xlfn.SEQUENCE(, _xlpm.token), _xlfn.SEQUENCE(_xlpm.token))), _xlpm.final, IFERROR(_xlfn.TEXTBEFORE(_xlfn.TEXTAFTER(_xlpm.texts, _xlpm.delimiter, _xlpm.idx(), , , _xlpm.if_not_found), _xlpm.delimiter, , , , _xlpm.if_not_found), _xlpm.if_not_found), _xlpm.final)))))</definedName>
    <definedName name="Squareλ">_xlfn.LAMBDA(_xlpm.grid,_xlpm.target,_xlpm.extend,_xlop.fill_value, _xlfn.LET(_xlpm.h, ROWS(_xlpm.grid), _xlpm.w, COLUMNS(_xlpm.grid), _xlpm.IsI_J?, COUNT(_xlpm.target) = 2, _xlpm.r, IF(_xlpm.IsI_J?, _xlfn.TAKE(_xlpm.target, 1, 1), 0), _xlpm.c, IF(_xlpm.IsI_J?, _xlfn.TAKE(_xlpm.target, -1, -1), 0), _xlpm.bool, IF(_xlpm.IsI_J?, FALSE, _xlpm.grid = _xlpm.target), _xlpm.IsScalar?, AND(_xlpm.h = 1, _xlpm.w = 1), _xlpm.Is1D?, _xlfn.XOR(_xlpm.h = 1, _xlpm.w = 1), _xlpm.InvalidExtend?, OR(ISTEXT(_xlpm.extend), _xlpm.extend &lt; 1), _xlpm.NoTarget?, IF(_xlpm.IsI_J?, FALSE, NOT(OR(_xlpm.bool))), _xlpm.fill_value, IF(_xlfn.ISOMITTED(_xlpm.fill_value), 0, _xlpm.fill_value), IF(_xlpm.IsScalar?, _xlpm.grid, IF(_xlpm.Is1D?, "#1D-ARRAY!", IF(_xlpm.InvalidExtend?, "#EXTEND!", IF(_xlpm.NoTarget?, "#TARGET!", _xlfn.LET(_xlpm.i, CGridλ(_xlpm.grid), _xlpm.j, CGridλ(_xlpm.grid, 1), _xlpm.x, IF(_xlpm.IsI_J?, INDEX(_xlpm.i, _xlpm.r, _xlpm.c), _xlfn.TOCOL(IF(_xlpm.bool, _xlpm.i, NA()), 2)), _xlpm.y, IF(_xlpm.IsI_J?, INDEX(_xlpm.j, _xlpm.r, _xlpm.c), _xlfn.TOCOL(IF(_xlpm.bool, _xlpm.j, NA()), 2)), _xlpm.mask, (ABS(_xlpm.i - _xlpm.x) &lt;= _xlpm.extend) * (ABS(_xlpm.j - _xlpm.y) &lt;= _xlpm.extend), _xlpm.result, Squeezeλ(IF(_xlpm.mask, _xlpm.grid, _xlpm.fill_value), _xlpm.fill_value), _xlpm.result)))))))</definedName>
    <definedName name="Squeezeλ">_xlfn.LAMBDA(_xlpm.array,_xlop.custom_criteria,_xlop.suppress_zeros, _xlfn.LET(_xlpm.HideZero?, NOT(_xlfn.ISOMITTED(_xlpm.suppress_zeros)), _xlpm.i, _xlfn.SEQUENCE(ROWS(_xlpm.array)), _xlpm.j, _xlfn.SEQUENCE(, COLUMNS(_xlpm.array)), _xlpm.Keepλ, _xlfn.LAMBDA(_xlpm.v, NOT(AND(_xlfn.TOCOL(_xlpm.v, 2) = 0))), _xlpm.Customλ, _xlfn.LAMBDA(_xlpm.v, NOT(AND(_xlfn.TOCOL(_xlpm.v, 2) = _xlpm.custom_criteria))), _xlpm.fn, IF(_xlfn.ISOMITTED(_xlpm.custom_criteria), _xlpm.Keepλ, _xlpm.Customλ), _xlpm.a, _xlfn.TOCOL(IF(_xlfn.BYROW(_xlpm.array, _xlpm.fn), _xlpm.i, NA()), 2), _xlpm.b, _xlfn.TOROW(IF(_xlfn.BYCOL(_xlpm.array, _xlpm.fn), _xlpm.j, NA()), 2), _xlpm.IsEmpty?, AND(ISERROR(_xlpm.a), ISERROR(_xlpm.b)), _xlpm.x, ROWS(_xlpm.a), _xlpm.y, COLUMNS(_xlpm.b), _xlpm.r, _xlpm.a * _xlfn.SEQUENCE(, _xlpm.y, 1, 0), _xlpm.c, _xlpm.b * _xlfn.SEQUENCE(_xlpm.x, , 1, 0), _xlpm.result, INDEX(_xlpm.array, _xlpm.r, _xlpm.c), _xlpm.result_b, IF(_xlpm.result = 0, "", _xlpm.result), _xlpm.output, IF(_xlpm.IsEmpty?, "#EMPTY-ARRAY!", IF(_xlpm.HideZero?, _xlpm.result_b, _xlpm.result)), _xlpm.output))</definedName>
    <definedName name="Staircaseλ">_xlfn.LAMBDA(_xlpm.array,_xlpm.block_size,_xlop.block_offset,_xlop.IsHorizontal?,_xlop.IsAntiDiag?, ValidateStaircaseλ(_xlpm.array, _xlpm.block_size, _xlpm.block_offset, _xlfn.LET(_xlpm.NoOffset?, _xlfn.ISOMITTED(_xlpm.block_offset), _xlpm.ZeroOffset?, _xlpm.block_offset = 0, _xlpm.col_offset, IF(_xlpm.NoOffset?, 0, _xlpm.block_offset), _xlpm.IsVertical?, _xlfn.ISOMITTED(_xlpm.IsHorizontal?), _xlpm.NoAntiDiag?, _xlfn.ISOMITTED(_xlpm.IsAntiDiag?), _xlpm.flat, _xlfn.TOCOL(_xlpm.array), _xlpm.k, COUNTA(_xlpm.flat), _xlpm.seq, _xlfn.LAMBDA(_xlfn.SEQUENCE(_xlpm.k)), _xlpm.V, _xlfn.TOROW(_xlfn.EXPAND(_xlfn.WRAPROWS(_xlpm.seq(), _xlpm.block_size), , _xlpm.block_size + _xlpm.block_offset, 0)), _xlpm.width, COLUMNS(_xlpm.V), _xlpm.i, _xlfn.LAMBDA(_xlfn.SEQUENCE(_xlpm.block_size) * _xlfn.SEQUENCE(, _xlpm.width, 1, 0)), _xlpm.col_arr, _xlfn.LAMBDA(IF(_xlpm.NoAntiDiag?, _xlfn.SEQUENCE(, _xlpm.width), _xlfn.SEQUENCE(, _xlpm.width, _xlpm.width, -1))), _xlpm.j, _xlfn.LAMBDA(MOD(_xlpm.col_arr(), _xlpm.block_size + _xlpm.block_offset)), _xlpm.j_, _xlfn.LAMBDA(IF(OR(_xlpm.NoOffset?, _xlpm.ZeroOffset?), IF(_xlpm.j() = 0, _xlpm.block_size, _xlpm.j()), _xlpm.j())), _xlpm.idx, _xlfn.LAMBDA(IF(_xlpm.i() = _xlpm.j_(), _xlpm.V, NA())), _xlpm.result, _xlfn.DROP(_xlfn.IFNA(INDEX(_xlpm.flat, _xlpm.idx()), ""), , -_xlpm.col_offset), _xlpm.final, IF(_xlpm.IsVertical?, TRANSPOSE(_xlpm.result), _xlpm.result), _xlpm.final)))</definedName>
    <definedName name="Streakλ">_xlfn.LAMBDA(_xlpm.array,_xlop.Horizontal?,_xlop.Include_Symbol?, IF(AND(ROWS(_xlpm.array) = 1, COLUMNS(_xlpm.array) = 1), _xlpm.array, _xlfn.LET(_xlpm.h, ROWS(_xlpm.array), _xlpm.w, COLUMNS(_xlpm.array), _xlpm.Is2D?, AND(_xlpm.h &gt; 1, _xlpm.w &gt; 1), _xlpm.array, IF(_xlpm.Is2D?, _xlfn.TOCOL(_xlpm.array), _xlpm.array), _xlpm.NoDir?, _xlfn.ISOMITTED(_xlpm.Horizontal?), _xlpm.fn, IF(_xlpm.NoDir?, _xleta.VSTACK, _xleta.HSTACK), _xlpm.kept, IF(_xlpm.NoDir?, _xlfn.DROP(_xlpm.array, -1), _xlfn.DROP(_xlpm.array, , -1)), _xlpm.bool, _xlpm.array = _xlpm.fn("omit", _xlpm.kept), _xlpm.acc, _xlfn.SCAN(0, _xlpm.bool, _xlfn.LAMBDA(_xlpm.a,_xlpm.v, IF(_xlpm.a = 0, 1, IF(_xlpm.v, _xlpm.a + 1, 1)))), _xlpm.result, IF(_xlfn.ISOMITTED(_xlpm.Include_Symbol?), _xlpm.acc, _xlpm.array &amp; _xlfn.UNICHAR(183) &amp; _xlpm.acc), _xlpm.deliver, IF(_xlpm.Is2D?, _xlfn.WRAPROWS(_xlpm.result, _xlpm.w), _xlpm.result), _xlpm.deliver)))</definedName>
    <definedName name="SubsetGenλ">_xlfn.LAMBDA(_xlpm.set, IF(ROWS(_xlpm.set) * COLUMNS(_xlpm.set) &gt; 20, "#TOO-MANY-ITEMS!", _xlfn.LET(_xlpm.set, _xlfn.TOROW(_xlpm.set), _xlpm.n, COUNTA(_xlpm.set), _xlpm.C, _xlfn.SEQUENCE(2 ^ _xlpm.n - 1), _xlpm.bin, Dec2Binλ(_xlpm.C, 1), _xlpm.masked, IF(_xlpm.bin, _xlpm.set, ""), _xlpm.final, _xlfn.BYROW(_xlpm.masked, _xlfn.LAMBDA(_xlpm.v, _xlfn.TEXTJOIN(", ", 1, _xlpm.v))), _xlpm.final)))</definedName>
    <definedName name="SubsetSumλ">_xlfn.LAMBDA(_xlpm.set,_xlpm.target, _xlfn.LET(_xlpm.target, INDEX(_xlpm.target, 1, 1), _xlpm.TooManyItems?, ROWS(_xlpm.set) * COLUMNS(_xlpm.set) &gt; 20, _xlpm.TextSet?, OR(ISERROR(--_xlpm.set)), _xlpm.TextTarget?, ISERROR(--_xlpm.target), IF(_xlpm.TooManyItems?, "#TOO-MANY-ITEMS!", IF(_xlpm.TextSet?, "#TEXT-SET!", IF(_xlpm.TextTarget?, "#TEXT-TARGET!", _xlfn.LET(_xlpm.set, _xlfn.TOROW(--_xlpm.set), _xlpm.n, COUNTA(_xlpm.set), _xlpm.C, _xlfn.SEQUENCE(2 ^ _xlpm.n - 1), _xlpm.bin, Dec2Binλ(_xlpm.C, 1), _xlpm.val_arr, IF(_xlpm.bin, _xlpm.set, 0), _xlpm.bool, _xlfn.BYROW(_xlpm.val_arr, _xleta.SUM) = _xlpm.target, _xlpm.found, _xlfn._xlws.FILTER(_xlpm.val_arr, _xlpm.bool, 0), _xlpm.Conciseλ, _xlfn.LAMBDA(_xlpm.v, _xlfn.TEXTJOIN(", ", 1, TEXT(_xlpm.v, "0;-0;;"))), _xlpm.result, _xlfn.BYROW(_xlpm.found, _xlpm.Conciseλ), _xlpm.final, IF(SUM(LEN(_xlpm.result)) = 0, "#NO-SOLUTION!", _xlpm.result), _xlpm.final))))))</definedName>
    <definedName name="TakeBlockλ">_xlfn.LAMBDA(_xlpm.array,_xlpm.start_at,_xlop.stop_when, _xlfn.LET(_xlpm.DoNotStop?, _xlfn.ISOMITTED(_xlpm.stop_when), _xlpm.h, ROWS(_xlpm.array), _xlpm.w, COLUMNS(_xlpm.array), _xlpm.i, MGridλ(_xlpm.array), _xlpm.j, MGridλ(_xlpm.array, 1), _xlpm.Anchorλ, _xlfn.LAMBDA(_xlpm.arr,_xlpm.condition,_xlpm.idx, N(_xlpm.arr = _xlpm.condition) * _xlpm.idx), _xlpm.IDXλ, _xlfn.LAMBDA(_xlpm.arr, MIN(IF(_xlpm.arr &lt;&gt; 0, _xlpm.arr))), _xlpm.row_start, _xlpm.Anchorλ(_xlpm.array, _xlpm.start_at, _xlpm.i), _xlpm.col_start, _xlpm.Anchorλ(_xlpm.array, _xlpm.start_at, _xlpm.j), _xlpm.r, _xlpm.IDXλ(_xlpm.row_start), _xlpm.c, _xlpm.IDXλ(_xlpm.col_start), _xlpm.row_stop, IF(_xlpm.DoNotStop?, 0, _xlpm.Anchorλ(_xlpm.array, _xlpm.stop_when, _xlpm.i)), _xlpm.no_r, SUM(_xlpm.row_stop) = 0, _xlpm.r_, IF(OR(_xlpm.DoNotStop?, _xlpm.no_r), _xlpm.h, _xlpm.IDXλ(_xlpm.row_stop)), _xlpm.WhereNotFound?, AND(_xlpm.r = 0, _xlpm.c = 0), _xlpm.NoSlice?, AND(NOT(_xlpm.no_r), _xlpm.r_ &lt;= _xlpm.r), IF(_xlpm.WhereNotFound?, "#NO-ANCHOR!", IF(_xlpm.NoSlice?, "#NO-SLICE!", _xlfn.LET(_xlpm.rows, IF(_xlpm.no_r, _xlpm.h - _xlpm.r + 1, _xlpm.r_ - _xlpm.r), _xlpm.cols, _xlpm.w - _xlpm.c + 1, _xlpm.x, IF(_xlpm.rows = 1, _xlpm.r * _xlfn.SEQUENCE(, _xlpm.cols, 1, 0), Resizeλ(_xlfn.SEQUENCE(_xlpm.rows, , _xlpm.r), , _xlpm.cols)), _xlpm.y, IF(_xlpm.cols = 1, _xlfn.SEQUENCE(_xlpm.rows, , _xlpm.c, 0), Resizeλ(_xlfn.SEQUENCE(, _xlpm.cols, _xlpm.c), _xlpm.rows)), _xlpm.result, INDEX(_xlpm.array, _xlpm.x, _xlpm.y), _xlpm.result)))))</definedName>
    <definedName name="Tessellateλ">_xlfn.LAMBDA(_xlpm.pattern,_xlpm.new_height,_xlpm.new_width, _xlfn.LET(_xlpm.h, ROWS(_xlpm.pattern), _xlpm.w, COLUMNS(_xlpm.pattern), _xlpm.IsScalar?, AND(_xlpm.h = 1, _xlpm.w = 1), _xlpm.Is1D?, _xlfn.XOR(_xlpm.h = 1, _xlpm.w = 1), _xlpm.new_height, INDEX(_xlpm.new_height, 1, 1), _xlpm.new_width, INDEX(_xlpm.new_width, 1, 1), _xlpm.NoChange?, AND(_xlpm.h = _xlpm.new_height, _xlpm.w = _xlpm.new_width), _xlpm.InvalidHW?, OR(_xlpm.new_height &lt;= 0, _xlpm.new_width &lt;= 0, ISTEXT(_xlpm.new_height), ISTEXT(_xlpm.new_width)), IF(_xlpm.IsScalar?, "#SCALAR!", IF(_xlpm.Is1D?, "#1D-ARRAY!", IF(_xlpm.NoChange?, _xlpm.pattern, IF(_xlpm.InvalidHW?, "#NEW-HEIGHT/WIDTH!", _xlfn.LET(_xlpm.exp_shape, _xlfn.EXPAND(0, _xlpm.new_height, _xlpm.new_width), _xlpm.i, TGridλ(_xlpm.exp_shape, _xlpm.h), _xlpm.j, TGridλ(_xlpm.exp_shape, _xlpm.w, 1), _xlpm.tess, INDEX(_xlpm.pattern, _xlpm.i, _xlpm.j), _xlpm.tess)))))))</definedName>
    <definedName name="TextOnlyλ">_xlfn.LAMBDA(_xlpm.array, _xlfn.LET(_xlpm.array, IF(TYPE(_xlpm.array) &lt;&gt; 64, _xlpm.array, _xlfn.TOCOL(_xlpm.array)), _xlpm.ex, Explodeλ(_xlpm.array), _xlpm.Keep, IFERROR((CODE(_xlpm.ex) &lt; 48) + (CODE(_xlpm.ex) &gt; 57), FALSE), _xlpm.Result, IF(_xlpm.Keep, _xlpm.ex, ""), _xlpm.final, IFERROR(_xlfn.BYROW(_xlpm.Result, _xleta.CONCAT), ""), _xlpm.final))</definedName>
    <definedName name="TGridλ">_xlfn.LAMBDA(_xlpm.grid,_xlpm.threshold,_xlop.col_index, IF(OR(ISTEXT(_xlpm.threshold), _xlpm.threshold &lt;= 0), "#THRESHOLD!", _xlfn.LET(_xlpm.t, INT(_xlpm.threshold), _xlpm.RowIdx?, _xlfn.ISOMITTED(_xlpm.col_index), _xlpm.h, ROWS(_xlpm.grid), _xlpm.w, COLUMNS(_xlpm.grid), _xlpm.i, _xlfn.LAMBDA(1 + MOD(Resizeλ(_xlfn.SEQUENCE(_xlpm.h, , 0), , _xlpm.w), _xlpm.t)), _xlpm.j, _xlfn.LAMBDA(1 + MOD(Resizeλ(_xlfn.SEQUENCE(, _xlpm.w, 0), _xlpm.h), _xlpm.t)), _xlpm.result, IF(_xlpm.RowIdx?, _xlpm.i(), _xlpm.j()), _xlpm.result)))</definedName>
    <definedName name="Traverseλ">_xlfn.LAMBDA(_xlpm.array,_xlpm.new_axis, IF(OR(ROWS(_xlpm.array) = 1, COLUMNS(_xlpm.array) = 1), "#2D-ARRAY!", IF(AND(ISNUMBER(_xlpm.new_axis), OR(_xlpm.new_axis &lt;= 0, _xlpm.new_axis &gt; 3)), "#AXIS!", _xlfn.LET(_xlpm.h, ROWS(_xlpm.array), _xlpm.w, COLUMNS(_xlpm.array), _xlpm.x_NE, _xlfn.LAMBDA(_xlfn.SEQUENCE(_xlpm.w, , 1, 0) * _xlfn.SEQUENCE(, _xlpm.h)), _xlpm.y_NE, _xlfn.LAMBDA(_xlfn.SEQUENCE(_xlpm.w, , _xlpm.w, -1) * _xlfn.SEQUENCE(, _xlpm.h, 1, 0)), _xlpm.x_SE, _xlfn.LAMBDA(_xlfn.SEQUENCE(_xlpm.h, , _xlpm.h, -1) * _xlfn.SEQUENCE(, _xlpm.w, 1, 0)), _xlpm.y_SE, _xlfn.LAMBDA(_xlfn.SEQUENCE(_xlpm.h, , _xlpm.w, 0) + _xlfn.SEQUENCE(, _xlpm.w, 0, -1)), _xlpm.x_SW, _xlfn.LAMBDA(_xlfn.SEQUENCE(_xlpm.w, , _xlpm.h, 0) + _xlfn.SEQUENCE(, _xlpm.h, 0, -1)), _xlpm.y_SW, _xlfn.LAMBDA(_xlfn.SEQUENCE(_xlpm.w, , 1) * _xlfn.SEQUENCE(, _xlpm.h, 1, 0)), _xlpm.mode, IF(ISNUMBER(_xlpm.new_axis), _xlpm.new_axis, _xlfn.SWITCH(_xlpm.new_axis, "NE", 1, "SE", 2, "SW", 3, 1)), _xlpm.x, CHOOSE(_xlpm.mode, _xlpm.x_NE, _xlpm.x_SE, _xlpm.x_SW), _xlpm.y, CHOOSE(_xlpm.mode, _xlpm.y_NE, _xlpm.y_SE, _xlpm.y_SW), _xlpm.result, INDEX(_xlpm.array, _xlpm.x(), _xlpm.y()), _xlpm.result))))</definedName>
    <definedName name="Triangleλ">_xlfn.LAMBDA(_xlpm.grid,_xlpm.target,_xlpm.radius,_xlop.below,_xlop.fill_value, _xlfn.LET(_xlpm.h, ROWS(_xlpm.grid), _xlpm.w, COLUMNS(_xlpm.grid), _xlpm.IsI_J?, COUNT(_xlpm.target) = 2, _xlpm.r, IF(_xlpm.IsI_J?, _xlfn.TAKE(_xlpm.target, 1, 1), 0), _xlpm.c, IF(_xlpm.IsI_J?, _xlfn.TAKE(_xlpm.target, -1, -1), 0), _xlpm.bool, IF(_xlpm.IsI_J?, FALSE, _xlpm.grid = _xlpm.target), _xlpm.IsScalar?, AND(_xlpm.h = 1, _xlpm.w = 1), _xlpm.Is1D?, _xlfn.XOR(_xlpm.h = 1, _xlpm.w = 1), _xlpm.InvalidRadius?, OR(ISTEXT(_xlpm.radius), _xlpm.radius &lt; 1), _xlpm.NoTarget?, IF(_xlpm.IsI_J?, FALSE, NOT(OR(_xlpm.bool))), _xlpm.fill_value, IF(_xlfn.ISOMITTED(_xlpm.fill_value), 0, _xlpm.fill_value), _xlpm.IsAbove?, _xlfn.ISOMITTED(_xlpm.below), IF(_xlpm.IsScalar?, _xlpm.grid, IF(_xlpm.Is1D?, "#1D-ARRAY!", IF(_xlpm.InvalidRadius?, "#RADIUS!", IF(_xlpm.NoTarget?, "#TARGET!", _xlfn.LET(_xlpm.i, CGridλ(_xlpm.grid), _xlpm.j, CGridλ(_xlpm.grid, 1), _xlpm.x, IF(_xlpm.IsI_J?, INDEX(_xlpm.i, _xlpm.r, _xlpm.c), _xlfn.TOCOL(IF(_xlpm.bool, _xlpm.i, NA()), 2)), _xlpm.y, IF(_xlpm.IsI_J?, INDEX(_xlpm.j, _xlpm.r, _xlpm.c), _xlfn.TOCOL(IF(_xlpm.bool, _xlpm.j, NA()), 2)), _xlpm.dir, IF(_xlpm.IsAbove?, (_xlpm.i &lt;= _xlpm.x), (_xlpm.i &gt;= _xlpm.x)), _xlpm.mask, (ABS(_xlpm.i - _xlpm.x) + ABS(_xlpm.j - _xlpm.y) &lt;= _xlpm.radius) * _xlpm.dir, _xlpm.result, Squeezeλ(IF(_xlpm.mask, _xlpm.grid, _xlpm.fill_value), _xlpm.fill_value), _xlpm.result)))))))</definedName>
    <definedName name="UnPivotλ">_xlfn.LAMBDA(_xlpm.rows,_xlpm.columns,_xlpm.values,_xlop.ignore, _xlfn.LET(_xlpm.h, ROWS(_xlpm.rows), _xlpm.w, COLUMNS(_xlpm.columns), _xlpm.h_v, ROWS(_xlpm.values), _xlpm.w_v, COLUMNS(_xlpm.values), _xlpm.IsScalar?, AND(_xlpm.h = 1, _xlpm.w = 1, _xlpm.h_v = 1, _xlpm.w_v = 1), _xlpm.NoPivot?, _xlpm.w_v = 1, _xlpm.RowMismatch?, _xlpm.h &lt;&gt; _xlpm.h_v, _xlpm.ColMismatch?, _xlpm.w &lt;&gt; _xlpm.w_v, _xlpm.SpillRisk?, _xlpm.h_v * _xlpm.w_v &gt; 1048576, _xlpm.OrigData, _xlfn.HSTACK(_xlpm.rows, _xlpm.columns, _xlpm.values), _xlpm.OrigDataPad, _xlfn.HSTACK(InsulateRowsλ(_xlpm.rows, 1, 0), _xlfn.VSTACK(_xlpm.columns, _xlpm.values)), IF(_xlpm.IsScalar?, _xlpm.OrigData, IF(_xlpm.NoPivot?, _xlpm.OrigDataPad, IF(_xlpm.RowMismatch?, "#DIM-ROWS/VALUES!", IF(_xlpm.ColMismatch?, "#DIM-COL/VALUES!", IF(_xlpm.SpillRisk?, "#ROW-LIMIT!", _xlfn.LET(_xlpm.row_labels, RepeatRowsλ(_xlpm.rows, _xlpm.w), _xlpm.attribute, Resizeλ(TRANSPOSE(_xlpm.columns), _xlpm.h), _xlpm.flat_values, _xlfn.TOCOL(_xlpm.values), _xlpm.stack, _xlfn.HSTACK(_xlpm.row_labels, _xlpm.attribute, _xlpm.flat_values), _xlpm.keep_mask, NOT(ISBLANK(_xlpm.flat_values) + (IFERROR(_xlpm.flat_values, 0) = 0)), _xlpm.filtered, _xlfn._xlws.FILTER(_xlpm.stack, _xlpm.keep_mask), _xlpm.result, IF(_xlfn.ISOMITTED(_xlpm.ignore), _xlpm.stack, _xlpm.filtered), _xlpm.result))))))))</definedName>
    <definedName name="ValidateBlockMapλ">_xlfn.LAMBDA(_xlpm.matrix,_xlpm.depth,_xlpm.width,_xlpm.re_shape_by_column?,_xlpm.on_valid, IF(NOT(TYPE(_xlpm.matrix) = 64), "#MATRIX!", IF((_xlpm.re_shape_by_column?) * (ROWS(_xlpm.matrix) * COLUMNS(_xlpm.matrix) / (_xlpm.width * _xlpm.depth) ^ 2 &gt; 16384), "#SPILL-RISK!", IF((MOD(ROWS(_xlpm.matrix), _xlpm.depth) &lt;&gt; 0) + (MOD(COLUMNS(_xlpm.matrix), _xlpm.width) &lt;&gt; 0), "#BLOCK MISMATCH!", IF(OR(AND(_xlpm.width = 1, _xlpm.depth = 1), _xlpm.depth &gt; ROWS(_xlpm.matrix), _xlpm.width &gt; COLUMNS(_xlpm.matrix), ISTEXT(_xlpm.width), ISTEXT(_xlpm.depth)), "#DIMENSIONS!", _xlpm.on_valid)))))</definedName>
    <definedName name="ValidateDiagλ">_xlfn.LAMBDA(_xlpm.array,_xlop.col_index,_xlop.function,_xlop.row_wise_stack?,_xlop.on_valid, _xlfn.LET(_xlpm.IsArray?, TYPE(_xlpm.array) = 64, _xlpm.Not_Array, NOT(_xlpm.IsArray?), _xlpm.No_Col_Index, _xlfn.ISOMITTED(_xlpm.col_index), _xlpm.ColIndex_Included, NOT(_xlpm.No_Col_Index), _xlpm.Not_Valid_ColIndex?, NOT(AND(_xlpm.col_index &lt;&gt; 0, ABS(_xlpm.col_index) &lt;= COLUMNS(_xlpm.array))), _xlpm.No_Function, _xlfn.ISOMITTED(_xlpm.function), _xlpm.Function_Included, NOT(_xlpm.No_Function), _xlpm.Invalid_Function?, AND(_xlpm.Function_Included, ISERROR(_xlfn.BYROW({1,1}, _xlpm.function))), _xlpm.RowWiseStack?, NOT(_xlfn.ISOMITTED(_xlpm.row_wise_stack?)), _xlpm.IsDiagIndex?, _xlpm.ColIndex_Included, _xlpm.IsByDiag?, AND(_xlpm.No_Col_Index, _xlpm.Function_Included), _xlpm.IsDiagMap?, AND(_xlpm.No_Col_Index, _xlpm.No_Function), _xlpm.gate_DiagIndex, IF(_xlpm.Not_Array, "#NOT-ARRAY!", IF(_xlpm.Not_Valid_ColIndex?, "#COLUMN-INDEX!", _xlpm.on_valid)), _xlpm.gate_ByDiag, IF(_xlpm.Not_Array, "#NOT-ARRAY!", IF(_xlpm.Invalid_Function?, "#FUNCTION!", _xlpm.on_valid)), _xlpm.gate_DiagMap, IF(_xlpm.Not_Array, "#NOT-ARRAY!", _xlpm.on_valid), _xlpm.decide, IF(_xlpm.IsDiagIndex?, _xlpm.gate_DiagIndex, IF(_xlpm.IsDiagMap?, _xlpm.gate_DiagMap, IF(_xlpm.IsByDiag?, _xlpm.gate_ByDiag, "#UNROUTED!"))), _xlpm.decide))</definedName>
    <definedName name="ValidateGDλ">_xlfn.LAMBDA(_xlpm.row_fields,_xlpm.values,_xlpm.interval,_xlpm.function,_xlop.field_headers,_xlop.filter_array,_xlop.On_Valid, _xlfn.LET(_xlpm.No_Field_Headers?, _xlfn.ISOMITTED(_xlpm.field_headers), _xlpm.FilterIncluded?, NOT(_xlfn.ISOMITTED(_xlpm.filter_array)), _xlpm.Date_col, IF(_xlpm.No_Field_Headers?, _xlfn.TAKE(_xlpm.row_fields, , 1), _xlfn.DROP(_xlfn.TAKE(_xlpm.row_fields, , 1), 1)), _xlpm.Values_col, IF(_xlpm.No_Field_Headers?, _xlfn.TAKE(_xlpm.values, , 1), _xlfn.DROP(_xlfn.TAKE(_xlpm.values, , 1), 1)), _xlpm.Bool, IFERROR(IF(_xlpm.No_Field_Headers?, _xlpm.filter_array, _xlfn.DROP(_xlpm.filter_array, 1)), 0), _xlpm.No_Dates?, OR(_xlpm.Date_col &lt; 0, _xlpm.Date_col &gt; 2958465, NOT(AND(ISNUMBER(_xlpm.Date_col)))), _xlpm.No_Times?, AND(_xlpm.Date_col - INT(_xlpm.Date_col) = 0), _xlpm.i_d, ROWS(_xlpm.Date_col), _xlpm.i_v, ROWS(_xlpm.Values_col), _xlpm.i_f, IF(_xlpm.FilterIncluded?, ROWS(_xlpm.Bool), 0), _xlpm.Const, {"minute";"hour";"day";"week";"fortnight";"month";"quarter";"year"}, _xlpm.TextInterval?, ISTEXT(_xlpm.interval), _xlpm.NumericInterval?, ISNUMBER(_xlpm.interval), _xlpm.InvalidInterval?, IF(AND(_xlpm.NumericInterval?, OR(_xlpm.interval &lt; 1, _xlpm.interval &gt; 8)), TRUE, IF(AND(_xlpm.TextInterval?, ISNA(_xlfn.XMATCH(_xlpm.interval &amp; "*", _xlpm.Const, 2))), TRUE, FALSE)), _xlpm.IsTime?, _xlpm.interval &lt; 3, _xlpm.EmptyInputs?, OR(_xlfn.ISOMITTED(_xlpm.row_fields), _xlfn.ISOMITTED(_xlpm.values)), _xlpm.HaltDates?, AND(_xlpm.interval &gt; 2, _xlpm.No_Dates?), _xlpm.HaltTime?, AND(_xlpm.IsTime?, _xlpm.No_Times?), _xlpm.ShapeMismatch?, OR(_xlpm.i_d &lt;&gt; _xlpm.i_v, AND(_xlpm.FilterIncluded?, _xlpm.i_d &lt;&gt; _xlpm.i_f)), _xlpm.InvalidFn?, TYPE(_xlpm.function) &lt;&gt; 128, _xlpm.EmptyFilter?, AND(_xlpm.FilterIncluded?, NOT(OR(_xlpm.Bool))), _xlpm.conditions, _xlfn.VSTACK(_xlpm.EmptyInputs?, _xlpm.HaltDates?, _xlpm.HaltTime?, _xlpm.ShapeMismatch?, _xlpm.InvalidInterval?, _xlpm.InvalidFn?, _xlpm.EmptyFilter?), _xlpm.halt, OR(_xlpm.conditions), _xlpm.errors, {"#EMPTY-INPUT!";"#NO-DATES!";"#NO-TIMES!";"#DIMENSIONS!";"#INTERVAL!";"#INVALID-FUNCTION!";"#EMPTY-FILTER!"}, _xlpm.alert, _xlfn._xlws.FILTER(_xlpm.errors, _xlpm.conditions, ""), IF(_xlpm.halt, _xlpm.alert, _xlpm.On_Valid)))</definedName>
    <definedName name="ValidateStaircaseλ">_xlfn.LAMBDA(_xlpm.array,_xlpm.block_size,_xlop.block_offset,_xlop.on_valid, _xlfn.LET(_xlpm.NotArray?, TYPE(_xlpm.array) &lt;&gt; 64, _xlpm.InvalidBlockSize?, OR(ISTEXT(_xlpm.block_size), _xlpm.block_size &lt;= 0, _xlpm.block_size &gt; COUNTA(_xlpm.array)), _xlpm.InvalidBlockOffset?, OR(ISTEXT(_xlpm.block_offset), _xlpm.block_offset &lt; 0), IF(_xlpm.NotArray?, "#NOT-ARRAY!", IF(_xlpm.InvalidBlockSize?, "#BLOCK-SIZE!", IF(_xlpm.InvalidBlockOffset?, "#BLOCK-OFFSET!", _xlpm.on_valid)))))</definedName>
    <definedName name="WrapCols2Dλ">_xlfn.LAMBDA(_xlpm.array,_xlpm.new_width,_xlop.pad_with, _xlfn.LET(_xlpm.h, ROWS(_xlpm.array), _xlpm.w, COLUMNS(_xlpm.array), _xlpm.blocks, CEILING(_xlpm.w / _xlpm.new_width, 1), _xlpm.pad_with, IF(_xlfn.ISOMITTED(_xlpm.pad_with), NA(), _xlpm.pad_with), _xlpm.r, _xlpm.blocks * _xlpm.h, _xlpm.Is1D?, OR(_xlpm.h = 1, _xlpm.w = 1), _xlpm.IsScalar?, AND(_xlpm.h = 1, _xlpm.w = 1), _xlpm.InvalidDim?, _xlpm.new_width &gt;= _xlpm.w, _xlpm.SpillRisk?, _xlpm.r &gt; 1048576, IF(_xlpm.IsScalar?, "#VALUE!", IF(_xlpm.Is1D?, "#VALUE!", IF(_xlpm.InvalidDim?, "#WIDTH!", IF(_xlpm.SpillRisk?, "#NUM!", _xlfn.LET(_xlpm.modulo, _xlfn.LAMBDA(MOD(_xlfn.SEQUENCE(_xlpm.r), _xlpm.h)), _xlpm.i, _xlfn.LAMBDA(IF(_xlpm.modulo() = 0, _xlpm.h, _xlpm.modulo()) * _xlfn.SEQUENCE(, _xlpm.new_width, 1, 0)), _xlpm.j, _xlfn.LAMBDA(Echoλ(_xlfn.SEQUENCE(_xlpm.r / _xlpm.h, , 1, _xlpm.new_width), _xlpm.h) + _xlfn.SEQUENCE(, _xlpm.new_width, 0, 1)), _xlpm.result, IFERROR(INDEX(_xlpm.array, _xlpm.i(), _xlpm.j()), _xlpm.pad_with), _xlpm.result)))))))</definedName>
    <definedName name="WrapRows2Dλ">_xlfn.LAMBDA(_xlpm.array,_xlpm.new_height,_xlop.pad_with, _xlfn.LET(_xlpm.h, ROWS(_xlpm.array), _xlpm.w, COLUMNS(_xlpm.array), _xlpm.blocks, CEILING(_xlpm.h / _xlpm.new_height, 1), _xlpm.pad_with, IF(_xlfn.ISOMITTED(_xlpm.pad_with), NA(), _xlpm.pad_with), _xlpm.c, _xlpm.blocks * _xlpm.w, _xlpm.Is1D?, OR(_xlpm.h = 1, _xlpm.w = 1), _xlpm.IsScalar?, AND(_xlpm.h = 1, _xlpm.w = 1), _xlpm.InvalidDim?, _xlpm.new_height &gt;= _xlpm.h, _xlpm.SpillRisk?, _xlpm.c &gt; 16384, IF(_xlpm.IsScalar?, "#VALUE!", IF(_xlpm.Is1D?, "#VALUE!", IF(_xlpm.InvalidDim?, "#HEIGHT!", IF(_xlpm.SpillRisk?, "#NUM!", _xlfn.LET(_xlpm.i, _xlfn.LAMBDA(_xlfn.TOROW(Echoλ(_xlfn.SEQUENCE(, _xlpm.blocks, 1, _xlpm.new_height), _xlpm.w)) + _xlfn.SEQUENCE(_xlpm.new_height, , 0, 1)), _xlpm.modulo, _xlfn.LAMBDA(MOD(_xlfn.SEQUENCE(, _xlpm.w * _xlpm.blocks), _xlpm.w)), _xlpm.j, _xlfn.LAMBDA(IF(_xlpm.modulo() = 0, _xlpm.w, _xlpm.modulo()) * _xlfn.SEQUENCE(_xlpm.new_height, , 1, 0)), _xlpm.result, IFERROR(INDEX(_xlpm.array, _xlpm.i(), _xlpm.j()), _xlpm.pad_with), _xlpm.result)))))))</definedName>
    <definedName name="Zipλ">_xlfn.LAMBDA(_xlpm.array_1,_xlop.array_2,_xlop.array_3,_xlop.array_4,_xlop.zip_longest,_xlop.fill_value, _xlfn.LET(_xlpm.ZipLong?, IF(_xlfn.ISOMITTED(_xlpm.zip_longest), FALSE, _xlpm.zip_longest), _xlpm.fnλ, IF(_xlpm.ZipLong?, _xleta.MAX, _xleta.MIN), _xlpm.fill_value, IF(_xlpm.ZipLong?, IF(_xlfn.ISOMITTED(_xlpm.fill_value), NA(), _xlpm.fill_value), NA()), _xlpm.Two, NOT(_xlfn.ISOMITTED(_xlpm.array_2)), _xlpm.Three, NOT(_xlfn.ISOMITTED(_xlpm.array_3)), _xlpm.Four, NOT(_xlfn.ISOMITTED(_xlpm.array_4)), _xlpm.m, IF(_xlpm.Four, 4, IF(_xlpm.Three, 3, IF(_xlpm.Two, 2, 1))), _xlpm.array_1, _xlfn.TOCOL(_xlpm.array_1), _xlpm.array_2, IF(_xlpm.m &gt;= 2, _xlfn.TOCOL(_xlpm.array_2), FALSE), _xlpm.array_3, IF(_xlpm.m &gt;= 3, _xlfn.TOCOL(_xlpm.array_3), FALSE), _xlpm.array_4, IF(_xlpm.m = 4, _xlfn.TOCOL(_xlpm.array_4), FALSE), _xlpm.k₁, ROWS(_xlpm.array_1), _xlpm.k₂, ROWS(_xlpm.array_2), _xlpm.k₃, ROWS(_xlpm.array_3), _xlpm.k₄, ROWS(_xlpm.array_4), _xlpm.LZ, CHOOSE(_xlpm.m, _xlpm.k₁, _xlpm.fnλ(_xlpm.k₁, _xlpm.k₂), _xlpm.fnλ(_xlpm.k₁, _xlpm.k₂, _xlpm.k₃), _xlpm.fnλ(_xlpm.k₁, _xlpm.k₂, _xlpm.k₃, _xlpm.k₄)), _xlpm.Normalizeλ, _xlfn.LAMBDA(_xlpm.array, IF(_xlpm.ZipLong?, _xlfn.EXPAND(_xlpm.array, _xlpm.LZ, , _xlpm.fill_value), _xlfn.TAKE(_xlpm.array, _xlpm.LZ))), _xlpm.a, _xlpm.Normalizeλ(_xlpm.array_1), _xlpm.b, _xlpm.Normalizeλ(_xlpm.array_2), _xlpm.c, _xlpm.Normalizeλ(_xlpm.array_3), _xlpm.d, _xlpm.Normalizeλ(_xlpm.array_4), _xlpm.zipped, CHOOSE(_xlpm.m, _xlpm.a, _xlfn.HSTACK(_xlpm.a, _xlpm.b), _xlfn.HSTACK(_xlpm.a, _xlpm.b, _xlpm.c), _xlfn.HSTACK(_xlpm.a, _xlpm.b, _xlpm.c, _xlpm.d)), _xlpm.zipped))</definedName>
    <definedName name="ZoneStatλ">_xlfn.LAMBDA(_xlpm.grid,_xlop.function, _xlfn.LET(_xlpm.function, IF(_xlfn.ISOMITTED(_xlpm.function), _xleta.SUM, _xlpm.function), _xlpm.IsNonNum?, AND(ISTEXT(_xlpm.grid)), _xlpm.InvalidFn?, TYPE(_xlpm.function) &lt;&gt; 128, _xlpm.IsScalar?, AND(ROWS(_xlpm.grid) = 1, COLUMNS(_xlpm.grid) = 1), IF(_xlpm.IsNonNum?, #VALUE!, IF(_xlpm.InvalidFn?, "#FUNCTION!", IF(_xlpm.IsScalar?, _xlpm.function(_xlpm.grid), _xlfn.LET(_xlpm.mag, IFERROR(MODE(INT(LOG(_xlpm.grid))), 1), _xlpm.bin_width, 10 ^ _xlpm.mag, _xlpm.hist, _xlfn.TAKE(_xlfn.DROP(Histogramλ(_xlpm.grid, _xlpm.bin_width), 2), , 1), _xlpm.zones, _xlfn.IFNA(_xlfn.XMATCH(_xlpm.grid, _xlpm.hist, -1), 0), _xlpm.g, _xlfn.TOCOL(_xlpm.grid), _xlpm.z, _xlfn.TOCOL(_xlpm.zones), _xlpm.agg, _xlfn.GROUPBY(_xlpm.z, _xlpm.g, _xlpm.function, , 0), _xlpm.zone_IDs, _xlfn.TAKE(_xlpm.agg, , 1), _xlpm.grid_values, _xlfn.TAKE(_xlpm.agg, , -1), _xlpm.final, _xlfn.XLOOKUP(_xlpm.zones, _xlpm.zone_IDs, _xlpm.grid_values, 0), _xlpm.final))))))</definedName>
    <definedName name="Zoomλ">_xlfn.LAMBDA(_xlpm.array,_xlpm.zoom_kernel, _xlfn.LET(_xlpm.height, ROWS(_xlpm.zoom_kernel), _xlpm.width, COLUMNS(_xlpm.zoom_kernel), _xlpm.IsTextKernel?, OR(ISTEXT(_xlpm.zoom_kernel)), _xlpm.IsTextArray?, OR(ISTEXT(_xlpm.array)), _xlpm.IsScalarKernel?, AND(_xlpm.height = 1, _xlpm.width = 1), IF(_xlpm.IsTextKernel?, "#KERNEL!", IF(_xlpm.IsTextArray?, "#ARRAY!", IF(_xlpm.IsScalarKernel?, _xlpm.array + _xlpm.zoom_kernel, _xlfn.LET(_xlpm.i, ROWS(_xlpm.array) * _xlpm.height, _xlpm.j, COLUMNS(_xlpm.array) * _xlpm.width, _xlpm.x, _xlfn.LAMBDA(INT(_xlfn.SEQUENCE(_xlpm.i, , , 1 / _xlpm.height)) * _xlfn.SEQUENCE(, _xlpm.j, 1, 0)), _xlpm.y, _xlfn.LAMBDA(INT(_xlfn.SEQUENCE(, _xlpm.j, , 1 / _xlpm.width)) * _xlfn.SEQUENCE(_xlpm.i, , 1, 0)), _xlpm.zoomed, _xlfn.LAMBDA(INDEX(_xlpm.array, _xlpm.x(), _xlpm.y())), _xlpm.h, ROWS(_xlpm.zoomed()) / _xlpm.height, _xlpm.w, COLUMNS(_xlpm.zoomed()) / _xlpm.width, _xlpm.kernel_mag, Resizeλ(_xlpm.zoom_kernel, _xlpm.h, _xlpm.w), _xlpm.result, _xlpm.zoomed() + _xlpm.kernel_mag, _xlpm.result))))))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G29" i="10" l="1" a="1"/>
  <c r="G29" i="10" s="1"/>
  <c r="N18" i="10" a="1"/>
  <c r="N18" i="10" s="1"/>
  <c r="G18" i="10" a="1"/>
  <c r="G18" i="10" s="1"/>
  <c r="U9" i="10" l="1" a="1"/>
  <c r="U9" i="10" s="1"/>
  <c r="N9" i="10" a="1"/>
  <c r="N9" i="10" s="1"/>
  <c r="G9" i="10" a="1"/>
  <c r="G9" i="10" s="1"/>
  <c r="G25" i="9" a="1"/>
  <c r="G25" i="9" s="1"/>
  <c r="G17" i="9" a="1"/>
  <c r="G17" i="9" s="1"/>
  <c r="N13" i="9" a="1"/>
  <c r="N13" i="9" s="1"/>
  <c r="N9" i="9" a="1"/>
  <c r="N9" i="9" s="1"/>
  <c r="G9" i="9" a="1"/>
  <c r="G9" i="9" s="1"/>
  <c r="L13" i="8" a="1"/>
  <c r="L13" i="8" s="1"/>
  <c r="H27" i="8" a="1"/>
  <c r="H27" i="8" s="1"/>
  <c r="L9" i="8" a="1"/>
  <c r="L9" i="8" s="1"/>
  <c r="L19" i="8" a="1"/>
  <c r="L19" i="8" s="1"/>
  <c r="H9" i="8" l="1" a="1"/>
  <c r="H9" i="8" s="1"/>
  <c r="I29" i="3" a="1"/>
  <c r="I29" i="3" s="1"/>
  <c r="I21" i="3" a="1"/>
  <c r="I21" i="3" s="1"/>
  <c r="I17" i="3" a="1"/>
  <c r="I17" i="3" s="1"/>
  <c r="G18" i="3" a="1"/>
  <c r="G18" i="3" s="1"/>
  <c r="I8" i="3" a="1"/>
  <c r="I8" i="3" s="1"/>
  <c r="G8" i="3" a="1"/>
  <c r="G8" i="3" s="1"/>
  <c r="H18" i="8" l="1" a="1"/>
  <c r="H18" i="8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<sst xmlns="http://schemas.openxmlformats.org/spreadsheetml/2006/main" count="155" uniqueCount="148">
  <si>
    <t>How to use this workbook</t>
  </si>
  <si>
    <t>Each sheet demonstrates a family of functions using a sample grid.</t>
  </si>
  <si>
    <t>Formula cells appear above each spill. Function listings and descriptions appear below.</t>
  </si>
  <si>
    <t>Function</t>
  </si>
  <si>
    <t>Description</t>
  </si>
  <si>
    <t>Echoλ</t>
  </si>
  <si>
    <t>RepeatRowsλ</t>
  </si>
  <si>
    <t>RepeatColsλ</t>
  </si>
  <si>
    <t>Tessellateλ</t>
  </si>
  <si>
    <t>Repeats each element in a supplied 1D array according to a vector of repeat counts.</t>
  </si>
  <si>
    <t>Repeats each row of a supplied array according to a vector of repeat counts.</t>
  </si>
  <si>
    <t xml:space="preserve">Repeats each column of a supplied array according to a vector of repeat counts. </t>
  </si>
  <si>
    <t>Generates a modular tessellation of a 2D pattern defined by new_height × new_width.</t>
  </si>
  <si>
    <t>Repetition</t>
  </si>
  <si>
    <t>This section contains functions that replicate arrays along rows, columns, or both.</t>
  </si>
  <si>
    <t>Echoλ - Repeats each element in a supplied 1D array according to a vector of repeat counts</t>
  </si>
  <si>
    <t>• input: vector - 1D array or scalar to be echoed</t>
  </si>
  <si>
    <t>Rep</t>
  </si>
  <si>
    <t>A</t>
  </si>
  <si>
    <t>B</t>
  </si>
  <si>
    <t>C</t>
  </si>
  <si>
    <t>Letters</t>
  </si>
  <si>
    <t>=Echoλ(Letters,Rep)</t>
  </si>
  <si>
    <t>Echo Letters by Rep counts</t>
  </si>
  <si>
    <t>=Echoλ(Letters,2)</t>
  </si>
  <si>
    <t>Echo Letters by 2</t>
  </si>
  <si>
    <t>RepB</t>
  </si>
  <si>
    <t>London</t>
  </si>
  <si>
    <t>Helsinki</t>
  </si>
  <si>
    <t>Paris</t>
  </si>
  <si>
    <t>Animals</t>
  </si>
  <si>
    <t>Lion</t>
  </si>
  <si>
    <t>Tiger</t>
  </si>
  <si>
    <t>Bear</t>
  </si>
  <si>
    <t>=Echoλ(Animals,RepB)</t>
  </si>
  <si>
    <t>2 is extended to match length of Animals</t>
  </si>
  <si>
    <t>Echo Animals by RepB counts</t>
  </si>
  <si>
    <t>=Echoλ(Animals,{3,0,2})</t>
  </si>
  <si>
    <t>Repeat counts  must be ≥ 0</t>
  </si>
  <si>
    <t>RepC</t>
  </si>
  <si>
    <t>3</t>
  </si>
  <si>
    <t>=Echoλ(Animals,RepC)</t>
  </si>
  <si>
    <t>Places</t>
  </si>
  <si>
    <t>Cairo</t>
  </si>
  <si>
    <t>Tokyo</t>
  </si>
  <si>
    <t>RepD</t>
  </si>
  <si>
    <t>=Echoλ(Places,RepD)</t>
  </si>
  <si>
    <t>Echo Places by RepD counts</t>
  </si>
  <si>
    <t>Output is always a vertical array</t>
  </si>
  <si>
    <t>RepeatRowsλ - Repeats each row of a supplied array according to a vector of repeat counts</t>
  </si>
  <si>
    <t>• repeat - 1D array of repeat counts (numeric, ≥ 1)</t>
  </si>
  <si>
    <t>• input: array- 2D array whose rows will be repeated</t>
  </si>
  <si>
    <t>Apple</t>
  </si>
  <si>
    <t>Orange</t>
  </si>
  <si>
    <t>Fruit</t>
  </si>
  <si>
    <t>Banana</t>
  </si>
  <si>
    <t>Apple Pie</t>
  </si>
  <si>
    <t>Banana Bread</t>
  </si>
  <si>
    <t>Orange Juice</t>
  </si>
  <si>
    <t>Fish</t>
  </si>
  <si>
    <t>Salmon</t>
  </si>
  <si>
    <t>Tuna</t>
  </si>
  <si>
    <t>Swordfish</t>
  </si>
  <si>
    <t>Salmon Teriyaki</t>
  </si>
  <si>
    <t>Tuna Salad</t>
  </si>
  <si>
    <t>Grilled Swordfish</t>
  </si>
  <si>
    <t>=RepeatRowsλ(Fish,2)</t>
  </si>
  <si>
    <t>Repeat Fish by 2</t>
  </si>
  <si>
    <t>=RepeatRowsλ(Fish,{1,2})</t>
  </si>
  <si>
    <t>and 2 for items 2 and 3</t>
  </si>
  <si>
    <t>Sourdough</t>
  </si>
  <si>
    <t>Baguette</t>
  </si>
  <si>
    <t>Rye</t>
  </si>
  <si>
    <t>Ciabatta</t>
  </si>
  <si>
    <t>Focaccia</t>
  </si>
  <si>
    <t>Bread</t>
  </si>
  <si>
    <t>Turkey and Swiss</t>
  </si>
  <si>
    <t>Ham and Cheese</t>
  </si>
  <si>
    <t>Corned Beef and Mustard</t>
  </si>
  <si>
    <t>Chicken Pesto</t>
  </si>
  <si>
    <t>Caprese</t>
  </si>
  <si>
    <t>=RepeatRowsλ(Fruit,{3,0,2})</t>
  </si>
  <si>
    <t>Repeat counts must be  ≥ 1</t>
  </si>
  <si>
    <t>=RepeatRowsλ(Fruit,{"2",1,4})</t>
  </si>
  <si>
    <t>Repeat Fish by counts of 1 (first item)</t>
  </si>
  <si>
    <t>RepeatColsλ - Repeats each column of a supplied array according to a vector of repeat counts</t>
  </si>
  <si>
    <t>• input: array- 2D array whose columns will be repeated</t>
  </si>
  <si>
    <t>Ramen</t>
  </si>
  <si>
    <t>Udon</t>
  </si>
  <si>
    <t>Soba</t>
  </si>
  <si>
    <t>Shoyu Ramen</t>
  </si>
  <si>
    <t>Kake Udon</t>
  </si>
  <si>
    <t>Zaru Soba</t>
  </si>
  <si>
    <t>Noodle</t>
  </si>
  <si>
    <t>=RepeatColsλ(Noodle,{2,0,3})</t>
  </si>
  <si>
    <t>Rep counts must be ≥ 1</t>
  </si>
  <si>
    <t>Exotic Motors</t>
  </si>
  <si>
    <t>Velocity Drive</t>
  </si>
  <si>
    <t>Luxury Rides</t>
  </si>
  <si>
    <t>Podunk</t>
  </si>
  <si>
    <t>Springfield</t>
  </si>
  <si>
    <t>Newton Falls</t>
  </si>
  <si>
    <t>Dealer</t>
  </si>
  <si>
    <t>Aventador</t>
  </si>
  <si>
    <t xml:space="preserve">Lamborghini </t>
  </si>
  <si>
    <t>LaFerrari</t>
  </si>
  <si>
    <t>Ferrari</t>
  </si>
  <si>
    <t>P1</t>
  </si>
  <si>
    <t xml:space="preserve">McLaren </t>
  </si>
  <si>
    <t>Available</t>
  </si>
  <si>
    <t>=RepeatColsλ(Dealer,Available)</t>
  </si>
  <si>
    <t>=RepeatColsλ(Dealer,2)</t>
  </si>
  <si>
    <t>Repeat Dealer by 2</t>
  </si>
  <si>
    <t>Repeat Dealer by Available counts</t>
  </si>
  <si>
    <t>=RepeatColsλ(Noodle,Served)</t>
  </si>
  <si>
    <t>Repeat Noodle by Served counts</t>
  </si>
  <si>
    <t>Served</t>
  </si>
  <si>
    <t>=RepeatRowsλ(Bread,Sold)</t>
  </si>
  <si>
    <t>Repeat Bread by Sold counts (2 is extended to match length of bread list)</t>
  </si>
  <si>
    <t>Sold</t>
  </si>
  <si>
    <t>Qty</t>
  </si>
  <si>
    <t>Repeat Fruit by Qty counts</t>
  </si>
  <si>
    <t>=RepeatRowsλ(Fruit,Qty)</t>
  </si>
  <si>
    <t>Tessellateλ - Generates a modular tessellation of a 2D pattern defined by new_height × new_width</t>
  </si>
  <si>
    <t>• input: pattern - 2D array (Scalars and 1D arrays are forbidden)</t>
  </si>
  <si>
    <t>• new_width - total columns in output tessellation</t>
  </si>
  <si>
    <t>• new_height - total rows in the output tessellation</t>
  </si>
  <si>
    <t>D</t>
  </si>
  <si>
    <t>Alpha</t>
  </si>
  <si>
    <t>=Tessellateλ(Alpha,5,6)</t>
  </si>
  <si>
    <t>Tessellate Alpha to 5 x 6</t>
  </si>
  <si>
    <t>=Tessellateλ(Alpha,2,6)</t>
  </si>
  <si>
    <t>=Tessellateλ(Alpha,6,2)</t>
  </si>
  <si>
    <t>Tessellate Alpha to 2 x 6</t>
  </si>
  <si>
    <t>Tessellate Alpha to 6 x 2</t>
  </si>
  <si>
    <t>MeshR</t>
  </si>
  <si>
    <t>MeshC</t>
  </si>
  <si>
    <t>=Tessellateλ(MeshR,5,4)</t>
  </si>
  <si>
    <t>=Tessellateλ(MeshC,5,4)</t>
  </si>
  <si>
    <t>Tessellate Mesh R to 5 x 4</t>
  </si>
  <si>
    <t>Tessellate MeshC to 5 x 4</t>
  </si>
  <si>
    <t>=Tessellateλ(Checker,10,12)</t>
  </si>
  <si>
    <t>Checker</t>
  </si>
  <si>
    <t>Tessellate Checker to 10 x 12</t>
  </si>
  <si>
    <t>=RepeatColsλ(Noodle,{2,"1",3})</t>
  </si>
  <si>
    <t>Rep counts cannot be text</t>
  </si>
  <si>
    <t>Conditional formatting used</t>
  </si>
  <si>
    <t>for illustrative purposes.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</si>
</sst>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4" formatCode="_(&quot;$&quot;* #,##0.00_);_(&quot;$&quot;* \(#,##0.00\);_(&quot;$&quot;* &quot;-&quot;??_);_(@_)"/>
    <numFmt numFmtId="164" formatCode="&quot;$&quot;#,##0"/>
    <numFmt numFmtId="165" formatCode="&quot;$&quot;#,##0.00"/>
    <numFmt numFmtId="166" formatCode="[$¥-411]#,##0.00;\-[$¥-411]#,##0.00"/>
    <numFmt numFmtId="167" formatCode=";;;"/>
  </numFmts>
  <fonts count="10" x14ac:knownFonts="1">
    <font>
      <sz val="11"/>
      <color theme="1"/>
      <name val="segoe ui"/>
      <family val="2"/>
    </font>
    <font>
      <sz val="11"/>
      <color theme="1"/>
      <name val="Segoe UI Variable Display"/>
    </font>
    <font>
      <b/>
      <sz val="11"/>
      <color theme="1"/>
      <name val="Segoe UI Variable Display"/>
    </font>
    <font>
      <sz val="11"/>
      <color theme="1"/>
      <name val="segoe ui"/>
      <family val="2"/>
    </font>
    <font>
      <sz val="10"/>
      <color theme="1"/>
      <name val="Segoe UI Variable Display"/>
    </font>
    <font>
      <i/>
      <sz val="10"/>
      <color theme="1"/>
      <name val="Segoe UI Variable Display"/>
    </font>
    <font>
      <sz val="11"/>
      <color theme="1"/>
      <name val="Bahnschrift"/>
      <family val="2"/>
    </font>
    <font>
      <b/>
      <sz val="10"/>
      <color theme="1"/>
      <name val="Segoe UI Variable Display"/>
    </font>
    <font>
      <sz val="10"/>
      <color theme="1"/>
      <name val="Bahnschrift"/>
      <family val="2"/>
    </font>
    <font>
      <i/>
      <sz val="10"/>
      <color theme="1"/>
      <name val="Bahnschrift"/>
      <family val="2"/>
    </font>
  </fonts>
  <fills count="4">
    <fill>
      <patternFill patternType="none"/>
    </fill>
    <fill>
      <patternFill patternType="gray125"/>
    </fill>
    <fill>
      <patternFill patternType="solid">
        <fgColor rgb="FFC9C3DD"/>
        <bgColor indexed="64"/>
      </patternFill>
    </fill>
    <fill>
      <patternFill patternType="solid">
        <fgColor rgb="FFCAC4DE"/>
        <bgColor indexed="64"/>
      </patternFill>
    </fill>
  </fills>
  <borders count="16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/>
      <diagonal/>
    </border>
    <border>
      <left/>
      <right/>
      <top style="thin">
        <color rgb="FFC0C0C0"/>
      </top>
      <bottom/>
      <diagonal/>
    </border>
    <border>
      <left/>
      <right style="thin">
        <color rgb="FFC0C0C0"/>
      </right>
      <top style="thin">
        <color rgb="FFC0C0C0"/>
      </top>
      <bottom/>
      <diagonal/>
    </border>
    <border>
      <left style="thin">
        <color rgb="FFC0C0C0"/>
      </left>
      <right/>
      <top/>
      <bottom/>
      <diagonal/>
    </border>
    <border>
      <left/>
      <right style="thin">
        <color rgb="FFC0C0C0"/>
      </right>
      <top/>
      <bottom/>
      <diagonal/>
    </border>
    <border>
      <left style="thin">
        <color rgb="FFC0C0C0"/>
      </left>
      <right/>
      <top/>
      <bottom style="thin">
        <color rgb="FFC0C0C0"/>
      </bottom>
      <diagonal/>
    </border>
    <border>
      <left/>
      <right/>
      <top/>
      <bottom style="thin">
        <color rgb="FFC0C0C0"/>
      </bottom>
      <diagonal/>
    </border>
    <border>
      <left/>
      <right style="thin">
        <color rgb="FFC0C0C0"/>
      </right>
      <top/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/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 style="thick">
        <color rgb="FFC0C0C0"/>
      </left>
      <right/>
      <top style="thin">
        <color rgb="FFC0C0C0"/>
      </top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51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  <xf numFmtId="0" fontId="1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4" fillId="0" borderId="0" xfId="0" quotePrefix="1" applyFont="1"/>
    <xf numFmtId="0" fontId="7" fillId="0" borderId="0" xfId="0" applyFont="1"/>
    <xf numFmtId="0" fontId="2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5" fillId="0" borderId="3" xfId="0" applyFont="1" applyBorder="1"/>
    <xf numFmtId="0" fontId="7" fillId="0" borderId="3" xfId="0" applyFont="1" applyBorder="1"/>
    <xf numFmtId="0" fontId="6" fillId="0" borderId="5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1" xfId="0" applyFont="1" applyBorder="1"/>
    <xf numFmtId="0" fontId="5" fillId="0" borderId="0" xfId="0" applyFont="1"/>
    <xf numFmtId="0" fontId="6" fillId="0" borderId="0" xfId="0" applyFont="1"/>
    <xf numFmtId="0" fontId="5" fillId="0" borderId="10" xfId="0" applyFont="1" applyBorder="1"/>
    <xf numFmtId="0" fontId="1" fillId="0" borderId="2" xfId="0" applyFont="1" applyBorder="1"/>
    <xf numFmtId="0" fontId="5" fillId="0" borderId="3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6" fillId="0" borderId="11" xfId="0" applyFont="1" applyBorder="1"/>
    <xf numFmtId="0" fontId="6" fillId="0" borderId="3" xfId="0" applyFont="1" applyBorder="1"/>
    <xf numFmtId="164" fontId="6" fillId="0" borderId="1" xfId="0" applyNumberFormat="1" applyFont="1" applyBorder="1"/>
    <xf numFmtId="165" fontId="6" fillId="0" borderId="1" xfId="0" applyNumberFormat="1" applyFont="1" applyBorder="1"/>
    <xf numFmtId="0" fontId="1" fillId="0" borderId="13" xfId="0" applyFont="1" applyBorder="1"/>
    <xf numFmtId="0" fontId="6" fillId="0" borderId="8" xfId="0" applyFont="1" applyBorder="1"/>
    <xf numFmtId="0" fontId="4" fillId="0" borderId="3" xfId="0" applyFont="1" applyBorder="1"/>
    <xf numFmtId="0" fontId="8" fillId="0" borderId="3" xfId="0" applyFont="1" applyBorder="1"/>
    <xf numFmtId="166" fontId="6" fillId="0" borderId="1" xfId="1" applyNumberFormat="1" applyFont="1" applyBorder="1"/>
    <xf numFmtId="164" fontId="6" fillId="0" borderId="1" xfId="0" applyNumberFormat="1" applyFont="1" applyBorder="1" applyAlignment="1">
      <alignment horizontal="left"/>
    </xf>
    <xf numFmtId="0" fontId="9" fillId="0" borderId="3" xfId="0" applyFont="1" applyBorder="1"/>
    <xf numFmtId="0" fontId="6" fillId="0" borderId="8" xfId="0" applyFont="1" applyBorder="1" applyAlignment="1">
      <alignment horizontal="center"/>
    </xf>
    <xf numFmtId="167" fontId="6" fillId="0" borderId="1" xfId="0" applyNumberFormat="1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5" xfId="0" applyFont="1" applyBorder="1" applyAlignment="1">
      <alignment horizontal="center" wrapText="1"/>
    </xf>
    <xf numFmtId="0" fontId="1" fillId="2" borderId="14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horizontal="center"/>
    </xf>
    <xf numFmtId="0" fontId="6" fillId="3" borderId="1" xfId="0" applyFont="1" applyFill="1" applyBorder="1"/>
    <xf numFmtId="164" fontId="6" fillId="3" borderId="1" xfId="0" applyNumberFormat="1" applyFont="1" applyFill="1" applyBorder="1"/>
    <xf numFmtId="165" fontId="6" fillId="3" borderId="12" xfId="0" applyNumberFormat="1" applyFont="1" applyFill="1" applyBorder="1"/>
    <xf numFmtId="0" fontId="6" fillId="3" borderId="1" xfId="0" applyFont="1" applyFill="1" applyBorder="1" applyAlignment="1">
      <alignment horizontal="left"/>
    </xf>
    <xf numFmtId="166" fontId="6" fillId="3" borderId="1" xfId="1" applyNumberFormat="1" applyFont="1" applyFill="1" applyBorder="1"/>
    <xf numFmtId="0" fontId="6" fillId="3" borderId="1" xfId="0" quotePrefix="1" applyFont="1" applyFill="1" applyBorder="1" applyAlignment="1">
      <alignment horizontal="left"/>
    </xf>
  </cellXfs>
  <cellStyles count="2">
    <cellStyle name="Currency" xfId="1" builtinId="4"/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1" defaultTableStyle="TableStyleMedium2" defaultPivotStyle="PivotStyleLight16">
    <tableStyle name="Invisible" pivot="0" table="0" count="0" xr9:uid="{88E6238E-9F03-468E-B904-CE39C7EBCD2B}"/>
  </tableStyles>
  <colors>
    <mruColors>
      <color rgb="FFCAC4DE"/>
      <color rgb="FFC0C0C0"/>
      <color rgb="FFC9C3DD"/>
      <color rgb="FF8064A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644525</xdr:colOff>
      <xdr:row>0</xdr:row>
      <xdr:rowOff>200025</xdr:rowOff>
    </xdr:from>
    <xdr:to>
      <xdr:col>3</xdr:col>
      <xdr:colOff>1332440</xdr:colOff>
      <xdr:row>5</xdr:row>
      <xdr:rowOff>66675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D19BB3A-BC56-4BF6-AE53-F6388B0F1B45}"/>
            </a:ext>
          </a:extLst>
        </xdr:cNvPr>
        <xdr:cNvSpPr>
          <a:spLocks noChangeAspect="1"/>
        </xdr:cNvSpPr>
      </xdr:nvSpPr>
      <xdr:spPr>
        <a:xfrm>
          <a:off x="1301750" y="200025"/>
          <a:ext cx="2611965" cy="914400"/>
        </a:xfrm>
        <a:prstGeom prst="rect">
          <a:avLst/>
        </a:prstGeom>
        <a:solidFill>
          <a:srgbClr val="333333"/>
        </a:solidFill>
      </xdr:spPr>
      <xdr:txBody>
        <a:bodyPr wrap="square" lIns="0" tIns="0" rIns="0" bIns="0">
          <a:noAutofit/>
        </a:bodyPr>
        <a:lstStyle>
          <a:defPPr>
            <a:defRPr lang="en-US"/>
          </a:defPPr>
          <a:lvl1pPr marL="0" indent="0" algn="l" defTabSz="914400" rtl="0" eaLnBrk="1" latinLnBrk="0" hangingPunct="1">
            <a:defRPr sz="11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1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1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1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1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1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1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1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1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5400" b="0" i="0" cap="none" spc="0">
              <a:ln w="22225">
                <a:noFill/>
                <a:prstDash val="solid"/>
              </a:ln>
              <a:solidFill>
                <a:schemeClr val="bg1"/>
              </a:solidFill>
              <a:effectLst/>
              <a:latin typeface="Bahnschrift" panose="020B0502040204020203" pitchFamily="34" charset="0"/>
              <a:ea typeface="Ebrima" panose="02000000000000000000" pitchFamily="2" charset="0"/>
              <a:cs typeface="Ebrima" panose="02000000000000000000" pitchFamily="2" charset="0"/>
            </a:rPr>
            <a:t>Big</a:t>
          </a:r>
          <a:r>
            <a:rPr lang="en-US" sz="5400" b="0" i="0" cap="none" spc="0">
              <a:ln w="22225">
                <a:noFill/>
                <a:prstDash val="solid"/>
              </a:ln>
              <a:solidFill>
                <a:srgbClr val="1F6F5B"/>
              </a:solidFill>
              <a:effectLst/>
              <a:latin typeface="Bahnschrift" panose="020B0502040204020203" pitchFamily="34" charset="0"/>
              <a:ea typeface="Ebrima" panose="02000000000000000000" pitchFamily="2" charset="0"/>
              <a:cs typeface="Ebrima" panose="02000000000000000000" pitchFamily="2" charset="0"/>
            </a:rPr>
            <a:t>Spill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976" row="9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3ECE267-7236-466B-B896-31320B85973E}">
  <we:reference id="WA200003696" version="1.3.0.0" store="Omex" storeType="OMEX"/>
  <we:alternateReferences>
    <we:reference id="WA200003696" version="1.3.0.0" store="WA200003696" storeType="OMEX"/>
  </we:alternateReferences>
  <we:properties>
    <we:property name="projectV0_1-56c6e055-265e-4713-816e-a646dbb708de" value="{&quot;kind&quot;:&quot;AFEJSONBlobNode&quot;,&quot;id&quot;:&quot;{AE3F2B0A-BB57-40F1-B4F2-FE189BC27775}&quot;}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2B76F-44F1-4A81-9F00-FC52DBDE411B}">
  <sheetPr>
    <tabColor theme="0"/>
  </sheetPr>
  <dimension ref="A5:E21"/>
  <sheetViews>
    <sheetView showGridLines="0" showRowColHeaders="0" tabSelected="1" workbookViewId="0"/>
  </sheetViews>
  <sheetFormatPr defaultColWidth="0" defaultRowHeight="16.5" x14ac:dyDescent="0.45"/>
  <cols>
    <col min="1" max="2" width="8.6640625" customWidth="1"/>
    <col min="3" max="3" width="16.6640625" customWidth="1"/>
    <col min="4" max="4" width="72.5" bestFit="1" customWidth="1"/>
    <col min="5" max="5" width="8.6640625" customWidth="1"/>
    <col min="6" max="16384" width="8.6640625" hidden="1"/>
  </cols>
  <sheetData>
    <row r="5" spans="3:4" x14ac:dyDescent="0.45">
      <c r="C5" s="1"/>
      <c r="D5" s="2"/>
    </row>
    <row r="6" spans="3:4" x14ac:dyDescent="0.45">
      <c r="C6" s="1"/>
      <c r="D6" s="2"/>
    </row>
    <row r="7" spans="3:4" x14ac:dyDescent="0.45">
      <c r="C7" s="1"/>
      <c r="D7" s="2"/>
    </row>
    <row r="8" spans="3:4" x14ac:dyDescent="0.45">
      <c r="C8" s="3" t="s">
        <v>13</v>
      </c>
      <c r="D8" s="2"/>
    </row>
    <row r="9" spans="3:4" x14ac:dyDescent="0.45">
      <c r="C9" s="1" t="s">
        <v>14</v>
      </c>
      <c r="D9" s="2"/>
    </row>
    <row r="10" spans="3:4" x14ac:dyDescent="0.45">
      <c r="C10" s="1"/>
      <c r="D10" s="2"/>
    </row>
    <row r="11" spans="3:4" x14ac:dyDescent="0.45">
      <c r="C11" s="3" t="s">
        <v>0</v>
      </c>
      <c r="D11" s="2"/>
    </row>
    <row r="12" spans="3:4" x14ac:dyDescent="0.45">
      <c r="C12" s="1" t="s">
        <v>1</v>
      </c>
      <c r="D12" s="2"/>
    </row>
    <row r="13" spans="3:4" x14ac:dyDescent="0.45">
      <c r="C13" s="1" t="s">
        <v>2</v>
      </c>
      <c r="D13" s="2"/>
    </row>
    <row r="14" spans="3:4" x14ac:dyDescent="0.45">
      <c r="C14" s="1"/>
      <c r="D14" s="2"/>
    </row>
    <row r="15" spans="3:4" x14ac:dyDescent="0.45">
      <c r="C15" s="1"/>
      <c r="D15" s="2"/>
    </row>
    <row r="16" spans="3:4" ht="17" thickBot="1" x14ac:dyDescent="0.5">
      <c r="C16" s="40" t="s">
        <v>3</v>
      </c>
      <c r="D16" s="41" t="s">
        <v>4</v>
      </c>
    </row>
    <row r="17" spans="3:4" ht="35" customHeight="1" thickBot="1" x14ac:dyDescent="0.5">
      <c r="C17" s="42" t="s">
        <v>5</v>
      </c>
      <c r="D17" s="43" t="s">
        <v>9</v>
      </c>
    </row>
    <row r="18" spans="3:4" ht="35" customHeight="1" thickBot="1" x14ac:dyDescent="0.5">
      <c r="C18" s="42" t="s">
        <v>6</v>
      </c>
      <c r="D18" s="43" t="s">
        <v>10</v>
      </c>
    </row>
    <row r="19" spans="3:4" ht="35" customHeight="1" thickBot="1" x14ac:dyDescent="0.5">
      <c r="C19" s="42" t="s">
        <v>7</v>
      </c>
      <c r="D19" s="43" t="s">
        <v>11</v>
      </c>
    </row>
    <row r="20" spans="3:4" ht="35" customHeight="1" thickBot="1" x14ac:dyDescent="0.5">
      <c r="C20" s="42" t="s">
        <v>8</v>
      </c>
      <c r="D20" s="43" t="s">
        <v>12</v>
      </c>
    </row>
    <row r="21" spans="3:4" x14ac:dyDescent="0.45">
      <c r="C21" s="4"/>
      <c r="D21" s="2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36887-DFDC-4FC6-A466-1B7A002C7217}">
  <sheetPr>
    <tabColor rgb="FFC9C3DD"/>
  </sheetPr>
  <dimension ref="B2:L41"/>
  <sheetViews>
    <sheetView workbookViewId="0"/>
  </sheetViews>
  <sheetFormatPr defaultRowHeight="16.5" x14ac:dyDescent="0.45"/>
  <cols>
    <col min="1" max="1" width="5" style="1" customWidth="1"/>
    <col min="2" max="2" width="5.08203125" style="1" customWidth="1"/>
    <col min="3" max="3" width="7.25" style="1" bestFit="1" customWidth="1"/>
    <col min="4" max="4" width="7.83203125" style="1" bestFit="1" customWidth="1"/>
    <col min="5" max="5" width="7.5" style="1" customWidth="1"/>
    <col min="6" max="7" width="8.6640625" style="1"/>
    <col min="8" max="8" width="21.58203125" style="1" customWidth="1"/>
    <col min="9" max="11" width="8.6640625" style="1"/>
    <col min="12" max="12" width="3" style="1" customWidth="1"/>
    <col min="13" max="16384" width="8.6640625" style="1"/>
  </cols>
  <sheetData>
    <row r="2" spans="2:12" x14ac:dyDescent="0.45">
      <c r="B2" s="8" t="s">
        <v>15</v>
      </c>
      <c r="C2" s="9"/>
      <c r="D2" s="9"/>
      <c r="E2" s="9"/>
      <c r="F2" s="9"/>
      <c r="G2" s="9"/>
      <c r="H2" s="9"/>
      <c r="I2" s="9"/>
      <c r="J2" s="9"/>
      <c r="K2" s="9"/>
      <c r="L2" s="10"/>
    </row>
    <row r="3" spans="2:12" x14ac:dyDescent="0.45">
      <c r="B3" s="11" t="s">
        <v>16</v>
      </c>
      <c r="L3" s="12"/>
    </row>
    <row r="4" spans="2:12" x14ac:dyDescent="0.45">
      <c r="B4" s="11" t="s">
        <v>50</v>
      </c>
      <c r="L4" s="12"/>
    </row>
    <row r="5" spans="2:12" x14ac:dyDescent="0.45">
      <c r="B5" s="13"/>
      <c r="C5" s="14"/>
      <c r="D5" s="14"/>
      <c r="E5" s="14"/>
      <c r="F5" s="14"/>
      <c r="G5" s="14"/>
      <c r="H5" s="14"/>
      <c r="I5" s="14"/>
      <c r="J5" s="14"/>
      <c r="K5" s="14"/>
      <c r="L5" s="15"/>
    </row>
    <row r="6" spans="2:12" x14ac:dyDescent="0.45">
      <c r="B6" s="24"/>
      <c r="C6" s="25" t="s">
        <v>21</v>
      </c>
      <c r="D6" s="9"/>
      <c r="E6" s="16" t="s">
        <v>17</v>
      </c>
      <c r="F6" s="9"/>
      <c r="G6" s="17" t="s">
        <v>23</v>
      </c>
      <c r="H6" s="9"/>
      <c r="I6" s="17" t="s">
        <v>25</v>
      </c>
      <c r="J6" s="9"/>
      <c r="K6" s="9"/>
      <c r="L6" s="10"/>
    </row>
    <row r="7" spans="2:12" x14ac:dyDescent="0.45">
      <c r="B7" s="11"/>
      <c r="C7" s="44" t="s">
        <v>18</v>
      </c>
      <c r="E7" s="44">
        <v>1</v>
      </c>
      <c r="G7" s="6" t="s">
        <v>22</v>
      </c>
      <c r="I7" s="6" t="s">
        <v>24</v>
      </c>
      <c r="L7" s="12"/>
    </row>
    <row r="8" spans="2:12" x14ac:dyDescent="0.45">
      <c r="B8" s="11"/>
      <c r="C8" s="44" t="s">
        <v>19</v>
      </c>
      <c r="E8" s="44">
        <v>3</v>
      </c>
      <c r="G8" s="5" t="str" cm="1">
        <f t="array" ref="G8:G13">Echoλ(Letters,Rep)</f>
        <v>A</v>
      </c>
      <c r="I8" s="5" t="str" cm="1">
        <f t="array" ref="I8:I13">Echoλ(Letters,2)</f>
        <v>A</v>
      </c>
      <c r="L8" s="12"/>
    </row>
    <row r="9" spans="2:12" x14ac:dyDescent="0.45">
      <c r="B9" s="11"/>
      <c r="C9" s="44" t="s">
        <v>20</v>
      </c>
      <c r="E9" s="44">
        <v>2</v>
      </c>
      <c r="G9" s="5" t="str">
        <v>B</v>
      </c>
      <c r="I9" s="5" t="str">
        <v>A</v>
      </c>
      <c r="L9" s="12"/>
    </row>
    <row r="10" spans="2:12" x14ac:dyDescent="0.45">
      <c r="B10" s="11"/>
      <c r="G10" s="5" t="str">
        <v>B</v>
      </c>
      <c r="I10" s="5" t="str">
        <v>B</v>
      </c>
      <c r="L10" s="12"/>
    </row>
    <row r="11" spans="2:12" x14ac:dyDescent="0.45">
      <c r="B11" s="11"/>
      <c r="G11" s="5" t="str">
        <v>B</v>
      </c>
      <c r="I11" s="5" t="str">
        <v>B</v>
      </c>
      <c r="L11" s="12"/>
    </row>
    <row r="12" spans="2:12" x14ac:dyDescent="0.45">
      <c r="B12" s="11"/>
      <c r="G12" s="5" t="str">
        <v>C</v>
      </c>
      <c r="I12" s="5" t="str">
        <v>C</v>
      </c>
      <c r="L12" s="12"/>
    </row>
    <row r="13" spans="2:12" x14ac:dyDescent="0.45">
      <c r="B13" s="11"/>
      <c r="G13" s="5" t="str">
        <v>C</v>
      </c>
      <c r="I13" s="5" t="str">
        <v>C</v>
      </c>
      <c r="L13" s="12"/>
    </row>
    <row r="14" spans="2:12" ht="9" customHeight="1" x14ac:dyDescent="0.45">
      <c r="B14" s="11"/>
      <c r="C14" s="14"/>
      <c r="D14" s="14"/>
      <c r="E14" s="14"/>
      <c r="F14" s="14"/>
      <c r="G14" s="14"/>
      <c r="H14" s="14"/>
      <c r="I14" s="14"/>
      <c r="J14" s="14"/>
      <c r="K14" s="14"/>
      <c r="L14" s="15"/>
    </row>
    <row r="15" spans="2:12" x14ac:dyDescent="0.45">
      <c r="B15" s="11"/>
      <c r="C15" s="16" t="s">
        <v>30</v>
      </c>
      <c r="D15" s="9"/>
      <c r="E15" s="16" t="s">
        <v>26</v>
      </c>
      <c r="F15" s="9"/>
      <c r="G15" s="17" t="s">
        <v>36</v>
      </c>
      <c r="H15" s="9"/>
      <c r="I15" s="17" t="s">
        <v>38</v>
      </c>
      <c r="K15" s="9"/>
      <c r="L15" s="10"/>
    </row>
    <row r="16" spans="2:12" x14ac:dyDescent="0.45">
      <c r="B16" s="11"/>
      <c r="C16" s="45" t="s">
        <v>31</v>
      </c>
      <c r="E16" s="44">
        <v>3</v>
      </c>
      <c r="G16" s="21" t="s">
        <v>35</v>
      </c>
      <c r="I16" s="6" t="s">
        <v>37</v>
      </c>
      <c r="L16" s="12"/>
    </row>
    <row r="17" spans="2:12" x14ac:dyDescent="0.45">
      <c r="B17" s="11"/>
      <c r="C17" s="45" t="s">
        <v>32</v>
      </c>
      <c r="E17" s="44">
        <v>2</v>
      </c>
      <c r="G17" s="6" t="s">
        <v>34</v>
      </c>
      <c r="I17" s="22" t="str" cm="1">
        <f t="array" ref="I17">Echoλ(Animals,{3,0,2})</f>
        <v>#VALUE!</v>
      </c>
      <c r="L17" s="12"/>
    </row>
    <row r="18" spans="2:12" x14ac:dyDescent="0.45">
      <c r="B18" s="11"/>
      <c r="C18" s="45" t="s">
        <v>33</v>
      </c>
      <c r="G18" s="20" t="str" cm="1">
        <f t="array" ref="G18:G24">Echoλ(Animals,RepB)</f>
        <v>Lion</v>
      </c>
      <c r="L18" s="12"/>
    </row>
    <row r="19" spans="2:12" x14ac:dyDescent="0.45">
      <c r="B19" s="11"/>
      <c r="E19" s="21" t="s">
        <v>39</v>
      </c>
      <c r="G19" s="20" t="str">
        <v>Lion</v>
      </c>
      <c r="I19" s="7" t="s">
        <v>145</v>
      </c>
      <c r="L19" s="12"/>
    </row>
    <row r="20" spans="2:12" x14ac:dyDescent="0.45">
      <c r="B20" s="11"/>
      <c r="E20" s="44">
        <v>4</v>
      </c>
      <c r="G20" s="20" t="str">
        <v>Lion</v>
      </c>
      <c r="I20" s="6" t="s">
        <v>41</v>
      </c>
      <c r="L20" s="12"/>
    </row>
    <row r="21" spans="2:12" x14ac:dyDescent="0.45">
      <c r="B21" s="11"/>
      <c r="E21" s="44" t="s">
        <v>40</v>
      </c>
      <c r="G21" s="20" t="str">
        <v>Tiger</v>
      </c>
      <c r="I21" s="22" t="str" cm="1">
        <f t="array" ref="I21">Echoλ(Animals,RepC)</f>
        <v>#VALUE!</v>
      </c>
      <c r="L21" s="12"/>
    </row>
    <row r="22" spans="2:12" x14ac:dyDescent="0.45">
      <c r="B22" s="11"/>
      <c r="E22" s="44">
        <v>2</v>
      </c>
      <c r="G22" s="20" t="str">
        <v>Tiger</v>
      </c>
      <c r="L22" s="12"/>
    </row>
    <row r="23" spans="2:12" x14ac:dyDescent="0.45">
      <c r="B23" s="11"/>
      <c r="G23" s="20" t="str">
        <v>Bear</v>
      </c>
      <c r="L23" s="12"/>
    </row>
    <row r="24" spans="2:12" x14ac:dyDescent="0.45">
      <c r="B24" s="11"/>
      <c r="G24" s="20" t="str">
        <v>Bear</v>
      </c>
      <c r="L24" s="12"/>
    </row>
    <row r="25" spans="2:12" ht="7.5" customHeight="1" x14ac:dyDescent="0.45">
      <c r="B25" s="13"/>
      <c r="C25" s="14"/>
      <c r="D25" s="14"/>
      <c r="E25" s="14"/>
      <c r="F25" s="14"/>
      <c r="G25" s="14"/>
      <c r="H25" s="14"/>
      <c r="I25" s="14"/>
      <c r="J25" s="14"/>
      <c r="K25" s="14"/>
      <c r="L25" s="15"/>
    </row>
    <row r="26" spans="2:12" x14ac:dyDescent="0.45">
      <c r="B26" s="24"/>
      <c r="C26" s="23" t="s">
        <v>42</v>
      </c>
      <c r="D26" s="9"/>
      <c r="E26" s="9"/>
      <c r="F26" s="9"/>
      <c r="G26" s="9"/>
      <c r="I26" s="17" t="s">
        <v>47</v>
      </c>
      <c r="J26" s="9"/>
      <c r="K26" s="9"/>
      <c r="L26" s="10"/>
    </row>
    <row r="27" spans="2:12" x14ac:dyDescent="0.45">
      <c r="B27" s="11"/>
      <c r="C27" s="44" t="s">
        <v>43</v>
      </c>
      <c r="D27" s="44" t="s">
        <v>27</v>
      </c>
      <c r="E27" s="44" t="s">
        <v>28</v>
      </c>
      <c r="F27" s="44" t="s">
        <v>29</v>
      </c>
      <c r="G27" s="44" t="s">
        <v>44</v>
      </c>
      <c r="I27" s="21" t="s">
        <v>48</v>
      </c>
      <c r="L27" s="12"/>
    </row>
    <row r="28" spans="2:12" x14ac:dyDescent="0.45">
      <c r="B28" s="11"/>
      <c r="C28" s="23" t="s">
        <v>45</v>
      </c>
      <c r="I28" s="6" t="s">
        <v>46</v>
      </c>
      <c r="L28" s="12"/>
    </row>
    <row r="29" spans="2:12" x14ac:dyDescent="0.45">
      <c r="B29" s="11"/>
      <c r="C29" s="44">
        <v>2</v>
      </c>
      <c r="D29" s="44">
        <v>1</v>
      </c>
      <c r="E29" s="44">
        <v>3</v>
      </c>
      <c r="I29" s="5" t="str" cm="1">
        <f t="array" ref="I29:I40">Echoλ(Places,RepD)</f>
        <v>Cairo</v>
      </c>
      <c r="L29" s="12"/>
    </row>
    <row r="30" spans="2:12" x14ac:dyDescent="0.45">
      <c r="B30" s="11"/>
      <c r="I30" s="5" t="str">
        <v>Cairo</v>
      </c>
      <c r="L30" s="12"/>
    </row>
    <row r="31" spans="2:12" x14ac:dyDescent="0.45">
      <c r="B31" s="11"/>
      <c r="I31" s="5" t="str">
        <v>London</v>
      </c>
      <c r="L31" s="12"/>
    </row>
    <row r="32" spans="2:12" x14ac:dyDescent="0.45">
      <c r="B32" s="11"/>
      <c r="I32" s="5" t="str">
        <v>Helsinki</v>
      </c>
      <c r="L32" s="12"/>
    </row>
    <row r="33" spans="2:12" x14ac:dyDescent="0.45">
      <c r="B33" s="11"/>
      <c r="I33" s="5" t="str">
        <v>Helsinki</v>
      </c>
      <c r="L33" s="12"/>
    </row>
    <row r="34" spans="2:12" x14ac:dyDescent="0.45">
      <c r="B34" s="11"/>
      <c r="I34" s="5" t="str">
        <v>Helsinki</v>
      </c>
      <c r="L34" s="12"/>
    </row>
    <row r="35" spans="2:12" x14ac:dyDescent="0.45">
      <c r="B35" s="11"/>
      <c r="I35" s="5" t="str">
        <v>Paris</v>
      </c>
      <c r="L35" s="12"/>
    </row>
    <row r="36" spans="2:12" x14ac:dyDescent="0.45">
      <c r="B36" s="11"/>
      <c r="I36" s="5" t="str">
        <v>Paris</v>
      </c>
      <c r="L36" s="12"/>
    </row>
    <row r="37" spans="2:12" x14ac:dyDescent="0.45">
      <c r="B37" s="11"/>
      <c r="I37" s="5" t="str">
        <v>Paris</v>
      </c>
      <c r="L37" s="12"/>
    </row>
    <row r="38" spans="2:12" x14ac:dyDescent="0.45">
      <c r="B38" s="11"/>
      <c r="I38" s="5" t="str">
        <v>Tokyo</v>
      </c>
      <c r="L38" s="12"/>
    </row>
    <row r="39" spans="2:12" x14ac:dyDescent="0.45">
      <c r="B39" s="11"/>
      <c r="I39" s="5" t="str">
        <v>Tokyo</v>
      </c>
      <c r="L39" s="12"/>
    </row>
    <row r="40" spans="2:12" x14ac:dyDescent="0.45">
      <c r="B40" s="11"/>
      <c r="I40" s="5" t="str">
        <v>Tokyo</v>
      </c>
      <c r="L40" s="12"/>
    </row>
    <row r="41" spans="2:12" x14ac:dyDescent="0.45">
      <c r="B41" s="13"/>
      <c r="C41" s="14"/>
      <c r="D41" s="14"/>
      <c r="E41" s="14"/>
      <c r="F41" s="14"/>
      <c r="G41" s="14"/>
      <c r="H41" s="14"/>
      <c r="I41" s="14"/>
      <c r="J41" s="14"/>
      <c r="K41" s="14"/>
      <c r="L41" s="15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0BF10-CED4-4859-BC8D-17A4D08A07F5}">
  <sheetPr>
    <tabColor rgb="FFC9C3DD"/>
  </sheetPr>
  <dimension ref="B2:O37"/>
  <sheetViews>
    <sheetView workbookViewId="0"/>
  </sheetViews>
  <sheetFormatPr defaultRowHeight="16.5" x14ac:dyDescent="0.45"/>
  <cols>
    <col min="1" max="1" width="5" style="1" customWidth="1"/>
    <col min="2" max="2" width="6.6640625" style="1" customWidth="1"/>
    <col min="3" max="3" width="13.58203125" style="1" customWidth="1"/>
    <col min="4" max="4" width="22.58203125" style="1" bestFit="1" customWidth="1"/>
    <col min="5" max="5" width="5.58203125" style="1" customWidth="1"/>
    <col min="6" max="6" width="5.08203125" style="1" bestFit="1" customWidth="1"/>
    <col min="7" max="7" width="5.5" style="1" customWidth="1"/>
    <col min="8" max="8" width="18.4140625" style="1" customWidth="1"/>
    <col min="9" max="9" width="22.33203125" style="1" bestFit="1" customWidth="1"/>
    <col min="10" max="10" width="6.25" style="1" bestFit="1" customWidth="1"/>
    <col min="11" max="11" width="3.58203125" style="1" customWidth="1"/>
    <col min="12" max="12" width="10.6640625" style="1" customWidth="1"/>
    <col min="13" max="13" width="15.58203125" style="1" customWidth="1"/>
    <col min="14" max="14" width="3.83203125" style="1" bestFit="1" customWidth="1"/>
    <col min="15" max="15" width="6" style="1" customWidth="1"/>
    <col min="16" max="16384" width="8.6640625" style="1"/>
  </cols>
  <sheetData>
    <row r="2" spans="2:15" x14ac:dyDescent="0.45">
      <c r="B2" s="8" t="s">
        <v>49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10"/>
    </row>
    <row r="3" spans="2:15" x14ac:dyDescent="0.45">
      <c r="B3" s="11" t="s">
        <v>51</v>
      </c>
      <c r="O3" s="12"/>
    </row>
    <row r="4" spans="2:15" x14ac:dyDescent="0.45">
      <c r="B4" s="11" t="s">
        <v>50</v>
      </c>
      <c r="O4" s="12"/>
    </row>
    <row r="5" spans="2:15" ht="9.5" customHeight="1" x14ac:dyDescent="0.45">
      <c r="B5" s="13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5"/>
    </row>
    <row r="6" spans="2:15" x14ac:dyDescent="0.45">
      <c r="B6" s="24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10"/>
    </row>
    <row r="7" spans="2:15" x14ac:dyDescent="0.45">
      <c r="B7" s="11"/>
      <c r="C7" s="21" t="s">
        <v>54</v>
      </c>
      <c r="D7" s="21"/>
      <c r="E7" s="21"/>
      <c r="F7" s="21" t="s">
        <v>120</v>
      </c>
      <c r="H7" s="7" t="s">
        <v>121</v>
      </c>
      <c r="L7" s="7" t="s">
        <v>82</v>
      </c>
      <c r="O7" s="12"/>
    </row>
    <row r="8" spans="2:15" x14ac:dyDescent="0.45">
      <c r="B8" s="11"/>
      <c r="C8" s="45" t="s">
        <v>52</v>
      </c>
      <c r="D8" s="45" t="s">
        <v>56</v>
      </c>
      <c r="E8" s="27"/>
      <c r="F8" s="44">
        <v>3</v>
      </c>
      <c r="G8" s="22"/>
      <c r="H8" s="6" t="s">
        <v>122</v>
      </c>
      <c r="I8" s="22"/>
      <c r="L8" s="6" t="s">
        <v>81</v>
      </c>
      <c r="O8" s="12"/>
    </row>
    <row r="9" spans="2:15" x14ac:dyDescent="0.45">
      <c r="B9" s="11"/>
      <c r="C9" s="45" t="s">
        <v>55</v>
      </c>
      <c r="D9" s="45" t="s">
        <v>57</v>
      </c>
      <c r="E9" s="27"/>
      <c r="F9" s="44">
        <v>1</v>
      </c>
      <c r="G9" s="22"/>
      <c r="H9" s="20" t="str" cm="1">
        <f t="array" ref="H9:I14">RepeatRowsλ(Fruit,Qty)</f>
        <v>Apple</v>
      </c>
      <c r="I9" s="20" t="str">
        <v>Apple Pie</v>
      </c>
      <c r="L9" s="22" t="str" cm="1">
        <f t="array" ref="L9">RepeatRowsλ(Fruit,{3,0,2})</f>
        <v>#VALUE!</v>
      </c>
      <c r="O9" s="12"/>
    </row>
    <row r="10" spans="2:15" x14ac:dyDescent="0.45">
      <c r="B10" s="11"/>
      <c r="C10" s="45" t="s">
        <v>53</v>
      </c>
      <c r="D10" s="45" t="s">
        <v>58</v>
      </c>
      <c r="E10" s="27"/>
      <c r="F10" s="44">
        <v>2</v>
      </c>
      <c r="G10" s="22"/>
      <c r="H10" s="20" t="str">
        <v>Apple</v>
      </c>
      <c r="I10" s="20" t="str">
        <v>Apple Pie</v>
      </c>
      <c r="O10" s="12"/>
    </row>
    <row r="11" spans="2:15" x14ac:dyDescent="0.45">
      <c r="B11" s="11"/>
      <c r="F11" s="22"/>
      <c r="G11" s="22"/>
      <c r="H11" s="20" t="str">
        <v>Apple</v>
      </c>
      <c r="I11" s="20" t="str">
        <v>Apple Pie</v>
      </c>
      <c r="L11" s="7" t="s">
        <v>145</v>
      </c>
      <c r="O11" s="12"/>
    </row>
    <row r="12" spans="2:15" x14ac:dyDescent="0.45">
      <c r="B12" s="11"/>
      <c r="F12" s="22"/>
      <c r="G12" s="22"/>
      <c r="H12" s="20" t="str">
        <v>Banana</v>
      </c>
      <c r="I12" s="20" t="str">
        <v>Banana Bread</v>
      </c>
      <c r="L12" s="6" t="s">
        <v>83</v>
      </c>
      <c r="O12" s="12"/>
    </row>
    <row r="13" spans="2:15" x14ac:dyDescent="0.45">
      <c r="B13" s="11"/>
      <c r="F13" s="22"/>
      <c r="G13" s="22"/>
      <c r="H13" s="20" t="str">
        <v>Orange</v>
      </c>
      <c r="I13" s="20" t="str">
        <v>Orange Juice</v>
      </c>
      <c r="L13" s="22" t="str" cm="1">
        <f t="array" ref="L13">RepeatRowsλ(Fruit,{"2",1,4})</f>
        <v>#VALUE!</v>
      </c>
      <c r="O13" s="12"/>
    </row>
    <row r="14" spans="2:15" x14ac:dyDescent="0.45">
      <c r="B14" s="11"/>
      <c r="F14" s="22"/>
      <c r="G14" s="22"/>
      <c r="H14" s="20" t="str">
        <v>Orange</v>
      </c>
      <c r="I14" s="20" t="str">
        <v>Orange Juice</v>
      </c>
      <c r="O14" s="12"/>
    </row>
    <row r="15" spans="2:15" x14ac:dyDescent="0.45"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5"/>
    </row>
    <row r="16" spans="2:15" x14ac:dyDescent="0.45">
      <c r="B16" s="24"/>
      <c r="C16" s="16" t="s">
        <v>59</v>
      </c>
      <c r="D16" s="9"/>
      <c r="E16" s="9"/>
      <c r="F16" s="9"/>
      <c r="G16" s="9"/>
      <c r="H16" s="17" t="s">
        <v>67</v>
      </c>
      <c r="I16" s="9"/>
      <c r="J16" s="9"/>
      <c r="K16" s="9"/>
      <c r="L16" s="17" t="s">
        <v>84</v>
      </c>
      <c r="M16" s="9"/>
      <c r="N16" s="9"/>
      <c r="O16" s="10"/>
    </row>
    <row r="17" spans="2:15" x14ac:dyDescent="0.45">
      <c r="B17" s="11"/>
      <c r="C17" s="45" t="s">
        <v>60</v>
      </c>
      <c r="D17" s="45" t="s">
        <v>63</v>
      </c>
      <c r="E17" s="46">
        <v>10.49</v>
      </c>
      <c r="H17" s="6" t="s">
        <v>66</v>
      </c>
      <c r="L17" s="7" t="s">
        <v>69</v>
      </c>
      <c r="O17" s="12"/>
    </row>
    <row r="18" spans="2:15" x14ac:dyDescent="0.45">
      <c r="B18" s="11"/>
      <c r="C18" s="45" t="s">
        <v>61</v>
      </c>
      <c r="D18" s="45" t="s">
        <v>64</v>
      </c>
      <c r="E18" s="46">
        <v>8.99</v>
      </c>
      <c r="H18" s="20" t="str" cm="1">
        <f t="array" ref="H18:J23">RepeatRowsλ(Fish,2)</f>
        <v>Salmon</v>
      </c>
      <c r="I18" s="20" t="str">
        <v>Salmon Teriyaki</v>
      </c>
      <c r="J18" s="30">
        <v>10.49</v>
      </c>
      <c r="L18" s="6" t="s">
        <v>68</v>
      </c>
      <c r="O18" s="12"/>
    </row>
    <row r="19" spans="2:15" x14ac:dyDescent="0.45">
      <c r="B19" s="11"/>
      <c r="C19" s="45" t="s">
        <v>62</v>
      </c>
      <c r="D19" s="45" t="s">
        <v>65</v>
      </c>
      <c r="E19" s="46">
        <v>15.99</v>
      </c>
      <c r="H19" s="20" t="str">
        <v>Salmon</v>
      </c>
      <c r="I19" s="20" t="str">
        <v>Salmon Teriyaki</v>
      </c>
      <c r="J19" s="30">
        <v>10.49</v>
      </c>
      <c r="L19" s="20" t="str" cm="1">
        <f t="array" ref="L19:N23">RepeatRowsλ(Fish,{1,2})</f>
        <v>Salmon</v>
      </c>
      <c r="M19" s="20" t="str">
        <v>Salmon Teriyaki</v>
      </c>
      <c r="N19" s="29">
        <v>10.49</v>
      </c>
      <c r="O19" s="12"/>
    </row>
    <row r="20" spans="2:15" x14ac:dyDescent="0.45">
      <c r="B20" s="11"/>
      <c r="C20" s="22"/>
      <c r="D20" s="22"/>
      <c r="H20" s="20" t="str">
        <v>Tuna</v>
      </c>
      <c r="I20" s="20" t="str">
        <v>Tuna Salad</v>
      </c>
      <c r="J20" s="30">
        <v>8.99</v>
      </c>
      <c r="L20" s="20" t="str">
        <v>Tuna</v>
      </c>
      <c r="M20" s="20" t="str">
        <v>Tuna Salad</v>
      </c>
      <c r="N20" s="29">
        <v>8.99</v>
      </c>
      <c r="O20" s="12"/>
    </row>
    <row r="21" spans="2:15" x14ac:dyDescent="0.45">
      <c r="B21" s="11"/>
      <c r="C21" s="22"/>
      <c r="D21" s="22"/>
      <c r="H21" s="20" t="str">
        <v>Tuna</v>
      </c>
      <c r="I21" s="20" t="str">
        <v>Tuna Salad</v>
      </c>
      <c r="J21" s="30">
        <v>8.99</v>
      </c>
      <c r="L21" s="20" t="str">
        <v>Tuna</v>
      </c>
      <c r="M21" s="20" t="str">
        <v>Tuna Salad</v>
      </c>
      <c r="N21" s="29">
        <v>8.99</v>
      </c>
      <c r="O21" s="12"/>
    </row>
    <row r="22" spans="2:15" x14ac:dyDescent="0.45">
      <c r="B22" s="11"/>
      <c r="G22" s="12"/>
      <c r="H22" s="20" t="str">
        <v>Swordfish</v>
      </c>
      <c r="I22" s="20" t="str">
        <v>Grilled Swordfish</v>
      </c>
      <c r="J22" s="30">
        <v>15.99</v>
      </c>
      <c r="L22" s="20" t="str">
        <v>Swordfish</v>
      </c>
      <c r="M22" s="20" t="str">
        <v>Grilled Swordfish</v>
      </c>
      <c r="N22" s="29">
        <v>15.99</v>
      </c>
      <c r="O22" s="12"/>
    </row>
    <row r="23" spans="2:15" x14ac:dyDescent="0.45">
      <c r="B23" s="11"/>
      <c r="F23" s="22"/>
      <c r="G23" s="22"/>
      <c r="H23" s="20" t="str">
        <v>Swordfish</v>
      </c>
      <c r="I23" s="20" t="str">
        <v>Grilled Swordfish</v>
      </c>
      <c r="J23" s="30">
        <v>15.99</v>
      </c>
      <c r="L23" s="20" t="str">
        <v>Swordfish</v>
      </c>
      <c r="M23" s="20" t="str">
        <v>Grilled Swordfish</v>
      </c>
      <c r="N23" s="29">
        <v>15.99</v>
      </c>
      <c r="O23" s="12"/>
    </row>
    <row r="24" spans="2:15" ht="9" customHeight="1" x14ac:dyDescent="0.45">
      <c r="B24" s="13"/>
      <c r="C24" s="14"/>
      <c r="D24" s="14"/>
      <c r="E24" s="14"/>
      <c r="F24" s="32"/>
      <c r="G24" s="32"/>
      <c r="H24" s="14"/>
      <c r="I24" s="14"/>
      <c r="J24" s="14"/>
      <c r="K24" s="14"/>
      <c r="L24" s="14"/>
      <c r="M24" s="14"/>
      <c r="N24" s="14"/>
      <c r="O24" s="15"/>
    </row>
    <row r="25" spans="2:15" x14ac:dyDescent="0.45">
      <c r="B25" s="24"/>
      <c r="C25" s="16" t="s">
        <v>75</v>
      </c>
      <c r="D25" s="33"/>
      <c r="E25" s="34"/>
      <c r="F25" s="37" t="s">
        <v>119</v>
      </c>
      <c r="G25" s="28"/>
      <c r="H25" s="17" t="s">
        <v>118</v>
      </c>
      <c r="I25" s="9"/>
      <c r="J25" s="9"/>
      <c r="K25" s="9"/>
      <c r="L25" s="9"/>
      <c r="M25" s="9"/>
      <c r="N25" s="9"/>
      <c r="O25" s="10"/>
    </row>
    <row r="26" spans="2:15" x14ac:dyDescent="0.45">
      <c r="B26" s="11"/>
      <c r="C26" s="45" t="s">
        <v>70</v>
      </c>
      <c r="D26" s="45" t="s">
        <v>76</v>
      </c>
      <c r="E26" s="47">
        <v>7.5</v>
      </c>
      <c r="F26" s="44">
        <v>2</v>
      </c>
      <c r="G26" s="22"/>
      <c r="H26" s="6" t="s">
        <v>117</v>
      </c>
      <c r="O26" s="12"/>
    </row>
    <row r="27" spans="2:15" x14ac:dyDescent="0.45">
      <c r="B27" s="11"/>
      <c r="C27" s="45" t="s">
        <v>71</v>
      </c>
      <c r="D27" s="45" t="s">
        <v>77</v>
      </c>
      <c r="E27" s="47">
        <v>6.75</v>
      </c>
      <c r="F27" s="44">
        <v>1</v>
      </c>
      <c r="G27" s="22"/>
      <c r="H27" s="20" t="str" cm="1">
        <f t="array" ref="H27:J36">RepeatRowsλ(Bread,Sold)</f>
        <v>Sourdough</v>
      </c>
      <c r="I27" s="20" t="str">
        <v>Turkey and Swiss</v>
      </c>
      <c r="J27" s="30">
        <v>7.5</v>
      </c>
      <c r="O27" s="12"/>
    </row>
    <row r="28" spans="2:15" x14ac:dyDescent="0.45">
      <c r="B28" s="11"/>
      <c r="C28" s="45" t="s">
        <v>72</v>
      </c>
      <c r="D28" s="45" t="s">
        <v>78</v>
      </c>
      <c r="E28" s="47">
        <v>8.25</v>
      </c>
      <c r="F28" s="44">
        <v>3</v>
      </c>
      <c r="G28" s="22"/>
      <c r="H28" s="20" t="str">
        <v>Sourdough</v>
      </c>
      <c r="I28" s="20" t="str">
        <v>Turkey and Swiss</v>
      </c>
      <c r="J28" s="30">
        <v>7.5</v>
      </c>
      <c r="O28" s="12"/>
    </row>
    <row r="29" spans="2:15" x14ac:dyDescent="0.45">
      <c r="B29" s="11"/>
      <c r="C29" s="45" t="s">
        <v>73</v>
      </c>
      <c r="D29" s="45" t="s">
        <v>79</v>
      </c>
      <c r="E29" s="47">
        <v>7.25</v>
      </c>
      <c r="F29" s="44">
        <v>2</v>
      </c>
      <c r="H29" s="20" t="str">
        <v>Baguette</v>
      </c>
      <c r="I29" s="20" t="str">
        <v>Ham and Cheese</v>
      </c>
      <c r="J29" s="30">
        <v>6.75</v>
      </c>
      <c r="O29" s="12"/>
    </row>
    <row r="30" spans="2:15" x14ac:dyDescent="0.45">
      <c r="B30" s="11"/>
      <c r="C30" s="45" t="s">
        <v>74</v>
      </c>
      <c r="D30" s="45" t="s">
        <v>80</v>
      </c>
      <c r="E30" s="47">
        <v>7.49</v>
      </c>
      <c r="F30" s="31"/>
      <c r="H30" s="20" t="str">
        <v>Rye</v>
      </c>
      <c r="I30" s="20" t="str">
        <v>Corned Beef and Mustard</v>
      </c>
      <c r="J30" s="30">
        <v>8.25</v>
      </c>
      <c r="O30" s="12"/>
    </row>
    <row r="31" spans="2:15" x14ac:dyDescent="0.45">
      <c r="B31" s="11"/>
      <c r="H31" s="20" t="str">
        <v>Rye</v>
      </c>
      <c r="I31" s="20" t="str">
        <v>Corned Beef and Mustard</v>
      </c>
      <c r="J31" s="30">
        <v>8.25</v>
      </c>
      <c r="O31" s="12"/>
    </row>
    <row r="32" spans="2:15" x14ac:dyDescent="0.45">
      <c r="B32" s="11"/>
      <c r="H32" s="20" t="str">
        <v>Rye</v>
      </c>
      <c r="I32" s="20" t="str">
        <v>Corned Beef and Mustard</v>
      </c>
      <c r="J32" s="30">
        <v>8.25</v>
      </c>
      <c r="O32" s="12"/>
    </row>
    <row r="33" spans="2:15" x14ac:dyDescent="0.45">
      <c r="B33" s="11"/>
      <c r="H33" s="20" t="str">
        <v>Ciabatta</v>
      </c>
      <c r="I33" s="20" t="str">
        <v>Chicken Pesto</v>
      </c>
      <c r="J33" s="30">
        <v>7.25</v>
      </c>
      <c r="O33" s="12"/>
    </row>
    <row r="34" spans="2:15" x14ac:dyDescent="0.45">
      <c r="B34" s="11"/>
      <c r="H34" s="20" t="str">
        <v>Ciabatta</v>
      </c>
      <c r="I34" s="20" t="str">
        <v>Chicken Pesto</v>
      </c>
      <c r="J34" s="30">
        <v>7.25</v>
      </c>
      <c r="O34" s="12"/>
    </row>
    <row r="35" spans="2:15" x14ac:dyDescent="0.45">
      <c r="B35" s="11"/>
      <c r="H35" s="20" t="str">
        <v>Focaccia</v>
      </c>
      <c r="I35" s="20" t="str">
        <v>Caprese</v>
      </c>
      <c r="J35" s="30">
        <v>7.49</v>
      </c>
      <c r="O35" s="12"/>
    </row>
    <row r="36" spans="2:15" x14ac:dyDescent="0.45">
      <c r="B36" s="11"/>
      <c r="H36" s="20" t="str">
        <v>Focaccia</v>
      </c>
      <c r="I36" s="20" t="str">
        <v>Caprese</v>
      </c>
      <c r="J36" s="30">
        <v>7.49</v>
      </c>
      <c r="O36" s="12"/>
    </row>
    <row r="37" spans="2:15" x14ac:dyDescent="0.45">
      <c r="B37" s="13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5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6FB61-D9A5-43A1-AFCE-5920FFA48CD8}">
  <sheetPr>
    <tabColor rgb="FFC9C3DD"/>
  </sheetPr>
  <dimension ref="B2:P30"/>
  <sheetViews>
    <sheetView workbookViewId="0"/>
  </sheetViews>
  <sheetFormatPr defaultRowHeight="16.5" x14ac:dyDescent="0.45"/>
  <cols>
    <col min="1" max="1" width="5" style="1" customWidth="1"/>
    <col min="2" max="2" width="6.6640625" style="1" customWidth="1"/>
    <col min="3" max="3" width="14.75" style="1" customWidth="1"/>
    <col min="4" max="4" width="14.58203125" style="1" customWidth="1"/>
    <col min="5" max="5" width="12.58203125" style="1" customWidth="1"/>
    <col min="6" max="6" width="4.1640625" style="1" customWidth="1"/>
    <col min="7" max="7" width="12.08203125" style="1" bestFit="1" customWidth="1"/>
    <col min="8" max="9" width="12.58203125" style="1" bestFit="1" customWidth="1"/>
    <col min="10" max="11" width="12.08203125" style="1" bestFit="1" customWidth="1"/>
    <col min="12" max="12" width="12.58203125" style="1" customWidth="1"/>
    <col min="13" max="13" width="12" style="1" customWidth="1"/>
    <col min="14" max="16384" width="8.6640625" style="1"/>
  </cols>
  <sheetData>
    <row r="2" spans="2:16" x14ac:dyDescent="0.45">
      <c r="B2" s="8" t="s">
        <v>85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10"/>
    </row>
    <row r="3" spans="2:16" x14ac:dyDescent="0.45">
      <c r="B3" s="11" t="s">
        <v>86</v>
      </c>
      <c r="P3" s="12"/>
    </row>
    <row r="4" spans="2:16" x14ac:dyDescent="0.45">
      <c r="B4" s="11" t="s">
        <v>50</v>
      </c>
      <c r="P4" s="12"/>
    </row>
    <row r="5" spans="2:16" x14ac:dyDescent="0.45">
      <c r="B5" s="13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5"/>
    </row>
    <row r="6" spans="2:16" x14ac:dyDescent="0.45">
      <c r="B6" s="24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10"/>
    </row>
    <row r="7" spans="2:16" x14ac:dyDescent="0.45">
      <c r="B7" s="11"/>
      <c r="C7" s="21" t="s">
        <v>93</v>
      </c>
      <c r="G7" s="7" t="s">
        <v>115</v>
      </c>
      <c r="N7" s="7" t="s">
        <v>95</v>
      </c>
      <c r="P7" s="12"/>
    </row>
    <row r="8" spans="2:16" x14ac:dyDescent="0.45">
      <c r="B8" s="11"/>
      <c r="C8" s="48" t="s">
        <v>87</v>
      </c>
      <c r="D8" s="48" t="s">
        <v>88</v>
      </c>
      <c r="E8" s="48" t="s">
        <v>89</v>
      </c>
      <c r="G8" s="6" t="s">
        <v>114</v>
      </c>
      <c r="N8" s="6" t="s">
        <v>94</v>
      </c>
      <c r="P8" s="12"/>
    </row>
    <row r="9" spans="2:16" x14ac:dyDescent="0.45">
      <c r="B9" s="11"/>
      <c r="C9" s="48" t="s">
        <v>90</v>
      </c>
      <c r="D9" s="48" t="s">
        <v>91</v>
      </c>
      <c r="E9" s="48" t="s">
        <v>92</v>
      </c>
      <c r="G9" s="20" t="str" cm="1">
        <f t="array" ref="G9:L11">RepeatColsλ(Noodle,Served)</f>
        <v>Ramen</v>
      </c>
      <c r="H9" s="20" t="str">
        <v>Ramen</v>
      </c>
      <c r="I9" s="20" t="str">
        <v>Udon</v>
      </c>
      <c r="J9" s="20" t="str">
        <v>Udon</v>
      </c>
      <c r="K9" s="20" t="str">
        <v>Udon</v>
      </c>
      <c r="L9" s="20" t="str">
        <v>Soba</v>
      </c>
      <c r="N9" s="22" t="str" cm="1">
        <f t="array" ref="N9">RepeatColsλ(Noodle,{2,0,3})</f>
        <v>#VALUE!</v>
      </c>
      <c r="P9" s="12"/>
    </row>
    <row r="10" spans="2:16" x14ac:dyDescent="0.45">
      <c r="B10" s="11"/>
      <c r="C10" s="49">
        <v>935</v>
      </c>
      <c r="D10" s="49">
        <v>770</v>
      </c>
      <c r="E10" s="49">
        <v>825</v>
      </c>
      <c r="G10" s="20" t="str">
        <v>Shoyu Ramen</v>
      </c>
      <c r="H10" s="20" t="str">
        <v>Shoyu Ramen</v>
      </c>
      <c r="I10" s="20" t="str">
        <v>Kake Udon</v>
      </c>
      <c r="J10" s="20" t="str">
        <v>Kake Udon</v>
      </c>
      <c r="K10" s="20" t="str">
        <v>Kake Udon</v>
      </c>
      <c r="L10" s="20" t="str">
        <v>Zaru Soba</v>
      </c>
      <c r="P10" s="12"/>
    </row>
    <row r="11" spans="2:16" x14ac:dyDescent="0.45">
      <c r="B11" s="11"/>
      <c r="G11" s="35">
        <v>935</v>
      </c>
      <c r="H11" s="35">
        <v>935</v>
      </c>
      <c r="I11" s="35">
        <v>770</v>
      </c>
      <c r="J11" s="35">
        <v>770</v>
      </c>
      <c r="K11" s="35">
        <v>770</v>
      </c>
      <c r="L11" s="35">
        <v>825</v>
      </c>
      <c r="N11" s="7" t="s">
        <v>145</v>
      </c>
      <c r="P11" s="12"/>
    </row>
    <row r="12" spans="2:16" x14ac:dyDescent="0.45">
      <c r="B12" s="11"/>
      <c r="C12" s="21" t="s">
        <v>116</v>
      </c>
      <c r="N12" s="6" t="s">
        <v>144</v>
      </c>
      <c r="P12" s="12"/>
    </row>
    <row r="13" spans="2:16" x14ac:dyDescent="0.45">
      <c r="B13" s="11"/>
      <c r="C13" s="44">
        <v>2</v>
      </c>
      <c r="D13" s="44">
        <v>3</v>
      </c>
      <c r="E13" s="44">
        <v>1</v>
      </c>
      <c r="N13" s="22" t="str" cm="1">
        <f t="array" ref="N13">RepeatColsλ(Noodle,{2,"1",3})</f>
        <v>#VALUE!</v>
      </c>
      <c r="P13" s="12"/>
    </row>
    <row r="14" spans="2:16" x14ac:dyDescent="0.45"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5"/>
    </row>
    <row r="15" spans="2:16" x14ac:dyDescent="0.45">
      <c r="B15" s="11"/>
      <c r="C15" s="21" t="s">
        <v>102</v>
      </c>
      <c r="G15" s="7" t="s">
        <v>113</v>
      </c>
      <c r="P15" s="12"/>
    </row>
    <row r="16" spans="2:16" x14ac:dyDescent="0.45">
      <c r="B16" s="11"/>
      <c r="C16" s="48" t="s">
        <v>97</v>
      </c>
      <c r="D16" s="48" t="s">
        <v>98</v>
      </c>
      <c r="E16" s="48" t="s">
        <v>96</v>
      </c>
      <c r="G16" s="6" t="s">
        <v>110</v>
      </c>
      <c r="P16" s="12"/>
    </row>
    <row r="17" spans="2:16" x14ac:dyDescent="0.45">
      <c r="B17" s="11"/>
      <c r="C17" s="48" t="s">
        <v>99</v>
      </c>
      <c r="D17" s="48" t="s">
        <v>100</v>
      </c>
      <c r="E17" s="48" t="s">
        <v>101</v>
      </c>
      <c r="G17" s="26" t="str" cm="1">
        <f t="array" ref="G17:M21">RepeatColsλ(Dealer,Available)</f>
        <v>Velocity Drive</v>
      </c>
      <c r="H17" s="26" t="str">
        <v>Velocity Drive</v>
      </c>
      <c r="I17" s="26" t="str">
        <v>Velocity Drive</v>
      </c>
      <c r="J17" s="26" t="str">
        <v>Luxury Rides</v>
      </c>
      <c r="K17" s="26" t="str">
        <v>Luxury Rides</v>
      </c>
      <c r="L17" s="26" t="str">
        <v>Exotic Motors</v>
      </c>
      <c r="M17" s="26" t="str">
        <v>Exotic Motors</v>
      </c>
      <c r="P17" s="12"/>
    </row>
    <row r="18" spans="2:16" x14ac:dyDescent="0.45">
      <c r="B18" s="11"/>
      <c r="C18" s="48" t="s">
        <v>104</v>
      </c>
      <c r="D18" s="48" t="s">
        <v>106</v>
      </c>
      <c r="E18" s="48" t="s">
        <v>108</v>
      </c>
      <c r="G18" s="26" t="str">
        <v>Podunk</v>
      </c>
      <c r="H18" s="26" t="str">
        <v>Podunk</v>
      </c>
      <c r="I18" s="26" t="str">
        <v>Podunk</v>
      </c>
      <c r="J18" s="26" t="str">
        <v>Springfield</v>
      </c>
      <c r="K18" s="26" t="str">
        <v>Springfield</v>
      </c>
      <c r="L18" s="26" t="str">
        <v>Newton Falls</v>
      </c>
      <c r="M18" s="26" t="str">
        <v>Newton Falls</v>
      </c>
      <c r="P18" s="12"/>
    </row>
    <row r="19" spans="2:16" x14ac:dyDescent="0.45">
      <c r="B19" s="11"/>
      <c r="C19" s="50" t="s">
        <v>103</v>
      </c>
      <c r="D19" s="48" t="s">
        <v>105</v>
      </c>
      <c r="E19" s="48" t="s">
        <v>107</v>
      </c>
      <c r="G19" s="26" t="str">
        <v xml:space="preserve">Lamborghini </v>
      </c>
      <c r="H19" s="26" t="str">
        <v xml:space="preserve">Lamborghini </v>
      </c>
      <c r="I19" s="26" t="str">
        <v xml:space="preserve">Lamborghini </v>
      </c>
      <c r="J19" s="26" t="str">
        <v>Ferrari</v>
      </c>
      <c r="K19" s="26" t="str">
        <v>Ferrari</v>
      </c>
      <c r="L19" s="26" t="str">
        <v xml:space="preserve">McLaren </v>
      </c>
      <c r="M19" s="26" t="str">
        <v xml:space="preserve">McLaren </v>
      </c>
      <c r="P19" s="12"/>
    </row>
    <row r="20" spans="2:16" x14ac:dyDescent="0.45">
      <c r="B20" s="11"/>
      <c r="C20" s="46">
        <v>500000</v>
      </c>
      <c r="D20" s="46">
        <v>1500000</v>
      </c>
      <c r="E20" s="46">
        <v>1200000</v>
      </c>
      <c r="G20" s="36" t="str">
        <v>Aventador</v>
      </c>
      <c r="H20" s="36" t="str">
        <v>Aventador</v>
      </c>
      <c r="I20" s="36" t="str">
        <v>Aventador</v>
      </c>
      <c r="J20" s="36" t="str">
        <v>LaFerrari</v>
      </c>
      <c r="K20" s="36" t="str">
        <v>LaFerrari</v>
      </c>
      <c r="L20" s="36" t="str">
        <v>P1</v>
      </c>
      <c r="M20" s="36" t="str">
        <v>P1</v>
      </c>
      <c r="P20" s="12"/>
    </row>
    <row r="21" spans="2:16" x14ac:dyDescent="0.45">
      <c r="B21" s="11"/>
      <c r="G21" s="29">
        <v>500000</v>
      </c>
      <c r="H21" s="29">
        <v>500000</v>
      </c>
      <c r="I21" s="29">
        <v>500000</v>
      </c>
      <c r="J21" s="29">
        <v>1500000</v>
      </c>
      <c r="K21" s="29">
        <v>1500000</v>
      </c>
      <c r="L21" s="29">
        <v>1200000</v>
      </c>
      <c r="M21" s="29">
        <v>1200000</v>
      </c>
      <c r="P21" s="12"/>
    </row>
    <row r="22" spans="2:16" x14ac:dyDescent="0.45">
      <c r="B22" s="11"/>
      <c r="C22" s="21" t="s">
        <v>109</v>
      </c>
      <c r="E22" s="19"/>
      <c r="P22" s="12"/>
    </row>
    <row r="23" spans="2:16" x14ac:dyDescent="0.45">
      <c r="B23" s="11"/>
      <c r="C23" s="44">
        <v>3</v>
      </c>
      <c r="D23" s="44">
        <v>2</v>
      </c>
      <c r="G23" s="7" t="s">
        <v>112</v>
      </c>
      <c r="P23" s="12"/>
    </row>
    <row r="24" spans="2:16" x14ac:dyDescent="0.45">
      <c r="B24" s="11"/>
      <c r="G24" s="6" t="s">
        <v>111</v>
      </c>
      <c r="P24" s="12"/>
    </row>
    <row r="25" spans="2:16" x14ac:dyDescent="0.45">
      <c r="B25" s="11"/>
      <c r="G25" s="20" t="str" cm="1">
        <f t="array" ref="G25:L29">RepeatColsλ(Dealer,2)</f>
        <v>Velocity Drive</v>
      </c>
      <c r="H25" s="20" t="str">
        <v>Velocity Drive</v>
      </c>
      <c r="I25" s="20" t="str">
        <v>Luxury Rides</v>
      </c>
      <c r="J25" s="20" t="str">
        <v>Luxury Rides</v>
      </c>
      <c r="K25" s="20" t="str">
        <v>Exotic Motors</v>
      </c>
      <c r="L25" s="20" t="str">
        <v>Exotic Motors</v>
      </c>
      <c r="P25" s="12"/>
    </row>
    <row r="26" spans="2:16" x14ac:dyDescent="0.45">
      <c r="B26" s="11"/>
      <c r="G26" s="20" t="str">
        <v>Podunk</v>
      </c>
      <c r="H26" s="20" t="str">
        <v>Podunk</v>
      </c>
      <c r="I26" s="20" t="str">
        <v>Springfield</v>
      </c>
      <c r="J26" s="20" t="str">
        <v>Springfield</v>
      </c>
      <c r="K26" s="20" t="str">
        <v>Newton Falls</v>
      </c>
      <c r="L26" s="20" t="str">
        <v>Newton Falls</v>
      </c>
      <c r="P26" s="12"/>
    </row>
    <row r="27" spans="2:16" x14ac:dyDescent="0.45">
      <c r="B27" s="11"/>
      <c r="G27" s="20" t="str">
        <v xml:space="preserve">Lamborghini </v>
      </c>
      <c r="H27" s="20" t="str">
        <v xml:space="preserve">Lamborghini </v>
      </c>
      <c r="I27" s="20" t="str">
        <v>Ferrari</v>
      </c>
      <c r="J27" s="20" t="str">
        <v>Ferrari</v>
      </c>
      <c r="K27" s="20" t="str">
        <v xml:space="preserve">McLaren </v>
      </c>
      <c r="L27" s="20" t="str">
        <v xml:space="preserve">McLaren </v>
      </c>
      <c r="P27" s="12"/>
    </row>
    <row r="28" spans="2:16" x14ac:dyDescent="0.45">
      <c r="B28" s="11"/>
      <c r="G28" s="20" t="str">
        <v>Aventador</v>
      </c>
      <c r="H28" s="20" t="str">
        <v>Aventador</v>
      </c>
      <c r="I28" s="20" t="str">
        <v>LaFerrari</v>
      </c>
      <c r="J28" s="20" t="str">
        <v>LaFerrari</v>
      </c>
      <c r="K28" s="20" t="str">
        <v>P1</v>
      </c>
      <c r="L28" s="20" t="str">
        <v>P1</v>
      </c>
      <c r="P28" s="12"/>
    </row>
    <row r="29" spans="2:16" x14ac:dyDescent="0.45">
      <c r="B29" s="11"/>
      <c r="G29" s="29">
        <v>500000</v>
      </c>
      <c r="H29" s="29">
        <v>500000</v>
      </c>
      <c r="I29" s="29">
        <v>1500000</v>
      </c>
      <c r="J29" s="29">
        <v>1500000</v>
      </c>
      <c r="K29" s="29">
        <v>1200000</v>
      </c>
      <c r="L29" s="29">
        <v>1200000</v>
      </c>
      <c r="P29" s="12"/>
    </row>
    <row r="30" spans="2:16" x14ac:dyDescent="0.45"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5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93966-E0B7-4B59-85CD-DCFFD8A64BC6}">
  <sheetPr>
    <tabColor rgb="FFC9C3DD"/>
  </sheetPr>
  <dimension ref="B2:X39"/>
  <sheetViews>
    <sheetView workbookViewId="0"/>
  </sheetViews>
  <sheetFormatPr defaultRowHeight="16.5" x14ac:dyDescent="0.45"/>
  <cols>
    <col min="1" max="1" width="5" style="1" customWidth="1"/>
    <col min="2" max="2" width="8.6640625" style="1"/>
    <col min="3" max="5" width="3.58203125" style="1" customWidth="1"/>
    <col min="6" max="6" width="6.1640625" style="1" customWidth="1"/>
    <col min="7" max="12" width="3.58203125" style="1" customWidth="1"/>
    <col min="13" max="13" width="4" style="1" customWidth="1"/>
    <col min="14" max="19" width="3.58203125" style="1" customWidth="1"/>
    <col min="20" max="20" width="5.6640625" style="1" customWidth="1"/>
    <col min="21" max="22" width="3.58203125" style="1" customWidth="1"/>
    <col min="23" max="16384" width="8.6640625" style="1"/>
  </cols>
  <sheetData>
    <row r="2" spans="2:24" x14ac:dyDescent="0.45">
      <c r="B2" s="8" t="s">
        <v>123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10"/>
    </row>
    <row r="3" spans="2:24" x14ac:dyDescent="0.45">
      <c r="B3" s="11" t="s">
        <v>124</v>
      </c>
      <c r="X3" s="12"/>
    </row>
    <row r="4" spans="2:24" x14ac:dyDescent="0.45">
      <c r="B4" s="11" t="s">
        <v>126</v>
      </c>
      <c r="X4" s="12"/>
    </row>
    <row r="5" spans="2:24" x14ac:dyDescent="0.45">
      <c r="B5" s="13" t="s">
        <v>125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5"/>
    </row>
    <row r="6" spans="2:24" x14ac:dyDescent="0.45">
      <c r="B6" s="24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10"/>
    </row>
    <row r="7" spans="2:24" x14ac:dyDescent="0.45">
      <c r="B7" s="11"/>
      <c r="C7" s="21" t="s">
        <v>128</v>
      </c>
      <c r="G7" s="7" t="s">
        <v>130</v>
      </c>
      <c r="N7" s="7" t="s">
        <v>133</v>
      </c>
      <c r="U7" s="7" t="s">
        <v>134</v>
      </c>
      <c r="X7" s="12"/>
    </row>
    <row r="8" spans="2:24" x14ac:dyDescent="0.45">
      <c r="B8" s="11"/>
      <c r="C8" s="44" t="s">
        <v>18</v>
      </c>
      <c r="D8" s="44" t="s">
        <v>19</v>
      </c>
      <c r="G8" s="6" t="s">
        <v>129</v>
      </c>
      <c r="N8" s="6" t="s">
        <v>131</v>
      </c>
      <c r="U8" s="6" t="s">
        <v>132</v>
      </c>
      <c r="X8" s="12"/>
    </row>
    <row r="9" spans="2:24" x14ac:dyDescent="0.45">
      <c r="B9" s="11"/>
      <c r="C9" s="44" t="s">
        <v>20</v>
      </c>
      <c r="D9" s="44" t="s">
        <v>127</v>
      </c>
      <c r="G9" s="5" t="str" cm="1">
        <f t="array" ref="G9:L13">Tessellateλ(Alpha,5,6)</f>
        <v>A</v>
      </c>
      <c r="H9" s="5" t="str">
        <v>B</v>
      </c>
      <c r="I9" s="5" t="str">
        <v>A</v>
      </c>
      <c r="J9" s="5" t="str">
        <v>B</v>
      </c>
      <c r="K9" s="5" t="str">
        <v>A</v>
      </c>
      <c r="L9" s="5" t="str">
        <v>B</v>
      </c>
      <c r="N9" s="5" t="str" cm="1">
        <f t="array" ref="N9:S10">Tessellateλ(Alpha,2,6)</f>
        <v>A</v>
      </c>
      <c r="O9" s="5" t="str">
        <v>B</v>
      </c>
      <c r="P9" s="5" t="str">
        <v>A</v>
      </c>
      <c r="Q9" s="5" t="str">
        <v>B</v>
      </c>
      <c r="R9" s="5" t="str">
        <v>A</v>
      </c>
      <c r="S9" s="5" t="str">
        <v>B</v>
      </c>
      <c r="U9" s="5" t="str" cm="1">
        <f t="array" ref="U9:V14">Tessellateλ(Alpha,6,2)</f>
        <v>A</v>
      </c>
      <c r="V9" s="5" t="str">
        <v>B</v>
      </c>
      <c r="X9" s="12"/>
    </row>
    <row r="10" spans="2:24" x14ac:dyDescent="0.45">
      <c r="B10" s="11"/>
      <c r="G10" s="5" t="str">
        <v>C</v>
      </c>
      <c r="H10" s="5" t="str">
        <v>D</v>
      </c>
      <c r="I10" s="5" t="str">
        <v>C</v>
      </c>
      <c r="J10" s="5" t="str">
        <v>D</v>
      </c>
      <c r="K10" s="5" t="str">
        <v>C</v>
      </c>
      <c r="L10" s="5" t="str">
        <v>D</v>
      </c>
      <c r="N10" s="5" t="str">
        <v>C</v>
      </c>
      <c r="O10" s="5" t="str">
        <v>D</v>
      </c>
      <c r="P10" s="5" t="str">
        <v>C</v>
      </c>
      <c r="Q10" s="5" t="str">
        <v>D</v>
      </c>
      <c r="R10" s="5" t="str">
        <v>C</v>
      </c>
      <c r="S10" s="5" t="str">
        <v>D</v>
      </c>
      <c r="U10" s="5" t="str">
        <v>C</v>
      </c>
      <c r="V10" s="5" t="str">
        <v>D</v>
      </c>
      <c r="X10" s="12"/>
    </row>
    <row r="11" spans="2:24" x14ac:dyDescent="0.45">
      <c r="B11" s="11"/>
      <c r="G11" s="5" t="str">
        <v>A</v>
      </c>
      <c r="H11" s="5" t="str">
        <v>B</v>
      </c>
      <c r="I11" s="5" t="str">
        <v>A</v>
      </c>
      <c r="J11" s="5" t="str">
        <v>B</v>
      </c>
      <c r="K11" s="5" t="str">
        <v>A</v>
      </c>
      <c r="L11" s="5" t="str">
        <v>B</v>
      </c>
      <c r="U11" s="5" t="str">
        <v>A</v>
      </c>
      <c r="V11" s="5" t="str">
        <v>B</v>
      </c>
      <c r="X11" s="12"/>
    </row>
    <row r="12" spans="2:24" x14ac:dyDescent="0.45">
      <c r="B12" s="11"/>
      <c r="G12" s="5" t="str">
        <v>C</v>
      </c>
      <c r="H12" s="5" t="str">
        <v>D</v>
      </c>
      <c r="I12" s="5" t="str">
        <v>C</v>
      </c>
      <c r="J12" s="5" t="str">
        <v>D</v>
      </c>
      <c r="K12" s="5" t="str">
        <v>C</v>
      </c>
      <c r="L12" s="5" t="str">
        <v>D</v>
      </c>
      <c r="U12" s="5" t="str">
        <v>C</v>
      </c>
      <c r="V12" s="5" t="str">
        <v>D</v>
      </c>
      <c r="X12" s="12"/>
    </row>
    <row r="13" spans="2:24" x14ac:dyDescent="0.45">
      <c r="B13" s="11"/>
      <c r="G13" s="5" t="str">
        <v>A</v>
      </c>
      <c r="H13" s="5" t="str">
        <v>B</v>
      </c>
      <c r="I13" s="5" t="str">
        <v>A</v>
      </c>
      <c r="J13" s="5" t="str">
        <v>B</v>
      </c>
      <c r="K13" s="5" t="str">
        <v>A</v>
      </c>
      <c r="L13" s="5" t="str">
        <v>B</v>
      </c>
      <c r="U13" s="5" t="str">
        <v>A</v>
      </c>
      <c r="V13" s="5" t="str">
        <v>B</v>
      </c>
      <c r="X13" s="12"/>
    </row>
    <row r="14" spans="2:24" x14ac:dyDescent="0.45">
      <c r="B14" s="11"/>
      <c r="U14" s="5" t="str">
        <v>C</v>
      </c>
      <c r="V14" s="5" t="str">
        <v>D</v>
      </c>
      <c r="X14" s="12"/>
    </row>
    <row r="15" spans="2:24" x14ac:dyDescent="0.45"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38"/>
      <c r="V15" s="38"/>
      <c r="W15" s="14"/>
      <c r="X15" s="15"/>
    </row>
    <row r="16" spans="2:24" x14ac:dyDescent="0.45">
      <c r="B16" s="24"/>
      <c r="C16" s="16" t="s">
        <v>135</v>
      </c>
      <c r="D16" s="9"/>
      <c r="E16" s="9"/>
      <c r="F16" s="9"/>
      <c r="G16" s="17" t="s">
        <v>139</v>
      </c>
      <c r="H16" s="9"/>
      <c r="I16" s="9"/>
      <c r="J16" s="9"/>
      <c r="K16" s="9"/>
      <c r="L16" s="9"/>
      <c r="M16" s="9"/>
      <c r="N16" s="17" t="s">
        <v>140</v>
      </c>
      <c r="O16" s="9"/>
      <c r="P16" s="9"/>
      <c r="Q16" s="9"/>
      <c r="R16" s="9"/>
      <c r="S16" s="9"/>
      <c r="T16" s="9"/>
      <c r="U16" s="9"/>
      <c r="V16" s="9"/>
      <c r="W16" s="9"/>
      <c r="X16" s="10"/>
    </row>
    <row r="17" spans="2:24" x14ac:dyDescent="0.45">
      <c r="B17" s="11"/>
      <c r="C17" s="44">
        <v>7</v>
      </c>
      <c r="D17" s="44">
        <v>7</v>
      </c>
      <c r="E17" s="44">
        <v>7</v>
      </c>
      <c r="G17" s="6" t="s">
        <v>137</v>
      </c>
      <c r="N17" s="6" t="s">
        <v>138</v>
      </c>
      <c r="X17" s="12"/>
    </row>
    <row r="18" spans="2:24" x14ac:dyDescent="0.45">
      <c r="B18" s="11"/>
      <c r="C18" s="44">
        <v>8</v>
      </c>
      <c r="D18" s="44">
        <v>8</v>
      </c>
      <c r="E18" s="44">
        <v>8</v>
      </c>
      <c r="G18" s="5" cm="1">
        <f t="array" ref="G18:J22">Tessellateλ(MeshR,5,4)</f>
        <v>7</v>
      </c>
      <c r="H18" s="5">
        <v>7</v>
      </c>
      <c r="I18" s="5">
        <v>7</v>
      </c>
      <c r="J18" s="5">
        <v>7</v>
      </c>
      <c r="K18" s="18"/>
      <c r="L18" s="19"/>
      <c r="N18" s="5" cm="1">
        <f t="array" ref="N18:Q22">Tessellateλ(MeshC,5,4)</f>
        <v>7</v>
      </c>
      <c r="O18" s="5">
        <v>8</v>
      </c>
      <c r="P18" s="5">
        <v>9</v>
      </c>
      <c r="Q18" s="5">
        <v>7</v>
      </c>
      <c r="X18" s="12"/>
    </row>
    <row r="19" spans="2:24" x14ac:dyDescent="0.45">
      <c r="B19" s="11"/>
      <c r="C19" s="44">
        <v>9</v>
      </c>
      <c r="D19" s="44">
        <v>9</v>
      </c>
      <c r="E19" s="44">
        <v>9</v>
      </c>
      <c r="G19" s="5">
        <v>8</v>
      </c>
      <c r="H19" s="5">
        <v>8</v>
      </c>
      <c r="I19" s="5">
        <v>8</v>
      </c>
      <c r="J19" s="5">
        <v>8</v>
      </c>
      <c r="K19" s="18"/>
      <c r="L19" s="19"/>
      <c r="N19" s="5">
        <v>7</v>
      </c>
      <c r="O19" s="5">
        <v>8</v>
      </c>
      <c r="P19" s="5">
        <v>9</v>
      </c>
      <c r="Q19" s="5">
        <v>7</v>
      </c>
      <c r="X19" s="12"/>
    </row>
    <row r="20" spans="2:24" x14ac:dyDescent="0.45">
      <c r="B20" s="11"/>
      <c r="G20" s="5">
        <v>9</v>
      </c>
      <c r="H20" s="5">
        <v>9</v>
      </c>
      <c r="I20" s="5">
        <v>9</v>
      </c>
      <c r="J20" s="5">
        <v>9</v>
      </c>
      <c r="K20" s="18"/>
      <c r="L20" s="19"/>
      <c r="N20" s="5">
        <v>7</v>
      </c>
      <c r="O20" s="5">
        <v>8</v>
      </c>
      <c r="P20" s="5">
        <v>9</v>
      </c>
      <c r="Q20" s="5">
        <v>7</v>
      </c>
      <c r="X20" s="12"/>
    </row>
    <row r="21" spans="2:24" x14ac:dyDescent="0.45">
      <c r="B21" s="11"/>
      <c r="C21" s="21" t="s">
        <v>136</v>
      </c>
      <c r="G21" s="5">
        <v>7</v>
      </c>
      <c r="H21" s="5">
        <v>7</v>
      </c>
      <c r="I21" s="5">
        <v>7</v>
      </c>
      <c r="J21" s="5">
        <v>7</v>
      </c>
      <c r="K21" s="18"/>
      <c r="L21" s="19"/>
      <c r="N21" s="5">
        <v>7</v>
      </c>
      <c r="O21" s="5">
        <v>8</v>
      </c>
      <c r="P21" s="5">
        <v>9</v>
      </c>
      <c r="Q21" s="5">
        <v>7</v>
      </c>
      <c r="X21" s="12"/>
    </row>
    <row r="22" spans="2:24" x14ac:dyDescent="0.45">
      <c r="B22" s="11"/>
      <c r="C22" s="44">
        <v>7</v>
      </c>
      <c r="D22" s="44">
        <v>8</v>
      </c>
      <c r="E22" s="44">
        <v>9</v>
      </c>
      <c r="G22" s="5">
        <v>8</v>
      </c>
      <c r="H22" s="5">
        <v>8</v>
      </c>
      <c r="I22" s="5">
        <v>8</v>
      </c>
      <c r="J22" s="5">
        <v>8</v>
      </c>
      <c r="K22" s="18"/>
      <c r="L22" s="19"/>
      <c r="N22" s="5">
        <v>7</v>
      </c>
      <c r="O22" s="5">
        <v>8</v>
      </c>
      <c r="P22" s="5">
        <v>9</v>
      </c>
      <c r="Q22" s="5">
        <v>7</v>
      </c>
      <c r="X22" s="12"/>
    </row>
    <row r="23" spans="2:24" x14ac:dyDescent="0.45">
      <c r="B23" s="11"/>
      <c r="C23" s="44">
        <v>7</v>
      </c>
      <c r="D23" s="44">
        <v>8</v>
      </c>
      <c r="E23" s="44">
        <v>9</v>
      </c>
      <c r="X23" s="12"/>
    </row>
    <row r="24" spans="2:24" x14ac:dyDescent="0.45">
      <c r="B24" s="11"/>
      <c r="C24" s="44">
        <v>7</v>
      </c>
      <c r="D24" s="44">
        <v>8</v>
      </c>
      <c r="E24" s="44">
        <v>9</v>
      </c>
      <c r="X24" s="12"/>
    </row>
    <row r="25" spans="2:24" ht="11" customHeight="1" x14ac:dyDescent="0.45">
      <c r="B25" s="13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5"/>
    </row>
    <row r="26" spans="2:24" ht="6.5" customHeight="1" x14ac:dyDescent="0.45">
      <c r="B26" s="24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10"/>
    </row>
    <row r="27" spans="2:24" x14ac:dyDescent="0.45">
      <c r="B27" s="11"/>
      <c r="C27" s="21" t="s">
        <v>142</v>
      </c>
      <c r="G27" s="7" t="s">
        <v>143</v>
      </c>
      <c r="X27" s="12"/>
    </row>
    <row r="28" spans="2:24" x14ac:dyDescent="0.45">
      <c r="B28" s="11"/>
      <c r="C28" s="39">
        <v>0</v>
      </c>
      <c r="D28" s="39">
        <v>1</v>
      </c>
      <c r="G28" s="6" t="s">
        <v>141</v>
      </c>
      <c r="X28" s="12"/>
    </row>
    <row r="29" spans="2:24" x14ac:dyDescent="0.45">
      <c r="B29" s="11"/>
      <c r="C29" s="39">
        <v>1</v>
      </c>
      <c r="D29" s="39">
        <v>0</v>
      </c>
      <c r="G29" s="39" cm="1">
        <f t="array" ref="G29:R38">Tessellateλ(Checker,10,12)</f>
        <v>0</v>
      </c>
      <c r="H29" s="39">
        <v>1</v>
      </c>
      <c r="I29" s="39">
        <v>0</v>
      </c>
      <c r="J29" s="39">
        <v>1</v>
      </c>
      <c r="K29" s="39">
        <v>0</v>
      </c>
      <c r="L29" s="39">
        <v>1</v>
      </c>
      <c r="M29" s="39">
        <v>0</v>
      </c>
      <c r="N29" s="39">
        <v>1</v>
      </c>
      <c r="O29" s="39">
        <v>0</v>
      </c>
      <c r="P29" s="39">
        <v>1</v>
      </c>
      <c r="Q29" s="39">
        <v>0</v>
      </c>
      <c r="R29" s="39">
        <v>1</v>
      </c>
      <c r="T29" s="21" t="s">
        <v>146</v>
      </c>
      <c r="X29" s="12"/>
    </row>
    <row r="30" spans="2:24" x14ac:dyDescent="0.45">
      <c r="B30" s="11"/>
      <c r="G30" s="39">
        <v>1</v>
      </c>
      <c r="H30" s="39">
        <v>0</v>
      </c>
      <c r="I30" s="39">
        <v>1</v>
      </c>
      <c r="J30" s="39">
        <v>0</v>
      </c>
      <c r="K30" s="39">
        <v>1</v>
      </c>
      <c r="L30" s="39">
        <v>0</v>
      </c>
      <c r="M30" s="39">
        <v>1</v>
      </c>
      <c r="N30" s="39">
        <v>0</v>
      </c>
      <c r="O30" s="39">
        <v>1</v>
      </c>
      <c r="P30" s="39">
        <v>0</v>
      </c>
      <c r="Q30" s="39">
        <v>1</v>
      </c>
      <c r="R30" s="39">
        <v>0</v>
      </c>
      <c r="T30" s="21" t="s">
        <v>147</v>
      </c>
      <c r="X30" s="12"/>
    </row>
    <row r="31" spans="2:24" x14ac:dyDescent="0.45">
      <c r="B31" s="11"/>
      <c r="G31" s="39">
        <v>0</v>
      </c>
      <c r="H31" s="39">
        <v>1</v>
      </c>
      <c r="I31" s="39">
        <v>0</v>
      </c>
      <c r="J31" s="39">
        <v>1</v>
      </c>
      <c r="K31" s="39">
        <v>0</v>
      </c>
      <c r="L31" s="39">
        <v>1</v>
      </c>
      <c r="M31" s="39">
        <v>0</v>
      </c>
      <c r="N31" s="39">
        <v>1</v>
      </c>
      <c r="O31" s="39">
        <v>0</v>
      </c>
      <c r="P31" s="39">
        <v>1</v>
      </c>
      <c r="Q31" s="39">
        <v>0</v>
      </c>
      <c r="R31" s="39">
        <v>1</v>
      </c>
      <c r="X31" s="12"/>
    </row>
    <row r="32" spans="2:24" x14ac:dyDescent="0.45">
      <c r="B32" s="11"/>
      <c r="G32" s="39">
        <v>1</v>
      </c>
      <c r="H32" s="39">
        <v>0</v>
      </c>
      <c r="I32" s="39">
        <v>1</v>
      </c>
      <c r="J32" s="39">
        <v>0</v>
      </c>
      <c r="K32" s="39">
        <v>1</v>
      </c>
      <c r="L32" s="39">
        <v>0</v>
      </c>
      <c r="M32" s="39">
        <v>1</v>
      </c>
      <c r="N32" s="39">
        <v>0</v>
      </c>
      <c r="O32" s="39">
        <v>1</v>
      </c>
      <c r="P32" s="39">
        <v>0</v>
      </c>
      <c r="Q32" s="39">
        <v>1</v>
      </c>
      <c r="R32" s="39">
        <v>0</v>
      </c>
      <c r="X32" s="12"/>
    </row>
    <row r="33" spans="2:24" x14ac:dyDescent="0.45">
      <c r="B33" s="11"/>
      <c r="G33" s="39">
        <v>0</v>
      </c>
      <c r="H33" s="39">
        <v>1</v>
      </c>
      <c r="I33" s="39">
        <v>0</v>
      </c>
      <c r="J33" s="39">
        <v>1</v>
      </c>
      <c r="K33" s="39">
        <v>0</v>
      </c>
      <c r="L33" s="39">
        <v>1</v>
      </c>
      <c r="M33" s="39">
        <v>0</v>
      </c>
      <c r="N33" s="39">
        <v>1</v>
      </c>
      <c r="O33" s="39">
        <v>0</v>
      </c>
      <c r="P33" s="39">
        <v>1</v>
      </c>
      <c r="Q33" s="39">
        <v>0</v>
      </c>
      <c r="R33" s="39">
        <v>1</v>
      </c>
      <c r="X33" s="12"/>
    </row>
    <row r="34" spans="2:24" x14ac:dyDescent="0.45">
      <c r="B34" s="11"/>
      <c r="G34" s="39">
        <v>1</v>
      </c>
      <c r="H34" s="39">
        <v>0</v>
      </c>
      <c r="I34" s="39">
        <v>1</v>
      </c>
      <c r="J34" s="39">
        <v>0</v>
      </c>
      <c r="K34" s="39">
        <v>1</v>
      </c>
      <c r="L34" s="39">
        <v>0</v>
      </c>
      <c r="M34" s="39">
        <v>1</v>
      </c>
      <c r="N34" s="39">
        <v>0</v>
      </c>
      <c r="O34" s="39">
        <v>1</v>
      </c>
      <c r="P34" s="39">
        <v>0</v>
      </c>
      <c r="Q34" s="39">
        <v>1</v>
      </c>
      <c r="R34" s="39">
        <v>0</v>
      </c>
      <c r="X34" s="12"/>
    </row>
    <row r="35" spans="2:24" x14ac:dyDescent="0.45">
      <c r="B35" s="11"/>
      <c r="G35" s="39">
        <v>0</v>
      </c>
      <c r="H35" s="39">
        <v>1</v>
      </c>
      <c r="I35" s="39">
        <v>0</v>
      </c>
      <c r="J35" s="39">
        <v>1</v>
      </c>
      <c r="K35" s="39">
        <v>0</v>
      </c>
      <c r="L35" s="39">
        <v>1</v>
      </c>
      <c r="M35" s="39">
        <v>0</v>
      </c>
      <c r="N35" s="39">
        <v>1</v>
      </c>
      <c r="O35" s="39">
        <v>0</v>
      </c>
      <c r="P35" s="39">
        <v>1</v>
      </c>
      <c r="Q35" s="39">
        <v>0</v>
      </c>
      <c r="R35" s="39">
        <v>1</v>
      </c>
      <c r="X35" s="12"/>
    </row>
    <row r="36" spans="2:24" x14ac:dyDescent="0.45">
      <c r="B36" s="11"/>
      <c r="G36" s="39">
        <v>1</v>
      </c>
      <c r="H36" s="39">
        <v>0</v>
      </c>
      <c r="I36" s="39">
        <v>1</v>
      </c>
      <c r="J36" s="39">
        <v>0</v>
      </c>
      <c r="K36" s="39">
        <v>1</v>
      </c>
      <c r="L36" s="39">
        <v>0</v>
      </c>
      <c r="M36" s="39">
        <v>1</v>
      </c>
      <c r="N36" s="39">
        <v>0</v>
      </c>
      <c r="O36" s="39">
        <v>1</v>
      </c>
      <c r="P36" s="39">
        <v>0</v>
      </c>
      <c r="Q36" s="39">
        <v>1</v>
      </c>
      <c r="R36" s="39">
        <v>0</v>
      </c>
      <c r="X36" s="12"/>
    </row>
    <row r="37" spans="2:24" x14ac:dyDescent="0.45">
      <c r="B37" s="11"/>
      <c r="G37" s="39">
        <v>0</v>
      </c>
      <c r="H37" s="39">
        <v>1</v>
      </c>
      <c r="I37" s="39">
        <v>0</v>
      </c>
      <c r="J37" s="39">
        <v>1</v>
      </c>
      <c r="K37" s="39">
        <v>0</v>
      </c>
      <c r="L37" s="39">
        <v>1</v>
      </c>
      <c r="M37" s="39">
        <v>0</v>
      </c>
      <c r="N37" s="39">
        <v>1</v>
      </c>
      <c r="O37" s="39">
        <v>0</v>
      </c>
      <c r="P37" s="39">
        <v>1</v>
      </c>
      <c r="Q37" s="39">
        <v>0</v>
      </c>
      <c r="R37" s="39">
        <v>1</v>
      </c>
      <c r="X37" s="12"/>
    </row>
    <row r="38" spans="2:24" x14ac:dyDescent="0.45">
      <c r="B38" s="11"/>
      <c r="G38" s="39">
        <v>1</v>
      </c>
      <c r="H38" s="39">
        <v>0</v>
      </c>
      <c r="I38" s="39">
        <v>1</v>
      </c>
      <c r="J38" s="39">
        <v>0</v>
      </c>
      <c r="K38" s="39">
        <v>1</v>
      </c>
      <c r="L38" s="39">
        <v>0</v>
      </c>
      <c r="M38" s="39">
        <v>1</v>
      </c>
      <c r="N38" s="39">
        <v>0</v>
      </c>
      <c r="O38" s="39">
        <v>1</v>
      </c>
      <c r="P38" s="39">
        <v>0</v>
      </c>
      <c r="Q38" s="39">
        <v>1</v>
      </c>
      <c r="R38" s="39">
        <v>0</v>
      </c>
      <c r="X38" s="12"/>
    </row>
    <row r="39" spans="2:24" x14ac:dyDescent="0.45">
      <c r="B39" s="13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5"/>
    </row>
  </sheetData>
  <conditionalFormatting sqref="C28:D29">
    <cfRule type="cellIs" dxfId="1" priority="2" operator="equal">
      <formula>1</formula>
    </cfRule>
  </conditionalFormatting>
  <conditionalFormatting sqref="G29:R38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FEJSONBlob xmlns="http://schemas.advancedformulaenvironment.officeapps.live.com/afejsonblob/1.0">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oAIAAgACAAIAAgACAAIAAgACAAIABcAG4ATQBvAGQAdQBsAGUAOgAgACAAQgBpAGcAUwBwAGkAbABsAFwAbgBMAGkAYwBlAG4AcwBlADoAIABNAEkAVAAgACgAcwBlAGUAIABMAEkAQwBFAE4AUwBFACAAZgBpAGwAZQApAFwAbgBBAHUAdABoAG8AcgA6ACAAIABQAGEAdAByAGkAYwBrACAASAAuAFwAbgBEAGEAdABlADoAIAAgACAAIAA3AC8ANgAvADIAMAAyADYAXABuAFwAbgBEAGUAcwBjAHIAaQBwAHQAaQBvAG4AOgBcAG4AQwBvAHIAZQAgAG0AbwBkAHUAbABlACAAYQBnAGcAcgBlAGcAYQB0AG8AcgAgAGYAbwByACAAYQBsAGwAIABCAGkAZwBTAHAAaQBsAGwAIABmAHUAbgBjAHQAaQBvAG4AcwAuAFwAbgBcAG4AXABuAFwAbgAtAC0ALQBUAGEAYgBsAGUAIABvAGYAIABDAG8AbgB0AGUAbgB0AHMALQAtAC0AXABuAFwAbgAjACMAIAAwADEAIAAtACAAWwBHAFcAXQAgAEcAcgBpAGQAdwBvAHIAawBcAG4AXABuACAAIAAgACAAIAAgACAAIAAgACAAIAAgAFsARwBXADAAMQBdACAAIABEAEcAcgBpAGQAuwNcAG4AIAAgACAAIAAgACAAIAAgACAAIAAgACAAWwBHAFcAMAAyAF0AIAAgAEMARwByAGkAZAC7A1wAbgAgACAAIAAgACAAIAAgACAAIAAgACAAIABbAEcAVwAwADMAXQAgACAATQBHAHIAaQBkALsDXABuACAAIAAgACAAIAAgACAAIAAgACAAIAAgAFsARwBXADAANABdACAAIABUAEcAcgBpAGQAuwNcAG4AIAAgACAAIAAgACAAIAAgACAAIAAgACAAWwBHAFcAMAA1AF0AIAAgAFAAbwBsAGEAcgBHAHIAaQBkALsDXABuAFwAbgAjACMAIAAwADIAIAAtACAAWwBHAEcAXQAgACAARwByAGkAZAAgAEcAZQBvAG0AZQB0AHIAeQBcAG4AXABuACAAIAAgACAAIAAgACAAIAAgACAAIAAgAFsARwBHADAAMQBdACAAIABDAGkAcgBjAGwAZQC7A1wAbgAgACAAIAAgACAAIAAgACAAIAAgACAAIABbAEcARwAwADIAXQAgACAARABpAGEAbQBvAG4AZAC7A1wAbgAgACAAIAAgACAAIAAgACAAIAAgACAAIABbAEcARwAwADMAXQAgACAAUABsAHUAcwC7A1wAbgAgACAAIAAgACAAIAAgACAAIAAgACAAIABbAEcARwAwADQAXQAgACAAUAB5AHIAYQBtAGkAZAC7A1wAbgAgACAAIAAgACAAIAAgACAAIAAgACAAIABbAEcARwAwADUAXQAgACAAUgBpAG4AZwC7A1wAbgAgACAAIAAgACAAIAAgACAAIAAgACAAIABbAEcARwAwADYAXQAgACAAUwBxAHUAYQByAGUAuwNcAG4AIAAgACAAIAAgACAAIAAgACAAIAAgACAAWwBHAEcAMAA3AF0AIAAgAFQAcgBpAGEAbgBnAGwAZQC7A1wAbgBcAG4AIwAjACAAMAAzACAALQAgAFsAUwBBAF0AIAAgADIARAAgAEEAcgByAGEAeQAgAFMAaABhAHAAaQBuAGcAXABuAFwAbgAgACAAIAAgACAAIAAgACAAIAAgACAAIABDAG8AcgBlACAAUwBoAGEAcABpAG4AZwAgAFAAcgBpAG0AaQB0AGkAdgBlAHMAXABuACAAIAAgACAAIAAgACAAIAAgACAAIAAgAFsAUwBBADAAMQBdAFwAdABSAGUAUwBoAGEAcABlADIARAC7A1wAbgAgACAAIAAgACAAIAAgACAAIAAgACAAIABbAFMAQQAwADIAXQBcAHQAUgBlAFMAaQB6AGUAuwNcAG4AIAAgACAAIAAgACAAIAAgACAAIAAgACAAWwBTAEEAMAAzAF0AXAB0AFMAYwBhAG4AMgBEALsDXABuACAAIAAgACAAIAAgACAAIAAgACAAIAAgAFsAUwBBADAANABdAFwAdABUAHIAYQB2AGUAcgBzAGUAuwNcAG4AIAAgACAAIAAgACAAIAAgACAAIAAgACAAWwBTAEEAMAA1AF0AXAB0AFQAYQBrAGUAQgBsAG8AYwBrALsDXABuACAAIAAgACAAIAAgACAAIAAgACAAIAAgAFsAUwBBADAANgBdAFwAdABEAFMAdABhAGMAawC7A1wAbgBcAG4AIAAgACAAIAAgACAAIAAgACAAIAAgACAAUgBlAGYAbABvAHcAXABuACAAIAAgACAAIAAgACAAIAAgACAAIAAgAFsAUwBBADAANwBdAFwAdABXAHIAYQBwAFIAbwB3AHMAMgBEALsDXABuACAAIAAgACAAIAAgACAAIAAgACAAIAAgAFsAUwBBADAAOABdAFwAdABXAHIAYQBwAEMAbwBsAHMAMgBEALsDXABuACAAIAAgACAAIAAgACAAIAAgACAAIAAgAFsAUwBBADAAOQBdAFwAdABTAHQAYQBpAHIAYwBhAHMAZQC7A1wAbgAgACAAIAAgACAAIAAgACAAIAAgACAAIABbAFMAQQAxADAAXQBcAHQAVQBuAFAAaQB2AG8AdAC7A1wAbgAgACAAIAAgACAAIAAgACAAIAAgACAAIABbAFMAQQAxADEAXQBcAHQAWgBpAHAAuwNcAG4AIAAgACAAIAAgACAAIAAgACAAIAAgACAAWwBTAEEAMQAzAF0AXAB0AFMAbABpAGMAZQBCAHkARABlAGcAuwNcAG4AXABuACAAIAAgACAAIAAgACAAIAAgACAAIAAgAFAAYQBkAGQAaQBuAGcAXABuACAAIAAgACAAIAAgACAAIAAgACAAIAAgAFsAUwBBADEANABdAFwAdABQAGEAZAC7A1wAbgAgACAAIAAgACAAIAAgACAAIAAgACAAIABbAFMAQQAxADUAXQBcAHQASQBuAHMAdQBsAGEAdABlAFIAbwB3AHMAuwNcAG4AIAAgACAAIAAgACAAIAAgACAAIAAgACAAWwBTAEEAMQA2AF0AXAB0AEkAbgBzAHUAbABhAHQAZQBDAG8AbABzALsDXABuAFwAbgAgACAAIAAgACAAIAAgACAAIAAgACAAIABJAG4AdABlAHIAcABvAGwAYQB0AGkAbwBuAFwAbgAgACAAIAAgACAAIAAgACAAIAAgACAAIABbAFMAQQAxADcAXQBcAHQATQBhAGcAbgBpAGYAeQC7A1wAbgAgACAAIAAgACAAIAAgACAAIAAgACAAIABbAFMAQQAxADgAXQBcAHQAWgBvAG8AbQC7A1wAbgBcAG4AIwAjACAAMAA0ACAALQAgAFsARwBBAF0AIAAgAEcAcgBpAGQAIABBAGwAZwBlAGIAcgBhAFwAbgAgACAAIAAgACAAIAAgACAAIAAgACAAIABEAGUAbABlAHQAaQBvAG4AXABuACAAIAAgACAAIAAgACAAIAAgACAAIAAgAFsARwBBADAAMQBdAFwAdABEAGUAbABlAHQAZQBSAG8AdwBzALsDXABuACAAIAAgACAAIAAgACAAIAAgACAAIAAgAFsARwBBADAAMgBdAFwAdABEAGUAbABlAHQAZQBDAG8AbABzALsDXABuACAAIAAgACAAIAAgACAAIAAgACAAIAAgAFsARwBBADAAMwBdAFwAdABEAGUAbABlAHQAZQBXAGgAZQByAGUAuwNcAG4AIAAgACAAIAAgACAAIAAgACAAIAAgACAAWwBHAEEAMAA0AF0AXAB0AFAAaQBuAGMAaAC7A1wAbgAgACAAIAAgACAAIAAgACAAIAAgACAAIABbAEcAQQAwADUAXQBcAHQAUgBlAG0AbwB2AGUAuwNcAG4AIAAgACAAIAAgACAAIAAgACAAIAAgACAAWwBHAEEAMAA2AF0AXAB0AFMAcQB1AGUAZQB6AGUAuwNcAG4AXABuACAAIAAgACAAIAAgACAAIAAgACAAIAAgAEUAeABwAGEAbgBzAGkAbwBuAFwAbgAgACAAIAAgACAAIAAgACAAIAAgACAAIABbAEcAQQAwADcAXQBcAHQASwByAG8AbgBlAGMAawBlAHIAUAByAG8AZAC7A1wAbgBcAG4AIAAgACAAIAAgACAAIAAgACAAIAAgACAARgBpAGwAdABlAHIAaQBuAGcAXABuACAAIAAgACAAIAAgACAAIAAgACAAIAAgAFsARwBBADAAOABdAFwAdABFAHgAYwBsAHUAZABlALsDXABuACAAIAAgACAAIAAgACAAIAAgACAAIAAgAFsARwBBADAAOQBdAFwAdABTAG4AYQBwALsDXABuAFwAbgAgACAAIAAgACAAIAAgACAAIAAgACAAIABSAG8AbABsAGkAbgBnAFwAbgAgACAAIAAgACAAIAAgACAAIAAgACAAIABbAEcAQQAxADAAXQBcAHQAUwBoAGkAZgB0ALsDXABuACAAIAAgACAAIAAgACAAIAAgACAAIAAgAFsARwBBADEAMQBdAFwAdABTAGgAaQBmAHQAUgBvAHcAcwC7A1wAbgAgACAAIAAgACAAIAAgACAAIAAgACAAIABbAEcAQQAxADIAXQBcAHQAUwBoAGkAZgB0AEMAbwBsAHMAuwNcAG4AXABuACAAIAAgACAAIAAgACAAIAAgACAAIAAgAFMAZQBsAGUAYwB0AGkAbwBuAFwAbgAgACAAIAAgACAAIAAgACAAIAAgACAAIABbAEcAQQAxADMAXQBcAHQARQBtAGIAZQBkALsDXABuACAAIAAgACAAIAAgACAAIAAgACAAIAAgAFsARwBBADEANABdAFwAdABLAGUAZQBwAFIAbwB3AHMAuwNcAG4AIAAgACAAIAAgACAAIAAgACAAIAAgACAAWwBHAEEAMQA1AF0AXAB0AEsAZQBlAHAAQwBvAGwAcwC7A1wAbgBcAG4AIAAgACAAIAAgACAAIAAgACAAIAAgACAAUwB0AHIAdQBjAHQAdQByAGEAbAAgAE0AYQBwAHAAaQBuAGcAXABuACAAIAAgACAAIAAgACAAIAAgACAAIAAgAFsARwBBADEANgBdAFwAdABCAGwAbwBjAGsATQBhAHAAuwNcAG4AIAAgACAAIAAgACAAIAAgACAAIAAgACAAWwBHAEEAMQA3AF0AXAB0AEMAbwBuAHYAbwBsAHYAZQC7A1wAbgAgACAAIAAgACAAIAAgACAAIAAgACAAIABbAEcAQQAxADgAXQBcAHQARgBvAGwAZAC7A1wAbgAgACAAIAAgACAAIAAgACAAIAAgACAAIABbAEcAQQAxADkAXQBcAHQASgBvAGkAbgAyAEQAuwNcAG4AXABuACMAIwAgADAANQAgAC0AIABbAFIAUABdACAAIABSAGUAcABlAHQAaQB0AGkAbwBuAFwAbgAgACAAIAAgACAAIAAgACAAIAAgACAAIABbAFIAUAAwADEAXQBcAHQARQBjAGgAbwC7A1wAbgAgACAAIAAgACAAIAAgACAAIAAgACAAIABbAFIAUAAwADIAXQBcAHQAUgBlAHAAZQBhAHQAUgBvAHcAcwC7A1wAbgAgACAAIAAgACAAIAAgACAAIAAgACAAIABbAFIAUAAwADMAXQBcAHQAUgBlAHAAZQBhAHQAQwBvAGwAcwC7A1wAbgAgACAAIAAgACAAIAAgACAAIAAgACAAIABbAFIAUAAwADQAXQBcAHQAVABlAHMAcwBlAGwAbABhAHQAZQC7A1wAbgBcAG4AIwAjACAAMAA2ACAALQAgAFsARwBSAF0AIAAgAEcAcgBpAGQAIABBAG4AYQBsAHkAdABpAGMAcwBcAG4AIAAgACAAIAAgACAAIAAgACAAIAAgACAAUwBlAHEAdQBlAG4AYwBpAG4AZwBcAG4AIAAgACAAIAAgACAAIAAgACAAIAAgACAAWwBHAFIAMAAxAF0AXAB0AFMAdAByAGUAYQBrALsDXABuACAAIAAgACAAIAAgACAAIAAgACAAIAAgAFsARwBSADAAMgBdAFwAdABDAG8AdQBuAHQAZABvAHcAbgC7A1wAbgBcAG4AIAAgACAAIAAgACAAIAAgACAAIAAgACAAQwBhAHQAZQBnAG8AcgBpAGMAYQBsACAAQQBuAGEAbAB5AHMAaQBzAFwAbgAgACAAIAAgACAAIAAgACAAIAAgACAAIABbAEcAUgAwADMAXQBcAHQAQgB5AEQAaQBhAGcAuwNcAG4AIAAgACAAIAAgACAAIAAgACAAIAAgACAAWwBHAFIAMAA0AF0AXAB0AEQAaQBhAGcATQBhAHAAuwNcAG4AIAAgACAAIAAgACAAIAAgACAAIAAgACAAWwBHAFIAMAA1AF0AXAB0AEQAaQBhAGcASQBuAGQAZQB4ALsDXABuACAAIAAgACAAIAAgACAAIAAgACAAIAAgAFsARwBSADAANgBdAFwAdABQAGEAaQByAHcAaQBzAGUAuwNcAG4AIAAgACAAIAAgACAAIAAgACAAIAAgACAAWwBHAFIAMAA3AF0AXAB0AEcAcgBvAHUAcABiAHkAQgBpAG4AuwNcAG4AIAAgACAAIAAgACAAIAAgACAAIAAgACAAWwBHAFIAMAA4AF0AXAB0AEcAcgBvAHUAcABiAHkARABhAHQAZQC7A1wAbgAgACAAIAAgACAAIAAgACAAIAAgACAAIABbAEcAUgAwADkAXQBcAHQAUABpAHYAbwB0AGIAeQBDAGEAdAC7A1wAbgBcAG4AIAAgACAAIAAgACAAIAAgACAAIAAgACAATgBlAGkAZwBoAGIAbwByAGgAbwBvAGQAcwBcAG4AIAAgACAAIAAgACAAIAAgACAAIAAgACAAWwBHAFIAMQAwAF0AXAB0AEcAcgBhAGkAbgC7A1wAbgAgACAAIAAgACAAIAAgACAAIAAgACAAIABbAEcAUgAxADEAXQBcAHQATQBvAG8AcgBlAEEAZwBnALsDXABuACAAIAAgACAAIAAgACAAIAAgACAAIAAgAFsARwBSADEAMgBdAFwAdABNAG8AbwByAGUAUwBlAGwAZQBjAHQAuwNcAG4AXABuACAAIAAgACAAIAAgACAAIAAgACAAIAAgAFMAdABhAHQAaQBzAHQAaQBjAHMAXABuACAAIAAgACAAIAAgACAAIAAgACAAIAAgAFsARwBSADEAMwBdAFwAdABIAGkAcwB0AG8AZwByAGEAbQC7A1wAbgAgACAAIAAgACAAIAAgACAAIAAgACAAIABbAEcAUgAxADQAXQBcAHQATQBvAGQAZQC7A1wAbgAgACAAIAAgACAAIAAgACAAIAAgACAAIABbAEcAUgAxADUAXQBcAHQAWgBvAG4AZQBTAHQAYQB0ALsDXABuAFwAbgAjACMAIAAwADcAIAAtACAAWwBUAFgAXQAgACAAVABlAHgAdABcAG4AIAAgACAAIAAgACAAIAAgACAAIAAgACAAWwBUAFgAMAAxAF0AXAB0AEEAbABpAGcAbgC7A1wAbgAgACAAIAAgACAAIAAgACAAIAAgACAAIABbAFQAWAAwADIAXQBcAHQAQQBsAGkAZwBuAEQAaQBzAHQAaQBuAGMAdAC7A1wAbgAgACAAIAAgACAAIAAgACAAIAAgACAAIABbAFQAWAAwADMAXQBcAHQAQQBsAGkAZwBuAFUAbgBpAHEAdQBlALsDXABuACAAIAAgACAAIAAgACAAIAAgACAAIAAgAFsAVABYADAANABdAFwAdABDAG8AYQBsAGUAcwBjAGUAuwNcAG4AIAAgACAAIAAgACAAIAAgACAAIAAgACAAWwBUAFgAMAA1AF0AXAB0AEUAeABwAGwAbwBkAGUAuwNcAG4AIAAgACAAIAAgACAAIAAgACAAIAAgACAAWwBUAFgAMAA2AF0AXAB0AE4AdQBtAGIAZQByAHMATwBuAGwAeQC7A1wAbgAgACAAIAAgACAAIAAgACAAIAAgACAAIABbAFQAWAAwADcAXQBcAHQAVABlAHgAdABPAG4AbAB5ALsDXABuACAAIAAgACAAIAAgACAAIAAgACAAIAAgAFsAVABYADAAOABdAFwAdABTAHAAbABpAHQAuwNcAG4AXABuACMAIwAgADAAOAAgAC0AIABbAEUATgBdACAAIABFAG4AZwBpAG4AZQBlAHIAaQBuAGcAXABuACAAIAAgACAAIAAgACAAIAAgACAAIAAgAFsARQBOADAAMQBdAFwAdABCAGkAbgAyAEQAZQBjALsDXABuACAAIAAgACAAIAAgACAAIAAgACAAIAAgAFsARQBOADAAMgBdAFwAdABCAGkAbgAyAEcAcgBhAHkAuwNcAG4AIAAgACAAIAAgACAAIAAgACAAIAAgACAAWwBFAE4AMAAzAF0AXAB0AEIAaQB0AEMAbwB1AG4AdAC7A1wAbgAgACAAIAAgACAAIAAgACAAIAAgACAAIABbAEUATgAwADQAXQBcAHQARABlAGMAMgBCAGkAbgC7A1wAbgAgACAAIAAgACAAIAAgACAAIAAgACAAIABbAEUATgAwADUAXQBcAHQARABlAGMAMgBHAHIAYQB5ALsDXABuAFwAbgAjACMAIAAwADkAIAAtACAAWwBDAEIAXQAgACAAQwBvAG0AYgBpAG4AYQB0AG8AcgBpAGMAcwBcAG4AIAAgACAAIAAgACAAIAAgACAAIAAgACAAWwBDAEIAMAAxAF0AXAB0AFAAZQByAG0AUgC7A1wAbgAgACAAIAAgACAAIAAgACAAIAAgACAAIABbAEMAQgAwADIAXQBcAHQAUABlAHIAbQC7A1wAbgAgACAAIAAgACAAIAAgACAAIAAgACAAIABbAEMAQgAwADMAXQBcAHQAQwBvAG0AYgBpAG4AYQB0AGkAbwBuAHMAUgC7A1wAbgAgACAAIAAgACAAIAAgACAAIAAgACAAIABbAEMAQgAwADQAXQBcAHQAQwBvAG0AYgBpAG4AYQB0AGkAbwBuAHMAuwNcAG4AIAAgACAAIAAgACAAIAAgACAAIAAgACAAWwBDAEIAMAA1AF0AXAB0AEQAZQByAGEAbgBnAGUAbQBlAG4AdABzALsDXABuACAAIAAgACAAIAAgACAAIAAgACAAIAAgAFsAQwBCADAANgBdAFwAdABLAG4AYQBwAFMAYQBjAGsAuwNcAG4AIAAgACAAIAAgACAAIAAgACAAIAAgACAAWwBDAEIAMAA3AF0AXAB0AFMAdQBiAHMAZQB0AEcAZQBuALsDXABuACAAIAAgACAAIAAgACAAIAAgACAAIAAgAFsAQwBCADAAOABdAFwAdABTAHUAYgBzAGUAdABTAHUAbQC7A1wAbgBcAG4AIwAjACAAMQAwACAALQAgAFsARwBEAF0AIAAgAEcAcgBpAGQAIABEAGkAYQBnAG4AbwBzAHQAaQBjAHMAXABuACAAIAAgACAAIAAgACAAIAAgACAAIAAgAFsARwBEADAAMQBdACAAIABSAGUAdgBlAGEAbAC7A1wAbgBcAG4AXABuAFwAbgAqAC8AXABuAFwAbgBcAG4AXABuAC8ALwAgAFsARwBXAF0AIAAtAC0ALQAtAC0ALQAtAC0ALQAtAC0ALQAtAC0ALQAtAC0ALQAtAC0ALQAtAC0ALQAtAC0ALQAtAC0ALQAtAC0ALQAtAC0ALQAtAC0ALQAtAC0ALQAtAC0ALQAtAC0ALQAtAC0ALQAtAC0ALQAtAC0ALQAtAC0ALQAtAC0ALQAtAC0ALQAtAC0ALQAtAC0ALQAtAC0ALQAtAC0AXABuAC8ALwAgAC0ALQAtACMAIwAgADAAMQAgAC0AIABHAHIAaQBkAHcAbwByAGsAXABuAC8ALwAgAC0ALQAtAC0ALQAtAC0ALQAtAC0ALQAtAC0ALQAtAC0ALQAtAC0ALQAtAC0ALQAtAC0ALQAtAC0ALQAtAC0ALQAtAC0ALQAtAC0ALQAtAC0ALQAtAC0ALQAtAC0ALQAtAC0ALQAtAC0ALQAtAC0ALQAtAC0ALQAtAC0ALQAtAC0ALQAtAC0ALQAtAC0ALQAtAC0ALQAtAC0ALQBcAG4AXABuAC8AKgBcAG4ARABlAHMAYwByAGkAcAB0AGkAbwBuADoAXABuACAAIAAgACAARwByAGkAZAB3AG8AcgBrACAAZABlAGYAaQBuAGUAcwAgAHQAaABlACAAZgBvAHUAbgBkAGEAdABpAG8AbgBhAGwAIABjAG8AbwByAGQAaQBuAGEAdABlACAAcwB5AHMAdABlAG0AcwAgAGYAbwByACAAMgBEACAAYQByAHIAYQB5AHMALgAgAEUAYQBjAGgAXABuACAAIAAgACAAZgB1AG4AYwB0AGkAbwBuACAAcAByAG8AZAB1AGMAZQBzACAAYQAgAGMAZQBuAHQAZQByAGUAZAAsACAAcwB5AG0AbQBlAHQAcgBpAGMAYQBsACAAZwBlAG8AbQBlAHQAcgBpAGMAIABkAGUAcwBjAHIAaQBwAHQAaQBvAG4AIABvAGYAIAB0AGgAZQAgAGcAcgBpAGQALgBcAG4AXABuAEYAdQBuAGMAdABpAG8AbgBzADoAXABuACAAIAAgACAAIiAgAEQARwByAGkAZAC7AyAAIAAgACAAIAAgAC0AIABEAGkAcgBlAGMAdABpAG8AbgAgAGcAcgBpAGQAIAAoADAAsAAtADMANgAwALAAKQAgAHUAcwBpAG4AZwAgAGMAZQBuAHQAZQByAGUAZAAgAEMAYQByAHQAZQBzAGkAYQBuACAAYQB4AGUAcwBcAG4AXABuACAAIAAgACAAIiAgAEMARwByAGkAZAC7AyAAIAAgACAAIAAgAC0AIABDAGEAcgB0AGUAcwBpAGEAbgAgAGcAcgBpAGQAIAAoAHIAbwB3ACAAbwByACAAYwBvAGwAdQBtAG4AIABjAG8AbwByAGQAaQBuAGEAdABlAHMALAAgAGMAZQBuAHQAZQByAGUAZAApAFwAbgBcAG4AIAAgACAAIAAiICAATQBHAHIAaQBkALsDIAAgACAAIAAgACAALQAgAE0AZQBzAGgAIABnAHIAaQBkACAAKAAxABEgYgBhAHMAZQBkACAAcgBvAHcAIABvAHIAIABjAG8AbAB1AG0AbgAgAGkAbgBkAGkAYwBlAHMAKQBcAG4AXABuACAAIAAgACAAIiAgAFQARwByAGkAZAC7AyAAIAAgACAAIAAgAC0AIABUAGgAcgBlAHMAaABvAGwAZABlAGQAIABtAGUAcwBoACAAZwByAGkAZAAgACgAaQBuAGQAaQBjAGUAcwAgAHcAcgBhAHAAIABhAGYAdABlAHIAIABhACAAbABpAG0AaQB0ACkAXABuAFwAbgAgACAAIAAgACIgIABQAG8AbABhAHIARwByAGkAZAC7AyAAIAAtACAAUABvAGwAYQByACAAYwBvAG8AcgBkAGkAbgBhAHQAZQBzADoAXABuACAAIAAgACAAIAAgACAAIAAgACAAIAAgACAAIAAgACAAIAAgACAAIAAgACAAcgAgACAAIAATICAAcgBhAGQAaQBhAGwAIABkAGkAcwB0AGEAbgBjAGUAIABmAHIAbwBtACAAZwByAGkAZAAgAGMAZQBuAHQAZQByAFwAbgAgACAAIAAgACAAIAAgACAAIAAgACAAIAAgACAAIAAgACAAIAAgACAAIAAgAHAAaABpACAAEyAgAGEAbgBnAGwAZQAgAGkAbgAgAHIAYQBkAGkAYQBuAHMAIAB1AHMAaQBuAGcAIABBAFQAQQBOADIAKAB5ACwAIAB4ACkAXABuAFwAbgAgACAAIAAgACIgIABSAGUAcwBpAHoAZQC7AyAAIAAgACAAIAAtACAAVQB0AGkAbABpAHQAeQAgAGYAbwByACAAYgByAG8AYQBkAGMAYQBzAHQAaQBuAGcAIABjAG8AbwByAGQAaQBuAGEAdABlACAAdgBlAGMAdABvAHIAcwAgAHQAbwAgAGcAcgBpAGQAIABzAGgAYQBwAGUAXABuAFwAbgBOAG8AdABlAHMAOgBcAG4AIAAgACAAIABBAGwAbAAgAGYAdQBuAGMAdABpAG8AbgBzACAAYQByAGUAIABzAGgAYQBwAGUALQBkAHIAaQB2AGUAbgA6ACAAdABoAGUAIABkAGkAbQBlAG4AcwBpAG8AbgBzACAAbwBmACAAdABoAGUAIABzAHUAcABwAGwAaQBlAGQAIABnAHIAaQBkACAAZABlAHQAZQByAG0AaQBuAGUAXABuACAAIAAgACAAdABoAGUAIABjAG8AbwByAGQAaQBuAGEAdABlACAAZQB4AHQAZQBuAHQAcwAuAFwAbgBcAG4ARQB4AGEAbQBwAGwAZQBzADoAXABuACAAIAAgACAARwByAGkAZAA6AFwAbgAgACAAIAAgACAAIAAgACAAMQAgACAAIAAyACAAIAAgADMAIAAgACAANAAgACAAIAA1AFwAbgAgACAAIAAgACAAIAAgACAANgAgACAAIAA3ACAAIAAgADgAIAAgACAAOQAgACAAIAAxADAAXABuACAAIAAgACAAIAAgACAAIAAxADEAIAAgADEAMgAgACAAMQAzACAAIAAxADQAIAAgADEANQBcAG4AIAAgACAAIAAgACAAIAAgADEANgAgACAAMQA3ACAAIAAxADgAIAAgADEAOQAgACAAMgAwAFwAbgAgACAAIAAgACAAIAAgACAAMgAxACAAIAAyADIAIAAgADIAMwAgACAAMgA0ACAAIAAyADUAXABuAFwAbgAgACAAIAAgAEQARwByAGkAZAC7AygAZwByAGkAZAApADoAXABuACAAIAAgACAAIAAgACAAIAAyADIANQAuADAAMAAgADIAMAA2AC4ANQA3ACAAMQA4ADAALgAwADAAIAAxADUAMwAuADQAMwAgADEAMwA1AC4AMAAwAFwAbgAgACAAIAAgACAAIAAgACAAMgA0ADMALgA0ADMAIAAyADIANQAuADAAMAAgADEAOAAwAC4AMAAwACAAMQAzADUALgAwADAAIAAxADEANgAuADUANwBcAG4AIAAgACAAIAAgACAAIAAgADIANwAwAC4AMAAwACAAMgA3ADAALgAwADAAIAAgACAAMAAuADAAMAAgACAAOQAwAC4AMAAwACAAIAA5ADAALgAwADAAXABuACAAIAAgACAAIAAgACAAIAAyADkANgAuADUANwAgADMAMQA1AC4AMAAwACAAIAAgADAALgAwADAAIAAgADQANQAuADAAMAAgACAANgAzAC4ANAAzAFwAbgAgACAAIAAgACAAIAAgACAAMwAxADUALgAwADAAIAAzADMAMwAuADQAMwAgACAAIAAwAC4AMAAwACAAIAAyADYALgA1ADcAIAAgADQANQAuADAAMABcAG4AXABuACAAIAAgACAAQwBHAHIAaQBkALsDKABnAHIAaQBkACkAIAAtACAAcgBvAHcAIABjAG8AbwByAGQAaQBuAGEAdABlAHMAOgBcAG4AIAAgACAAIAAgACAAIAAgAC0AMgAgAC0AMgAgAC0AMgAgAC0AMgAgAC0AMgBcAG4AIAAgACAAIAAgACAAIAAgAC0AMQAgAC0AMQAgAC0AMQAgAC0AMQAgAC0AMQBcAG4AIAAgACAAIAAgACAAIAAgACAAMAAgACAAMAAgACAAMAAgACAAMAAgACAAMABcAG4AIAAgACAAIAAgACAAIAAgACAAMQAgACAAMQAgACAAMQAgACAAMQAgACAAMQBcAG4AIAAgACAAIAAgACAAIAAgACAAMgAgACAAMgAgACAAMgAgACAAMgAgACAAMgBcAG4AXABuACAAIAAgACAAQwBHAHIAaQBkALsDKABnAHIAaQBkACwAMQApACAALQAgAGMAbwBsAHUAbQBuACAAYwBvAG8AcgBkAGkAbgBhAHQAZQBzADoAXABuACAAIAAgACAAIAAgACAAIAAtADIAIAAtADEAIAAgADAAIAAgADEAIAAgADIAXABuACAAIAAgACAAIAAgACAAIAAtADIAIAAtADEAIAAgADAAIAAgADEAIAAgADIAXABuACAAIAAgACAAIAAgACAAIAAtADIAIAAtADEAIAAgADAAIAAgADEAIAAgADIAXABuACAAIAAgACAAIAAgACAAIAAtADIAIAAtADEAIAAgADAAIAAgADEAIAAgADIAXABuACAAIAAgACAAIAAgACAAIAAtADIAIAAtADEAIAAgADAAIAAgADEAIAAgADIAXABuAFwAbgAgACAAIAAgAE0ARwByAGkAZAC7AygAZwByAGkAZAApACAALQAgAHIAbwB3ACAAaQBuAGQAaQBjAGUAcwA6AFwAbgAgACAAIAAgACAAIAAgACAAMQAgADEAIAAxACAAMQAgADEAXABuACAAIAAgACAAIAAgACAAIAAyACAAMgAgADIAIAAyACAAMgBcAG4AIAAgACAAIAAgACAAIAAgADMAIAAzACAAMwAgADMAIAAzAFwAbgAgACAAIAAgACAAIAAgACAANAAgADQAIAA0ACAANAAgADQAXABuACAAIAAgACAAIAAgACAAIAA1ACAANQAgADUAIAA1ACAANQBcAG4AXABuACAAIAAgACAATQBHAHIAaQBkALsDKABnAHIAaQBkACwAMQApACAALQAgAGMAbwBsAHUAbQBuACAAaQBuAGQAaQBjAGUAcwA6AFwAbgAgACAAIAAgACAAIAAgACAAMQAgADIAIAAzACAANAAgADUAXABuACAAIAAgACAAIAAgACAAIAAxACAAMgAgADMAIAA0ACAANQBcAG4AIAAgACAAIAAgACAAIAAgADEAIAAyACAAMwAgADQAIAA1AFwAbgAgACAAIAAgACAAIAAgACAAMQAgADIAIAAzACAANAAgADUAXABuACAAIAAgACAAIAAgACAAIAAxACAAMgAgADMAIAA0ACAANQBcAG4AXABuACAAIAAgACAAVABHAHIAaQBkALsDKABnAHIAaQBkACwAMwApACAALQAgAHIAbwB3ACAAaQBuAGQAaQBjAGUAcwAsACAAdABoAHIAZQBzAGgAbwBsAGQAIAAzADoAXABuACAAIAAgACAAIAAgACAAIAAxACAAMQAgADEAIAAxACAAMQBcAG4AIAAgACAAIAAgACAAIAAgADIAIAAyACAAMgAgADIAIAAyAFwAbgAgACAAIAAgACAAIAAgACAAMwAgADMAIAAzACAAMwAgADMAXABuACAAIAAgACAAIAAgACAAIAAxACAAMQAgADEAIAAxACAAMQBcAG4AIAAgACAAIAAgACAAIAAgADIAIAAyACAAMgAgADIAIAAyAFwAbgBcAG4AIAAgACAAIABUAEcAcgBpAGQAuwMoAGcAcgBpAGQALAAzACwAMQApACAALQAgAGMAbwBsAHUAbQBuACAAaQBuAGQAaQBjAGUAcwAsACAAdABoAHIAZQBzAGgAbwBsAGQAIAAzADoAXABuACAAIAAgACAAIAAgACAAIAAxACAAMgAgADMAIAAxACAAMgBcAG4AIAAgACAAIAAgACAAIAAgADEAIAAyACAAMwAgADEAIAAyAFwAbgAgACAAIAAgACAAIAAgACAAMQAgADIAIAAzACAAMQAgADIAXABuACAAIAAgACAAIAAgACAAIAAxACAAMgAgADMAIAAxACAAMgBcAG4AIAAgACAAIAAgACAAIAAgADEAIAAyACAAMwAgADEAIAAyAFwAbgBcAG4AIAAgACAAIABQAG8AbABhAHIARwByAGkAZAC7AygAZwByAGkAZAApACAALQAgAHIAOgBcAG4AIAAgACAAIAAgACAAIAAgADIALgA4ADMAIAAyAC4AMgA0ACAAMgAuADAAMAAgADIALgAyADQAIAAyAC4AOAAzAFwAbgAgACAAIAAgACAAIAAgACAAMgAuADIANAAgADEALgA0ADEAIAAxAC4AMAAwACAAMQAuADQAMQAgADIALgAyADQAXABuACAAIAAgACAAIAAgACAAIAAyAC4AMAAwACAAMQAuADAAMAAgADAALgAwADAAIAAxAC4AMAAwACAAMgAuADAAMABcAG4AIAAgACAAIAAgACAAIAAgADIALgAyADQAIAAxAC4ANAAxACAAMQAuADAAMAAgADEALgA0ADEAIAAyAC4AMgA0AFwAbgAgACAAIAAgACAAIAAgACAAMgAuADgAMwAgADIALgAyADQAIAAyAC4AMAAwACAAMgAuADIANAAgADIALgA4ADMAXABuAFwAbgAgACAAIAAgAFAAbwBsAGEAcgBHAHIAaQBkALsDKABnAHIAaQBkACwAMQApACAALQAgAHAAaABpADoAXABuACAAIAAgACAAIAAgACAAIAAtADIALgAzADYAIAAtADIALgAwADMAIAAtADEALgA1ADcAIAAtADEALgAxADEAIAAtADAALgA3ADkAXABuACAAIAAgACAAIAAgACAAIAAtADIALgA2ADgAIAAtADIALgAzADYAIAAtADEALgA1ADcAIAAtADAALgA3ADkAIAAtADAALgA0ADYAXABuACAAIAAgACAAIAAgACAAIAAgADMALgAxADQAIAAgADMALgAxADQAIAAgADAALgAwADAAIAAgADAALgAwADAAIAAgADAALgAwADAAXABuACAAIAAgACAAIAAgACAAIAAgADIALgA2ADgAIAAgADIALgAzADYAIAAgADEALgA1ADcAIAAgADAALgA3ADkAIAAgADAALgA0ADYAXABuACAAIAAgACAAIAAgACAAIAAgADIALgAzADYAIAAgADIALgAwADMAIAAgADEALgA1ADcAIAAgADEALgAxADEAIAAgADAALgA3ADkAXABuACoALwBcAG4AXABuAFwAbgBcAG4ALwAqAFsARwBXADAAMQBdAC0ALQAtAC0ALQAtAC0ALQAtAC0ALQAtAC0ALQAtAC0ALQAtAC0ALQAtAC0ALQAtAC0ALQAtAC0ALQAtAC0ALQAtAC0ALQAtAC0ALQAtAC0ALQAtAC0ALQAtAC0ALQAtAC0ALQAtAC0ALQAtAC0ALQAtAC0ALQAtAC0ALQAtAC0ALQAtAC0ALQAtAC0ALQAtAC0ALQAtAC0ALQAtAFwAbgBGAHUAbgBjAHQAaQBvAG4AOgAgACAAIAAgACAARABHAHIAaQBkALsDXABuAEMAYQB0AGUAZwBvAHIAeQA6ACAAIAAgACAAIABHAHIAaQBkAHcAbwByAGsAXABuAEEAdQB0AGgAbwByADoAIAAgACAAIAAgACAAIABQAGEAdAByAGkAYwBrACAASAAuAFwAbgBWAGUAcgBzAGkAbwBuADoAIAAgACAAIAAgACAAMQAuADEAXABuAEQAZQBwAGUAbgBkAGUAbgBjAGkAZQBzADoAIABDAEcAcgBpAGQAuwNcAG4AXABuAEQAZQBzAGMAcgBpAHAAdABpAG8AbgA6AFwAbgAgACAAIAAgAEcAZQBuAGUAcgBhAHQAZQBzACAAYQAgAGMAbwB1AG4AdABlAHIAESBjAGwAbwBjAGsAdwBpAHMAZQAgAGQAaQByAGUAYwB0AGkAbwBuACAAZwByAGkAZAAgAGkAbgAgAGQAZQBnAHIAZQBlAHMAIAAoADAAsAATIDMANgAwALAAKQAgAHUAcwBpAG4AZwBcAG4AIAAgACAAIABjAGUAbgB0AGUAcgBlAGQAIABDAGEAcgB0AGUAcwBpAGEAbgAgAGMAbwBvAHIAZABpAG4AYQB0AGUAcwAgAGYAcgBvAG0AIABDAEcAcgBpAGQAuwMuAFwAbgBcAG4AIAAgACAAIABBAG4AZwBsAGUAIABjAG8AbgB2AGUAbgB0AGkAbwBuADoAXABuACAAIAAgACAAIAAgACAAIAAwALAAIAAgACAAPQAgACsAWAAgAGQAaQByAGUAYwB0AGkAbwBuACAAKAByAGkAZwBoAHQAKQBcAG4AIAAgACAAIAAgACAAIAAgADkAMACwACAAIAA9ACAAKwBZACAAZABpAHIAZQBjAHQAaQBvAG4AIAAoAHUAcAApAFwAbgAgACAAIAAgACAAIAAgACAAMQA4ADAAsAAgAD0AIAATIFgAIABkAGkAcgBlAGMAdABpAG8AbgAgACgAbABlAGYAdAApAFwAbgAgACAAIAAgACAAIAAgACAAMgA3ADAAsAAgAD0AIAATIFkAIABkAGkAcgBlAGMAdABpAG8AbgAgACgAZABvAHcAbgApAFwAbgBcAG4AIAAgACAAIABUAGgAZQAgAGMAZQBuAHQAZQByACAAYwBlAGwAbAAgACgAMAAsADAAKQAgAHIAZQB0AHUAcgBuAHMAIAAwALAAIAB2AGkAYQAgAEkARgBFAFIAUgBPAFIAIABmAGEAbABsAGIAYQBjAGsALgBcAG4AXABuAFAAYQByAGEAbQBlAHQAZQByADoAXABuACAAIAAgACAAZwByAGkAZAAgAC0AIABBACAAMQBEACAAbwByACAAMgBEACAAYQByAHIAYQB5ACAAdwBoAG8AcwBlACAAZABpAG0AZQBuAHMAaQBvAG4AcwAgAGQAZQB0AGUAcgBtAGkAbgBlACAAdABoAGUAIABvAHUAdABwAHUAdAAgAHMAaQB6AGUALgAgACAAIAAgAFwAbgAtAC0ALQAtAC0ALQAtAC0ALQAtAC0ALQAtAC0ALQAtAC0ALQAtAC0ALQAtAC0ALQAtAC0ALQAtAC0ALQAtAC0ALQAtAC0ALQAtAC0ALQAtAC0ALQAtAC0ALQAtAC0ALQAtAC0ALQAtAC0ALQAtAC0ALQAtAC0ALQAtAC0ALQAtAC0ALQAtAC0ALQAtAC0ALQAtAC0ALQAtAC0ALQAqAC8AXABuAFwAbgBEAEcAcgBpAGQAuwMgAD0AXABuAEwAQQBNAEIARABBACgAXABuACAAIAAgACAAZwByAGkAZAAsAFwAbgBMAEUAVAAoAFwAbgAgACAAIAAgAC8ALwAgAFIAYQB3ACAAYQBuAGcAbABlACAAaQBuACAAZABlAGcAcgBlAGUAcwAgACgAbQBhAHkAIABiAGUAIABuAGUAZwBhAHQAaQB2AGUAKQBcAG4AIAAgACAAIAB0AGgAZQB0AGEALAAgAEkARgBFAFIAUgBPAFIAKABEAEUARwBSAEUARQBTACgAQQBUAEEATgAyACgAQwBHAHIAaQBkALsDKABnAHIAaQBkACkALAAgAEMARwByAGkAZAC7AygAZwByAGkAZAAsADEAKQApACkALAAwACkALABcAG4AXABuACAAIAAgACAALwAvACAATgBvAHIAbQBhAGwAaQB6AGUAIAB0AG8AIAAwALAAEyAzADYAMACwAFwAbgAgACAAIAAgAGEAbgBnAGwAZQAsACAATQBPAEQAKAB0AGgAZQB0AGEAIAArACAAMwA2ADAALAAgADMANgAwACkALABcAG4AXABuACAAIAAgACAAYQBuAGcAbABlAFwAbgApACkAOwBcAG4AXABuAFwAbgBcAG4ALwAqAFsARwBXADAAMgBdAC0ALQAtAC0ALQAtAC0ALQAtAC0ALQAtAC0ALQAtAC0ALQAtAC0ALQAtAC0ALQAtAC0ALQAtAC0ALQAtAC0ALQAtAC0ALQAtAC0ALQAtAC0ALQAtAC0ALQAtAC0ALQAtAC0ALQAtAC0ALQAtAC0ALQAtAC0ALQAtAC0ALQAtAC0ALQAtAC0ALQAtAC0ALQAtAC0ALQAtAC0ALQAtAFwAbgBGAHUAbgBjAHQAaQBvAG4AOgAgACAAIAAgACAAQwBHAHIAaQBkALsDXABuAEMAYQB0AGUAZwBvAHIAeQA6ACAAIAAgACAAIABHAHIAaQBkAHcAbwByAGsAXABuAEEAdQB0AGgAbwByADoAIAAgACAAIAAgACAAIABQAGEAdAByAGkAYwBrACAASAAuAFwAbgBWAGUAcgBzAGkAbwBuADoAIAAgACAAIAAgACAAMQAuADEAXABuAEQAZQBwAGUAbgBkAGUAbgBjAGkAZQBzADoAIABSAGUAcwBpAHoAZQC7A1wAbgBcAG4ARABlAHMAYwByAGkAcAB0AGkAbwBuADoAXABuACAAIAAgACAARwBlAG4AZQByAGEAdABlAHMAIABjAGUAbgB0AGUAcgBlAGQAIABDAGEAcgB0AGUAcwBpAGEAbgAgAGMAbwBvAHIAZABpAG4AYQB0AGUAIABnAHIAaQBkAHMAIABhAGwAaQBnAG4AZQBkACAAdABvACAAdABoAGUAIABzAGgAYQBwAGUAIABvAGYAIABhAFwAbgAgACAAIAAgAHMAdQBwAHAAbABpAGUAZAAgAGEAcgByAGEAeQAuACAAUgBlAHQAdQByAG4AcwAgAGUAaQB0AGgAZQByACAAcgBvAHcAIABjAG8AbwByAGQAaQBuAGEAdABlAHMAIABvAHIAIABjAG8AbAB1AG0AbgAgAGMAbwBvAHIAZABpAG4AYQB0AGUAcwAuAFwAbgBcAG4AIAAgACAAIABDAG8AbwByAGQAaQBuAGEAdABlACAAcgBhAG4AZwBlAHMAIABhAHIAZQAgAGMAZQBuAHQAZQByAGUAZAAgAHMAdQBjAGgAIAB0AGgAYQB0ADoAXABuACAAIAAgACAAIAAgACAAIABSAG8AdwA6ACAAIAAtACgAaAAgAC0AIAAxACkAIAAvACAAMgAgACAALgAuAC4AIAAgACsAKABoACAALQAgADEAKQAgAC8AIAAyAFwAbgAgACAAIAAgACAAIAAgACAAQwBvAGwAOgAgACAALQAoAHcAIAAtACAAMQApACAALwAgADIAIAAgAC4ALgAuACAAIAArACgAdwAgAC0AIAAxACkAIAAvACAAMgBcAG4AXABuACAAIAAgACAAVwBvAHIAawBzACAAZgBvAHIAIABiAG8AdABoACAAMQBEACAAYQBuAGQAIAAyAEQAIABhAHIAcgBhAHkAcwAuAFwAbgBcAG4AUABhAHIAYQBtAGUAdABlAHIAcwA6AFwAbgAgACAAIAAgAGcAcgBpAGQAIAAgACAAIAAgACAAIAAgAC0AIABBACAAMQBEACAAbwByACAAMgBEACAAYQByAHIAYQB5ACAAdwBoAG8AcwBlACAAZABpAG0AZQBuAHMAaQBvAG4AcwAgAGQAZQB0AGUAcgBtAGkAbgBlACAAdABoAGUAIABvAHUAdABwAHUAdAAgAHMAaQB6AGUALgBcAG4AIAAgACAAIABbAGMAbwBsAF8AaQBuAGQAZQB4AF0AIAAtACAASQBmACAAVABSAFUARQAsACAAcgBlAHQAdQByAG4AIABjAG8AbAB1AG0AbgAgAGMAbwBvAHIAZABpAG4AYQB0AGUAcwAuACAASQBmACAAbwBtAGkAdAB0AGUAZAAsACAAcgBlAHQAdQByAG4AIAByAG8AdwBcAG4AIAAgACAAIAAgACAAIAAgACAAIAAgACAAIAAgACAAIAAgACAAYwBvAG8AcgBkAGkAbgBhAHQAZQBzAC4AXABuAC0ALQAtAC0ALQAtAC0ALQAtAC0ALQAtAC0ALQAtAC0ALQAtAC0ALQAtAC0ALQAtAC0ALQAtAC0ALQAtAC0ALQAtAC0ALQAtAC0ALQAtAC0ALQAtAC0ALQAtAC0ALQAtAC0ALQAtAC0ALQAtAC0ALQAtAC0ALQAtAC0ALQAtAC0ALQAtAC0ALQAtAC0ALQAtAC0ALQAtAC0ALQAtACoALwBcAG4AXABuAEMARwByAGkAZAC7AyAAPQBcAG4ATABBAE0AQgBEAEEAKABcAG4AIAAgACAAIABnAHIAaQBkACwAXABuACAAIAAgACAAWwBjAG8AbABfAGkAbgBkAGUAeABdACwAXABuAEwARQBUACgAXABuACAAIAAgACAALwAvACAAUgBlAHQAdQByAG4AIABtAG8AZABlAFwAbgAgACAAIAAgAFIAbwB3AEkAZAB4AD8ALAAgAEkAUwBPAE0ASQBUAFQARQBEACgAYwBvAGwAXwBpAG4AZABlAHgAKQAsAFwAbgBcAG4AIAAgACAAIAAvAC8AIABHAHIAaQBkACAAZABpAG0AZQBuAHMAaQBvAG4AcwBcAG4AIAAgACAAIABoACwAIAAgACAAIAAgACAAIABSAE8AVwBTACgAZwByAGkAZAApACwAXABuACAAIAAgACAAdwAsACAAIAAgACAAIAAgACAAQwBPAEwAVQBNAE4AUwAoAGcAcgBpAGQAKQAsAFwAbgBcAG4AIAAgACAAIAAvAC8AIABTAHQAYQByAHQAaQBuAGcAIABjAG8AbwByAGQAaQBuAGEAdABlAHMAIAAoAGMAZQBuAHQAZQByAGUAZAApAFwAbgAgACAAIAAgAGkAXwBzAHQAYQByAHQALAAgAC0AIAAoAGgAIAAtACAAMQApACAALwAgADIALABcAG4AIAAgACAAIABqAF8AcwB0AGEAcgB0ACwAIAAtACAAKAB3ACAALQAgADEAKQAgAC8AIAAyACwAXABuAFwAbgAgACAAIAAgAC8ALwAgAEQAZQBmAGUAcgByAGUAZAAgAGMAbwBvAHIAZABpAG4AYQB0AGUAIABnAGUAbgBlAHIAYQB0AG8AcgBzAFwAbgAgACAAIAAgAGkALAAgACAAIAAgACAAIAAgAEwAQQBNAEIARABBACgAUgBlAHMAaQB6AGUAuwMoAFMARQBRAFUARQBOAEMARQAoAGgALAAsAGkAXwBzAHQAYQByAHQAKQAsACwAdwApACkALABcAG4AIAAgACAAIABqACwAIAAgACAAIAAgACAAIABMAEEATQBCAEQAQQAoAFIAZQBzAGkAegBlALsDKABTAEUAUQBVAEUATgBDAEUAKAAsAHcALABqAF8AcwB0AGEAcgB0ACkALABoACkAKQAsAFwAbgBcAG4AIAAgACAAIAAvAC8AIABTAGUAbABlAGMAdAAgAHIAbwB3ACAAbwByACAAYwBvAGwAdQBtAG4AIABjAG8AbwByAGQAaQBuAGEAdABlACAAZwByAGkAZABcAG4AIAAgACAAIAByAGUAcwB1AGwAdAAsACAASQBGACgAUgBvAHcASQBkAHgAPwAsACAAaQAoACkALAAgAGoAKAApACkALABcAG4AXABuACAAIAAgACAAcgBlAHMAdQBsAHQAXABuACkAKQA7AFwAbgBcAG4AXABuAFwAbgAvACoAWwBHAFcAMAAzAF0ALQAtAC0ALQAtAC0ALQAtAC0ALQAtAC0ALQAtAC0ALQAtAC0ALQAtAC0ALQAtAC0ALQAtAC0ALQAtAC0ALQAtAC0ALQAtAC0ALQAtAC0ALQAtAC0ALQAtAC0ALQAtAC0ALQAtAC0ALQAtAC0ALQAtAC0ALQAtAC0ALQAtAC0ALQAtAC0ALQAtAC0ALQAtAC0ALQAtAC0ALQAtAC0AXABuAEYAdQBuAGMAdABpAG8AbgA6ACAAIAAgACAAIABNAEcAcgBpAGQAuwNcAG4AQwBhAHQAZQBnAG8AcgB5ADoAIAAgACAAIAAgAEcAcgBpAGQAdwBvAHIAawBcAG4AQQB1AHQAaABvAHIAOgAgACAAIAAgACAAIAAgAFAAYQB0AHIAaQBjAGsAIABIAC4AXABuAFYAZQByAHMAaQBvAG4AOgAgACAAIAAgACAAIAAxAC4AMQBcAG4ARABlAHAAZQBuAGQAZQBuAGMAaQBlAHMAOgAgAFIAZQBzAGkAegBlALsDXABuAFwAbgBEAGUAcwBjAHIAaQBwAHQAaQBvAG4AOgBcAG4AIAAgACAAIABHAGUAbgBlAHIAYQB0AGUAcwAgAHIAbwB3ABEgaQBuAGQAZQB4ACAAbwByACAAYwBvAGwAdQBtAG4AESBpAG4AZABlAHgAIABnAHIAaQBkAHMAIABtAGEAdABjAGgAaQBuAGcAIAB0AGgAZQAgAHMAaABhAHAAZQAgAG8AZgAgAGEAIABzAHUAcABwAGwAaQBlAGQAXABuACAAIAAgACAAYQByAHIAYQB5AC4AIABUAGgAaQBzACAAaQBzACAAdABoAGUAIABFAHgAYwBlAGwAIABlAHEAdQBpAHYAYQBsAGUAbgB0ACAAbwBmACAATQBBAFQATABBAEIAGSBzACAAbQBlAHMAaABnAHIAaQBkACAAbwByACAATgB1AG0AUAB5ABkgcwAgAGkAbgBkAGkAYwBlAHMALgBcAG4AXABuACAAIAAgACAAQgB5ACAAZABlAGYAYQB1AGwAdAAsACAATQBHAHIAaQBkALsDIAByAGUAdAB1AHIAbgBzACAAcgBvAHcAIABpAG4AZABpAGMAZQBzAC4AIABXAGgAZQBuACAAdABoAGUAIABvAHAAdABpAG8AbgBhAGwAIABwAGEAcgBhAG0AZQB0AGUAcgAgAGkAcwAgAFQAUgBVAEUALABcAG4AIAAgACAAIABpAHQAIAByAGUAdAB1AHIAbgBzACAAYwBvAGwAdQBtAG4AIABpAG4AZABpAGMAZQBzACAAaQBuAHMAdABlAGEAZAAuAFwAbgBcAG4AIAAgACAAIABXAG8AcgBrAHMAIABmAG8AcgAgAGIAbwB0AGgAIAAxAEQAIABhAG4AZAAgADIARAAgAGEAcgByAGEAeQBzAC4AIABPAHUAdABwAHUAdAAgAGEAbAB3AGEAeQBzACAAbQBhAHQAYwBoAGUAcwAgAHQAaABlACAAZwBlAG8AbQBlAHQAcgB5ACAAbwBmACAAdABoAGUAXABuACAAIAAgACAAaQBuAHAAdQB0ACAAZwByAGkAZAAuAFwAbgBcAG4AUABhAHIAYQBtAGUAdABlAHIAcwA6AFwAbgAgACAAIAAgAGcAcgBpAGQAIAAgACAAIAAgACAAIAAgAC0AIABBACAAMQBEACAAbwByACAAMgBEACAAYQByAHIAYQB5ACAAdwBoAG8AcwBlACAAZABpAG0AZQBuAHMAaQBvAG4AcwAgAGQAZQB0AGUAcgBtAGkAbgBlACAAdABoAGUAIABvAHUAdABwAHUAdAAgAHMAaQB6AGUALgBcAG4AIAAgACAAIABbAGMAbwBsAF8AaQBuAGQAZQB4AF0AIAAtACAASQBmACAAVABSAFUARQAsACAAcgBlAHQAdQByAG4AIABjAG8AbAB1AG0AbgAgAGkAbgBkAGkAYwBlAHMALgAgAEkAZgAgAG8AbQBpAHQAdABlAGQALAAgAHIAZQB0AHUAcgBuACAAcgBvAHcAIABpAG4AZABpAGMAZQBzAC4AXABuAC0ALQAtAC0ALQAtAC0ALQAtAC0ALQAtAC0ALQAtAC0ALQAtAC0ALQAtAC0ALQAtAC0ALQAtAC0ALQAtAC0ALQAtAC0ALQAtAC0ALQAtAC0ALQAtAC0ALQAtAC0ALQAtAC0ALQAtAC0ALQAtAC0ALQAtAC0ALQAtAC0ALQAtAC0ALQAtAC0ALQAtAC0ALQAtAC0ALQAtAC0ALQAtACoALwBcAG4AXABuAE0ARwByAGkAZAC7AyAAPQBcAG4ATABBAE0AQgBEAEEAKABcAG4AIAAgACAAIABnAHIAaQBkACwAXABuACAAIAAgACAAWwBjAG8AbABfAGkAbgBkAGUAeABdACwAXABuAEwARQBUACgAXABuACAAIAAgACAALwAvACAAUgBlAHQAdQByAG4AIABtAG8AZABlAFwAbgAgACAAIAAgAFIAbwB3AEkAZAB4AD8ALAAgAEkAUwBPAE0ASQBUAFQARQBEACgAYwBvAGwAXwBpAG4AZABlAHgAKQAsAFwAbgBcAG4AIAAgACAAIAAvAC8AIABHAHIAaQBkACAAZABpAG0AZQBuAHMAaQBvAG4AcwBcAG4AIAAgACAAIABoACwAIAAgACAAIAAgACAAIABSAE8AVwBTACgAZwByAGkAZAApACwAXABuACAAIAAgACAAdwAsACAAIAAgACAAIAAgACAAQwBPAEwAVQBNAE4AUwAoAGcAcgBpAGQAKQAsAFwAbgBcAG4AIAAgACAAIAAvAC8AIABEAGUAZgBlAHIAcgBlAGQAIABpAG4AZABlAHgAIABnAHIAaQBkAHMAXABuACAAIAAgACAAaQAsACAAIAAgACAAIAAgACAATABBAE0AQgBEAEEAKABSAGUAcwBpAHoAZQC7AygAUwBFAFEAVQBFAE4AQwBFACgAaAApACwALAB3ACkAKQAsAFwAbgAgACAAIAAgAGoALAAgACAAIAAgACAAIAAgAEwAQQBNAEIARABBACgAUgBlAHMAaQB6AGUAuwMoAFMARQBRAFUARQBOAEMARQAoACwAdwApACwAaAApACkALABcAG4AXABuACAAIAAgACAALwAvACAAUwBlAGwAZQBjAHQAIAByAG8AdwAgAG8AcgAgAGMAbwBsAHUAbQBuACAAaQBuAGQAZQB4ACAAZwByAGkAZABcAG4AIAAgACAAIAByAGUAcwB1AGwAdAAsACAAIABJAEYAKABSAG8AdwBJAGQAeAA/ACwAIABpACgAKQAsACAAagAoACkAKQAsAFwAbgBcAG4AIAAgACAAIAByAGUAcwB1AGwAdABcAG4AKQApADsAXABuAFwAbgBcAG4AXABuAC8AKgBbAEcAVwAwADQAXQAtAC0ALQAtAC0ALQAtAC0ALQAtAC0ALQAtAC0ALQAtAC0ALQAtAC0ALQAtAC0ALQAtAC0ALQAtAC0ALQAtAC0ALQAtAC0ALQAtAC0ALQAtAC0ALQAtAC0ALQAtAC0ALQAtAC0ALQAtAC0ALQAtAC0ALQAtAC0ALQAtAC0ALQAtAC0ALQAtAC0ALQAtAC0ALQAtAC0ALQAtAC0ALQBcAG4ARgB1AG4AYwB0AGkAbwBuADoAIAAgACAAIAAgAFQARwByAGkAZAC7A1wAbgBDAGEAdABlAGcAbwByAHkAOgAgACAAIAAgACAARwByAGkAZAB3AG8AcgBrAFwAbgBBAHUAdABoAG8AcgA6ACAAIAAgACAAIAAgACAAUABhAHQAcgBpAGMAawAgAEgALgBcAG4AVgBlAHIAcwBpAG8AbgA6ACAAIAAgACAAIAAgADEALgAxAFwAbgBEAGUAcABlAG4AZABlAG4AYwBpAGUAcwA6ACAAUgBlAHMAaQB6AGUAuwNcAG4AXABuAEQAZQBzAGMAcgBpAHAAdABpAG8AbgA6AFwAbgAgACAAIAAgAEcAZQBuAGUAcgBhAHQAZQBzACAAcgBvAHcAESBpAG4AZABlAHgAIABvAHIAIABjAG8AbAB1AG0AbgARIGkAbgBkAGUAeAAgAGcAcgBpAGQAcwAgAHcAaABvAHMAZQAgAHYAYQBsAHUAZQBzACAAdwByAGEAcAAgAHcAaQB0AGgAaQBuACAAYQAgAHMAcABlAGMAaQBmAGkAZQBkAFwAbgAgACAAIAAgAHQAaAByAGUAcwBoAG8AbABkAC4AIABJAG4AZABpAGMAZQBzACAAYwB5AGMAbABlACAAZgByAG8AbQAgADEAIAB0AG8AIAB0AGgAcgBlAHMAaABvAGwAZAAsACAAcgBlAHAAZQBhAHQAaQBuAGcAIABhAHMAIABuAGUAZQBkAGUAZAAgAHQAbwAgAG0AYQB0AGMAaAAgAHQAaABlAFwAbgAgACAAIAAgAHMAaABhAHAAZQAgAG8AZgAgAHQAaABlACAAcwB1AHAAcABsAGkAZQBkACAAYQByAHIAYQB5AC4AXABuAFwAbgAgACAAIAAgAEIAeQAgAGQAZQBmAGEAdQBsAHQALAAgAFQARwByAGkAZAC7AyAAcgBlAHQAdQByAG4AcwAgAHIAbwB3ACAAaQBuAGQAaQBjAGUAcwAuACAAVwBoAGUAbgAgAHQAaABlACAAbwBwAHQAaQBvAG4AYQBsACAAcABhAHIAYQBtAGUAdABlAHIAIABpAHMAIABUAFIAVQBFACwAXABuACAAIAAgACAAaQB0ACAAcgBlAHQAdQByAG4AcwAgAGMAbwBsAHUAbQBuACAAaQBuAGQAaQBjAGUAcwAgAGkAbgBzAHQAZQBhAGQALgBcAG4AXABuACAAIAAgACAATgBvAG4AESBpAG4AdABlAGcAZQByACAAdABoAHIAZQBzAGgAbwBsAGQAcwAgAGEAcgBlACAAbgBvAHIAbQBhAGwAaQB6AGUAZAAgAHUAcwBpAG4AZwAgAEkATgBUACgAdABoAHIAZQBzAGgAbwBsAGQAKQAuACAAVABoAHIAZQBzAGgAbwBsAGQAcwAgAG0AdQBzAHQAIABiAGUAXABuACAAIAAgACAAcABvAHMAaQB0AGkAdgBlACAAaQBuAHQAZQBnAGUAcgBzAC4AXABuAFwAbgBQAGEAcgBhAG0AZQB0AGUAcgBzADoAXABuACAAIAAgACAAZwByAGkAZAAgACAAIAAgACAAIAAgACAALQAgAEEAIAAxAEQAIABvAHIAIAAyAEQAIABhAHIAcgBhAHkAIAB3AGgAbwBzAGUAIABkAGkAbQBlAG4AcwBpAG8AbgBzACAAZABlAHQAZQByAG0AaQBuAGUAIAB0AGgAZQAgAG8AdQB0AHAAdQB0ACAAcwBpAHoAZQAuAFwAbgAgACAAIAAgAHQAaAByAGUAcwBoAG8AbABkACAAIAAgAC0AIABNAGEAeABpAG0AdQBtACAAaQBuAGQAZQB4ACAAdgBhAGwAdQBlACAAYgBlAGYAbwByAGUAIAB3AHIAYQBwAHAAaQBuAGcAIAAoAG0AdQBzAHQAIABiAGUAIAA+ACAAMAApAC4AXABuACAAIAAgACAAWwBjAG8AbABfAGkAbgBkAGUAeABdACAALQAgAEkAZgAgAFQAUgBVAEUALAAgAHIAZQB0AHUAcgBuACAAYwBvAGwAdQBtAG4AIABpAG4AZABpAGMAZQBzAC4AIABJAGYAIABvAG0AaQB0AHQAZQBkACwAIAByAGUAdAB1AHIAbgAgAHIAbwB3ACAAaQBuAGQAaQBjAGUAcwAuAFwAbgAtAC0ALQAtAC0ALQAtAC0ALQAtAC0ALQAtAC0ALQAtAC0ALQAtAC0ALQAtAC0ALQAtAC0ALQAtAC0ALQAtAC0ALQAtAC0ALQAtAC0ALQAtAC0ALQAtAC0ALQAtAC0ALQAtAC0ALQAtAC0ALQAtAC0ALQAtAC0ALQAtAC0ALQAtAC0ALQAtAC0ALQAtAC0ALQAtAC0ALQAtAC0ALQAqAC8AXABuAFwAbgBUAEcAcgBpAGQAuwMgAD0AXABuAEwAQQBNAEIARABBACgAXABuACAAIAAgACAAZwByAGkAZAAsAFwAbgAgACAAIAAgAHQAaAByAGUAcwBoAG8AbABkACwAXABuACAAIAAgACAAWwBjAG8AbABfAGkAbgBkAGUAeABdACwAXABuAFwAbgBJAEYAKABPAFIAKABJAFMAVABFAFgAVAAoAHQAaAByAGUAcwBoAG8AbABkACkALAAgAHQAaAByAGUAcwBoAG8AbABkACAAPAA9ACAAMAApACwAXAAiACMAVABIAFIARQBTAEgATwBMAEQAIQBcACIALABcAG4AXABuAEwARQBUACgAXABuACAAIAAgACAALwAvACAATgBvAHIAbQBhAGwAaQB6AGUAIAB0AGgAcgBlAHMAaABvAGwAZABcAG4AIAAgACAAIAB0ACwAIAAgACAAIAAgACAAIABJAE4AVAAoAHQAaAByAGUAcwBoAG8AbABkACkALABcAG4AXABuACAAIAAgACAALwAvACAAUgBlAHQAdQByAG4AIABtAG8AZABlAFwAbgAgACAAIAAgAFIAbwB3AEkAZAB4AD8ALAAgAEkAUwBPAE0ASQBUAFQARQBEACgAYwBvAGwAXwBpAG4AZABlAHgAKQAsAFwAbgBcAG4AIAAgACAAIAAvAC8AIABHAHIAaQBkACAAZABpAG0AZQBuAHMAaQBvAG4AcwBcAG4AIAAgACAAIABoACwAIAAgACAAIAAgACAAIABSAE8AVwBTACgAZwByAGkAZAApACwAXABuACAAIAAgACAAdwAsACAAIAAgACAAIAAgACAAQwBPAEwAVQBNAE4AUwAoAGcAcgBpAGQAKQAsAFwAbgBcAG4AIAAgACAAIAAvAC8AIABEAGUAZgBlAHIAcgBlAGQAIAB3AHIAYQBwAHAAZQBkACAAaQBuAGQAZQB4ACAAZwByAGkAZABzAFwAbgAgACAAIAAgAGkALAAgACAAIAAgACAAIAAgAEwAQQBNAEIARABBACgAIAAxACAAKwAgAE0ATwBEACgAUgBlAHMAaQB6AGUAuwMoAFMARQBRAFUARQBOAEMARQAoAGgALAAsADAAKQAsACwAdwApACwAIAB0ACkAKQAsAFwAbgAgACAAIAAgAGoALAAgACAAIAAgACAAIAAgAEwAQQBNAEIARABBACgAIAAxACAAKwAgAE0ATwBEACgAUgBlAHMAaQB6AGUAuwMoAFMARQBRAFUARQBOAEMARQAoACwAdwAsADAAKQAsAGgAKQAsACAAdAApACkALABcAG4AXABuACAAIAAgACAALwAvACAAUwBlAGwAZQBjAHQAIAByAG8AdwAgAG8AcgAgAGMAbwBsAHUAbQBuACAAaQBuAGQAZQB4ACAAZwByAGkAZABcAG4AIAAgACAAIAByAGUAcwB1AGwAdAAsACAAIABJAEYAKABSAG8AdwBJAGQAeAA/ACwAIABpACgAKQAsACAAagAoACkAKQAsAFwAbgBcAG4AIAAgACAAIAByAGUAcwB1AGwAdABcAG4AKQApACkAOwBcAG4AXABuAFwAbgBcAG4ALwAqAFsARwBXADAANQBdAC0ALQAtAC0ALQAtAC0ALQAtAC0ALQAtAC0ALQAtAC0ALQAtAC0ALQAtAC0ALQAtAC0ALQAtAC0ALQAtAC0ALQAtAC0ALQAtAC0ALQAtAC0ALQAtAC0ALQAtAC0ALQAtAC0ALQAtAC0ALQAtAC0ALQAtAC0ALQAtAC0ALQAtAC0ALQAtAC0ALQAtAC0ALQAtAC0ALQAtAC0ALQAtAFwAbgBGAHUAbgBjAHQAaQBvAG4AOgAgACAAIAAgACAAUABvAGwAYQByAEcAcgBpAGQAuwNcAG4AQwBhAHQAZQBnAG8AcgB5ADoAIAAgACAAIAAgAEcAcgBpAGQAdwBvAHIAawBcAG4AQQB1AHQAaABvAHIAOgAgACAAIAAgACAAIAAgAFAAYQB0AHIAaQBjAGsAIABIAC4AXABuAFYAZQByAHMAaQBvAG4AOgAgACAAIAAgACAAIAAxAC4AMQBcAG4ARABlAHAAZQBuAGQAZQBuAGMAaQBlAHMAOgAgAEMARwByAGkAZAC7A1wAbgBcAG4ARABlAHMAYwByAGkAcAB0AGkAbwBuADoAXABuACAAIAAgACAARwBlAG4AZQByAGEAdABlAHMAIABhACAAZwByAGkAZAAgAG8AZgAgAHAAbwBsAGEAcgAgAGMAbwBvAHIAZABpAG4AYQB0AGUAcwAgAGEAbABpAGcAbgBlAGQAIAB0AG8AIAB0AGgAZQAgAHMAaABhAHAAZQAgAG8AZgAgAGEAIABzAHUAcABwAGwAaQBlAGQAXABuACAAIAAgACAAYQByAHIAYQB5AC4AIABDAG8AbwByAGQAaQBuAGEAdABlAHMAIABhAHIAZQAgAGQAZQByAGkAdgBlAGQAIABmAHIAbwBtACAAYwBlAG4AdABlAHIAZQBkACAAQwBhAHIAdABlAHMAaQBhAG4AIABjAG8AbwByAGQAaQBuAGEAdABlAHMAIABwAHIAbwBkAHUAYwBlAGQAXABuACAAIAAgACAAYgB5ACAAQwBHAHIAaQBkALsDLgBcAG4AXABuACAAIAAgACAAVAB3AG8AIABjAG8AbwByAGQAaQBuAGEAdABlACAAZgBpAGUAbABkAHMAIABhAHIAZQAgAGEAdgBhAGkAbABhAGIAbABlADoAXABuACAAIAAgACAAIAAgACAAIAByACAAIAAgACAALQAgAHIAYQBkAGkAYQBsACAAZABpAHMAdABhAG4AYwBlACAAZgByAG8AbQAgAHQAaABlACAAYwBlAG4AdABlAHIAXABuACAAIAAgACAAIAAgACAAIABwAGgAaQAgACAALQAgAGEAbgBnAGwAZQAgAGkAbgAgAHIAYQBkAGkAYQBuAHMALAAgAHUAcwBpAG4AZwAgAHQAaABlACAAQQBUAEEATgAyACgAeQAsACAAeAApACAAYwBvAG4AdgBlAG4AdABpAG8AbgBcAG4AXABuACAAIAAgACAASQBmACAAcABoAGkAXwBjAG8AbwByAGQAaQBuAGEAdABlACAAaQBzACAAbwBtAGkAdAB0AGUAZAAsACAAdABoAGUAIABmAHUAbgBjAHQAaQBvAG4AIAByAGUAdAB1AHIAbgBzACAAdABoAGUAIAByAGEAZABpAGEAbAAgAGQAaQBzAHQAYQBuAGMAZQAgAGcAcgBpAGQALgBcAG4AIAAgACAAIABJAGYAIABUAFIAVQBFACwAIAB0AGgAZQAgAGYAdQBuAGMAdABpAG8AbgAgAHIAZQB0AHUAcgBuAHMAIAB0AGgAZQAgAGEAbgBnAHUAbABhAHIAIABnAHIAaQBkAC4AXABuAFwAbgAgACAAIAAgAFQAaABlACAAYwBlAG4AdABlAHIAIABjAGUAbABsACAAKAAwACwAMAApACAAcgBlAHQAdQByAG4AcwAgAHAAaABpACAAPQAgADAAIAB2AGkAYQAgAEkARgBFAFIAUgBPAFIAIABmAGEAbABsAGIAYQBjAGsALgBcAG4AXABuAFAAYQByAGEAbQBlAHQAZQByAHMAOgBcAG4AIAAgACAAIABnAHIAaQBkACAAIAAgACAAIAAgACAAIAAgACAAIAAgACAALQAgADIARAAgAGEAcgByAGEAeQAgAGYAcgBvAG0AIAB3AGgAaQBjAGgAIAB0AG8AIABnAGUAbgBlAHIAYQB0AGUAIABwAG8AbABhAHIAIABjAG8AbwByAGQAaQBuAGEAdABlAHMALgBcAG4AIAAgACAAIABbAHAAaABpAF8AYwBvAG8AcgBkAGkAbgBhAHQAZQBdACAALQAgAEkAZgAgAFQAUgBVAEUALAAgAHIAZQB0AHUAcgBuACAAcABoAGkAOwAgAGkAZgAgAG8AbQBpAHQAdABlAGQALAAgAHIAZQB0AHUAcgBuACAAcgAuAFwAbgAtAC0ALQAtAC0ALQAtAC0ALQAtAC0ALQAtAC0ALQAtAC0ALQAtAC0ALQAtAC0ALQAtAC0ALQAtAC0ALQAtAC0ALQAtAC0ALQAtAC0ALQAtAC0ALQAtAC0ALQAtAC0ALQAtAC0ALQAtAC0ALQAtAC0ALQAtAC0ALQAtAC0ALQAtAC0ALQAtAC0ALQAtAC0ALQAtAC0ALQAtAC0ALQAqAC8AXABuAFwAbgBQAG8AbABhAHIARwByAGkAZAC7AyAAPQBcAG4ATABBAE0AQgBEAEEAKABcAG4AIAAgACAAIABnAHIAaQBkACwAXABuACAAIAAgACAAWwBwAGgAaQBfAGMAbwBvAHIAZABpAG4AYQB0AGUAXQAsAFwAbgBMAEUAVAAoAFwAbgAgACAAIAAgAC8ALwAgAFIAZQB0AHUAcgBuACAAbQBvAGQAZQBcAG4AIAAgACAAIABJAHMAUgA/ACwAIAAgACAASQBTAE8ATQBJAFQAVABFAEQAKABwAGgAaQBfAGMAbwBvAHIAZABpAG4AYQB0AGUAKQAsAFwAbgBcAG4AIAAgACAAIAAvAC8AIABDAGEAcgB0AGUAcwBpAGEAbgAgAGMAbwBvAHIAZABpAG4AYQB0AGUAcwBcAG4AIAAgACAAIAB4ACwAIAAgACAAIAAgACAAQwBHAHIAaQBkALsDKABnAHIAaQBkACkALABcAG4AIAAgACAAIAB5ACwAIAAgACAAIAAgACAAQwBHAHIAaQBkALsDKABnAHIAaQBkACwAMQApACwAXABuAFwAbgAgACAAIAAgAC8ALwAgAFAAbwBsAGEAcgAgAGMAbwBvAHIAZABpAG4AYQB0AGUAcwBcAG4AIAAgACAAIAByACwAIAAgACAAIAAgACAAUwBRAFIAVAAoAHgAXgAyACAAKwAgAHkAXgAyACkALABcAG4AIAAgACAAIABwAGgAaQAsACAAIAAgACAASQBGAEUAUgBSAE8AUgAoAEEAVABBAE4AMgAoAHkALAAgAHgAKQAsACAAMAApACwAXABuAFwAbgAgACAAIAAgAC8ALwAgAFMAZQBsAGUAYwB0ACAAcgAgAG8AcgAgAHAAaABpAFwAbgAgACAAIAAgAHIAZQBzAHUAbAB0ACwAIABJAEYAKABJAHMAUgA/ACwAIAByACwAIABwAGgAaQApACwAXABuAFwAbgAgACAAIAAgAHIAZQBzAHUAbAB0AFwAbgApACkAOwBcAG4AXABuAFwAbgBcAG4ALwAqACAAWwBHAEcAXQAgAC0ALQAtAC0ALQAtAC0ALQAtAC0ALQAtAC0ALQAtAC0ALQAtAC0ALQAtAC0ALQAtAC0ALQAtAC0ALQAtAC0ALQAtAC0ALQAtAC0ALQAtAC0ALQAtAC0ALQAtAC0ALQAtAC0ALQAtAC0ALQAtAC0ALQAtAC0ALQAtAC0ALQAtAC0ALQAtAC0ALQAtAC0ALQAtAC0ALQAtAFwAbgAjACMAIAAwADIAIAAtACAARwByAGkAZAAgAEcAZQBvAG0AZQB0AHIAeQBcAG4ALQAtAC0ALQAtAC0ALQAtAC0ALQAtAC0ALQAtAC0ALQAtAC0ALQAtAC0ALQAtAC0ALQAtAC0ALQAtAC0ALQAtAC0ALQAtAC0ALQAtAC0ALQAtAC0ALQAtAC0ALQAtAC0ALQAtAC0ALQAtAC0ALQAtAC0ALQAtAC0ALQAtAC0ALQAtAC0ALQAtAC0ALQAtAC0ALQAtAC0ALQAtAC0ALQAgACoALwBcAG4AXABuAC8AKgBcAG4ARABlAHMAYwByAGkAcAB0AGkAbwBuADoAXABuACAAIAAgACAAVABoAGkAcwAgAG0AbwBkAHUAbABlACAAZABlAGYAaQBuAGUAcwAgAGEAIABmAGEAbQBpAGwAeQAgAG8AZgAgAGcAZQBvAG0AZQB0AHIAaQBjACAAZQB4AHQAcgBhAGMAdABpAG8AbgAgAG8AcABlAHIAYQB0AG8AcgBzACAAZgBvAHIAIAAyAEQAIABhAHIAcgBhAHkAcwAuAFwAbgAgACAAIAAgAEUAYQBjAGgAIABmAHUAbgBjAHQAaQBvAG4AIAByAGUAdAB1AHIAbgBzACAAYQAgAHIAZQBnAGkAbwBuACAAbwBmACAAdABoAGUAIABnAHIAaQBkACAAZABlAGYAaQBuAGUAZAAgAGIAeQAgAGEAIABzAHAAZQBjAGkAZgBpAGMAIABzAGgAYQBwAGUALABcAG4AIAAgACAAIABwAHIAZQBzAGUAcgB2AGkAbgBnACAAdABoAGUAIABnAGUAbwBtAGUAdAByAHkAIABvAGYAIAB0AGgAZQAgAGUAeAB0AHIAYQBjAHQAZQBkACAAYQByAGUAYQAuACAAQwBlAG4AdABlAHIAcwAgAG0AYQB5ACAAYgBlACAAcwBwAGUAYwBpAGYAaQBlAGQAIABiAHkAXABuACAAIAAgACAAYwByAGkAdABlAHIAaQBhACAAbwByACAAZQB4AHAAbABpAGMAaQB0ACAAYwBvAG8AcgBkAGkAbgBhAHQAZQBzACwAIABhAG4AZAAgAG8AcAB0AGkAbwBuAGEAbAAgAGYAaQBsAGwAIAB2AGEAbAB1AGUAcwAgAGMAbwBuAHQAcgBvAGwAIAB3AGgAYQB0AFwAbgAgACAAIAAgAGEAcABwAGUAYQByAHMAIABvAHUAdABzAGkAZABlACAAdABoAGUAIABlAHgAdAByAGEAYwB0AGUAZAAgAHIAZQBnAGkAbwBuAC4AXABuAFwAbgAgACAAIAAgAFMAaABhAHAAZQBzADoAXABuACAAIAAgACAAIAAgACAAIAAiICAAQwBpAHIAYwBsAGUAuwMgACAAIAAtACAAIAAgAEMAaQByAGMAdQBsAGEAcgAgAHIAZQBnAGkAbwBuACAAYgB5ACAAdABhAHIAZwBlAHQAIABvAHIAIAB7AHIAbwB3ACwAIABjAG8AbAB9ACAAYwBlAG4AdABlAHIALgBcAG4AXABuACAAIAAgACAAIAAgACAAIAAiICAARABpAGEAbQBvAG4AZAC7AyAAIAAtACAAIAAgAE0AYQBuAGgAYQB0AHQAYQBuABEgcgBhAGQAaQB1AHMAIABkAGkAYQBtAG8AbgBkAC4AXABuAFwAbgAgACAAIAAgACAAIAAgACAAIiAgAFAAbAB1AHMAuwMgACAAIAAgACAALQAgACAAIABDAHIAbwBzAHMAESBzAGgAYQBwAGUAZAAgAHIAZQBnAGkAbwBuACAAKAB2AG8AbgAgAE4AZQB1AG0AYQBuAG4AIABuAGUAaQBnAGgAYgBvAHIAaABvAG8AZAApAC4AXABuAFwAbgAgACAAIAAgACAAIAAgACAAIiAgAFAAeQByAGEAbQBpAGQAuwMgACAALQAgACAAIABEAGkAcgBlAGMAdABpAG8AbgBhAGwAIABoAGEAbABmABEgZABpAGEAbQBvAG4AZAAgACgAZgBvAHUAcgAgAHAAaQBlAGMAZQBzACkALgBcAG4AXABuACAAIAAgACAAIAAgACAAIAAiICAAUgBpAG4AZwC7AyAAIAAgACAAIAAtACAAIAAgAEwAYQB5AGUAcgARIGIAYQBzAGUAZAAgAHAAZQByAGkAbQBlAHQAZQByACAAZQB4AHQAcgBhAGMAdABpAG8AbgAuAFwAbgBcAG4AIAAgACAAIAAgACAAIAAgACIgIABTAHEAdQBhAHIAZQC7AyAAIAAgAC0AIAAgACAAQwBoAGUAYgB5AHMAaABlAHYAESByAGEAZABpAHUAcwAgAHMAcQB1AGEAcgBlAC4AXABuAFwAbgAgACAAIAAgACAAIAAgACAAIiAgAFQAcgBpAGEAbgBnAGwAZQC7AyAALQAgACAAIABEAGkAcgBlAGMAdABpAG8AbgBhAGwAIAB0AHIAaQBhAG4AZwB1AGwAYQByACAAcgBlAGcAaQBvAG4AIAAoAGEAYgBvAHYAZQAgAG8AcgAgAGIAZQBsAG8AdwApAC4AXABuAFwAbgAgACAAIAAgAFUAdABpAGwAaQB0AGkAZQBzADoAXABuACAAIAAgACAAIAAgACAAIAAiICAAQwBHAHIAaQBkALsDLAAgAE0ARwByAGkAZAC7AywAIABSAGUAcwBpAHoAZQC7AywAIABTAHEAdQBlAGUAegBlALsDXABuAFwAbgAgACAAIAAgAEEAbABsACAAZgB1AG4AYwB0AGkAbwBuAHMAIABhAHIAZQAgAHMAaABhAHAAZQARIGQAcgBpAHYAZQBuADoAIAB0AGgAZQAgAGkAbgBwAHUAdAAgAGcAcgBpAGQAIABkAGUAdABlAHIAbQBpAG4AZQBzACAAdABoAGUAIABjAG8AbwByAGQAaQBuAGEAdABlAFwAbgAgACAAIAAgAGUAeAB0AGUAbgB0AHMAIABhAG4AZAAgAHQAaABlACAAZwBlAG8AbQBlAHQAcgB5ACAAbwBmACAAdABoAGUAIABlAHgAdAByAGEAYwB0AGUAZAAgAHIAZQBnAGkAbwBuAC4AXABuAC8AKgBcAG4AXABuACAAIAAgACAARQB4AGEAbQBwAGwAZQBzADoAXABuAFwAbgBcAG4ARwByAGkAZABcAHQAXAB0AFwAdABcAHQAXAB0AFwAdABcAHQAXAB0AFwAdABcAG4AMQBcAHQAMgBcAHQAMwBcAHQANABcAHQANQBcAHQANgBcAHQANwBcAHQAOABcAHQAOQBcAHQAMQAwAFwAbgAxADEAXAB0ADEAMgBcAHQAMQAzAFwAdAAxADQAXAB0ADEANQBcAHQAMQA2AFwAdAAxADcAXAB0ADEAOABcAHQAMQA5AFwAdAAyADAAXABuADIAMQBcAHQAMgAyAFwAdAAyADMAXAB0ADIANABcAHQAMgA1AFwAdAAyADYAXAB0ADIANwBcAHQAMgA4AFwAdAAyADkAXAB0ADMAMABcAG4AMwAxAFwAdAAzADIAXAB0ADMAMwBcAHQAMwA0AFwAdAAzADUAXAB0ADMANgBcAHQAMwA3AFwAdAAzADgAXAB0ADMAOQBcAHQANAAwAFwAbgA0ADEAXAB0ADQAMgBcAHQANAAzAFwAdAA0ADQAXAB0ADQANQBcAHQANAA2AFwAdAA0ADcAXAB0ADQAOABcAHQANAA5AFwAdAA1ADAAXABuADUAMQBcAHQANQAyAFwAdAA1ADMAXAB0ADUANABcAHQANQA1AFwAdAA1ADYAXAB0ADUANwBcAHQANQA4AFwAdAA1ADkAXAB0ADYAMABcAG4ANgAxAFwAdAA2ADIAXAB0ADYAMwBcAHQANgA0AFwAdAA2ADUAXAB0ADYANgBcAHQANgA3AFwAdAA2ADgAXAB0ADYAOQBcAHQANwAwAFwAbgA3ADEAXAB0ADcAMgBcAHQANwAzAFwAdAA3ADQAXAB0ADcANQBcAHQANwA2AFwAdAA3ADcAXAB0ADcAOABcAHQANwA5AFwAdAA4ADAAXABuADgAMQBcAHQAOAAyAFwAdAA4ADMAXAB0ADgANABcAHQAOAA1AFwAdAA4ADYAXAB0ADgANwBcAHQAOAA4AFwAdAA4ADkAXAB0ADkAMABcAG4AOQAxAFwAdAA5ADIAXAB0ADkAMwBcAHQAOQA0AFwAdAA5ADUAXAB0ADkANgBcAHQAOQA3AFwAdAA5ADgAXAB0ADkAOQBcAHQAMQAwADAAXABuAFwAdABcAHQAXAB0AFwAdABcAHQAXAB0AFwAdABcAHQAXAB0AFwAbgBDAGkAcgBjAGwAZQC7AygAZwByAGkAZAAsADQANQAsADUALABcACIAXAAiACkAXAB0AFwAdABcAHQAXAB0AFwAdABcAHQAXAB0AFwAdABcAHQAXABuAFwAdAAyAFwAdAAzAFwAdAA0AFwAdAA1AFwAdAA2AFwAdAA3AFwAdAA4AFwAdABcAHQAXABuADEAMQBcAHQAMQAyAFwAdAAxADMAXAB0ADEANABcAHQAMQA1AFwAdAAxADYAXAB0ADEANwBcAHQAMQA4AFwAdAAxADkAXAB0AFwAbgAyADEAXAB0ADIAMgBcAHQAMgAzAFwAdAAyADQAXAB0ADIANQBcAHQAMgA2AFwAdAAyADcAXAB0ADIAOABcAHQAMgA5AFwAdABcAG4AMwAxAFwAdAAzADIAXAB0ADMAMwBcAHQAMwA0AFwAdAAzADUAXAB0ADMANgBcAHQAMwA3AFwAdAAzADgAXAB0ADMAOQBcAHQAXABuADQAMQBcAHQANAAyAFwAdAA0ADMAXAB0ADQANABcAHQANAA1AFwAdAA0ADYAXAB0ADQANwBcAHQANAA4AFwAdAA0ADkAXAB0ADUAMABcAG4ANQAxAFwAdAA1ADIAXAB0ADUAMwBcAHQANQA0AFwAdAA1ADUAXAB0ADUANgBcAHQANQA3AFwAdAA1ADgAXAB0ADUAOQBcAHQAXABuADYAMQBcAHQANgAyAFwAdAA2ADMAXAB0ADYANABcAHQANgA1AFwAdAA2ADYAXAB0ADYANwBcAHQANgA4AFwAdAA2ADkAXAB0AFwAbgA3ADEAXAB0ADcAMgBcAHQANwAzAFwAdAA3ADQAXAB0ADcANQBcAHQANwA2AFwAdAA3ADcAXAB0ADcAOABcAHQANwA5AFwAdABcAG4AXAB0ADgAMgBcAHQAOAAzAFwAdAA4ADQAXAB0ADgANQBcAHQAOAA2AFwAdAA4ADcAXAB0ADgAOABcAHQAXAB0AFwAbgBcAHQAXAB0AFwAdABcAHQAOQA1AFwAdABcAHQAXAB0AFwAdABcAHQAXABuAFwAdABcAHQAXAB0AFwAdABcAHQAXAB0AFwAdABcAHQAXAB0AFwAbgBEAGkAYQBtAG8AbgBkALsDKABnAHIAaQBkACwAewA1ACwANQB9ACwAMwAsAFwAIgBcACIAKQBcAHQAXAB0AFwAdABcAHQAXAB0AFwAdABcAHQAXAB0AFwAdABcAG4AXAB0AFwAdABcAHQAMQA1AFwAdABcAHQAXAB0AFwAdABcAHQAXAB0AFwAbgBcAHQAXAB0ADIANABcAHQAMgA1AFwAdAAyADYAXAB0AFwAdABcAHQAXAB0AFwAdABcAG4AXAB0ADMAMwBcAHQAMwA0AFwAdAAzADUAXAB0ADMANgBcAHQAMwA3AFwAdABcAHQAXAB0AFwAdABcAG4ANAAyAFwAdAA0ADMAXAB0ADQANABcAHQANAA1AFwAdAA0ADYAXAB0ADQANwBcAHQANAA4AFwAdABcAHQAXAB0AFwAbgBcAHQANQAzAFwAdAA1ADQAXAB0ADUANQBcAHQANQA2AFwAdAA1ADcAXAB0AFwAdABcAHQAXAB0AFwAbgBcAHQAXAB0ADYANABcAHQANgA1AFwAdAA2ADYAXAB0AFwAdABcAHQAXAB0AFwAdABcAG4AXAB0AFwAdABcAHQANwA1AFwAdABcAHQAXAB0AFwAdABcAHQAXAB0AFwAbgBcAHQAXAB0AFwAdABcAHQAXAB0AFwAdABcAHQAXAB0AFwAdABcAG4AUABsAHUAcwC7AygAZwByAGkAZAAsADUANwAsADMALABcACIAXAAiACkAXAB0AFwAdABcAHQAXAB0AFwAdABcAHQAXAB0AFwAdABcAHQAXABuAFwAdABcAHQAXAB0ADIANwBcAHQAXAB0AFwAdABcAHQAXAB0AFwAdABcAG4AXAB0AFwAdABcAHQAMwA3AFwAdABcAHQAXAB0AFwAdABcAHQAXAB0AFwAbgBcAHQAXAB0AFwAdAA0ADcAXAB0AFwAdABcAHQAXAB0AFwAdABcAHQAXABuADUANABcAHQANQA1AFwAdAA1ADYAXAB0ADUANwBcAHQANQA4AFwAdAA1ADkAXAB0ADYAMABcAHQAXAB0AFwAdABcAG4AXAB0AFwAdABcAHQANgA3AFwAdABcAHQAXAB0AFwAdABcAHQAXAB0AFwAbgBcAHQAXAB0AFwAdAA3ADcAXAB0AFwAdABcAHQAXAB0AFwAdABcAHQAXABuAFwAdABcAHQAXAB0ADgANwBcAHQAXAB0AFwAdABcAHQAXAB0AFwAdABcAG4AXAB0AFwAdABcAHQAXAB0AFwAdABcAHQAXAB0AFwAdABcAHQAXABuAFAAeQByAGEAbQBpAGQAuwMoAGcAcgBpAGQALAAyACwAXAAiAHgAXAAiACkAXAB0AFwAdABcAHQAXAB0AFwAdABcAHQAXAB0AFwAdABcAHQAXABuAHgAXAB0AHgAXAB0AHgAXAB0AHgAXAB0AHgAXAB0AHgAXAB0AHgAXAB0AHgAXAB0AHgAXAB0ADEAMABcAG4AeABcAHQAeABcAHQAeABcAHQAeABcAHQAeABcAHQAeABcAHQAeABcAHQAeABcAHQAMQA5AFwAdAAyADAAXABuAHgAXAB0AHgAXAB0AHgAXAB0AHgAXAB0AHgAXAB0AHgAXAB0AHgAXAB0ADIAOABcAHQAMgA5AFwAdAAzADAAXABuAHgAXAB0AHgAXAB0AHgAXAB0AHgAXAB0AHgAXAB0AHgAXAB0ADMANwBcAHQAMwA4AFwAdAAzADkAXAB0ADQAMABcAG4AeABcAHQAeABcAHQAeABcAHQAeABcAHQAeABcAHQANAA2AFwAdAA0ADcAXAB0ADQAOABcAHQANAA5AFwAdAA1ADAAXABuAHgAXAB0AHgAXAB0AHgAXAB0AHgAXAB0ADUANQBcAHQANQA2AFwAdAA1ADcAXAB0ADUAOABcAHQANQA5AFwAdAA2ADAAXABuAHgAXAB0AHgAXAB0AHgAXAB0ADYANABcAHQANgA1AFwAdAA2ADYAXAB0ADYANwBcAHQANgA4AFwAdAA2ADkAXAB0ADcAMABcAG4AeABcAHQAeABcAHQANwAzAFwAdAA3ADQAXAB0ADcANQBcAHQANwA2AFwAdAA3ADcAXAB0ADcAOABcAHQANwA5AFwAdAA4ADAAXABuAHgAXAB0ADgAMgBcAHQAOAAzAFwAdAA4ADQAXAB0ADgANQBcAHQAOAA2AFwAdAA4ADcAXAB0ADgAOABcAHQAOAA5AFwAdAA5ADAAXABuADkAMQBcAHQAOQAyAFwAdAA5ADMAXAB0ADkANABcAHQAOQA1AFwAdAA5ADYAXAB0ADkANwBcAHQAOQA4AFwAdAA5ADkAXAB0ADEAMAAwAFwAbgBcAHQAXAB0AFwAdABcAHQAXAB0AFwAdABcAHQAXAB0AFwAdABcAG4AUgBpAG4AZwC7AygAZwByAGkAZAAsADIALABcACIALQBcACIAKQBcAHQAXAB0AFwAdABcAHQAXAB0AFwAdABcAHQAXAB0AFwAdABcAG4ALQBcAHQALQBcAHQALQBcAHQALQBcAHQALQBcAHQALQBcAHQALQBcAHQALQBcAHQALQBcAHQALQBcAG4ALQBcAHQAMQAyAFwAdAAxADMAXAB0ADEANABcAHQAMQA1AFwAdAAxADYAXAB0ADEANwBcAHQAMQA4AFwAdAAxADkAXAB0AC0AXABuAC0AXAB0ADIAMgBcAHQALQBcAHQALQBcAHQALQBcAHQALQBcAHQALQBcAHQALQBcAHQAMgA5AFwAdAAtAFwAbgAtAFwAdAAzADIAXAB0AC0AXAB0AC0AXAB0AC0AXAB0AC0AXAB0AC0AXAB0AC0AXAB0ADMAOQBcAHQALQBcAG4ALQBcAHQANAAyAFwAdAAtAFwAdAAtAFwAdAAtAFwAdAAtAFwAdAAtAFwAdAAtAFwAdAA0ADkAXAB0AC0AXABuAC0AXAB0ADUAMgBcAHQALQBcAHQALQBcAHQALQBcAHQALQBcAHQALQBcAHQALQBcAHQANQA5AFwAdAAtAFwAbgAtAFwAdAA2ADIAXAB0AC0AXAB0AC0AXAB0AC0AXAB0AC0AXAB0AC0AXAB0AC0AXAB0ADYAOQBcAHQALQBcAG4ALQBcAHQANwAyAFwAdAAtAFwAdAAtAFwAdAAtAFwAdAAtAFwAdAAtAFwAdAAtAFwAdAA3ADkAXAB0AC0AXABuAC0AXAB0ADgAMgBcAHQAOAAzAFwAdAA4ADQAXAB0ADgANQBcAHQAOAA2AFwAdAA4ADcAXAB0ADgAOABcAHQAOAA5AFwAdAAtAFwAbgAtAFwAdAAtAFwAdAAtAFwAdAAtAFwAdAAtAFwAdAAtAFwAdAAtAFwAdAAtAFwAdAAtAFwAdAAtAFwAbgBcAHQAXAB0AFwAdABcAHQAXAB0AFwAdABcAHQAXAB0AFwAdABcAG4AUwBxAHUAYQByAGUAuwMoAGcAcgBpAGQALAAyADcALAAzACwAXAAiAFwAIgApAFwAdABcAHQAXAB0AFwAdABcAHQAXAB0AFwAdABcAHQAXAB0AFwAbgA0AFwAdAA1AFwAdAA2AFwAdAA3AFwAdAA4AFwAdAA5AFwAdAAxADAAXAB0AFwAdABcAHQAXABuADEANABcAHQAMQA1AFwAdAAxADYAXAB0ADEANwBcAHQAMQA4AFwAdAAxADkAXAB0ADIAMABcAHQAXAB0AFwAdABcAG4AMgA0AFwAdAAyADUAXAB0ADIANgBcAHQAMgA3AFwAdAAyADgAXAB0ADIAOQBcAHQAMwAwAFwAdABcAHQAXAB0AFwAbgAzADQAXAB0ADMANQBcAHQAMwA2AFwAdAAzADcAXAB0ADMAOABcAHQAMwA5AFwAdAA0ADAAXAB0AFwAdABcAHQAXABuADQANABcAHQANAA1AFwAdAA0ADYAXAB0ADQANwBcAHQANAA4AFwAdAA0ADkAXAB0ADUAMABcAHQAXAB0AFwAdABcAG4ANQA0AFwAdAA1ADUAXAB0ADUANgBcAHQANQA3AFwAdAA1ADgAXAB0ADUAOQBcAHQANgAwAFwAdABcAHQAXAB0AFwAbgBcAHQAXAB0AFwAdABcAHQAXAB0AFwAdABcAHQAXAB0AFwAdABcAG4AVAByAGkAYQBuAGcAbABlALsDKABnAHIAaQBkACwANAA0ACwAMwAsACwAXAAiAFwAIgApACAALQAgAEEAYgBvAHYAZQBcAHQAXAB0AFwAdABcAHQAXAB0AFwAdABcAHQAXAB0AFwAdABcAG4AXAB0AFwAdABcAHQAMQA0AFwAdABcAHQAXAB0AFwAdABcAHQAXAB0AFwAbgBcAHQAXAB0ADIAMwBcAHQAMgA0AFwAdAAyADUAXAB0AFwAdABcAHQAXAB0AFwAdABcAG4AXAB0ADMAMgBcAHQAMwAzAFwAdAAzADQAXAB0ADMANQBcAHQAMwA2AFwAdABcAHQAXAB0AFwAdABcAG4ANAAxAFwAdAA0ADIAXAB0ADQAMwBcAHQANAA0AFwAdAA0ADUAXAB0ADQANgBcAHQANAA3AFwAdABcAHQAXAB0AFwAbgBcAHQAXAB0AFwAdABcAHQAXAB0AFwAdABcAHQAXAB0AFwAdABcAG4AVAByAGkAYQBuAGcAbABlALsDKABnAHIAaQBkACwANAA0ACwAMwAsADEALABcACIAXAAiACkAIAAtACAAQgBlAGwAbwB3AFwAdABcAHQAXAB0AFwAdABcAHQAXAB0AFwAdABcAHQAXAB0AFwAbgA0ADEAXAB0ADQAMgBcAHQANAAzAFwAdAA0ADQAXAB0ADQANQBcAHQANAA2AFwAdAA0ADcAXAB0AFwAdABcAHQAXABuAFwAdAA1ADIAXAB0ADUAMwBcAHQANQA0AFwAdAA1ADUAXAB0ADUANgBcAHQAXAB0AFwAdABcAHQAXABuAFwAdABcAHQANgAzAFwAdAA2ADQAXAB0ADYANQBcAHQAXAB0AFwAdABcAHQAXAB0AFwAbgBcAHQAXAB0AFwAdAA3ADQAXAB0AFwAdABcAHQAXAB0AFwAdABcAHQAXABuAFwAbgAqAC8AXABuAFwAbgBcAG4AXABuAC8AKgAgAFsARwBHADAAMQBdACAALQAtAC0ALQAtAC0ALQAtAC0ALQAtAC0ALQAtAC0ALQAtAC0ALQAtAC0ALQAtAC0ALQAtAC0ALQAtAC0ALQAtAC0ALQAtAC0ALQAtAC0ALQAtAC0ALQAtAC0ALQAtAC0ALQAtAC0ALQAtAC0ALQAtAC0ALQAtAC0ALQAtAC0ALQAtAC0ALQAtAC0ALQAtAC0ALQBcAG4ARgB1AG4AYwB0AGkAbwBuADoAIAAgACAAIAAgAEMAaQByAGMAbABlALsDXABuAEMAYQB0AGUAZwBvAHIAeQA6ACAAIAAgACAAIABHAHIAaQBkACAARwBlAG8AbQBlAHQAcgB5AFwAbgBBAHUAdABoAG8AcgA6ACAAIAAgACAAIAAgACAAUABhAHQAcgBpAGMAawAgAEgALgBcAG4AVgBlAHIAcwBpAG8AbgA6ACAAIAAgACAAIAAgADEALgAxAFwAbgBEAGUAcABlAG4AZABlAG4AYwBpAGUAcwA6ACAAQwBHAHIAaQBkALsDLAAgAFMAcQB1AGUAZQB6AGUAuwNcAG4AXABuAEQAZQBzAGMAcgBpAHAAdABpAG8AbgA6AFwAbgAgACAAIAAgAEUAeAB0AHIAYQBjAHQAcwAgAGEAIABjAGkAcgBjAHUAbABhAHIAIAByAGUAZwBpAG8AbgAgAGYAcgBvAG0AIABhACAAMgBEACAAYQByAHIAYQB5ACAAYgB5ACAAcwBwAGUAYwBpAGYAeQBpAG4AZwAgAHQAaABlACAAYwBlAG4AdABlAHIAIABhAG4AZAAgAGEAXABuACAAIAAgACAAcgBhAGQAaQB1AHMAIAAoAGUAeAB0AGUAbgBkACkALgAgAFQAaABlACAAYwBlAG4AdABlAHIAIABtAGEAeQAgAGIAZQAgAGcAaQB2AGUAbgAgAGEAcwAgAGEAIABzAGMAYQBsAGEAcgAgAGMAcgBpAHQAZQByAGkAbwBuACAAbwByACAAYQBzACAAZQB4AHAAbABpAGMAaQB0AFwAbgAgACAAIAAgAGMAbwBvAHIAZABpAG4AYQB0AGUAcwAgAHsAcgBvAHcALAAgAGMAbwBsAH0ALgAgAFQAaABlACAAZQB4AHQAcgBhAGMAdABlAGQAIAByAGUAZwBpAG8AbgAgAHAAcgBlAHMAZQByAHYAZQBzACAAaQB0AHMAIABnAGUAbwBtAGUAdAByAGkAYwAgAHMAaABhAHAAZQAsAFwAbgAgACAAIAAgAGEAbgBkACAAcgBvAHcAcwAvAGMAbwBsAHUAbQBuAHMAIABjAG8AbgB0AGEAaQBuAGkAbgBnACAAbwBuAGwAeQAgAGYAaQBsAGwAXwB2AGEAbAB1AGUAIABhAHIAZQAgAGEAdQB0AG8AbQBhAHQAaQBjAGEAbABsAHkAIAByAGUAbQBvAHYAZQBkAC4AXABuAFwAbgBQAGEAcgBhAG0AZQB0AGUAcgBzADoAXABuACAAIAAgACAAZwByAGkAZAAgACAAIAAgACAAIAAgACAALQAgAFIAZQBxAHUAaQByAGUAZAAgADIARAAgAGEAcgByAGEAeQAuAFwAbgAgACAAIAAgAHQAYQByAGcAZQB0ACAAIAAgACAAIAAgAC0AIABDAGUAbgB0AGUAcgAgAG8AZgAgAHQAaABlACAAYwBpAHIAYwBsAGUALgAgAE0AYQB5ACAAYgBlACAAYQAgAHMAYwBhAGwAYQByACAAYwByAGkAdABlAHIAaQBvAG4AIABvAHIAIABjAG8AbwByAGQAaQBuAGEAdABlAHMAXABuACAAIAAgACAAIAAgACAAIAAgACAAIAAgACAAIAAgACAAIAAgAG8AZgAgAHQAaABlACAAZgBvAHIAbQAgAHsAcgBvAHcALAAgAGMAbwBsAH0ALgBcAG4AIAAgACAAIABlAHgAdABlAG4AZAAgACAAIAAgACAAIAAtACAAUgBhAGQAaQB1AHMAIABvAGYAIAB0AGgAZQAgAGMAaQByAGMAbABlACAAKABtAHUAcwB0ACAAYgBlACAAYQAgAHAAbwBzAGkAdABpAHYAZQAgAGkAbgB0AGUAZwBlAHIAKQAuAFwAbgAgACAAIAAgAFsAZgBpAGwAbABfAHYAYQBsAHUAZQBdAC0AIABTAGMAYQBsAGEAcgAgAHUAcwBlAGQAIABvAHUAdABzAGkAZABlACAAdABoAGUAIABjAGkAcgBjAGwAZQAuACAARABlAGYAYQB1AGwAdABzACAAdABvACAAMAAuAFwAbgAtAC0ALQAtAC0ALQAtAC0ALQAtAC0ALQAtAC0ALQAtAC0ALQAtAC0ALQAtAC0ALQAtAC0ALQAtAC0ALQAtAC0ALQAtAC0ALQAtAC0ALQAtAC0ALQAtAC0ALQAtAC0ALQAtAC0ALQAtAC0ALQAtAC0ALQAtAC0ALQAtAC0ALQAtAC0ALQAtAC0ALQAtAC0ALQAtAC0ALQAtAC0ALQAqAC8AXABuAFwAbgBDAGkAcgBjAGwAZQC7AyAAPQBcAG4ATABBAE0AQgBEAEEAKABcAG4AIAAgACAAIABnAHIAaQBkACwAXABuACAAIAAgACAAdABhAHIAZwBlAHQALABcAG4AIAAgACAAIABlAHgAdABlAG4AZAAsAFwAbgAgACAAIAAgAFsAZgBpAGwAbABfAHYAYQBsAHUAZQBdACwAXABuAEwARQBUACgAXABuACAAIAAgACAALwAvACAARABpAG0AZQBuAHMAaQBvAG4AcwBcAG4AIAAgACAAIABoACwAIAAgACAAIAAgACAAIAAgACAAIAAgACAAIAAgAFIATwBXAFMAKABnAHIAaQBkACkALABcAG4AIAAgACAAIAB3ACwAIAAgACAAIAAgACAAIAAgACAAIAAgACAAIAAgAEMATwBMAFUATQBOAFMAKABnAHIAaQBkACkALABcAG4AXABuACAAIAAgACAALwAvACAAVABhAHIAZwBlAHQAIABpAG4AdABlAHIAcAByAGUAdABhAHQAaQBvAG4AXABuACAAIAAgACAASQBzAEkAXwBKAD8ALAAgACAAIAAgACAAIAAgACAAIABDAE8AVQBOAFQAKAB0AGEAcgBnAGUAdAApACAAPQAgADIALABcAG4AIAAgACAAIAByACwAIAAgACAAIAAgACAAIAAgACAAIAAgACAAIAAgAEkARgAoAEkAcwBJAF8ASgA/ACwAIABUAEEASwBFACgAdABhAHIAZwBlAHQALAAgADEALAAgADEAKQAsACAAMAApACwAXABuACAAIAAgACAAYwAsACAAIAAgACAAIAAgACAAIAAgACAAIAAgACAAIABJAEYAKABJAHMASQBfAEoAPwAsACAAVABBAEsARQAoAHQAYQByAGcAZQB0ACwAIAAtADEALAAgAC0AMQApACwAIAAwACkALABcAG4AXABuACAAIAAgACAALwAvACAAQgBvAG8AbABlAGEAbgAgAG0AYQB0AGMAaAAgAGYAbwByACAAcwBjAGEAbABhAHIAIAB0AGEAcgBnAGUAdABcAG4AIAAgACAAIABiAG8AbwBsACwAIAAgACAAIAAgACAAIAAgACAAIAAgAEkARgAoAEkAcwBJAF8ASgA/ACwAIABGAEEATABTAEUALAAgAGcAcgBpAGQAIAA9ACAAdABhAHIAZwBlAHQAKQAsAFwAbgBcAG4AIAAgACAAIAAvAC8AIABJAG4AcAB1AHQAIAB2AGEAbABpAGQAYQB0AGkAbwBuAFwAbgAgACAAIAAgAEkAcwBTAGMAYQBsAGEAcgA/ACwAIAAgACAAIAAgACAAQQBOAEQAKABoACAAPQAgADEALAAgAHcAIAA9ACAAMQApACwAXABuACAAIAAgACAASQBzADEARAA/ACwAIAAgACAAIAAgACAAIAAgACAAIABYAE8AUgAoAGgAIAA9ACAAMQAsACAAdwAgAD0AIAAxACkALABcAG4AIAAgACAAIABJAG4AdgBhAGwAaQBkAEUAeAB0AGUAbgBkAD8ALAAgAE8AUgAoAEkAUwBUAEUAWABUACgAZQB4AHQAZQBuAGQAKQAsACAAZQB4AHQAZQBuAGQAIAA8ACAAMQApACwAXABuACAAIAAgACAATgBvAFQAYQByAGcAZQB0AD8ALAAgACAAIAAgACAAIABJAEYAKABJAHMASQBfAEoAPwAsACAARgBBAEwAUwBFACwAIABOAE8AVAAoAE8AUgAoAGIAbwBvAGwAKQApACkALABcAG4AXABuACAAIAAgACAALwAvACAATwBwAHQAaQBvAG4AYQBsACAAZgBpAGwAbABcAG4AIAAgACAAIABmAGkAbABsAF8AdgBhAGwAdQBlACwAIAAgACAAIAAgAEkARgAoAEkAUwBPAE0ASQBUAFQARQBEACgAZgBpAGwAbABfAHYAYQBsAHUAZQApACwAIAAwACwAIABmAGkAbABsAF8AdgBhAGwAdQBlACkALABcAG4AXABuACAAIAAgACAALwAvACAATABvAGcAaQBjACAAZwBhAHQAZQBcAG4AIAAgACAAIABJAEYAKABJAHMAUwBjAGEAbABhAHIAPwAsACAAZwByAGkAZAAsAFwAbgBcAG4AIAAgACAAIAAgACAAIAAgAEkARgAoAEkAcwAxAEQAPwAsACAAXAAiACMAMQBEAC0AQQBSAFIAQQBZACEAXAAiACwAXABuAFwAbgAgACAAIAAgACAAIAAgACAAIAAgACAAIABJAEYAKABJAG4AdgBhAGwAaQBkAEUAeAB0AGUAbgBkAD8ALAAgAFwAIgAjAEUAWABUAEUATgBEACEAXAAiACwAXABuAFwAbgAgACAAIAAgACAAIAAgACAAIAAgACAAIAAgACAAIAAgAEkARgAoAE4AbwBUAGEAcgBnAGUAdAA/ACwAIABcACIAIwBUAEEAUgBHAEUAVAAhAFwAIgAsAFwAbgBcAG4ATABFAFQAKABcAG4AIAAgACAAIAAvAC8AIABNAGUAcwBoACAAZwByAGkAZABcAG4AIAAgACAAIABpACwAIAAgACAAIAAgACAAQwBHAHIAaQBkALsDKABnAHIAaQBkACkALABcAG4AIAAgACAAIABqACwAIAAgACAAIAAgACAAQwBHAHIAaQBkALsDKABnAHIAaQBkACwAIAAxACkALABcAG4AXABuACAAIAAgACAALwAvACAAQwBlAG4AdABlAHIAIABjAG8AbwByAGQAaQBuAGEAdABlAHMAXABuACAAIAAgACAAeAAsACAAIAAgACAAIAAgAEkARgAoAEkAcwBJAF8ASgA/ACwAIABJAE4ARABFAFgAKABpACwAIAByACwAIABjACkALAAgAFQATwBDAE8ATAAoAEkARgAoAGIAbwBvAGwALAAgAGkALAAgAE4AQQAoACkAKQAsACAAMgApACkALABcAG4AIAAgACAAIAB5ACwAIAAgACAAIAAgACAASQBGACgASQBzAEkAXwBKAD8ALAAgAEkATgBEAEUAWAAoAGoALAAgAHIALAAgAGMAKQAsACAAVABPAEMATwBMACgASQBGACgAYgBvAG8AbAAsACAAagAsACAATgBBACgAKQApACwAIAAyACkAKQAsAFwAbgBcAG4AIAAgACAAIAAvAC8AIABDAGkAcgBjAGwAZQAgAG0AYQBzAGsAXABuACAAIAAgACAAbQBhAHMAawAsACAAIAAgACgAaQAgAC0AIAB4ACkAXgAyACAAKwAgACgAagAgAC0AIAB5ACkAXgAyACAAPAA9ACAAZQB4AHQAZQBuAGQAXgAyACwAXABuAFwAbgAgACAAIAAgAC8ALwAgAEUAeAB0AHIAYQBjAHQAIABhAG4AZAAgAHMAcQB1AGUAZQB6AGUAXABuACAAIAAgACAAcgBlAHMAdQBsAHQALAAgAFMAcQB1AGUAZQB6AGUAuwMoAEkARgAoAG0AYQBzAGsALAAgAGcAcgBpAGQALAAgAGYAaQBsAGwAXwB2AGEAbAB1AGUAKQAsACAAZgBpAGwAbABfAHYAYQBsAHUAZQApACwAXABuAFwAbgAgACAAIAAgAHIAZQBzAHUAbAB0AFwAbgApACkAKQApACkAKQApADsAXABuAFwAbgBcAG4AXABuAC8AKgAgAFsARwBHADAAMgBdACAALQAtAC0ALQAtAC0ALQAtAC0ALQAtAC0ALQAtAC0ALQAtAC0ALQAtAC0ALQAtAC0ALQAtAC0ALQAtAC0ALQAtAC0ALQAtAC0ALQAtAC0ALQAtAC0ALQAtAC0ALQAtAC0ALQAtAC0ALQAtAC0ALQAtAC0ALQAtAC0ALQAtAC0ALQAtAC0ALQAtAC0ALQAtAC0ALQBcAG4ARgB1AG4AYwB0AGkAbwBuADoAIAAgACAAIAAgAEQAaQBhAG0AbwBuAGQAuwNcAG4AQwBhAHQAZQBnAG8AcgB5ADoAIAAgACAAIAAgAEcAcgBpAGQAIABHAGUAbwBtAGUAdAByAHkAXABuAEEAdQB0AGgAbwByADoAIAAgACAAIAAgACAAIABQAGEAdAByAGkAYwBrACAASAAuAFwAbgBWAGUAcgBzAGkAbwBuADoAIAAgACAAIAAgACAAMQAuADEAXABuAEQAZQBwAGUAbgBkAGUAbgBjAGkAZQBzADoAIABDAEcAcgBpAGQAuwMsACAAUwBxAHUAZQBlAHoAZQC7A1wAbgBcAG4ARABlAHMAYwByAGkAcAB0AGkAbwBuADoAXABuACAAIAAgACAARQB4AHQAcgBhAGMAdABzACAAYQAgAGQAaQBhAG0AbwBuAGQAESBzAGgAYQBwAGUAZAAgAHIAZQBnAGkAbwBuACAAKABNAGEAbgBoAGEAdAB0AGEAbgAgAHIAYQBkAGkAdQBzACkAIABmAHIAbwBtACAAYQAgADIARAAgAGEAcgByAGEAeQAgAGIAeQBcAG4AIAAgACAAIABzAHAAZQBjAGkAZgB5AGkAbgBnACAAdABoAGUAIABjAGUAbgB0AGUAcgAgAGEAbgBkACAAYQAgAGQAaQBzAHQAYQBuAGMAZQAuACAAVABoAGUAIABjAGUAbgB0AGUAcgAgAG0AYQB5ACAAYgBlACAAZwBpAHYAZQBuACAAYQBzACAAYQAgAHMAYwBhAGwAYQByAFwAbgAgACAAIAAgAGMAcgBpAHQAZQByAGkAbwBuACAAbwByACAAYQBzACAAZQB4AHAAbABpAGMAaQB0ACAAYwBvAG8AcgBkAGkAbgBhAHQAZQBzACAAewByAG8AdwAsACAAYwBvAGwAfQAuACAAVABoAGUAIABlAHgAdAByAGEAYwB0AGUAZAAgAHIAZQBnAGkAbwBuAFwAbgAgACAAIAAgAHAAcgBlAHMAZQByAHYAZQBzACAAaQB0AHMAIABnAGUAbwBtAGUAdAByAGkAYwAgAHMAaABhAHAAZQAsACAAYQBuAGQAIAByAG8AdwBzAC8AYwBvAGwAdQBtAG4AcwAgAGMAbwBuAHQAYQBpAG4AaQBuAGcAIABvAG4AbAB5ACAAZgBpAGwAbABfAHYAYQBsAHUAZQBcAG4AIAAgACAAIABhAHIAZQAgAGEAdQB0AG8AbQBhAHQAaQBjAGEAbABsAHkAIAByAGUAbQBvAHYAZQBkAC4AXABuAFwAbgBQAGEAcgBhAG0AZQB0AGUAcgBzADoAXABuACAAIAAgACAAZwByAGkAZAAgACAAIAAgACAAIAAgACAALQAgAFIAZQBxAHUAaQByAGUAZAAgADIARAAgAGEAcgByAGEAeQAuAFwAbgAgACAAIAAgAHQAYQByAGcAZQB0ACAAIAAgACAAIAAgAC0AIABDAGUAbgB0AGUAcgAgAG8AZgAgAHQAaABlACAAZABpAGEAbQBvAG4AZAAuACAATQBhAHkAIABiAGUAIABhACAAcwBjAGEAbABhAHIAIABjAHIAaQB0AGUAcgBpAG8AbgAgAG8AcgAgAGMAbwBvAHIAZABpAG4AYQB0AGUAcwBcAG4AIAAgACAAIAAgACAAIAAgACAAIAAgACAAIAAgACAAIAAgACAAbwBmACAAdABoAGUAIABmAG8AcgBtACAAewByAG8AdwAsACAAYwBvAGwAfQAuAFwAbgAgACAAIAAgAGQAaQBzAHQAYQBuAGMAZQAgACAAIAAgAC0AIABNAGEAbgBoAGEAdAB0AGEAbgAgAHIAYQBkAGkAdQBzACAAbwBmACAAdABoAGUAIABkAGkAYQBtAG8AbgBkACAAKABtAHUAcwB0ACAAYgBlACAAYQAgAHAAbwBzAGkAdABpAHYAZQAgAGkAbgB0AGUAZwBlAHIAKQAuAFwAbgAgACAAIAAgAFsAZgBpAGwAbABfAHYAYQBsAHUAZQBdAC0AIABTAGMAYQBsAGEAcgAgAHUAcwBlAGQAIABvAHUAdABzAGkAZABlACAAdABoAGUAIABkAGkAYQBtAG8AbgBkAC4AIABEAGUAZgBhAHUAbAB0AHMAIAB0AG8AIAAwAC4AXABuAC0ALQAtAC0ALQAtAC0ALQAtAC0ALQAtAC0ALQAtAC0ALQAtAC0ALQAtAC0ALQAtAC0ALQAtAC0ALQAtAC0ALQAtAC0ALQAtAC0ALQAtAC0ALQAtAC0ALQAtAC0ALQAtAC0ALQAtAC0ALQAtAC0ALQAtAC0ALQAtAC0ALQAtAC0ALQAtAC0ALQAtAC0ALQAtAC0ALQAtAC0ALQAtACoALwBcAG4AXABuAEQAaQBhAG0AbwBuAGQAuwMgAD0AXABuAEwAQQBNAEIARABBACgAXABuACAAIAAgACAAZwByAGkAZAAsAFwAbgAgACAAIAAgAHQAYQByAGcAZQB0ACwAXABuACAAIAAgACAAZABpAHMAdABhAG4AYwBlACwAXABuACAAIAAgACAAWwBmAGkAbABsAF8AdgBhAGwAdQBlAF0ALABcAG4ATABFAFQAKABcAG4AIAAgACAAIAAvAC8AIABEAGkAbQBlAG4AcwBpAG8AbgBzAFwAbgAgACAAIAAgAGgALAAgACAAIAAgACAAIAAgACAAIAAgACAAIAAgACAAIAAgAFIATwBXAFMAKABnAHIAaQBkACkALABcAG4AIAAgACAAIAB3ACwAIAAgACAAIAAgACAAIAAgACAAIAAgACAAIAAgACAAIABDAE8ATABVAE0ATgBTACgAZwByAGkAZAApACwAXABuAFwAbgAgACAAIAAgAC8ALwAgAFQAYQByAGcAZQB0ACAAaQBuAHQAZQByAHAAcgBlAHQAYQB0AGkAbwBuAFwAbgAgACAAIAAgAEkAcwBJAF8ASgA/ACwAIAAgACAAIAAgACAAIAAgACAAIAAgAEMATwBVAE4AVAAoAHQAYQByAGcAZQB0ACkAIAA9ACAAMgAsAFwAbgAgACAAIAAgAHIALAAgACAAIAAgACAAIAAgACAAIAAgACAAIAAgACAAIAAgAEkARgAoAEkAcwBJAF8ASgA/ACwAIABUAEEASwBFACgAdABhAHIAZwBlAHQALAAgADEALAAgADEAKQAsACAAMAApACwAXABuACAAIAAgACAAYwAsACAAIAAgACAAIAAgACAAIAAgACAAIAAgACAAIAAgACAASQBGACgASQBzAEkAXwBKAD8ALAAgAFQAQQBLAEUAKAB0AGEAcgBnAGUAdAAsACAALQAxACwAIAAtADEAKQAsACAAMAApACwAXABuAFwAbgAgACAAIAAgAC8ALwAgAEIAbwBvAGwAZQBhAG4AIABtAGEAdABjAGgAIABmAG8AcgAgAHMAYwBhAGwAYQByACAAdABhAHIAZwBlAHQAXABuACAAIAAgACAAYgBvAG8AbAAsACAAIAAgACAAIAAgACAAIAAgACAAIAAgACAASQBGACgASQBzAEkAXwBKAD8ALAAgAEYAQQBMAFMARQAsACAAZwByAGkAZAAgAD0AIAB0AGEAcgBnAGUAdAApACwAXABuAFwAbgAgACAAIAAgAC8ALwAgAEkAbgBwAHUAdAAgAHYAYQBsAGkAZABhAHQAaQBvAG4AXABuACAAIAAgACAASQBzAFMAYwBhAGwAYQByAD8ALAAgACAAIAAgACAAIAAgACAAQQBOAEQAKABoACAAPQAgADEALAAgAHcAIAA9ACAAMQApACwAXABuACAAIAAgACAASQBzADEARAA/ACwAIAAgACAAIAAgACAAIAAgACAAIAAgACAAWABPAFIAKABoACAAPQAgADEALAAgAHcAIAA9ACAAMQApACwAXABuACAAIAAgACAASQBuAHYAYQBsAGkAZABEAGkAcwB0AGEAbgBjAGUAPwAsACAATwBSACgASQBTAFQARQBYAFQAKABkAGkAcwB0AGEAbgBjAGUAKQAsACAAZABpAHMAdABhAG4AYwBlACAAPAAgADEAKQAsAFwAbgAgACAAIAAgAE4AbwBUAGEAcgBnAGUAdAA/ACwAIAAgACAAIAAgACAAIAAgAEkARgAoAEkAcwBJAF8ASgA/ACwAIABGAEEATABTAEUALAAgAE4ATwBUACgATwBSACgAYgBvAG8AbAApACkAKQAsAFwAbgBcAG4AIAAgACAAIAAvAC8AIABPAHAAdABpAG8AbgBhAGwAIABmAGkAbABsAFwAbgAgACAAIAAgAGYAaQBsAGwAXwB2AGEAbAB1AGUALAAgACAAIAAgACAAIAAgAEkARgAoAEkAUwBPAE0ASQBUAFQARQBEACgAZgBpAGwAbABfAHYAYQBsAHUAZQApACwAIAAwACwAIABmAGkAbABsAF8AdgBhAGwAdQBlACkALABcAG4AXABuACAAIAAgACAALwAvACAATABvAGcAaQBjACAAZwBhAHQAZQBcAG4AIAAgACAAIABJAEYAKABJAHMAUwBjAGEAbABhAHIAPwAsACAAZwByAGkAZAAsAFwAbgBcAG4AIAAgACAAIAAgACAAIAAgAEkARgAoAEkAcwAxAEQAPwAsACAAXAAiACMAMQBEAC0AQQBSAFIAQQBZACEAXAAiACwAXABuAFwAbgAgACAAIAAgACAAIAAgACAAIAAgACAAIABJAEYAKABJAG4AdgBhAGwAaQBkAEQAaQBzAHQAYQBuAGMAZQA/ACwAIABcACIAIwBEAEkAUwBUAEEATgBDAEUAIQBcACIALABcAG4AXABuACAAIAAgACAAIAAgACAAIAAgACAAIAAgACAAIAAgACAASQBGACgATgBvAFQAYQByAGcAZQB0AD8ALAAgAFwAIgAjAFQAQQBSAEcARQBUACEAXAAiACwAXABuAFwAbgBMAEUAVAAoAFwAbgAgACAAIAAgAC8ALwAgAE0AZQBzAGgAIABnAHIAaQBkAFwAbgAgACAAIAAgAGkALAAgACAAIAAgACAAIABDAEcAcgBpAGQAuwMoAGcAcgBpAGQAKQAsAFwAbgAgACAAIAAgAGoALAAgACAAIAAgACAAIABDAEcAcgBpAGQAuwMoAGcAcgBpAGQALAAgADEAKQAsAFwAbgBcAG4AIAAgACAAIAAvAC8AIABDAGUAbgB0AGUAcgAgAGMAbwBvAHIAZABpAG4AYQB0AGUAcwBcAG4AIAAgACAAIAB4ACwAIAAgACAAIAAgACAASQBGACgASQBzAEkAXwBKAD8ALAAgAEkATgBEAEUAWAAoAGkALAAgAHIALAAgAGMAKQAsACAAVABPAEMATwBMACgASQBGACgAYgBvAG8AbAAsACAAaQAsACAATgBBACgAKQApACwAIAAyACkAKQAsAFwAbgAgACAAIAAgAHkALAAgACAAIAAgACAAIABJAEYAKABJAHMASQBfAEoAPwAsACAASQBOAEQARQBYACgAagAsACAAcgAsACAAYwApACwAIABUAE8AQwBPAEwAKABJAEYAKABiAG8AbwBsACwAIABqACwAIABOAEEAKAApACkALAAgADIAKQApACwAXABuAFwAbgAgACAAIAAgAC8ALwAgAEQAaQBhAG0AbwBuAGQAIABtAGEAcwBrACAAKABNAGEAbgBoAGEAdAB0AGEAbgAgAGQAaQBzAHQAYQBuAGMAZQApAFwAbgAgACAAIAAgAG0AYQBzAGsALAAgACAAIABBAEIAUwAoAGkAIAAtACAAeAApACAAKwAgAEEAQgBTACgAagAgAC0AIAB5ACkAIAA8AD0AIABkAGkAcwB0AGEAbgBjAGUALABcAG4AXABuACAAIAAgACAALwAvACAARQB4AHQAcgBhAGMAdAAgAGEAbgBkACAAcwBxAHUAZQBlAHoAZQBcAG4AIAAgACAAIAByAGUAcwB1AGwAdAAsACAAUwBxAHUAZQBlAHoAZQC7AygASQBGACgAbQBhAHMAawAsACAAZwByAGkAZAAsACAAZgBpAGwAbABfAHYAYQBsAHUAZQApACwAIABmAGkAbABsAF8AdgBhAGwAdQBlACkALABcAG4AXABuACAAIAAgACAAcgBlAHMAdQBsAHQAXABuACkAKQApACkAKQApACkAOwBcAG4AXABuAFwAbgBcAG4ALwAqACAAWwBHAEcAMAAzAF0AIAAtAC0ALQAtAC0ALQAtAC0ALQAtAC0ALQAtAC0ALQAtAC0ALQAtAC0ALQAtAC0ALQAtAC0ALQAtAC0ALQAtAC0ALQAtAC0ALQAtAC0ALQAtAC0ALQAtAC0ALQAtAC0ALQAtAC0ALQAtAC0ALQAtAC0ALQAtAC0ALQAtAC0ALQAtAC0ALQAtAC0ALQAtAC0ALQAtAFwAbgBGAHUAbgBjAHQAaQBvAG4AOgAgACAAIAAgACAAUABsAHUAcwC7A1wAbgBDAGEAdABlAGcAbwByAHkAOgAgACAAIAAgACAARwByAGkAZAAgAEcAZQBvAG0AZQB0AHIAeQBcAG4AQQB1AHQAaABvAHIAOgAgACAAIAAgACAAIAAgAFAAYQB0AHIAaQBjAGsAIABIAC4AXABuAFYAZQByAHMAaQBvAG4AOgAgACAAIAAgACAAIAAxAC4AMQBcAG4ARABlAHAAZQBuAGQAZQBuAGMAaQBlAHMAOgAgAEMARwByAGkAZAC7AywAIABTAHEAdQBlAGUAegBlALsDXABuAFwAbgBEAGUAcwBjAHIAaQBwAHQAaQBvAG4AOgBcAG4AIAAgACAAIABFAHgAdAByAGEAYwB0AHMAIABhACAAcABsAHUAcwARIHMAaABhAHAAZQBkACAAcgBlAGcAaQBvAG4AIAAoAGUAeAB0AGUAbgBkAGUAZAAgAHYAbwBuACAATgBlAHUAbQBhAG4AbgAgAG4AZQBpAGcAaABiAG8AcgBoAG8AbwBkACkAIABmAHIAbwBtACAAYQAgADIARABcAG4AIAAgACAAIABhAHIAcgBhAHkAIABiAHkAIABzAHAAZQBjAGkAZgB5AGkAbgBnACAAdABoAGUAIABjAGUAbgB0AGUAcgAgAGEAbgBkACAAYQBuACAAZQB4AHQAZQBuAGQAIAB2AGEAbAB1AGUALgAgAFQAaABlACAAYwBlAG4AdABlAHIAIABtAGEAeQAgAGIAZQAgAGcAaQB2AGUAbgBcAG4AIAAgACAAIABhAHMAIABhACAAcwBjAGEAbABhAHIAIABjAHIAaQB0AGUAcgBpAG8AbgAgAG8AcgAgAGEAcwAgAGUAeABwAGwAaQBjAGkAdAAgAGMAbwBvAHIAZABpAG4AYQB0AGUAcwAgAHsAcgBvAHcALAAgAGMAbwBsAH0ALgAgAFQAaABlACAAZQB4AHQAcgBhAGMAdABlAGQAXABuACAAIAAgACAAcgBlAGcAaQBvAG4AIABwAHIAZQBzAGUAcgB2AGUAcwAgAGkAdABzACAAZwBlAG8AbQBlAHQAcgBpAGMAIABzAGgAYQBwAGUALAAgAGEAbgBkACAAcgBvAHcAcwAvAGMAbwBsAHUAbQBuAHMAIABjAG8AbgB0AGEAaQBuAGkAbgBnACAAbwBuAGwAeQBcAG4AIAAgACAAIABmAGkAbABsAF8AdgBhAGwAdQBlACAAYQByAGUAIABhAHUAdABvAG0AYQB0AGkAYwBhAGwAbAB5ACAAcgBlAG0AbwB2AGUAZAAuAFwAbgBcAG4AUABhAHIAYQBtAGUAdABlAHIAcwA6AFwAbgAgACAAIAAgAGcAcgBpAGQAIAAgACAAIAAgACAAIAAgAC0AIABSAGUAcQB1AGkAcgBlAGQAIAAyAEQAIABhAHIAcgBhAHkALgBcAG4AIAAgACAAIAB0AGEAcgBnAGUAdAAgACAAIAAgACAAIAAtACAAQwBlAG4AdABlAHIAIABvAGYAIAB0AGgAZQAgAHAAbAB1AHMALgAgAE0AYQB5ACAAYgBlACAAYQAgAHMAYwBhAGwAYQByACAAYwByAGkAdABlAHIAaQBvAG4AIABvAHIAIABjAG8AbwByAGQAaQBuAGEAdABlAHMAXABuACAAIAAgACAAIAAgACAAIAAgACAAIAAgACAAIAAgACAAIAAgAG8AZgAgAHQAaABlACAAZgBvAHIAbQAgAHsAcgBvAHcALAAgAGMAbwBsAH0ALgBcAG4AIAAgACAAIABlAHgAdABlAG4AZAAgACAAIAAgACAAIAAtACAAUgBhAGQAaQB1AHMAIABvAGYAIAB0AGgAZQAgAHAAbAB1AHMAIABhAHIAbQBzACAAKABtAHUAcwB0ACAAYgBlACAAYQAgAHAAbwBzAGkAdABpAHYAZQAgAGkAbgB0AGUAZwBlAHIAKQAuAFwAbgAgACAAIAAgAFsAZgBpAGwAbABfAHYAYQBsAHUAZQBdAC0AIABTAGMAYQBsAGEAcgAgAHUAcwBlAGQAIABvAHUAdABzAGkAZABlACAAdABoAGUAIABwAGwAdQBzAC4AIABEAGUAZgBhAHUAbAB0AHMAIAB0AG8AIAAwAC4AXABuAC0ALQAtAC0ALQAtAC0ALQAtAC0ALQAtAC0ALQAtAC0ALQAtAC0ALQAtAC0ALQAtAC0ALQAtAC0ALQAtAC0ALQAtAC0ALQAtAC0ALQAtAC0ALQAtAC0ALQAtAC0ALQAtAC0ALQAtAC0ALQAtAC0ALQAtAC0ALQAtAC0ALQAtAC0ALQAtAC0ALQAtAC0ALQAtAC0ALQAtAC0ALQAtACoALwBcAG4AXABuAFAAbAB1AHMAuwMgAD0AXABuAEwAQQBNAEIARABBACgAXABuACAAIAAgACAAZwByAGkAZAAsAFwAbgAgACAAIAAgAHQAYQByAGcAZQB0ACwAXABuACAAIAAgACAAZQB4AHQAZQBuAGQALABcAG4AIAAgACAAIABbAGYAaQBsAGwAXwB2AGEAbAB1AGUAXQAsAFwAbgBMAEUAVAAoAFwAbgAgACAAIAAgAC8ALwAgAEQAaQBtAGUAbgBzAGkAbwBuAHMAXABuACAAIAAgACAAaAAsACAAIAAgACAAIAAgACAAIAAgACAAIAAgACAAIABSAE8AVwBTACgAZwByAGkAZAApACwAXABuACAAIAAgACAAdwAsACAAIAAgACAAIAAgACAAIAAgACAAIAAgACAAIABDAE8ATABVAE0ATgBTACgAZwByAGkAZAApACwAXABuAFwAbgAgACAAIAAgAC8ALwAgAFQAYQByAGcAZQB0ACAAaQBuAHQAZQByAHAAcgBlAHQAYQB0AGkAbwBuAFwAbgAgACAAIAAgAEkAcwBJAF8ASgA/ACwAIAAgACAAIAAgACAAIAAgACAAQwBPAFUATgBUACgAdABhAHIAZwBlAHQAKQAgAD0AIAAyACwAXABuACAAIAAgACAAcgAsACAASQBGACgASQBzAEkAXwBKAD8ALAAgACAAIABUAEEASwBFACgAdABhAHIAZwBlAHQALAAgADEALAAgADEAKQAsACAAMAApACwAXABuACAAIAAgACAAYwAsACAASQBGACgASQBzAEkAXwBKAD8ALAAgACAAIABUAEEASwBFACgAdABhAHIAZwBlAHQALAAgAC0AMQAsACAALQAxACkALAAgADAAKQAsAFwAbgBcAG4AIAAgACAAIAAvAC8AIABCAG8AbwBsAGUAYQBuACAAbQBhAHQAYwBoACAAZgBvAHIAIABzAGMAYQBsAGEAcgAgAHQAYQByAGcAZQB0AFwAbgAgACAAIAAgAGIAbwBvAGwALAAgACAAIAAgACAAIAAgACAAIAAgACAASQBGACgASQBzAEkAXwBKAD8ALAAgAEYAQQBMAFMARQAsACAAZwByAGkAZAAgAD0AIAB0AGEAcgBnAGUAdAApACwAXABuAFwAbgAgACAAIAAgAC8ALwAgAEkAbgBwAHUAdAAgAHYAYQBsAGkAZABhAHQAaQBvAG4AXABuACAAIAAgACAASQBzAFMAYwBhAGwAYQByAD8ALAAgACAAIAAgACAAIABBAE4ARAAoAGgAIAA9ACAAMQAsACAAdwAgAD0AIAAxACkALABcAG4AIAAgACAAIABJAHMAMQBEAD8ALAAgACAAIAAgACAAIAAgACAAIAAgAFgATwBSACgAaAAgAD0AIAAxACwAIAB3ACAAPQAgADEAKQAsAFwAbgAgACAAIAAgAEkAbgB2AGEAbABpAGQARQB4AHQAZQBuAGQAPwAsACAATwBSACgASQBTAFQARQBYAFQAKABlAHgAdABlAG4AZAApACwAIABlAHgAdABlAG4AZAAgADwAIAAxACkALABcAG4AIAAgACAAIABOAG8AVABhAHIAZwBlAHQAPwAsACAAIAAgACAAIAAgAEkARgAoAEkAcwBJAF8ASgA/ACwAIABGAEEATABTAEUALAAgAE4ATwBUACgATwBSACgAYgBvAG8AbAApACkAKQAsAFwAbgBcAG4AIAAgACAAIAAvAC8AIABPAHAAdABpAG8AbgBhAGwAIABmAGkAbABsAFwAbgAgACAAIAAgAGYAaQBsAGwAXwB2AGEAbAB1AGUALAAgACAAIAAgACAASQBGACgASQBTAE8ATQBJAFQAVABFAEQAKABmAGkAbABsAF8AdgBhAGwAdQBlACkALAAgADAALAAgAGYAaQBsAGwAXwB2AGEAbAB1AGUAKQAsAFwAbgBcAG4AIAAgACAAIAAvAC8AIABMAG8AZwBpAGMAIABnAGEAdABlAFwAbgAgACAAIAAgAEkARgAoAEkAcwBTAGMAYQBsAGEAcgA/ACwAIABnAHIAaQBkACwAXABuAFwAbgAgACAAIAAgACAAIAAgACAASQBGACgASQBzADEARAA/ACwAIABcACIAIwAxAEQALQBBAFIAUgBBAFkAIQBcACIALABcAG4AXABuACAAIAAgACAAIAAgACAAIAAgACAAIAAgAEkARgAoAEkAbgB2AGEAbABpAGQARQB4AHQAZQBuAGQAPwAsACAAXAAiACMARQBYAFQARQBOAEQAIQBcACIALABcAG4AXABuACAAIAAgACAAIAAgACAAIAAgACAAIAAgACAAIAAgACAASQBGACgATgBvAFQAYQByAGcAZQB0AD8ALAAgAFwAIgAjAFQAQQBSAEcARQBUACEAXAAiACwAXABuAFwAbgBMAEUAVAAoAFwAbgAgACAAIAAgAC8ALwAgAE0AZQBzAGgAIABnAHIAaQBkAFwAbgAgACAAIAAgAGkALAAgACAAIAAgACAAIABDAEcAcgBpAGQAuwMoAGcAcgBpAGQAKQAsAFwAbgAgACAAIAAgAGoALAAgACAAIAAgACAAIABDAEcAcgBpAGQAuwMoAGcAcgBpAGQALAAgADEAKQAsAFwAbgBcAG4AIAAgACAAIAAvAC8AIABDAGUAbgB0AGUAcgAgAGMAbwBvAHIAZABpAG4AYQB0AGUAcwBcAG4AIAAgACAAIAB4ACwAIAAgACAAIAAgACAASQBGACgASQBzAEkAXwBKAD8ALAAgAEkATgBEAEUAWAAoAGkALAAgAHIALAAgAGMAKQAsACAAVABPAEMATwBMACgASQBGACgAYgBvAG8AbAAsACAAaQAsACAATgBBACgAKQApACwAIAAyACkAKQAsAFwAbgAgACAAIAAgAHkALAAgACAAIAAgACAAIABJAEYAKABJAHMASQBfAEoAPwAsACAASQBOAEQARQBYACgAagAsACAAcgAsACAAYwApACwAIABUAE8AQwBPAEwAKABJAEYAKABiAG8AbwBsACwAIABqACwAIABOAEEAKAApACkALAAgADIAKQApACwAXABuAFwAbgAgACAAIAAgAC8ALwAgAFAAbAB1AHMAIABtAGEAcwBrACAAKABoAG8AcgBpAHoAbwBuAHQAYQBsACAAKwAgAHYAZQByAHQAaQBjAGEAbAAgAGEAcgBtAHMAKQBcAG4AIAAgACAAIABtAGEAcwBrACwAIAAgACAAKABpACAAPQAgAHgAKQAgACoAIAAoAEEAQgBTACgAagAgAC0AIAB5ACkAIAA8AD0AIABlAHgAdABlAG4AZAApACAAKwBcAG4AIAAgACAAIAAgACAAIAAgACAAIAAgACAAKABqACAAPQAgAHkAKQAgACoAIAAoAEEAQgBTACgAaQAgAC0AIAB4ACkAIAA8AD0AIABlAHgAdABlAG4AZAApACwAXABuAFwAbgAgACAAIAAgAC8ALwAgAEUAeAB0AHIAYQBjAHQAIABhAG4AZAAgAHMAcQB1AGUAZQB6AGUAXABuACAAIAAgACAAcgBlAHMAdQBsAHQALAAgAFMAcQB1AGUAZQB6AGUAuwMoAEkARgAoAG0AYQBzAGsALAAgAGcAcgBpAGQALAAgAGYAaQBsAGwAXwB2AGEAbAB1AGUAKQAsACAAZgBpAGwAbABfAHYAYQBsAHUAZQApACwAXABuAFwAbgAgACAAIAAgAHIAZQBzAHUAbAB0AFwAbgApACkAKQApACkAKQApADsAXABuAFwAbgBcAG4AXABuAC8AKgAgAFsARwBHADAANABdACAALQAtAC0ALQAtAC0ALQAtAC0ALQAtAC0ALQAtAC0ALQAtAC0ALQAtAC0ALQAtAC0ALQAtAC0ALQAtAC0ALQAtAC0ALQAtAC0ALQAtAC0ALQAtAC0ALQAtAC0ALQAtAC0ALQAtAC0ALQAtAC0ALQAtAC0ALQAtAC0ALQAtAC0ALQAtAC0ALQAtAC0ALQAtAC0ALQBcAG4ARgB1AG4AYwB0AGkAbwBuADoAIAAgACAAIAAgAFAAeQByAGEAbQBpAGQAuwNcAG4AQwBhAHQAZQBnAG8AcgB5ADoAIAAgACAAIAAgAEcAcgBpAGQAIABHAGUAbwBtAGUAdAByAHkAXABuAEEAdQB0AGgAbwByADoAIAAgACAAIAAgACAAIABQAGEAdAByAGkAYwBrACAASAAuAFwAbgBWAGUAcgBzAGkAbwBuADoAIAAgACAAIAAgACAAMQAuADEAXABuAEQAZQBwAGUAbgBkAGUAbgBjAGkAZQBzADoAIABNAEcAcgBpAGQAuwNcAG4AXABuAEQAZQBzAGMAcgBpAHAAdABpAG8AbgA6AFwAbgAgACAAIAAgAEUAeAB0AHIAYQBjAHQAcwAgAG8AbgBlACAAbwBmACAAZgBvAHUAcgAgAHQAcgBpAGEAbgBnAHUAbABhAHIAIABcACIAcAB5AHIAYQBtAGkAZABcACIAIAByAGUAZwBpAG8AbgBzACAAZgByAG8AbQAgAGEAIAAyAEQAIABhAHIAcgBhAHkAIAB3AGgAaQBsAGUAXABuACAAIAAgACAAcAByAGUAcwBlAHIAdgBpAG4AZwAgAHMAaABhAHAAZQAuACAAUAB5AHIAYQBtAGkAZAAgAHIAZQBnAGkAbwBuAHMAIABhAHIAZQAgAGQAZQBmAGkAbgBlAGQAIAB1AHMAaQBuAGcAIAByAG8AdwAvAGMAbwBsAHUAbQBuACAAaQBuAGQAZQB4ACAAZwByAGkAZABzAFwAbgAgACAAIAAgAGcAZQBuAGUAcgBhAHQAZQBkACAAYgB5ACAATQBHAHIAaQBkALsDLgAgAEEAbgAgAG8AcAB0AGkAbwBuAGEAbAAgAGYAaQBsAGwAXwB2AGEAbAB1AGUAIABjAG8AbgB0AHIAbwBsAHMAIAB3AGgAYQB0ACAAYQBwAHAAZQBhAHIAcwAgAG8AdQB0AHMAaQBkAGUAIAB0AGgAZQBcAG4AIAAgACAAIABzAGUAbABlAGMAdABlAGQAIAByAGUAZwBpAG8AbgAuAFwAbgBcAG4AIAAgACAAIABQAHkAcgBhAG0AaQBkACAAcABpAGUAYwBlAHMAIAAoAGMAbABvAGMAawB3AGkAcwBlACkAOgBcAG4AIAAgACAAIAAgACAAIAAgADEAIAAtACAAVQBwAHAAZQByACAAcgBpAGcAaAB0AFwAbgAgACAAIAAgACAAIAAgACAAMgAgAC0AIABMAG8AdwBlAHIAIAByAGkAZwBoAHQAXABuACAAIAAgACAAIAAgACAAIAAzACAALQAgAEwAbwB3AGUAcgAgAGwAZQBmAHQAXABuACAAIAAgACAAIAAgACAAIAA0ACAALQAgAFUAcABwAGUAcgAgAGwAZQBmAHQAXABuAFwAbgAgACAAIAAgAFAAeQByAGEAbQBpAGQAIABlAHgAdAByAGEAYwB0AGkAbwBuAHMAIABhAHIAZQAgAG0AbwBzAHQAIABtAGUAYQBuAGkAbgBnAGYAdQBsACAAbwBuACAAcwBxAHUAYQByAGUAIABvAHIAIABuAGUAYQByABEgcwBxAHUAYQByAGUAIABtAGEAdAByAGkAYwBlAHMALgBcAG4AIAAgACAAIABPAG4AIAB0AGEAbABsACAAbwByACAAbgBhAHIAcgBvAHcAIABtAGEAdAByAGkAYwBlAHMALAAgAHQAaABlACAAcgBlAHMAdQBsAHQAaQBuAGcAIABzAGgAYQBwAGUAcwAgAG0AYQB5ACAAYgBlACAAdgBpAHMAdQBhAGwAbAB5ACAAcwBrAGUAdwBlAGQALgBcAG4AXABuAFAAYQByAGEAbQBlAHQAZQByAHMAOgBcAG4AIAAgACAAIABhAHIAcgBhAHkAIAAgACAAIAAgACAAIAAgAC0AIAAyAEQAIABhAHIAcgBhAHkAIABmAHIAbwBtACAAdwBoAGkAYwBoACAAdABvACAAZQB4AHQAcgBhAGMAdAAgAHQAaABlACAAcgBlAGcAaQBvAG4ALgBcAG4AIAAgACAAIABbAHAAaQBlAGMAZQBdACAAIAAgACAAIAAgAC0AIABJAG4AdABlAGcAZQByACAAMQATIDQAIABzAGUAbABlAGMAdABpAG4AZwAgAHQAaABlACAAcAB5AHIAYQBtAGkAZAAgAHIAZQBnAGkAbwBuAC4AIABEAGUAZgBhAHUAbAB0AHMAIAB0AG8AIAAxAC4AXABuACAAIAAgACAAWwBmAGkAbABsAF8AdgBhAGwAdQBlAF0AIAAtACAAUwBjAGEAbABhAHIAIAB1AHMAZQBkACAAbwB1AHQAcwBpAGQAZQAgAHQAaABlACAAcgBlAGcAaQBvAG4ALgAgAEQAZQBmAGEAdQBsAHQAcwAgAHQAbwAgAFwAIgBcACIALgBcAG4ALQAtAC0ALQAtAC0ALQAtAC0ALQAtAC0ALQAtAC0ALQAtAC0ALQAtAC0ALQAtAC0ALQAtAC0ALQAtAC0ALQAtAC0ALQAtAC0ALQAtAC0ALQAtAC0ALQAtAC0ALQAtAC0ALQAtAC0ALQAtAC0ALQAtAC0ALQAtAC0ALQAtAC0ALQAtAC0ALQAtAC0ALQAtAC0ALQAtAC0ALQAtAC0AKgAvAFwAbgBcAG4AUAB5AHIAYQBtAGkAZAC7AyAAPQBcAG4ATABBAE0AQgBEAEEAKABcAG4AIAAgACAAIABhAHIAcgBhAHkALABcAG4AIAAgACAAIABbAHAAaQBlAGMAZQBdACwAXABuACAAIAAgACAAWwBmAGkAbABsAF8AdgBhAGwAdQBlAF0ALABcAG4ATABFAFQAKABcAG4AIAAgACAAIAAvAC8AIABWAGEAbABpAGQAYQB0AGUAIABwAGkAZQBjAGUAXABuACAAIAAgACAAcABpAGUAYwBlACwAIAAgACAAIAAgACAAIAAgACAASQBGACgASQBTAE8ATQBJAFQAVABFAEQAKABwAGkAZQBjAGUAKQAsACAAMQAsACAAcABpAGUAYwBlACkALABcAG4AIAAgACAAIABJAG4AdgBhAGwAaQBkAFAAaQBlAGMAZQA/ACwAIABPAFIAKABwAGkAZQBjAGUAIAA8ACAAMQAsACAAcABpAGUAYwBlACAAPgAgADQALAAgAEkAUwBUAEUAWABUACgAcABpAGUAYwBlACkAKQAsAFwAbgBcAG4AIAAgACAAIAAvAC8AIABPAHAAdABpAG8AbgBhAGwAIABmAGkAbABsAFwAbgAgACAAIAAgAGYAaQBsAGwAXwB2AGEAbAB1AGUALAAgACAAIAAgAEkARgAoAEkAUwBPAE0ASQBUAFQARQBEACgAZgBpAGwAbABfAHYAYQBsAHUAZQApACwAIABcACIAXAAiACwAIABmAGkAbABsAF8AdgBhAGwAdQBlACkALABcAG4AXABuAC8ALwAgAEwAbwBnAGkAYwAgAGcAYQB0AGUAXABuACAAIAAgACAASQBGACgASQBuAHYAYQBsAGkAZABQAGkAZQBjAGUAPwAsACAAXAAiACMAUABJAEUAQwBFACEAXAAiACwAXABuAFwAbgBMAEUAVAAoAFwAbgAgACAAIAAgAC8ALwAgAEQAaQBtAGUAbgBzAGkAbwBuAHMAXABuACAAIAAgACAAaAAsACAAIAAgACAAIAAgACAAIAAgACAAIABSAE8AVwBTACgAYQByAHIAYQB5ACkALABcAG4AIAAgACAAIAB3ACwAIAAgACAAIAAgACAAIAAgACAAIAAgAEMATwBMAFUATQBOAFMAKABhAHIAcgBhAHkAKQAsAFwAbgBcAG4AIAAgACAAIAAvAC8AIABJAG4AZABlAHgAIABnAHIAaQBkAHMAXABuACAAIAAgACAAaQAsACAAIAAgACAAIAAgACAAIAAgACAAIABNAEcAcgBpAGQAuwMoAGEAcgByAGEAeQApACwAXABuACAAIAAgACAAagAsACAAIAAgACAAIAAgACAAIAAgACAAIABNAEcAcgBpAGQAuwMoAGEAcgByAGEAeQAsACAAMQApACwAXABuAFwAbgAgACAAIAAgAC8ALwAgAFAAeQByAGEAbQBpAGQAIABtAGEAcwBrAHMAIAAoAGMAbABvAGMAawB3AGkAcwBlACkAXABuACAAIAAgACAAdQBwAHAAZQByAF8AcgBpAGcAaAB0ACwAIABpACAAPAA9ACAAagAsACAAIAAgACAAIAAgACAAIAAgACAALwAvACAAMQBcAG4AIAAgACAAIABsAG8AdwBlAHIAXwByAGkAZwBoAHQALAAgAGkAIAArACAAagAgAD4APQAgAGgAIAArACAAMQAsACAAIAAvAC8AIAAyAFwAbgAgACAAIAAgAGwAbwB3AGUAcgBfAGwAZQBmAHQALAAgACAAaQAgAD4APQAgAGoALAAgACAAIAAgACAAIAAgACAAIAAgAC8ALwAgADMAXABuACAAIAAgACAAdQBwAHAAZQByAF8AbABlAGYAdAAsACAAIABpACAAKwAgAGoAIAA8AD0AIABoACAAKwAgADEALAAgACAALwAvACAANABcAG4AXABuACAAIAAgACAALwAvACAAUwBlAGwAZQBjAHQAIAByAGUAZwBpAG8AbgBcAG4AIAAgACAAIABtAGEAcwBrACwAIAAgACAAIAAgACAAIAAgAEkARgAoAHAAaQBlAGMAZQAgAD0AIAAxACwAIAB1AHAAcABlAHIAXwByAGkAZwBoAHQALABcAG4AIAAgACAAIAAgACAAIAAgACAAIAAgACAAIAAgACAAIAAgACAAIAAgAEkARgAoAHAAaQBlAGMAZQAgAD0AIAAyACwAIABsAG8AdwBlAHIAXwByAGkAZwBoAHQALABcAG4AIAAgACAAIAAgACAAIAAgACAAIAAgACAAIAAgACAAIAAgACAAIAAgACAAIAAgACAASQBGACgAcABpAGUAYwBlACAAPQAgADMALAAgAGwAbwB3AGUAcgBfAGwAZQBmAHQALABcAG4AIAAgACAAIAAgACAAIAAgACAAIAAgACAAIAAgACAAIAAgACAAIAAgACAAIAAgACAAIAAgACAAIAAgACAAIAAgACAAIAAgACAAIAAgAHUAcABwAGUAcgBfAGwAZQBmAHQAKQApACkALABcAG4AXABuACAAIAAgACAALwAvACAAQQBwAHAAbAB5ACAAbQBhAHMAawBcAG4AIAAgACAAIAByAGUAcwB1AGwAdAAsACAAIAAgACAAIAAgAEkARgAoAG0AYQBzAGsALAAgAGEAcgByAGEAeQAsACAAZgBpAGwAbABfAHYAYQBsAHUAZQApACwAXABuAFwAbgAgACAAIAAgAHIAZQBzAHUAbAB0AFwAbgApACkAKQApADsAXABuAFwAbgBcAG4AXABuAC8AKgAgAFsARwBHADAANQBdACAALQAtAC0ALQAtAC0ALQAtAC0ALQAtAC0ALQAtAC0ALQAtAC0ALQAtAC0ALQAtAC0ALQAtAC0ALQAtAC0ALQAtAC0ALQAtAC0ALQAtAC0ALQAtAC0ALQAtAC0ALQAtAC0ALQAtAC0ALQAtAC0ALQAtAC0ALQAtAC0ALQAtAC0ALQAtAC0ALQAtAC0ALQAtAC0ALQBcAG4ARgB1AG4AYwB0AGkAbwBuADoAIAAgACAAIAAgAFIAaQBuAGcAuwNcAG4AQwBhAHQAZQBnAG8AcgB5ADoAIAAgACAAIAAgAEcAcgBpAGQAIABHAGUAbwBtAGUAdAByAHkAXABuAEEAdQB0AGgAbwByADoAIAAgACAAIAAgACAAIABQAGEAdAByAGkAYwBrACAASAAuAFwAbgBWAGUAcgBzAGkAbwBuADoAIAAgACAAIAAgACAAMQAuADEAXABuAEQAZQBwAGUAbgBkAGUAbgBjAGkAZQBzADoAIABNAEcAcgBpAGQAuwNcAG4AXABuAEQAZQBzAGMAcgBpAHAAdABpAG8AbgA6AFwAbgAgACAAIAAgAEUAeAB0AHIAYQBjAHQAcwAgAGEAIABzAGkAbgBnAGwAZQAgAHIAaQBuAGcAIAAoAGwAYQB5AGUAcgApACAAZgByAG8AbQAgAGEAIAAyAEQAIABnAHIAaQBkACAAdwBoAGkAbABlACAAcAByAGUAcwBlAHIAdgBpAG4AZwAgAHQAaABlACAAbwB2AGUAcgBhAGwAbABcAG4AIAAgACAAIABzAGgAYQBwAGUAIABvAGYAIAB0AGgAZQAgAGcAcgBpAGQALgAgAEwAYQB5AGUAcgAgADEAIABjAG8AcgByAGUAcwBwAG8AbgBkAHMAIAB0AG8AIAB0AGgAZQAgAG8AdQB0AGUAcgBtAG8AcwB0ACAAcABlAHIAaQBtAGUAdABlAHIALAAgAGEAbgBkACAAaABpAGcAaABlAHIAXABuACAAIAAgACAAbABhAHkAZQByAHMAIABtAG8AdgBlACAAaQBuAHcAYQByAGQALgAgAFQAaABlACAAbwB1AHQAcAB1AHQAIABhAGwAdwBhAHkAcwAgAG0AYQB0AGMAaABlAHMAIAB0AGgAZQAgAGQAaQBtAGUAbgBzAGkAbwBuAHMAIABvAGYAIAB0AGgAZQAgAGkAbgBwAHUAdABcAG4AIAAgACAAIABnAHIAaQBkACwAIAB3AGkAdABoACAAYQBsAGwAIABuAG8AbgARIHIAaQBuAGcAIABjAGUAbABsAHMAIABmAGkAbABsAGUAZAAgAHUAcwBpAG4AZwAgAGYAaQBsAGwAXwB2AGEAbAB1AGUALgBcAG4AXABuAFAAYQByAGEAbQBlAHQAZQByAHMAOgBcAG4AIAAgACAAIABnAHIAaQBkACAAIAAgACAAIAAgACAAIAAtACAAUgBlAHEAdQBpAHIAZQBkACAAMgBEACAAYQByAHIAYQB5ACAAcgBlAHAAcgBlAHMAZQBuAHQAaQBuAGcAIAB0AGgAZQAgAGYAdQBsAGwAIABnAHIAaQBkAC4AXABuACAAIAAgACAAbABhAHkAZQByACAAIAAgACAAIAAgACAALQAgAEkAbgB0AGUAZwBlAHIAIABlIiAAMQAgAHMAcABlAGMAaQBmAHkAaQBuAGcAIAB3AGgAaQBjAGgAIAByAGkAbgBnACAAdABvACAAZQB4AHQAcgBhAGMAdAAuAFwAbgAgACAAIAAgACAAIAAgACAAIAAgACAAIAAgACAAIAAgACAAIABMAGEAeQBlAHIAcwAgAGUAeABjAGUAZQBkAGkAbgBnACAAdABoAGUAIABpAG4AbgBlAHIAbQBvAHMAdAAgAHIAaQBuAGcAIAByAGUAdAB1AHIAbgAgAFwAIgAjAE0AQQBYAC0ATABBAFkARQBSADoAIABuAFwAIgAuAFwAbgAgACAAIAAgAFsAZgBpAGwAbABfAHYAYQBsAHUAZQBdAC0AIABTAGMAYQBsAGEAcgAgAHUAcwBlAGQAIAB0AG8AIABmAGkAbABsACAAbgBvAG4AESByAGkAbgBnACAAYwBlAGwAbABzAC4AIABEAGUAZgBhAHUAbAB0AHMAIAB0AG8AIAAwAC4AXABuAFwAbgBOAG8AdABlAHMAOgBcAG4AIAAgACAAIAAiICAAVABoAGkAcwAgAGYAdQBuAGMAdABpAG8AbgAgAHAAZQByAGYAbwByAG0AcwAgAG4AbwAgAHIAbwB0AGEAdABpAG8AbgA7ACAAaQB0ACAAbwBuAGwAeQAgAGUAeAB0AHIAYQBjAHQAcwAgAHQAaABlACAAcgBpAG4AZwAgAG0AYQBzAGsALgBcAG4AIAAgACAAIAAiICAARABlAGcAZQBuAGUAcgBhAHQAZQAgAHIAaQBuAGcAcwAgACgAMQDXAE4ALAAgAE4A1wAxACwAIAAyANcATgAsACAAZQB0AGMALgApACAAYQByAGUAIABwAHIAZQBzAGUAcgB2AGUAZAAgAGUAeABhAGMAdABsAHkALgBcAG4AIAAgACAAIAAiICAAUgBpAG4AZwBSAG8AdABhAHQAZQC7AyAAYQBuAGQAIABSAGkAbgBnAFIAbwB0AGEAdABlAFIAZQB2ALsDIAByAGUAbAB5ACAAbwBuACAAUgBpAG4AZwC7AyAAdABvACAAaQBkAGUAbgB0AGkAZgB5ACAAcgBpAG4AZwAgAGIAbwB1AG4AZABhAHIAaQBlAHMALgBcAG4ALQAtAC0ALQAtAC0ALQAtAC0ALQAtAC0ALQAtAC0ALQAtAC0ALQAtAC0ALQAtAC0ALQAtAC0ALQAtAC0ALQAtAC0ALQAtAC0ALQAtAC0ALQAtAC0ALQAtAC0ALQAtAC0ALQAtAC0ALQAtAC0ALQAtAC0ALQAtAC0ALQAtAC0ALQAtAC0ALQAtAC0ALQAtAC0ALQAtAC0ALQAtAC0AKgAvAFwAbgBcAG4AUgBpAG4AZwC7AyAAPQBcAG4ATABBAE0AQgBEAEEAKABcAG4AIAAgACAAIABnAHIAaQBkACwAXABuACAAIAAgACAAbABhAHkAZQByACwAXABuACAAIAAgACAAWwBmAGkAbABsAF8AdgBhAGwAdQBlAF0ALABcAG4ATABFAFQAKABcAG4AIAAgACAAIAAvAC8AIABEAGkAbQBlAG4AcwBpAG8AbgBzAFwAbgAgACAAIAAgAGgALAAgACAAIAAgACAAIAAgACAAIAAgACAAIAAgAFIATwBXAFMAKABnAHIAaQBkACkALABcAG4AIAAgACAAIAB3ACwAIAAgACAAIAAgACAAIAAgACAAIAAgACAAIABDAE8ATABVAE0ATgBTACgAZwByAGkAZAApACwAXABuAFwAbgAgACAAIAAgAC8ALwAgAFYAYQBsAGkAZABhAHQAaQBvAG4AXABuACAAIAAgACAASQBzAFMAYwBhAGwAYQByAD8ALAAgACAAIAAgACAAQQBOAEQAKABoACAAPQAgADEALAAgAHcAIAA9ACAAMQApACwAXABuACAAIAAgACAASQBzADEARAA/ACwAIAAgACAAIAAgACAAIAAgACAATwBSACgAaAAgAD0AIAAxACwAIAB3ACAAPQAgADEAKQAsAFwAbgAgACAAIAAgAEkAbgB2AGEAbABpAGQATABhAHkAZQByAD8ALAAgAE8AUgAoAEkAUwBUAEUAWABUACgAbABhAHkAZQByACkALAAgAGwAYQB5AGUAcgAgADwAPQAgADAAKQAsAFwAbgAgACAAIAAgAE0AYQB4AEwAYQB5AGUAcgAsACAAIAAgACAAIAAgAEkATgBUACgAKABNAEkATgAoAGgALAAgAHcAKQAgACsAIAAxACkAIAAvACAAMgApACwAXABuAFwAbgAgACAAIAAgAC8ALwAgAEwAbwBnAGkAYwAgAGcAYQB0AGUAXABuACAAIAAgACAASQBGACgASQBzAFMAYwBhAGwAYQByAD8ALAAgAGcAcgBpAGQALABcAG4AXABuACAAIAAgACAAIAAgACAAIABJAEYAKABJAHMAMQBEAD8ALAAgAFwAIgAjADEARAAtAEEAUgBSAEEAWQAhAFwAIgAsAFwAbgBcAG4AIAAgACAAIAAgACAAIAAgACAAIAAgACAASQBGACgASQBuAHYAYQBsAGkAZABMAGEAeQBlAHIAPwAsACAAXAAiACMATABBAFkARQBSACEAXAAiACwAXABuAFwAbgAgACAAIAAgACAAIAAgACAAIAAgACAAIAAgACAAIAAgAEkARgAoAGwAYQB5AGUAcgAgAD4AIABNAGEAeABMAGEAeQBlAHIALAAgAFwAIgAjAE0AQQBYAC0ATABBAFkARQBSADoAIABcACIAIAAmACAATQBhAHgATABhAHkAZQByACwAXABuAFwAbgBMAEUAVAAoAFwAbgAgACAAIAAgAC8ALwAgAE8AcAB0AGkAbwBuAGEAbAAgAGYAaQBsAGwAXABuACAAIAAgACAAZgBpAGwAbABfAHYAYQBsAHUAZQAsACAAIABJAEYAKABJAFMATwBNAEkAVABUAEUARAAoAGYAaQBsAGwAXwB2AGEAbAB1AGUAKQAsACAAMAAsACAAZgBpAGwAbABfAHYAYQBsAHUAZQApACwAXABuAFwAbgAgACAAIAAgAC8ALwAgAEkAbgBkAGUAeAAgAGcAcgBpAGQAcwBcAG4AIAAgACAAIABpACwAIAAgACAAIAAgACAAIAAgACAAIAAgAE0ARwByAGkAZAC7AygAZwByAGkAZAApACwAXABuACAAIAAgACAAagAsACAAIAAgACAAIAAgACAAIAAgACAAIABNAEcAcgBpAGQAuwMoAGcAcgBpAGQALAAgADEAKQAsAFwAbgBcAG4AIAAgACAAIAAvAC8AIABSAGkAbgBnACAAZQBkAGcAZQBzAFwAbgAgACAAIAAgAHQAbwBwACwAIAAgACAAIAAgACAAIAAgACAAKAAoAGkAIAA9ACAAbABhAHkAZQByACkAIAArACAAKABpACAAPQAgADEAIAArACAAaAAgAC0AIABsAGEAeQBlAHIAKQApACAAKgBcAG4AIAAgACAAIAAgACAAIAAgACAAIAAgACAAIAAgACAAIAAgACgAKABqACAAPgAgAGwAYQB5AGUAcgAgAC0AIAAxACkAIAAqACAAKABqACAAPAA9ACAAMQAgACsAIAB3ACAALQAgAGwAYQB5AGUAcgApACkALABcAG4AXABuACAAIAAgACAAcwBpAGQAZQAsACAAIAAgACAAIAAgACAAIAAoACgAagAgAD0AIABsAGEAeQBlAHIAKQAgACsAIAAoAGoAIAA9ACAAMQAgACsAIAB3ACAALQAgAGwAYQB5AGUAcgApACkAIAAqAFwAbgAgACAAIAAgACAAIAAgACAAIAAgACAAIAAgACAAIAAgACAAKAAoAGkAIAA+ACAAbABhAHkAZQByACAALQAgADEAKQAgACoAIAAoAGkAIAA8AD0AIAAxACAAKwAgAGgAIAAtACAAbABhAHkAZQByACkAKQAsAFwAbgBcAG4AIAAgACAAIAAvAC8AIABDAG8AbQBiAGkAbgBlAGQAIAByAGkAbgBnACAAbQBhAHMAawBcAG4AIAAgACAAIABtAGEAcwBrACwAIAAgACAAIAAgACAAIAAgAFMASQBHAE4AKAB0AG8AcAAgACsAIABzAGkAZABlACkALABcAG4AXABuACAAIAAgACAALwAvACAAQQBwAHAAbAB5ACAAbQBhAHMAawBcAG4AIAAgACAAIAByAGUAcwB1AGwAdAAsACAAIAAgACAAIAAgAEkARgAoAG0AYQBzAGsALAAgAGcAcgBpAGQALAAgAGYAaQBsAGwAXwB2AGEAbAB1AGUAKQAsAFwAbgBcAG4AIAAgACAAIAByAGUAcwB1AGwAdABcAG4AKQApACkAKQApACkAKQA7AFwAbgBcAG4AXABuAFwAbgAvACoAIABbAEcARwAwADYAXQAgAC0ALQAtAC0ALQAtAC0ALQAtAC0ALQAtAC0ALQAtAC0ALQAtAC0ALQAtAC0ALQAtAC0ALQAtAC0ALQAtAC0ALQAtAC0ALQAtAC0ALQAtAC0ALQAtAC0ALQAtAC0ALQAtAC0ALQAtAC0ALQAtAC0ALQAtAC0ALQAtAC0ALQAtAC0ALQAtAC0ALQAtAC0ALQAtAC0AXABuAEYAdQBuAGMAdABpAG8AbgA6ACAAIAAgACAAIABTAHEAdQBhAHIAZQC7A1wAbgBDAGEAdABlAGcAbwByAHkAOgAgACAAIAAgACAARwByAGkAZAAgAEcAZQBvAG0AZQB0AHIAeQBcAG4AQQB1AHQAaABvAHIAOgAgACAAIAAgACAAIAAgAFAAYQB0AHIAaQBjAGsAIABIAC4AXABuAFYAZQByAHMAaQBvAG4AOgAgACAAIAAgACAAIAAxAC4AMQBcAG4ARABlAHAAZQBuAGQAZQBuAGMAaQBlAHMAOgAgAEMARwByAGkAZAC7AywAIABTAHEAdQBlAGUAegBlALsDXABuAFwAbgBEAGUAcwBjAHIAaQBwAHQAaQBvAG4AOgBcAG4AIAAgACAAIABFAHgAdAByAGEAYwB0AHMAIABhACAAcwBxAHUAYQByAGUAESBzAGgAYQBwAGUAZAAgAHIAZQBnAGkAbwBuACAAKABDAGgAZQBiAHkAcwBoAGUAdgAgAHIAYQBkAGkAdQBzACkAIABmAHIAbwBtACAAYQAgADIARAAgAGEAcgByAGEAeQAgAGIAeQBcAG4AIAAgACAAIABzAHAAZQBjAGkAZgB5AGkAbgBnACAAdABoAGUAIABjAGUAbgB0AGUAcgAgAGEAbgBkACAAYQBuACAAZQB4AHQAZQBuAGQAIAB2AGEAbAB1AGUALgAgAFQAaABlACAAYwBlAG4AdABlAHIAIABtAGEAeQAgAGIAZQAgAGcAaQB2AGUAbgAgAGEAcwAgAGEAXABuACAAIAAgACAAcwBjAGEAbABhAHIAIABjAHIAaQB0AGUAcgBpAG8AbgAgAG8AcgAgAGEAcwAgAGUAeABwAGwAaQBjAGkAdAAgAGMAbwBvAHIAZABpAG4AYQB0AGUAcwAgAHsAcgBvAHcALAAgAGMAbwBsAH0ALgAgAFQAaABlACAAZQB4AHQAcgBhAGMAdABlAGQAIAByAGUAZwBpAG8AbgBcAG4AIAAgACAAIABwAHIAZQBzAGUAcgB2AGUAcwAgAGkAdABzACAAZwBlAG8AbQBlAHQAcgBpAGMAIABzAGgAYQBwAGUALAAgAGEAbgBkACAAcgBvAHcAcwAvAGMAbwBsAHUAbQBuAHMAIABjAG8AbgB0AGEAaQBuAGkAbgBnACAAbwBuAGwAeQAgAGYAaQBsAGwAXwB2AGEAbAB1AGUAXABuACAAIAAgACAAYQByAGUAIABhAHUAdABvAG0AYQB0AGkAYwBhAGwAbAB5ACAAcgBlAG0AbwB2AGUAZAAuAFwAbgBcAG4AUABhAHIAYQBtAGUAdABlAHIAcwA6AFwAbgAgACAAIAAgAGcAcgBpAGQAIAAgACAAIAAgACAAIAAgAC0AIABSAGUAcQB1AGkAcgBlAGQAIAAyAEQAIABhAHIAcgBhAHkALgBcAG4AIAAgACAAIAB0AGEAcgBnAGUAdAAgACAAIAAgACAAIAAtACAAQwBlAG4AdABlAHIAIABvAGYAIAB0AGgAZQAgAHMAcQB1AGEAcgBlAC4AIABNAGEAeQAgAGIAZQAgAGEAIABzAGMAYQBsAGEAcgAgAGMAcgBpAHQAZQByAGkAbwBuACAAbwByACAAYwBvAG8AcgBkAGkAbgBhAHQAZQBzAFwAbgAgACAAIAAgACAAIAAgACAAIAAgACAAIAAgACAAIAAgACAAIABvAGYAIAB0AGgAZQAgAGYAbwByAG0AIAB7AHIAbwB3ACwAIABjAG8AbAB9AC4AXABuACAAIAAgACAAZQB4AHQAZQBuAGQAIAAgACAAIAAgACAALQAgAEMAaABlAGIAeQBzAGgAZQB2ACAAcgBhAGQAaQB1AHMAIABvAGYAIAB0AGgAZQAgAHMAcQB1AGEAcgBlACAAKABtAHUAcwB0ACAAYgBlACAAYQAgAHAAbwBzAGkAdABpAHYAZQAgAGkAbgB0AGUAZwBlAHIAKQAuAFwAbgAgACAAIAAgAFsAZgBpAGwAbABfAHYAYQBsAHUAZQBdAC0AIABTAGMAYQBsAGEAcgAgAHUAcwBlAGQAIABvAHUAdABzAGkAZABlACAAdABoAGUAIABzAHEAdQBhAHIAZQAuACAARABlAGYAYQB1AGwAdABzACAAdABvACAAMAAuAFwAbgAtAC0ALQAtAC0ALQAtAC0ALQAtAC0ALQAtAC0ALQAtAC0ALQAtAC0ALQAtAC0ALQAtAC0ALQAtAC0ALQAtAC0ALQAtAC0ALQAtAC0ALQAtAC0ALQAtAC0ALQAtAC0ALQAtAC0ALQAtAC0ALQAtAC0ALQAtAC0ALQAtAC0ALQAtAC0ALQAtAC0ALQAtAC0ALQAtAC0ALQAtAC0ALQAqAC8AXABuAFwAbgBTAHEAdQBhAHIAZQC7AyAAPQBcAG4ATABBAE0AQgBEAEEAKABcAG4AIAAgACAAIABnAHIAaQBkACwAXABuACAAIAAgACAAdABhAHIAZwBlAHQALABcAG4AIAAgACAAIABlAHgAdABlAG4AZAAsAFwAbgAgACAAIAAgAFsAZgBpAGwAbABfAHYAYQBsAHUAZQBdACwAXABuAEwARQBUACgAXABuACAAIAAgACAALwAvACAARABpAG0AZQBuAHMAaQBvAG4AcwBcAG4AIAAgACAAIABoACwAIAAgACAAIAAgACAAIAAgACAAIAAgACAAIAAgAFIATwBXAFMAKABnAHIAaQBkACkALABcAG4AIAAgACAAIAB3ACwAIAAgACAAIAAgACAAIAAgACAAIAAgACAAIAAgAEMATwBMAFUATQBOAFMAKABnAHIAaQBkACkALABcAG4AXABuACAAIAAgACAALwAvACAAVABhAHIAZwBlAHQAIABpAG4AdABlAHIAcAByAGUAdABhAHQAaQBvAG4AXABuACAAIAAgACAASQBzAEkAXwBKAD8ALAAgACAAIAAgACAAIAAgACAAIABDAE8AVQBOAFQAKAB0AGEAcgBnAGUAdAApACAAPQAgADIALABcAG4AIAAgACAAIAByACwAIAAgACAAIAAgACAAIAAgACAAIAAgACAAIAAgAEkARgAoAEkAcwBJAF8ASgA/ACwAIABUAEEASwBFACgAdABhAHIAZwBlAHQALAAgADEALAAgADEAKQAsACAAMAApACwAXABuACAAIAAgACAAYwAsACAAIAAgACAAIAAgACAAIAAgACAAIAAgACAAIABJAEYAKABJAHMASQBfAEoAPwAsACAAVABBAEsARQAoAHQAYQByAGcAZQB0ACwAIAAtADEALAAgAC0AMQApACwAIAAwACkALABcAG4AXABuACAAIAAgACAALwAvACAAQgBvAG8AbABlAGEAbgAgAG0AYQB0AGMAaAAgAGYAbwByACAAcwBjAGEAbABhAHIAIAB0AGEAcgBnAGUAdABcAG4AIAAgACAAIABiAG8AbwBsACwAIAAgACAAIAAgACAAIAAgACAAIAAgAEkARgAoAEkAcwBJAF8ASgA/ACwAIABGAEEATABTAEUALAAgAGcAcgBpAGQAIAA9ACAAdABhAHIAZwBlAHQAKQAsAFwAbgBcAG4AIAAgACAAIAAvAC8AIABJAG4AcAB1AHQAIAB2AGEAbABpAGQAYQB0AGkAbwBuAFwAbgAgACAAIAAgAEkAcwBTAGMAYQBsAGEAcgA/ACwAIAAgACAAIAAgACAAQQBOAEQAKABoACAAPQAgADEALAAgAHcAIAA9ACAAMQApACwAXABuACAAIAAgACAASQBzADEARAA/ACwAIAAgACAAIAAgACAAIAAgACAAIABYAE8AUgAoAGgAIAA9ACAAMQAsACAAdwAgAD0AIAAxACkALABcAG4AIAAgACAAIABJAG4AdgBhAGwAaQBkAEUAeAB0AGUAbgBkAD8ALAAgAE8AUgAoAEkAUwBUAEUAWABUACgAZQB4AHQAZQBuAGQAKQAsACAAZQB4AHQAZQBuAGQAIAA8ACAAMQApACwAXABuACAAIAAgACAATgBvAFQAYQByAGcAZQB0AD8ALAAgACAAIAAgACAAIABJAEYAKABJAHMASQBfAEoAPwAsACAARgBBAEwAUwBFACwAIABOAE8AVAAoAE8AUgAoAGIAbwBvAGwAKQApACkALABcAG4AXABuACAAIAAgACAALwAvACAATwBwAHQAaQBvAG4AYQBsACAAZgBpAGwAbABcAG4AIAAgACAAIABmAGkAbABsAF8AdgBhAGwAdQBlACwAIAAgAEkARgAoAEkAUwBPAE0ASQBUAFQARQBEACgAZgBpAGwAbABfAHYAYQBsAHUAZQApACwAIAAwACwAIABmAGkAbABsAF8AdgBhAGwAdQBlACkALABcAG4AXABuACAAIAAgACAALwAvACAATABvAGcAaQBjACAAZwBhAHQAZQBcAG4AIAAgACAAIABJAEYAKABJAHMAUwBjAGEAbABhAHIAPwAsACAAZwByAGkAZAAsAFwAbgBcAG4AIAAgACAAIAAgACAAIAAgAEkARgAoAEkAcwAxAEQAPwAsACAAXAAiACMAMQBEAC0AQQBSAFIAQQBZACEAXAAiACwAXABuAFwAbgAgACAAIAAgACAAIAAgACAAIAAgACAAIABJAEYAKABJAG4AdgBhAGwAaQBkAEUAeAB0AGUAbgBkAD8ALAAgAFwAIgAjAEUAWABUAEUATgBEACEAXAAiACwAXABuAFwAbgAgACAAIAAgACAAIAAgACAAIAAgACAAIAAgACAAIAAgAEkARgAoAE4AbwBUAGEAcgBnAGUAdAA/ACwAIABcACIAIwBUAEEAUgBHAEUAVAAhAFwAIgAsAFwAbgBcAG4ATABFAFQAKABcAG4AIAAgACAAIAAvAC8AIABNAGUAcwBoACAAZwByAGkAZABcAG4AIAAgACAAIABpACwAIAAgACAAIAAgACAAIAAgACAAIAAgAEMARwByAGkAZAC7AygAZwByAGkAZAApACwAXABuACAAIAAgACAAagAsACAAIAAgACAAIAAgACAAIAAgACAAIABDAEcAcgBpAGQAuwMoAGcAcgBpAGQALAAgADEAKQAsAFwAbgBcAG4AIAAgACAAIAAvAC8AIABDAGUAbgB0AGUAcgAgAGMAbwBvAHIAZABpAG4AYQB0AGUAcwBcAG4AIAAgACAAIAB4ACwAIAAgACAAIAAgACAAIAAgACAAIAAgAEkARgAoAEkAcwBJAF8ASgA/ACwAIABJAE4ARABFAFgAKABpACwAIAByACwAIABjACkALAAgAFQATwBDAE8ATAAoAEkARgAoAGIAbwBvAGwALAAgAGkALAAgAE4AQQAoACkAKQAsACAAMgApACkALABcAG4AIAAgACAAIAB5ACwAIAAgACAAIAAgACAAIAAgACAAIAAgAEkARgAoAEkAcwBJAF8ASgA/ACwAIABJAE4ARABFAFgAKABqACwAIAByACwAIABjACkALAAgAFQATwBDAE8ATAAoAEkARgAoAGIAbwBvAGwALAAgAGoALAAgAE4AQQAoACkAKQAsACAAMgApACkALABcAG4AXABuACAAIAAgACAALwAvACAAUwBxAHUAYQByAGUAIABtAGEAcwBrACAAKABDAGgAZQBiAHkAcwBoAGUAdgAgAGQAaQBzAHQAYQBuAGMAZQApAFwAbgAgACAAIAAgAG0AYQBzAGsALAAgACAAIAAgACAAIAAgACAAKABBAEIAUwAoAGkAIAAtACAAeAApACAAPAA9ACAAZQB4AHQAZQBuAGQAKQAgACoAIAAoAEEAQgBTACgAagAgAC0AIAB5ACkAIAA8AD0AIABlAHgAdABlAG4AZAApACwAXABuAFwAbgAgACAAIAAgAC8ALwAgAEUAeAB0AHIAYQBjAHQAIABhAG4AZAAgAHMAcQB1AGUAZQB6AGUAXABuACAAIAAgACAAcgBlAHMAdQBsAHQALAAgACAAIAAgACAAIABTAHEAdQBlAGUAegBlALsDKABJAEYAKABtAGEAcwBrACwAIABnAHIAaQBkACwAIABmAGkAbABsAF8AdgBhAGwAdQBlACkALAAgAGYAaQBsAGwAXwB2AGEAbAB1AGUAKQAsAFwAbgBcAG4AIAAgACAAIAByAGUAcwB1AGwAdABcAG4AKQApACkAKQApACkAKQA7AFwAbgBcAG4AXABuAFwAbgAvACoAIABbAEcARwAwADcAXQAgAC0ALQAtAC0ALQAtAC0ALQAtAC0ALQAtAC0ALQAtAC0ALQAtAC0ALQAtAC0ALQAtAC0ALQAtAC0ALQAtAC0ALQAtAC0ALQAtAC0ALQAtAC0ALQAtAC0ALQAtAC0ALQAtAC0ALQAtAC0ALQAtAC0ALQAtAC0ALQAtAC0ALQAtAC0ALQAtAC0ALQAtAC0ALQAtAC0AXABuAEYAdQBuAGMAdABpAG8AbgA6ACAAIAAgACAAIABUAHIAaQBhAG4AZwBsAGUAuwNcAG4AQwBhAHQAZQBnAG8AcgB5ADoAIAAgACAAIAAgAEcAcgBpAGQAIABHAGUAbwBtAGUAdAByAHkAXABuAEEAdQB0AGgAbwByADoAIAAgACAAIAAgACAAIABQAGEAdAByAGkAYwBrACAASAAuAFwAbgBWAGUAcgBzAGkAbwBuADoAIAAgACAAIAAgACAAMQAuADEAXABuAEQAZQBwAGUAbgBkAGUAbgBjAGkAZQBzADoAIABDAEcAcgBpAGQAuwMsACAAUwBxAHUAZQBlAHoAZQC7A1wAbgBcAG4ARABlAHMAYwByAGkAcAB0AGkAbwBuADoAXABuACAAIAAgACAARQB4AHQAcgBhAGMAdABzACAAYQAgAGQAaQByAGUAYwB0AGkAbwBuAGEAbAAgAHQAcgBpAGEAbgBnAHUAbABhAHIAIAByAGUAZwBpAG8AbgAgACgAdQBwAHAAZQByACAAbwByACAAbABvAHcAZQByACkAIABmAHIAbwBtACAAYQAgADIARAAgAGEAcgByAGEAeQAgAGIAeQBcAG4AIAAgACAAIABzAHAAZQBjAGkAZgB5AGkAbgBnACAAdABoAGUAIABjAGUAbgB0AGUAcgAgAGEAbgBkACAAYQAgAE0AYQBuAGgAYQB0AHQAYQBuACAAcgBhAGQAaQB1AHMALgAgAFQAaABlACAAYwBlAG4AdABlAHIAIABtAGEAeQAgAGIAZQAgAGcAaQB2AGUAbgAgAGEAcwAgAGEAXABuACAAIAAgACAAcwBjAGEAbABhAHIAIABjAHIAaQB0AGUAcgBpAG8AbgAgAG8AcgAgAGEAcwAgAGUAeABwAGwAaQBjAGkAdAAgAGMAbwBvAHIAZABpAG4AYQB0AGUAcwAgAHsAcgBvAHcALAAgAGMAbwBsAH0ALgAgAFQAaABlACAAZQB4AHQAcgBhAGMAdABlAGQAIAByAGUAZwBpAG8AbgBcAG4AIAAgACAAIABwAHIAZQBzAGUAcgB2AGUAcwAgAGkAdABzACAAZwBlAG8AbQBlAHQAcgBpAGMAIABzAGgAYQBwAGUALAAgAGEAbgBkACAAcgBvAHcAcwAvAGMAbwBsAHUAbQBuAHMAIABjAG8AbgB0AGEAaQBuAGkAbgBnACAAbwBuAGwAeQAgAGYAaQBsAGwAXwB2AGEAbAB1AGUAXABuACAAIAAgACAAYQByAGUAIABhAHUAdABvAG0AYQB0AGkAYwBhAGwAbAB5ACAAcgBlAG0AbwB2AGUAZAAuAFwAbgBcAG4AUABhAHIAYQBtAGUAdABlAHIAcwA6AFwAbgAgACAAIAAgAGcAcgBpAGQAIAAgACAAIAAgACAAIAAgAC0AIABSAGUAcQB1AGkAcgBlAGQAIAAyAEQAIABhAHIAcgBhAHkALgBcAG4AIAAgACAAIAB0AGEAcgBnAGUAdAAgACAAIAAgACAAIAAtACAAQwBlAG4AdABlAHIAIABvAGYAIAB0AGgAZQAgAHQAcgBpAGEAbgBnAGwAZQAuACAATQBhAHkAIABiAGUAIABhACAAcwBjAGEAbABhAHIAIABjAHIAaQB0AGUAcgBpAG8AbgAgAG8AcgAgAGMAbwBvAHIAZABpAG4AYQB0AGUAcwBcAG4AIAAgACAAIAAgACAAIAAgACAAIAAgACAAIAAgACAAIAAgACAAbwBmACAAdABoAGUAIABmAG8AcgBtACAAewByAG8AdwAsACAAYwBvAGwAfQAuAFwAbgAgACAAIAAgAHIAYQBkAGkAdQBzACAAIAAgACAAIAAgAC0AIABNAGEAbgBoAGEAdAB0AGEAbgAgAHIAYQBkAGkAdQBzACAAbwBmACAAdABoAGUAIAB0AHIAaQBhAG4AZwBsAGUAIAAoAG0AdQBzAHQAIABiAGUAIABhACAAcABvAHMAaQB0AGkAdgBlACAAaQBuAHQAZQBnAGUAcgApAC4AXABuACAAIAAgACAAWwBiAGUAbABvAHcAXQAgACAAIAAgACAALQAgAEkAZgAgAFQAUgBVAEUALAAgAHIAZQB0AHUAcgBuAHMAIAB0AGgAZQAgAGwAbwB3AGUAcgAgAHQAcgBpAGEAbgBnAGwAZQA7ACAAaQBmACAAbwBtAGkAdAB0AGUAZAAsACAAcgBlAHQAdQByAG4AcwAgAHUAcABwAGUAcgAuAFwAbgAgACAAIAAgAFsAZgBpAGwAbABfAHYAYQBsAHUAZQBdAC0AIABTAGMAYQBsAGEAcgAgAHUAcwBlAGQAIABvAHUAdABzAGkAZABlACAAdABoAGUAIAB0AHIAaQBhAG4AZwBsAGUALgAgAEQAZQBmAGEAdQBsAHQAcwAgAHQAbwAgADAALgBcAG4ALQAtAC0ALQAtAC0ALQAtAC0ALQAtAC0ALQAtAC0ALQAtAC0ALQAtAC0ALQAtAC0ALQAtAC0ALQAtAC0ALQAtAC0ALQAtAC0ALQAtAC0ALQAtAC0ALQAtAC0ALQAtAC0ALQAtAC0ALQAtAC0ALQAtAC0ALQAtAC0ALQAtAC0ALQAtAC0ALQAtAC0ALQAtAC0ALQAtAC0ALQAtAC0AKgAvAFwAbgBcAG4AVAByAGkAYQBuAGcAbABlALsDIAA9AFwAbgBMAEEATQBCAEQAQQAoAFwAbgAgACAAIAAgAGcAcgBpAGQALABcAG4AIAAgACAAIAB0AGEAcgBnAGUAdAAsAFwAbgAgACAAIAAgAHIAYQBkAGkAdQBzACwAXABuACAAIAAgACAAWwBiAGUAbABvAHcAXQAsAFwAbgAgACAAIAAgAFsAZgBpAGwAbABfAHYAYQBsAHUAZQBdACwAXABuAEwARQBUACgAXABuACAAIAAgACAALwAvACAARABpAG0AZQBuAHMAaQBvAG4AcwBcAG4AIAAgACAAIABoACwAIAAgACAAIAAgACAAIAAgACAAIAAgACAAIAAgAFIATwBXAFMAKABnAHIAaQBkACkALABcAG4AIAAgACAAIAB3ACwAIAAgACAAIAAgACAAIAAgACAAIAAgACAAIAAgAEMATwBMAFUATQBOAFMAKABnAHIAaQBkACkALABcAG4AXABuACAAIAAgACAALwAvACAAVABhAHIAZwBlAHQAIABpAG4AdABlAHIAcAByAGUAdABhAHQAaQBvAG4AXABuACAAIAAgACAASQBzAEkAXwBKAD8ALAAgACAAIAAgACAAIAAgACAAIABDAE8AVQBOAFQAKAB0AGEAcgBnAGUAdAApACAAPQAgADIALABcAG4AIAAgACAAIAByACwAIAAgACAAIAAgACAAIAAgACAAIAAgACAAIAAgAEkARgAoAEkAcwBJAF8ASgA/ACwAIABUAEEASwBFACgAdABhAHIAZwBlAHQALAAgADEALAAgADEAKQAsACAAMAApACwAXABuACAAIAAgACAAYwAsACAAIAAgACAAIAAgACAAIAAgACAAIAAgACAAIABJAEYAKABJAHMASQBfAEoAPwAsACAAVABBAEsARQAoAHQAYQByAGcAZQB0ACwAIAAtADEALAAgAC0AMQApACwAIAAwACkALABcAG4AXABuACAAIAAgACAALwAvACAAQgBvAG8AbABlAGEAbgAgAG0AYQB0AGMAaAAgAGYAbwByACAAcwBjAGEAbABhAHIAIAB0AGEAcgBnAGUAdABcAG4AIAAgACAAIABiAG8AbwBsACwAIAAgACAAIAAgACAAIAAgACAAIAAgAEkARgAoAEkAcwBJAF8ASgA/ACwAIABGAEEATABTAEUALAAgAGcAcgBpAGQAIAA9ACAAdABhAHIAZwBlAHQAKQAsAFwAbgBcAG4AIAAgACAAIAAvAC8AIABJAG4AcAB1AHQAIAB2AGEAbABpAGQAYQB0AGkAbwBuAFwAbgAgACAAIAAgAEkAcwBTAGMAYQBsAGEAcgA/ACwAIAAgACAAIAAgACAAQQBOAEQAKABoACAAPQAgADEALAAgAHcAIAA9ACAAMQApACwAXABuACAAIAAgACAASQBzADEARAA/ACwAIAAgACAAIAAgACAAIAAgACAAIABYAE8AUgAoAGgAIAA9ACAAMQAsACAAdwAgAD0AIAAxACkALABcAG4AIAAgACAAIABJAG4AdgBhAGwAaQBkAFIAYQBkAGkAdQBzAD8ALAAgAE8AUgAoAEkAUwBUAEUAWABUACgAcgBhAGQAaQB1AHMAKQAsACAAcgBhAGQAaQB1AHMAIAA8ACAAMQApACwAXABuACAAIAAgACAATgBvAFQAYQByAGcAZQB0AD8ALAAgACAAIAAgACAAIABJAEYAKABJAHMASQBfAEoAPwAsACAARgBBAEwAUwBFACwAIABOAE8AVAAoAE8AUgAoAGIAbwBvAGwAKQApACkALABcAG4AXABuACAAIAAgACAALwAvACAATwBwAHQAaQBvAG4AYQBsACAAcABhAHIAYQBtAGUAdABlAHIAcwBcAG4AIAAgACAAIABmAGkAbABsAF8AdgBhAGwAdQBlACwAIAAgACAAIAAgAEkARgAoAEkAUwBPAE0ASQBUAFQARQBEACgAZgBpAGwAbABfAHYAYQBsAHUAZQApACwAIAAwACwAIABmAGkAbABsAF8AdgBhAGwAdQBlACkALABcAG4AIAAgACAAIABJAHMAQQBiAG8AdgBlAD8ALAAgACAAIAAgACAAIAAgAEkAUwBPAE0ASQBUAFQARQBEACgAYgBlAGwAbwB3ACkALABcAG4AXABuACAAIAAgACAALwAvACAATABvAGcAaQBjACAAZwBhAHQAZQBcAG4AIAAgACAAIABJAEYAKABJAHMAUwBjAGEAbABhAHIAPwAsACAAZwByAGkAZAAsAFwAbgBcAG4AIAAgACAAIAAgACAAIAAgAEkARgAoAEkAcwAxAEQAPwAsACAAXAAiACMAMQBEAC0AQQBSAFIAQQBZACEAXAAiACwAXABuAFwAbgAgACAAIAAgACAAIAAgACAAIAAgACAAIABJAEYAKABJAG4AdgBhAGwAaQBkAFIAYQBkAGkAdQBzAD8ALAAgAFwAIgAjAFIAQQBEAEkAVQBTACEAXAAiACwAXABuAFwAbgAgACAAIAAgACAAIAAgACAAIAAgACAAIAAgACAAIAAgAEkARgAoAE4AbwBUAGEAcgBnAGUAdAA/ACwAIABcACIAIwBUAEEAUgBHAEUAVAAhAFwAIgAsAFwAbgBcAG4ATABFAFQAKABcAG4AIAAgACAAIAAvAC8AIABNAGUAcwBoACAAZwByAGkAZABcAG4AIAAgACAAIABpACwAIAAgACAAIAAgACAAIAAgACAAIAAgAEMARwByAGkAZAC7AygAZwByAGkAZAApACwAXABuACAAIAAgACAAagAsACAAIAAgACAAIAAgACAAIAAgACAAIABDAEcAcgBpAGQAuwMoAGcAcgBpAGQALAAgADEAKQAsAFwAbgBcAG4AIAAgACAAIAAvAC8AIABDAGUAbgB0AGUAcgAgAGMAbwBvAHIAZABpAG4AYQB0AGUAcwBcAG4AIAAgACAAIAB4ACwAIAAgACAAIAAgACAAIAAgACAAIAAgAEkARgAoAEkAcwBJAF8ASgA/ACwAIABJAE4ARABFAFgAKABpACwAIAByACwAIABjACkALAAgAFQATwBDAE8ATAAoAEkARgAoAGIAbwBvAGwALAAgAGkALAAgAE4AQQAoACkAKQAsACAAMgApACkALABcAG4AIAAgACAAIAB5ACwAIAAgACAAIAAgACAAIAAgACAAIAAgAEkARgAoAEkAcwBJAF8ASgA/ACwAIABJAE4ARABFAFgAKABqACwAIAByACwAIABjACkALAAgAFQATwBDAE8ATAAoAEkARgAoAGIAbwBvAGwALAAgAGoALAAgAE4AQQAoACkAKQAsACAAMgApACkALABcAG4AXABuACAAIAAgACAALwAvACAARABpAHIAZQBjAHQAaQBvAG4AIABtAGEAcwBrAFwAbgAgACAAIAAgAGQAaQByACwAIAAgACAAIAAgACAAIAAgACAASQBGACgASQBzAEEAYgBvAHYAZQA/ACwAIAAoAGkAIAA8AD0AIAB4ACkALAAgACgAaQAgAD4APQAgAHgAKQApACwAXABuAFwAbgAgACAAIAAgAC8ALwAgAFQAcgBpAGEAbgBnAGwAZQAgAG0AYQBzAGsAIAAoAE0AYQBuAGgAYQB0AHQAYQBuACAAZABpAHMAdABhAG4AYwBlACAAKwAgAGQAaQByAGUAYwB0AGkAbwBuACkAXABuACAAIAAgACAAbQBhAHMAawAsACAAIAAgACAAIAAgACAAIAAoAEEAQgBTACgAaQAgAC0AIAB4ACkAIAArACAAQQBCAFMAKABqACAALQAgAHkAKQAgADwAPQAgAHIAYQBkAGkAdQBzACkAIAAqACAAZABpAHIALABcAG4AXABuACAAIAAgACAALwAvACAARQB4AHQAcgBhAGMAdAAgAGEAbgBkACAAcwBxAHUAZQBlAHoAZQBcAG4AIAAgACAAIAByAGUAcwB1AGwAdAAsACAAIAAgACAAIAAgAFMAcQB1AGUAZQB6AGUAuwMoAEkARgAoAG0AYQBzAGsALAAgAGcAcgBpAGQALAAgAGYAaQBsAGwAXwB2AGEAbAB1AGUAKQAsACAAZgBpAGwAbABfAHYAYQBsAHUAZQApACwAXABuAFwAbgAgACAAIAAgAHIAZQBzAHUAbAB0AFwAbgApACkAKQApACkAKQApADsAXABuAFwAbgBcAG4AXABuAC8AKgAgAFsAUwBBAF0AIAAtAC0ALQAtAC0ALQAtAC0ALQAtAC0ALQAtAC0ALQAtAC0ALQAtAC0ALQAtAC0ALQAtAC0ALQAtAC0ALQAtAC0ALQAtAC0ALQAtAC0ALQAtAC0ALQAtAC0ALQAtAC0ALQAtAC0ALQAtAC0ALQAtAC0ALQAtAC0ALQAtAC0ALQAtAC0ALQAtAC0ALQAtAC0ALQAtAC0ALQBcAG4AIwAjACAAMAAzACAALQAgADIARAAgAEEAcgByAGEAeQAgAFMAaABhAHAAaQBuAGcAXABuAC0ALQAtAC0ALQAtAC0ALQAtAC0ALQAtAC0ALQAtAC0ALQAtAC0ALQAtAC0ALQAtAC0ALQAtAC0ALQAtAC0ALQAtAC0ALQAtAC0ALQAtAC0ALQAtAC0ALQAtAC0ALQAtAC0ALQAtAC0ALQAtAC0ALQAtAC0ALQAtAC0ALQAtAC0ALQAtAC0ALQAtAC0ALQAtAC0ALQAtAC0ALQAtAC0AIAAqAC8AXABuAFwAbgAvACoAXABuAEQAZQBzAGMAcgBpAHAAdABpAG8AbgA6AFwAbgAgACAAIAAgAFMAaABhAHAAaQBuAGcAIABmAHUAbgBjAHQAaQBvAG4AcwAgAHIAZQBzAGgAYQBwAGUALAAgAHIAZQBzAGkAegBlACwAIAB3AHIAYQBwACwAIABwAGEAZAAsACAAdAByAGEAdgBlAHIAcwBlACwAIABvAHIAIAByAGUAZgBsAG8AdwAgAGcAcgBpAGQAcwAgAHcAaABpAGwAZQBcAG4AIAAgACAAIABwAHIAZQBzAGUAcgB2AGkAbgBnACAAdABoAGUAIABzAHQAcgB1AGMAdAB1AHIAZQAgAG8AZgAgAHQAaABlACAAdQBuAGQAZQByAGwAeQBpAG4AZwAgAGQAYQB0AGEALgBcAG4AXABuACAAIAAgACAAUwB1AGIAIABjAGEAdABlAGcAbwByAGkAZQBzADoAXABuAFwAbgAgACAAIAAgACAAIAAgACAAIiAgAEMAbwByAGUAIABTAGgAYQBwAGkAbgBnACAAUAByAGkAbQBpAHQAaQB2AGUAcwBcAG4AIAAgACAAIAAgACAAIAAgACAAIAAgACAAIAAgAFIAZQBTAGgAYQBwAGUAMgBEALsDLAAgAFIAZQBzAGkAegBlALsDLAAgAFMAYwBhAG4AMgBEALsDLAAgAFQAcgBhAHYAZQByAHMAZQC7AywAIABUAGEAawBlAEIAbABvAGMAawC7AywAIABEAFMAdABhAGMAawC7A1wAbgBcAG4AIAAgACAAIAAgACAAIAAgACIgIABSAGUAZgBsAG8AdwBcAG4AIAAgACAAIAAgACAAIAAgACAAIAAgACAAIAAgAFcAcgBhAHAAUgBvAHcAcwAyAEQAuwMsACAAVwByAGEAcABDAG8AbABzADIARAC7AywAIABTAHQAYQBpAHIAYwBhAHMAZQC7AywAIABVAG4AUABpAHYAbwB0ALsDLAAgAFoAaQBwALsDLAAgAFMAbABpAGMAZQBCAHkARABlAGcAuwNcAG4AXABuACAAIAAgACAAIAAgACAAIAAiICAAUABhAGQAZABpAG4AZwBcAG4AIAAgACAAIAAgACAAIAAgACAAIAAgACAAIAAgAFAAYQBkALsDLAAgAEkAbgBzAHUAbABhAHQAZQBSAG8AdwBzALsDLAAgAEkAbgBzAHUAbABhAHQAZQBDAG8AbABzALsDXABuAFwAbgAgACAAIAAgACAAIAAgACAAIiAgAEkAbgB0AGUAcgBwAG8AbABhAHQAaQBvAG4AXABuACAAIAAgACAAIAAgACAAIAAgACAAIAAgACAAIABNAGEAZwBuAGkAZgB5ALsDLAAgAFoAbwBvAG0AuwNcAG4AXABuACAAIAAgACAAQQBsAGwAIABzAGgAYQBwAGkAbgBnACAAZgB1AG4AYwB0AGkAbwBuAHMAIABwAHIAZQBzAGUAcgB2AGUAIAAyAEQAIABnAGUAbwBtAGUAdAByAHkAIABhAG4AZAAgAHIAZQB0AHUAcgBuACAAYQByAHIAYQB5AHMAIAB3AGgAbwBzAGUAIABzAHQAcgB1AGMAdAB1AHIAZQBcAG4AIAAgACAAIABpAHMAIABlAHgAcABsAGkAYwBpAHQAbAB5ACAAZABlAGYAaQBuAGUAZAAgAGIAeQAgAHQAaABlACAAdAByAGEAbgBzAGYAbwByAG0AYQB0AGkAbwBuACAAcgB1AGwAZQBzAC4AXABuACoALwBcAG4AXABuAFwAbgBcAG4ALwAvACAAIABDAG8AcgBlACAAUwBoAGEAcABpAG4AZwAgAFAAcgBpAG0AaQB0AGkAdgBlAHMAXABuAFwAbgBcAG4AXABuAC8AKgAgAFsAUwBBADAAMQBdACAALQAtAC0ALQAtAC0ALQAtAC0ALQAtAC0ALQAtAC0ALQAtAC0ALQAtAC0ALQAtAC0ALQAtAC0ALQAtAC0ALQAtAC0ALQAtAC0ALQAtAC0ALQAtAC0ALQAtAC0ALQAtAC0ALQAtAC0ALQAtAC0ALQAtAC0ALQAtAC0ALQAtAC0ALQAtAC0ALQAtAC0ALQAtAC0ALQBcAG4ARgB1AG4AYwB0AGkAbwBuADoAIAAgACAAIAAgAFIAZQBTAGgAYQBwAGUAMgBEALsDXABuAEMAYQB0AGUAZwBvAHIAeQA6ACAAIAAgACAAIAAyAEQAIABBAHIAcgBhAHkAIABTAGgAYQBwAGkAbgBnAFwAbgBBAHUAdABoAG8AcgA6ACAAIAAgACAAIAAgACAAUABhAHQAcgBpAGMAawAgAEgALgBcAG4AVgBlAHIAcwBpAG8AbgA6ACAAIAAgACAAIAAgADEALgAxAFwAbgBcAG4ARABlAHMAYwByAGkAcAB0AGkAbwBuADoAXABuACAAIAAgACAAUgBlAHMAaABhAHAAZQBzACAAYQAgADIARAAgAGEAcgByAGEAeQAgAGkAbgB0AG8AIABhACAAbgBlAHcAIABjAG8AbAB1AG0AbgAgAHcAaQBkAHQAaAAgAHUAcwBpAG4AZwAgAHIAbwB3ABEgbQBhAGoAbwByACAAbwByAGQAZQByAC4AIABBAGwAbAAgAHYAYQBsAHUAZQBzAFwAbgAgACAAIAAgAGEAcgBlACAAcAByAGUAcwBlAHIAdgBlAGQAIABpAG4AIAByAGUAYQBkAGkAbgBnACAAbwByAGQAZQByACwAIABhAG4AZAAgAHQAaABlACAAZgBpAG4AYQBsACAAYgBsAG8AYwBrACAAaQBzACAAcABhAGQAZABlAGQAIABpAGYAIABuAGUAZQBkAGUAZAAuAFwAbgAgACAAIAAgAE8AbgBlABEgZABpAG0AZQBuAHMAaQBvAG4AYQBsACAAYQByAHIAYQB5AHMAIABhAHIAZQAgAHIAZQBqAGUAYwB0AGUAZAAuAFwAbgBcAG4ARQB4AGEAbQBwAGwAZQA6AFwAbgAgACAAIAAgAEkAbgBwAHUAdAA6AFwAbgAgACAAIAAgACAAIAAgACAAewAxACwAMgAsADMALAA0ADsAXABuACAAIAAgACAAIAAgACAAIAAgADUALAA2ACwANwAsADgAOwBcAG4AIAAgACAAIAAgACAAIAAgACAAOQAsADEAMAAsADEAMQAsADEAMgA7AFwAbgAgACAAIAAgACAAIAAgACAAIAAxADMALAAxADQALAAxADUALAAxADYAfQBcAG4AXABuACAAIAAgACAAPQBSAGUAUwBoAGEAcABlADIARAC7AygAYQByAHIAYQB5ACwAIAAyACkAXABuAFwAbgAgACAAIAAgAE8AdQB0AHAAdQB0ADoAXABuACAAIAAgACAAIAAgACAAIAB7ADEALAAyADsAXABuACAAIAAgACAAIAAgACAAIAAgADMALAA0ADsAXABuACAAIAAgACAAIAAgACAAIAAgADUALAA2ADsAXABuACAAIAAgACAAIAAgACAAIAAgADcALAA4ADsAXABuACAAIAAgACAAIAAgACAAIAAgADkALAAxADAAOwBcAG4AIAAgACAAIAAgACAAIAAgACAAMQAxACwAMQAyADsAXABuACAAIAAgACAAIAAgACAAIAAgADEAMwAsADEANAA7AFwAbgAgACAAIAAgACAAIAAgACAAIAAxADUALAAxADYAfQBcAG4AXABuAFAAYQByAGEAbQBlAHQAZQByAHMAOgBcAG4AIAAgACAAIABhAHIAcgBhAHkAIAAgACAAIAAgACAAIAAgAC0AIABSAGUAcQB1AGkAcgBlAGQAIAAyAEQAIABhAHIAcgBhAHkAIAB0AG8AIAByAGUAcwBoAGEAcABlAC4AIABPAG4AZQARIGQAaQBtAGUAbgBzAGkAbwBuAGEAbAAgAGEAcgByAGEAeQBzACAAYQByAGUAIAByAGUAagBlAGMAdABlAGQALgBcAG4AIAAgACAAIABuAGUAdwBfAHcAaQBkAHQAaAAgACAAIAAgAC0AIABSAGUAcQB1AGkAcgBlAGQAIABuAHUAbQBiAGUAcgAgAG8AZgAgAGMAbwBsAHUAbQBuAHMAIABpAG4AIAB0AGgAZQAgAHIAZQBzAGgAYQBwAGUAZAAgAGEAcgByAGEAeQAuAFwAbgBcAG4ATwBwAHQAaQBvAG4AYQBsADoAXABuACAAIAAgACAAWwBwAGEAZABfAHcAaQB0AGgAXQAgACAAIAAtACAAUwBjAGEAbABhAHIAIAB1AHMAZQBkACAAdABvACAAZgBpAGwAbAAgAGkAbgBjAG8AbQBwAGwAZQB0AGUAIABmAGkAbgBhAGwAIAByAG8AdwBzAC4AIABEAGUAZgBhAHUAbAB0AHMAIAB0AG8AIABOAEEAKAApAC4AXABuAFwAbgBOAG8AdABlAHMAOgBcAG4AIAAgACAAIAAiICAAUgBlAHMAaABhAHAAaQBuAGcAIABpAHMAIABwAGUAcgBmAG8AcgBtAGUAZAAgAHMAdAByAGkAYwB0AGwAeQAgAGkAbgAgAHIAbwB3ABEgbQBhAGoAbwByACAAbwByAGQAZQByAC4AXABuACAAIAAgACAAIiAgAG4AZQB3AF8AdwBpAGQAdABoACAAbQB1AHMAdAAgAGIAZQAgAGwAZQBzAHMAIAB0AGgAYQBuACAAbwByACAAZQBxAHUAYQBsACAAdABvACAAdABoAGUAIABvAHIAaQBnAGkAbgBhAGwAIAB3AGkAZAB0AGgALgBcAG4AIAAgACAAIAAiICAAVABoAGkAcwAgAGYAdQBuAGMAdABpAG8AbgAgAGQAbwBlAHMAIABuAG8AdAAgAGYAbABhAHQAdABlAG4AIABvAHIAIAByAGUAESB3AHIAYQBwACAAMQBEACAAYQByAHIAYQB5AHMALgBcAG4ALQAtAC0ALQAtAC0ALQAtAC0ALQAtAC0ALQAtAC0ALQAtAC0ALQAtAC0ALQAtAC0ALQAtAC0ALQAtAC0ALQAtAC0ALQAtAC0ALQAtAC0ALQAtAC0ALQAtAC0ALQAtAC0ALQAtAC0ALQAtAC0ALQAtAC0ALQAtAC0ALQAtAC0ALQAtAC0ALQAtAC0ALQAtAC0ALQAtAC0ALQAtAC0AKgAvAFwAbgBcAG4AUgBlAFMAaABhAHAAZQAyAEQAuwMgAD0AXABuAEwAQQBNAEIARABBACgAXABuACAAIAAgACAAYQByAHIAYQB5ACwAXABuACAAIAAgACAAbgBlAHcAXwB3AGkAZAB0AGgALABcAG4AIAAgACAAIABbAHAAYQBkAF8AdwBpAHQAaABdACwAXABuAEwARQBUACgAXABuACAAIAAgACAALwAvACAARABpAG0AZQBuAHMAaQBvAG4AcwBcAG4AIAAgACAAIABoACwAIAAgACAAIAAgACAAIAAgACAAIAAgACAAIAAgAFIATwBXAFMAKABhAHIAcgBhAHkAKQAsAFwAbgAgACAAIAAgAHcALAAgACAAIAAgACAAIAAgACAAIAAgACAAIAAgACAAQwBPAEwAVQBNAE4AUwAoAGEAcgByAGEAeQApACwAXABuAFwAbgAgACAAIAAgAG4AZQB3AF8AaABlAGkAZwBoAHQALAAgACAAIAAgACAAQwBFAEkATABJAE4ARwAoAEMATwBVAE4AVABBACgAYQByAHIAYQB5ACkAIAAvACAAbgBlAHcAXwB3AGkAZAB0AGgALAAgADEAKQAsAFwAbgBcAG4AIAAgACAAIAAvAC8AIABPAHAAdABpAG8AbgBhAGwAIABwAGEAZABkAGkAbgBnAFwAbgAgACAAIAAgAHAAYQBkAF8AdwBpAHQAaAAsACAAIAAgACAAIAAgACAASQBGACgASQBTAE8ATQBJAFQAVABFAEQAKABwAGEAZABfAHcAaQB0AGgAKQAsACAATgBBACgAKQAsACAAcABhAGQAXwB3AGkAdABoACkALABcAG4AXABuACAAIAAgACAALwAvACAAUwBjAGUAbgBhAHIAaQBvAHMAXABuACAAIAAgACAASQBuAHYAYQBsAGkAZABXAGkAZAB0AGgALAAgACAAIABuAGUAdwBfAHcAaQBkAHQAaAAgAD4AIAB3ACwAXABuACAAIAAgACAASQBzAFMAYwBhAGwAYQByAD8ALAAgACAAIAAgACAAIABBAE4ARAAoAGgAIAA9ACAAMQAsACAAdwAgAD0AIAAxACkALABcAG4AXABuACAAIAAgACAALwAvACAAVgBlAGMAdABvAHIAIABoAGEAbgBkAGwAaQBuAGcAXABuACAAIAAgACAASQBzADEARAA/ACwAIAAgACAAIAAgACAAIAAgACAAIABYAE8AUgAoAGgAIAA9ACAAMQAsACAAdwAgAD0AIAAxACkALABcAG4AIAAgACAAIABJAHMAVgBlAHIAdABpAGMAYQBsAD8ALAAgACAAIAAgAGgAIAA+ACAAdwAsAFwAbgBcAG4AIAAgACAAIAAvAC8AIABMAG8AZwBpAGMAIABnAGEAdABlAFwAbgAgACAAIAAgAEkARgAoAEkAcwBTAGMAYQBsAGEAcgA/ACwAIABhAHIAcgBhAHkALABcAG4AXABuACAAIAAgACAAIAAgACAAIABJAEYAKABJAHMAMQBEAD8ALAAgAFwAIgAjAFYAQQBMAFUARQAhAFwAIgAsAFwAbgBcAG4AIAAgACAAIAAgACAAIAAgACAAIAAgACAASQBGACgASQBuAHYAYQBsAGkAZABXAGkAZAB0AGgALAAgAFwAIgAjAFcASQBEAFQASAAhAFwAIgAsAFwAbgBcAG4ATABFAFQAKABcAG4AIAAgACAAIAAvAC8AIABJAG4AZABpAGMAZQBzAFwAbgAgACAAIAAgAGkALAAgACAAIAAgACAAIAAgACAAIAAgACAAIAAgACAATABBAE0AQgBEAEEAKABDAEUASQBMAEkATgBHACgAUwBFAFEAVQBFAE4AQwBFACgAbgBlAHcAXwBoAGUAaQBnAGgAdAAsACAAbgBlAHcAXwB3AGkAZAB0AGgAKQAgAC8AIAB3ACwAIAAxACkAKQAsAFwAbgBcAG4AIAAgACAAIABtAG8AZAB1AGwAbwAsACAAIAAgACAAIAAgACAAIAAgAEwAQQBNAEIARABBACgATQBPAEQAKABTAEUAUQBVAEUATgBDAEUAKABuAGUAdwBfAGgAZQBpAGcAaAB0ACwAIABuAGUAdwBfAHcAaQBkAHQAaAApACwAIAB3ACkAKQAsAFwAbgBcAG4AIAAgACAAIABqACwAIAAgACAAIAAgACAAIAAgACAAIAAgACAAIAAgAEwAQQBNAEIARABBACgASQBGACgAbQBvAGQAdQBsAG8AKAApACAAPQAgADAALAAgAHcALAAgAG0AbwBkAHUAbABvACgAKQApACkALABcAG4AXABuACAAIAAgACAALwAvACAAUAByAGUAcwBlAG4AdABcAG4AIAAgACAAIAByAGUAcwBoAGEAcABlAGQALAAgACAAIAAgACAAIAAgAEkARgBFAFIAUgBPAFIAKABJAE4ARABFAFgAKABhAHIAcgBhAHkALAAgAGkAKAApACwAIABqACgAKQApACwAIABwAGEAZABfAHcAaQB0AGgAKQAsAFwAbgBcAG4AIAAgACAAIAByAGUAcwBoAGEAcABlAGQAXABuACkAKQApACkAKQApADsAXABuAFwAbgBcAG4AXABuAC8AKgAgAFsAUwBBADAAMgBdACAALQAtAC0ALQAtAC0ALQAtAC0ALQAtAC0ALQAtAC0ALQAtAC0ALQAtAC0ALQAtAC0ALQAtAC0ALQAtAC0ALQAtAC0ALQAtAC0ALQAtAC0ALQAtAC0ALQAtAC0ALQAtAC0ALQAtAC0ALQAtAC0ALQAtAC0ALQAtAC0ALQAtAC0ALQAtAC0ALQAtAC0ALQAtAC0ALQBcAG4ARgB1AG4AYwB0AGkAbwBuADoAIAAgACAAIAAgAFIAZQBzAGkAegBlALsDXABuAEMAYQB0AGUAZwBvAHIAeQA6ACAAIAAgACAAIAAyAEQAIABBAHIAcgBhAHkAIABTAGgAYQBwAGkAbgBnAFwAbgBBAHUAdABoAG8AcgA6ACAAIAAgACAAIAAgACAAUABhAHQAcgBpAGMAawAgAEgALgBcAG4AVgBlAHIAcwBpAG8AbgA6ACAAIAAgACAAIAAgADEALgAxAFwAbgBcAG4ARABlAHMAYwByAGkAcAB0AGkAbwBuADoAXABuACAAIAAgACAAUgBlAHAAZQBhAHQAcwAgAGEAIAAyAEQAIABhAHIAcgBhAHkAIAB2AGUAcgB0AGkAYwBhAGwAbAB5ACAAYQBuAGQALwBvAHIAIABoAG8AcgBpAHoAbwBuAHQAYQBsAGwAeQAgAGIAeQAgAGkAbgB0AGUAZwBlAHIAIAByAGUAcABlAGEAdAAgAGMAbwB1AG4AdABzAC4AXABuACAAIAAgACAAVQBzAGUAcgBzACAAbQBhAHkAIABzAHAAZQBjAGkAZgB5ACAAaABlAGkAZwBoAHQALAAgAHcAaQBkAHQAaAAsACAAbwByACAAYgBvAHQAaAAuACAASQBmACAAZQBpAHQAaABlAHIAIABwAGEAcgBhAG0AZQB0AGUAcgAgAGkAcwAgAG8AbQBpAHQAdABlAGQALABcAG4AIAAgACAAIAB0AGgAZQAgAG8AbQBpAHQAdABlAGQAIABkAGkAbQBlAG4AcwBpAG8AbgAgAGQAZQBmAGEAdQBsAHQAcwAgAHQAbwAgADEALgAgAEcAZQBvAG0AZQB0AHIAeQAgAGkAcwAgAHAAcgBlAHMAZQByAHYAZQBkADsAIABuAG8AIABmAGwAYQB0AHQAZQBuAGkAbgBnAFwAbgAgACAAIAAgAG8AYwBjAHUAcgBzAC4AXABuAFwAbgBFAHgAYQBtAHAAbABlADoAXABuACAAIAAgACAASQBuAHAAdQB0ADoAXABuACAAIAAgACAAIAAgACAAIAB7ADEALAAyADsAXABuACAAIAAgACAAIAAgACAAIAAgADMALAA0AH0AXABuAFwAbgAgACAAIAAgAD0AUgBlAHMAaQB6AGUAuwMoAGEAcgByAGEAeQAsACAAMgAsACAAMwApAFwAbgBcAG4AIAAgACAAIABPAHUAdABwAHUAdAA6AFwAbgAgACAAIAAgACAAIAAgACAAewAxACwAMgAsADEALAAyACwAMQAsADIAOwBcAG4AIAAgACAAIAAgACAAIAAgACAAMwAsADQALAAzACwANAAsADMALAA0ADsAXABuACAAIAAgACAAIAAgACAAIAAgADEALAAyACwAMQAsADIALAAxACwAMgA7AFwAbgAgACAAIAAgACAAIAAgACAAIAAzACwANAAsADMALAA0ACwAMwAsADQAfQBcAG4AXABuAFAAYQByAGEAbQBlAHQAZQByAHMAOgBcAG4AIAAgACAAIABhAHIAcgBhAHkAIAAgACAAIAAgACAAIAAgAC0AIABSAGUAcQB1AGkAcgBlAGQAIAAyAEQAIABhAHIAcgBhAHkAIAB0AG8AIABiAGUAIAByAGUAcABlAGEAdABlAGQALgBcAG4AIAAgACAAIABbAGgAZQBpAGcAaAB0AF0AIAAgACAAIAAgAC0AIABPAHAAdABpAG8AbgBhAGwAIAB2AGUAcgB0AGkAYwBhAGwAIAByAGUAcABlAGEAdAAgAGMAbwB1AG4AdAAuACAARABlAGYAYQB1AGwAdABzACAAdABvACAAMQAuAFwAbgAgACAAIAAgAFsAdwBpAGQAdABoAF0AIAAgACAAIAAgACAALQAgAE8AcAB0AGkAbwBuAGEAbAAgAGgAbwByAGkAegBvAG4AdABhAGwAIAByAGUAcABlAGEAdAAgAGMAbwB1AG4AdAAuACAARABlAGYAYQB1AGwAdABzACAAdABvACAAMQAuAFwAbgBcAG4ATgBvAHQAZQBzADoAXABuACAAIAAgACAAIiAgAFIAZQBwAGUAdABpAHQAaQBvAG4AIABpAHMAIABwAGUAcgBmAG8AcgBtAGUAZAAgAHYAaQBhACAAaQBuAGQAZQB4ACAAcgBlAG0AYQBwAHAAaQBuAGcALgBcAG4AIAAgACAAIAAiICAATwB1AHQAcAB1AHQAIABnAGUAbwBtAGUAdAByAHkAIABpAHMAIAAoAGgAIADXACAAaABlAGkAZwBoAHQAKQAgAGIAeQAgACgAdwAgANcAIAB3AGkAZAB0AGgAKQAuAFwAbgAtAC0ALQAtAC0ALQAtAC0ALQAtAC0ALQAtAC0ALQAtAC0ALQAtAC0ALQAtAC0ALQAtAC0ALQAtAC0ALQAtAC0ALQAtAC0ALQAtAC0ALQAtAC0ALQAtAC0ALQAtAC0ALQAtAC0ALQAtAC0ALQAtAC0ALQAtAC0ALQAtAC0ALQAtAC0ALQAtAC0ALQAtAC0ALQAtAC0ALQAtAC0ALQAqAC8AXABuAFwAbgBSAGUAcwBpAHoAZQC7AyAAPQBcAG4ATABBAE0AQgBEAEEAKABcAG4AIAAgACAAIABhAHIAcgBhAHkALABcAG4AIAAgACAAIABbAGgAZQBpAGcAaAB0AF0ALABcAG4AIAAgACAAIABbAHcAaQBkAHQAaABdACwAXABuAEwARQBUACgAXABuACAAIAAgACAALwAvACAARABpAG0AZQBuAHMAaQBvAG4AcwBcAG4AIAAgACAAIABoACwAIAAgACAAIAAgACAAIAAgACAAIAAgACAAIAAgACAAUgBPAFcAUwAoAGEAcgByAGEAeQApACwAXABuACAAIAAgACAAdwAsACAAIAAgACAAIAAgACAAIAAgACAAIAAgACAAIAAgAEMATwBMAFUATQBOAFMAKABhAHIAcgBhAHkAKQAsAFwAbgBcAG4AIAAgACAAIAAvAC8AIABPAG0AaQBzAHMAaQBvAG4AIABjAGgAZQBjAGsAcwBcAG4AIAAgACAAIABIAGUAaQBnAGgAdABPAG0AaQB0AHQAZQBkAD8ALAAgACAASQBTAE8ATQBJAFQAVABFAEQAKABoAGUAaQBnAGgAdAApACwAXABuACAAIAAgACAAVwBpAGQAdABoAE8AbQBpAHQAdABlAGQAPwAsACAAIAAgAEkAUwBPAE0ASQBUAFQARQBEACgAdwBpAGQAdABoACkALABcAG4AIAAgACAAIABOAG8ASABXAEkAbgBwAHUAdAA/ACwAIAAgACAAIAAgACAASABlAGkAZwBoAHQATwBtAGkAdAB0AGUAZAA/ACAAKwAgAFcAaQBkAHQAaABPAG0AaQB0AHQAZQBkAD8AIAA9ACAAMgAsAFwAbgBcAG4AIAAgACAAIAAvAC8AIABEAGUAZgBhAHUAbAB0ACAAcgBlAHAAZQBhAHQAIABjAG8AdQBuAHQAcwBcAG4AIAAgACAAIABoAGUAaQBnAGgAdAAsACAAIAAgACAAIAAgACAAIAAgACAASQBGACgATwBSACgATgBvAEgAVwBJAG4AcAB1AHQAPwAsACAASABlAGkAZwBoAHQATwBtAGkAdAB0AGUAZAA/ACkALAAgADEALAAgAGgAZQBpAGcAaAB0ACkALABcAG4AIAAgACAAIAB3AGkAZAB0AGgALAAgACAAIAAgACAAIAAgACAAIAAgACAASQBGACgATwBSACgATgBvAEgAVwBJAG4AcAB1AHQAPwAsACAAVwBpAGQAdABoAE8AbQBpAHQAdABlAGQAPwApACwAIAAxACwAIAB3AGkAZAB0AGgAKQAsAFwAbgBcAG4AIAAgACAAIAAvAC8AIABTAGMAZQBuAGEAcgBpAG8AcwBcAG4AIAAgACAAIABOAG8AUgBlAHAAZQBhAHQAPwAsACAAIAAgACAAIAAgACAAQQBOAEQAKABoAGUAaQBnAGgAdAAgAD0AIAAxACwAIAB3AGkAZAB0AGgAIAA9ACAAMQApACwAXABuACAAIAAgACAASQBzAFMAYwBhAGwAYQByAD8ALAAgACAAIAAgACAAIAAgAEEATgBEACgAaAAgAD0AIAAxACwAIAB3ACAAPQAgADEAKQAsAFwAbgAgACAAIAAgAEUAeABwAGEAbgBkAFMAYwBhAGwAYQByACwAIAAgACAAIABFAFgAUABBAE4ARAAoAGEAcgByAGEAeQAsACAAaABlAGkAZwBoAHQALAAgAHcAaQBkAHQAaAAsACAAYQByAHIAYQB5ACkALABcAG4AXABuACAAIAAgACAASQBuAHYAYQBsAGkAZABSAGUAcABlAGEAdAA/ACwAIAAgAE8AUgAoAEkAUwBUAEUAWABUACgAaABlAGkAZwBoAHQAKQAsAFwAbgAgACAAIAAgACAAIAAgACAAIAAgACAAIAAgACAAIAAgACAAIAAgACAAIAAgACAAIABJAFMAVABFAFgAVAAoAHcAaQBkAHQAaAApACwAXABuACAAIAAgACAAIAAgACAAIAAgACAAIAAgACAAIAAgACAAIAAgACAAIAAgACAAIAAgAE8AUgAoAEEATgBEACgASQBTAE4AVQBNAEIARQBSACgAaABlAGkAZwBoAHQAKQAsACAAaABlAGkAZwBoAHQAIAA8AD0AIAAwACkALABcAG4AIAAgACAAIAAgACAAIAAgACAAIAAgACAAIAAgACAAIAAgACAAIAAgACAAIAAgACAAIAAgACAAQQBOAEQAKABJAFMATgBVAE0AQgBFAFIAKAB3AGkAZAB0AGgAKQAsACAAIAB3AGkAZAB0AGgAIAA8AD0AIAAwACkAKQApACwAXABuAFwAbgAgACAAIAAgAC8ALwAgAEwAbwBnAGkAYwAgAGcAYQB0AGUAXABuACAAIAAgACAASQBGACgATgBvAFIAZQBwAGUAYQB0AD8ALAAgAGEAcgByAGEAeQAsAFwAbgBcAG4AIAAgACAAIAAgACAAIAAgAEkARgAoAEkAcwBTAGMAYQBsAGEAcgA/ACwAIABFAHgAcABhAG4AZABTAGMAYQBsAGEAcgAsAFwAbgBcAG4AIAAgACAAIAAgACAAIAAgACAAIAAgACAASQBGACgASQBuAHYAYQBsAGkAZABSAGUAcABlAGEAdAA/ACwAIABhAHIAcgBhAHkALABcAG4AXABuAEwARQBUACgAXABuACAAIAAgACAALwAvACAARQB4AHAAYQBuAGQAZQBkACAAZABpAG0AZQBuAHMAaQBvAG4AcwBcAG4AIAAgACAAIABrACwAIAAgACAAIAAgACAAIAAgACAAIAAgACAAIAAgACAAaAAgACoAIABoAGUAaQBnAGgAdAAsAFwAbgAgACAAIAAgAGsAgiAsACAAIAAgACAAIAAgACAAIAAgACAAIAAgACAAIAB3ACAAKgAgAHcAaQBkAHQAaAAsAFwAbgBcAG4AIAAgACAAIAAvAC8AIABJAG4AZABpAGMAZQBzACAAKABkAGUAZgBlAHIAcgBlAGQAKQBcAG4AIAAgACAAIABpACwAIAAgACAAIAAgACAAIAAgACAAIAAgACAAIAAgACAATABBAE0AQgBEAEEAKAAxACAAKwAgAE0ATwBEACgAUwBFAFEAVQBFAE4AQwBFACgAawAsACwAMAAsACkALAAgAGgAKQAgACoAIABTAEUAUQBVAEUATgBDAEUAKAAsACAAawCCICwAIAAxACwAIAAwACkAKQAsAFwAbgAgACAAIAAgAGoALAAgACAAIAAgACAAIAAgACAAIAAgACAAIAAgACAAIABMAEEATQBCAEQAQQAoADEAIAArACAATQBPAEQAKABTAEUAUQBVAEUATgBDAEUAKAAsACAAawCCICwAIAAwACkALAAgAHcAKQAgACoAIABTAEUAUQBVAEUATgBDAEUAKABrACwALAAgADEALAAgADAAKQApACwAXABuAFwAbgAgACAAIAAgAC8ALwAgAEMAbwBuAHMAdAByAHUAYwB0ACAAcgBlAHAAZQBhAHQAZQBkACAAYQByAHIAYQB5AFwAbgAgACAAIAAgAHIAZQBzAHUAbAB0ACwAIAAgACAAIAAgACAAIAAgACAAIABJAE4ARABFAFgAKABhAHIAcgBhAHkALAAgAGkAKAApACwAIABqACgAKQApACwAXABuAFwAbgAgACAAIAAgAHIAZQBzAHUAbAB0AFwAbgApACkAKQApACkAKQA7AFwAbgBcAG4AXABuAFwAbgAvACoAIABbAFMAQQAwADMAXQAgAC0ALQAtAC0ALQAtAC0ALQAtAC0ALQAtAC0ALQAtAC0ALQAtAC0ALQAtAC0ALQAtAC0ALQAtAC0ALQAtAC0ALQAtAC0ALQAtAC0ALQAtAC0ALQAtAC0ALQAtAC0ALQAtAC0ALQAtAC0ALQAtAC0ALQAtAC0ALQAtAC0ALQAtAC0ALQAtAC0ALQAtAC0ALQAtAC0AXABuAEYAdQBuAGMAdABpAG8AbgA6ACAAIAAgACAAIABTAGMAYQBuADIARAC7A1wAbgBDAGEAdABlAGcAbwByAHkAOgAgACAAIAAgACAAMgBEACAAQQByAHIAYQB5ACAAUwBoAGEAcABpAG4AZwBcAG4AQQB1AHQAaABvAHIAOgAgACAAIAAgACAAIAAgAFAAYQB0AHIAaQBjAGsAIABIAC4AXABuAFYAZQByAHMAaQBvAG4AOgAgACAAIAAgACAAIAAxAC4AMQBcAG4ARABlAHAAZQBuAGQAZQBuAGMAaQBlAHMAOgAgAFIAZQBTAGgAYQBwAGUAMgBEALsDLAAgAFQAcgBhAHYAZQByAHMAZQC7A1wAbgBcAG4ARABlAHMAYwByAGkAcAB0AGkAbwBuADoAXABuACAAIAAgACAAQQAgAHQAcgBhAHYAZQByAHMAYQBsABEgYQB3AGEAcgBlACAAMgBEACAAcwBjAGEAbgBuAGkAbgBnACAAbwBwAGUAcgBhAHQAbwByACAAdABoAGEAdAAgAGUAeAB0AGUAbgBkAHMAIABFAHgAYwBlAGwAGSBzACAAbgBhAHQAaQB2AGUAIABTAEMAQQBOAFwAbgAgACAAIAAgAGYAdQBuAGMAdABpAG8AbgAuACAAUwBjAGEAbgAyAEQAuwMgAHMAdQBwAHAAbwByAHQAcwAgAGYAaQB2AGUAIAB0AHIAYQB2AGUAcgBzAGEAbAAgAG0AbwBkAGUAcwAsACAAYQBsAGwAbwB3AGkAbgBnACAAYQBjAGMAdQBtAHUAbABhAHQAaQBvAG4AIAB0AG8AXABuACAAIAAgACAAYgBlAGcAaQBuACAAYQB0ACAAZABpAGYAZgBlAHIAZQBuAHQAIABjAG8AcgBuAGUAcgBzACAAYQBuAGQAIABwAHIAbwBjAGUAZQBkACAAaQBuACAAZABpAGYAZgBlAHIAZQBuAHQAIABvAHIAZABlAHIAcwAuACAARgBvAHIAIAAyAEQAIABhAHIAcgBhAHkAcwAsAFwAbgAgACAAIAAgAGcAZQBvAG0AZQB0AHIAeQAgAGkAcwAgAHAAcgBlAHMAZQByAHYAZQBkAC4AXABuAFwAbgAgACAAIAAgAEYAbwByACAAMQBEACAAYQByAHIAYQB5AHMALAAgAFMAYwBhAG4AMgBEALsDIABiAGUAaABhAHYAZQBzACAAbABpAGsAZQAgAG4AYQB0AGkAdgBlACAAUwBDAEEATgAsACAAdwBpAHQAaAAgAG8AcAB0AGkAbwBuAGEAbAAgAHIAZQB2AGUAcgBzAGUAXABuACAAIAAgACAAbwByAGQAZQByACAAdwBoAGUAbgAgAGQAaQByAGUAYwB0AGkAbwBuACAAPQAgAC0AMQAuAFwAbgBcAG4AUABhAHIAYQBtAGUAdABlAHIAcwA6AFwAbgAgACAAIAAgAGkAbgBpAHQAaQBhAGwAXwB2AGEAbAB1AGUAIAAgAC0AIABTAGEAbQBlACAAbQBlAGEAbgBpAG4AZwAgAGEAcwAgAG4AYQB0AGkAdgBlACAAUwBDAEEATgAuAFwAbgAgACAAIAAgAGEAcgByAGEAeQAgACAAIAAgACAAIAAgACAAIAAgAC0AIABJAG4AcAB1AHQAIABhAHIAcgBhAHkALgAgAFMAYwBhAGwAYQByAHMAIABhAG4AZAAgADEARAAgAHYAZQBjAHQAbwByAHMAIABhAHIAZQAgAHMAdQBwAHAAbwByAHQAZQBkACAAdwBpAHQAaABcAG4AIAAgACAAIAAgACAAIAAgACAAIAAgACAAIAAgACAAIAAgACAAIAAgACAAcgBlAHMAdAByAGkAYwB0AGUAZAAgAGQAaQByAGUAYwB0AGkAbwBuACAAcwBlAG0AYQBuAHQAaQBjAHMALgBcAG4AIAAgACAAIABmAHUAbgBjAHQAaQBvAG4AIAAgACAAIAAgACAAIAAtACAAUwBhAG0AZQAgAG0AZQBhAG4AaQBuAGcAIABhAHMAIABuAGEAdABpAHYAZQAgAFMAQwBBAE4ALgBcAG4AXABuAE8AcAB0AGkAbwBuAGEAbAA6AFwAbgAgACAAIAAgAFsAZABpAHIAZQBjAHQAaQBvAG4AXQAgACAAIAAgAC0AIABUAHIAYQB2AGUAcgBzAGEAbAAgAGMAbwBkAGUALgAgAEQAZQBmAGEAdQBsAHQAcwAgAHQAbwAgADAAIAAoAHMAdABhAG4AZABhAHIAZAAgAHIAbwB3ABEgbQBhAGoAbwByACkALgBcAG4AXABuAEQAaQByAGUAYwB0AGkAbwBuACAAQwBvAGQAZQBzADoAXABuACAAIAAgACAAIAAgACAAIAAwACAAIAAgAC0AIABTAHQAYQBuAGQAYQByAGQAIAByAG8AdwARIG0AYQBqAG8AcgAgACgAbABlAGYAdAAgAJIhIAByAGkAZwBoAHQALAAgAHQAbwBwACAAkiEgAGIAbwB0AHQAbwBtACkAXABuACAAIAAgACAAIAAgACAALQAxACAAIAAgAC0AIABDAG8AbAB1AG0AbgARIG0AYQBqAG8AcgAgAGYAcgBvAG0AIABOAFcAIABjAG8AcgBuAGUAcgAgACgAdABvAHAAIACSISAAYgBvAHQAdABvAG0ALAAgAGwAZQBmAHQAIACSISAAcgBpAGcAaAB0ACkAXABuACAAIAAgACAAIAAgACAAIAAxACAAIAAgAC0AIABOAEUAIAB0AHIAYQB2AGUAcgBzAGEAbAAgACgAYwBvAGwAdQBtAG4AESBtAGEAagBvAHIAKQBcAG4AIAAgACAAIAAgACAAIAAgADIAIAAgACAALQAgAFMARQAgAHQAcgBhAHYAZQByAHMAYQBsACAAKABjAG8AbAB1AG0AbgARIG0AYQBqAG8AcgAsACAAYgBvAHQAdABvAG0AIACSISAAdABvAHAAKQBcAG4AIAAgACAAIAAgACAAIAAgADMAIAAgACAALQAgAFMAVwAgAHQAcgBhAHYAZQByAHMAYQBsACAAKAByAG8AdwARIG0AYQBqAG8AcgAsACAAcgBpAGcAaAB0ACAAkiEgAGwAZQBmAHQAKQBcAG4AXABuAEUAcgByAG8AcgAgAEMAbwBuAGQAaQB0AGkAbwBuAHMAOgBcAG4AIAAgACAAIAAiICAAXAAiACMAZABpAHIAZQBjAHQAaQBvAG4AIQBcACIAIAAtACAASQBuAHYAYQBsAGkAZAAgAGQAaQByAGUAYwB0AGkAbwBuACAAZgBvAHIAIAAxAEQAIABhAHIAcgBhAHkAcwAgAG8AcgAgAHUAbgByAGUAYwBvAGcAbgBpAHoAZQBkACAAYwBvAGQAZQAuAFwAbgAgACAAIAAgACIgIAAxAEQAIABhAHIAcgBhAHkAcwAgAG8AbgBsAHkAIABzAHUAcABwAG8AcgB0ACAAZABpAHIAZQBjAHQAaQBvAG4AIAA9ACAAMAAgACgAZgBvAHIAdwBhAHIAZAApACAAbwByACAALQAxACAAKAByAGUAdgBlAHIAcwBlACkALgBcAG4AIAAgACAAIAAiICAAUwBjAGEAbABhAHIAcwAgAGIAeQBwAGEAcwBzACAAdAByAGEAdgBlAHIAcwBhAGwAIABhAG4AZAAgAHUAcwBlACAAbgBhAHQAaQB2AGUAIABTAEMAQQBOACAAZABpAHIAZQBjAHQAbAB5AC4AXABuAFwAbgBOAG8AdABlAHMAOgBcAG4AIAAgACAAIAAiICAAMgBEACAAdAByAGEAdgBlAHIAcwBhAGwAIAB1AHMAZQBzACAAVAByAGEAdgBlAHIAcwBlALsDIAB0AG8AIAByAGUAbwByAGQAZQByACAAdABoAGUAIABhAHIAcgBhAHkALAAgAFMAQwBBAE4AIAB0AG8AIABhAGMAYwB1AG0AdQBsAGEAdABlACwAXABuACAAIAAgACAAIAAgAGEAbgBkACAAUgBlAFMAaABhAHAAZQAyAEQAuwMgAHQAbwAgAHIAZQBzAHQAbwByAGUAIABvAHIAaQBnAGkAbgBhAGwAIABnAGUAbwBtAGUAdAByAHkALgBcAG4AIAAgACAAIAAiICAATgBvACAAZgBsAGEAdAB0AGUAbgBpAG4AZwAgAGkAcwAgAHAAZQByAGYAbwByAG0AZQBkADsAIABnAGUAbwBtAGUAdAByAHkAIABpAHMAIABwAHIAZQBzAGUAcgB2AGUAZAAuAFwAbgAtAC0ALQAtAC0ALQAtAC0ALQAtAC0ALQAtAC0ALQAtAC0ALQAtAC0ALQAtAC0ALQAtAC0ALQAtAC0ALQAtAC0ALQAtAC0ALQAtAC0ALQAtAC0ALQAtAC0ALQAtAC0ALQAtAC0ALQAtAC0ALQAtAC0ALQAtAC0ALQAtAC0ALQAtAC0ALQAtAC0ALQAtAC0ALQAtAC0ALQAtAC0ALQAqAC8AXABuAFwAbgBTAGMAYQBuADIARAC7AyAAPQBcAG4ATABBAE0AQgBEAEEAKABcAG4AIAAgACAAIABpAG4AaQB0AGkAYQBsAF8AdgBhAGwAdQBlACwAXABuACAAIAAgACAAYQByAHIAYQB5ACwAXABuACAAIAAgACAAZgB1AG4AYwB0AGkAbwBuACwAXABuACAAIAAgACAAWwBkAGkAcgBlAGMAdABpAG8AbgBdACwAXABuAEwARQBUACgAXABuACAAIAAgACAALwAvACAARABpAHIAZQBjAHQAaQBvAG4AIAAoAGQAZQBmAGEAdQBsAHQAIAA9ACAAMAApAFwAbgAgACAAIAAgAGQAaQByAGUAYwB0AGkAbwBuACwAIAAgACAAIAAgACAAIAAgACAASQBGACgASQBTAE8ATQBJAFQAVABFAEQAKABkAGkAcgBlAGMAdABpAG8AbgApACwAIAAwACwAIABkAGkAcgBlAGMAdABpAG8AbgApACwAXABuAFwAbgAgACAAIAAgAC8ALwAgAEQAaQBtAGUAbgBzAGkAbwBuAHMAXABuACAAIAAgACAAaAAsACAAIAAgACAAIAAgACAAIAAgACAAIAAgACAAIAAgACAAIABSAE8AVwBTACgAYQByAHIAYQB5ACkALABcAG4AIAAgACAAIAB3ACwAIAAgACAAIAAgACAAIAAgACAAIAAgACAAIAAgACAAIAAgAEMATwBMAFUATQBOAFMAKABhAHIAcgBhAHkAKQAsAFwAbgBcAG4AIAAgACAAIAAvAC8AIABOAG8AbgARIDIARAAgAHMAYwBlAG4AYQByAGkAbwBzAFwAbgAgACAAIAAgAEkAcwBTAGMAYQBsAGEAcgA/ACwAIAAgACAAIAAgACAAIAAgACAAQQBOAEQAKABoACAAPQAgADEALAAgAHcAIAA9ACAAMQApACwAXABuACAAIAAgACAASQBzADEARAA/ACwAIAAgACAAIAAgACAAIAAgACAAIAAgACAAIABYAE8AUgAoAGgAIAA9ACAAMQAsACAAdwAgAD0AIAAxACkALABcAG4AXABuACAAIAAgACAASQBuAHYAYQBsAGkAZAAxAEQARABpAHIAPwAsACAAIAAgACAAIABBAE4ARAAoAEkAcwAxAEQAPwAsACAAZABpAHIAZQBjAHQAaQBvAG4AIAA8AD4AIAAwACwAIABkAGkAcgBlAGMAdABpAG8AbgAgADwAPgAgAC0AMQApACwAXABuACAAIAAgACAASQBzAFIAZQB2AGUAcgBzAGUAPwAsACAAIAAgACAAIAAgACAAIABkAGkAcgBlAGMAdABpAG8AbgAgAD0AIAAtADEALABcAG4AIAAgACAAIABJAHMAVgBlAHIAdABpAGMAYQBsAD8ALAAgACAAIAAgACAAIAAgAEEATgBEACgASQBzADEARAA/ACwAIABoACAAPgAgAHcAKQAsAFwAbgBcAG4AIAAgACAAIAAvAC8AIAAxAEQAIABoAGEAbgBkAGwAaQBuAGcAXABuACAAIAAgACAAZQAsACAAIAAgACAAIAAgACAAIAAgACAAIAAgACAAIAAgACAAIABJAEYAKABJAHMAVgBlAHIAdABpAGMAYQBsAD8ALAAgAGgALAAgAHcAKQAsAFwAbgAgACAAIAAgAGkAZAB4ACwAIAAgACAAIAAgACAAIAAgACAAIAAgACAAIAAgACAAUwBFAFEAVQBFAE4AQwBFACgAZQAsACwAIABlACwAIAAtADEAKQAsAFwAbgAgACAAIAAgAHIAZQB2AF8AYQByAHIAYQB5ACwAIAAgACAAIAAgACAAIAAgACAASQBGACgASQBzAFYAZQByAHQAaQBjAGEAbAA/ACwAIABJAE4ARABFAFgAKABhAHIAcgBhAHkALAAgAGkAZAB4ACkALAAgAEkATgBEAEUAWAAoAGEAcgByAGEAeQAsACwAIABpAGQAeAApACkALABcAG4AIAAgACAAIAB2AGUAYwB0AG8AcgAsACAAIAAgACAAIAAgACAAIAAgACAAIAAgAEkARgAoAEkAcwBSAGUAdgBlAHIAcwBlAD8ALAAgAHIAZQB2AF8AYQByAHIAYQB5ACwAIABhAHIAcgBhAHkAKQAsAFwAbgBcAG4AIAAgACAAIAAvAC8AIABMAG8AZwBpAGMAIABnAGEAdABlAFwAbgAgACAAIAAgAEkARgAoAEkAcwBTAGMAYQBsAGEAcgA/ACwAIABTAEMAQQBOACgAaQBuAGkAdABpAGEAbABfAHYAYQBsAHUAZQAsACAAYQByAHIAYQB5ACwAIABmAHUAbgBjAHQAaQBvAG4AKQAsAFwAbgBcAG4AIAAgACAAIAAgACAAIAAgAEkARgAoAEkAbgB2AGEAbABpAGQAMQBEAEQAaQByAD8ALAAgAFwAIgAjAGQAaQByAGUAYwB0AGkAbwBuACEAXAAiACwAXABuAFwAbgAgACAAIAAgACAAIAAgACAAIAAgACAAIABJAEYAKABJAHMAMQBEAD8ALAAgAFMAQwBBAE4AKABpAG4AaQB0AGkAYQBsAF8AdgBhAGwAdQBlACwAIAB2AGUAYwB0AG8AcgAsACAAZgB1AG4AYwB0AGkAbwBuACkALABcAG4AXABuACAAIAAgACAAIAAgACAAIAAgACAAIAAgACAAIAAgACAASQBGACgASQBTAE4AQQAoAFgATQBBAFQAQwBIACgAZABpAHIAZQBjAHQAaQBvAG4ALAAgAHsALQAxADsAMAA7ADEAOwAyADsAMwA7AFwAIgBOAEUAXAAiADsAXAAiAFMARQBcACIAOwBcACIAUwBXAFwAIgB9ACkAKQAsAFwAbgAgACAAIAAgACAAIAAgACAAIAAgACAAIAAgACAAIAAgACAAIAAgACAAXAAiACMAZABpAHIAZQBjAHQAaQBvAG4AIQBcACIALABcAG4AXABuAEwARQBUACgAXABuACAAIAAgACAALwAvACAAMgBEACAAcwBjAGEAbgAgAG0AbwBkAGUAcwBcAG4AIAAgACAAIABzAHQAYQBuAGQAYQByAGQALAAgACAAIAAgACAAIAAgACAAIAAgAEwAQQBNAEIARABBACgAUwBDAEEATgAoAGkAbgBpAHQAaQBhAGwAXwB2AGEAbAB1AGUALAAgAGEAcgByAGEAeQAsACAAZgB1AG4AYwB0AGkAbwBuACkAKQAsACAALwAvACAAMABcAG4AXABuACAAIAAgACAAcwB0AGEAbgBkAGEAcgBkAF8AYgB5AGMAbwBsACwAIAAgACAAIABMAEEATQBCAEQAQQAoAFQAUgBBAE4AUwBQAE8AUwBFACgAXABuACAAIAAgACAAIAAgACAAIAAgACAAIAAgACAAIAAgACAAIAAgACAAIAAgACAAIAAgACAAIAAgACAAIAAgACAAUwBDAEEATgAoAGkAbgBpAHQAaQBhAGwAXwB2AGEAbAB1AGUALAAgAFQAUgBBAE4AUwBQAE8AUwBFACgAYQByAHIAYQB5ACkALAAgAGYAdQBuAGMAdABpAG8AbgApACkAKQAsACAALwAvACAALQAxAFwAbgBcAG4AIAAgACAAIAB0AHIAYQB2AGUAcgBzAGEAbAAsACAAIAAgACAAIAAgACAAIAAgAEwAQQBNAEIARABBACgAUgBlAFMAaABhAHAAZQAyAEQAuwMoAFwAbgAgACAAIAAgACAAIAAgACAAIAAgACAAIAAgACAAIAAgACAAIAAgACAAIAAgACAAIAAgACAAIAAgACAAIAAgAFMAQwBBAE4AKABpAG4AaQB0AGkAYQBsAF8AdgBhAGwAdQBlACwAVAByAGEAdgBlAHIAcwBlALsDKABhAHIAcgBhAHkALAAgAGQAaQByAGUAYwB0AGkAbwBuACkALABmAHUAbgBjAHQAaQBvAG4AKQAsAFwAbgAgACAAIAAgACAAIAAgACAAIAAgACAAIAAgACAAIAAgACAAIAAgACAAIAAgACAAIAAgACAAIAAgACAAIAAgAHcAKQApACwAIAAvAC8AIAAxACwAIAAyACwAIAAzAFwAbgBcAG4AIAAgACAAIAAvAC8AIABTAGUAbABlAGMAdAAgAG0AbwBkAGUAXABuACAAIAAgACAAcgBlAHMAdQBsAHQALAAgACAAIAAgACAAIAAgACAAIAAgACAAIABJAEYAKABkAGkAcgBlAGMAdABpAG8AbgAgAD0AIAAwACwAIAAgAHMAdABhAG4AZABhAHIAZAAoACkALABcAG4AIAAgACAAIAAgACAAIAAgACAAIAAgACAAIAAgACAAIAAgACAAIAAgACAAIAAgACAAIAAgACAASQBGACgAZABpAHIAZQBjAHQAaQBvAG4AIAA9ACAALQAxACwAIABzAHQAYQBuAGQAYQByAGQAXwBiAHkAYwBvAGwAKAApACwAIAB0AHIAYQB2AGUAcgBzAGEAbAAoACkAKQApACwAXABuAFwAbgAgACAAIAAgAHIAZQBzAHUAbAB0AFwAbgApACkAKQApACkAKQApADsAXABuAFwAbgBcAG4AXABuAC8AKgAgAFsAUwBBADAANABdACAALQAtAC0ALQAtAC0ALQAtAC0ALQAtAC0ALQAtAC0ALQAtAC0ALQAtAC0ALQAtAC0ALQAtAC0ALQAtAC0ALQAtAC0ALQAtAC0ALQAtAC0ALQAtAC0ALQAtAC0ALQAtAC0ALQAtAC0ALQAtAC0ALQAtAC0ALQAtAC0ALQAtAC0ALQAtAC0ALQAtAC0ALQAtAC0ALQBcAG4ARgB1AG4AYwB0AGkAbwBuADoAIAAgACAAIAAgAFQAcgBhAHYAZQByAHMAZQC7A1wAbgBDAGEAdABlAGcAbwByAHkAOgAgACAAIAAgACAAMgBEACAAQQByAHIAYQB5ACAAUwBoAGEAcABpAG4AZwBcAG4AQQB1AHQAaABvAHIAOgAgACAAIAAgACAAIAAgAFAAYQB0AHIAaQBjAGsAIABIAC4AXABuAFYAZQByAHMAaQBvAG4AOgAgACAAIAAgACAAIAAxAC4AMQBcAG4AXABuAEQAZQBzAGMAcgBpAHAAdABpAG8AbgA6AFwAbgAgACAAIAAgAFIAZQBtAGEAcABzACAAYQAgADIARAAgAGEAcgByAGEAeQAgAGkAbgB0AG8AIABhACAAbgBlAHcAIAB0AHIAYQB2AGUAcgBzAGEAbAAgAG8AcgBkAGUAcgAgAGIAeQAgAHIAbwB0AGEAdABpAG4AZwAgAHQAaABlACAAdAByAGEAdgBlAHIAcwBhAGwAIABhAHgAaQBzAFwAbgAgACAAIAAgAHQAbwAgAG8AbgBlACAAbwBmACAAdABoAHIAZQBlACAAZABpAGEAZwBvAG4AYQBsACAAZABpAHIAZQBjAHQAaQBvAG4AcwAuACAAVABoAGUAIABzAGUAbABlAGMAdABlAGQAIABhAHgAaQBzACAAaQBzACAAcgBlAG0AYQBwAHAAZQBkACAAdABvACAAYQBcAG4AIAAgACAAIAB0AG8AcAARIGwAZQBmAHQAEyBhAG4AYwBoAG8AcgBlAGQAIAB0AHIAYQB2AGUAcgBzAGEAbAAgAG8AcgBkAGUAcgAuACAAUwBjAGEAbABhAHIAcwAgAGEAbgBkACAAMQBEACAAYQByAHIAYQB5AHMAIABhAHIAZQAgAHIAZQBqAGUAYwB0AGUAZAAuAFwAbgBcAG4AQQBjAGMAZQBwAHQAZQBkACAARABpAHIAZQBjAHQAaQBvAG4AcwA6AFwAbgAgACAAIAAgACAAIABcACIATgBFAFwAIgAgAG8AcgAgADEAIAAgAJIhIABOAG8AcgB0AGgAZQBhAHMAdAAgACAAKACXISkAXABuACAAIAAgACAAIAAgAFwAIgBTAEUAXAAiACAAbwByACAAMgAgACAAkiEgAFMAbwB1AHQAaABlAGEAcwB0ACAAIAAoAJghKQBcAG4AIAAgACAAIAAgACAAXAAiAFMAVwBcACIAIABvAHIAIAAzACAAIACSISAAUwBvAHUAdABoAHcAZQBzAHQAIAAgACgAmSEpAFwAbgBcAG4AUABhAHIAYQBtAGUAdABlAHIAcwA6AFwAbgAgACAAIAAgAGEAcgByAGEAeQAgACAAIAAgACAAIAAtACAAUgBlAHEAdQBpAHIAZQBkACAAMgBEACAAYQByAHIAYQB5AC4AXABuACAAIAAgACAAbgBlAHcAXwBhAHgAaQBzACAAIAAgAC0AIABEAGkAcgBlAGMAdABpAG8AbgAgAGMAbwBkAGUAIAAoAFwAIgBOAEUAXAAiACwAXAAiAFMARQBcACIALABcACIAUwBXAFwAIgApACAAbwByACAAaQBuAHQAZQBnAGUAcgAgADEAEyAzAC4AXABuAFwAbgBOAG8AdABlAHMAOgBcAG4AIAAgACAAIAAiICAARwBlAG8AbQBlAHQAcgB5ACAAaQBzACAAcAByAGUAcwBlAHIAdgBlAGQAOwAgAG8AbgBsAHkAIAB0AHIAYQB2AGUAcgBzAGEAbAAgAG8AcgBkAGUAcgAgAGMAaABhAG4AZwBlAHMALgBcAG4AIAAgACAAIAAiICAASQBuAHYAYQBsAGkAZAAgAGQAaQByAGUAYwB0AGkAbwBuACAAYwBvAGQAZQBzACAAcgBlAHQAdQByAG4AIABcACIAIwBBAFgASQBTACEAXAAiAC4AXABuACAAIAAgACAAIiAgADEARAAgAGEAcgByAGEAeQBzACAAcgBlAHQAdQByAG4AIABcACIAIwAyAEQALQBBAFIAUgBBAFkAIQBcACIALgBcAG4ALQAtAC0ALQAtAC0ALQAtAC0ALQAtAC0ALQAtAC0ALQAtAC0ALQAtAC0ALQAtAC0ALQAtAC0ALQAtAC0ALQAtAC0ALQAtAC0ALQAtAC0ALQAtAC0ALQAtAC0ALQAtAC0ALQAtAC0ALQAtAC0ALQAtAC0ALQAtAC0ALQAtAC0ALQAtAC0ALQAtAC0ALQAtAC0ALQAtAC0ALQAtAC0AKgAvAFwAbgBcAG4AVAByAGEAdgBlAHIAcwBlALsDIAA9AFwAbgBMAEEATQBCAEQAQQAoAFwAbgAgACAAIAAgAGEAcgByAGEAeQAsAFwAbgAgACAAIAAgAG4AZQB3AF8AYQB4AGkAcwAsAFwAbgBcAG4ASQBGACgATwBSACgAUgBPAFcAUwAoAGEAcgByAGEAeQApACAAPQAgADEALAAgAEMATwBMAFUATQBOAFMAKABhAHIAcgBhAHkAKQAgAD0AIAAxACkALABcACIAIwAyAEQALQBBAFIAUgBBAFkAIQBcACIALABcAG4AXABuACAAIAAgACAASQBGACgAQQBOAEQAKABJAFMATgBVAE0AQgBFAFIAKABuAGUAdwBfAGEAeABpAHMAKQAsACAATwBSACgAbgBlAHcAXwBhAHgAaQBzACAAPAA9ACAAMAAsACAAbgBlAHcAXwBhAHgAaQBzACAAPgAgADMAKQApACwAXAAiACMAQQBYAEkAUwAhAFwAIgAsAFwAbgBcAG4ATABFAFQAKABcAG4AIAAgACAAIAAvAC8AIABEAGkAbQBlAG4AcwBpAG8AbgBzAFwAbgAgACAAIAAgAGgALAAgACAAIAAgACAAIAAgACAAIAAgAFIATwBXAFMAKABhAHIAcgBhAHkAKQAsAFwAbgAgACAAIAAgAHcALAAgACAAIAAgACAAIAAgACAAIAAgAEMATwBMAFUATQBOAFMAKABhAHIAcgBhAHkAKQAsAFwAbgBcAG4AIAAgACAAIAAvAC8AIABBAHgAaQBzACAAdAByAGEAdgBlAHIAcwBhAGwAIABpAG4AZABpAGMAZQBzACAAKABkAGUAZgBlAHIAcgBlAGQAKQBcAG4AIAAgACAAIAB4AF8ATgBFACwAIAAgACAAIAAgACAAIABMAEEATQBCAEQAQQAoAFMARQBRAFUARQBOAEMARQAoAHcALAAsADEALAAwACkAIAAqACAAUwBFAFEAVQBFAE4AQwBFACgALABoACkAKQAsAFwAbgAgACAAIAAgAHkAXwBOAEUALAAgACAAIAAgACAAIAAgAEwAQQBNAEIARABBACgAUwBFAFEAVQBFAE4AQwBFACgAdwAsACwAdwAsAC0AMQApACAAKgAgAFMARQBRAFUARQBOAEMARQAoACwAaAAsADEALAAwACkAKQAsAFwAbgBcAG4AIAAgACAAIAB4AF8AUwBFACwAIAAgACAAIAAgACAAIABMAEEATQBCAEQAQQAoAFMARQBRAFUARQBOAEMARQAoAGgALAAsAGgALAAtADEAKQAgACoAIABTAEUAUQBVAEUATgBDAEUAKAAsAHcALAAxACwAMAApACkALABcAG4AIAAgACAAIAB5AF8AUwBFACwAIAAgACAAIAAgACAAIABMAEEATQBCAEQAQQAoAFMARQBRAFUARQBOAEMARQAoAGgALAAsAHcALAAwACkAIAArACAAUwBFAFEAVQBFAE4AQwBFACgALAB3ACwAMAAsAC0AMQApACkALABcAG4AXABuACAAIAAgACAAeABfAFMAVwAsACAAIAAgACAAIAAgACAATABBAE0AQgBEAEEAKABTAEUAUQBVAEUATgBDAEUAKAB3ACwALABoACwAMAApACAAKwAgAFMARQBRAFUARQBOAEMARQAoACwAaAAsADAALAAtADEAKQApACwAXABuACAAIAAgACAAeQBfAFMAVwAsACAAIAAgACAAIAAgACAATABBAE0AQgBEAEEAKABTAEUAUQBVAEUATgBDAEUAKAB3ACwALAAxACkAIAAqACAAUwBFAFEAVQBFAE4AQwBFACgALABoACwAMQAsADAAKQApACwAXABuAFwAbgAgACAAIAAgAC8ALwAgAEEAeABpAHMAIABtAG8AZABlACAAcwBlAGwAZQBjAHQAaQBvAG4AXABuACAAIAAgACAAbQBvAGQAZQAsACAAIAAgACAAIAAgACAASQBGACgASQBTAE4AVQBNAEIARQBSACgAbgBlAHcAXwBhAHgAaQBzACkALABuAGUAdwBfAGEAeABpAHMALABcAG4AIAAgACAAIAAgACAAIAAgACAAIAAgACAAIAAgACAAIAAgACAAIAAgAFMAVwBJAFQAQwBIACgAbgBlAHcAXwBhAHgAaQBzACwAIABcACIATgBFAFwAIgAsADEALAAgAFwAIgBTAEUAXAAiACwAMgAsACAAXAAiAFMAVwBcACIALAAzACwAIAAxACkAKQAsAFwAbgBcAG4AIAAgACAAIAAvAC8AIABJAG4AZABlAHgAIABzAGUAbABlAGMAdABpAG8AbgBcAG4AIAAgACAAIAB4ACwAIAAgACAAIAAgACAAIAAgACAAIABDAEgATwBPAFMARQAoAG0AbwBkAGUALAAgAHgAXwBOAEUALAAgAHgAXwBTAEUALAAgAHgAXwBTAFcAKQAsAFwAbgAgACAAIAAgAHkALAAgACAAIAAgACAAIAAgACAAIAAgAEMASABPAE8AUwBFACgAbQBvAGQAZQAsACAAeQBfAE4ARQAsACAAeQBfAFMARQAsACAAeQBfAFMAVwApACwAXABuAFwAbgAgACAAIAAgAC8ALwAgAFIAZQBtAGEAcAAgAGEAcgByAGEAeQBcAG4AIAAgACAAIAByAGUAcwB1AGwAdAAsACAAIAAgACAAIABJAE4ARABFAFgAKABhAHIAcgBhAHkALAAgAHgAKAApACwAIAB5ACgAKQApACwAXABuAFwAbgAgACAAIAAgAHIAZQBzAHUAbAB0AFwAbgApACkAKQApADsAXABuAFwAbgBcAG4AXABuAC8AKgAgAFsAUwBBADAANQBdACAALQAtAC0ALQAtAC0ALQAtAC0ALQAtAC0ALQAtAC0ALQAtAC0ALQAtAC0ALQAtAC0ALQAtAC0ALQAtAC0ALQAtAC0ALQAtAC0ALQAtAC0ALQAtAC0ALQAtAC0ALQAtAC0ALQAtAC0ALQAtAC0ALQAtAC0ALQAtAC0ALQAtAC0ALQAtAC0ALQAtAC0ALQAtAC0ALQBcAG4ARgB1AG4AYwB0AGkAbwBuADoAIAAgACAAIAAgAFQAYQBrAGUAQgBsAG8AYwBrALsDXABuAEMAYQB0AGUAZwBvAHIAeQA6ACAAIAAgACAAIAAyAEQAIABBAHIAcgBhAHkAIABTAGgAYQBwAGkAbgBnAFwAbgBBAHUAdABoAG8AcgA6ACAAIAAgACAAIAAgACAAUABhAHQAcgBpAGMAawAgAEgALgBcAG4AVgBlAHIAcwBpAG8AbgA6ACAAIAAgACAAIAAgADEALgAxAFwAbgBEAGUAcABlAG4AZABlAG4AYwBpAGUAcwA6ACAATQBHAHIAaQBkALsDLAAgAFIAZQBzAGkAegBlALsDXABuAFwAbgBEAGUAcwBjAHIAaQBwAHQAaQBvAG4AOgBcAG4AIAAgACAAIABFAHgAdAByAGEAYwB0AHMAIABhACAAcgBlAGMAdABhAG4AZwB1AGwAYQByACAAYgBsAG8AYwBrACAAZgByAG8AbQAgAGEAIAAyAEQAIABhAHIAcgBhAHkAIABiAHkAIABzAHAAZQBjAGkAZgB5AGkAbgBnACAAYQBuACAAYQBuAGMAaABvAHIAIAB2AGEAbAB1AGUAXABuACAAIAAgACAAKABzAHQAYQByAHQAXwBhAHQAKQAgAGEAbgBkACAAYQBuACAAbwBwAHQAaQBvAG4AYQBsACAAcwB0AG8AcABwAGkAbgBnACAAdgBhAGwAdQBlACAAKABzAHQAbwBwAF8AdwBoAGUAbgApAC4AIABUAGgAZQAgAGYAdQBuAGMAdABpAG8AbgAgAGwAbwBjAGEAdABlAHMAXABuACAAIAAgACAAdABoAGUAIABmAGkAcgBzAHQAIABvAGMAYwB1AHIAcgBlAG4AYwBlACAAbwBmACAAcwB0AGEAcgB0AF8AYQB0ACwAIAB0AGgAZQBuACAAcgBlAHQAdQByAG4AcwAgAGEAbABsACAAcgBvAHcAcwAgAGYAcgBvAG0AIAB0AGgAYQB0ACAAcABvAGkAbgB0AFwAbgAgACAAIAAgAGQAbwB3AG4AdwBhAHIAZAAgAGEAbgBkACAAYQBsAGwAIABjAG8AbAB1AG0AbgBzACAAdABvACAAdABoAGUAIAByAGkAZwBoAHQALAAgAHMAdABvAHAAcABpAG4AZwAgAGUAaQB0AGgAZQByACAAYQB0ACAAdABoAGUAIABmAGkAcgBzAHQAXABuACAAIAAgACAAbwBjAGMAdQByAHIAZQBuAGMAZQAgAG8AZgAgAHMAdABvAHAAXwB3AGgAZQBuACAAbwByACAAYQB0ACAAdABoAGUAIABlAG4AZAAgAG8AZgAgAHQAaABlACAAZABhAHQAYQAuAFwAbgBcAG4AIAAgACAAIABCAG8AdABoACAAcwB0AGEAcgB0AF8AYQB0ACAAYQBuAGQAIABzAHQAbwBwAF8AdwBoAGUAbgAgAHIAZQBsAHkAIABvAG4AIABFAHgAYwBlAGwAJwBzACAAbgBhAHQAaQB2AGUAIABlAHEAdQBhAGwAaQB0AHkAIABjAG8AbQBwAGEAcgBpAHMAbwBuAFwAbgAgACAAIAAgACgAYQByAHIAYQB5ACAAPQAgAHQAZQByAG0AKQAuACAAVABoAGkAcwAgAHAAcgBvAHYAaQBkAGUAcwAgAGYAYQBzAHQALAAgAHYAZQBjAHQAbwByAGkAegBlAGQAIABtAGEAdABjAGgAaQBuAGcAIABiAHUAdAAgAGQAbwBlAHMAIABuAG8AdAAgAHMAdQBwAHAAbwByAHQAXABuACAAIAAgACAAdwBpAGwAZABjAGEAcgBkAHMAIABvAHIAIAByAGUAZwB1AGwAYQByACAAZQB4AHAAcgBlAHMAcwBpAG8AbgBzAC4AIABJAGYAIABzAHQAbwBwAF8AdwBoAGUAbgAgAGkAcwAgAG8AbQBpAHQAdABlAGQALAAgAHQAaABlACAAYgBsAG8AYwBrACAAZQB4AHQAZQBuAGQAcwBcAG4AIAAgACAAIAB0AG8AIAB0AGgAZQAgAGIAbwB0AHQAbwBtACAAbwBmACAAdABoAGUAIABhAHIAcgBhAHkALgBcAG4AXABuAFAAYQByAGEAbQBlAHQAZQByAHMAOgBcAG4AIAAgACAAIABhAHIAcgBhAHkAIAAgACAAIAAgACAAIAAgAC0AIABSAGUAcQB1AGkAcgBlAGQAIAAyAEQAIABhAHIAcgBhAHkALgBcAG4AIAAgACAAIABzAHQAYQByAHQAXwBhAHQAIAAgACAAIAAgAC0AIABBAG4AYwBoAG8AcgAgAHYAYQBsAHUAZQAgAG0AYQByAGsAaQBuAGcAIAB0AGgAZQAgAGYAaQByAHMAdAAgAHIAbwB3ACAAbwBmACAAdABoAGUAIABiAGwAbwBjAGsALgBcAG4AIAAgACAAIABbAHMAdABvAHAAXwB3AGgAZQBuAF0AIAAgAC0AIABPAHAAdABpAG8AbgBhAGwAIABzAHQAbwBwAHAAaQBuAGcAIAB2AGEAbAB1AGUALgAgAEkAZgAgAG8AbQBpAHQAdABlAGQALAAgAHQAaABlACAAYgBsAG8AYwBrACAAYwBvAG4AdABpAG4AdQBlAHMAXABuACAAIAAgACAAIAAgACAAIAAgACAAIAAgACAAIAAgACAAIAAgACAAdABvACAAdABoAGUAIABlAG4AZAAgAG8AZgAgAHQAaABlACAAYQByAHIAYQB5AC4AXABuAFwAbgBOAG8AdABlAHMAOgBcAG4AIAAgACAAIAAiICAARwBlAG8AbQBlAHQAcgB5ACAAaQBzACAAcAByAGUAcwBlAHIAdgBlAGQAOwAgAG4AbwAgAGYAbABhAHQAdABlAG4AaQBuAGcAIABvAGMAYwB1AHIAcwAuAFwAbgAgACAAIAAgACIgIABJAGYAIABzAHQAYQByAHQAXwBhAHQAIABpAHMAIABuAG8AdAAgAGYAbwB1AG4AZAAsACAAcgBlAHQAdQByAG4AcwAgAFwAIgAjAE4ATwAtAEEATgBDAEgATwBSACEAXAAiAC4AXABuACAAIAAgACAAIiAgAEkAZgAgAHMAdABvAHAAXwB3AGgAZQBuACAAbwBjAGMAdQByAHMAIABiAGUAZgBvAHIAZQAgAHMAdABhAHIAdABfAGEAdAAsACAAcgBlAHQAdQByAG4AcwAgAFwAIgAjAE4ATwAtAFMATABJAEMARQAhAFwAIgAuAFwAbgAtAC0ALQAtAC0ALQAtAC0ALQAtAC0ALQAtAC0ALQAtAC0ALQAtAC0ALQAtAC0ALQAtAC0ALQAtAC0ALQAtAC0ALQAtAC0ALQAtAC0ALQAtAC0ALQAtAC0ALQAtAC0ALQAtAC0ALQAtAC0ALQAtAC0ALQAtAC0ALQAtAC0ALQAtAC0ALQAtAC0ALQAtAC0ALQAtAC0ALQAtAC0ALQAqAC8AXABuAFwAbgBUAGEAawBlAEIAbABvAGMAawC7AyAAPQBcAG4ATABBAE0AQgBEAEEAKABcAG4AIAAgACAAIABhAHIAcgBhAHkALABcAG4AIAAgACAAIABzAHQAYQByAHQAXwBhAHQALABcAG4AIAAgACAAIABbAHMAdABvAHAAXwB3AGgAZQBuAF0ALABcAG4ATABFAFQAKABcAG4AIAAgACAAIAAvAC8AIABPAHAAdABpAG8AbgBhAGwAIABzAHQAbwBwAHAAaQBuAGcAIABwAG8AaQBuAHQAXABuACAAIAAgACAARABvAE4AbwB0AFMAdABvAHAAPwAsACAAIAAgACAAIABJAFMATwBNAEkAVABUAEUARAAoAHMAdABvAHAAXwB3AGgAZQBuACkALABcAG4AXABuACAAIAAgACAALwAvACAARABpAG0AZQBuAHMAaQBvAG4AcwBcAG4AIAAgACAAIABoACwAIAAgACAAIAAgACAAIAAgACAAIAAgACAAIAAgAFIATwBXAFMAKABhAHIAcgBhAHkAKQAsAFwAbgAgACAAIAAgAHcALAAgACAAIAAgACAAIAAgACAAIAAgACAAIAAgACAAQwBPAEwAVQBNAE4AUwAoAGEAcgByAGEAeQApACwAXABuAFwAbgAgACAAIAAgAC8ALwAgAEkAbgBkAGkAYwBlAHMAXABuACAAIAAgACAAaQAsACAAIAAgACAAIAAgACAAIAAgACAAIAAgACAAIABNAEcAcgBpAGQAuwMoAGEAcgByAGEAeQApACwAXABuACAAIAAgACAAagAsACAAIAAgACAAIAAgACAAIAAgACAAIAAgACAAIABNAEcAcgBpAGQAuwMoAGEAcgByAGEAeQAsACAAMQApACwAXABuAFwAbgAgACAAIAAgAC8ALwAgAEwAbwBjAGEAbAAgAGgAZQBsAHAAZQByAHMAXABuACAAIAAgACAAQQBuAGMAaABvAHIAuwMsACAAIAAgACAAIAAgACAAIABMAEEATQBCAEQAQQAoAGEAcgByACwAIABjAG8AbgBkAGkAdABpAG8AbgAsACAAaQBkAHgALAAgAE4AKABhAHIAcgAgAD0AIABjAG8AbgBkAGkAdABpAG8AbgApACAAKgAgAGkAZAB4ACkALABcAG4AIAAgACAAIABJAEQAWAC7AywAIAAgACAAIAAgACAAIAAgACAAIAAgAEwAQQBNAEIARABBACgAYQByAHIALAAgAE0ASQBOACgASQBGACgAYQByAHIAIAA8AD4AIAAwACwAIABhAHIAcgApACkAKQAsAFwAbgBcAG4AIAAgACAAIAAvAC8AIABBAG4AYwBoAG8AcgAgAHAAbwBzAGkAdABpAG8AbgBzAFwAbgAgACAAIAAgAHIAbwB3AF8AcwB0AGEAcgB0ACwAIAAgACAAIAAgACAAQQBuAGMAaABvAHIAuwMoAGEAcgByAGEAeQAsACAAcwB0AGEAcgB0AF8AYQB0ACwAIABpACkALABcAG4AIAAgACAAIABjAG8AbABfAHMAdABhAHIAdAAsACAAIAAgACAAIAAgAEEAbgBjAGgAbwByALsDKABhAHIAcgBhAHkALAAgAHMAdABhAHIAdABfAGEAdAAsACAAagApACwAXABuAFwAbgAgACAAIAAgAHIALAAgACAAIAAgACAAIAAgACAAIAAgACAAIAAgACAASQBEAFgAuwMoAHIAbwB3AF8AcwB0AGEAcgB0ACkALABcAG4AIAAgACAAIABjACwAIAAgACAAIAAgACAAIAAgACAAIAAgACAAIAAgAEkARABYALsDKABjAG8AbABfAHMAdABhAHIAdAApACwAXABuAFwAbgAgACAAIAAgAC8ALwAgAFMAdABvAHAAcABpAG4AZwAgAHAAbwBzAGkAdABpAG8AbgBzAFwAbgAgACAAIAAgAHIAbwB3AF8AcwB0AG8AcAAsACAAIAAgACAAIAAgACAASQBGACgARABvAE4AbwB0AFMAdABvAHAAPwAsACAAMAAsACAAQQBuAGMAaABvAHIAuwMoAGEAcgByAGEAeQAsACAAcwB0AG8AcABfAHcAaABlAG4ALAAgAGkAKQApACwAXABuACAAIAAgACAAbgBvAF8AcgAsACAAIAAgACAAIAAgACAAIAAgACAAIABTAFUATQAoAHIAbwB3AF8AcwB0AG8AcAApACAAPQAgADAALABcAG4AIAAgACAAIAByAF8ALAAgACAAIAAgACAAIAAgACAAIAAgACAAIAAgAEkARgAoAE8AUgAoAEQAbwBOAG8AdABTAHQAbwBwAD8ALAAgAG4AbwBfAHIAKQAsACAAaAAsACAASQBEAFgAuwMoAHIAbwB3AF8AcwB0AG8AcAApACkALABcAG4AXABuACAAIAAgACAALwAvACAASABhAGwAdABpAG4AZwAgAGMAbwBuAGQAaQB0AGkAbwBuAHMAXABuACAAIAAgACAAVwBoAGUAcgBlAE4AbwB0AEYAbwB1AG4AZAA/ACwAIABBAE4ARAAoAHIAIAA9ACAAMAAsACAAYwAgAD0AIAAwACkALABcAG4AIAAgACAAIABOAG8AUwBsAGkAYwBlAD8ALAAgACAAIAAgACAAIAAgAEEATgBEACgATgBPAFQAKABuAG8AXwByACkALAAgAHIAXwAgADwAPQAgAHIAKQAsAFwAbgBcAG4AIAAgACAAIAAvAC8AIABMAG8AZwBpAGMAIABnAGEAdABlAFwAbgAgACAAIAAgAEkARgAoAFcAaABlAHIAZQBOAG8AdABGAG8AdQBuAGQAPwAsACAAXAAiACMATgBPAC0AQQBOAEMASABPAFIAIQBcACIALABcAG4AXABuACAAIAAgACAAIAAgACAAIABJAEYAKABOAG8AUwBsAGkAYwBlAD8ALAAgAFwAIgAjAE4ATwAtAFMATABJAEMARQAhAFwAIgAsAFwAbgBcAG4ATABFAFQAKABcAG4AIAAgACAAIAAvAC8AIABPAHUAdABwAHUAdAAgAGcAZQBvAG0AZQB0AHIAeQBcAG4AIAAgACAAIAByAG8AdwBzACwAIAAgACAAIAAgACAAIAAgACAAIAAgAEkARgAoAG4AbwBfAHIALAAgAGgAIAAtACAAcgAgACsAIAAxACwAIAByAF8AIAAtACAAcgApACwAXABuACAAIAAgACAAYwBvAGwAcwAsACAAIAAgACAAIAAgACAAIAAgACAAIAB3ACAALQAgAGMAIAArACAAMQAsAFwAbgBcAG4AIAAgACAAIAAvAC8AIABSAG8AdwAgAGkAbgBkAGkAYwBlAHMAXABuACAAIAAgACAAeAAsACAAIAAgACAAIAAgACAAIAAgACAAIAAgACAAIABJAEYAKAByAG8AdwBzACAAPQAgADEALAByACAAKgAgAFMARQBRAFUARQBOAEMARQAoACwAIABjAG8AbABzACwAIAAxACwAIAAwACkALABcAG4AIAAgACAAIAAgACAAIAAgACAAIAAgACAAIAAgACAAIAAgACAAIAAgACAAIAAgACAAUgBlAHMAaQB6AGUAuwMoAFMARQBRAFUARQBOAEMARQAoAHIAbwB3AHMALAAsACAAcgApACwALAAgAGMAbwBsAHMAKQApACwAXABuAFwAbgAgACAAIAAgAC8ALwAgAEMAbwBsAHUAbQBuACAAaQBuAGQAaQBjAGUAcwBcAG4AIAAgACAAIAB5ACwAIAAgACAAIAAgACAAIAAgACAAIAAgACAAIAAgAEkARgAoAGMAbwBsAHMAIAA9ACAAMQAsAFMARQBRAFUARQBOAEMARQAoAHIAbwB3AHMALAAsACAAYwAsACAAMAApACwAXABuACAAIAAgACAAIAAgACAAIAAgACAAIAAgACAAIAAgACAAIAAgACAAIAAgACAAIAAgAFIAZQBzAGkAegBlALsDKABTAEUAUQBVAEUATgBDAEUAKAAsACAAYwBvAGwAcwAsACAAYwApACwAIAByAG8AdwBzACkAKQAsAFwAbgBcAG4AIAAgACAAIAAvAC8AIABFAHgAdAByAGEAYwB0ACAAYgBsAG8AYwBrAFwAbgAgACAAIAAgAHIAZQBzAHUAbAB0ACwAIAAgACAAIAAgACAAIAAgACAASQBOAEQARQBYACgAYQByAHIAYQB5ACwAIAB4ACwAIAB5ACkALABcAG4AXABuACAAIAAgACAAcgBlAHMAdQBsAHQAXABuACkAKQApACkAKQA7AFwAbgBcAG4AXABuAFwAbgAvACoAIABbAFMAQQAwADYAXQAgAC0ALQAtAC0ALQAtAC0ALQAtAC0ALQAtAC0ALQAtAC0ALQAtAC0ALQAtAC0ALQAtAC0ALQAtAC0ALQAtAC0ALQAtAC0ALQAtAC0ALQAtAC0ALQAtAC0ALQAtAC0ALQAtAC0ALQAtAC0ALQAtAC0ALQAtAC0ALQAtAC0ALQAtAC0ALQAtAC0ALQAtAC0ALQAtAC0AXABuAEYAdQBuAGMAdABpAG8AbgA6ACAAIAAgACAAIABEAFMAdABhAGMAawC7A1wAbgBDAGEAdABlAGcAbwByAHkAOgAgACAAIAAgACAAMgBEACAAQQByAHIAYQB5ACAAUwBoAGEAcABpAG4AZwBcAG4AQQB1AHQAaABvAHIAOgAgACAAIAAgACAAIAAgAFAAYQB0AHIAaQBjAGsAIABIAC4AXABuAFYAZQByAHMAaQBvAG4AOgAgACAAIAAgACAAIAAxAC4AMQBcAG4AXABuAEQAZQBzAGMAcgBpAHAAdABpAG8AbgA6AFwAbgAgACAAIAAgAEEAcABwAHIAbwB4AGkAbQBhAHQAZQBzACAATgB1AG0AUAB5ACcAcwAgAGQAcwB0AGEAYwBrACAAZgBvAHIAIABFAHgAYwBlAGwAJwBzACAAMgBEACAAYQByAHIAYQB5ACAAbQBvAGQAZQBsAC4AIABEAFMAdABhAGMAawC7AyAAcwB0AGEAYwBrAHMAXABuACAAIAAgACAAbQB1AGwAdABpAHAAbABlACAAMgBEACAAYQByAHIAYQB5AHMAIABhAGwAbwBuAGcAIABhACAAXAAiAGQAZQBwAHQAaABcACIAIABkAGkAbQBlAG4AcwBpAG8AbgAgAGIAeQAgAHQAcgBhAG4AcwBwAG8AcwBpAG4AZwAgAGUAYQBjAGgAIABpAG4AcAB1AHQAXABuACAAIAAgACAAYQBuAGQAIABoAG8AcgBpAHoAbwBuAHQAYQBsAGwAeQAgAGMAbwBuAGMAYQB0AGUAbgBhAHQAaQBuAGcAIAB0AGgAZQAgAGwAYQB5AGUAcgBzAC4AIABVAHAAIAB0AG8AIABmAG8AdQByACAAYQByAHIAYQB5AHMAIABtAGEAeQAgAGIAZQBcAG4AIAAgACAAIABzAHUAcABwAGwAaQBlAGQALgAgAE0AaQBzAHMAaQBuAGcAIABhAHIAcgBhAHkAcwAgAGEAcgBlACAAaQBnAG4AbwByAGUAZAAuAFwAbgBcAG4AIAAgACAAIABBAGwAbAAgAGEAcgByAGEAeQBzACAAbQB1AHMAdAAgAGIAZQAgAG4AbwBuABEgcwBjAGEAbABhAHIAIABhAG4AZAAgAG4AbwBuABEgZQBtAHAAdAB5AC4AIABHAGUAbwBtAGUAdAByAHkAIABtAHUAcwB0ACAAbQBhAHQAYwBoACAAYQBjAHIAbwBzAHMAXABuACAAIAAgACAAYQBsAGwAIABzAHUAcABwAGwAaQBlAGQAIABhAHIAcgBhAHkAcwAgACgAcwBhAG0AZQAgAGgAZQBpAGcAaAB0ACAA1wAgAHcAaQBkAHQAaAApAC4AIABNAGkAcwBtAGEAdABjAGgAZQBkACAAZQBsAGUAbQBlAG4AdABzACAAYQByAGUAIABwAGEAZABkAGUAZABcAG4AIAAgACAAIAB1AHMAaQBuAGcAIABwAGEAZABfAHcAaQB0AGgALgBcAG4AXABuAFAAYQByAGEAbQBlAHQAZQByAHMAOgBcAG4AIAAgACAAIABhAHIAcgBhAHkAXwAxACAAIAAgACAAIAAtACAAUgBlAHEAdQBpAHIAZQBkACAAYgBhAHMAZQAgAGEAcgByAGEAeQAuAFwAbgAgACAAIAAgAFsAYQByAHIAYQB5AF8AMgBdACAAIAAgAC0AIABPAHAAdABpAG8AbgBhAGwAIABzAGUAYwBvAG4AZAAgAGEAcgByAGEAeQAuAFwAbgAgACAAIAAgAFsAYQByAHIAYQB5AF8AMwBdACAAIAAgAC0AIABPAHAAdABpAG8AbgBhAGwAIAB0AGgAaQByAGQAIABhAHIAcgBhAHkALgBcAG4AIAAgACAAIABbAGEAcgByAGEAeQBfADQAXQAgACAAIAAtACAATwBwAHQAaQBvAG4AYQBsACAAZgBvAHUAcgB0AGgAIABhAHIAcgBhAHkALgBcAG4AIAAgACAAIABbAHAAYQBkAF8AdwBpAHQAaABdACAAIAAtACAARgBpAGwAbAAgAHYAYQBsAHUAZQAgAGYAbwByACAAbQBpAHMAbQBhAHQAYwBoAGUAZAAgAG8AcgAgAG0AaQBzAHMAaQBuAGcAIABlAGwAZQBtAGUAbgB0AHMALgAgAEQAZQBmAGEAdQBsAHQAcwAgAHQAbwAgAE4AQQAoACkALgBcAG4AXABuAEIAZQBoAGEAdgBpAG8AcgA6AFwAbgAgACAAIAAgACIgIABUAHcAbwAgAGEAcgByAGEAeQBzACAAIACSISAAZABlAHAAdABoACAAPQAgADIAXABuACAAIAAgACAAIiAgAFQAaAByAGUAZQAgAGEAcgByAGEAeQBzACAAkiEgAGQAZQBwAHQAaAAgAD0AIAAzAFwAbgAgACAAIAAgACIgIABGAG8AdQByACAAYQByAHIAYQB5AHMAIAAgAJIhIABkAGUAcAB0AGgAIAA9ACAANABcAG4AIAAgACAAIAAiICAARQBhAGMAaAAgAGEAcgByAGEAeQAgAGkAcwAgAHQAcgBhAG4AcwBwAG8AcwBlAGQAIABzAG8AIABkAGUAcAB0AGgAIABiAGUAYwBvAG0AZQBzACAAdwBpAGQAdABoACwAIAB0AGgAZQBuACAASABTAFQAQQBDAEsAZQBkAC4AXABuAFwAbgBFAHIAcgBvAHIAIABDAG8AbgBkAGkAdABpAG8AbgBzADoAXABuACAAIAAgACAAIiAgAFwAIgAjAEUATQBQAFQAWQAtAEEAUgBSAEEAWQAhAFwAIgAgACAAIAAtACAATwBuAGUAIAByAGUAcQB1AGkAcgBlAGQAIABhAHIAcgBhAHkAIABpAHMAIABlAG0AcAB0AHkAIAB3AGgAaQBsAGUAIAB0AGgAZQAgAG8AdABoAGUAcgAgAGkAcwAgAG4AbwB0AC4AXABuACAAIAAgACAAIiAgAFwAIgAjAFMAQwBBAEwAQQBSAC0ARQBSAFIATwBSACEAXAAiACAAIAAtACAAQQBuAHkAIABpAG4AcAB1AHQAIABhAHIAcgBhAHkAIABpAHMAIABzAGMAYQBsAGEAcgAuAFwAbgBcAG4ATgBvAHQAZQBzADoAXABuACAAIAAgACAAIiAgAFQAaABpAHMAIABpAHMAIABhACAAMgBEACAAYQBwAHAAcgBvAHgAaQBtAGEAdABpAG8AbgAgAG8AZgAgAGQAZQBwAHQAaAAgAHMAdABhAGMAawBpAG4AZwAuAFwAbgAgACAAIAAgACIgIABBAGwAbAAgAGEAcgByAGEAeQBzACAAbQB1AHMAdAAgAHMAaABhAHIAZQAgAGcAZQBvAG0AZQB0AHIAeQAgAG8AcgAgAHAAYQBkAGQAaQBuAGcAIAB3AGkAbABsACAAYgBlACAAYQBwAHAAbABpAGUAZAAuAFwAbgAtAC0ALQAtAC0ALQAtAC0ALQAtAC0ALQAtAC0ALQAtAC0ALQAtAC0ALQAtAC0ALQAtAC0ALQAtAC0ALQAtAC0ALQAtAC0ALQAtAC0ALQAtAC0ALQAtAC0ALQAtAC0ALQAtAC0ALQAtAC0ALQAtAC0ALQAtAC0ALQAtAC0ALQAtAC0ALQAtAC0ALQAtAC0ALQAtAC0ALQAtAC0ALQAqAC8AXABuAFwAbgBEAFMAdABhAGMAawC7AyAAPQBcAG4ATABBAE0AQgBEAEEAKABcAG4AIAAgACAAIABhAHIAcgBhAHkAXwAxACwAXABuACAAIAAgACAAWwBhAHIAcgBhAHkAXwAyAF0ALABcAG4AIAAgACAAIABbAGEAcgByAGEAeQBfADMAXQAsAFwAbgAgACAAIAAgAFsAYQByAHIAYQB5AF8ANABdACwAXABuACAAIAAgACAAWwBwAGEAZABfAHcAaQB0AGgAXQAsAFwAbgBMAEUAVAAoAFwAbgAgACAAIAAgAC8ALwAgAFIAZQBxAHUAaQByAGUAZAAgAGEAcgByAGEAeQAgAGMAbwB1AG4AdABzAFwAbgAgACAAIAAgAGEALAAgACAAIAAgACAAIAAgACAAIAAgACAAIAAgACAAQwBPAFUATgBUAEEAKABhAHIAcgBhAHkAXwAxACkALABcAG4AIAAgACAAIABiACwAIAAgACAAIAAgACAAIAAgACAAIAAgACAAIAAgAEkARgAoAEkAUwBPAE0ASQBUAFQARQBEACgAYQByAHIAYQB5AF8AMgApACwAIAAwACwAIABDAE8AVQBOAFQAQQAoAGEAcgByAGEAeQBfADIAKQApACwAXABuAFwAbgAgACAAIAAgAC8ALwAgAE8AcAB0AGkAbwBuAGEAbAAgAGEAcgByAGEAeQAgAGMAbwB1AG4AdABzAFwAbgAgACAAIAAgAGMALAAgACAAIAAgACAAIAAgACAAIAAgACAAIAAgACAASQBGACgASQBTAE8ATQBJAFQAVABFAEQAKABhAHIAcgBhAHkAXwAzACkALAAgADAALAAgAEMATwBVAE4AVABBACgAYQByAHIAYQB5AF8AMwApACkALABcAG4AIAAgACAAIABkACwAIAAgACAAIAAgACAAIAAgACAAIAAgACAAIAAgAEkARgAoAEkAUwBPAE0ASQBUAFQARQBEACgAYQByAHIAYQB5AF8ANAApACwAIAAwACwAIABDAE8AVQBOAFQAQQAoAGEAcgByAGEAeQBfADQAKQApACwAXABuAFwAbgAgACAAIAAgAC8ALwAgAFMAdABhAGMAawBpAG4AZwAgAG0AbwBkAGUAcwBcAG4AIAAgACAAIAByAGUAcQAsACAAIAAgACAAIAAgACAAIAAgACAAIAAgAEEATgBEACgAYwAgAD0AIAAwACwAIABkACAAPQAgADAAKQAsAFwAbgAgACAAIAAgAEMAXwBvAG4AbAB5ACwAIAAgACAAIAAgACAAIAAgACAAQQBOAEQAKABjACAAPAA+ACAAMAAsACAAZAAgAD0AIAAwACkALABcAG4AIAAgACAAIABEAF8AbwBuAGwAeQAsACAAIAAgACAAIAAgACAAIAAgAEEATgBEACgAYwAgAD0AIAAwACwAIABkACAAPAA+ACAAMAApACwAXABuACAAIAAgACAAQQBsAGwALAAgACAAIAAgACAAIAAgACAAIAAgACAAIABBAE4ARAAoAGMAIAA8AD4AIAAwACwAIABkACAAPAA+ACAAMAApACwAXABuAFwAbgAgACAAIAAgAC8ALwAgAEgAYQBsAHQAaQBuAGcAIABzAGMAZQBuAGEAcgBpAG8AcwBcAG4AIAAgACAAIABFAG0AcAB0AHkAQQByAHIAPwAsACAAIAAgACAAIAAgAE8AUgAoAGEAIAA9ACAAMAAsACAAYgAgAD0AIAAwACkALABcAG4AXABuACAAIAAgACAALwAvACAAUwBjAGEAbABhAHIAIAB2AGEAbABpAGQAYQB0AGkAbwBuAFwAbgAgACAAIAAgAEMAbABhAG0AcAC7AywAIAAgACAAIAAgACAAIAAgACAATABBAE0AQgBEAEEAKABwAGEAcgBhAG0ALAAgAEEATgBEACgAcABhAHIAYQBtACAAPQAgADEALAAgAEkAUwBFAFIAUgBPAFIAKABwAGEAcgBhAG0AKQApACkALABcAG4AIAAgACAAIABTAGMAYQBsAGEAcgBFAHIAcgA/ACwAIAAgACAAIAAgAE8AUgAoAEMAbABhAG0AcAC7AygAYQApACwAIABDAGwAYQBtAHAAuwMoAGIAKQAsACAAQwBsAGEAbQBwALsDKABjACkALAAgAEMAbABhAG0AcAC7AygAZAApACkALABcAG4AXABuACAAIAAgACAALwAvACAATABvAGcAaQBjACAAZwBhAHQAZQBcAG4AIAAgACAAIABJAEYAKABFAG0AcAB0AHkAQQByAHIAPwAsACAAXAAiACMARQBNAFAAVABZAC0AQQBSAFIAQQBZACEAXAAiACwAXABuAFwAbgAgACAAIAAgACAAIAAgACAASQBGACgAUwBjAGEAbABhAHIARQByAHIAPwAsACAAXAAiACMAUwBDAEEATABBAFIALQBFAFIAUgBPAFIAIQBcACIALABcAG4AXABuAEwARQBUACgAXABuACAAIAAgACAALwAvACAAUABhAGQAZABpAG4AZwBcAG4AIAAgACAAIABwAGEAZABfAHcAaQB0AGgALAAgACAAIAAgACAAIAAgAEkARgAoAEkAUwBPAE0ASQBUAFQARQBEACgAcABhAGQAXwB3AGkAdABoACkALAAgAE4AQQAoACkALAAgAHAAYQBkAF8AdwBpAHQAaAApACwAXABuAFwAbgAgACAAIAAgAC8ALwAgAFQAcgBhAG4AcwBwAG8AcwBlAGQAIABsAGEAeQBlAHIAcwBcAG4AIAAgACAAIABhAEAdLAAgACAAIAAgACAAIAAgACAAIAAgACAAIAAgAFQAUgBBAE4AUwBQAE8AUwBFACgAYQByAHIAYQB5AF8AMQApACwAXABuACAAIAAgACAAYgBAHSwAIAAgACAAIAAgACAAIAAgACAAIAAgACAAIABUAFIAQQBOAFMAUABPAFMARQAoAGEAcgByAGEAeQBfADIAKQAsAFwAbgAgACAAIAAgAGMAQB0sACAAIAAgACAAIAAgACAAIAAgACAAIAAgACAASQBGACgAYwAsACAAVABSAEEATgBTAFAATwBTAEUAKABhAHIAcgBhAHkAXwAzACkALAAgADAAKQAsAFwAbgAgACAAIAAgAGQAQB0sACAAIAAgACAAIAAgACAAIAAgACAAIAAgACAASQBGACgAZAAsACAAVABSAEEATgBTAFAATwBTAEUAKABhAHIAcgBhAHkAXwA0ACkALAAgADAAKQAsAFwAbgBcAG4AIAAgACAAIAAvAC8AIABTAHQAYQBjAGsAIAB2AGEAcgBpAGEAbgB0AHMAXABuACAAIAAgACAAcgBlAHEAXwBzAHQAYQBjAGsALAAgACAAIAAgACAAIABIAFMAVABBAEMASwAoAGEAQB0sACAAYgBAHSkALABcAG4AIAAgACAAIABDAF8AbwBuAGwAeQBfAHMAdABhAGMAawAsACAAIAAgAEgAUwBUAEEAQwBLACgAYQBAHSwAIABiAEAdLAAgAGMAQB0pACwAXABuACAAIAAgACAARABfAG8AbgBsAHkAXwBzAHQAYQBjAGsALAAgACAAIABIAFMAVABBAEMASwAoAGEAQB0sACAAYgBAHSwAIABkAEAdKQAsAFwAbgAgACAAIAAgAGEAbABsAF8AcwB0AGEAYwBrACwAIAAgACAAIAAgACAASABTAFQAQQBDAEsAKABhAEAdLAAgAGIAQB0sACAAYwBAHSwAIABkAEAdKQAsAFwAbgBcAG4AIAAgACAAIAAvAC8AIABTAGUAbABlAGMAdAAgAGYAaQBuAGEAbAAgAHMAdABhAGMAawBcAG4AIAAgACAAIAByAGUAcwB1AGwAdAAsACAAIAAgACAAIAAgACAAIAAgAEkARgBFAFIAUgBPAFIAKABcAG4AIAAgACAAIAAgACAAIAAgACAAIAAgACAAIAAgACAAIAAgACAAIAAgACAAIAAgACAASQBGACgAcgBlAHEALAByAGUAcQBfAHMAdABhAGMAawAsAFwAbgAgACAAIAAgACAAIAAgACAAIAAgACAAIAAgACAAIAAgACAAIAAgACAAIAAgACAAIAAgACAAIAAgAEkARgAoAEMAXwBvAG4AbAB5ACwAQwBfAG8AbgBsAHkAXwBzAHQAYQBjAGsALABcAG4AIAAgACAAIAAgACAAIAAgACAAIAAgACAAIAAgACAAIAAgACAAIAAgACAAIAAgACAAIAAgACAAIAAgACAAIAAgAEkARgAoAEQAXwBvAG4AbAB5ACwARABfAG8AbgBsAHkAXwBzAHQAYQBjAGsALABcAG4AIAAgACAAIAAgACAAIAAgACAAIAAgACAAIAAgACAAIAAgACAAIAAgACAAIAAgACAAIAAgACAAIAAgACAAIAAgACAAIAAgACAASQBGACgAQQBsAGwALABhAGwAbABfAHMAdABhAGMAawAsACAARgBBAEwAUwBFACkAKQApACkALABwAGEAZABfAHcAaQB0AGgAKQAsAFwAbgBcAG4AIAAgACAAIAByAGUAcwB1AGwAdABcAG4AKQApACkAKQApADsAXABuAFwAbgBcAG4AXABuAC8AKgAgAFsAUwBBADAANwBdACAALQAtAC0ALQAtAC0ALQAtAC0ALQAtAC0ALQAtAC0ALQAtAC0ALQAtAC0ALQAtAC0ALQAtAC0ALQAtAC0ALQAtAC0ALQAtAC0ALQAtAC0ALQAtAC0ALQAtAC0ALQAtAC0ALQAtAC0ALQAtAC0ALQAtAC0ALQAtAC0ALQAtAC0ALQAtAC0ALQAtAC0ALQAtAC0ALQBcAG4ARgB1AG4AYwB0AGkAbwBuADoAIAAgACAAIAAgAFcAcgBhAHAAUgBvAHcAcwAyAEQAuwNcAG4AQwBhAHQAZQBnAG8AcgB5ADoAIAAgACAAIAAgADIARAAgAEEAcgByAGEAeQAgAFMAaABhAHAAaQBuAGcAXABuAEEAdQB0AGgAbwByADoAIAAgACAAIAAgACAAIABQAGEAdAByAGkAYwBrACAASAAuAFwAbgBWAGUAcgBzAGkAbwBuADoAIAAgACAAIAAgACAAMQAuADEAXABuAEQAZQBwAGUAbgBkAGUAbgBjAGkAZQBzADoAIABFAGMAaABvALsDXABuAFwAbgBEAGUAcwBjAHIAaQBwAHQAaQBvAG4AOgBcAG4AIAAgACAAIABXAHIAYQBwAHMAIABhACAAMgBEACAAYQByAHIAYQB5ACAAaQBuAHQAbwAgAHIAbwB3ACAAYgBsAG8AYwBrAHMAIABvAGYAIABhACAAcwBwAGUAYwBpAGYAaQBlAGQAIABoAGUAaQBnAGgAdAAgAHcAaABpAGwAZQAgAHAAcgBlAHMAZQByAHYAaQBuAGcAXABuACAAIAAgACAAYwBvAGwAdQBtAG4AIAB3AGkAZAB0AGgALgAgAFQAaABlACAAdwByAGEAcABwAGUAZAAgAGIAbABvAGMAawBzACAAYQByAGUAIABzAHQAYQBjAGsAZQBkACAAaABvAHIAaQB6AG8AbgB0AGEAbABsAHkAIABpAG4AIAB0AGgAZQAgAG8AdQB0AHAAdQB0AC4AXABuACAAIAAgACAASgBhAGcAZwBlAGQAIABvAHIAIABpAG4AYwBvAG0AcABsAGUAdABlACAAZgBpAG4AYQBsACAAYgBsAG8AYwBrAHMAIABhAHIAZQAgAHAAYQBkAGQAZQBkACAAdwBpAHQAaAAgAE4AQQAoACkAIAB1AG4AbABlAHMAcwAgAGEAIABmAGkAbABsAFwAbgAgACAAIAAgAHYAYQBsAHUAZQAgAGkAcwAgAHMAdQBwAHAAbABpAGUAZAAgAHYAaQBhACAAcABhAGQAXwB3AGkAdABoAC4AXABuAFwAbgBQAGEAcgBhAG0AZQB0AGUAcgBzADoAXABuACAAIAAgACAAYQByAHIAYQB5ACAAIAAgACAAIAAgACAAIAAtACAAUgBlAHEAdQBpAHIAZQBkACAAMgBEACAAYQByAHIAYQB5ACAAKAAxAEQAIABhAHIAcgBhAHkAcwAgAG4AbwB0ACAAcwB1AHAAcABvAHIAdABlAGQAKQAuAFwAbgAgACAAIAAgAG4AZQB3AF8AaABlAGkAZwBoAHQAIAAgACAALQAgAE4AdQBtAGIAZQByACAAbwBmACAAcgBvAHcAcwAgAGkAbgAgAGUAYQBjAGgAIAB3AHIAYQBwAHAAZQBkACAAYgBsAG8AYwBrAC4AXABuAFwAbgBPAHAAdABpAG8AbgBhAGwAOgBcAG4AIAAgACAAIABbAHAAYQBkAF8AdwBpAHQAaABdACAAIAAgAC0AIABGAGkAbABsACAAdgBhAGwAdQBlACAAdQBzAGUAZAAgAHQAbwAgAHAAYQBkACAAaQBuAGMAbwBtAHAAbABlAHQAZQAgAGIAbABvAGMAawBzAC4AIABEAGUAZgBhAHUAbAB0AHMAIAB0AG8AIABOAEEAKAApAC4AXABuAFwAbgBOAG8AdABlAHMAOgBcAG4AIAAgACAAIAAiICAATwB1AHQAcAB1AHQAIAB3AGkAZAB0AGgAIAA9ACAAYgBsAG8AYwBrAHMAIADXACAAbwByAGkAZwBpAG4AYQBsACAAdwBpAGQAdABoAC4AXABuACAAIAAgACAAIiAgAG4AZQB3AF8AaABlAGkAZwBoAHQAIABtAHUAcwB0ACAAYgBlACAAcwB0AHIAaQBjAHQAbAB5ACAAbABlAHMAcwAgAHQAaABhAG4AIAB0AGgAZQAgAGEAcgByAGEAeQAgAGgAZQBpAGcAaAB0AC4AXABuACAAIAAgACAAIiAgAFMAcABpAGwAbAAgAHIAaQBzAGsAIABpAHMAIABjAGgAZQBjAGsAZQBkACAAYQBnAGEAaQBuAHMAdAAgAEUAeABjAGUAbAAZIHMAIAAxADYALAAzADgANAARIGMAbwBsAHUAbQBuACAAbABpAG0AaQB0AC4AXABuAC0ALQAtAC0ALQAtAC0ALQAtAC0ALQAtAC0ALQAtAC0ALQAtAC0ALQAtAC0ALQAtAC0ALQAtAC0ALQAtAC0ALQAtAC0ALQAtAC0ALQAtAC0ALQAtAC0ALQAtAC0ALQAtAC0ALQAtAC0ALQAtAC0ALQAtAC0ALQAtAC0ALQAtAC0ALQAtAC0ALQAtAC0ALQAtAC0ALQAtAC0ALQAtACoALwBcAG4AXABuAFcAcgBhAHAAUgBvAHcAcwAyAEQAuwMgAD0AXABuAEwAQQBNAEIARABBACgAXABuACAAIAAgACAAYQByAHIAYQB5ACwAXABuACAAIAAgACAAbgBlAHcAXwBoAGUAaQBnAGgAdAAsAFwAbgAgACAAIAAgAFsAcABhAGQAXwB3AGkAdABoAF0ALABcAG4ATABFAFQAKABcAG4AIAAgACAAIAAvAC8AIABTAGgAYQBwAGUAXABuACAAIAAgACAAaAAsACAAIAAgACAAIAAgACAAIAAgACAAIAAgACAAIABSAE8AVwBTACgAYQByAHIAYQB5ACkALABcAG4AIAAgACAAIAB3ACwAIAAgACAAIAAgACAAIAAgACAAIAAgACAAIAAgAEMATwBMAFUATQBOAFMAKABhAHIAcgBhAHkAKQAsAFwAbgAgACAAIAAgAGIAbABvAGMAawBzACwAIAAgACAAIAAgACAAIAAgACAAQwBFAEkATABJAE4ARwAoAGgAIAAvACAAbgBlAHcAXwBoAGUAaQBnAGgAdAAsACAAMQApACwAXABuAFwAbgAgACAAIAAgAC8ALwAgAE8AcAB0AGkAbwBuAGEAbAAgAHAAYQBkAGQAaQBuAGcAXABuACAAIAAgACAAcABhAGQAXwB3AGkAdABoACwAIAAgACAAIAAgACAAIABJAEYAKABJAFMATwBNAEkAVABUAEUARAAoAHAAYQBkAF8AdwBpAHQAaAApACwAIABOAEEAKAApACwAIABwAGEAZABfAHcAaQB0AGgAKQAsAFwAbgBcAG4AIAAgACAAIAAvAC8AIABUAG8AdABhAGwAIABvAHUAdABwAHUAdAAgAHcAaQBkAHQAaABcAG4AIAAgACAAIABjACwAIAAgACAAIAAgACAAIAAgACAAIAAgACAAIAAgAGIAbABvAGMAawBzACAAKgAgAHcALABcAG4AXABuACAAIAAgACAALwAvACAAUwBjAGUAbgBhAHIAaQBvAHMAXABuACAAIAAgACAASQBzADEARAA/ACwAIAAgACAAIAAgACAAIAAgACAAIABPAFIAKABoACAAPQAgADEALAAgAHcAIAA9ACAAMQApACwAXABuACAAIAAgACAASQBzAFMAYwBhAGwAYQByAD8ALAAgACAAIAAgACAAIABBAE4ARAAoAGgAIAA9ACAAMQAsACAAdwAgAD0AIAAxACkALABcAG4AIAAgACAAIABJAG4AdgBhAGwAaQBkAEQAaQBtAD8ALAAgACAAIAAgAG4AZQB3AF8AaABlAGkAZwBoAHQAIAA+AD0AIABoACwAXABuACAAIAAgACAAUwBwAGkAbABsAFIAaQBzAGsAPwAsACAAIAAgACAAIABjACAAPgAgADEANgAzADgANAAsAFwAbgBcAG4AIAAgACAAIAAvAC8AIABMAG8AZwBpAGMAIABnAGEAdABlAFwAbgAgACAAIAAgAEkARgAoAEkAcwBTAGMAYQBsAGEAcgA/ACwAIABcACIAIwBWAEEATABVAEUAIQBcACIALABcAG4AXABuACAAIAAgACAAIAAgACAAIABJAEYAKABJAHMAMQBEAD8ALAAgAFwAIgAjAFYAQQBMAFUARQAhAFwAIgAsAFwAbgBcAG4AIAAgACAAIAAgACAAIAAgACAAIAAgACAASQBGACgASQBuAHYAYQBsAGkAZABEAGkAbQA/ACwAIABcACIAIwBIAEUASQBHAEgAVAAhAFwAIgAsAFwAbgBcAG4AIAAgACAAIAAgACAAIAAgACAAIAAgACAAIAAgACAAIABJAEYAKABTAHAAaQBsAGwAUgBpAHMAawA/ACwAIABcACIAIwBOAFUATQAhAFwAIgAsAFwAbgBcAG4ATABFAFQAKABcAG4AIAAgACAAIAAvAC8AIABJAG4AZABpAGMAZQBzACAAKABkAGUAZgBlAHIAcgBlAGQAKQBcAG4AIAAgACAAIABpACwAIAAgACAAIAAgACAAIAAgACAAIAAgACAAIAAgAEwAQQBNAEIARABBACgAVABPAFIATwBXACgARQBjAGgAbwC7AygAUwBFAFEAVQBFAE4AQwBFACgALAAgAGIAbABvAGMAawBzACwAIAAxACwAIABuAGUAdwBfAGgAZQBpAGcAaAB0ACkALAAgAHcAKQApACAAXABuACAAIAAgACAAIAAgACAAIAAgACAAIAAgACAAIAAgACAAIAAgACAAIAAgACAAIAAgACAAIAAgACsAIABTAEUAUQBVAEUATgBDAEUAKABuAGUAdwBfAGgAZQBpAGcAaAB0ACwALAAgADAALAAgADEAKQApACwAXABuAFwAbgAgACAAIAAgAG0AbwBkAHUAbABvACwAIAAgACAAIAAgACAAIAAgACAATABBAE0AQgBEAEEAKABNAE8ARAAoAFMARQBRAFUARQBOAEMARQAoACwAIAB3ACAAKgAgAGIAbABvAGMAawBzACkALAAgAHcAKQApACwAXABuACAAIAAgACAAagAsACAAIAAgACAAIAAgACAAIAAgACAAIAAgACAAIABMAEEATQBCAEQAQQAoAEkARgAoAG0AbwBkAHUAbABvACgAKQAgAD0AIAAwACwAIAB3ACwAIABtAG8AZAB1AGwAbwAoACkAKQAgACoAIABTAEUAUQBVAEUATgBDAEUAKABuAGUAdwBfAGgAZQBpAGcAaAB0ACwALAAgADEALAAgADAAKQApACwAXABuAFwAbgAgACAAIAAgAC8ALwAgAFcAcgBhAHAAcABlAGQAIABhAHIAcgBhAHkAXABuACAAIAAgACAAcgBlAHMAdQBsAHQALAAgACAAIAAgACAAIAAgACAAIABJAEYARQBSAFIATwBSACgASQBOAEQARQBYACgAYQByAHIAYQB5ACwAIABpACgAKQAsACAAagAoACkAKQAsACAAcABhAGQAXwB3AGkAdABoACkALABcAG4AXABuACAAIAAgACAAcgBlAHMAdQBsAHQAXABuACkAKQApACkAKQApACkAOwBcAG4AXABuAFwAbgBcAG4ALwAqACAAWwBTAEEAMAA4AF0AIAAtAC0ALQAtAC0ALQAtAC0ALQAtAC0ALQAtAC0ALQAtAC0ALQAtAC0ALQAtAC0ALQAtAC0ALQAtAC0ALQAtAC0ALQAtAC0ALQAtAC0ALQAtAC0ALQAtAC0ALQAtAC0ALQAtAC0ALQAtAC0ALQAtAC0ALQAtAC0ALQAtAC0ALQAtAC0ALQAtAC0ALQAtAC0ALQAtAFwAbgBGAHUAbgBjAHQAaQBvAG4AOgAgACAAIAAgACAAVwByAGEAcABDAG8AbABzADIARAC7A1wAbgBDAGEAdABlAGcAbwByAHkAOgAgACAAIAAgACAAMgBEACAAQQByAHIAYQB5ACAAUwBoAGEAcABpAG4AZwBcAG4AQQB1AHQAaABvAHIAOgAgACAAIAAgACAAIAAgAFAAYQB0AHIAaQBjAGsAIABIAC4AXABuAFYAZQByAHMAaQBvAG4AOgAgACAAIAAgACAAIAAxAC4AMQBcAG4ARABlAHAAZQBuAGQAZQBuAGMAaQBlAHMAOgAgAEUAYwBoAG8AuwNcAG4AXABuAEQAZQBzAGMAcgBpAHAAdABpAG8AbgA6AFwAbgAgACAAIAAgAFcAcgBhAHAAcwAgAGEAIAAyAEQAIABhAHIAcgBhAHkAIABpAG4AdABvACAAYwBvAGwAdQBtAG4AIABiAGwAbwBjAGsAcwAgAG8AZgAgAGEAIABzAHAAZQBjAGkAZgBpAGUAZAAgAHcAaQBkAHQAaAAgAHcAaABpAGwAZQAgAHAAcgBlAHMAZQByAHYAaQBuAGcAXABuACAAIAAgACAAcgBvAHcAIABoAGUAaQBnAGgAdAAuACAAVABoAGUAIAB3AHIAYQBwAHAAZQBkACAAYgBsAG8AYwBrAHMAIABhAHIAZQAgAHMAdABhAGMAawBlAGQAIAB2AGUAcgB0AGkAYwBhAGwAbAB5ACAAaQBuACAAdABoAGUAIABvAHUAdABwAHUAdAAuAFwAbgAgACAAIAAgAEoAYQBnAGcAZQBkACAAbwByACAAaQBuAGMAbwBtAHAAbABlAHQAZQAgAGYAaQBuAGEAbAAgAGIAbABvAGMAawBzACAAYQByAGUAIABwAGEAZABkAGUAZAAgAHcAaQB0AGgAIABOAEEAKAApACAAdQBuAGwAZQBzAHMAIABhACAAZgBpAGwAbABcAG4AIAAgACAAIAB2AGEAbAB1AGUAIABpAHMAIABzAHUAcABwAGwAaQBlAGQAIAB2AGkAYQAgAHAAYQBkAF8AdwBpAHQAaAAuAFwAbgBcAG4AUABhAHIAYQBtAGUAdABlAHIAcwA6AFwAbgAgACAAIAAgAGEAcgByAGEAeQAgACAAIAAgACAAIAAgAC0AIABSAGUAcQB1AGkAcgBlAGQAIAAyAEQAIABhAHIAcgBhAHkAIAAoADEARAAgAGEAcgByAGEAeQBzACAAbgBvAHQAIABzAHUAcABwAG8AcgB0AGUAZAApAC4AXABuACAAIAAgACAAbgBlAHcAXwB3AGkAZAB0AGgAIAAgACAALQAgAE4AdQBtAGIAZQByACAAbwBmACAAYwBvAGwAdQBtAG4AcwAgAGkAbgAgAGUAYQBjAGgAIAB3AHIAYQBwAHAAZQBkACAAYgBsAG8AYwBrAC4AXABuAFwAbgBPAHAAdABpAG8AbgBhAGwAOgBcAG4AIAAgACAAIABbAHAAYQBkAF8AdwBpAHQAaABdACAAIAAtACAARgBpAGwAbAAgAHYAYQBsAHUAZQAgAHUAcwBlAGQAIAB0AG8AIABwAGEAZAAgAGkAbgBjAG8AbQBwAGwAZQB0AGUAIABiAGwAbwBjAGsAcwAuACAARABlAGYAYQB1AGwAdABzACAAdABvACAATgBBACgAKQAuAFwAbgBcAG4ATgBvAHQAZQBzADoAXABuACAAIAAgACAAIiAgAE8AdQB0AHAAdQB0ACAAaABlAGkAZwBoAHQAIAA9ACAAYgBsAG8AYwBrAHMAIADXACAAbwByAGkAZwBpAG4AYQBsACAAaABlAGkAZwBoAHQALgBcAG4AIAAgACAAIAAiICAAbgBlAHcAXwB3AGkAZAB0AGgAIABtAHUAcwB0ACAAYgBlACAAcwB0AHIAaQBjAHQAbAB5ACAAbABlAHMAcwAgAHQAaABhAG4AIAB0AGgAZQAgAGEAcgByAGEAeQAgAHcAaQBkAHQAaAAuAFwAbgAgACAAIAAgACIgIABTAHAAaQBsAGwAIAByAGkAcwBrACAAaQBzACAAYwBoAGUAYwBrAGUAZAAgAGEAZwBhAGkAbgBzAHQAIABFAHgAYwBlAGwAGSBzACAAMQAsADAANAA4ACwANQA3ADYAESByAG8AdwAgAGwAaQBtAGkAdAAuAFwAbgAtAC0ALQAtAC0ALQAtAC0ALQAtAC0ALQAtAC0ALQAtAC0ALQAtAC0ALQAtAC0ALQAtAC0ALQAtAC0ALQAtAC0ALQAtAC0ALQAtAC0ALQAtAC0ALQAtAC0ALQAtAC0ALQAtAC0ALQAtAC0ALQAtAC0ALQAtAC0ALQAtAC0ALQAtAC0ALQAtAC0ALQAtAC0ALQAtAC0ALQAtAC0ALQAqAC8AXABuAFwAbgBXAHIAYQBwAEMAbwBsAHMAMgBEALsDIAA9AFwAbgBMAEEATQBCAEQAQQAoAFwAbgAgACAAIAAgAGEAcgByAGEAeQAsAFwAbgAgACAAIAAgAG4AZQB3AF8AdwBpAGQAdABoACwAXABuACAAIAAgACAAWwBwAGEAZABfAHcAaQB0AGgAXQAsAFwAbgBMAEUAVAAoAFwAbgAgACAAIAAgAC8ALwAgAFMAaABhAHAAZQBcAG4AIAAgACAAIABoACwAIAAgACAAIAAgACAAIAAgACAAIAAgACAAIAAgAFIATwBXAFMAKABhAHIAcgBhAHkAKQAsAFwAbgAgACAAIAAgAHcALAAgACAAIAAgACAAIAAgACAAIAAgACAAIAAgACAAQwBPAEwAVQBNAE4AUwAoAGEAcgByAGEAeQApACwAXABuACAAIAAgACAAYgBsAG8AYwBrAHMALAAgACAAIAAgACAAIAAgACAAIABDAEUASQBMAEkATgBHACgAdwAgAC8AIABuAGUAdwBfAHcAaQBkAHQAaAAsACAAMQApACwAXABuAFwAbgAgACAAIAAgAC8ALwAgAE8AcAB0AGkAbwBuAGEAbAAgAHAAYQBkAGQAaQBuAGcAXABuACAAIAAgACAAcABhAGQAXwB3AGkAdABoACwAIAAgACAAIAAgACAAIABJAEYAKABJAFMATwBNAEkAVABUAEUARAAoAHAAYQBkAF8AdwBpAHQAaAApACwAIABOAEEAKAApACwAIABwAGEAZABfAHcAaQB0AGgAKQAsAFwAbgBcAG4AIAAgACAAIAAvAC8AIABUAG8AdABhAGwAIABvAHUAdABwAHUAdAAgAGgAZQBpAGcAaAB0AFwAbgAgACAAIAAgAHIALAAgACAAIAAgACAAIAAgACAAIAAgACAAIAAgACAAYgBsAG8AYwBrAHMAIAAqACAAaAAsAFwAbgBcAG4AIAAgACAAIAAvAC8AIABTAGMAZQBuAGEAcgBpAG8AcwBcAG4AIAAgACAAIABJAHMAMQBEAD8ALAAgACAAIAAgACAAIAAgACAAIAAgAE8AUgAoAGgAIAA9ACAAMQAsACAAdwAgAD0AIAAxACkALABcAG4AIAAgACAAIABJAHMAUwBjAGEAbABhAHIAPwAsACAAIAAgACAAIAAgAEEATgBEACgAaAAgAD0AIAAxACwAIAB3ACAAPQAgADEAKQAsAFwAbgAgACAAIAAgAEkAbgB2AGEAbABpAGQARABpAG0APwAsACAAIAAgACAAbgBlAHcAXwB3AGkAZAB0AGgAIAA+AD0AIAB3ACwAXABuACAAIAAgACAAUwBwAGkAbABsAFIAaQBzAGsAPwAsACAAIAAgACAAIAByACAAPgAgADEAMAA0ADgANQA3ADYALABcAG4AXABuACAAIAAgACAALwAvACAATABvAGcAaQBjACAAZwBhAHQAZQBcAG4AIAAgACAAIABJAEYAKABJAHMAUwBjAGEAbABhAHIAPwAsACAAXAAiACMAVgBBAEwAVQBFACEAXAAiACwAXABuAFwAbgAgACAAIAAgACAAIAAgACAASQBGACgASQBzADEARAA/ACwAIABcACIAIwBWAEEATABVAEUAIQBcACIALABcAG4AXABuACAAIAAgACAAIAAgACAAIAAgACAAIAAgAEkARgAoAEkAbgB2AGEAbABpAGQARABpAG0APwAsACAAXAAiACMAVwBJAEQAVABIACEAXAAiACwAXABuAFwAbgAgACAAIAAgACAAIAAgACAAIAAgACAAIAAgACAAIAAgAEkARgAoAFMAcABpAGwAbABSAGkAcwBrAD8ALAAgAFwAIgAjAE4AVQBNACEAXAAiACwAXABuAFwAbgBMAEUAVAAoAFwAbgAgACAAIAAgAC8ALwAgAEkAbgBkAGkAYwBlAHMAIAAoAGQAZQBmAGUAcgByAGUAZAApAFwAbgAgACAAIAAgAG0AbwBkAHUAbABvACwAIAAgACAAIAAgACAAIAAgACAATABBAE0AQgBEAEEAKABNAE8ARAAoAFMARQBRAFUARQBOAEMARQAoAHIAKQAsACAAaAApACkALABcAG4AXABuACAAIAAgACAAaQAsACAAIAAgACAAIAAgACAAIAAgACAAIAAgACAAIABMAEEATQBCAEQAQQAoAEkARgAoAG0AbwBkAHUAbABvACgAKQAgAD0AIAAwACwAIABoACwAIABtAG8AZAB1AGwAbwAoACkAKQAgACoAIABTAEUAUQBVAEUATgBDAEUAKAAsACAAbgBlAHcAXwB3AGkAZAB0AGgALAAgADEALAAgADAAKQApACwAXABuAFwAbgAgACAAIAAgAGoALAAgACAAIAAgACAAIAAgACAAIAAgACAAIAAgACAATABBAE0AQgBEAEEAKABFAGMAaABvALsDKABTAEUAUQBVAEUATgBDAEUAKAByACAALwAgAGgALAAsACAAMQAsACAAbgBlAHcAXwB3AGkAZAB0AGgAKQAsACAAaAApAFwAbgAgACAAIAAgACAAIAAgACAAIAAgACAAIAAgACAAIAAgACAAIAAgACAAIAAgACAAIAAgACAAIAArACAAUwBFAFEAVQBFAE4AQwBFACgALAAgAG4AZQB3AF8AdwBpAGQAdABoACwAIAAwACwAIAAxACkAKQAsAFwAbgBcAG4AIAAgACAAIAAvAC8AIABXAHIAYQBwAHAAZQBkACAAYQByAHIAYQB5AFwAbgAgACAAIAAgAHIAZQBzAHUAbAB0ACwAIAAgACAAIAAgACAAIAAgACAASQBGAEUAUgBSAE8AUgAoAEkATgBEAEUAWAAoAGEAcgByAGEAeQAsACAAaQAoACkALAAgAGoAKAApACkALAAgAHAAYQBkAF8AdwBpAHQAaAApACwAXABuAFwAbgAgACAAIAAgAHIAZQBzAHUAbAB0AFwAbgApACkAKQApACkAKQApADsAXABuAFwAbgBcAG4AXABuAC8AKgAgAFsAUwBBADAAOQBdACAALQAtAC0ALQAtAC0ALQAtAC0ALQAtAC0ALQAtAC0ALQAtAC0ALQAtAC0ALQAtAC0ALQAtAC0ALQAtAC0ALQAtAC0ALQAtAC0ALQAtAC0ALQAtAC0ALQAtAC0ALQAtAC0ALQAtAC0ALQAtAC0ALQAtAC0ALQAtAC0ALQAtAC0ALQAtAC0ALQAtAC0ALQAtAC0ALQBcAG4ARgB1AG4AYwB0AGkAbwBuADoAIAAgACAAIAAgAFMAdABhAGkAcgBjAGEAcwBlALsDXABuAEMAYQB0AGUAZwBvAHIAeQA6ACAAIAAgACAAIAAyAEQAIABBAHIAcgBhAHkAIABTAGgAYQBwAGkAbgBnAFwAbgBBAHUAdABoAG8AcgA6ACAAIAAgACAAIAAgACAAUABhAHQAcgBpAGMAawAgAEgALgBcAG4AVgBlAHIAcwBpAG8AbgA6ACAAIAAgACAAIAAgADEALgAxAFwAbgBEAGUAcABlAG4AZABlAG4AYwBpAGUAcwA6ACAAVgBhAGwAaQBkAGEAdABlAFMAdABhAGkAcgBjAGEAcwBlALsDXABuAFwAbgBEAGUAcwBjAHIAaQBwAHQAaQBvAG4AOgBcAG4AIAAgACAAIABDAG8AbgBzAHQAcgB1AGMAdABzACAAZABpAGEAZwBvAG4AYQBsACAAcwB0AGEAaQByAGMAYQBzAGUAIABwAGEAdAB0AGUAcgBuAHMAIABmAHIAbwBtACAAYQAgAHYAZQBjAHQAbwByACAAbwByACAAMgBEACAAYQByAHIAYQB5AC4AIABUAGgAZQAgAGkAbgBwAHUAdABcAG4AIAAgACAAIABhAHIAcgBhAHkAIABpAHMAIABmAGwAYQB0AHQAZQBuAGUAZAAgAHIAbwB3ABEgdwBpAHMAZQAsACAAcABhAHIAdABpAHQAaQBvAG4AZQBkACAAaQBuAHQAbwAgAGIAbABvAGMAawBzACAAbwBmACAAcwBpAHoAZQAgAGIAbABvAGMAawBfAHMAaQB6AGUALAAgAGEAbgBkAFwAbgAgACAAIAAgAGEAcgByAGEAbgBnAGUAZAAgAGkAbgB0AG8AIABkAGkAYQBnAG8AbgBhAGwAIABcACIAcwB0AGUAcABzAFwAIgAuACAATwBwAHQAaQBvAG4AYQBsACAAcABhAHIAYQBtAGUAdABlAHIAcwAgAGMAbwBuAHQAcgBvAGwAIABiAGwAbwBjAGsAIABzAHAAYQBjAGkAbgBnACwAXABuACAAIAAgACAAaABvAHIAaQB6AG8AbgB0AGEAbAAvAHYAZQByAHQAaQBjAGEAbAAgAG8AcgBpAGUAbgB0AGEAdABpAG8AbgAsACAAYQBuAGQAIABhAG4AdABpABEgZABpAGEAZwBvAG4AYQBsACAAbABhAHkAbwB1AHQALgBcAG4AXABuAFAAYQByAGEAbQBlAHQAZQByAHMAOgBcAG4AIAAgACAAIABhAHIAcgBhAHkAIAAgACAAIAAgACAAIAAgACAAIAAgAC0AIABJAG4AcAB1AHQAIABhAHIAcgBhAHkAIAAoAGYAbABhAHQAdABlAG4AZQBkACAAcgBvAHcAESB3AGkAcwBlACkALgBcAG4AIAAgACAAIABiAGwAbwBjAGsAXwBzAGkAegBlACAAIAAgACAAIAAgAC0AIABSAG8AdwBzAC8AYwBvAGwAdQBtAG4AcwAgAGkAbgAgAGUAYQBjAGgAIABzAHQAYQBpAHIAYwBhAHMAZQAgAGIAbABvAGMAawAuAFwAbgAgACAAIAAgAFsAYgBsAG8AYwBrAF8AbwBmAGYAcwBlAHQAXQAgACAALQAgAE8AcAB0AGkAbwBuAGEAbAAgAHMAcABhAGMAaQBuAGcAIABiAGUAdAB3AGUAZQBuACAAcwB0AGEAaQByAGMAYQBzAGUAIABiAGwAbwBjAGsAcwAuAFwAbgAgACAAIAAgAFsASQBzAEgAbwByAGkAegBvAG4AdABhAGwAPwBdACAALQAgAE8AcAB0AGkAbwBuAGEAbAAgAHQAbwBnAGcAbABlACAAZgBvAHIAIABjAG8AbAB1AG0AbgARIHcAaQBzAGUAIABvAHIAaQBlAG4AdABhAHQAaQBvAG4ALgBcAG4AIAAgACAAIABbAEkAcwBBAG4AdABpAEQAaQBhAGcAPwBdACAAIAAgAC0AIABPAHAAdABpAG8AbgBhAGwAIAB0AG8AZwBnAGwAZQAgAGYAbwByACAAYQBuAHQAaQARIGQAaQBhAGcAbwBuAGEAbAAgAGwAYQB5AG8AdQB0AC4AXABuAFwAbgBOAG8AdABlAHMAOgBcAG4AIAAgACAAIAAiICAASQBuAHAAdQB0ACAAaQBzACAAZgBsAGEAdAB0AGUAbgBlAGQAIAB1AHMAaQBuAGcAIABUAE8AQwBPAEwALgBcAG4AIAAgACAAIAAiICAAYgBsAG8AYwBrAF8AbwBmAGYAcwBlAHQAIABkAGUAZgBhAHUAbAB0AHMAIAB0AG8AIAAwAC4AXABuACAAIAAgACAAIiAgAE8AcgBpAGUAbgB0AGEAdABpAG8AbgAgAGQAZQBmAGEAdQBsAHQAcwAgAHQAbwAgAHYAZQByAHQAaQBjAGEAbAAgAHUAbgBsAGUAcwBzACAASQBzAEgAbwByAGkAegBvAG4AdABhAGwAPwAgAGkAcwAgAHAAcgBvAHYAaQBkAGUAZAAuAFwAbgAtAC0ALQAtAC0ALQAtAC0ALQAtAC0ALQAtAC0ALQAtAC0ALQAtAC0ALQAtAC0ALQAtAC0ALQAtAC0ALQAtAC0ALQAtAC0ALQAtAC0ALQAtAC0ALQAtAC0ALQAtAC0ALQAtAC0ALQAtAC0ALQAtAC0ALQAtAC0ALQAtAC0ALQAtAC0ALQAtAC0ALQAtAC0ALQAtAC0ALQAtAC0ALQAqAC8AXABuAFwAbgBTAHQAYQBpAHIAYwBhAHMAZQC7AyAAPQBcAG4ATABBAE0AQgBEAEEAKABcAG4AIAAgACAAIABhAHIAcgBhAHkALABcAG4AIAAgACAAIABiAGwAbwBjAGsAXwBzAGkAegBlACwAXABuACAAIAAgACAAWwBiAGwAbwBjAGsAXwBvAGYAZgBzAGUAdABdACwAXABuACAAIAAgACAAWwBJAHMASABvAHIAaQB6AG8AbgB0AGEAbAA/AF0ALABcAG4AIAAgACAAIABbAEkAcwBBAG4AdABpAEQAaQBhAGcAPwBdACwAXABuAFwAbgBWAGEAbABpAGQAYQB0AGUAUwB0AGEAaQByAGMAYQBzAGUAuwMoAGEAcgByAGEAeQAsACAAYgBsAG8AYwBrAF8AcwBpAHoAZQAsACAAYgBsAG8AYwBrAF8AbwBmAGYAcwBlAHQALABcAG4AXABuAEwARQBUACgAXABuACAAIAAgACAALwAvACAATwBwAHQAaQBvAG4AYQBsACAAcABhAHIAYQBtAGUAdABlAHIAcwBcAG4AIAAgACAAIABOAG8ATwBmAGYAcwBlAHQAPwAsACAAIAAgACAAIAAgACAAIAAgACAASQBTAE8ATQBJAFQAVABFAEQAKABiAGwAbwBjAGsAXwBvAGYAZgBzAGUAdAApACwAXABuACAAIAAgACAAWgBlAHIAbwBPAGYAZgBzAGUAdAA/ACwAIAAgACAAIAAgACAAIAAgAGIAbABvAGMAawBfAG8AZgBmAHMAZQB0ACAAPQAgADAALABcAG4AIAAgACAAIABjAG8AbABfAG8AZgBmAHMAZQB0ACwAIAAgACAAIAAgACAAIAAgACAASQBGACgATgBvAE8AZgBmAHMAZQB0AD8ALAAgADAALAAgAGIAbABvAGMAawBfAG8AZgBmAHMAZQB0ACkALABcAG4AXABuACAAIAAgACAASQBzAFYAZQByAHQAaQBjAGEAbAA/ACwAIAAgACAAIAAgACAAIAAgAEkAUwBPAE0ASQBUAFQARQBEACgASQBzAEgAbwByAGkAegBvAG4AdABhAGwAPwApACwAXABuACAAIAAgACAATgBvAEEAbgB0AGkARABpAGEAZwA/ACwAIAAgACAAIAAgACAAIAAgAEkAUwBPAE0ASQBUAFQARQBEACgASQBzAEEAbgB0AGkARABpAGEAZwA/ACkALABcAG4AXABuACAAIAAgACAALwAvACAARgBsAGEAdAB0AGUAbgAgAGkAbgBwAHUAdABcAG4AIAAgACAAIABmAGwAYQB0ACwAIAAgACAAIAAgACAAIAAgACAAIAAgACAAIAAgACAAVABPAEMATwBMACgAYQByAHIAYQB5ACkALABcAG4AIAAgACAAIABrACwAIAAgACAAIAAgACAAIAAgACAAIAAgACAAIAAgACAAIAAgACAAQwBPAFUATgBUAEEAKABmAGwAYQB0ACkALABcAG4AIAAgACAAIABzAGUAcQAsACAAIAAgACAAIAAgACAAIAAgACAAIAAgACAAIAAgACAATABBAE0AQgBEAEEAKABTAEUAUQBVAEUATgBDAEUAKABrACkAKQAsAFwAbgBcAG4AIAAgACAAIAAvAC8AIABQAGEAcgB0AGkAdABpAG8AbgAgAGkAbgB0AG8AIABiAGwAbwBjAGsAcwBcAG4AIAAgACAAIABWACwAIAAgACAAIAAgACAAIAAgACAAIAAgACAAIAAgACAAIAAgACAAVABPAFIATwBXACgARQBYAFAAQQBOAEQAKABXAFIAQQBQAFIATwBXAFMAKABzAGUAcQAoACkALAAgAGIAbABvAGMAawBfAHMAaQB6AGUAKQAsACwAYgBsAG8AYwBrAF8AcwBpAHoAZQAgACsAIABiAGwAbwBjAGsAXwBvAGYAZgBzAGUAdAAsADAAKQApACwAXABuAFwAbgAgACAAIAAgAHcAaQBkAHQAaAAsACAAIAAgACAAIAAgACAAIAAgACAAIAAgACAAIABDAE8ATABVAE0ATgBTACgAVgApACwAXABuAFwAbgAgACAAIAAgAC8ALwAgAEEAbgBjAGgAbwByAHMAIABhAG4AZAAgAGkAbgBkAGkAYwBlAHMAXABuACAAIAAgACAAaQAsACAAIAAgACAAIAAgACAAIAAgACAAIAAgACAAIAAgACAAIAAgAEwAQQBNAEIARABBACgAUwBFAFEAVQBFAE4AQwBFACgAYgBsAG8AYwBrAF8AcwBpAHoAZQApACAAKgAgAFMARQBRAFUARQBOAEMARQAoACwAIAB3AGkAZAB0AGgALAAgADEALAAgADAAKQApACwAXABuAFwAbgAgACAAIAAgAGMAbwBsAF8AYQByAHIALAAgACAAIAAgACAAIAAgACAAIAAgACAAIABMAEEATQBCAEQAQQAoAFwAbgAgACAAIAAgACAAIAAgACAAIAAgACAAIAAgACAAIAAgACAAIAAgACAAIAAgACAAIAAgACAAIAAgAEkARgAoAE4AbwBBAG4AdABpAEQAaQBhAGcAPwAsAFwAbgAgACAAIAAgACAAIAAgACAAIAAgACAAIAAgACAAIAAgACAAIAAgACAAIAAgACAAIAAgACAAIAAgACAAIAAgAFMARQBRAFUARQBOAEMARQAoACwAIAB3AGkAZAB0AGgAKQAsAFwAbgAgACAAIAAgACAAIAAgACAAIAAgACAAIAAgACAAIAAgACAAIAAgACAAIAAgACAAIAAgACAAIAAgACAAIAAgAFMARQBRAFUARQBOAEMARQAoACwAIAB3AGkAZAB0AGgALAAgAHcAaQBkAHQAaAAsACAALQAxACkAKQApACwAXABuAFwAbgAgACAAIAAgAGoALAAgACAAIAAgACAAIAAgACAAIAAgACAAIAAgACAAIAAgACAAIABMAEEATQBCAEQAQQAoAE0ATwBEACgAYwBvAGwAXwBhAHIAcgAoACkALAAgAGIAbABvAGMAawBfAHMAaQB6AGUAIAArACAAYgBsAG8AYwBrAF8AbwBmAGYAcwBlAHQAKQApACwAXABuAFwAbgAgACAAIAAgAGoAXwAsACAAIAAgACAAIAAgACAAIAAgACAAIAAgACAAIAAgACAAIABMAEEATQBCAEQAQQAoAEkARgAoAE8AUgAoAE4AbwBPAGYAZgBzAGUAdAA/ACwAIABaAGUAcgBvAE8AZgBmAHMAZQB0AD8AKQAsAFwAbgAgACAAIAAgACAAIAAgACAAIAAgACAAIAAgACAAIAAgACAAIAAgACAAIAAgACAAIAAgACAAIAAgACAAIAAgACAASQBGACgAagAoACkAIAA9ACAAMAAsACAAYgBsAG8AYwBrAF8AcwBpAHoAZQAsACAAagAoACkAKQAsAFwAbgAgACAAIAAgACAAIAAgACAAIAAgACAAIAAgACAAIAAgACAAIAAgACAAIAAgACAAIAAgACAAIAAgACAAIAAgACAAagAoACkAKQApACwAXABuAFwAbgAgACAAIAAgAGkAZAB4ACwAIAAgACAAIAAgACAAIAAgACAAIAAgACAAIAAgACAAIABMAEEATQBCAEQAQQAoAEkARgAoAGkAKAApACAAPQAgAGoAXwAoACkALAAgAFYALAAgAE4AQQAoACkAKQApACwAXABuAFwAbgAgACAAIAAgAC8ALwAgAEUAeAB0AHIAYQBjAHQAIABzAHQAYQBpAHIAYwBhAHMAZQBcAG4AIAAgACAAIAByAGUAcwB1AGwAdAAsACAAIAAgACAAIAAgACAAIAAgACAAIAAgACAARABSAE8AUAAoAEkARgBOAEEAKABJAE4ARABFAFgAKABmAGwAYQB0ACwAIABpAGQAeAAoACkAKQAsACAAXAAiAFwAIgApACwALAAgAC0AYwBvAGwAXwBvAGYAZgBzAGUAdAApACwAXABuAFwAbgAgACAAIAAgAGYAaQBuAGEAbAAsACAAIAAgACAAIAAgACAAIAAgACAAIAAgACAAIABJAEYAKABJAHMAVgBlAHIAdABpAGMAYQBsAD8ALAAgAFQAUgBBAE4AUwBQAE8AUwBFACgAcgBlAHMAdQBsAHQAKQAsACAAcgBlAHMAdQBsAHQAKQAsAFwAbgBcAG4AIAAgACAAIABmAGkAbgBhAGwAXABuACkAKQApADsAXABuAFwAbgBcAG4AXABuAC8AKgAgAFsAUwBBAC0AQwBPAFIARQBdACAALQAtAC0ALQAtAC0ALQAtAC0ALQAtAC0ALQAtAC0ALQAtAC0ALQAtAC0ALQAtAC0ALQAtAC0ALQAtAC0ALQAtAC0ALQAtAC0ALQAtAC0ALQAtAC0ALQAtAC0ALQAtAC0ALQAtAC0ALQAtAC0ALQAtAC0ALQAtAC0ALQAtAC0ALQAtAC0ALQAtAC0ALQAtAFwAbgBGAHUAbgBjAHQAaQBvAG4AOgAgACAAIAAgACAAVgBhAGwAaQBkAGEAdABlAFMAdABhAGkAcgBjAGEAcwBlALsDXABuAEMAYQB0AGUAZwBvAHIAeQA6ACAAIAAgACAAIAAyAEQAIABBAHIAcgBhAHkAIABTAGgAYQBwAGkAbgBnACAAKABWAGEAbABpAGQAYQB0AGkAbwBuACkAXABuAEEAdQB0AGgAbwByADoAIAAgACAAIAAgACAAIABQAGEAdAByAGkAYwBrACAASAAuAFwAbgBWAGUAcgBzAGkAbwBuADoAIAAgACAAIAAgACAAMQAuADEAXABuAFwAbgBEAGUAcwBjAHIAaQBwAHQAaQBvAG4AOgBcAG4AIAAgACAAIABWAGEAbABpAGQAYQB0AGkAbwBuACAAaABlAGwAcABlAHIAIABmAG8AcgAgAFMAdABhAGkAcgBjAGEAcwBlALsDLgAgAEUAbgBzAHUAcgBlAHMAIABhAHIAcgBhAHkAIABpAHMAIAB2AGEAbABpAGQALAAgAGIAbABvAGMAawBfAHMAaQB6AGUAIABpAHMAXABuACAAIAAgACAAcABvAHMAaQB0AGkAdgBlACAAYQBuAGQAIABkAG8AZQBzACAAbgBvAHQAIABlAHgAYwBlAGUAZAAgAGEAcgByAGEAeQAgAGwAZQBuAGcAdABoACwAIABhAG4AZAAgAGIAbABvAGMAawBfAG8AZgBmAHMAZQB0ACAAaQBzACAAbgBvAG4AESBuAGUAZwBhAHQAaQB2AGUALgBcAG4AXABuAFAAYQByAGEAbQBlAHQAZQByAHMAOgBcAG4AIAAgACAAIABhAHIAcgBhAHkAIAAgACAAIAAgACAAIAAgACAAIAAgAC0AIABJAG4AcAB1AHQAIABhAHIAcgBhAHkALgBcAG4AIAAgACAAIABiAGwAbwBjAGsAXwBzAGkAegBlACAAIAAgACAAIAAgAC0AIABSAGUAcQB1AGkAcgBlAGQAIABiAGwAbwBjAGsAIABzAGkAegBlAC4AXABuACAAIAAgACAAWwBiAGwAbwBjAGsAXwBvAGYAZgBzAGUAdABdACAAIAAtACAATwBwAHQAaQBvAG4AYQBsACAAcwBwAGEAYwBpAG4AZwAgAGIAZQB0AHcAZQBlAG4AIABiAGwAbwBjAGsAcwAuAFwAbgAgACAAIAAgAFsAbwBuAF8AdgBhAGwAaQBkAF0AIAAgACAAIAAgACAALQAgAEUAeABwAHIAZQBzAHMAaQBvAG4AIAB0AG8AIABlAHYAYQBsAHUAYQB0AGUAIAB3AGgAZQBuACAAdgBhAGwAaQBkAGEAdABpAG8AbgAgAHAAYQBzAHMAZQBzAC4AXABuAC0ALQAtAC0ALQAtAC0ALQAtAC0ALQAtAC0ALQAtAC0ALQAtAC0ALQAtAC0ALQAtAC0ALQAtAC0ALQAtAC0ALQAtAC0ALQAtAC0ALQAtAC0ALQAtAC0ALQAtAC0ALQAtAC0ALQAtAC0ALQAtAC0ALQAtAC0ALQAtAC0ALQAtAC0ALQAtAC0ALQAtAC0ALQAtAC0ALQAtAC0ALQAtACoALwBcAG4AXABuAFYAYQBsAGkAZABhAHQAZQBTAHQAYQBpAHIAYwBhAHMAZQC7AyAAPQBcAG4ATABBAE0AQgBEAEEAKABcAG4AIAAgACAAIABhAHIAcgBhAHkALABcAG4AIAAgACAAIABiAGwAbwBjAGsAXwBzAGkAegBlACwAXABuACAAIAAgACAAWwBiAGwAbwBjAGsAXwBvAGYAZgBzAGUAdABdACwAXABuACAAIAAgACAAWwBvAG4AXwB2AGEAbABpAGQAXQAsAFwAbgBMAEUAVAAoAFwAbgAgACAAIAAgAC8ALwAgAEMAaABlAGMAawBzAFwAbgAgACAAIAAgAE4AbwB0AEEAcgByAGEAeQA/ACwAIAAgACAAIAAgACAAIAAgACAAIAAgACAAIAAgAFQAWQBQAEUAKABhAHIAcgBhAHkAKQAgADwAPgAgADYANAAsAFwAbgBcAG4AIAAgACAAIABJAG4AdgBhAGwAaQBkAEIAbABvAGMAawBTAGkAegBlAD8ALAAgACAAIAAgACAAIABPAFIAKABJAFMAVABFAFgAVAAoAGIAbABvAGMAawBfAHMAaQB6AGUAKQAsAFwAbgAgACAAIAAgACAAIAAgACAAIAAgACAAIAAgACAAIAAgACAAIAAgACAAIAAgACAAIAAgACAAIAAgACAAIAAgAGIAbABvAGMAawBfAHMAaQB6AGUAIAA8AD0AIAAwACwAXABuACAAIAAgACAAIAAgACAAIAAgACAAIAAgACAAIAAgACAAIAAgACAAIAAgACAAIAAgACAAIAAgACAAIAAgACAAYgBsAG8AYwBrAF8AcwBpAHoAZQAgAD4AIABDAE8AVQBOAFQAQQAoAGEAcgByAGEAeQApACkALABcAG4AXABuACAAIAAgACAASQBuAHYAYQBsAGkAZABCAGwAbwBjAGsATwBmAGYAcwBlAHQAPwAsACAAIAAgACAATwBSACgASQBTAFQARQBYAFQAKABiAGwAbwBjAGsAXwBvAGYAZgBzAGUAdAApACwAYgBsAG8AYwBrAF8AbwBmAGYAcwBlAHQAIAA8ACAAMAApACwAXABuAFwAbgAgACAAIAAgAC8ALwAgAEwAbwBnAGkAYwAgAGcAYQB0AGUAXABuACAAIAAgACAASQBGACgATgBvAHQAQQByAHIAYQB5AD8ALAAgACAAIAAgACAAIAAgACAAIAAgACAAIAAgAFwAIgAjAE4ATwBUAC0AQQBSAFIAQQBZACEAXAAiACwAXABuAFwAbgAgACAAIAAgACAAIAAgACAASQBGACgASQBuAHYAYQBsAGkAZABCAGwAbwBjAGsAUwBpAHoAZQA/ACwAIAAgAFwAIgAjAEIATABPAEMASwAtAFMASQBaAEUAIQBcACIALABcAG4AXABuACAAIAAgACAAIAAgACAAIAAgACAAIAAgAEkARgAoAEkAbgB2AGEAbABpAGQAQgBsAG8AYwBrAE8AZgBmAHMAZQB0AD8ALAAgAFwAIgAjAEIATABPAEMASwAtAE8ARgBGAFMARQBUACEAXAAiACwAXABuAFwAbgAgACAAIAAgACAAIAAgACAAIAAgACAAIAAgACAAIAAgAG8AbgBfAHYAYQBsAGkAZABcAG4AIAAgACAAIAAgACAAIAAgACAAIAAgACAAKQApACkAKQApADsAXABuAFwAbgBcAG4AXABuAC8AKgAgAFsAUwBBADEAMABdACAALQAtAC0ALQAtAC0ALQAtAC0ALQAtAC0ALQAtAC0ALQAtAC0ALQAtAC0ALQAtAC0ALQAtAC0ALQAtAC0ALQAtAC0ALQAtAC0ALQAtAC0ALQAtAC0ALQAtAC0ALQAtAC0ALQAtAC0ALQAtAC0ALQAtAC0ALQAtAC0ALQAtAC0ALQAtAC0ALQAtAC0ALQAtAC0ALQBcAG4ARgB1AG4AYwB0AGkAbwBuADoAIAAgACAAIAAgAFUAbgBQAGkAdgBvAHQAuwNcAG4AQwBhAHQAZQBnAG8AcgB5ADoAIAAgACAAIAAgADIARAAgAEEAcgByAGEAeQAgAFMAaABhAHAAaQBuAGcAXABuAEEAdQB0AGgAbwByADoAIAAgACAAIAAgACAAIABQAGEAdAByAGkAYwBrACAASAAuAFwAbgBWAGUAcgBzAGkAbwBuADoAIAAgACAAIAAgACAAMQAuADEAXABuAEQAZQBwAGUAbgBkAGUAbgBjAGkAZQBzADoAIABSAGUAcABlAGEAdABSAG8AdwBzALsDLAAgAFIAZQBzAGkAegBlALsDLAAgAEkAbgBzAHUAbABhAHQAZQBSAG8AdwBzALsDXABuAFwAbgBEAGUAcwBjAHIAaQBwAHQAaQBvAG4AOgBcAG4AIAAgACAAIABDAG8AbgB2AGUAcgB0AHMAIABhACAAbQBhAHQAcgBpAHgAIABpAG4AdABvACAAYQAgAGYAbABhAHQAdABlAG4AZQBkACAAcgBvAHcAESB3AGkAcwBlACAAdABhAGIAbABlACAAYgB5ACAAcAByAG8AdgBpAGQAaQBuAGcAIAByAG8AdwAgAGwAYQBiAGUAbABzACwAXABuACAAIAAgACAAYwBvAGwAdQBtAG4AIABsAGEAYgBlAGwAcwAsACAAYQBuAGQAIABhACAAdgBhAGwAdQBlACAAbQBhAHQAcgBpAHgALgAgAE8AcAB0AGkAbwBuAGEAbAAgAGYAaQBsAHQAZQByAGkAbgBnACAAcgBlAG0AbwB2AGUAcwAgAGIAbABhAG4AawBzACwAXABuACAAIAAgACAAZQByAHIAbwByAHMALAAgAGEAbgBkACAAegBlAHIAbwBzAC4AXABuAFwAbgBQAGEAcgBhAG0AZQB0AGUAcgBzADoAXABuACAAIAAgACAAcgBvAHcAcwAgACAAIAAgACAAIAAgACAALQAgAFYAZQByAHQAaQBjAGEAbAAgAGEAcgByAGEAeQAgAG8AZgAgAHIAbwB3ACAAbABhAGIAZQBsAHMALgBcAG4AIAAgACAAIABjAG8AbAB1AG0AbgBzACAAIAAgACAAIAAtACAASABvAHIAaQB6AG8AbgB0AGEAbAAgAGEAcgByAGEAeQAgAG8AZgAgAGMAbwBsAHUAbQBuACAAbABhAGIAZQBsAHMALgBcAG4AIAAgACAAIAB2AGEAbAB1AGUAcwAgACAAIAAgACAAIAAtACAATQBhAHQAcgBpAHgAIABvAGYAIAB2AGEAbAB1AGUAcwAgAHQAbwAgAHUAbgBwAGkAdgBvAHQALgBcAG4AIAAgACAAIABbAGkAZwBuAG8AcgBlAF0AIAAgACAAIAAtACAATwBwAHQAaQBvAG4AYQBsADoAIABpAGYAIABUAFIAVQBFACwAIAByAGUAbQBvAHYAZQAgAGIAbABhAG4AawBzACwAIABlAHIAcgBvAHIAcwAsACAAYQBuAGQAIAB6AGUAcgBvAHMALgBcAG4AXABuAE4AbwB0AGUAcwA6AFwAbgAgACAAIAAgACIgIAByAG8AdwBzACAAbQB1AHMAdAAgAG0AYQB0AGMAaAAgAHQAaABlACAAaABlAGkAZwBoAHQAIABvAGYAIAB2AGEAbAB1AGUAcwAuAFwAbgAgACAAIAAgACIgIABjAG8AbAB1AG0AbgBzACAAbQB1AHMAdAAgAG0AYQB0AGMAaAAgAHQAaABlACAAdwBpAGQAdABoACAAbwBmACAAdgBhAGwAdQBlAHMALgBcAG4AIAAgACAAIAAiICAATwB1AHQAcAB1AHQAIABpAHMAIABhACAAMwARIGMAbwBsAHUAbQBuACAAdABhAGIAbABlADoAIAB7AHIAbwB3AF8AbABhAGIAZQBsACwAIABjAG8AbAB1AG0AbgBfAGwAYQBiAGUAbAAsACAAdgBhAGwAdQBlAH0ALgBcAG4ALQAtAC0ALQAtAC0ALQAtAC0ALQAtAC0ALQAtAC0ALQAtAC0ALQAtAC0ALQAtAC0ALQAtAC0ALQAtAC0ALQAtAC0ALQAtAC0ALQAtAC0ALQAtAC0ALQAtAC0ALQAtAC0ALQAtAC0ALQAtAC0ALQAtAC0ALQAtAC0ALQAtAC0ALQAtAC0ALQAtAC0ALQAtAC0ALQAtAC0ALQAtAC0AKgAvAFwAbgBcAG4AVQBuAFAAaQB2AG8AdAC7AyAAPQBcAG4ATABBAE0AQgBEAEEAKABcAG4AIAAgACAAIAByAG8AdwBzACwAXABuACAAIAAgACAAYwBvAGwAdQBtAG4AcwAsAFwAbgAgACAAIAAgAHYAYQBsAHUAZQBzACwAXABuACAAIAAgACAAWwBpAGcAbgBvAHIAZQBdACwAXABuAEwARQBUACgAXABuACAAIAAgACAALwAvACAARABpAG0AZQBuAHMAaQBvAG4AcwBcAG4AIAAgACAAIABoACwAIAAgACAAIAAgACAAIAAgACAAIAAgACAAIAAgAFIATwBXAFMAKAByAG8AdwBzACkALABcAG4AIAAgACAAIAB3ACwAIAAgACAAIAAgACAAIAAgACAAIAAgACAAIAAgAEMATwBMAFUATQBOAFMAKABjAG8AbAB1AG0AbgBzACkALABcAG4AXABuACAAIAAgACAAaABfAHYALAAgACAAIAAgACAAIAAgACAAIAAgACAAIABSAE8AVwBTACgAdgBhAGwAdQBlAHMAKQAsAFwAbgAgACAAIAAgAHcAXwB2ACwAIAAgACAAIAAgACAAIAAgACAAIAAgACAAQwBPAEwAVQBNAE4AUwAoAHYAYQBsAHUAZQBzACkALABcAG4AXABuACAAIAAgACAALwAvACAAUwBjAGUAbgBhAHIAaQBvAHMAXABuACAAIAAgACAASQBzAFMAYwBhAGwAYQByAD8ALAAgACAAIAAgACAAIABBAE4ARAAoAGgAIAA9ACAAMQAsACAAdwAgAD0AIAAxACwAIABoAF8AdgAgAD0AIAAxACwAIAB3AF8AdgAgAD0AIAAxACkALABcAG4AIAAgACAAIABOAG8AUABpAHYAbwB0AD8ALAAgACAAIAAgACAAIAAgAHcAXwB2ACAAPQAgADEALABcAG4AXABuACAAIAAgACAAUgBvAHcATQBpAHMAbQBhAHQAYwBoAD8ALAAgACAAIABoACAAPAA+ACAAaABfAHYALABcAG4AIAAgACAAIABDAG8AbABNAGkAcwBtAGEAdABjAGgAPwAsACAAIAAgAHcAIAA8AD4AIAB3AF8AdgAsAFwAbgBcAG4AIAAgACAAIABTAHAAaQBsAGwAUgBpAHMAawA/ACwAIAAgACAAIAAgAGgAXwB2ACAAKgAgAHcAXwB2ACAAPgAgADEAMAA0ADgANQA3ADYALABcAG4AXABuACAAIAAgACAALwAvACAAUwBjAGEAbABhAHIAIABwAGEAcwBzAHQAaAByAG8AdQBnAGgAXABuACAAIAAgACAATwByAGkAZwBEAGEAdABhACwAIAAgACAAIAAgACAAIABIAFMAVABBAEMASwAoAHIAbwB3AHMALAAgAGMAbwBsAHUAbQBuAHMALAAgAHYAYQBsAHUAZQBzACkALABcAG4AXABuACAAIAAgACAALwAvACAAMQARIGMAbwBsAHUAbQBuACAAcABhAHMAcwB0AGgAcgBvAHUAZwBoAFwAbgAgACAAIAAgAE8AcgBpAGcARABhAHQAYQBQAGEAZAAsACAAIAAgACAASABTAFQAQQBDAEsAKABJAG4AcwB1AGwAYQB0AGUAUgBvAHcAcwC7AygAcgBvAHcAcwAsACAAMQAsACAAMAApACwAVgBTAFQAQQBDAEsAKABjAG8AbAB1AG0AbgBzACwAIAB2AGEAbAB1AGUAcwApACkALABcAG4AXABuACAAIAAgACAALwAvACAATABvAGcAaQBjACAAZwBhAHQAZQBcAG4AIAAgACAAIABJAEYAKABJAHMAUwBjAGEAbABhAHIAPwAsACAATwByAGkAZwBEAGEAdABhACwAXABuAFwAbgAgACAAIAAgACAAIAAgACAASQBGACgATgBvAFAAaQB2AG8AdAA/ACwAIABPAHIAaQBnAEQAYQB0AGEAUABhAGQALABcAG4AXABuACAAIAAgACAAIAAgACAAIAAgACAAIAAgAEkARgAoAFIAbwB3AE0AaQBzAG0AYQB0AGMAaAA/ACwAIABcACIAIwBEAEkATQAtAFIATwBXAFMALwBWAEEATABVAEUAUwAhAFwAIgAsAFwAbgBcAG4AIAAgACAAIAAgACAAIAAgACAAIAAgACAAIAAgACAAIABJAEYAKABDAG8AbABNAGkAcwBtAGEAdABjAGgAPwAsACAAXAAiACMARABJAE0ALQBDAE8ATAAvAFYAQQBMAFUARQBTACEAXAAiACwAXABuAFwAbgAgACAAIAAgACAAIAAgACAAIAAgACAAIAAgACAAIAAgACAAIAAgACAASQBGACgAUwBwAGkAbABsAFIAaQBzAGsAPwAsACAAXAAiACMAUgBPAFcALQBMAEkATQBJAFQAIQBcACIALABcAG4AXABuAEwARQBUACgAXABuACAAIAAgACAALwAvACAAQgByAG8AYQBkAGMAYQBzAHQAIAByAG8AdwAgAGwAYQBiAGUAbABzACAAKAByAGUAcABlAGEAdAAgAGUAYQBjAGgAIAByAG8AdwAgAGwAYQBiAGUAbAAgAGEAYwByAG8AcwBzACAAYQBsAGwAIABjAG8AbAB1AG0AbgBzACkAXABuACAAIAAgACAAcgBvAHcAXwBsAGEAYgBlAGwAcwAsACAAIAAgACAAIABSAGUAcABlAGEAdABSAG8AdwBzALsDKAByAG8AdwBzACwAIAB3ACkALABcAG4AXABuACAAIAAgACAALwAvACAAQgByAG8AYQBkAGMAYQBzAHQAIABjAG8AbAB1AG0AbgAgAGwAYQBiAGUAbABzACAAKAByAGUAcABlAGEAdAAgAGUAYQBjAGgAIABjAG8AbAB1AG0AbgAgAGwAYQBiAGUAbAAgAGQAbwB3AG4AIABhAGwAbAAgAHIAbwB3AHMAKQBcAG4AIAAgACAAIABhAHQAdAByAGkAYgB1AHQAZQAsACAAIAAgACAAIAAgAFIAZQBzAGkAegBlALsDKABUAFIAQQBOAFMAUABPAFMARQAoAGMAbwBsAHUAbQBuAHMAKQAsAGgAKQAsAFwAbgBcAG4AIAAgACAAIAAvAC8AIABGAGwAYQB0AHQAZQBuACAAdgBhAGwAdQBlAHMAXABuACAAIAAgACAAZgBsAGEAdABfAHYAYQBsAHUAZQBzACwAIAAgACAAIABUAE8AQwBPAEwAKAB2AGEAbAB1AGUAcwApACwAXABuAFwAbgAgACAAIAAgAC8ALwAgAFMAdABhAGMAawAgAGkAbgB0AG8AIAAzABEgYwBvAGwAdQBtAG4AIAB0AGEAYgBsAGUAXABuACAAIAAgACAAcwB0AGEAYwBrACwAIAAgACAAIAAgACAAIAAgACAAIABIAFMAVABBAEMASwAoAHIAbwB3AF8AbABhAGIAZQBsAHMALAAgAGEAdAB0AHIAaQBiAHUAdABlACwAIABmAGwAYQB0AF8AdgBhAGwAdQBlAHMAKQAsAFwAbgBcAG4AIAAgACAAIAAvAC8AIABGAGkAbAB0AGUAcgBpAG4AZwBcAG4AIAAgACAAIABrAGUAZQBwAF8AbQBhAHMAawAsACAAIAAgACAAIAAgAE4ATwBUACgASQBTAEIATABBAE4ASwAoAGYAbABhAHQAXwB2AGEAbAB1AGUAcwApACAAKwAgACgASQBGAEUAUgBSAE8AUgAoAGYAbABhAHQAXwB2AGEAbAB1AGUAcwAsACAAMAApACAAPQAgADAAKQApACwAXABuAFwAbgAgACAAIAAgAGYAaQBsAHQAZQByAGUAZAAsACAAIAAgACAAIAAgACAARgBJAEwAVABFAFIAKABzAHQAYQBjAGsALAAgAGsAZQBlAHAAXwBtAGEAcwBrACkALABcAG4AXABuACAAIAAgACAAcgBlAHMAdQBsAHQALAAgACAAIAAgACAAIAAgACAAIABJAEYAKABJAFMATwBNAEkAVABUAEUARAAoAGkAZwBuAG8AcgBlACkALAAgAHMAdABhAGMAawAsACAAZgBpAGwAdABlAHIAZQBkACkALABcAG4AXABuACAAIAAgACAAcgBlAHMAdQBsAHQAXABuACkAKQApACkAKQApACkAKQA7AFwAbgBcAG4AXABuAFwAbgAvACoAIABbAFMAQQAxADEAXQAgAC0ALQAtAC0ALQAtAC0ALQAtAC0ALQAtAC0ALQAtAC0ALQAtAC0ALQAtAC0ALQAtAC0ALQAtAC0ALQAtAC0ALQAtAC0ALQAtAC0ALQAtAC0ALQAtAC0ALQAtAC0ALQAtAC0ALQAtAC0ALQAtAC0ALQAtAC0ALQAtAC0ALQAtAC0ALQAtAC0ALQAtAC0ALQAtAC0AXABuAEYAdQBuAGMAdABpAG8AbgA6ACAAIAAgACAAIABaAGkAcAC7A1wAbgBDAGEAdABlAGcAbwByAHkAOgAgACAAIAAgACAAMgBEACAAQQByAHIAYQB5ACAAUwBoAGEAcABpAG4AZwBcAG4AQQB1AHQAaABvAHIAOgAgACAAIAAgACAAIAAgAFAAYQB0AHIAaQBjAGsAIABIAC4AXABuAFYAZQByAHMAaQBvAG4AOgAgACAAIAAgACAAIAAxAC4AMQBcAG4AXABuAEQAZQBzAGMAcgBpAHAAdABpAG8AbgA6AFwAbgAgACAAIAAgAFoAaQBwAHMAIAB0AG8AZwBlAHQAaABlAHIAIAAxABMgNAAgAGEAcgByAGEAeQBzACAAYgB5ACAAZgBsAGEAdAB0AGUAbgBpAG4AZwAgAGUAYQBjAGgAIABpAG4AcAB1AHQAIAB3AGkAdABoACAAVABPAEMATwBMACAAYQBuAGQAIABhAGwAaQBnAG4AaQBuAGcAXABuACAAIAAgACAAdABoAGUAbQAgAGIAeQAgAGwAZQBuAGcAdABoAC4AIABCAHkAIABkAGUAZgBhAHUAbAB0ACwAIABaAGkAcAC7AyAAcABlAHIAZgBvAHIAbQBzACAAYQAgAHMAdAByAGkAYwB0ACAAegBpAHAALAAgAHAAYQBpAHIAaQBuAGcAIABlAGwAZQBtAGUAbgB0AHMAXABuACAAIAAgACAAbwBuAGwAeQAgAHUAcAAgAHQAbwAgAHQAaABlACAAbABlAG4AZwB0AGgAIABvAGYAIAB0AGgAZQAgAHMAaABvAHIAdABlAHMAdAAgAGEAcgByAGEAeQAuACAASQBmACAAegBpAHAAXwBsAG8AbgBnAGUAcwB0ACAAPQAgAFQAUgBVAEUALAAgAFoAaQBwALsDXABuACAAIAAgACAAYwBvAG4AdABpAG4AdQBlAHMAIAB1AG4AdABpAGwAIAB0AGgAZQAgAGwAbwBuAGcAZQBzAHQAIABhAHIAcgBhAHkAIABpAHMAIABjAG8AbgBzAHUAbQBlAGQALAAgAHAAYQBkAGQAaQBuAGcAIABzAGgAbwByAHQAZQByACAAYQByAHIAYQB5AHMAIAB3AGkAdABoAFwAbgAgACAAIAAgAGYAaQBsAGwAXwB2AGEAbAB1AGUAIAAoAGQAZQBmAGEAdQBsAHQAOgAgACMATgAvAEEAKQAuAFwAbgBcAG4AIAAgACAAIABUAGgAZQAgAHIAZQBzAHUAbAB0ACAAaQBzACAAYQAgAGgAbwByAGkAegBvAG4AdABhAGwAbAB5ACAAcwB0AGEAYwBrAGUAZAAgAHQAYQBiAGwAZQAgAHcAaABlAHIAZQAgAGUAYQBjAGgAIABjAG8AbAB1AG0AbgAgAHIAZQBwAHIAZQBzAGUAbgB0AHMAIABvAG4AZQBcAG4AIAAgACAAIAB6AGkAcABwAGUAZAAgAGkAbgBwAHUAdAAgAGEAcgByAGEAeQAsACAAbgBvAHIAbQBhAGwAaQB6AGUAZAAgAHQAbwAgAGEAIABjAG8AbQBtAG8AbgAgAGwAZQBuAGcAdABoAC4AXABuAFwAbgBQAGEAcgBhAG0AZQB0AGUAcgBzADoAXABuACAAIAAgACAAYQByAHIAYQB5AF8AMQAgACAAIAAgACAAIAAgAC0AIABGAGkAcgBzAHQAIABpAG4AcAB1AHQAIABhAHIAcgBhAHkAIAAoAHMAYwBhAGwAYQByACwAIAAxAEQALAAgAG8AcgAgADIARAApAC4AXABuACAAIAAgACAAWwBhAHIAcgBhAHkAXwAyAF0AIAAgACAAIAAgAC0AIABPAHAAdABpAG8AbgBhAGwAIABzAGUAYwBvAG4AZAAgAGEAcgByAGEAeQAuAFwAbgAgACAAIAAgAFsAYQByAHIAYQB5AF8AMwBdACAAIAAgACAAIAAtACAATwBwAHQAaQBvAG4AYQBsACAAdABoAGkAcgBkACAAYQByAHIAYQB5AC4AXABuACAAIAAgACAAWwBhAHIAcgBhAHkAXwA0AF0AIAAgACAAIAAgAC0AIABPAHAAdABpAG8AbgBhAGwAIABmAG8AdQByAHQAaAAgAGEAcgByAGEAeQAuAFwAbgAgACAAIAAgAFsAegBpAHAAXwBsAG8AbgBnAGUAcwB0AF0AIAAtACAAVABSAFUARQAgAHQAbwAgAHoAaQBwACAAdQBuAHQAaQBsACAAdABoAGUAIABsAG8AbgBnAGUAcwB0ACAAYQByAHIAYQB5ACAAaQBzACAAYwBvAG4AcwB1AG0AZQBkAC4AXABuACAAIAAgACAAIAAgACAAIAAgACAAIAAgACAAIAAgACAAIAAgACAAIABJAGYAIABvAG0AaQB0AHQAZQBkACwAIABaAGkAcAC7AyAAdQBzAGUAcwAgAHMAdAByAGkAYwB0ACAAbQBvAGQAZQAgACgAcwBoAG8AcgB0AGUAcwB0ACAAYQByAHIAYQB5ACkALgBcAG4AIAAgACAAIABbAGYAaQBsAGwAXwB2AGEAbAB1AGUAXQAgACAALQAgAFYAYQBsAHUAZQAgAHUAcwBlAGQAIAB0AG8AIABwAGEAZAAgAHMAaABvAHIAdABlAHIAIABhAHIAcgBhAHkAcwAgAHcAaABlAG4AIAB6AGkAcABfAGwAbwBuAGcAZQBzAHQAIAA9ACAAVABSAFUARQAuAFwAbgAtAC0ALQAtAC0ALQAtAC0ALQAtAC0ALQAtAC0ALQAtAC0ALQAtAC0ALQAtAC0ALQAtAC0ALQAtAC0ALQAtAC0ALQAtAC0ALQAtAC0ALQAtAC0ALQAtAC0ALQAtAC0ALQAtAC0ALQAtAC0ALQAtAC0ALQAtAC0ALQAtAC0ALQAtAC0ALQAtAC0ALQAtAC0ALQAtAC0ALQAtAC0ALQAqAC8AXABuAFwAbgBaAGkAcAC7Az0AXABuAEwAQQBNAEIARABBACgAXABuACAAIAAgACAAYQByAHIAYQB5AF8AMQAsAFwAbgAgACAAIAAgAFsAYQByAHIAYQB5AF8AMgBdACwAXABuACAAIAAgACAAWwBhAHIAcgBhAHkAXwAzAF0ALABcAG4AIAAgACAAIABbAGEAcgByAGEAeQBfADQAXQAsAFwAbgAgACAAIAAgAFsAegBpAHAAXwBsAG8AbgBnAGUAcwB0AF0ALABcAG4AIAAgACAAIABbAGYAaQBsAGwAXwB2AGEAbAB1AGUAXQAsAFwAbgBcAG4ATABFAFQAKABcAG4AIAAgACAAIAAvAC8AIABTAGUAdAAgAHoAaQBwACAAbQBvAGQAZQBcAG4AIAAgACAAIABaAGkAcABMAG8AbgBnAD8ALAAgACAAIAAgAEkARgAoAEkAUwBPAE0ASQBUAFQARQBEACgAegBpAHAAXwBsAG8AbgBnAGUAcwB0ACkALAAgAEYAQQBMAFMARQAsACAAegBpAHAAXwBsAG8AbgBnAGUAcwB0ACkALABcAG4AXABuACAAIAAgACAALwAvACAAUwBlAHQAIABmAHUAbgBjAHQAaQBvAG4AIABmAG8AcgAgAGQAZQB0AGUAcgBtAGkAbgBpAG4AZwAgAGwAZQBuAGcAdABoACAAbwBmACAAegBpAHAAXABuACAAIAAgACAAZgBuALsDLAAgACAAIAAgACAAIAAgACAAIABJAEYAKABaAGkAcABMAG8AbgBnAD8ALABNAEEAWAAsAE0ASQBOACkALABcAG4AXABuACAAIAAgACAALwAvACAAUwBlAHQAIABmAGkAbABsAF8AdgBhAGwAdQBlAFwAbgAgACAAIAAgAGYAaQBsAGwAXwB2AGEAbAB1AGUALAAgACAASQBGACgAWgBpAHAATABvAG4AZwA/ACwAIABJAEYAKABJAFMATwBNAEkAVABUAEUARAAoAGYAaQBsAGwAXwB2AGEAbAB1AGUAKQAsACAATgBBACgAKQAsACAAZgBpAGwAbABfAHYAYQBsAHUAZQApACwAIABOAEEAKAApACkALABcAG4AXABuACAAIAAgACAALwAvACAAQQByAHIAYQB5AHMAIABzAHUAcABwAGwAaQBlAGQAXABuACAAIAAgACAAVAB3AG8ALAAgACAAIAAgACAAIAAgACAAIABOAE8AVAAoAEkAUwBPAE0ASQBUAFQARQBEACgAYQByAHIAYQB5AF8AMgApACkALABcAG4AIAAgACAAIABUAGgAcgBlAGUALAAgACAAIAAgACAAIAAgAE4ATwBUACgASQBTAE8ATQBJAFQAVABFAEQAKABhAHIAcgBhAHkAXwAzACkAKQAsAFwAbgAgACAAIAAgAEYAbwB1AHIALAAgACAAIAAgACAAIAAgACAATgBPAFQAKABJAFMATwBNAEkAVABUAEUARAAoAGEAcgByAGEAeQBfADQAKQApACwAXABuAFwAbgAgACAAIAAgAC8ALwAgAFQAbwB0AGEAbAAgAGEAcgByAGEAeQBzACAAcwB1AHAAcABsAGkAZQBkAFwAbgAgACAAIAAgAG0ALAAgACAAIAAgACAAIAAgACAAIAAgACAASQBGACgARgBvAHUAcgAsACAANAAsACAAXABuACAAIAAgACAAIAAgACAAIAAgACAAIAAgACAAIAAgACAAIAAgACAAIABJAEYAKABUAGgAcgBlAGUALAAgADMALAAgAFwAbgAgACAAIAAgACAAIAAgACAAIAAgACAAIAAgACAAIAAgACAAIAAgACAAIAAgACAAIABJAEYAKABUAHcAbwAsACAAMgAsADEAKQApACkALABcAG4AXABuACAAIAAgACAALwAvACAARgBsAGEAdAB0AGUAbgAgAGkAbgBwAHUAdABzAFwAbgAgACAAIAAgAGEAcgByAGEAeQBfADEALAAgACAAIAAgACAAVABPAEMATwBMACgAYQByAHIAYQB5AF8AMQApACwAXABuACAAIAAgACAAYQByAHIAYQB5AF8AMgAsACAAIAAgACAAIABJAEYAKABtACAAPgA9ACAAMgAsAFQATwBDAE8ATAAoAGEAcgByAGEAeQBfADIAKQAsAEYAQQBMAFMARQApACwAXABuACAAIAAgACAAYQByAHIAYQB5AF8AMwAsACAAIAAgACAAIABJAEYAKABtACAAPgA9ACAAMwAsAFQATwBDAE8ATAAoAGEAcgByAGEAeQBfADMAKQAsAEYAQQBMAFMARQApACwAXABuACAAIAAgACAAYQByAHIAYQB5AF8ANAAsACAAIAAgACAAIABJAEYAKABtACAAPQAgACAANAAsAFQATwBDAE8ATAAoAGEAcgByAGEAeQBfADQAKQAsAEYAQQBMAFMARQApACwAXABuAFwAbgAgACAAIAAgAC8ALwAgAEwAZQBuAGcAdABoACAAbwBmACAAaQBuAHAAdQB0AHMAXABuACAAIAAgACAAawCBICwAIAAgACAAIAAgACAAIAAgACAAIABSAE8AVwBTACgAYQByAHIAYQB5AF8AMQApACwAIAAgACAAawCCICwAIAAgACAAUgBPAFcAUwAoAGEAcgByAGEAeQBfADIAKQAsAFwAbgAgACAAIAAgAGsAgyAsACAAIAAgACAAIAAgACAAIAAgACAAUgBPAFcAUwAoAGEAcgByAGEAeQBfADMAKQAsACAAIAAgAGsAhCAsACAAIAAgAFIATwBXAFMAKABhAHIAcgBhAHkAXwA0ACkALABcAG4AXABuACAAIAAgACAALwAvACAATABlAG4AZwB0AGgAIABvAGYAIAB6AGkAcABcAG4AIAAgACAAIABMAFoALAAgACAAIAAgACAAIAAgACAAIAAgAEMASABPAE8AUwBFACgAbQAsAGsAgSAsAFwAbgAgACAAIAAgACAAIAAgACAAIAAgACAAIAAgACAAIAAgACAAIAAgACAAIAAgACAAIAAgACAAZgBuALsDKABrAIEgLABrAIIgKQAsAFwAbgAgACAAIAAgACAAIAAgACAAIAAgACAAIAAgACAAIAAgACAAIAAgACAAIAAgACAAIAAgACAAZgBuALsDKABrAIEgLABrAIIgLABrAIMgKQAsAFwAbgAgACAAIAAgACAAIAAgACAAIAAgACAAIAAgACAAIAAgACAAIAAgACAAIAAgACAAIAAgACAAZgBuALsDKABrAIEgLABrAIIgLABrAIMgLABrAIQgKQApACwAXABuAFwAbgAgACAAIAAgAC8ALwAgAEEAcgByAGEAeQBzACAALQAgAG4AbwByAG0AYQBsAGkAegBlAGQAIABmAG8AcgAgAHoAaQBwACAAbQBvAGQAZQBcAG4AIAAgACAAIABOAG8AcgBtAGEAbABpAHoAZQC7AywAIAAgAEwAQQBNAEIARABBACgAYQByAHIAYQB5ACwAXABuACAAIAAgACAAIAAgACAAIAAgACAAIAAgACAAIAAgACAAIAAgACAAIAAgACAAIAAgAEkARgAoAFoAaQBwAEwAbwBuAGcAPwAsAEUAWABQAEEATgBEACgAYQByAHIAYQB5ACwATABaACwALABmAGkAbABsAF8AdgBhAGwAdQBlACkALABcAG4AIAAgACAAIAAgACAAIAAgACAAIAAgACAAIAAgACAAIAAgACAAIAAgACAAIAAgACAAIAAgACAAIAAgACAAIAAgACAAIAAgAFQAQQBLAEUAKABhAHIAcgBhAHkALABMAFoAKQApACkALABcAG4AXABuACAAIAAgACAAYQAsACAAIAAgACAAIAAgACAAIAAgACAAIABOAG8AcgBtAGEAbABpAHoAZQC7AygAYQByAHIAYQB5AF8AMQApACwAXABuACAAIAAgACAAYgAsACAAIAAgACAAIAAgACAAIAAgACAAIABOAG8AcgBtAGEAbABpAHoAZQC7AygAYQByAHIAYQB5AF8AMgApACwAXABuACAAIAAgACAAYwAsACAAIAAgACAAIAAgACAAIAAgACAAIABOAG8AcgBtAGEAbABpAHoAZQC7AygAYQByAHIAYQB5AF8AMwApACwAXABuACAAIAAgACAAZAAsACAAIAAgACAAIAAgACAAIAAgACAAIABOAG8AcgBtAGEAbABpAHoAZQC7AygAYQByAHIAYQB5AF8ANAApACwAXABuACAAIAAgACAAXABuACAAIAAgACAALwAvACAAQQByAHIAYQBuAGcAZQBtAGUAbgB0AFwAbgAgACAAIAAgAHoAaQBwAHAAZQBkACwAIAAgACAAIAAgACAAQwBIAE8ATwBTAEUAKABtACwAYQAsAFwAbgAgACAAIAAgACAAIAAgACAAIAAgACAAIAAgACAAIAAgACAAIAAgACAAIAAgACAAIAAgACAAIABIAFMAVABBAEMASwAoAGEALABiACkALABcAG4AIAAgACAAIAAgACAAIAAgACAAIAAgACAAIAAgACAAIAAgACAAIAAgACAAIAAgACAAIAAgACAASABTAFQAQQBDAEsAKABhACwAYgAsAGMAKQAsAFwAbgAgACAAIAAgACAAIAAgACAAIAAgACAAIAAgACAAIAAgACAAIAAgACAAIAAgACAAIAAgACAAIABIAFMAVABBAEMASwAoAGEALABiACwAYwAsAGQAKQApACwAXABuACAAIAAgACAAegBpAHAAcABlAGQAXABuACkAKQA7AFwAbgBcAG4AXABuAFwAbgAvACoAIABbAFMAQQAxADMAXQAgAC0ALQAtAC0ALQAtAC0ALQAtAC0ALQAtAC0ALQAtAC0ALQAtAC0ALQAtAC0ALQAtAC0ALQAtAC0ALQAtAC0ALQAtAC0ALQAtAC0ALQAtAC0ALQAtAC0ALQAtAC0ALQAtAC0ALQAtAC0ALQAtAC0ALQAtAC0ALQAtAC0ALQAtAC0ALQAtAC0ALQAtAC0ALQAtAC0AXABuAEYAdQBuAGMAdABpAG8AbgA6ACAAIAAgACAAIABTAGwAaQBjAGUAQgB5AEQAZQBnALsDXABuAEMAYQB0AGUAZwBvAHIAeQA6ACAAIAAgACAAIAAyAEQAIABBAHIAcgBhAHkAIABTAGgAYQBwAGkAbgBnAFwAbgBBAHUAdABoAG8AcgA6ACAAIAAgACAAIAAgACAAUABhAHQAcgBpAGMAawAgAEgALgBcAG4AVgBlAHIAcwBpAG8AbgA6ACAAIAAgACAAIAAgADEALgAxAFwAbgBEAGUAcABlAG4AZABlAG4AYwBpAGUAcwA6ACAARABHAHIAaQBkALsDLAAgAEQAZQBsAGUAdABlAFcAaABlAHIAZQC7A1wAbgBcAG4ARABlAHMAYwByAGkAcAB0AGkAbwBuADoAXABuACAAIAAgACAARQB4AHQAcgBhAGMAdABzACAAYQBuACAAYQBuAGcAdQBsAGEAcgAgAHMAbABpAGMAZQAgAGYAcgBvAG0AIABhACAAMgBEACAAYQByAHIAYQB5ACAAdQBzAGkAbgBnACAAZABlAGcAcgBlAGUAIABiAG8AdQBuAGQAcwAgAGkAbgAgAGEAIAAwALAAIAAtACAAMwA2ADAAsABcAG4AIAAgACAAIABjAGkAcgBjAHUAbABhAHIAIABzAHkAcwB0AGUAbQAuACAAVABoAGUAIABzAGwAaQBjAGUAIABwAHIAZQBzAGUAcgB2AGUAcwAgAHQAaABlACAAbwByAGkAZwBpAG4AYQBsACAAZwBlAG8AbQBlAHQAcgB5AC4AIABJAGYAIABtAGEAeABfAGQAZQBnAHIAZQBlACAAaQBzAFwAbgAgACAAIAAgAG8AbQBpAHQAdABlAGQALAAgAGkAdAAgAGQAZQBmAGEAdQBsAHQAcwAgAHQAbwAgADMANgAwALAALgBcAG4AXABuACAAIAAgACAAVwByAGEAcAARIGEAcgBvAHUAbgBkACAAaQBzACAAcwB1AHAAcABvAHIAdABlAGQAOgBcAG4AIAAgACAAIAAgACAAIAAgACIgIABJAGYAIABtAGkAbgBfAGQAZQBnAHIAZQBlACAAPAA9ACAAbQBhAHgAXwBkAGUAZwByAGUAZQA6AFwAbgAgACAAIAAgACAAIAAgACAAIAAgACAAIAAgACAAcwBsAGkAYwBlACAAPQAgAFsAbQBpAG4AXwBkAGUAZwByAGUAZQAsACAAbQBhAHgAXwBkAGUAZwByAGUAZQBdAFwAbgAgACAAIAAgACAAIAAgACAAIiAgAEkAZgAgAG0AaQBuAF8AZABlAGcAcgBlAGUAIAA+ACAAbQBhAHgAXwBkAGUAZwByAGUAZQA6AFwAbgAgACAAIAAgACAAIAAgACAAIAAgACAAIAAgACAAcwBsAGkAYwBlACAAYwByAG8AcwBzAGUAcwAgADMANgAwALAAIACSISAAMACwACAAYQBuAGQAIABpAG4AYwBsAHUAZABlAHMAOgBcAG4AIAAgACAAIAAgACAAIAAgACAAIAAgACAAIAAgACAAIAAgACAAYQBuAGcAbABlAHMAIAA+AD0AIABtAGkAbgBfAGQAZQBnAHIAZQBlACAAIABPAFIAIAAgAGEAbgBnAGwAZQBzACAAPAA9ACAAbQBhAHgAXwBkAGUAZwByAGUAZQBcAG4AXABuACAAIAAgACAAVgBhAGwAdQBlAHMAIABvAHUAdABzAGkAZABlACAAdABoAGUAIABzAGwAaQBjAGUAIABhAHIAZQAgAHIAZQBwAGwAYQBjAGUAZAAgAHcAaQB0AGgAIABmAGkAbABsAF8AdgBhAGwAdQBlACAAKABkAGUAZgBhAHUAbAB0ACAAPQAgAFwAIgBcACIAKQAuAFwAbgBcAG4AUABhAHIAYQBtAGUAdABlAHIAcwA6AFwAbgAgACAAIAAgAGcAcgBpAGQAIAAgACAAIAAgACAAIAAgACAAIAAtACAAMgBEACAAYQByAHIAYQB5ACAAdABvACAAcwBsAGkAYwBlAC4AXABuACAAIAAgACAAbQBpAG4AXwBkAGUAZwByAGUAZQAgACAAIAAgAC0AIABTAHQAYQByAHQAaQBuAGcAIABkAGUAZwByAGUAZQAgACgAMAAtADMANgAwACkALgBcAG4AXABuAE8AcAB0AGkAbwBuAGEAbAA6AFwAbgAgACAAIAAgAFsAbQBhAHgAXwBkAGUAZwByAGUAZQBdACAAIAAtACAARQBuAGQAaQBuAGcAIABkAGUAZwByAGUAZQAgACgAZABlAGYAYQB1AGwAdAAgAD0AIAAzADYAMAApAC4AXABuACAAIAAgACAAWwBmAGkAbABsAF8AdgBhAGwAdQBlAF0AIAAgAC0AIABGAGkAbABsACAAdgBhAGwAdQBlACAAZgBvAHIAIABvAHUAdAARIG8AZgARIHMAbABpAGMAZQAgAGMAZQBsAGwAcwAgACgAZABlAGYAYQB1AGwAdAAgAD0AIABcACIAXAAiACkALgBcAG4AXABuAE4AbwB0AGUAcwA6AFwAbgAgACAAIAAgACIgIABVAHMAZQBzACAARABHAHIAaQBkALsDIAB0AG8AIABjAG8AbQBwAHUAdABlACAAcABlAHIAESBjAGUAbABsACAAYQBuAGcAbABlAHMALgBcAG4AIAAgACAAIAAiICAARABlAGwAZQB0AGUAVwBoAGUAcgBlALsDIAByAGUAbQBvAHYAZQBzACAATgBBACgAKQAgAHcAaABpAGwAZQAgAHAAcgBlAHMAZQByAHYAaQBuAGcAIABzAGgAYQBwAGUALgBcAG4ALQAtAC0ALQAtAC0ALQAtAC0ALQAtAC0ALQAtAC0ALQAtAC0ALQAtAC0ALQAtAC0ALQAtAC0ALQAtAC0ALQAtAC0ALQAtAC0ALQAtAC0ALQAtAC0ALQAtAC0ALQAtAC0ALQAtAC0ALQAtAC0ALQAtAC0ALQAtAC0ALQAtAC0ALQAtAC0ALQAtAC0ALQAtAC0ALQAtAC0ALQAtAC0AKgAvAFwAbgBcAG4AUwBsAGkAYwBlAEIAeQBEAGUAZwC7AyAAPQBcAG4ATABBAE0AQgBEAEEAKABcAG4AIAAgACAAIABnAHIAaQBkACwAXABuACAAIAAgACAAbQBpAG4AXwBkAGUAZwByAGUAZQAsAFwAbgAgACAAIAAgAFsAbQBhAHgAXwBkAGUAZwByAGUAZQBdACwAXABuACAAIAAgACAAWwBmAGkAbABsAF8AdgBhAGwAdQBlAF0ALABcAG4ATABFAFQAKABcAG4AIAAgACAAIAAvAC8AIABPAHAAdABpAG8AbgBhAGwAIABwAGEAcgBhAG0AZQB0AGUAcgBzAFwAbgAgACAAIAAgAG0AYQB4AF8AZABlAGcAcgBlAGUALAAgACAAIAAgACAASQBGACgASQBTAE8ATQBJAFQAVABFAEQAKABtAGEAeABfAGQAZQBnAHIAZQBlACkALAAgADMANgAwACwAIABtAGEAeABfAGQAZQBnAHIAZQBlACkALABcAG4AIAAgACAAIABmAGkAbABsAF8AdgBhAGwAdQBlACwAIAAgACAAIAAgAEkARgAoAEkAUwBPAE0ASQBUAFQARQBEACgAZgBpAGwAbABfAHYAYQBsAHUAZQApACwAIABcACIAXAAiACwAIABmAGkAbABsAF8AdgBhAGwAdQBlACkALABcAG4AXABuACAAIAAgACAALwAvACAAVgBhAGwAaQBkAGEAdABpAG8AbgBcAG4AIAAgACAAIABJAG4AdgBhAGwAaQBkAEQAZQBnAD8ALAAgACAAIAAgAE8AUgAoAEkAUwBUAEUAWABUACgAbQBpAG4AXwBkAGUAZwByAGUAZQApACwAXABuACAAIAAgACAAIAAgACAAIAAgACAAIAAgACAAIAAgACAAIAAgACAAIAAgACAAIABJAFMAVABFAFgAVAAoAG0AYQB4AF8AZABlAGcAcgBlAGUAKQAsAFwAbgAgACAAIAAgACAAIAAgACAAIAAgACAAIAAgACAAIAAgACAAIAAgACAAIAAgACAAbQBpAG4AXwBkAGUAZwByAGUAZQAgADwAIAAwACwAIABtAGkAbgBfAGQAZQBnAHIAZQBlACAAPgAgADMANgAwACwAXABuACAAIAAgACAAIAAgACAAIAAgACAAIAAgACAAIAAgACAAIAAgACAAIAAgACAAIABtAGEAeABfAGQAZQBnAHIAZQBlACAAPAAgADAALAAgAG0AYQB4AF8AZABlAGcAcgBlAGUAIAA+ACAAMwA2ADAAKQAsAFwAbgBcAG4AIAAgACAAIABJAEYAKABJAG4AdgBhAGwAaQBkAEQAZQBnAD8ALAAgAFwAIgAjAEQARQBHAFIARQBFACEAXAAiACwAXABuAFwAbgBMAEUAVAAoAFwAbgAgACAAIAAgAC8ALwAgAEEAbgBnAGwAZQAgAGYAaQBlAGwAZAAgACgAMAATIDMANgAwACkAXABuACAAIAAgACAAZAAsACAAIAAgACAAIAAgACAAIAAgACAAIAAgACAAIABEAEcAcgBpAGQAuwMoAGcAcgBpAGQAKQAsAFwAbgBcAG4AIAAgACAAIAAvAC8AIABXAHIAYQBwABEgYQB3AGEAcgBlACAAbQBhAHMAawBcAG4AIAAgACAAIABtAGEAcwBrACwAIAAgACAAIAAgACAAIAAgACAAIAAgAEkARgAoAG0AaQBuAF8AZABlAGcAcgBlAGUAIAA8AD0AIABtAGEAeABfAGQAZQBnAHIAZQBlACwAXABuACAAIAAgACAAIAAgACAAIAAgACAAIAAgACAAIAAgACAAIAAgACAAIAAgACAAIAAgACgAZAAgAD4APQAgAG0AaQBuAF8AZABlAGcAcgBlAGUAKQAgACoAIAAoAGQAIAA8AD0AIABtAGEAeABfAGQAZQBnAHIAZQBlACkALABcAG4AIAAgACAAIAAgACAAIAAgACAAIAAgACAAIAAgACAAIAAgACAAIAAgACAAIAAgACAAKABkACAAPgA9ACAAbQBpAG4AXwBkAGUAZwByAGUAZQApACAAKwAgACgAZAAgADwAPQAgAG0AYQB4AF8AZABlAGcAcgBlAGUAKQApACwAXABuAFwAbgAgACAAIAAgAC8ALwAgAEEAcABwAGwAeQAgAG0AYQBzAGsAXABuACAAIAAgACAAbQBhAHMAawBlAGQALAAgACAAIAAgACAAIAAgACAAIABJAEYAKABtAGEAcwBrACwAIABnAHIAaQBkACwAIABOAEEAKAApACkALABcAG4AXABuACAAIAAgACAALwAvACAAUgBlAG0AbwB2AGUAIABOAEEAIABiAHUAdAAgAHAAcgBlAHMAZQByAHYAZQAgAHMAaABhAHAAZQBcAG4AIAAgACAAIABjAGwAZQBhAG4AZQBkACwAIAAgACAAIAAgACAAIAAgAEQAZQBsAGUAdABlAFcAaABlAHIAZQC7AygAbQBhAHMAawBlAGQALAAgAEwAQQBNAEIARABBACgAdgAsACAAQQBOAEQAKABJAFMATgBBACgAdgApACkAKQApACwAXABuAFwAbgAgACAAIAAgAC8ALwAgAFIAZQBwAGwAYQBjAGUAIAByAGUAbQBvAHYAZQBkACAAdgBhAGwAdQBlAHMAIAB3AGkAdABoACAAZgBpAGwAbABfAHYAYQBsAHUAZQBcAG4AIAAgACAAIAByAGUAcwB1AGwAdAAsACAAIAAgACAAIAAgACAAIAAgAEkARgBOAEEAKABjAGwAZQBhAG4AZQBkACwAIABmAGkAbABsAF8AdgBhAGwAdQBlACkALABcAG4AXABuACAAIAAgACAAcgBlAHMAdQBsAHQAXABuACkAKQApACkAOwBcAG4AXABuAFwAbgBcAG4ALwAqACAAWwBTAEEAMQA0AF0AIAAtAC0ALQAtAC0ALQAtAC0ALQAtAC0ALQAtAC0ALQAtAC0ALQAtAC0ALQAtAC0ALQAtAC0ALQAtAC0ALQAtAC0ALQAtAC0ALQAtAC0ALQAtAC0ALQAtAC0ALQAtAC0ALQAtAC0ALQAtAC0ALQAtAC0ALQAtAC0ALQAtAC0ALQAtAC0ALQAtAC0ALQAtAC0ALQAtAFwAbgBGAHUAbgBjAHQAaQBvAG4AOgAgACAAIAAgACAAUABhAGQAuwNcAG4AQwBhAHQAZQBnAG8AcgB5ADoAIAAgACAAIAAgADIARAAgAEEAcgByAGEAeQAgAFMAaABhAHAAaQBuAGcAXABuAEEAdQB0AGgAbwByADoAIAAgACAAIAAgACAAIABQAGEAdAByAGkAYwBrACAASAAuAFwAbgBWAGUAcgBzAGkAbwBuADoAIAAgACAAIAAgACAAMQAuADEAXABuAEQAZQBwAGUAbgBkAGUAbgBjAGkAZQBzADoAIABJAG4AcwB1AGwAYQB0AGUAUgBvAHcAcwC7AywAIABJAG4AcwB1AGwAYQB0AGUAQwBvAGwAcwC7A1wAbgBcAG4ARABlAHMAYwByAGkAcAB0AGkAbwBuADoAXABuACAAIAAgACAAQQBwAHAAbABpAGUAcwAgAHIAbwB3ACAAYQBuAGQALwBvAHIAIABjAG8AbAB1AG0AbgAgAHAAYQBkAGQAaQBuAGcAIAB0AG8AIABhAG4AeQAgAGEAcgByAGEAeQAuACAAUABhAGQAuwMgAGcAZQBuAGUAcgBhAGwAaQB6AGUAcwAgAHQAaABlACAAYgBlAGgAYQB2AGkAbwByAFwAbgAgACAAIAAgAG8AZgAgAEkAbgBzAHUAbABhAHQAZQBSAG8AdwBzALsDIABhAG4AZAAgAEkAbgBzAHUAbABhAHQAZQBDAG8AbABzALsDIABiAHkAIABhAGwAbABvAHcAaQBuAGcAIABhAGwAbAAgAGYAbwB1AHIAIABzAGkAZABlAHMAIABvAGYAIABhAG4AIABhAHIAcgBhAHkAIAB0AG8AXABuACAAIAAgACAAYgBlACAAcABhAGQAZABlAGQAIABpAG4AIABhACAAcwBpAG4AZwBsAGUAIABvAHAAZQByAGEAdABpAG8AbgAuACAAUABhAGQAZABpAG4AZwAgAGMAbwB1AG4AdABzACAAbQBhAHkAIABiAGUAIABzAHUAcABwAGwAaQBlAGQAIABpAG4AZABlAHAAZQBuAGQAZQBuAHQAbAB5AFwAbgAgACAAIAAgAG8AcgAgAG8AbQBpAHQAdABlAGQAIABmAG8AcgAgAGMAbwBuAHYAZQBuAGkAZQBuAGMAZQAuAFwAbgBcAG4AUABhAHIAYQBtAGUAdABlAHIAcwA6AFwAbgAgACAAIAAgAGEAcgByAGEAeQAgACAAIAAgACAAIAAgACAAIAAgAC0AIABJAG4AcAB1AHQAIABhAHIAcgBhAHkAIAAoAHMAYwBhAGwAYQByACwAIAAxAEQALAAgAG8AcgAgADIARAApAC4AXABuACAAIAAgACAAcgBvAHcAcwBfAGIAZQBmAG8AcgBlACAAIAAgACAALQAgAFIAbwB3AHMAIAB0AG8AIABwAGEAZAAgAGEAYgBvAHYAZQAgAHQAaABlACAAYQByAHIAYQB5AC4AXABuAFwAbgBPAHAAdABpAG8AbgBhAGwAOgBcAG4AIAAgACAAIABbAHIAbwB3AHMAXwBhAGYAdABlAHIAXQAgACAAIAAtACAAUgBvAHcAcwAgAHQAbwAgAHAAYQBkACAAYgBlAGwAbwB3ACAAKABkAGUAZgBhAHUAbAB0AHMAIAB0AG8AIAByAG8AdwBzAF8AYgBlAGYAbwByAGUAKQAuAFwAbgAgACAAIAAgAFsAYwBvAGwAcwBfAGIAZQBmAG8AcgBlAF0AIAAgAC0AIABDAG8AbAB1AG0AbgBzACAAdABvACAAcABhAGQAIABsAGUAZgB0ACAAKABkAGUAZgBhAHUAbAB0AHMAIAB0AG8AIAByAG8AdwBzAF8AYgBlAGYAbwByAGUAKQAuAFwAbgAgACAAIAAgAFsAYwBvAGwAcwBfAGEAZgB0AGUAcgBdACAAIAAgAC0AIABDAG8AbAB1AG0AbgBzACAAdABvACAAcABhAGQAIAByAGkAZwBoAHQAIAAoAGQAZQBmAGEAdQBsAHQAcwAgAHQAbwAgAHIAbwB3AHMAXwBiAGUAZgBvAHIAZQApAC4AXABuACAAIAAgACAAWwBwAGEAZABfAHcAaQB0AGgAXQAgACAAIAAgACAALQAgAFMAYwBhAGwAYQByACAAcABhAGQAZABpAG4AZwAgAHYAYQBsAHUAZQAgACgAZABlAGYAYQB1AGwAdAAgAD0AIABcACIAXAAiACkALgBcAG4AXABuAE4AbwB0AGUAcwA6AFwAbgAgACAAIAAgACIgIABBAG4AeQAgAG8AbQBpAHQAdABlAGQAIABwAGEAZABkAGkAbgBnACAAYwBvAHUAbgB0ACAAZABlAGYAYQB1AGwAdABzACAAdABvACAAcgBvAHcAcwBfAGIAZQBmAG8AcgBlAFwAbgAgACAAIAAgACAAIAAoAFQAaABpAHMAIABhAGwAbABvAHcAcwAgAGYAbwByACAAZQBhAHMAeQAgAHAAYQBkAGQAaQBuAGcAOgBcAG4AIAAgACAAIAAgACAAIAAgACAAIAAgACAAIAAgACAAIAAgACAAIAAgACAAIAAgACAAIAAgACAAIAAgACAAIAAgACAAIAAgACAAPQBQAGEAZAC7AygAYQByAHIAYQB5ACwAMwApAFwAbgAgACAAIAAgACAAIAAgACAAIAAgACAAIAAgACAAIAAgACAAIAAgACAAIAAgACAAIAAgACAAIAAgACAAIAAgACAAIAAgACAAIABhAGQAZABzACAAcABhAGQAZABpAG4AZwAgAGMAbwB1AG4AdAAgAG8AZgAgADMAIABhAGwAbAAgAGEAcgBvAHUAbgBkACAAdABoAGUAIABpAG4AcAB1AHQAIABhAHIAcgBhAHkAKQBcAG4AIAAgACAAIAAiICAATgBlAGcAYQB0AGkAdgBlACAAbwByACAAdABlAHgAdAAgAHAAYQBkAGQAaQBuAGcAIABjAG8AdQBuAHQAcwAgAHIAZQB0AHUAcgBuACAAXAAiACMAVABFAFgAVAAtAFAAQQBEACEAXAAiAC4AXABuACAAIAAgACAAIiAgAEQAZQBsAGUAZwBhAHQAZQBzACAAcgBvAHcAIABwAGEAZABkAGkAbgBnACAAdABvACAASQBuAHMAdQBsAGEAdABlAFIAbwB3AHMAuwMgAGEAbgBkACAAYwBvAGwAdQBtAG4AIABwAGEAZABkAGkAbgBnACAAdABvACAASQBuAHMAdQBsAGEAdABlAEMAbwBsAHMAuwMuAFwAbgAtAC0ALQAtAC0ALQAtAC0ALQAtAC0ALQAtAC0ALQAtAC0ALQAtAC0ALQAtAC0ALQAtAC0ALQAtAC0ALQAtAC0ALQAtAC0ALQAtAC0ALQAtAC0ALQAtAC0ALQAtAC0ALQAtAC0ALQAtAC0ALQAtAC0ALQAtAC0ALQAtAC0ALQAtAC0ALQAtAC0ALQAtAC0ALQAtAC0ALQAtAC0ALQAqAC8AXABuAFwAbgBQAGEAZAC7AyAAPQBcAG4ATABBAE0AQgBEAEEAKABcAG4AIAAgACAAIABhAHIAcgBhAHkALABcAG4AIAAgACAAIAByAG8AdwBzAF8AYgBlAGYAbwByAGUALABcAG4AIAAgACAAIABbAHIAbwB3AHMAXwBhAGYAdABlAHIAXQAsAFwAbgAgACAAIAAgAFsAYwBvAGwAcwBfAGIAZQBmAG8AcgBlAF0ALABcAG4AIAAgACAAIABbAGMAbwBsAHMAXwBhAGYAdABlAHIAXQAsAFwAbgAgACAAIAAgAFsAcABhAGQAXwB3AGkAdABoAF0ALABcAG4ATABFAFQAKABcAG4AIAAgACAAIAAvAC8AIABTAGMAYQBsAGEAcgBpAHoAZQAgAGEAbgB5ACAAYQByAHIAYQB5ACAAaQBuAHAAdQB0AHMAXABuACAAIAAgACAASQC7AywAIAAgACAAIAAgACAAIAAgACAAIAAgACAAIAAgACAAIAAgAEwAQQBNAEIARABBACgAeAAsACAASQBOAEQARQBYACgAeAAsACAAMQAsACAAMQApACkALABcAG4AXABuACAAIAAgACAALwAvACAAUgBlAHMAbwBsAHYAZQAgAHAAYQBkAGQAaQBuAGcAIABjAG8AdQBuAHQAcwAgACgAbwBtAGkAdAB0AGUAZAAgAJIhIAByAG8AdwBzAF8AYgBlAGYAbwByAGUAKQBcAG4AIAAgACAAIAByAG8AdwBzAF8AYgBlAGYAbwByAGUALAAgACAAIAAgACAAIAAgACAASQC7AygAcgBvAHcAcwBfAGIAZQBmAG8AcgBlACkALABcAG4AIAAgACAAIAByAG8AdwBzAF8AYQBmAHQAZQByACwAIAAgACAAIAAgACAAIAAgACAASQC7AygASQBGACgASQBTAE8ATQBJAFQAVABFAEQAKAByAG8AdwBzAF8AYQBmAHQAZQByACkALAAgAHIAbwB3AHMAXwBiAGUAZgBvAHIAZQAsACAAcgBvAHcAcwBfAGEAZgB0AGUAcgApACkALABcAG4AIAAgACAAIABjAG8AbABzAF8AYgBlAGYAbwByAGUALAAgACAAIAAgACAAIAAgACAASQC7AygASQBGACgASQBTAE8ATQBJAFQAVABFAEQAKABjAG8AbABzAF8AYgBlAGYAbwByAGUAKQAsACAAcgBvAHcAcwBfAGIAZQBmAG8AcgBlACwAIABjAG8AbABzAF8AYgBlAGYAbwByAGUAKQApACwAXABuACAAIAAgACAAYwBvAGwAcwBfAGEAZgB0AGUAcgAsACAAIAAgACAAIAAgACAAIAAgAEkAuwMoAEkARgAoAEkAUwBPAE0ASQBUAFQARQBEACgAYwBvAGwAcwBfAGEAZgB0AGUAcgApACwAIAByAG8AdwBzAF8AYgBlAGYAbwByAGUALAAgAGMAbwBsAHMAXwBhAGYAdABlAHIAKQApACwAXABuAFwAbgAgACAAIAAgAC8ALwAgAFYAYQBsAGkAZABhAHQAZQAgAHAAYQBkAGQAaQBuAGcAIABjAG8AdQBuAHQAcwBcAG4AIAAgACAAIABJAG4AdgBhAGwAaQBkAEkAbgBzAD8ALAAgACAAIAAgACAAIAAgACAATwBSACgASQBTAFQARQBYAFQAKAByAG8AdwBzAF8AYgBlAGYAbwByAGUAKQAsAFwAbgAgACAAIAAgACAAIAAgACAAIAAgACAAIAAgACAAIAAgACAAIAAgACAAIAAgACAAIAAgACAAIABJAFMAVABFAFgAVAAoAHIAbwB3AHMAXwBhAGYAdABlAHIAKQAsAFwAbgAgACAAIAAgACAAIAAgACAAIAAgACAAIAAgACAAIAAgACAAIAAgACAAIAAgACAAIAAgACAAIABJAFMAVABFAFgAVAAoAGMAbwBsAHMAXwBiAGUAZgBvAHIAZQApACwAXABuACAAIAAgACAAIAAgACAAIAAgACAAIAAgACAAIAAgACAAIAAgACAAIAAgACAAIAAgACAAIAAgAEkAUwBUAEUAWABUACgAYwBvAGwAcwBfAGEAZgB0AGUAcgApACkALABcAG4AXABuACAAIAAgACAASQBGACgASQBuAHYAYQBsAGkAZABJAG4AcwA/ACwAIABcACIAIwBUAEUAWABUAC0AUABBAEQAIQBcACIALABcAG4AXABuAEwARQBUACgAXABuACAAIAAgACAALwAvACAAQQBwAHAAbAB5ACAAcgBvAHcAIABwAGEAZABkAGkAbgBnAFwAbgAgACAAIAAgAHAAYQBkAGQAZQBkAF8AcgBvAHcAcwAsACAAIAAgACAAIAAgACAAIABJAG4AcwB1AGwAYQB0AGUAUgBvAHcAcwC7AygAYQByAHIAYQB5ACwAIAByAG8AdwBzAF8AYgBlAGYAbwByAGUALAAgAHIAbwB3AHMAXwBhAGYAdABlAHIALAAgAHAAYQBkAF8AdwBpAHQAaAApACwAXABuAFwAbgAgACAAIAAgAC8ALwAgAEEAcABwAGwAeQAgAGMAbwBsAHUAbQBuACAAcABhAGQAZABpAG4AZwBcAG4AIAAgACAAIABwAGEAZABkAGUAZABfAGEAbABsACwAIAAgACAAIAAgACAAIAAgACAASQBuAHMAdQBsAGEAdABlAEMAbwBsAHMAuwMoAHAAYQBkAGQAZQBkAF8AcgBvAHcAcwAsACAAYwBvAGwAcwBfAGIAZQBmAG8AcgBlACwAIABjAG8AbABzAF8AYQBmAHQAZQByACwAIABwAGEAZABfAHcAaQB0AGgAKQAsAFwAbgBcAG4AIAAgACAAIABwAGEAZABkAGUAZABfAGEAbABsAFwAbgApACkAKQApADsAXABuAFwAbgBcAG4AXABuAC8AKgAgAFsAUwBBADEANQBdACAALQAtAC0ALQAtAC0ALQAtAC0ALQAtAC0ALQAtAC0ALQAtAC0ALQAtAC0ALQAtAC0ALQAtAC0ALQAtAC0ALQAtAC0ALQAtAC0ALQAtAC0ALQAtAC0ALQAtAC0ALQAtAC0ALQAtAC0ALQAtAC0ALQAtAC0ALQAtAC0ALQAtAC0ALQAtAC0ALQAtAC0ALQAtAFwAbgBGAHUAbgBjAHQAaQBvAG4AOgAgACAAIAAgACAASQBuAHMAdQBsAGEAdABlAFIAbwB3AHMAuwNcAG4AQwBhAHQAZQBnAG8AcgB5ADoAIAAgACAAIAAgADIARAAgAEEAcgByAGEAeQAgAFMAaABhAHAAaQBuAGcAIAAoAFAAYQBkAGQAaQBuAGcAKQBcAG4AQQB1AHQAaABvAHIAOgAgACAAIAAgACAAIAAgAFAAYQB0AHIAaQBjAGsAIABIAC4AXABuAFYAZQByAHMAaQBvAG4AOgAgACAAIAAgACAAIAAxAC4AMQBcAG4AXABuAEQAZQBzAGMAcgBpAHAAdABpAG8AbgA6AFwAbgAgACAAIAAgAEEAZABkAHMAIAByAG8AdwBzACAAbwBmACAAcABhAGQAZABpAG4AZwAgAGIAZQBmAG8AcgBlACAAYQBuAGQALwBvAHIAIABhAGYAdABlAHIAIABhAG4AIABpAG4AcAB1AHQAIABhAHIAcgBhAHkALgAgAEkAbgBzAHUAbABhAHQAZQBSAG8AdwBzALsDXABuACAAIAAgACAAZwBlAG4AZQByAGEAbABpAHoAZQBzACAARQBYAFAAQQBOAEQAIABiAHkAIABzAHUAcABwAG8AcgB0AGkAbgBnACAAcwB5AG0AbQBlAHQAcgBpAGMAYQBsACAAcABhAGQAZABpAG4AZwAsACAAegBlAHIAbwARIHAAYQBkAGQAaQBuAGcAIABvAG4AIABlAGkAdABoAGUAcgBcAG4AIAAgACAAIABzAGkAZABlACwAIABhAG4AZAAgAHMAYwBhAGwAYQByAGkAegBlAGQAIABwAGEAZABkAGkAbgBnACAAdgBhAGwAdQBlAHMALgBcAG4AXABuAFAAYQByAGEAbQBlAHQAZQByAHMAOgBcAG4AIAAgACAAIABhAHIAcgBhAHkAIAAgACAAIAAgACAAIAAgACAALQAgAEkAbgBwAHUAdAAgAGEAcgByAGEAeQAgACgAcwBjAGEAbABhAHIALAAgADEARAAsACAAbwByACAAMgBEACkALgBcAG4AIAAgACAAIAByAG8AdwBzAF8AYgBlAGYAbwByAGUAIAAgACAALQAgAFIAbwB3AHMAIAB0AG8AIABwAGEAZAAgAGEAYgBvAHYAZQAgAHQAaABlACAAYQByAHIAYQB5AC4AXABuAFwAbgBPAHAAdABpAG8AbgBhAGwAOgBcAG4AIAAgACAAIABbAHIAbwB3AHMAXwBhAGYAdABlAHIAXQAgACAALQAgAFIAbwB3AHMAIAB0AG8AIABwAGEAZAAgAGIAZQBsAG8AdwAgACgAZABlAGYAYQB1AGwAdABzACAAdABvACAAcgBvAHcAcwBfAGIAZQBmAG8AcgBlACkALgBcAG4AIAAgACAAIABbAHAAYQBkAF8AdwBpAHQAaABdACAAIAAgACAALQAgAFMAYwBhAGwAYQByACAAcABhAGQAZABpAG4AZwAgAHYAYQBsAHUAZQAgACgAZABlAGYAYQB1AGwAdAAgAD0AIABcACIAXAAiACkALgBcAG4AXABuAE4AbwB0AGUAcwA6AFwAbgAgACAAIAAgACIgIABJAGYAIABiAG8AdABoACAAcgBvAHcAcwBfAGIAZQBmAG8AcgBlACAAYQBuAGQAIAByAG8AdwBzAF8AYQBmAHQAZQByACAAPQAgADAALAAgAHQAaABlACAAaQBuAHAAdQB0ACAAYQByAHIAYQB5ACAAaQBzACAAcgBlAHQAdQByAG4AZQBkAC4AXABuACAAIAAgACAAIiAgAHIAbwB3AHMAXwBhAGYAdABlAHIAIABkAGUAZgBhAHUAbAB0AHMAIAB0AG8AIAByAG8AdwBzAF8AYgBlAGYAbwByAGUAIAB1AG4AbABlAHMAcwAgAGUAeABwAGwAaQBjAGkAdABsAHkAIABzAGUAdAAgAHQAbwAgADAALgBcAG4AIAAgACAAIAAiICAAcABhAGQAXwB3AGkAdABoACAAaQBzACAAcwBjAGEAbABhAHIAaQB6AGUAZAAgAHQAbwAgAGEAIAAxANcAMQAgAHYAYQBsAHUAZQAuAFwAbgAgACAAIAAgACIgIABOAGUAZwBhAHQAaQB2AGUAIABvAHIAIAB0AGUAeAB0ACAAcABhAGQAZABpAG4AZwAgAGMAbwB1AG4AdABzACAAcgBlAHQAdQByAG4AIABcACIAIwBSAE8AVwBTAC0AQgBFAEYATwBSAEUALwBBAEYAVABFAFIAIQBcACIALgBcAG4ALQAtAC0ALQAtAC0ALQAtAC0ALQAtAC0ALQAtAC0ALQAtAC0ALQAtAC0ALQAtAC0ALQAtAC0ALQAtAC0ALQAtAC0ALQAtAC0ALQAtAC0ALQAtAC0ALQAtAC0ALQAtAC0ALQAtAC0ALQAtAC0ALQAtAC0ALQAtAC0ALQAtAC0ALQAtAC0ALQAtAC0ALQAtAC0ALQAtAC0ALQAtAC0AKgAvAFwAbgBcAG4ASQBuAHMAdQBsAGEAdABlAFIAbwB3AHMAuwMgAD0AXABuAEwAQQBNAEIARABBACgAXABuACAAIAAgACAAYQByAHIAYQB5ACwAXABuACAAIAAgACAAcgBvAHcAcwBfAGIAZQBmAG8AcgBlACwAXABuACAAIAAgACAAWwByAG8AdwBzAF8AYQBmAHQAZQByAF0ALABcAG4AIAAgACAAIABbAHAAYQBkAF8AdwBpAHQAaABdACwAXABuAEwARQBUACgAXABuACAAIAAgACAALwAvACAARABpAG0AZQBuAHMAaQBvAG4AcwBcAG4AIAAgACAAIABoACwAIAAgACAAIAAgACAAIAAgACAAIAAgACAAIAAgACAAIAAgACAAUgBPAFcAUwAoAGEAcgByAGEAeQApACwAXABuACAAIAAgACAAdwAsACAAIAAgACAAIAAgACAAIAAgACAAIAAgACAAIAAgACAAIAAgAEMATwBMAFUATQBOAFMAKABhAHIAcgBhAHkAKQAsAFwAbgBcAG4AIAAgACAAIAAvAC8AIABPAHAAdABpAG8AbgBhAGwAIABwAGEAcgBhAG0AZQB0AGUAcgBzAFwAbgAgACAAIAAgAHIAbwB3AHMAXwBhAGYAdABlAHIALAAgACAAIAAgACAAIAAgACAAIABJAEYAKABJAFMATwBNAEkAVABUAEUARAAoAHIAbwB3AHMAXwBhAGYAdABlAHIAKQAsACAAcgBvAHcAcwBfAGIAZQBmAG8AcgBlACwAIAByAG8AdwBzAF8AYQBmAHQAZQByACkALABcAG4AIAAgACAAIABwAGEAZABfAHcAaQB0AGgALAAgACAAIAAgACAAIAAgACAAIAAgACAASQBOAEQARQBYACgASQBGACgASQBTAE8ATQBJAFQAVABFAEQAKABwAGEAZABfAHcAaQB0AGgAKQAsACAAXAAiAFwAIgAsACAAcABhAGQAXwB3AGkAdABoACkALAAgADEALAAgADEAKQAsAFwAbgBcAG4AIAAgACAAIAAvAC8AIABWAGEAbABpAGQAYQB0AGkAbwBuAFwAbgAgACAAIAAgAEkAbgB2AGEAbABpAGQAUABhAGQAQwBvAHUAbgB0AD8ALAAgACAAIABPAFIAKABJAFMAVABFAFgAVAAoAHIAbwB3AHMAXwBiAGUAZgBvAHIAZQApACwAXABuACAAIAAgACAAIAAgACAAIAAgACAAIAAgACAAIAAgACAAIAAgACAAIAAgACAAIAAgACAAIAAgAEkAUwBUAEUAWABUACgAcgBvAHcAcwBfAGEAZgB0AGUAcgApACwAXABuACAAIAAgACAAIAAgACAAIAAgACAAIAAgACAAIAAgACAAIAAgACAAIAAgACAAIAAgACAAIAAgAHIAbwB3AHMAXwBiAGUAZgBvAHIAZQAgADwAIAAwACwAXABuACAAIAAgACAAIAAgACAAIAAgACAAIAAgACAAIAAgACAAIAAgACAAIAAgACAAIAAgACAAIAAgAHIAbwB3AHMAXwBhAGYAdABlAHIAIAA8ACAAMAApACwAXABuAFwAbgAgACAAIAAgAC8ALwAgAE4AbwARIHAAYQBkAGQAaQBuAGcAIABzAGMAZQBuAGEAcgBpAG8AXABuACAAIAAgACAATgBvAFAAYQBkAGQAaQBuAGcAPwAsACAAIAAgACAAIAAgACAAIAAgAEEATgBEACgAcgBvAHcAcwBfAGIAZQBmAG8AcgBlACAAPQAgADAALAAgAHIAbwB3AHMAXwBhAGYAdABlAHIAIAA9ACAAMAApACwAXABuAFwAbgAvAC8AIABMAG8AZwBpAGMAIABnAGEAdABlAFwAbgAgACAAIAAgAEkARgAoAEkAbgB2AGEAbABpAGQAUABhAGQAQwBvAHUAbgB0AD8ALAAgAFwAIgAjAFIATwBXAFMALQBCAEUARgBPAFIARQAvAEEARgBUAEUAUgAhAFwAIgAsAFwAbgBcAG4AIAAgACAAIAAgACAAIAAgAEkARgAoAE4AbwBQAGEAZABkAGkAbgBnAD8ALAAgAGEAcgByAGEAeQAsAFwAbgBcAG4ATABFAFQAKABcAG4AIAAgACAAIAAvAC8AIABQAGEAZABkAGkAbgBnACAAYgBsAG8AYwBrAHMAXABuACAAIAAgACAAcABhAGQAXwBiAGUAZgBvAHIAZQAsACAAIAAgACAAIAAgACAAIAAgAEUAWABQAEEATgBEACgAcABhAGQAXwB3AGkAdABoACwAIAByAG8AdwBzAF8AYgBlAGYAbwByAGUALAAgAHcALAAgAHAAYQBkAF8AdwBpAHQAaAApACwAXABuACAAIAAgACAAcABhAGQAXwBhAGYAdABlAHIALAAgACAAIAAgACAAIAAgACAAIAAgAEUAWABQAEEATgBEACgAcABhAGQAXwB3AGkAdABoACwAIAByAG8AdwBzAF8AYQBmAHQAZQByACwAIAB3ACwAIABwAGEAZABfAHcAaQB0AGgAKQAsAFwAbgBcAG4AIAAgACAAIAAvAC8AIABTAGMAZQBuAGEAcgBpAG8AcwBcAG4AIAAgACAAIABiAGUAZgBvAHIAZQBfAG8AbgBsAHkAPwAsACAAIAAgACAAIAAgACAAQQBOAEQAKAByAG8AdwBzAF8AYgBlAGYAbwByAGUAIAA8AD4AIAAwACwAIAByAG8AdwBzAF8AYQBmAHQAZQByACAAPQAgADAAKQAsAFwAbgAgACAAIAAgAGEAZgB0AGUAcgBfAG8AbgBsAHkAPwAsACAAIAAgACAAIAAgACAAIABBAE4ARAAoAHIAbwB3AHMAXwBiAGUAZgBvAHIAZQAgAD0AIAAwACwAIAByAG8AdwBzAF8AYQBmAHQAZQByACAAPAA+ACAAMAApACwAXABuACAAIAAgACAAZgB1AGwAbAB5AF8AaQBuAHMAdQBsAGEAdABlAGQAPwAsACAAIAAgAEEATgBEACgAcgBvAHcAcwBfAGIAZQBmAG8AcgBlACAAPAA+ACAAMAAsACAAcgBvAHcAcwBfAGEAZgB0AGUAcgAgADwAPgAgADAAKQAsAFwAbgBcAG4AIAAgACAAIAAvAC8AIABTAHQAYQBuAGQAYQByAGQAIABFAFgAUABBAE4ARAAgAGYAbwByACAAYQBmAHQAZQByABEgbwBuAGwAeQAgAGMAYQBzAGUAXABuACAAIAAgACAAawAsACAAIAAgACAAIAAgACAAIAAgACAAIAAgACAAIAAgACAAIAAgAHIAbwB3AHMAXwBhAGYAdABlAHIAIAArACAAaAAsAFwAbgAgACAAIAAgAGUAeABwAGEAbgBkAF8AbwBuAGwAeQAsACAAIAAgACAAIAAgACAAIABFAFgAUABBAE4ARAAoAGEAcgByAGEAeQAsACAAawAsACAAdwAsACAAcABhAGQAXwB3AGkAdABoACkALABcAG4AXABuACAAIAAgACAALwAvACAAQQByAHIAYQBuAGcAZQBtAGUAbgB0AHMAXABuACAAIAAgACAAaQBuAHMAdQBsAGEAdABlAF8AYgBlAGYAbwByAGUALAAgACAAIAAgAFYAUwBUAEEAQwBLACgAcABhAGQAXwBiAGUAZgBvAHIAZQAsACAAYQByAHIAYQB5ACkALABcAG4AIAAgACAAIABpAG4AcwB1AGwAYQB0AGUAXwBhAGwAbAAsACAAIAAgACAAIAAgACAAVgBTAFQAQQBDAEsAKABwAGEAZABfAGIAZQBmAG8AcgBlACwAIABhAHIAcgBhAHkALAAgAHAAYQBkAF8AYQBmAHQAZQByACkALABcAG4AXABuACAAIAAgACAALwAvACAAUwBlAGwAZQBjAHQAaQBvAG4AXABuACAAIAAgACAAcgBlAHMAdQBsAHQALAAgACAAIAAgACAAIAAgACAAIAAgACAAIAAgAEkARgAoAGYAdQBsAGwAeQBfAGkAbgBzAHUAbABhAHQAZQBkAD8ALAAgAGkAbgBzAHUAbABhAHQAZQBfAGEAbABsACwAXABuACAAIAAgACAAIAAgACAAIAAgACAAIAAgACAAIAAgACAAIAAgACAAIAAgACAAIAAgACAAIAAgACAASQBGACgAYgBlAGYAbwByAGUAXwBvAG4AbAB5AD8ALAAgACAAIABpAG4AcwB1AGwAYQB0AGUAXwBiAGUAZgBvAHIAZQAsAFwAbgAgACAAIAAgACAAIAAgACAAIAAgACAAIAAgACAAIAAgACAAIAAgACAAIAAgACAAIAAgACAAIAAgACAAIAAgACAAIAAgACAAIAAgACAAIAAgACAAIAAgACAAIAAgACAAIAAgAGUAeABwAGEAbgBkAF8AbwBuAGwAeQApACkALABcAG4AXABuACAAIAAgACAAcgBlAHMAdQBsAHQAXABuACkAKQApACkAKQA7AFwAbgBcAG4AXABuAFwAbgAvACoAIABbAFMAQQAxADYAXQAgAC0ALQAtAC0ALQAtAC0ALQAtAC0ALQAtAC0ALQAtAC0ALQAtAC0ALQAtAC0ALQAtAC0ALQAtAC0ALQAtAC0ALQAtAC0ALQAtAC0ALQAtAC0ALQAtAC0ALQAtAC0ALQAtAC0ALQAtAC0ALQAtAC0ALQAtAC0ALQAtAC0ALQAtAC0ALQAtAC0ALQAtAC0ALQBcAG4ARgB1AG4AYwB0AGkAbwBuADoAIAAgACAAIAAgAEkAbgBzAHUAbABhAHQAZQBDAG8AbABzALsDXABuAEMAYQB0AGUAZwBvAHIAeQA6ACAAIAAgACAAIAAyAEQAIABBAHIAcgBhAHkAIABTAGgAYQBwAGkAbgBnACAAKABQAGEAZABkAGkAbgBnACkAXABuAEEAdQB0AGgAbwByADoAIAAgACAAIAAgACAAIABQAGEAdAByAGkAYwBrACAASAAuAFwAbgBWAGUAcgBzAGkAbwBuADoAIAAgACAAIAAgACAAMQAuADEAXABuAEQAZQBwAGUAbgBkAGUAbgBjAGkAZQBzADoAIABJAG4AcwB1AGwAYQB0AGUAUgBvAHcAcwC7A1wAbgBcAG4ARABlAHMAYwByAGkAcAB0AGkAbwBuADoAXABuACAAIAAgACAAQQBkAGQAcwAgAGMAbwBsAHUAbQBuAHMAIABvAGYAIABwAGEAZABkAGkAbgBnACAAYgBlAGYAbwByAGUAIABhAG4AZAAvAG8AcgAgAGEAZgB0AGUAcgAgAGEAbgAgAGkAbgBwAHUAdAAgAGEAcgByAGEAeQAuACAASQBuAHMAdQBsAGEAdABlAEMAbwBsAHMAuwMgAGkAcwBcAG4AIAAgACAAIAB0AGgAZQAgAGMAbwBsAHUAbQBuABEgbwByAGkAZQBuAHQAZQBkACAAYwBvAHUAbgB0AGUAcgBwAGEAcgB0ACAAdABvACAASQBuAHMAdQBsAGEAdABlAFIAbwB3AHMAuwMuACAAVABoAGUAIABhAHIAcgBhAHkAIABpAHMAIABuAG8AcgBtAGEAbABpAHoAZQBkACAAdABvAFwAbgAgACAAIAAgAHYAZQByAHQAaQBjAGEAbAAgAG8AcgBpAGUAbgB0AGEAdABpAG8AbgAsACAAcABhAGQAZABlAGQAIAB2AGkAYQAgAEkAbgBzAHUAbABhAHQAZQBSAG8AdwBzALsDLAAgAGEAbgBkACAAcgBlAHMAdABvAHIAZQBkACAAdABvACAAaQB0AHMAIABvAHIAaQBnAGkAbgBhAGwAXABuACAAIAAgACAAbwByAGkAZQBuAHQAYQB0AGkAbwBuAC4AXABuAFwAbgBQAGEAcgBhAG0AZQB0AGUAcgBzADoAXABuACAAIAAgACAAYQByAHIAYQB5ACAAIAAgACAAIAAgACAAIAAgACAAIAAgAC0AIABJAG4AcAB1AHQAIABhAHIAcgBhAHkAIAAoAHMAYwBhAGwAYQByACwAIAAxAEQALAAgAG8AcgAgADIARAApAC4AXABuACAAIAAgACAAYwBvAGwAdQBtAG4AcwBfAGIAZQBmAG8AcgBlACAAIAAgAC0AIABDAG8AbAB1AG0AbgBzACAAdABvACAAcABhAGQAIAB0AG8AIAB0AGgAZQAgAGwAZQBmAHQALgBcAG4AXABuAE8AcAB0AGkAbwBuAGEAbAA6AFwAbgAgACAAIAAgAFsAYwBvAGwAdQBtAG4AcwBfAGEAZgB0AGUAcgBdACAAIAAtACAAQwBvAGwAdQBtAG4AcwAgAHQAbwAgAHAAYQBkACAAdABvACAAdABoAGUAIAByAGkAZwBoAHQAIAAoAGQAZQBmAGEAdQBsAHQAcwAgAHQAbwAgAGMAbwBsAHUAbQBuAHMAXwBiAGUAZgBvAHIAZQApAC4AXABuACAAIAAgACAAWwBwAGEAZABfAHcAaQB0AGgAXQAgACAAIAAgACAAIAAgAC0AIABTAGMAYQBsAGEAcgAgAHAAYQBkAGQAaQBuAGcAIAB2AGEAbAB1AGUAIAAoAGQAZQBmAGEAdQBsAHQAIAA9ACAAXAAiAFwAIgApAC4AXABuAFwAbgBOAG8AdABlAHMAOgBcAG4AIAAgACAAIAAiICAASQBmACAAYgBvAHQAaAAgAGMAbwBsAHUAbQBuAHMAXwBiAGUAZgBvAHIAZQAgAGEAbgBkACAAYwBvAGwAdQBtAG4AcwBfAGEAZgB0AGUAcgAgAD0AIAAwACwAIAB0AGgAZQAgAGkAbgBwAHUAdAAgAGEAcgByAGEAeQAgAGkAcwAgAHIAZQB0AHUAcgBuAGUAZAAuAFwAbgAgACAAIAAgACIgIABjAG8AbAB1AG0AbgBzAF8AYQBmAHQAZQByACAAZABlAGYAYQB1AGwAdABzACAAdABvACAAYwBvAGwAdQBtAG4AcwBfAGIAZQBmAG8AcgBlACAAdQBuAGwAZQBzAHMAIABlAHgAcABsAGkAYwBpAHQAbAB5ACAAcwBlAHQAIAB0AG8AIAAwAC4AXABuACAAIAAgACAAIiAgAHAAYQBkAF8AdwBpAHQAaAAgAGkAcwAgAHMAYwBhAGwAYQByAGkAegBlAGQAIAB0AG8AIABhACAAMQDXADEAIAB2AGEAbAB1AGUALgBcAG4AIAAgACAAIAAiICAATgBlAGcAYQB0AGkAdgBlACAAcABhAGQAZABpAG4AZwAgAGMAbwB1AG4AdABzACAAaABhAGwAdAAgAGkAbgBzAGkAZABlACAASQBuAHMAdQBsAGEAdABlAFIAbwB3AHMAuwMuAFwAbgAtAC0ALQAtAC0ALQAtAC0ALQAtAC0ALQAtAC0ALQAtAC0ALQAtAC0ALQAtAC0ALQAtAC0ALQAtAC0ALQAtAC0ALQAtAC0ALQAtAC0ALQAtAC0ALQAtAC0ALQAtAC0ALQAtAC0ALQAtAC0ALQAtAC0ALQAtAC0ALQAtAC0ALQAtAC0ALQAtAC0ALQAtAC0ALQAtAC0ALQAtAC0ALQAqAC8AXABuAFwAbgBJAG4AcwB1AGwAYQB0AGUAQwBvAGwAcwC7AyAAPQBcAG4ATABBAE0AQgBEAEEAKABcAG4AIAAgACAAIABhAHIAcgBhAHkALABcAG4AIAAgACAAIABjAG8AbAB1AG0AbgBzAF8AYgBlAGYAbwByAGUALABcAG4AIAAgACAAIABbAGMAbwBsAHUAbQBuAHMAXwBhAGYAdABlAHIAXQAsAFwAbgAgACAAIAAgAFsAcABhAGQAXwB3AGkAdABoAF0ALABcAG4ATABFAFQAKABcAG4AIAAgACAAIAAvAC8AIABOAG8AcgBtAGEAbABpAHoAZQAgAHQAbwAgAHYAZQByAHQAaQBjAGEAbAAgAG8AcgBpAGUAbgB0AGEAdABpAG8AbgBcAG4AIAAgACAAIABhAHIAcgBhAHkAXwB2ACwAIAAgACAAIAAgACAAIAAgAFQAUgBBAE4AUwBQAE8AUwBFACgAYQByAHIAYQB5ACkALABcAG4AXABuACAAIAAgACAALwAvACAAQQBwAHAAbAB5ACAAcgBvAHcAESBwAGEAZABkAGkAbgBnACAAaQBuACAAdgBlAHIAdABpAGMAYQBsACAAcwBwAGEAYwBlAFwAbgAgACAAIAAgAHAAYQBkAGQAZQBkAF8AdgAsACAAIAAgACAAIAAgACAASQBuAHMAdQBsAGEAdABlAFIAbwB3AHMAuwMoAGEAcgByAGEAeQBfAHYALAAgAGMAbwBsAHUAbQBuAHMAXwBiAGUAZgBvAHIAZQAsACAAYwBvAGwAdQBtAG4AcwBfAGEAZgB0AGUAcgAsACAAcABhAGQAXwB3AGkAdABoACkALABcAG4AXABuACAAIAAgACAALwAvACAAUgBlAHMAdABvAHIAZQAgAG8AcgBpAGcAaQBuAGEAbAAgAG8AcgBpAGUAbgB0AGEAdABpAG8AbgBcAG4AIAAgACAAIAByAGUAcwB1AGwAdAAsACAAIAAgACAAIAAgACAAIAAgAFQAUgBBAE4AUwBQAE8AUwBFACgAcABhAGQAZABlAGQAXwB2ACkALABcAG4AXABuACAAIAAgACAAcgBlAHMAdQBsAHQAXABuACkAKQA7AFwAbgBcAG4AXABuAFwAbgAvACoAIABbAFMAQQAxADcAXQAgAC0ALQAtAC0ALQAtAC0ALQAtAC0ALQAtAC0ALQAtAC0ALQAtAC0ALQAtAC0ALQAtAC0ALQAtAC0ALQAtAC0ALQAtAC0ALQAtAC0ALQAtAC0ALQAtAC0ALQAtAC0ALQAtAC0ALQAtAC0ALQAtAC0ALQAtAC0ALQAtAC0ALQAtAC0ALQAtAC0ALQAtAC0ALQAtAC0AXABuAEYAdQBuAGMAdABpAG8AbgA6ACAAIAAgACAAIABNAGEAZwBuAGkAZgB5ALsDXABuAEMAYQB0AGUAZwBvAHIAeQA6ACAAIAAgACAAIAAyAEQAIABBAHIAcgBhAHkAIABTAGgAYQBwAGkAbgBnACAAKABJAG4AdABlAHIAcABvAGwAYQB0AGkAbwBuACkAXABuAEEAdQB0AGgAbwByADoAIAAgACAAIAAgACAAIABQAGEAdAByAGkAYwBrACAASAAuAFwAbgBWAGUAcgBzAGkAbwBuADoAIAAgACAAIAAgACAAMQAuADEAXABuAFwAbgBEAGUAcwBjAHIAaQBwAHQAaQBvAG4AOgBcAG4AIAAgACAAIABFAHgAcABhAG4AZABzACAAZQBhAGMAaAAgAGUAbABlAG0AZQBuAHQAIABvAGYAIABhAG4AIABpAG4AcAB1AHQAIABhAHIAcgBhAHkAIABpAG4AdABvACAAYQAgAGIAbABvAGMAawAgAG8AZgAgAHMAcABlAGMAaQBmAGkAZQBkACAAaABlAGkAZwBoAHQAIABhAG4AZABcAG4AIAAgACAAIAB3AGkAZAB0AGgAIAB1AHMAaQBuAGcAIABuAGUAYQByAGUAcwB0ABEgbgBlAGkAZwBoAGIAbwByACAAaQBuAHQAZQByAHAAbwBsAGEAdABpAG8AbgAuACAAUwB1AHAAcABvAHIAdABzACAAcwBjAGEAbABhAHIAcwAsACAAMQBEACAAYQByAHIAYQB5AHMALAAgAGEAbgBkAFwAbgAgACAAIAAgADIARAAgAGEAcgByAGEAeQBzAC4AXABuAFwAbgBQAGEAcgBhAG0AZQB0AGUAcgBzADoAXABuACAAIAAgACAAYQByAHIAYQB5ACAAIAAgACAAIAAgACAALQAgAEkAbgBwAHUAdAAgAGEAcgByAGEAeQAgAHQAbwAgAG0AYQBnAG4AaQBmAHkALgBcAG4AIAAgACAAIABoAGUAaQBnAGgAdAAgACAAIAAgACAAIAAtACAATgB1AG0AYgBlAHIAIABvAGYAIAByAG8AdwBzACAAZgBvAHIAIABlAGEAYwBoACAAbQBhAGcAbgBpAGYAaQBlAGQAIABlAGwAZQBtAGUAbgB0ACAAKABwAG8AcwBpAHQAaQB2AGUAIABzAGMAYQBsAGEAcgApAC4AXABuACAAIAAgACAAdwBpAGQAdABoACAAIAAgACAAIAAgACAALQAgAE4AdQBtAGIAZQByACAAbwBmACAAYwBvAGwAdQBtAG4AcwAgAGYAbwByACAAZQBhAGMAaAAgAG0AYQBnAG4AaQBmAGkAZQBkACAAZQBsAGUAbQBlAG4AdAAgACgAcABvAHMAaQB0AGkAdgBlACAAcwBjAGEAbABhAHIAKQAuAFwAbgBcAG4ATgBvAHQAZQBzADoAXABuACAAIAAgACAAIiAgAGgAZQBpAGcAaAB0ACAAYQBuAGQAIAB3AGkAZAB0AGgAIABtAHUAcwB0ACAAYgBlACAAcwBjAGEAbABhAHIALAAgAG4AdQBtAGUAcgBpAGMALAAgAGEAbgBkACAAPgAgADAALgBcAG4AIAAgACAAIAAiICAAVQBzAGUAcwAgAG4AZQBhAHIAZQBzAHQAESBuAGUAaQBnAGgAYgBvAHIAIABlAHgAcABhAG4AcwBpAG8AbgAgAHYAaQBhACAAaQBuAGQAZQB4ACAAcgBlAHAAbABpAGMAYQB0AGkAbwBuAC4AXABuAC0ALQAtAC0ALQAtAC0ALQAtAC0ALQAtAC0ALQAtAC0ALQAtAC0ALQAtAC0ALQAtAC0ALQAtAC0ALQAtAC0ALQAtAC0ALQAtAC0ALQAtAC0ALQAtAC0ALQAtAC0ALQAtAC0ALQAtAC0ALQAtAC0ALQAtAC0ALQAtAC0ALQAtAC0ALQAtAC0ALQAtAC0ALQAtAC0ALQAtAC0ALQAtACoALwBcAG4AXABuAE0AYQBnAG4AaQBmAHkAuwMgAD0AXABuAEwAQQBNAEIARABBACgAXABuACAAIAAgACAAYQByAHIAYQB5ACwAXABuACAAIAAgACAAaABlAGkAZwBoAHQALABcAG4AIAAgACAAIAB3AGkAZAB0AGgALABcAG4AXABuAC8ALwAgAEwAbwBnAGkAYwAgAGcAYQB0AGUAXABuAEkARgAoAE8AUgAoAEMATwBVAE4AVAAoAGgAZQBpAGcAaAB0ACkAIAA8AD4AIAAxACwAIABDAE8AVQBOAFQAKAB3AGkAZAB0AGgAKQAgADwAPgAgADEAKQAsAFwAIgAjAFYAQQBMAFUARQAhAFwAIgAsAFwAbgBcAG4AIAAgACAAIABJAEYAKABPAFIAKABJAFMAVABFAFgAVAAoAGgAZQBpAGcAaAB0ACkALAAgAEkAUwBUAEUAWABUACgAdwBpAGQAdABoACkAKQAsAFwAIgAjAFQARQBYAFQAIQBcACIALABcAG4AXABuACAAIAAgACAAIAAgACAAIABJAEYAKABPAFIAKABoAGUAaQBnAGgAdAAgADwAPQAgADAALAAgAHcAaQBkAHQAaAAgADwAPQAgADAAKQAsAFwAIgAjAFYAQQBMAFUARQAhAFwAIgAsAFwAbgBcAG4ATABFAFQAKABcAG4AIAAgACAAIAAvAC8AIABEAGkAbQBlAG4AcwBpAG8AbgBzACAAbwBmACAAbQBhAGcAbgBpAGYAaQBlAGQAIABvAHUAdABwAHUAdABcAG4AIAAgACAAIABpACwAIAAgACAAIAAgACAAUgBPAFcAUwAoAGEAcgByAGEAeQApACAAKgAgAGgAZQBpAGcAaAB0ACwAXABuACAAIAAgACAAagAsACAAIAAgACAAIAAgAEMATwBMAFUATQBOAFMAKABhAHIAcgBhAHkAKQAgACoAIAB3AGkAZAB0AGgALABcAG4AXABuACAAIAAgACAALwAvACAATQBlAHMAaAAgAGcAcgBpAGQAIABmAG8AcgAgAG4AZQBhAHIAZQBzAHQAESBuAGUAaQBnAGgAYgBvAHIAIAByAGUAcABsAGkAYwBhAHQAaQBvAG4AXABuACAAIAAgACAAeAAsACAAIAAgACAAIAAgAEwAQQBNAEIARABBACgASQBOAFQAKABTAEUAUQBVAEUATgBDAEUAKABpACwALAAsACAAMQAgAC8AIABoAGUAaQBnAGgAdAApACkAXABuACAAIAAgACAAIAAgACAAIAAgACAAIAAgACAAIAAgACAAIAAgACAAIAAgACAAIAAgACAAIAAgACoAIABTAEUAUQBVAEUATgBDAEUAKAAsACAAagAsACAAMQAsACAAMAApACkALABcAG4AXABuACAAIAAgACAAeQAsACAAIAAgACAAIAAgAEwAQQBNAEIARABBACgASQBOAFQAKABTAEUAUQBVAEUATgBDAEUAKAAsACAAagAsACwAIAAxACAALwAgAHcAaQBkAHQAaAApACkAXABuACAAIAAgACAAIAAgACAAIAAgACAAIAAgACAAIAAgACAAIAAgACAAIAAgACAAIAAgACAAIAAgACoAIABTAEUAUQBVAEUATgBDAEUAKABpACwALAAgADEALAAgADAAKQApACwAXABuAFwAbgAgACAAIAAgAC8ALwAgAEQAZQBmAGUAcgByAGUAZAAgAGUAdgBhAGwAdQBhAHQAaQBvAG4AXABuACAAIAAgACAAcgBlAHMAdQBsAHQALAAgAEkATgBEAEUAWAAoAGEAcgByAGEAeQAsACAAeAAoACkALAAgAHkAKAApACkALABcAG4AXABuACAAIAAgACAAcgBlAHMAdQBsAHQAXABuACkAKQApACkAKQA7AFwAbgBcAG4AXABuAFwAbgAvACoAIABbAFMAQQAxADgAXQAgAC0ALQAtAC0ALQAtAC0ALQAtAC0ALQAtAC0ALQAtAC0ALQAtAC0ALQAtAC0ALQAtAC0ALQAtAC0ALQAtAC0ALQAtAC0ALQAtAC0ALQAtAC0ALQAtAC0ALQAtAC0ALQAtAC0ALQAtAC0ALQAtAC0ALQAtAC0ALQAtAC0ALQAtAC0ALQAtAC0ALQAtAC0ALQAtAC0AXABuAEYAdQBuAGMAdABpAG8AbgA6ACAAIAAgACAAIABaAG8AbwBtALsDXABuAEMAYQB0AGUAZwBvAHIAeQA6ACAAIAAgACAAIAAyAEQAIABBAHIAcgBhAHkAIABTAGgAYQBwAGkAbgBnACAAKABLAGUAcgBuAGUAbAAgAEUAeABwAGEAbgBzAGkAbwBuACkAXABuAEEAdQB0AGgAbwByADoAIAAgACAAIAAgACAAIABQAGEAdAByAGkAYwBrACAASAAuAFwAbgBWAGUAcgBzAGkAbwBuADoAIAAgACAAIAAgACAAMQAuADEAXABuAEQAZQBwAGUAbgBkAGUAbgBjAGkAZQBzADoAIABSAGUAcwBpAHoAZQC7A1wAbgBcAG4ARABlAHMAYwByAGkAcAB0AGkAbwBuADoAXABuACAAIAAgACAARQB4AHAAYQBuAGQAcwAgAGUAYQBjAGgAIABlAGwAZQBtAGUAbgB0ACAAbwBmACAAYQBuACAAaQBuAHAAdQB0ACAAYQByAHIAYQB5ACAAaQBuAHQAbwAgAGEAIABiAGwAbwBjAGsAIAB3AGgAbwBzAGUAIABzAGkAegBlACAAbQBhAHQAYwBoAGUAcwAgAHQAaABlAFwAbgAgACAAIAAgAGgAZQBpAGcAaAB0ACAA1wAgAHcAaQBkAHQAaAAgAG8AZgAgAHoAbwBvAG0AXwBrAGUAcgBuAGUAbAAuACAARQBhAGMAaAAgAGUAeABwAGEAbgBkAGUAZAAgAGIAbABvAGMAawAgAGkAcwAgAGYAbwByAG0AZQBkACAAYgB5ACAAYQBkAGQAaQBuAGcAIAB0AGgAZQBcAG4AIAAgACAAIABlAGwAZQBtAGUAbgB0ACAAdgBhAGwAdQBlACAAdABvACAAdABoAGUAIAB6AG8AbwBtAF8AawBlAHIAbgBlAGwALgAgAEkAbgB0AGUAbgBkAGUAZAAgAHMAdAByAGkAYwB0AGwAeQAgAGYAbwByACAAbgB1AG0AZQByAGkAYwAgAGEAcgByAGEAeQBzACAAYQBuAGQAXABuACAAIAAgACAAbgB1AG0AZQByAGkAYwAgAGsAZQByAG4AZQBsAHMALgBcAG4AXABuAFAAYQByAGEAbQBlAHQAZQByAHMAOgBcAG4AIAAgACAAIABhAHIAcgBhAHkAIAAgACAAIAAgACAAIAAgAC0AIAAxAEQAIABvAHIAIAAyAEQAIABuAHUAbQBlAHIAaQBjACAAYQByAHIAYQB5ACAAKABzAGMAYQBsAGEAcgBzACAAYQBsAGwAbwB3AGUAZAApAC4AXABuACAAIAAgACAAegBvAG8AbQBfAGsAZQByAG4AZQBsACAAIAAtACAATgB1AG0AZQByAGkAYwAgAGsAZQByAG4AZQBsACAAZABlAGYAaQBuAGkAbgBnACAAZQB4AHAAYQBuAHMAaQBvAG4AIABoAGUAaQBnAGgAdAAgAGEAbgBkACAAdwBpAGQAdABoAC4AXABuAFwAbgBOAG8AdABlAHMAOgBcAG4AIAAgACAAIAAiICAAUgBlAHQAdQByAG4AcwAgAFwAIgAjAEEAUgBSAEEAWQAhAFwAIgAgAGkAZgAgAGEAbgB5ACAAYQByAHIAYQB5ACAAZQBsAGUAbQBlAG4AdABzACAAYQByAGUAIABuAG8AbgARIG4AdQBtAGUAcgBpAGMALgBcAG4AIAAgACAAIAAiICAAUgBlAHQAdQByAG4AcwAgAFwAIgAjAEsARQBSAE4ARQBMACEAXAAiACAAaQBmACAAYQBuAHkAIABrAGUAcgBuAGUAbAAgAGUAbABlAG0AZQBuAHQAcwAgAGEAcgBlACAAbgBvAG4AESBuAHUAbQBlAHIAaQBjAC4AXABuACAAIAAgACAAIiAgAEkAZgAgAHoAbwBvAG0AXwBrAGUAcgBuAGUAbAAgAGkAcwAgADEA1wAxACwAIABaAG8AbwBtALsDIAByAGUAZAB1AGMAZQBzACAAdABvACAAYQByAHIAYQB5ACAAKwAgAHMAYwBhAGwAYQByAC4AXABuAC0ALQAtAC0ALQAtAC0ALQAtAC0ALQAtAC0ALQAtAC0ALQAtAC0ALQAtAC0ALQAtAC0ALQAtAC0ALQAtAC0ALQAtAC0ALQAtAC0ALQAtAC0ALQAtAC0ALQAtAC0ALQAtAC0ALQAtAC0ALQAtAC0ALQAtAC0ALQAtAC0ALQAtAC0ALQAtAC0ALQAtAC0ALQAtAC0ALQAtAC0ALQAtACoALwBcAG4AXABuAFoAbwBvAG0AuwMgAD0AXABuAEwAQQBNAEIARABBACgAXABuACAAIAAgACAAYQByAHIAYQB5ACwAXABuACAAIAAgACAAegBvAG8AbQBfAGsAZQByAG4AZQBsACwAXABuAEwARQBUACgAXABuACAAIAAgACAALwAvACAASwBlAHIAbgBlAGwAIABkAGkAbQBlAG4AcwBpAG8AbgBzAFwAbgAgACAAIAAgAGgAZQBpAGcAaAB0ACwAIAAgACAAIAAgACAAIAAgACAAIAAgACAAIABSAE8AVwBTACgAegBvAG8AbQBfAGsAZQByAG4AZQBsACkALABcAG4AIAAgACAAIAB3AGkAZAB0AGgALAAgACAAIAAgACAAIAAgACAAIAAgACAAIAAgACAAQwBPAEwAVQBNAE4AUwAoAHoAbwBvAG0AXwBrAGUAcgBuAGUAbAApACwAXABuAFwAbgAgACAAIAAgAC8ALwAgAFMAYwBlAG4AYQByAGkAbwBzAFwAbgAgACAAIAAgAEkAcwBUAGUAeAB0AEsAZQByAG4AZQBsAD8ALAAgACAAIAAgACAAIABPAFIAKABJAFMAVABFAFgAVAAoAHoAbwBvAG0AXwBrAGUAcgBuAGUAbAApACkALABcAG4AIAAgACAAIABJAHMAVABlAHgAdABBAHIAcgBhAHkAPwAsACAAIAAgACAAIAAgACAATwBSACgASQBTAFQARQBYAFQAKABhAHIAcgBhAHkAKQApACwAXABuACAAIAAgACAASQBzAFMAYwBhAGwAYQByAEsAZQByAG4AZQBsAD8ALAAgACAAIAAgAEEATgBEACgAaABlAGkAZwBoAHQAIAA9ACAAMQAsACAAdwBpAGQAdABoACAAPQAgADEAKQAsAFwAbgBcAG4ALwAvACAATABvAGcAaQBjACAAZwBhAHQAZQBcAG4AIAAgACAAIABJAEYAKABJAHMAVABlAHgAdABLAGUAcgBuAGUAbAA/ACwAIABcACIAIwBLAEUAUgBOAEUATAAhAFwAIgAsAFwAbgBcAG4AIAAgACAAIAAgACAAIAAgAEkARgAoAEkAcwBUAGUAeAB0AEEAcgByAGEAeQA/ACwAIABcACIAIwBBAFIAUgBBAFkAIQBcACIALABcAG4AXABuACAAIAAgACAAIAAgACAAIAAgACAAIAAgAEkARgAoAEkAcwBTAGMAYQBsAGEAcgBLAGUAcgBuAGUAbAA/ACwAIABhAHIAcgBhAHkAIAArACAAegBvAG8AbQBfAGsAZQByAG4AZQBsACwAXABuAFwAbgBMAEUAVAAoAFwAbgAgACAAIAAgAC8ALwAgAE8AdQB0AHAAdQB0ACAAZABpAG0AZQBuAHMAaQBvAG4AcwBcAG4AIAAgACAAIABpACwAIAAgACAAIAAgACAAIAAgACAAIABSAE8AVwBTACgAYQByAHIAYQB5ACkAIAAqACAAaABlAGkAZwBoAHQALABcAG4AIAAgACAAIABqACwAIAAgACAAIAAgACAAIAAgACAAIABDAE8ATABVAE0ATgBTACgAYQByAHIAYQB5ACkAIAAqACAAdwBpAGQAdABoACwAXABuAFwAbgAgACAAIAAgAC8ALwAgAE0AZQBzAGgAIABnAHIAaQBkACAAZgBvAHIAIABuAGUAYQByAGUAcwB0ABEgbgBlAGkAZwBoAGIAbwByACAAZQB4AHAAYQBuAHMAaQBvAG4AXABuACAAIAAgACAAeAAsACAAIAAgACAAIAAgACAAIAAgACAATABBAE0AQgBEAEEAKABJAE4AVAAoAFMARQBRAFUARQBOAEMARQAoAGkALAAsACwAIAAxACAALwAgAGgAZQBpAGcAaAB0ACkAKQBcAG4AIAAgACAAIAAgACAAIAAgACAAIAAgACAAIAAgACAAIAAgACAAIAAgACoAIABTAEUAUQBVAEUATgBDAEUAKAAsACAAagAsACAAMQAsACAAMAApACkALABcAG4AXABuACAAIAAgACAAeQAsACAAIAAgACAAIAAgACAAIAAgACAATABBAE0AQgBEAEEAKABJAE4AVAAoAFMARQBRAFUARQBOAEMARQAoACwAIABqACwALAAgADEAIAAvACAAdwBpAGQAdABoACkAKQBcAG4AIAAgACAAIAAgACAAIAAgACAAIAAgACAAIAAgACAAIAAgACAAIAAgACoAIABTAEUAUQBVAEUATgBDAEUAKABpACwALAAgADEALAAgADAAKQApACwAXABuAFwAbgAgACAAIAAgAC8ALwAgAEUAeABwAGEAbgBkAGUAZAAgAGEAcgByAGEAeQAgACgAbgBlAGEAcgBlAHMAdAARIG4AZQBpAGcAaABiAG8AcgApAFwAbgAgACAAIAAgAHoAbwBvAG0AZQBkACwAIAAgACAAIAAgAEwAQQBNAEIARABBACgASQBOAEQARQBYACgAYQByAHIAYQB5ACwAIAB4ACgAKQAsACAAeQAoACkAKQApACwAXABuAFwAbgAgACAAIAAgAC8ALwAgAFIAZQBzAGkAegBlACAAawBlAHIAbgBlAGwAIAB0AG8AIABtAGEAdABjAGgAIAB6AG8AbwBtAGUAZAAgAGIAbABvAGMAawAgAHMAdAByAHUAYwB0AHUAcgBlAFwAbgAgACAAIAAgAGgALAAgACAAIAAgACAAIAAgACAAIAAgAFIATwBXAFMAKAB6AG8AbwBtAGUAZAAoACkAKQAgAC8AIABoAGUAaQBnAGgAdAAsAFwAbgAgACAAIAAgAHcALAAgACAAIAAgACAAIAAgACAAIAAgAEMATwBMAFUATQBOAFMAKAB6AG8AbwBtAGUAZAAoACkAKQAgAC8AIAB3AGkAZAB0AGgALABcAG4AIAAgACAAIABrAGUAcgBuAGUAbABfAG0AYQBnACwAIABSAGUAcwBpAHoAZQC7AygAegBvAG8AbQBfAGsAZQByAG4AZQBsACwAIABoACwAIAB3ACkALABcAG4AXABuACAAIAAgACAALwAvACAARgBpAG4AYQBsACAAegBvAG8AbQBlAGQAIABvAHUAdABwAHUAdABcAG4AIAAgACAAIAByAGUAcwB1AGwAdAAsACAAIAAgACAAIAAgACAAIAAgACAAIAAgACAAegBvAG8AbQBlAGQAKAApACAAKwAgAGsAZQByAG4AZQBsAF8AbQBhAGcALABcAG4AXABuACAAIAAgACAAcgBlAHMAdQBsAHQAXABuACkAKQApACkAKQApADsAXABuAFwAbgBcAG4AXABuAC8ALwAgAFsARwBBAF0AIAAtAC0ALQAtAC0ALQAtAC0ALQAtAC0ALQAtAC0ALQAtAC0ALQAtAC0ALQAtAC0ALQAtAC0ALQAtAC0ALQAtAC0ALQAtAC0ALQAtAC0ALQAtAC0ALQAtAC0ALQAtAC0ALQAtAC0ALQAtAC0ALQAtAC0ALQAtAC0ALQAtAC0ALQAtAC0ALQAtAC0ALQAtAC0ALQAtAC0ALQAtAC0AXABuAC8ALwAgAC0ALQAtACMAIwAgADAANAAgAC0AIABHAHIAaQBkACAAQQBsAGcAZQBiAHIAYQBcAG4ALwAvACAALQAtAC0ALQAtAC0ALQAtAC0ALQAtAC0ALQAtAC0ALQAtAC0ALQAtAC0ALQAtAC0ALQAtAC0ALQAtAC0ALQAtAC0ALQAtAC0ALQAtAC0ALQAtAC0ALQAtAC0ALQAtAC0ALQAtAC0ALQAtAC0ALQAtAC0ALQAtAC0ALQAtAC0ALQAtAC0ALQAtAC0ALQAtAC0ALQAtAC0ALQAtAFwAbgBcAG4ALwAqAFwAbgBEAGUAcwBjAHIAaQBwAHQAaQBvAG4AOgBcAG4AIAAgACAAIABHAHIAaQBkACAAQQBsAGcAZQBiAHIAYQAgAGYAdQBuAGMAdABpAG8AbgBzACAAcAByAG8AdgBpAGQAZQAgAGEAIAB0AG8AbwBsAGsAaQB0ACAAZgBvAHIAIABzAHQAcgB1AGMAdAB1AHIAYQBsACAAZQBkAGkAdABpAG4AZwAgAG8AZgBcAG4AIAAgACAAIAAyAEQAIABhAHIAcgBhAHkAcwAuACAAVABoAGUAcwBlACAAbwBwAGUAcgBhAHQAbwByAHMAIABzAHUAcABwAG8AcgB0ACAAZABlAGwAZQB0AGkAbwBuACwAIABzAGUAbABlAGMAdABpAG8AbgAsACAAZgBpAGwAdABlAHIAaQBuAGcALAAgAHIAbwBsAGwAaQBuAGcALABcAG4AIAAgACAAIABlAHgAcABhAG4AcwBpAG8AbgAsACAAYQBuAGQAIABzAHQAcgB1AGMAdAB1AHIAYQBsACAAbQBhAHAAcABpAG4AZwAuAFwAbgBcAG4AIAAgACAAIABTAHUAYgARIGMAYQB0AGUAZwBvAHIAaQBlAHMAOgBcAG4AXABuACAAIAAgACAAIAAgACAAIAAiICAARABlAGwAZQB0AGkAbwBuAFwAbgAgACAAIAAgACAAIAAgACAAIAAgACAAIAAgACAARABlAGwAZQB0AGUAUgBvAHcAcwC7AywAIABEAGUAbABlAHQAZQBDAG8AbABzALsDLAAgAEQAZQBsAGUAdABlAFcAaABlAHIAZQC7AywAXABuACAAIAAgACAAIAAgACAAIAAgACAAIAAgACAAIABQAGkAbgBjAGgAuwMsACAAUgBlAG0AbwB2AGUAuwMsACAAUwBxAHUAZQBlAHoAZQC7A1wAbgBcAG4AIAAgACAAIAAgACAAIAAgACIgIABFAHgAcABhAG4AcwBpAG8AbgBcAG4AIAAgACAAIAAgACAAIAAgACAAIAAgACAAIAAgAEsAcgBvAG4AZQBjAGsAZQByAFAAcgBvAGQAuwNcAG4AXABuACAAIAAgACAAIAAgACAAIAAiICAARgBpAGwAdABlAHIAaQBuAGcAXABuACAAIAAgACAAIAAgACAAIAAgACAAIAAgACAAIABFAHgAYwBsAHUAZABlALsDLAAgAFMAbgBhAHAAuwNcAG4AXABuACAAIAAgACAAIAAgACAAIAAiICAAUgBvAGwAbABpAG4AZwBcAG4AIAAgACAAIAAgACAAIAAgACAAIAAgACAAIAAgAFMAaABpAGYAdAC7AywAIABTAGgAaQBmAHQAUgBvAHcAcwC7AywAIABTAGgAaQBmAHQAQwBvAGwAcwC7A1wAbgBcAG4AIAAgACAAIAAgACAAIAAgACIgIABTAGUAbABlAGMAdABpAG8AbgBcAG4AIAAgACAAIAAgACAAIAAgACAAIAAgACAAIAAgAEUAbQBiAGUAZAC7AywAIABLAGUAZQBwAFIAbwB3AHMAuwMsACAASwBlAGUAcABDAG8AbABzALsDXABuAFwAbgAgACAAIAAgACAAIAAgACAAIiAgAFMAdAByAHUAYwB0AHUAcgBhAGwAIABNAGEAcABwAGkAbgBnAFwAbgAgACAAIAAgACAAIAAgACAAIAAgACAAIAAgACAAQgBsAG8AYwBrAE0AYQBwALsDLAAgAEMAbwBuAHYAbwBsAHYAZQC7AywAIABGAG8AbABkALsDLAAgAEoAbwBpAG4AMgBEALsDXABuACoALwBcAG4AXABuAFwAbgBcAG4ALwAqACAAWwBHAEEAMAAxAF0AIAAtAC0ALQAtAC0ALQAtAC0ALQAtAC0ALQAtAC0ALQAtAC0ALQAtAC0ALQAtAC0ALQAtAC0ALQAtAC0ALQAtAC0ALQAtAC0ALQAtAC0ALQAtAC0ALQAtAC0ALQAtAC0ALQAtAC0ALQAtAC0ALQAtAC0ALQAtAC0ALQAtAC0ALQAtAC0ALQAtAC0ALQAtAC0ALQAtAFwAbgBGAHUAbgBjAHQAaQBvAG4AOgAgACAAIAAgACAARABlAGwAZQB0AGUAUgBvAHcAcwC7A1wAbgBDAGEAdABlAGcAbwByAHkAOgAgACAAIAAgACAARwByAGkAZAAgAEEAbABnAGUAYgByAGEAIAAoAEQAZQBsAGUAdABpAG8AbgApAFwAbgBBAHUAdABoAG8AcgA6ACAAIAAgACAAIAAgACAAUABhAHQAcgBpAGMAawAgAEgALgBcAG4AVgBlAHIAcwBpAG8AbgA6ACAAIAAgACAAIAAgADEALgAxAFwAbgBEAGUAcABlAG4AZABlAG4AYwBpAGUAcwA6ACAAUwB0AHIAZQBhAGsAuwMsACAAQwBvAHUAbgB0AGQAbwB3AG4AuwNcAG4AXABuAEQAZQBzAGMAcgBpAHAAdABpAG8AbgA6AFwAbgAgACAAIAAgAEQAZQBsAGUAdABlAHMAIAByAG8AdwBzACAAZgByAG8AbQAgAGEAIAAyAEQAIABhAHIAcgBhAHkAIABiAGEAcwBlAGQAIABvAG4AIABjAG8AbgB0AGkAZwB1AG8AdQBzACAAcwB1AGIAZwByAG8AdQBwACAAcgB1AG4AcwAuACAAQQAgAHAAbwBzAGkAdABpAHYAZQBcAG4AIAAgACAAIABkAGUAbABlAHQAZQAgAHYAYQBsAHUAZQAgAHQAcgBpAG0AcwAgAHIAbwB3AHMAIABmAHIAbwBtACAAdABoAGUAIAB0AG8AcAAgAG8AZgAgAGUAYQBjAGgAIABzAHUAYgBnAHIAbwB1AHAAIAByAHUAbgA7ACAAYQAgAG4AZQBnAGEAdABpAHYAZQAgAGQAZQBsAGUAdABlAFwAbgAgACAAIAAgAHYAYQBsAHUAZQAgAHQAcgBpAG0AcwAgAHIAbwB3AHMAIABmAHIAbwBtACAAdABoAGUAIABiAG8AdAB0AG8AbQAuAFwAbgBcAG4AUABhAHIAYQBtAGUAdABlAHIAcwA6AFwAbgAgACAAIAAgAGEAcgByAGEAeQAgACAAIAAgACAAIAAgACAAIAAgACAALQAgADIARAAgAGEAcgByAGEAeQAuAFwAbgAgACAAIAAgAGQAZQBsAGUAdABlACAAIAAgACAAIAAgACAAIAAgACAALQAgAFMAYwBhAGwAYQByACAAaQBuAHQAZQBnAGUAcgA6AFwAbgAgACAAIAAgACAAIAAgACAAIAAgACAAIAAgACAAIAAgACAAIAAgACAAIAAgACAAIAAgACAAPgAgADAAIACSISAAdAByAGkAbQAgAGYAcgBvAG0AIAB0AG8AcAAgAG8AZgAgAGUAYQBjAGgAIAByAHUAbgBcAG4AIAAgACAAIAAgACAAIAAgACAAIAAgACAAIAAgACAAIAAgACAAIAAgACAAIAAgACAAIAAgADwAIAAwACAAkiEgAHQAcgBpAG0AIABmAHIAbwBtACAAYgBvAHQAdABvAG0AIABvAGYAIABlAGEAYwBoACAAcgB1AG4AXABuACAAIAAgACAAYQB0AF8AZQBhAGMAaABfAGMAaABhAG4AZwBlACAAIAAtACAAUwB1AGIAZwByAG8AdQBwACAAbABhAGIAZQBsAHMAIAAoAHMAYQBtAGUAIABoAGUAaQBnAGgAdAAgAGEAcwAgAGEAcgByAGEAeQApAC4AXABuAFwAbgBOAG8AdABlAHMAOgBcAG4AIAAgACAAIAAiICAASQBmACAAbwBuAGwAeQAgAG8AbgBlACAAcwB1AGIAZwByAG8AdQBwACAAZQB4AGkAcwB0AHMALAAgAEQAUgBPAFAAKAApACAAaQBzACAAdQBzAGUAZAAgAGEAcwAgAGEAIABmAGEAcwB0ACAAcABhAHQAaAAuAFwAbgAgACAAIAAgACIgIABkAGUAbABlAHQAZQAgAG0AdQBzAHQAIABiAGUAIABhACAAcwBjAGEAbABhAHIAOwAgAHQAZQB4AHQAIABvAHIAIAB2AGUAYwB0AG8AcgAgAGkAbgBwAHUAdABzACAAaABhAGwAdAAgAHcAaQB0AGgAIABhAG4AIABlAHIAcgBvAHIALgBcAG4ALQAtAC0ALQAtAC0ALQAtAC0ALQAtAC0ALQAtAC0ALQAtAC0ALQAtAC0ALQAtAC0ALQAtAC0ALQAtAC0ALQAtAC0ALQAtAC0ALQAtAC0ALQAtAC0ALQAtAC0ALQAtAC0ALQAtAC0ALQAtAC0ALQAtAC0ALQAtAC0ALQAtAC0ALQAtAC0ALQAtAC0ALQAtAC0ALQAtAC0ALQAtAC0AKgAvAFwAbgBcAG4ARABlAGwAZQB0AGUAUgBvAHcAcwC7AyAAPQBcAG4ATABBAE0AQgBEAEEAKABcAG4AIAAgACAAIABhAHIAcgBhAHkALABcAG4AIAAgACAAIABkAGUAbABlAHQAZQAsAFwAbgAgACAAIAAgAGEAdABfAGUAYQBjAGgAXwBjAGgAYQBuAGcAZQAsAFwAbgBMAEUAVAAoAFwAbgAgACAAIAAgAC8ALwAgAFMAdQBiAGcAcgBvAHUAcAAgAHMAYwBlAG4AYQByAGkAbwBzAFwAbgAgACAAIAAgAE8AbgBlAFMAdQBiAEcAcgBvAHUAcAA/ACwAIAAgACAAIAAgACAAIABDAE8AVQBOAFQAQQAoAFUATgBJAFEAVQBFACgAYQB0AF8AZQBhAGMAaABfAGMAaABhAG4AZwBlACkAKQAgAD0AIAAxACwAXABuACAAIAAgACAARABpAHMAYwBhAHIAZAAsACAAIAAgACAAIAAgACAAIAAgACAAIAAgAEQAUgBPAFAAKABhAHIAcgBhAHkALAAgAEAAZABlAGwAZQB0AGUAKQAsAFwAbgBcAG4AIAAgACAAIAAvAC8AIABWAGEAbABpAGQAYQB0AGkAbwBuAFwAbgAgACAAIAAgAFMAaABhAHAAZQBNAGkAcwBtAGEAdABjAGgAPwAsACAAIAAgACAAIABSAE8AVwBTACgAYQByAHIAYQB5ACkAIAA8AD4AIABSAE8AVwBTACgAYQB0AF8AZQBhAGMAaABfAGMAaABhAG4AZwBlACkALABcAG4AIAAgACAAIABJAHMAVABlAHgAdAA/ACwAIAAgACAAIAAgACAAIAAgACAAIAAgACAASQBTAFQARQBYAFQAKABkAGUAbABlAHQAZQApACwAXABuACAAIAAgACAATgBvAHQAUwBjAGEAbABhAHIAPwAsACAAIAAgACAAIAAgACAAIAAgAEEATgBEACgATgBPAFQAKABJAHMAVABlAHgAdAA/ACkALAAgAEMATwBVAE4AVABBACgAZABlAGwAZQB0AGUAKQAgAD4AIAAxACkALABcAG4AIAAgACAAIABzAGMAZQBuAGEAcgBpAG8AcwAsACAAIAAgACAAIAAgACAAIAAgACAAVgBTAFQAQQBDAEsAKABTAGgAYQBwAGUATQBpAHMAbQBhAHQAYwBoAD8ALAAgAEkAcwBUAGUAeAB0AD8ALAAgAE4AbwB0AFMAYwBhAGwAYQByAD8AKQAsAFwAbgBcAG4AIAAgACAAIAAvAC8AIABFAHIAcgBvAHIAIABoAGEAbgBkAGwAaQBuAGcAXABuACAAIAAgACAAaABhAGwAdAAsACAAIAAgACAAIAAgACAAIAAgACAAIAAgACAAIAAgAE8AUgAoAHMAYwBlAG4AYQByAGkAbwBzACkALABcAG4AIAAgACAAIABlAHIAcgBvAHIAcwAsACAAIAAgACAAIAAgACAAIAAgACAAIAAgACAAewBcACIAIwBEAEkATQBFAE4AUwBJAE8ATgBTACEAXAAiADsAIABcACIAIwBUAEUAWABUACEAXAAiADsAIABcACIAIwBTAEMAQQBMAEEAUgAhAFwAIgB9ACwAXABuACAAIAAgACAAYQBsAGUAcgB0ACwAIAAgACAAIAAgACAAIAAgACAAIAAgACAAIAAgAEEAUgBSAEEAWQBUAE8AVABFAFgAVAAoAEYASQBMAFQARQBSACgAZQByAHIAbwByAHMALAAgAHMAYwBlAG4AYQByAGkAbwBzACwAIAAwACkAKQAsAFwAbgBcAG4AIAAgACAAIABJAEYAKABPAG4AZQBTAHUAYgBHAHIAbwB1AHAAPwAsACAARABpAHMAYwBhAHIAZAAsAFwAbgAgACAAIAAgACAAIAAgACAASQBGACgAaABhAGwAdAAsACAAYQBsAGUAcgB0ACwAXABuAFwAbgBMAEUAVAAoAFwAbgAgACAAIAAgAC8ALwAgAEQAaQByAGUAYwB0AGkAbwBuADoAIAArAHQAbwBwACwAIAATIGIAbwB0AHQAbwBtAFwAbgAgACAAIAAgAHMALAAgACAAIAAgACAAIAAgACAAIAAgACAAIAAgACAAIAAgACAAIABTAEkARwBOACgAZABlAGwAZQB0AGUAKQAsAFwAbgBcAG4AIAAgACAAIAAvAC8AIABSAHUAbgAgAGkAbgBkAGkAYwBlAHMAXABuACAAIAAgACAAYQBzAGMAZQBuAGQALAAgACAAIAAgACAAIAAgACAAIAAgACAAIAAgAFMAdAByAGUAYQBrALsDKABhAHQAXwBlAGEAYwBoAF8AYwBoAGEAbgBnAGUAKQAsAFwAbgAgACAAIAAgAGQAZQBzAGMAZQBuAGQALAAgACAAIAAgACAAIAAgACAAIAAgACAAIABDAG8AdQBuAHQAZABvAHcAbgC7AygAYQB0AF8AZQBhAGMAaABfAGMAaABhAG4AZwBlACkALABcAG4AIAAgACAAIABkAGUAbABlAHQAZQAsACAAIAAgACAAIAAgACAAIAAgACAAIAAgACAAQQBCAFMAKABkAGUAbABlAHQAZQApACwAXABuAFwAbgAgACAAIAAgAC8ALwAgAFMAZQBsAGUAYwB0ACAAaQBuAGQAZQB4ACAAYgBhAHMAZQBkACAAbwBuACAAcwBpAGcAbgBcAG4AIAAgACAAIABpAGQAeAAsACAAIAAgACAAIAAgACAAIAAgACAAIAAgACAAIAAgACAASQBGACgAcwAgAD0AIAAtADEALAAgAGQAZQBzAGMAZQBuAGQALAAgAGEAcwBjAGUAbgBkACkALABcAG4AXABuACAAIAAgACAALwAvACAASwBlAGUAcAAgAHIAbwB3AHMAIAB3AGgAZQByAGUAIABpAG4AZABlAHgAIAA+ACAAZABlAGwAZQB0AGUAXABuACAAIAAgACAAawBlAGUAcAA/ACwAIAAgACAAIAAgACAAIAAgACAAIAAgACAAIAAgAE4ATwBUACgAaQBkAHgAIAA8AD0AIABkAGUAbABlAHQAZQApACwAXABuAFwAbgAgACAAIAAgAHIAZQBzAHUAbAB0ACwAIAAgACAAIAAgACAAIAAgACAAIAAgACAAIABGAEkATABUAEUAUgAoAGEAcgByAGEAeQAsACAAawBlAGUAcAA/ACkALABcAG4AXABuACAAIAAgACAAcgBlAHMAdQBsAHQAXABuACkAKQApACkAKQA7AFwAbgBcAG4AXABuAFwAbgAvACoAIABbAEcAQQAwADIAXQAgAC0ALQAtAC0ALQAtAC0ALQAtAC0ALQAtAC0ALQAtAC0ALQAtAC0ALQAtAC0ALQAtAC0ALQAtAC0ALQAtAC0ALQAtAC0ALQAtAC0ALQAtAC0ALQAtAC0ALQAtAC0ALQAtAC0ALQAtAC0ALQAtAC0ALQAtAC0ALQAtAC0ALQAtAC0ALQAtAC0ALQAtAC0ALQAtAC0AXABuAEYAdQBuAGMAdABpAG8AbgA6ACAAIAAgACAAIABEAGUAbABlAHQAZQBDAG8AbABzALsDXABuAEMAYQB0AGUAZwBvAHIAeQA6ACAAIAAgACAAIABHAHIAaQBkACAAQQBsAGcAZQBiAHIAYQAgACgARABlAGwAZQB0AGkAbwBuACkAXABuAEEAdQB0AGgAbwByADoAIAAgACAAIAAgACAAIABQAGEAdAByAGkAYwBrACAASAAuAFwAbgBWAGUAcgBzAGkAbwBuADoAIAAgACAAIAAgACAAMQAuADEAXABuAEQAZQBwAGUAbgBkAGUAbgBjAGkAZQBzADoAIABTAHQAcgBlAGEAawC7AywAIABDAG8AdQBuAHQAZABvAHcAbgC7A1wAbgBcAG4ARABlAHMAYwByAGkAcAB0AGkAbwBuADoAXABuACAAIAAgACAARABlAGwAZQB0AGUAcwAgAGMAbwBsAHUAbQBuAHMAIABmAHIAbwBtACAAYQAgADIARAAgAGEAcgByAGEAeQAgAGIAYQBzAGUAZAAgAG8AbgAgAGMAbwBuAHQAaQBnAHUAbwB1AHMAIABzAHUAYgBnAHIAbwB1AHAAIAByAHUAbgBzAC4AIABBACAAcABvAHMAaQB0AGkAdgBlAFwAbgAgACAAIAAgAGQAZQBsAGUAdABlACAAdgBhAGwAdQBlACAAdAByAGkAbQBzACAAYwBvAGwAdQBtAG4AcwAgAGYAcgBvAG0AIAB0AGgAZQAgAGwAZQBmAHQAIABvAGYAIABlAGEAYwBoACAAcwB1AGIAZwByAG8AdQBwACAAcgB1AG4AOwAgAGEAIABuAGUAZwBhAHQAaQB2AGUAXABuACAAIAAgACAAZABlAGwAZQB0AGUAIAB2AGEAbAB1AGUAIAB0AHIAaQBtAHMAIABjAG8AbAB1AG0AbgBzACAAZgByAG8AbQAgAHQAaABlACAAcgBpAGcAaAB0AC4AXABuAFwAbgBQAGEAcgBhAG0AZQB0AGUAcgBzADoAXABuACAAIAAgACAAYQByAHIAYQB5ACAAIAAgACAAIAAgACAAIAAgACAAIAAtACAAMgBEACAAYQByAHIAYQB5AC4AXABuACAAIAAgACAAZABlAGwAZQB0AGUAIAAgACAAIAAgACAAIAAgACAAIAAtACAAUwBjAGEAbABhAHIAIABpAG4AdABlAGcAZQByADoAXABuACAAIAAgACAAIAAgACAAIAAgACAAIAAgACAAIAAgACAAIAAgACAAIAAgACAAIAAgACAAIAA+ACAAMAAgAJIhIAB0AHIAaQBtACAAZgByAG8AbQAgAGwAZQBmAHQAIABvAGYAIABlAGEAYwBoACAAcgB1AG4AXABuACAAIAAgACAAIAAgACAAIAAgACAAIAAgACAAIAAgACAAIAAgACAAIAAgACAAIAAgACAAIAA8ACAAMAAgAJIhIAB0AHIAaQBtACAAZgByAG8AbQAgAHIAaQBnAGgAdAAgAG8AZgAgAGUAYQBjAGgAIAByAHUAbgBcAG4AIAAgACAAIABhAHQAXwBlAGEAYwBoAF8AYwBoAGEAbgBnAGUAIAAgAC0AIABTAHUAYgBnAHIAbwB1AHAAIABsAGEAYgBlAGwAcwAgACgAcwBhAG0AZQAgAHcAaQBkAHQAaAAgAGEAcwAgAGEAcgByAGEAeQApAC4AXABuAFwAbgBOAG8AdABlAHMAOgBcAG4AIAAgACAAIAAiICAASQBmACAAbwBuAGwAeQAgAG8AbgBlACAAcwB1AGIAZwByAG8AdQBwACAAZQB4AGkAcwB0AHMALAAgAEQAUgBPAFAAKAApACAAaQBzACAAdQBzAGUAZAAgAGEAcwAgAGEAIABmAGEAcwB0ACAAcABhAHQAaAAuAFwAbgAgACAAIAAgACIgIABkAGUAbABlAHQAZQAgAG0AdQBzAHQAIABiAGUAIABhACAAcwBjAGEAbABhAHIAOwAgAHQAZQB4AHQAIABvAHIAIAB2AGUAYwB0AG8AcgAgAGkAbgBwAHUAdABzACAAaABhAGwAdAAgAHcAaQB0AGgAIABhAG4AIABlAHIAcgBvAHIALgBcAG4ALQAtAC0ALQAtAC0ALQAtAC0ALQAtAC0ALQAtAC0ALQAtAC0ALQAtAC0ALQAtAC0ALQAtAC0ALQAtAC0ALQAtAC0ALQAtAC0ALQAtAC0ALQAtAC0ALQAtAC0ALQAtAC0ALQAtAC0ALQAtAC0ALQAtAC0ALQAtAC0ALQAtAC0ALQAtAC0ALQAtAC0ALQAtAC0ALQAtAC0ALQAtAC0AKgAvAFwAbgBcAG4ARABlAGwAZQB0AGUAQwBvAGwAcwC7AyAAPQBcAG4ATABBAE0AQgBEAEEAKABcAG4AIAAgACAAIABhAHIAcgBhAHkALABcAG4AIAAgACAAIABkAGUAbABlAHQAZQAsAFwAbgAgACAAIAAgAGEAdABfAGUAYQBjAGgAXwBjAGgAYQBuAGcAZQAsAFwAbgBMAEUAVAAoAFwAbgAgACAAIAAgAC8ALwAgAFMAdQBiAGcAcgBvAHUAcAAgAHMAYwBlAG4AYQByAGkAbwBzAFwAbgAgACAAIAAgAE8AbgBlAFMAdQBiAEcAcgBvAHUAcAA/ACwAIAAgACAAIAAgACAAIABDAE8AVQBOAFQAQQAoAFUATgBJAFEAVQBFACgAYQB0AF8AZQBhAGMAaABfAGMAaABhAG4AZwBlACwAIAAxACkAKQAgAD0AIAAxACwAXABuACAAIAAgACAARABpAHMAYwBhAHIAZAAsACAAIAAgACAAIAAgACAAIAAgACAAIAAgAEQAUgBPAFAAKABhAHIAcgBhAHkALAAgACwAIABAAGQAZQBsAGUAdABlACkALABcAG4AXABuACAAIAAgACAALwAvACAAVgBhAGwAaQBkAGEAdABpAG8AbgBcAG4AIAAgACAAIABTAGgAYQBwAGUATQBpAHMAbQBhAHQAYwBoAD8ALAAgACAAIAAgACAAQwBPAEwAVQBNAE4AUwAoAGEAcgByAGEAeQApACAAPAA+ACAAQwBPAEwAVQBNAE4AUwAoAGEAdABfAGUAYQBjAGgAXwBjAGgAYQBuAGcAZQApACwAXABuACAAIAAgACAASQBzAFQAZQB4AHQAPwAsACAAIAAgACAAIAAgACAAIAAgACAAIAAgAEkAUwBUAEUAWABUACgAZABlAGwAZQB0AGUAKQAsAFwAbgAgACAAIAAgAE4AbwB0AFMAYwBhAGwAYQByAD8ALAAgACAAIAAgACAAIAAgACAAIABBAE4ARAAoAE4ATwBUACgASQBzAFQAZQB4AHQAPwApACwAIABDAE8AVQBOAFQAQQAoAGQAZQBsAGUAdABlACkAIAA+ACAAMQApACwAXABuACAAIAAgACAAcwBjAGUAbgBhAHIAaQBvAHMALAAgACAAIAAgACAAIAAgACAAIAAgAFYAUwBUAEEAQwBLACgAUwBoAGEAcABlAE0AaQBzAG0AYQB0AGMAaAA/ACwAIABJAHMAVABlAHgAdAA/ACwAIABOAG8AdABTAGMAYQBsAGEAcgA/ACkALABcAG4AXABuACAAIAAgACAALwAvACAARQByAHIAbwByACAAaABhAG4AZABsAGkAbgBnAFwAbgAgACAAIAAgAGgAYQBsAHQALAAgACAAIAAgACAAIAAgACAAIAAgACAAIAAgACAAIABPAFIAKABzAGMAZQBuAGEAcgBpAG8AcwApACwAXABuACAAIAAgACAAZQByAHIAbwByAHMALAAgACAAIAAgACAAIAAgACAAIAAgACAAIAAgAHsAXAAiACMARABJAE0ARQBOAFMASQBPAE4AUwAhAFwAIgA7ACAAXAAiACMAVABFAFgAVAAhAFwAIgA7ACAAXAAiACMAUwBDAEEATABBAFIAIQBcACIAfQAsAFwAbgAgACAAIAAgAGEAbABlAHIAdAAsACAAIAAgACAAIAAgACAAIAAgACAAIAAgACAAIABBAFIAUgBBAFkAVABPAFQARQBYAFQAKABGAEkATABUAEUAUgAoAGUAcgByAG8AcgBzACwAIABzAGMAZQBuAGEAcgBpAG8AcwAsACAAMAApACkALABcAG4AXABuACAAIAAgACAASQBGACgATwBuAGUAUwB1AGIARwByAG8AdQBwAD8ALAAgAEQAaQBzAGMAYQByAGQALABcAG4AIAAgACAAIAAgACAAIAAgAEkARgAoAGgAYQBsAHQALAAgAGEAbABlAHIAdAAsAFwAbgBcAG4ATABFAFQAKABcAG4AIAAgACAAIAAvAC8AIABEAGkAcgBlAGMAdABpAG8AbgA6ACAAKwBsAGUAZgB0ACwAIAATIHIAaQBnAGgAdABcAG4AIAAgACAAIABzACwAIAAgACAAIAAgACAAIAAgACAAIAAgACAAIAAgACAAIAAgACAAUwBJAEcATgAoAGQAZQBsAGUAdABlACkALABcAG4AXABuACAAIAAgACAALwAvACAAUgB1AG4AIABpAG4AZABpAGMAZQBzACAAKABoAG8AcgBpAHoAbwBuAHQAYQBsACkAXABuACAAIAAgACAAYQBzAGMAZQBuAGQALAAgACAAIAAgACAAIAAgACAAIAAgACAAIAAgAFMAdAByAGUAYQBrALsDKABhAHQAXwBlAGEAYwBoAF8AYwBoAGEAbgBnAGUALAAgAFQAUgBVAEUAKQAsAFwAbgAgACAAIAAgAGQAZQBzAGMAZQBuAGQALAAgACAAIAAgACAAIAAgACAAIAAgACAAIABDAG8AdQBuAHQAZABvAHcAbgC7AygAYQB0AF8AZQBhAGMAaABfAGMAaABhAG4AZwBlACwAIABUAFIAVQBFACkALABcAG4AIAAgACAAIABkAGUAbABlAHQAZQAsACAAIAAgACAAIAAgACAAIAAgACAAIAAgACAAQQBCAFMAKABkAGUAbABlAHQAZQApACwAXABuAFwAbgAgACAAIAAgAC8ALwAgAFMAZQBsAGUAYwB0ACAAaQBuAGQAZQB4ACAAYgBhAHMAZQBkACAAbwBuACAAcwBpAGcAbgBcAG4AIAAgACAAIABpAGQAeAAsACAAIAAgACAAIAAgACAAIAAgACAAIAAgACAAIAAgACAASQBGACgAcwAgAD0AIAAtADEALAAgAGQAZQBzAGMAZQBuAGQALAAgAGEAcwBjAGUAbgBkACkALABcAG4AXABuACAAIAAgACAALwAvACAASwBlAGUAcAAgAGMAbwBsAHUAbQBuAHMAIAB3AGgAZQByAGUAIABpAG4AZABlAHgAIAA+ACAAZABlAGwAZQB0AGUAXABuACAAIAAgACAAawBlAGUAcAA/ACwAIAAgACAAIAAgACAAIAAgACAAIAAgACAAIAAgAE4ATwBUACgAaQBkAHgAIAA8AD0AIABkAGUAbABlAHQAZQApACwAXABuAFwAbgAgACAAIAAgAC8ALwAgAEMAbwBsAHUAbQBuABEgdwBpAHMAZQAgAGYAaQBsAHQAZQByAFwAbgAgACAAIAAgAHIAZQBzAHUAbAB0ACwAIAAgACAAIAAgACAAIAAgACAAIAAgACAAIABGAEkATABUAEUAUgAoAGEAcgByAGEAeQAsACAAawBlAGUAcAA/ACkALABcAG4AXABuACAAIAAgACAAcgBlAHMAdQBsAHQAXABuACkAKQApACkAKQA7AFwAbgBcAG4AXABuAFwAbgAvACoAIABbAEcAQQAwADMAXQAgAC0ALQAtAC0ALQAtAC0ALQAtAC0ALQAtAC0ALQAtAC0ALQAtAC0ALQAtAC0ALQAtAC0ALQAtAC0ALQAtAC0ALQAtAC0ALQAtAC0ALQAtAC0ALQAtAC0ALQAtAC0ALQAtAC0ALQAtAC0ALQAtAC0ALQAtAC0ALQAtAC0ALQAtAC0ALQAtAC0ALQAtAC0ALQAtAC0AXABuAEYAdQBuAGMAdABpAG8AbgA6ACAAIAAgACAAIABEAGUAbABlAHQAZQBXAGgAZQByAGUAuwNcAG4AQwBhAHQAZQBnAG8AcgB5ADoAIAAgACAAIAAgAEcAcgBpAGQAIABBAGwAZwBlAGIAcgBhACAAKABEAGUAbABlAHQAaQBvAG4AKQBcAG4AQQB1AHQAaABvAHIAOgAgACAAIAAgACAAIAAgAFAAYQB0AHIAaQBjAGsAIABIAC4AXABuAFYAZQByAHMAaQBvAG4AOgAgACAAIAAgACAAIAAxAC4AMQBcAG4AXABuAEQAZQBzAGMAcgBpAHAAdABpAG8AbgA6AFwAbgAgACAAIAAgAFIAZQBtAG8AdgBlAHMAIAB2AGUAcgB0AGkAYwBhAGwAIABhAG4AZAAgAGgAbwByAGkAegBvAG4AdABhAGwAIAB2AGUAYwB0AG8AcgBzACAAZgByAG8AbQAgAGEAIAAyAEQAIABhAHIAcgBhAHkAIABiAGEAcwBlAGQAIABvAG4AIABhACAAcAByAGUAZABpAGMAYQB0AGUAXABuACAAIAAgACAATABhAG0AYgBkAGEALgAgAFQAaABlACAAcAByAGUAZABpAGMAYQB0AGUAIABpAHMAIABhAHAAcABsAGkAZQBkACAAdABvACAAZQBhAGMAaAAgAHIAbwB3ACAAYQBuAGQAIABlAGEAYwBoACAAYwBvAGwAdQBtAG4AOwAgAGEAbgB5ACAAdgBlAGMAdABvAHIAIABmAG8AcgBcAG4AIAAgACAAIAB3AGgAaQBjAGgAIAB0AGgAZQAgAHAAcgBlAGQAaQBjAGEAdABlACAAcgBlAHQAdQByAG4AcwAgAFQAUgBVAEUAIABpAHMAIAByAGUAbQBvAHYAZQBkAC4AXABuAFwAbgBQAGEAcgBhAG0AZQB0AGUAcgBzADoAXABuACAAIAAgACAAYQByAHIAYQB5ACAAIAAgACAAIAAgACAALQAgADEARAAgAG8AcgAgADIARAAgAGEAcgByAGEAeQAuAFwAbgAgACAAIAAgAGYAdQBuAGMAdABpAG8AbgAgACAAIAAgAC0AIABMAGEAbQBiAGQAYQAgAGEAcABwAGwAaQBlAGQAIAB0AG8AIABlAGEAYwBoACAAcgBvAHcAIABhAG4AZAAgAGMAbwBsAHUAbQBuACAAdgBlAGMAdABvAHIALgBcAG4AXABuAE4AbwB0AGUAcwA6AFwAbgAgACAAIAAgACIgIABUAGgAZQAgAHAAcgBlAGQAaQBjAGEAdABlACAAaQBzACAAZQB2AGEAbAB1AGEAdABlAGQAIABpAG4AZABlAHAAZQBuAGQAZQBuAHQAbAB5ACAAZgBvAHIAIAByAG8AdwBzACAAKABCAFkAUgBPAFcAKQAgAGEAbgBkACAAYwBvAGwAdQBtAG4AcwAgACgAQgBZAEMATwBMACkALgBcAG4AIAAgACAAIAAiICAASQBmACAAbgBvACAAcgBvAHcAcwAgAG8AcgAgAGMAbwBsAHUAbQBuAHMAIABhAHIAZQAgAHIAZQBtAG8AdgBlAGQALAAgAFwAIgAjAEUATQBQAFQAWQAtAEEAUgBSAEEAWQAhAFwAIgAgAGkAcwAgAHIAZQB0AHUAcgBuAGUAZAAuAFwAbgAtAC0ALQAtAC0ALQAtAC0ALQAtAC0ALQAtAC0ALQAtAC0ALQAtAC0ALQAtAC0ALQAtAC0ALQAtAC0ALQAtAC0ALQAtAC0ALQAtAC0ALQAtAC0ALQAtAC0ALQAtAC0ALQAtAC0ALQAtAC0ALQAtAC0ALQAtAC0ALQAtAC0ALQAtAC0ALQAtAC0ALQAtAC0ALQAtAC0ALQAtAC0ALQAqAC8AXABuAFwAbgBEAGUAbABlAHQAZQBXAGgAZQByAGUAuwMgAD0AXABuAEwAQQBNAEIARABBACgAXABuACAAIAAgACAAYQByAHIAYQB5ACwAXABuACAAIAAgACAAZgB1AG4AYwB0AGkAbwBuACwAXABuAEwARQBUACgAXABuACAAIAAgACAALwAvACAASQBuAGQAZQB4ACAAcwBlAHEAdQBlAG4AYwBlAHMAXABuACAAIAAgACAAaQAsACAAIAAgACAAIAAgACAAIAAgACAAUwBFAFEAVQBFAE4AQwBFACgAUgBPAFcAUwAoAGEAcgByAGEAeQApACkALABcAG4AIAAgACAAIABqACwAIAAgACAAIAAgACAAIAAgACAAIABTAEUAUQBVAEUATgBDAEUAKAAsACAAQwBPAEwAVQBNAE4AUwAoAGEAcgByAGEAeQApACkALABcAG4AXABuACAAIAAgACAALwAvACAATgBlAGcAYQB0AGUAZAAgAHAAcgBlAGQAaQBjAGEAdABlACAAKABUAFIAVQBFACAAPQAgAGsAZQBlAHAAKQBcAG4AIAAgACAAIABmAG4ALAAgACAAIAAgACAAIAAgACAAIABMAEEATQBCAEQAQQAoAHYALAAgAE4ATwBUACgAZgB1AG4AYwB0AGkAbwBuACgAdgApACkAKQAsAFwAbgBcAG4AIAAgACAAIAAvAC8AIABSAG8AdwAgAGEAbgBkACAAYwBvAGwAdQBtAG4AIABpAG4AZABpAGMAZQBzACAAdABvACAAawBlAGUAcABcAG4AIAAgACAAIABhACwAIAAgACAAIAAgACAAIAAgACAAIABUAE8AQwBPAEwAKABJAEYAKABCAFkAUgBPAFcAKABhAHIAcgBhAHkALAAgAGYAbgApACwAIABpACwAIABOAEEAKAApACkALAAgADIAKQAsAFwAbgAgACAAIAAgAGIALAAgACAAIAAgACAAIAAgACAAIAAgAFQATwBSAE8AVwAoAEkARgAoAEIAWQBDAE8ATAAoAGEAcgByAGEAeQAsACAAZgBuACkALAAgAGoALAAgAE4AQQAoACkAKQAsACAAMgApACwAXABuAFwAbgAgACAAIAAgAC8ALwAgAE4AbwAgAHIAZQBtAG8AdgBhAGwAcwA/AFwAbgAgACAAIAAgAEkAcwBFAG0AcAB0AHkAPwAsACAAIAAgAEEATgBEACgASQBTAEUAUgBSAE8AUgAoAGEAKQAsACAASQBTAEUAUgBSAE8AUgAoAGIAKQApACwAXABuAFwAbgAgACAAIAAgAC8ALwAgAE4AZQB3ACAAcwBoAGEAcABlAFwAbgAgACAAIAAgAHgALAAgACAAIAAgACAAIAAgACAAIAAgAFIATwBXAFMAKABhACkALABcAG4AIAAgACAAIAB5ACwAIAAgACAAIAAgACAAIAAgACAAIABDAE8ATABVAE0ATgBTACgAYgApACwAXABuAFwAbgAgACAAIAAgAC8ALwAgAEkAbgBkAGUAeAAgAGcAcgBpAGQAcwBcAG4AIAAgACAAIAByACwAIAAgACAAIAAgACAAIAAgACAAIABhACAAKgAgAFMARQBRAFUARQBOAEMARQAoACwAIAB5ACwAIAAxACwAIAAwACkALABcAG4AIAAgACAAIABjACwAIAAgACAAIAAgACAAIAAgACAAIABiACAAKgAgAFMARQBRAFUARQBOAEMARQAoAHgALAAgACwAIAAxACwAIAAwACkALABcAG4AXABuACAAIAAgACAAcgBlAHMAdQBsAHQALAAgACAAIAAgACAASQBGACgASQBzAEUAbQBwAHQAeQA/ACwAIABcACIAIwBFAE0AUABUAFkALQBBAFIAUgBBAFkAIQBcACIALAAgAEkATgBEAEUAWAAoAGEAcgByAGEAeQAsACAAcgAsACAAYwApACkALABcAG4AXABuACAAIAAgACAAcgBlAHMAdQBsAHQAXABuACkAKQA7AFwAbgBcAG4AXABuAFwAbgAvACoAIABbAEcAQQAwADQAXQAgAC0ALQAtAC0ALQAtAC0ALQAtAC0ALQAtAC0ALQAtAC0ALQAtAC0ALQAtAC0ALQAtAC0ALQAtAC0ALQAtAC0ALQAtAC0ALQAtAC0ALQAtAC0ALQAtAC0ALQAtAC0ALQAtAC0ALQAtAC0ALQAtAC0ALQAtAC0ALQAtAC0ALQAtAC0ALQAtAC0ALQAtAC0ALQAtAC0AXABuAEYAdQBuAGMAdABpAG8AbgA6ACAAIAAgACAAIABQAGkAbgBjAGgAuwNcAG4AQwBhAHQAZQBnAG8AcgB5ADoAIAAgACAAIAAgAEcAcgBpAGQAIABBAGwAZwBlAGIAcgBhACAAKABEAGUAbABlAHQAaQBvAG4AKQBcAG4AQQB1AHQAaABvAHIAOgAgACAAIAAgACAAIAAgAFAAYQB0AHIAaQBjAGsAIABIAC4AXABuAFYAZQByAHMAaQBvAG4AOgAgACAAIAAgACAAIAAxAC4AMQBcAG4AXABuAEQAZQBzAGMAcgBpAHAAdABpAG8AbgA6AFwAbgAgACAAIAAgAFIAZQBtAG8AdgBlAHMAIABhAG4AeQAgAGYAdQBsAGwAIAByAG8AdwBzACAAbwByACAAYwBvAGwAdQBtAG4AcwAgAHcAaABvAHMAZQAgAGMAZQBsAGwAcwAgAGEAbABsACAAaABhAHYAZQAgAEwARQBOACgAYwBlAGwAbAApACAAPQAgADAALgAgAFIAbwB3AHMAIABvAHIAXABuACAAIAAgACAAYwBvAGwAdQBtAG4AcwAgAGMAbwBuAHQAYQBpAG4AaQBuAGcAIABvAG4AbAB5ACAAZQBtAHAAdAB5ACAAcwB0AHIAaQBuAGcAcwAgAG8AcgAgAGUAcgByAG8AcgBzACAAYQByAGUAIABkAGkAcwBjAGEAcgBkAGUAZAAuACAAUABpAG4AYwBoALsDIABpAHMAIABhAFwAbgAgACAAIAAgAHMAdAByAHUAYwB0AHUAcgBhAGwAIABjAGwAZQBhAG4AdQBwACAAbwBwAGUAcgBhAHQAbwByACAAZgBvAHIAIAB0AHIAaQBtAG0AaQBuAGcAIAB3AGgAaQB0AGUAcwBwAGEAYwBlABEgbwBuAGwAeQAgAG8AcgAgAG4AdQBsAGwAIAByAGUAZwBpAG8AbgBzAC4AXABuAFwAbgBQAGEAcgBhAG0AZQB0AGUAcgBzADoAXABuACAAIAAgACAAYQByAHIAYQB5ACAAIAAgAC0AIAAxAEQAIABvAHIAIAAyAEQAIABhAHIAcgBhAHkAIABmAHIAbwBtACAAdwBoAGkAYwBoACAAZQBtAHAAdAB5ACAAcgBvAHcAcwAgAGEAbgBkACAAYwBvAGwAdQBtAG4AcwAgAGEAcgBlACAAcgBlAG0AbwB2AGUAZAAuAFwAbgBcAG4ATgBvAHQAZQBzADoAXABuACAAIAAgACAAIiAgAEkAZgAgAHQAaABlACAAaQBuAHAAdQB0ACAAYQByAHIAYQB5ACAAaQBzACAAZQBtAHAAdAB5ACwAIABQAGkAbgBjAGgAuwMgAHIAZQB0AHUAcgBuAHMAIAAwAC4AXABuACAAIAAgACAAIiAgAEUAcgByAG8AcgBzACAAYQByAGUAIAB0AHIAZQBhAHQAZQBkACAAYQBzACAAbgBvAG4AESBlAG0AcAB0AHkAOwAgAG8AbgBsAHkAIAByAG8AdwBzAC8AYwBvAGwAdQBtAG4AcwAgAHcAaABlAHIAZQAgAEwARQBOACgAYwBlAGwAbAApACAAPQAgADAAIABmAG8AcgBcAG4AIAAgACAAIAAgACAAYQBsAGwAIABjAGUAbABsAHMAIABhAHIAZQAgAHIAZQBtAG8AdgBlAGQALgBcAG4AIAAgACAAIAAiICAAUABpAG4AYwBoALsDIABwAHIAZQBzAGUAcgB2AGUAcwAgAHQAaABlACAAZABpAG0AZQBuAHMAaQBvAG4AYQBsAGkAdAB5ACAAbwBmACAAbgBvAG4AESBlAG0AcAB0AHkAIAByAGUAZwBpAG8AbgBzACAAYQBuAGQAIABkAG8AZQBzACAAbgBvAHQAIABhAGwAdABlAHIAXABuACAAIAAgACAAIAAgAGkAbgB0AGUAcgBuAGEAbAAgAGMAbwBuAHQAZQBuAHQALgBcAG4ALQAtAC0ALQAtAC0ALQAtAC0ALQAtAC0ALQAtAC0ALQAtAC0ALQAtAC0ALQAtAC0ALQAtAC0ALQAtAC0ALQAtAC0ALQAtAC0ALQAtAC0ALQAtAC0ALQAtAC0ALQAtAC0ALQAtAC0ALQAtAC0ALQAtAC0ALQAtAC0ALQAtAC0ALQAtAC0ALQAtAC0ALQAtAC0ALQAtAC0ALQAtAC0AKgAvAFwAbgBcAG4AUABpAG4AYwBoALsDIAA9AFwAbgBMAEEATQBCAEQAQQAoAFwAbgAgACAAIAAgAGEAcgByAGEAeQAsAFwAbgBcAG4ASQBGACgAQwBPAFUATgBUAEEAKABhAHIAcgBhAHkAKQAgAD0AIAAwACwAMAAsAFwAbgBcAG4ATABFAFQAKABcAG4AIAAgACAAIAAvAC8AIABOAG8AbgARIGUAbQBwAHQAeQAgAG0AYQBzAGsAXABuACAAIAAgACAAYgBvAG8AbAAsACAAIAAgACAAIAAgACAAIAAgACAAIAAgACAAIAAgAEwARQBOACgAYQByAHIAYQB5ACkAIAA8AD4AIAAwACwAXABuAFwAbgAgACAAIAAgAC8ALwAgAFIAbwB3AC8AYwBvAGwAdQBtAG4AIABrAGUAZQBwACAAZgBsAGEAZwBzAFwAbgAgACAAIAAgAE8AUgC7AywAIAAgACAAIAAgACAAIAAgACAAIAAgACAAIAAgACAAIABMAEEATQBCAEQAQQAoAHYALAAgAEkARgBFAFIAUgBPAFIAKABPAFIAKABUAE8AQwBPAEwAKAB2ACwAIAAyACkAKQAsACAARgBBAEwAUwBFACkAKQAsAFwAbgAgACAAIAAgAG0AYQByAGsAXwByAG8AdwBzACwAIAAgACAAIAAgACAAIAAgACAAIABCAFkAUgBPAFcAKABiAG8AbwBsACwAIABPAFIAuwMpACwAXABuACAAIAAgACAAbQBhAHIAawBfAGMAbwBsAHMALAAgACAAIAAgACAAIAAgACAAIAAgAEIAWQBDAE8ATAAoAGIAbwBvAGwALAAgAE8AUgC7AykALABcAG4AXABuACAAIAAgACAALwAvACAAUgBlAG0AbwB2AGUAIABlAG0AcAB0AHkAIAByAG8AdwBzAFwAbgAgACAAIAAgAGYAaQByAHMAdABfAHAAYQBzAHMALAAgACAAIAAgACAAIAAgACAAIABGAEkATABUAEUAUgAoAGEAcgByAGEAeQAsACAAbQBhAHIAawBfAHIAbwB3AHMALAAgADAAKQAsAFwAbgBcAG4AIAAgACAAIAAvAC8AIABSAGUAbQBvAHYAZQAgAGUAbQBwAHQAeQAgAGMAbwBsAHUAbQBuAHMAXABuACAAIAAgACAAcgBlAHMAdQBsAHQALAAgACAAIAAgACAAIAAgACAAIAAgACAAIAAgAEYASQBMAFQARQBSACgAZgBpAHIAcwB0AF8AcABhAHMAcwAsACAAbQBhAHIAawBfAGMAbwBsAHMALAAgADAAKQAsAFwAbgBcAG4AIAAgACAAIAByAGUAcwB1AGwAdABcAG4AKQApACkAOwBcAG4AXABuAFwAbgBcAG4ALwAqACAAWwBHAEEAMAA1AF0AIAAtAC0ALQAtAC0ALQAtAC0ALQAtAC0ALQAtAC0ALQAtAC0ALQAtAC0ALQAtAC0ALQAtAC0ALQAtAC0ALQAtAC0ALQAtAC0ALQAtAC0ALQAtAC0ALQAtAC0ALQAtAC0ALQAtAC0ALQAtAC0ALQAtAC0ALQAtAC0ALQAtAC0ALQAtAC0ALQAtAC0ALQAtAC0ALQAtAFwAbgBGAHUAbgBjAHQAaQBvAG4AOgAgACAAIAAgACAAUgBlAG0AbwB2AGUAuwNcAG4AQwBhAHQAZQBnAG8AcgB5ADoAIAAgACAAIAAgAEcAcgBpAGQAIABBAGwAZwBlAGIAcgBhACAAKABEAGUAbABlAHQAaQBvAG4AKQBcAG4AQQB1AHQAaABvAHIAOgAgACAAIAAgACAAIAAgAFAAYQB0AHIAaQBjAGsAIABIAC4AXABuAFYAZQByAHMAaQBvAG4AOgAgACAAIAAgACAAIAAxAC4AMQBcAG4AXABuAEQAZQBzAGMAcgBpAHAAdABpAG8AbgA6AFwAbgAgACAAIAAgAFIAZQBtAG8AdgBlAHMAIABzAHAAZQBjAGkAZgBpAGMAIAByAG8AdwBzACAAYQBuAGQALwBvAHIAIABjAG8AbAB1AG0AbgBzACAAZgByAG8AbQAgAGEAIABzAHUAcABwAGwAaQBlAGQAIABhAHIAcgBhAHkALgAgAFIAZQBtAG8AdgBlALsDIABzAHUAcABwAG8AcgB0AHMAXABuACAAIAAgACAAcwBjAGEAbABhAHIAcwAsACAAMQBEACAAYQByAHIAYQB5AHMALAAgAGEAbgBkACAAMgBEACAAYQByAHIAYQB5AHMAIABmAG8AcgAgAGIAbwB0AGgAIAByAG8AdwAgAGEAbgBkACAAYwBvAGwAdQBtAG4AIABpAG4AZABlAHgAIABpAG4AcAB1AHQAcwAuACAAQQBsAGwAXABuACAAIAAgACAAaQBuAGQAZQB4ACAAaQBuAHAAdQB0AHMAIABhAHIAZQAgAGYAbABhAHQAdABlAG4AZQBkACAAYgBlAGYAbwByAGUAIABlAHYAYQBsAHUAYQB0AGkAbwBuAC4AXABuAFwAbgBQAGEAcgBhAG0AZQB0AGUAcgBzADoAXABuACAAIAAgACAAYQByAHIAYQB5ACAAIAAgAC0AIABSAGUAcQB1AGkAcgBlAGQAIABhAHIAcgBhAHkAIABmAHIAbwBtACAAdwBoAGkAYwBoACAAcgBvAHcAcwAgAGEAbgBkAC8AbwByACAAYwBvAGwAdQBtAG4AcwAgAGEAcgBlACAAcgBlAG0AbwB2AGUAZAAuAFwAbgAgACAAIAAgAFsAcgBvAHcAcwBdACAAIAAtACAATwBwAHQAaQBvAG4AYQBsACAAcgBvAHcAIABpAG4AZABlAHgAIABvAHIAIABhAHIAcgBhAHkAIABvAGYAIABpAG4AZABpAGMAZQBzACAAdABvACAAcgBlAG0AbwB2AGUALgBcAG4AIAAgACAAIABbAGMAbwBsAHMAXQAgACAALQAgAE8AcAB0AGkAbwBuAGEAbAAgAGMAbwBsAHUAbQBuACAAaQBuAGQAZQB4ACAAbwByACAAYQByAHIAYQB5ACAAbwBmACAAaQBuAGQAaQBjAGUAcwAgAHQAbwAgAHIAZQBtAG8AdgBlAC4AXABuAFwAbgBOAG8AdABlAHMAOgBcAG4AIAAgACAAIAAiICAAUgBlAHQAdQByAG4AcwAgAFwAIgAjAEkATgBWAEEATABJAEQALQBSAE8AVwAhAFwAIgAgAGkAZgAgAGEAbgB5ACAAcgBvAHcAIABpAG4AZABlAHgAIABpAHMAIABvAHUAdAAgAG8AZgAgAGIAbwB1AG4AZABzAC4AXABuACAAIAAgACAAIiAgAFIAZQB0AHUAcgBuAHMAIABcACIAIwBJAE4AVgBBAEwASQBEAC0AQwBPAEwAIQBcACIAIABpAGYAIABhAG4AeQAgAGMAbwBsAHUAbQBuACAAaQBuAGQAZQB4ACAAaQBzACAAbwB1AHQAIABvAGYAIABiAG8AdQBuAGQAcwAuAFwAbgAgACAAIAAgACIgIABTAGMAYQBsAGEAcgBzACAAYQByAGUAIAByAGUAdAB1AHIAbgBlAGQAIAB1AG4AYwBoAGEAbgBnAGUAZAAuAFwAbgAgACAAIAAgACIgIABSAG8AdwAvAGMAbwBsAHUAbQBuACAAaQBuAGQAZQB4ACAAaQBuAHAAdQB0AHMAIABhAHIAZQAgAGYAbABhAHQAdABlAG4AZQBkACAAdwBpAHQAaAAgAFQATwBDAE8ATAAgAGYAbwByACAAYwBvAG4AcwBpAHMAdABlAG4AYwB5AC4AXABuAC0ALQAtAC0ALQAtAC0ALQAtAC0ALQAtAC0ALQAtAC0ALQAtAC0ALQAtAC0ALQAtAC0ALQAtAC0ALQAtAC0ALQAtAC0ALQAtAC0ALQAtAC0ALQAtAC0ALQAtAC0ALQAtAC0ALQAtAC0ALQAtAC0ALQAtAC0ALQAtAC0ALQAtAC0ALQAtAC0ALQAtAC0ALQAtAC0ALQAtAC0ALQAtACoALwBcAG4AXABuAFIAZQBtAG8AdgBlALsDIAA9AFwAbgBMAEEATQBCAEQAQQAoAFwAbgAgACAAIAAgAGEAcgByAGEAeQAsAFwAbgAgACAAIAAgAFsAcgBvAHcAcwBdACwAXABuACAAIAAgACAAWwBjAG8AbABzAF0ALABcAG4ATABFAFQAKABcAG4AIAAgACAAIAAvAC8AIABEAGkAbQBlAG4AcwBpAG8AbgBzAFwAbgAgACAAIAAgAGgALAAgACAAIAAgACAAIAAgACAAIAAgACAAIAAgACAAIAAgACAAIABSAE8AVwBTACgAYQByAHIAYQB5ACkALABcAG4AIAAgACAAIAB3ACwAIAAgACAAIAAgACAAIAAgACAAIAAgACAAIAAgACAAIAAgACAAQwBPAEwAVQBNAE4AUwAoAGEAcgByAGEAeQApACwAXABuAFwAbgAgACAAIAAgAC8ALwAgAE8AcAB0AGkAbwBuAGEAbAAgAHAAYQByAGEAbQBlAHQAZQByACAAcAByAGUAcwBlAG4AYwBlAFwAbgAgACAAIAAgAHIAbwB3AHMAXwBpAG4AYwAsACAAIAAgACAAIAAgACAAIAAgACAAIABOAE8AVAAoAEkAUwBPAE0ASQBUAFQARQBEACgAcgBvAHcAcwApACkALABcAG4AIAAgACAAIABjAG8AbABzAF8AaQBuAGMALAAgACAAIAAgACAAIAAgACAAIAAgACAATgBPAFQAKABJAFMATwBNAEkAVABUAEUARAAoAGMAbwBsAHMAKQApACwAXABuAFwAbgAgACAAIAAgAC8ALwAgAFIAZQBtAG8AdgBhAGwAIABzAGMAZQBuAGEAcgBpAG8AcwBcAG4AIAAgACAAIABSAGUAbQBvAHYAZQBSAG8AdwBzAD8ALAAgACAAIAAgACAAIAAgACAAQQBOAEQAKAByAG8AdwBzAF8AaQBuAGMALAAgAE4ATwBUACgAYwBvAGwAcwBfAGkAbgBjACkAKQAsAFwAbgAgACAAIAAgAFIAZQBtAG8AdgBlAEMAbwBsAHMAPwAsACAAIAAgACAAIAAgACAAIABBAE4ARAAoAGMAbwBsAHMAXwBpAG4AYwAsACAATgBPAFQAKAByAG8AdwBzAF8AaQBuAGMAKQApACwAXABuACAAIAAgACAAUgBlAG0AbwB2AGUAUgBDAD8ALAAgACAAIAAgACAAIAAgACAAIAAgAEEATgBEACgAcgBvAHcAcwBfAGkAbgBjACwAIABjAG8AbABzAF8AaQBuAGMAKQAsAFwAbgBcAG4AIAAgACAAIAAvAC8AIABIAGEAbAB0AGkAbgBnACAAcwBjAGUAbgBhAHIAaQBvAHMAXABuACAAIAAgACAASQBzAFMAYwBhAGwAYQByAD8ALAAgACAAIAAgACAAIAAgACAAIAAgAEEATgBEACgAaAAgAD0AIAAxACwAIAB3ACAAPQAgADEAKQAsAFwAbgAgACAAIAAgAFQAZQB4AHQAUgBvAHcAcwA/ACwAIAAgACAAIAAgACAAIAAgACAAIABPAFIAKABJAFMAVABFAFgAVAAoAHIAbwB3AHMAKQApACwAXABuACAAIAAgACAAVABlAHgAdABDAG8AbABzAD8ALAAgACAAIAAgACAAIAAgACAAIAAgAE8AUgAoAEkAUwBUAEUAWABUACgAYwBvAGwAcwApACkALABcAG4AXABuACAAIAAgACAASQBuAHYAYQBsAGkAZABSAG8AdwA/ACwAIAAgACAAIAAgACAAIAAgAEkARgAoAFQAZQB4AHQAUgBvAHcAcwA/ACwAIABUAFIAVQBFACwAXABuACAAIAAgACAAIAAgACAAIAAgACAAIAAgACAAIAAgACAAIAAgACAAIAAgACAAIAAgACAAIAAgACAAQQBOAEQAKAByAG8AdwBzAF8AaQBuAGMALABcAG4AIAAgACAAIAAgACAAIAAgACAAIAAgACAAIAAgACAAIAAgACAAIAAgACAAIAAgACAAIAAgACAAIAAgACAAIAAgAE8AUgAoAE0ASQBOACgAcgBvAHcAcwApACAAPAAgADEALAAgAE0AQQBYACgAcgBvAHcAcwApACAAPgAgAGgAKQApACkALABcAG4AXABuACAAIAAgACAASQBuAHYAYQBsAGkAZABDAG8AbAA/ACwAIAAgACAAIAAgACAAIAAgAEkARgAoAFQAZQB4AHQAQwBvAGwAcwA/ACwAIABUAFIAVQBFACwAXABuACAAIAAgACAAIAAgACAAIAAgACAAIAAgACAAIAAgACAAIAAgACAAIAAgACAAIAAgACAAIAAgACAAQQBOAEQAKABjAG8AbABzAF8AaQBuAGMALABcAG4AIAAgACAAIAAgACAAIAAgACAAIAAgACAAIAAgACAAIAAgACAAIAAgACAAIAAgACAAIAAgACAAIAAgACAAIAAgAE8AUgAoAE0ASQBOACgAYwBvAGwAcwApACAAPAAgADEALAAgAE0AQQBYACgAYwBvAGwAcwApACAAPgAgAHcAKQApACkALABcAG4AXABuAC8ALwAgAEwAbwBnAGkAYwAgAGcAYQB0AGUAXABuACAAIAAgACAASQBGACgASQBzAFMAYwBhAGwAYQByAD8ALAAgAGEAcgByAGEAeQAsAFwAbgBcAG4AIAAgACAAIAAgACAAIAAgAEkARgAoAEkAbgB2AGEAbABpAGQAUgBvAHcAPwAsACAAXAAiACMASQBOAFYAQQBMAEkARAAtAFIATwBXACEAXAAiACwAXABuAFwAbgAgACAAIAAgACAAIAAgACAAIAAgACAAIABJAEYAKABJAG4AdgBhAGwAaQBkAEMAbwBsAD8ALAAgAFwAIgAjAEkATgBWAEEATABJAEQALQBDAE8ATAAhAFwAIgAsAFwAbgBcAG4ATABFAFQAKABcAG4AIAAgACAAIAAvAC8AIABSAG8AdwAvAGMAbwBsAHUAbQBuACAAaQBuAGQAZQB4ACAAdgBlAGMAdABvAHIAcwBcAG4AIAAgACAAIAByACwAIAAgACAAIAAgACAAIAAgACAAIAAgACAAUwBFAFEAVQBFAE4AQwBFACgAaAApACwAXABuACAAIAAgACAAYwAsACAAIAAgACAAIAAgACAAIAAgACAAIAAgAFMARQBRAFUARQBOAEMARQAoACwAIAB3ACkALABcAG4AXABuACAAIAAgACAALwAvACAAQgBvAG8AbABlAGEAbgAgAG0AYQBzAGsAcwBcAG4AIAAgACAAIAByAG0AYQBzAGsALAAgACAAIAAgACAAIAAgACAATABBAE0AQgBEAEEAKABJAFMATgBBACgAWABNAEEAVABDAEgAKAByACwAIABUAE8AQwBPAEwAKAByAG8AdwBzACkAKQApACkALABcAG4AIAAgACAAIABjAG0AYQBzAGsALAAgACAAIAAgACAAIAAgACAATABBAE0AQgBEAEEAKABJAFMATgBBACgAWABNAEEAVABDAEgAKABjACwAIABUAE8AQwBPAEwAKABjAG8AbABzACkAKQApACkALABcAG4AXABuACAAIAAgACAALwAvACAAUgBvAHcALQBvAG4AbAB5ACAAcgBlAG0AbwB2AGEAbABcAG4AIAAgACAAIAByAG8AdwBzAF8AbwBuAGwAeQAsACAAIAAgACAATABBAE0AQgBEAEEAKABGAEkATABUAEUAUgAoAGEAcgByAGEAeQAsACAAcgBtAGEAcwBrACgAKQAsACAAMAApACkALABcAG4AXABuACAAIAAgACAALwAvACAAQwBvAGwAdQBtAG4ALQBvAG4AbAB5ACAAcgBlAG0AbwB2AGEAbABcAG4AIAAgACAAIABjAG8AbABzAF8AbwBuAGwAeQAsACAAIAAgACAATABBAE0AQgBEAEEAKABGAEkATABUAEUAUgAoAGEAcgByAGEAeQAsACAAYwBtAGEAcwBrACgAKQAsACAAMAApACkALABcAG4AXABuACAAIAAgACAALwAvACAAQgBvAHQAaAAgAHIAbwB3AHMAIABhAG4AZAAgAGMAbwBsAHUAbQBuAHMAXABuACAAIAAgACAAUgBDAF8AcgAsACAAIAAgACAAIAAgACAAIAAgAEwAQQBNAEIARABBACgARgBJAEwAVABFAFIAKABhAHIAcgBhAHkALAAgAHIAbQBhAHMAawAoACkALAAgADAAKQApACwAXABuACAAIAAgACAAUgBDACwAIAAgACAAIAAgACAAIAAgACAAIAAgAEwAQQBNAEIARABBACgARgBJAEwAVABFAFIAKABSAEMAXwByACgAKQAsACAAYwBtAGEAcwBrACgAKQAsACAAMAApACkALABcAG4AXABuACAAIAAgACAALwAvACAAUwBlAGwAZQBjAHQAaQBvAG4AXABuACAAIAAgACAAcgBlAHMAdQBsAHQALAAgACAAIAAgACAAIAAgAEkARgAoAFIAZQBtAG8AdgBlAFIAbwB3AHMAPwAsACAAcgBvAHcAcwBfAG8AbgBsAHkAKAApACwAXABuACAAIAAgACAAIAAgACAAIAAgACAAIAAgACAAIAAgACAAIAAgACAAIAAgACAAIAAgAEkARgAoAFIAZQBtAG8AdgBlAEMAbwBsAHMAPwAsACAAYwBvAGwAcwBfAG8AbgBsAHkAKAApACwAIABSAEMAKAApACkAKQAsAFwAbgBcAG4AIAAgACAAIAByAGUAcwB1AGwAdABcAG4AKQApACkAKQApACkAOwBcAG4AXABuAFwAbgBcAG4ALwAqACAAWwBHAEEAMAA2AF0AIAAtAC0ALQAtAC0ALQAtAC0ALQAtAC0ALQAtAC0ALQAtAC0ALQAtAC0ALQAtAC0ALQAtAC0ALQAtAC0ALQAtAC0ALQAtAC0ALQAtAC0ALQAtAC0ALQAtAC0ALQAtAC0ALQAtAC0ALQAtAC0ALQAtAC0ALQAtAC0ALQAtAC0ALQAtAC0ALQAtAC0ALQAtAC0ALQAtAFwAbgBGAHUAbgBjAHQAaQBvAG4AOgAgACAAIAAgACAAUwBxAHUAZQBlAHoAZQC7A1wAbgBDAGEAdABlAGcAbwByAHkAOgAgACAAIAAgACAARwByAGkAZAAgAEEAbABnAGUAYgByAGEAIAAoAEQAZQBsAGUAdABpAG8AbgApAFwAbgBBAHUAdABoAG8AcgA6ACAAIAAgACAAIAAgACAAUABhAHQAcgBpAGMAawAgAEgALgBcAG4AVgBlAHIAcwBpAG8AbgA6ACAAIAAgACAAIAAgADEALgAxAFwAbgBcAG4ARABlAHMAYwByAGkAcAB0AGkAbwBuADoAXABuACAAIAAgACAAUgBlAG0AbwB2AGUAcwAgAG4AdQBsAGwAIABhAG4AZAAgAHMAdAByAGEAaQBnAGgAdAARIHoAZQByAG8AIAB2AGUAcgB0AGkAYwBhAGwAIABvAHIAIABoAG8AcgBpAHoAbwBuAHQAYQBsACAAdgBlAGMAdABvAHIAcwAgAGYAcgBvAG0AIABhACAAMgBEACAAYQByAHIAYQB5AC4AXABuACAAIAAgACAAUwB1AHAAcABvAHIAdABzACAAYQBuACAAbwBwAHQAaQBvAG4AYQBsACAAYwB1AHMAdABvAG0AIABzAGMAYQBsAGEAcgAgAGMAcgBpAHQAZQByAGkAbwBuACAAZgBvAHIAIAByAGUAbQBvAHYAYQBsAC4AIABTAHEAdQBlAGUAegBlALsDIABjAGEAbgAgAGEAbABzAG8AXABuACAAIAAgACAAbwBwAHQAaQBvAG4AYQBsAGwAeQAgAHMAdQBwAHAAcgBlAHMAcwAgAHoAZQByAG8AcwAgAGkAbgAgAHQAaABlACAAZgBpAG4AYQBsACAAbwB1AHQAcAB1AHQAIABiAHkAIAByAGUAcABsAGEAYwBpAG4AZwAgAHQAaABlAG0AIAB3AGkAdABoACAAXAAiAFwAIgAuAFwAbgBcAG4AUABhAHIAYQBtAGUAdABlAHIAcwA6AFwAbgAgACAAIAAgAGEAcgByAGEAeQAgACAAIAAgACAAIAAgACAAIAAgACAAIAAtACAAMQBEACAAbwByACAAMgBEACAAYQByAHIAYQB5ACAAZgByAG8AbQAgAHcAaABpAGMAaAAgAHIAbwB3AHMALwBjAG8AbAB1AG0AbgBzACAAYQByAGUAIAByAGUAbQBvAHYAZQBkAC4AXABuACAAIAAgACAAWwBjAHUAcwB0AG8AbQBfAGMAcgBpAHQAZQByAGkAYQBdAC0AIABPAHAAdABpAG8AbgBhAGwAIABzAGMAYQBsAGEAcgAgAHUAcwBlAGQAIABhAHMAIAB0AGgAZQAgAHIAZQBtAG8AdgBhAGwAIABjAHIAaQB0AGUAcgBpAG8AbgAuAFwAbgAgACAAIAAgAFsAcwB1AHAAcAByAGUAcwBzAF8AegBlAHIAbwBzAF0AIAAtACAASQBmACAAcAByAG8AdgBpAGQAZQBkACwAIAB6AGUAcgBvAHMAIABpAG4AIAB0AGgAZQAgAGYAaQBuAGEAbAAgAHIAZQBzAHUAbAB0ACAAYQByAGUAIAByAGUAcABsAGEAYwBlAGQAIAB3AGkAdABoACAAXAAiAFwAIgAuAFwAbgBcAG4ATgBvAHQAZQBzADoAXABuACAAIAAgACAAIiAgAEkAZgAgAGIAbwB0AGgAIAByAG8AdwAgAGEAbgBkACAAYwBvAGwAdQBtAG4AIAB2AGUAYwB0AG8AcgBzACAAYQByAGUAIAByAGUAbQBvAHYAZQBkACwAIAB0AGgAZQAgAHIAZQBzAHUAbAB0ACAAbQBhAHkAIABzAGgAcgBpAG4AawAgAGkAbgAgAGIAbwB0AGgAXABuACAAIAAgACAAIAAgAGQAaQBtAGUAbgBzAGkAbwBuAHMALgBcAG4AIAAgACAAIAAiICAASQBmACAAbgBvACAAcgBvAHcAcwAgAG8AcgAgAGMAbwBsAHUAbQBuAHMAIAByAGUAbQBhAGkAbgAsACAAXAAiACMARQBNAFAAVABZAC0AQQBSAFIAQQBZACEAXAAiACAAaQBzACAAcgBlAHQAdQByAG4AZQBkAC4AXABuACAAIAAgACAAIiAgAHMAdQBwAHAAcgBlAHMAcwBfAHoAZQByAG8AcwAgAG8AbgBsAHkAIABhAGYAZgBlAGMAdABzACAAdABoAGUAIAAqAG8AdQB0AHAAdQB0ACoALAAgAG4AbwB0ACAAdABoAGUAIAByAGUAbQBvAHYAYQBsACAAbABvAGcAaQBjAC4AXABuAC0ALQAtAC0ALQAtAC0ALQAtAC0ALQAtAC0ALQAtAC0ALQAtAC0ALQAtAC0ALQAtAC0ALQAtAC0ALQAtAC0ALQAtAC0ALQAtAC0ALQAtAC0ALQAtAC0ALQAtAC0ALQAtAC0ALQAtAC0ALQAtAC0ALQAtAC0ALQAtAC0ALQAtAC0ALQAtAC0ALQAtAC0ALQAtAC0ALQAtAC0ALQAtACoALwBcAG4AXABuAFMAcQB1AGUAZQB6AGUAuwMgAD0AXABuAEwAQQBNAEIARABBACgAXABuACAAIAAgACAAYQByAHIAYQB5ACwAXABuACAAIAAgACAAWwBjAHUAcwB0AG8AbQBfAGMAcgBpAHQAZQByAGkAYQBdACwAXABuACAAIAAgACAAWwBzAHUAcABwAHIAZQBzAHMAXwB6AGUAcgBvAHMAXQAsAFwAbgBMAEUAVAAoAFwAbgAgACAAIAAgAC8ALwAgAFoAZQByAG8AESBzAHUAcABwAHIAZQBzAHMAaQBvAG4AIABmAGwAYQBnAFwAbgAgACAAIAAgAEgAaQBkAGUAWgBlAHIAbwA/ACwAIAAgACAAIAAgACAAIAAgACAAIABOAE8AVAAoAEkAUwBPAE0ASQBUAFQARQBEACgAcwB1AHAAcAByAGUAcwBzAF8AegBlAHIAbwBzACkAKQAsAFwAbgBcAG4AIAAgACAAIAAvAC8AIABJAG4AZABlAHgAIABzAGUAcQB1AGUAbgBjAGUAcwBcAG4AIAAgACAAIABpACwAIAAgACAAIAAgACAAIAAgACAAIAAgACAAIAAgACAAIAAgACAAUwBFAFEAVQBFAE4AQwBFACgAUgBPAFcAUwAoAGEAcgByAGEAeQApACkALABcAG4AIAAgACAAIABqACwAIAAgACAAIAAgACAAIAAgACAAIAAgACAAIAAgACAAIAAgACAAUwBFAFEAVQBFAE4AQwBFACgALAAgAEMATwBMAFUATQBOAFMAKABhAHIAcgBhAHkAKQApACwAXABuAFwAbgAgACAAIAAgAC8ALwAgAEQAZQBmAGEAdQBsAHQAIAByAGUAbQBvAHYAYQBsADoAIAByAGUAbQBvAHYAZQAgAGEAbABsABEgegBlAHIAbwAgAHYAZQBjAHQAbwByAHMAXABuACAAIAAgACAASwBlAGUAcAC7AywAIAAgACAAIAAgACAAIAAgACAAIAAgACAAIAAgAEwAQQBNAEIARABBACgAdgAsACAATgBPAFQAKABBAE4ARAAoAFQATwBDAE8ATAAoAHYALAAgADIAKQAgAD0AIAAwACkAKQApACwAXABuAFwAbgAgACAAIAAgAC8ALwAgAEMAdQBzAHQAbwBtACAAcgBlAG0AbwB2AGEAbAA6ACAAcgBlAG0AbwB2AGUAIAB2AGUAYwB0AG8AcgBzACAAZQBxAHUAYQBsACAAdABvACAAYwB1AHMAdABvAG0AXwBjAHIAaQB0AGUAcgBpAGEAXABuACAAIAAgACAAQwB1AHMAdABvAG0AuwMsACAAIAAgACAAIAAgACAAIAAgACAAIAAgAEwAQQBNAEIARABBACgAdgAsACAATgBPAFQAKABBAE4ARAAoAFQATwBDAE8ATAAoAHYALAAgADIAKQAgAD0AIABjAHUAcwB0AG8AbQBfAGMAcgBpAHQAZQByAGkAYQApACkAKQAsAFwAbgBcAG4AIAAgACAAIAAvAC8AIABTAGUAbABlAGMAdAAgAHAAcgBlAGQAaQBjAGEAdABlAFwAbgAgACAAIAAgAGYAbgAsACAAIAAgACAAIAAgACAAIAAgACAAIAAgACAAIAAgACAAIABJAEYAKABJAFMATwBNAEkAVABUAEUARAAoAGMAdQBzAHQAbwBtAF8AYwByAGkAdABlAHIAaQBhACkALAAgAEsAZQBlAHAAuwMsACAAQwB1AHMAdABvAG0AuwMpACwAXABuAFwAbgAgACAAIAAgAC8ALwAgAFIAbwB3AC8AYwBvAGwAdQBtAG4AIABpAG4AZABpAGMAZQBzACAAdABvACAAawBlAGUAcABcAG4AIAAgACAAIABhACwAIAAgACAAIAAgACAAIAAgACAAIAAgACAAIAAgACAAIAAgACAAVABPAEMATwBMACgASQBGACgAQgBZAFIATwBXACgAYQByAHIAYQB5ACwAIABmAG4AKQAsACAAaQAsACAATgBBACgAKQApACwAIAAyACkALABcAG4AIAAgACAAIABiACwAIAAgACAAIAAgACAAIAAgACAAIAAgACAAIAAgACAAIAAgACAAVABPAFIATwBXACgASQBGACgAQgBZAEMATwBMACgAYQByAHIAYQB5ACwAIABmAG4AKQAsACAAagAsACAATgBBACgAKQApACwAIAAyACkALABcAG4AXABuACAAIAAgACAALwAvACAATgBvACAAcgBvAHcAcwAgAG8AcgAgAGMAbwBsAHUAbQBuAHMAIAByAGUAbQBhAGkAbgA/AFwAbgAgACAAIAAgAEkAcwBFAG0AcAB0AHkAPwAsACAAIAAgACAAIAAgACAAIAAgACAAIABBAE4ARAAoAEkAUwBFAFIAUgBPAFIAKABhACkALAAgAEkAUwBFAFIAUgBPAFIAKABiACkAKQAsAFwAbgBcAG4AIAAgACAAIAAvAC8AIABOAGUAdwAgAHMAaABhAHAAZQBcAG4AIAAgACAAIAB4ACwAIAAgACAAIAAgACAAIAAgACAAIAAgACAAIAAgACAAIAAgACAAUgBPAFcAUwAoAGEAKQAsAFwAbgAgACAAIAAgAHkALAAgACAAIAAgACAAIAAgACAAIAAgACAAIAAgACAAIAAgACAAIABDAE8ATABVAE0ATgBTACgAYgApACwAXABuAFwAbgAgACAAIAAgAC8ALwAgAEkAbgBkAGUAeAAgAGcAcgBpAGQAcwBcAG4AIAAgACAAIAByACwAIAAgACAAIAAgACAAIAAgACAAIAAgACAAIAAgACAAIAAgACAAYQAgACoAIABTAEUAUQBVAEUATgBDAEUAKAAsACAAeQAsACAAMQAsACAAMAApACwAXABuACAAIAAgACAAYwAsACAAIAAgACAAIAAgACAAIAAgACAAIAAgACAAIAAgACAAIAAgAGIAIAAqACAAUwBFAFEAVQBFAE4AQwBFACgAeAAsACAALAAgADEALAAgADAAKQAsAFwAbgBcAG4AIAAgACAAIAAvAC8AIABFAHgAdAByAGEAYwB0ACAAcgBlAHMAdQBsAHQAXABuACAAIAAgACAAcgBlAHMAdQBsAHQALAAgACAAIAAgACAAIAAgACAAIAAgACAAIAAgAEkATgBEAEUAWAAoAGEAcgByAGEAeQAsACAAcgAsACAAYwApACwAXABuAFwAbgAgACAAIAAgAC8ALwAgAE8AcAB0AGkAbwBuAGEAbAAgAHoAZQByAG8AIABzAHUAcABwAHIAZQBzAHMAaQBvAG4AXABuACAAIAAgACAAcgBlAHMAdQBsAHQAXwBiACwAIAAgACAAIAAgACAAIAAgACAAIAAgAEkARgAoAHIAZQBzAHUAbAB0ACAAPQAgADAALAAgAFwAIgBcACIALAAgAHIAZQBzAHUAbAB0ACkALABcAG4AXABuACAAIAAgACAALwAvACAARgBpAG4AYQBsACAAbwB1AHQAcAB1AHQAXABuACAAIAAgACAAbwB1AHQAcAB1AHQALAAgACAAIAAgACAAIAAgACAAIAAgACAAIAAgAEkARgAoAEkAcwBFAG0AcAB0AHkAPwAsAFwAbgAgACAAIAAgACAAIAAgACAAIAAgACAAIAAgACAAIAAgACAAIAAgACAAIAAgACAAIAAgACAAIAAgAFwAIgAjAEUATQBQAFQAWQAtAEEAUgBSAEEAWQAhAFwAIgAsAFwAbgAgACAAIAAgACAAIAAgACAAIAAgACAAIAAgACAAIAAgACAAIAAgACAAIAAgACAAIAAgACAAIAAgAEkARgAoAEgAaQBkAGUAWgBlAHIAbwA/ACwAIAByAGUAcwB1AGwAdABfAGIALAAgAHIAZQBzAHUAbAB0ACkAKQAsAFwAbgBcAG4AIAAgACAAIABvAHUAdABwAHUAdABcAG4AKQApADsAXABuAFwAbgBcAG4AXABuAC8AKgAgAFsARwBBADAANwBdACAALQAtAC0ALQAtAC0ALQAtAC0ALQAtAC0ALQAtAC0ALQAtAC0ALQAtAC0ALQAtAC0ALQAtAC0ALQAtAC0ALQAtAC0ALQAtAC0ALQAtAC0ALQAtAC0ALQAtAC0ALQAtAC0ALQAtAC0ALQAtAC0ALQAtAC0ALQAtAC0ALQAtAC0ALQAtAC0ALQAtAC0ALQAtAC0ALQBcAG4ARgB1AG4AYwB0AGkAbwBuADoAIAAgACAAIAAgAEsAcgBvAG4AZQBjAGsAZQByAFAAcgBvAGQAuwNcAG4AQwBhAHQAZQBnAG8AcgB5ADoAIAAgACAAIAAgAEcAcgBpAGQAIABBAGwAZwBlAGIAcgBhACAAKABFAHgAcABhAG4AcwBpAG8AbgApAFwAbgBBAHUAdABoAG8AcgA6ACAAIAAgACAAIAAgACAAUABhAHQAcgBpAGMAawAgAEgALgBcAG4AVgBlAHIAcwBpAG8AbgA6ACAAIAAgACAAIAAgADEALgAxAFwAbgBEAGUAcABlAG4AZABlAG4AYwBpAGUAcwA6ACAATQBhAGcAbgBpAGYAeQC7AywAIABSAGUAcwBpAHoAZQC7A1wAbgBcAG4ARABlAHMAYwByAGkAcAB0AGkAbwBuADoAXABuACAAIAAgACAAQwBvAG0AcAB1AHQAZQBzACAAdABoAGUAIABLAHIAbwBuAGUAYwBrAGUAcgAgAHAAcgBvAGQAdQBjAHQAIABvAGYAIAB0AHcAbwAgAGEAcgByAGEAeQBzAC4AIABUAGgAZQAgAGYAaQByAHMAdAAgAGEAcgByAGEAeQAgAGkAcwAgAGUAeABwAGEAbgBkAGUAZABcAG4AIAAgACAAIAB1AHMAaQBuAGcAIABNAGEAZwBuAGkAZgB5ALsDIAB0AG8AIABtAGEAdABjAGgAIAB0AGgAZQAgAGgAZQBpAGcAaAB0ACAAYQBuAGQAIAB3AGkAZAB0AGgAIABvAGYAIABhAHIAcgBhAHkAXwAyACwAIAB3AGgAaQBsAGUAIABhAHIAcgBhAHkAXwAyACAAaQBzAFwAbgAgACAAIAAgAHIAZQBzAGkAegBlAGQAIAB1AHMAaQBuAGcAIABSAGUAcwBpAHoAZQC7AyAAdABvACAAbQBhAHQAYwBoACAAdABoAGUAIABkAGkAbQBlAG4AcwBpAG8AbgBzACAAbwBmACAAYQByAHIAYQB5AF8AMQAuACAAVABoAGUAaQByACAAZQBsAGUAbQBlAG4AdAARIHcAaQBzAGUAXABuACAAIAAgACAAcAByAG8AZAB1AGMAdAAgAHkAaQBlAGwAZABzACAAdABoAGUAIABmAHUAbABsACAASwByAG8AbgBlAGMAawBlAHIAIABlAHgAcABhAG4AcwBpAG8AbgAuAFwAbgBcAG4AIAAgACAAIABBAGwAdABoAG8AdQBnAGgAIABLAHIAbwBuAGUAYwBrAGUAcgAgAHAAcgBvAGQAdQBjAHQAcwAgAGEAcgBlACAAdAByAGEAZABpAHQAaQBvAG4AYQBsAGwAeQAgAGQAZQBmAGkAbgBlAGQAIABmAG8AcgAgAG0AYQB0AHIAaQBjAGUAcwAsACAAdABoAGkAcwBcAG4AIAAgACAAIABpAG0AcABsAGUAbQBlAG4AdABhAHQAaQBvAG4AIABhAGwAcwBvACAAcwB1AHAAcABvAHIAdABzACAAcwBjAGEAbABhAHIAcwAgAGEAbgBkACAAMQBEACAAYQByAHIAYQB5AHMALgBcAG4AXABuAFAAYQByAGEAbQBlAHQAZQByAHMAOgBcAG4AIAAgACAAIABhAHIAcgBhAHkAXwAxACAAIAAgACAAIAAtACAAMQBEACAAbwByACAAMgBEACAAYQByAHIAYQB5ACAAKABzAGMAYQBsAGEAcgBzACAAYQBjAGMAZQBwAHQAZQBkACkALgBcAG4AIAAgACAAIABhAHIAcgBhAHkAXwAyACAAIAAgACAAIAAtACAAMQBEACAAbwByACAAMgBEACAAYQByAHIAYQB5ACAAKABzAGMAYQBsAGEAcgBzACAAYQBjAGMAZQBwAHQAZQBkACkALgBcAG4AXABuAE4AbwB0AGUAcwA6AFwAbgAgACAAIAAgACIgIABCAHIAbwBhAGQAYwBhAHMAdABpAG4AZwAgAGkAcwAgAHAAZQByAGYAbwByAG0AZQBkACAAdgBpAGEAIABuAGUAYQByAGUAcwB0ABEgbgBlAGkAZwBoAGIAbwByACAAZQB4AHAAYQBuAHMAaQBvAG4ALgBcAG4AIAAgACAAIAAiICAAVABoAGUAIABvAHUAdABwAHUAdAAgAGQAaQBtAGUAbgBzAGkAbwBuAHMAIABhAHIAZQAgACgAUgBPAFcAUwAoAGEAcgByAGEAeQBfADEAKQAqAFIATwBXAFMAKABhAHIAcgBhAHkAXwAyACkAKQAgANcAXABuACAAIAAgACAAIAAgACgAQwBPAEwAVQBNAE4AUwAoAGEAcgByAGEAeQBfADEAKQAqAEMATwBMAFUATQBOAFMAKABhAHIAcgBhAHkAXwAyACkAKQAuAFwAbgAtAC0ALQAtAC0ALQAtAC0ALQAtAC0ALQAtAC0ALQAtAC0ALQAtAC0ALQAtAC0ALQAtAC0ALQAtAC0ALQAtAC0ALQAtAC0ALQAtAC0ALQAtAC0ALQAtAC0ALQAtAC0ALQAtAC0ALQAtAC0ALQAtAC0ALQAtAC0ALQAtAC0ALQAtAC0ALQAtAC0ALQAtAC0ALQAtAC0ALQAtAC0ALQAqAC8AXABuAFwAbgBLAHIAbwBuAGUAYwBrAGUAcgBQAHIAbwBkALsDIAA9AFwAbgBMAEEATQBCAEQAQQAoAFwAbgAgACAAIAAgAGEAcgByAGEAeQBfADEALABcAG4AIAAgACAAIABhAHIAcgBhAHkAXwAyACwAXABuAEwARQBUACgAXABuACAAIAAgACAALwAvACAARABpAG0AZQBuAHMAaQBvAG4AcwBcAG4AIAAgACAAIABoACwAIAAgACAAIAAgACAAUgBPAFcAUwAoAGEAcgByAGEAeQBfADEAKQAsAFwAbgAgACAAIAAgAHcALAAgACAAIAAgACAAIABDAE8ATABVAE0ATgBTACgAYQByAHIAYQB5AF8AMQApACwAXABuACAAIAAgACAAaACCICwAIAAgACAAIAAgAFIATwBXAFMAKABhAHIAcgBhAHkAXwAyACkALABcAG4AIAAgACAAIAB3AIIgLAAgACAAIAAgACAAQwBPAEwAVQBNAE4AUwAoAGEAcgByAGEAeQBfADIAKQAsAFwAbgBcAG4AIAAgACAAIAAvAC8AIABCAHIAbwBhAGQAYwBhAHMAdAAgAGEAcgByAGEAeQBfADEAIABiAHkAIABtAGEAZwBuAGkAZgB5AGkAbgBnACAAZQBhAGMAaAAgAGUAbABlAG0AZQBuAHQAIABpAG4AdABvACAAYQBuACAAaACCICAA1wAgAHcAgiAgAGIAbABvAGMAawBcAG4AIAAgACAAIABBACwAIAAgACAAIAAgACAATQBhAGcAbgBpAGYAeQC7AygAYQByAHIAYQB5AF8AMQAsACAAaACCICwAIAB3AIIgKQAsAFwAbgBcAG4AIAAgACAAIAAvAC8AIABCAHIAbwBhAGQAYwBhAHMAdAAgAGEAcgByAGEAeQBfADIAIABiAHkAIAByAGUAcwBpAHoAaQBuAGcAIABpAHQAIAB0AG8AIABtAGEAdABjAGgAIABhAHIAcgBhAHkAXwAxABkgcwAgAHMAdAByAHUAYwB0AHUAcgBlAFwAbgAgACAAIAAgAEIALAAgACAAIAAgACAAIABSAGUAcwBpAHoAZQC7AygAYQByAHIAYQB5AF8AMgAsACAAaAAsACAAdwApACwAXABuAFwAbgAgACAAIAAgAC8ALwAgAEUAbABlAG0AZQBuAHQAESB3AGkAcwBlACAAcAByAG8AZAB1AGMAdAAgAHkAaQBlAGwAZABzACAAdABoAGUAIABLAHIAbwBuAGUAYwBrAGUAcgAgAGUAeABwAGEAbgBzAGkAbwBuAFwAbgAgACAAIAAgAHIAZQBzAHUAbAB0ACwAIABBACAAKgAgAEIALABcAG4AXABuACAAIAAgACAAcgBlAHMAdQBsAHQAXABuACkAKQA7AFwAbgBcAG4AXABuAFwAbgAvACoAIABbAEcAQQAwADgAXQAgAC0ALQAtAC0ALQAtAC0ALQAtAC0ALQAtAC0ALQAtAC0ALQAtAC0ALQAtAC0ALQAtAC0ALQAtAC0ALQAtAC0ALQAtAC0ALQAtAC0ALQAtAC0ALQAtAC0ALQAtAC0ALQAtAC0ALQAtAC0ALQAtAC0ALQAtAC0ALQAtAC0ALQAtAC0ALQAtAC0ALQAtAC0ALQAtAC0AXABuAEYAdQBuAGMAdABpAG8AbgA6ACAAIAAgACAAIABFAHgAYwBsAHUAZABlALsDXABuAEMAYQB0AGUAZwBvAHIAeQA6ACAAIAAgACAAIABHAHIAaQBkACAAQQBsAGcAZQBiAHIAYQAgACgARgBpAGwAdABlAHIAaQBuAGcAKQBcAG4AQQB1AHQAaABvAHIAOgAgACAAIAAgACAAIAAgAFAAYQB0AHIAaQBjAGsAIABIAC4AXABuAFYAZQByAHMAaQBvAG4AOgAgACAAIAAgACAAIAAxAC4AMQBcAG4AXABuAEQAZQBzAGMAcgBpAHAAdABpAG8AbgA6AFwAbgAgACAAIAAgAEYAaQBsAHQAZQByAHMAIABhAG4AIABhAHIAcgBhAHkAIAAoADEARAAgAG8AcgAgADIARAApACAAYgB5ACAAZQB4AGMAbAB1AGQAaQBuAGcAIABhAG4AeQAgAHIAbwB3ACAAdABoAGEAdAAgAGMAbwBuAHQAYQBpAG4AcwAgAGEAIABzAHAAZQBjAGkAZgBpAGUAZABcAG4AIAAgACAAIABjAHIAaQB0AGUAcgBpAG8AbgAuACAARQB4AGMAbAB1AGQAZQC7AyAAaQBzACAAYQAgAHMAaQBtAHAAbABpAGYAaQBlAGQAIABhAGwAdABlAHIAbgBhAHQAaQB2AGUAIAB0AG8AIABGAEkATABUAEUAUgAgAHcAaABlAHIAZQAgAHQAaABlACAAdQBzAGUAcgBcAG4AIAAgACAAIABzAHUAcABwAGwAaQBlAHMAIAB0AGgAZQAgAGUAeABjAGwAdQBzAGkAbwBuACAAdgBhAGwAdQBlAHMAIABkAGkAcgBlAGMAdABsAHkAIAByAGEAdABoAGUAcgAgAHQAaABhAG4AIABhACAAYgBvAG8AbABlAGEAbgAgAG0AYQBzAGsALgBcAG4AXABuACAAIAAgACAAVABoAGUAIABmAHUAbgBjAHQAaQBvAG4AIABjAGgAZQBjAGsAcwAgAGUAYQBjAGgAIAByAG8AdwAgAGYAbwByACAAdABoAGUAIABwAHIAZQBzAGUAbgBjAGUAIABvAGYAIABhAG4AeQAgAHYAYQBsAHUAZQAgAGkAbgAgACcAZQB4AGMAbAB1AGQAZQAnAC4AXABuACAAIAAgACAAUgBvAHcAcwAgAHQAaABhAHQAIABjAG8AbgB0AGEAaQBuACAAdABoAGUAIABlAHgAYwBsAHUAcwBpAG8AbgAgAGMAcgBpAHQAZQByAGkAbwBuACAAYQByAGUAIAByAGUAbQBvAHYAZQBkADsAIABhAGwAbAAgAG8AdABoAGUAcgBzACAAYQByAGUAIABrAGUAcAB0AC4AXABuAFwAbgBQAGEAcgBhAG0AZQB0AGUAcgBzADoAXABuACAAIAAgACAAYQByAHIAYQB5ACAAIAAgACAAIAAgACAALQAgADEARAAgAG8AcgAgADIARAAgAGEAcgByAGEAeQAgAHQAbwAgAGYAaQBsAHQAZQByAC4AXABuACAAIAAgACAAZQB4AGMAbAB1AGQAZQAgACAAIAAgACAALQAgAFMAYwBhAGwAYQByACAAbwByACAAMQBEACAAYQByAHIAYQB5ACAAbwBmACAAdgBhAGwAdQBlAHMAIAB0AG8AIABvAG0AaQB0AC4AXABuACAAIAAgACAAWwBpAGYAXwBlAG0AcAB0AHkAXQAgACAALQAgAE8AcAB0AGkAbwBuAGEAbAAgAGYAYQBsAGwAYgBhAGMAawAgAHYAYQBsAHUAZQAgAHcAaABlAG4AIABuAG8AIAByAG8AdwBzACAAcgBlAG0AYQBpAG4AIAAoAGQAZQBmAGEAdQBsAHQAIAA9ACAAMAApAC4AXABuAFwAbgBOAG8AdABlAHMAOgBcAG4AIAAgACAAIAAiICAAQQAgADIARAAgAGUAeABjAGwAdQBkAGUAIABhAHIAcgBhAHkAIABpAHMAIABpAG4AdgBhAGwAaQBkACAAYQBuAGQAIABoAGEAbAB0AHMAIAB3AGkAdABoACAAXAAiACMAMgBEAC0ARQBYAEMATABVAEQARQAhAFwAIgAuAFwAbgAgACAAIAAgACIgIABNAGEAdABjAGgAaQBuAGcAIABpAHMAIABwAGUAcgBmAG8AcgBtAGUAZAAgAHUAcwBpAG4AZwAgAFgATQBBAFQAQwBIADsAIABuAG8AbgARIG0AYQB0AGMAaABlAHMAIABhAHIAZQAgAHQAcgBlAGEAdABlAGQAIABhAHMAIAB6AGUAcgBvAC4AXABuACAAIAAgACAAIiAgAEYAaQBsAHQAZQByAGkAbgBnACAAaQBzACAAcgBvAHcAESB3AGkAcwBlADsAIABjAG8AbAB1AG0AbgBzACAAYQByAGUAIABwAHIAZQBzAGUAcgB2AGUAZAAuAFwAbgAtAC0ALQAtAC0ALQAtAC0ALQAtAC0ALQAtAC0ALQAtAC0ALQAtAC0ALQAtAC0ALQAtAC0ALQAtAC0ALQAtAC0ALQAtAC0ALQAtAC0ALQAtAC0ALQAtAC0ALQAtAC0ALQAtAC0ALQAtAC0ALQAtAC0ALQAtAC0ALQAtAC0ALQAtAC0ALQAtAC0ALQAtAC0ALQAtAC0ALQAtAC0ALQAqAC8AXABuAFwAbgBFAHgAYwBsAHUAZABlALsDIAA9AFwAbgBMAEEATQBCAEQAQQAoAFwAbgAgACAAIAAgAGEAcgByAGEAeQAsAFwAbgAgACAAIAAgAGUAeABjAGwAdQBkAGUALABcAG4AIAAgACAAIABbAGkAZgBfAGUAbQBwAHQAeQBdACwAXABuAFwAbgBJAEYAKABBAE4ARAAoAFIATwBXAFMAKABlAHgAYwBsAHUAZABlACkAIAA+ACAAMQAsACAAQwBPAEwAVQBNAE4AUwAoAGUAeABjAGwAdQBkAGUAKQAgAD4AIAAxACkALABcACIAIwAyAEQALQBFAFgAQwBMAFUARABFACEAXAAiACwAXABuAFwAbgBMAEUAVAAoAFwAbgAgACAAIAAgAC8ALwAgAE8AcAB0AGkAbwBuAGEAbAAgAGYAYQBsAGwAYgBhAGMAawBcAG4AIAAgACAAIABpAGYAXwBlAG0AcAB0AHkALAAgACAAIAAgACAAIAAgAEkARgAoAEkAUwBPAE0ASQBUAFQARQBEACgAaQBmAF8AZQBtAHAAdAB5ACkALAAgADAALAAgAGkAZgBfAGUAbQBwAHQAeQApACwAXABuAFwAbgAgACAAIAAgAC8ALwAgAFQAUgBVAEUAIAA9ACAAawBlAGUAcAAgAHIAbwB3ACwAIABGAEEATABTAEUAIAA9ACAAZQB4AGMAbAB1AGQAZQAgAHIAbwB3AFwAbgAgACAAIAAgAGsAZQBlAHAAPwAsACAAIAAgACAAIAAgACAAIAAgACAATgBPAFQAKABCAFkAUgBPAFcAKABJAEYATgBBACgAWABNAEEAVABDAEgAKABhAHIAcgBhAHkALAAgAGUAeABjAGwAdQBkAGUAKQAsACAAMAApACwATwBSACkAKQAsAFwAbgBcAG4AIAAgACAAIAByAGUAcwB1AGwAdAAsACAAIAAgACAAIAAgACAAIAAgAEYASQBMAFQARQBSACgAYQByAHIAYQB5ACwAIABrAGUAZQBwAD8ALAAgAGkAZgBfAGUAbQBwAHQAeQApACwAXABuAFwAbgAgACAAIAAgAHIAZQBzAHUAbAB0AFwAbgApACkAKQA7AFwAbgBcAG4AXABuAFwAbgAvACoAIABbAEcAQQAwADkAXQAgAC0ALQAtAC0ALQAtAC0ALQAtAC0ALQAtAC0ALQAtAC0ALQAtAC0ALQAtAC0ALQAtAC0ALQAtAC0ALQAtAC0ALQAtAC0ALQAtAC0ALQAtAC0ALQAtAC0ALQAtAC0ALQAtAC0ALQAtAC0ALQAtAC0ALQAtAC0ALQAtAC0ALQAtAC0ALQAtAC0ALQAtAC0ALQAtAC0AXABuAEYAdQBuAGMAdABpAG8AbgA6ACAAIAAgACAAIABTAG4AYQBwALsDXABuAEMAYQB0AGUAZwBvAHIAeQA6ACAAIAAgACAAIABHAHIAaQBkACAAQQBsAGcAZQBiAHIAYQAgACgARgBpAGwAdABlAHIAaQBuAGcAKQBcAG4AQQB1AHQAaABvAHIAOgAgACAAIAAgACAAIAAgAFAAYQB0AHIAaQBjAGsAIABIAC4AXABuAFYAZQByAHMAaQBvAG4AOgAgACAAIAAgACAAIAAxAC4AMQBcAG4AXABuAEQAZQBzAGMAcgBpAHAAdABpAG8AbgA6AFwAbgAgACAAIAAgAEYAaQBsAHQAZQByAHMAIABhAG4AIABhAHIAcgBhAHkAIAAoADEARAAgAG8AcgAgADIARAApACAAYgB5ACAAcwBlAGwAZQBjAHQAaQBuAGcAIAByAG8AdwBzACAAdABoAGEAdAAgAGMAbwBuAHQAYQBpAG4AIABhAHQAIABsAGUAYQBzAHQAIABvAG4AZQBcAG4AIAAgACAAIAB2AGEAbAB1AGUAIABmAHIAbwBtACAAdABoAGUAIAAnAGkAbgBjAGwAdQBkAGUAJwAgAGMAcgBpAHQAZQByAGkAYQAuACAAUwBuAGEAcAC7AyAAaQBzACAAYQAgAHMAaQBtAHAAbABpAGYAaQBlAGQAIABhAGwAdABlAHIAbgBhAHQAaQB2AGUAIAB0AG8AXABuACAAIAAgACAARgBJAEwAVABFAFIAIAB3AGgAZQByAGUAIAB0AGgAZQAgAHUAcwBlAHIAIABzAHUAcABwAGwAaQBlAHMAIAB0AGgAZQAgAGkAbgBjAGwAdQBzAGkAbwBuACAAdgBhAGwAdQBlAHMAIABkAGkAcgBlAGMAdABsAHkAIAByAGEAdABoAGUAcgAgAHQAaABhAG4AXABuACAAIAAgACAAYQAgAGIAbwBvAGwAZQBhAG4AIABtAGEAcwBrAC4AXABuAFwAbgAgACAAIAAgAFQAaABlACAAZgB1AG4AYwB0AGkAbwBuACAAYwBoAGUAYwBrAHMAIABlAGEAYwBoACAAcgBvAHcAIABmAG8AcgAgAHQAaABlACAAcAByAGUAcwBlAG4AYwBlACAAbwBmACAAYQBuAHkAIAB2AGEAbAB1AGUAIABpAG4AIAAnAGkAbgBjAGwAdQBkAGUAJwAuAFwAbgAgACAAIAAgAFIAbwB3AHMAIAB0AGgAYQB0ACAAYwBvAG4AdABhAGkAbgAgAHQAaABlACAAaQBuAGMAbAB1AHMAaQBvAG4AIABjAHIAaQB0AGUAcgBpAG8AbgAgAGEAcgBlACAAawBlAHAAdAA7ACAAYQBsAGwAIABvAHQAaABlAHIAcwAgAGEAcgBlACAAcgBlAG0AbwB2AGUAZAAuAFwAbgBcAG4AUABhAHIAYQBtAGUAdABlAHIAcwA6AFwAbgAgACAAIAAgAGEAcgByAGEAeQAgACAAIAAgACAAIAAgAC0AIAAxAEQAIABvAHIAIAAyAEQAIABhAHIAcgBhAHkAIAB0AG8AIABmAGkAbAB0AGUAcgAuAFwAbgAgACAAIAAgAGkAbgBjAGwAdQBkAGUAIAAgACAAIAAgAC0AIABTAGMAYQBsAGEAcgAgAG8AcgAgADEARAAgAGEAcgByAGEAeQAgAG8AZgAgAHYAYQBsAHUAZQBzACAAdABvACAAaQBuAGMAbAB1AGQAZQAuAFwAbgAgACAAIAAgAFsAaQBmAF8AZQBtAHAAdAB5AF0AIAAgAC0AIABPAHAAdABpAG8AbgBhAGwAIABmAGEAbABsAGIAYQBjAGsAIAB2AGEAbAB1AGUAIAB3AGgAZQBuACAAbgBvACAAcgBvAHcAcwAgAHIAZQBtAGEAaQBuACAAKABkAGUAZgBhAHUAbAB0ACAAPQAgADAAKQAuAFwAbgBcAG4ATgBvAHQAZQBzADoAXABuACAAIAAgACAAIiAgAEEAIAAyAEQAIABpAG4AYwBsAHUAZABlACAAYQByAHIAYQB5ACAAaQBzACAAaQBuAHYAYQBsAGkAZAAgAGEAbgBkACAAaABhAGwAdABzACAAdwBpAHQAaAAgAFwAIgAjADIARAAtAEkATgBDAEwAVQBEAEUAIQBcACIALgBcAG4AIAAgACAAIAAiICAATQBhAHQAYwBoAGkAbgBnACAAaQBzACAAcABlAHIAZgBvAHIAbQBlAGQAIAB1AHMAaQBuAGcAIABYAE0AQQBUAEMASAA7ACAAbgBvAG4AESBtAGEAdABjAGgAZQBzACAAYQByAGUAIAB0AHIAZQBhAHQAZQBkACAAYQBzACAAegBlAHIAbwAuAFwAbgAgACAAIAAgACIgIABGAGkAbAB0AGUAcgBpAG4AZwAgAGkAcwAgAHIAbwB3ABEgdwBpAHMAZQA7ACAAYwBvAGwAdQBtAG4AcwAgAGEAcgBlACAAcAByAGUAcwBlAHIAdgBlAGQALgBcAG4ALQAtAC0ALQAtAC0ALQAtAC0ALQAtAC0ALQAtAC0ALQAtAC0ALQAtAC0ALQAtAC0ALQAtAC0ALQAtAC0ALQAtAC0ALQAtAC0ALQAtAC0ALQAtAC0ALQAtAC0ALQAtAC0ALQAtAC0ALQAtAC0ALQAtAC0ALQAtAC0ALQAtAC0ALQAtAC0ALQAtAC0ALQAtAC0ALQAtAC0ALQAtAC0AKgAvAFwAbgBcAG4AUwBuAGEAcAC7AyAAPQBcAG4ATABBAE0AQgBEAEEAKABcAG4AIAAgACAAIABhAHIAcgBhAHkALABcAG4AIAAgACAAIABpAG4AYwBsAHUAZABlACwAXABuACAAIAAgACAAWwBpAGYAXwBlAG0AcAB0AHkAXQAsAFwAbgBcAG4ASQBGACgAQQBOAEQAKABSAE8AVwBTACgAaQBuAGMAbAB1AGQAZQApACAAPgAgADEALAAgAEMATwBMAFUATQBOAFMAKABpAG4AYwBsAHUAZABlACkAIAA+ACAAMQApACwAXAAiACMAMgBEAC0ASQBOAEMATABVAEQARQAhAFwAIgAsAFwAbgBcAG4ATABFAFQAKABcAG4AIAAgACAAIAAvAC8AIABPAHAAdABpAG8AbgBhAGwAIABmAGEAbABsAGIAYQBjAGsAXABuACAAIAAgACAAaQBmAF8AZQBtAHAAdAB5ACwAIAAgACAAIAAgACAAIABJAEYAKABJAFMATwBNAEkAVABUAEUARAAoAGkAZgBfAGUAbQBwAHQAeQApACwAIAAwACwAIABpAGYAXwBlAG0AcAB0AHkAKQAsAFwAbgBcAG4AIAAgACAAIAAvAC8AIABUAFIAVQBFACAAPQAgAGsAZQBlAHAAIAByAG8AdwAsACAARgBBAEwAUwBFACAAPQAgAGQAaQBzAGMAYQByAGQAIAByAG8AdwBcAG4AIAAgACAAIABrAGUAZQBwAD8ALAAgACAAIAAgACAAIAAgACAAIAAgAEIAWQBSAE8AVwAoAEkARgBOAEEAKABYAE0AQQBUAEMASAAoAGEAcgByAGEAeQAsACAAaQBuAGMAbAB1AGQAZQApACwAIAAwACkALABPAFIAKQAsAFwAbgBcAG4AIAAgACAAIAByAGUAcwB1AGwAdAAsACAAIAAgACAAIAAgACAAIAAgAEYASQBMAFQARQBSACgAYQByAHIAYQB5ACwAIABrAGUAZQBwAD8ALAAgAGkAZgBfAGUAbQBwAHQAeQApACwAXABuAFwAbgAgACAAIAAgAHIAZQBzAHUAbAB0AFwAbgApACkAKQA7AFwAbgBcAG4AXABuAFwAbgAvACoAIABbAEcAQQAxADAAXQAgAC0ALQAtAC0ALQAtAC0ALQAtAC0ALQAtAC0ALQAtAC0ALQAtAC0ALQAtAC0ALQAtAC0ALQAtAC0ALQAtAC0ALQAtAC0ALQAtAC0ALQAtAC0ALQAtAC0ALQAtAC0ALQAtAC0ALQAtAC0ALQAtAC0ALQAtAC0ALQAtAC0ALQAtAC0ALQAtAC0ALQAtAC0ALQAtAC0AXABuAEYAdQBuAGMAdABpAG8AbgA6ACAAIAAgACAAIABTAGgAaQBmAHQAuwNcAG4AQwBhAHQAZQBnAG8AcgB5ADoAIAAgACAAIAAgAEcAcgBpAGQAIABBAGwAZwBlAGIAcgBhACAAKABSAG8AbABsAGkAbgBnACkAXABuAEEAdQB0AGgAbwByADoAIAAgACAAIAAgACAAIABQAGEAdAByAGkAYwBrACAASAAuAFwAbgBWAGUAcgBzAGkAbwBuADoAIAAgACAAIAAgACAAMQAuADEAXABuAEQAZQBwAGUAbgBkAGUAbgBjAGkAZQBzADoAIABFAHgAcABsAG8AZABlALsDXABuAFwAbgBEAGUAcwBjAHIAaQBwAHQAaQBvAG4AOgBcAG4AIAAgACAAIABQAGUAcgBmAG8AcgBtAHMAIABhACAAYwBpAHIAYwB1AGwAYQByACAAcwBoAGkAZgB0ACAAbwBuACAAYQAgAHMAdQBwAHAAbABpAGUAZAAgAHQAdQBwAGwAZQAgACgAcwBjAGEAbABhAHIALAAgADEARAAgAGEAcgByAGEAeQAsACAAbwByACAAMgBEACAAYQByAHIAYQB5ACkALgBcAG4AIAAgACAAIABQAG8AcwBpAHQAaQB2AGUAIABzAGgAaQBmAHQAIAB2AGEAbAB1AGUAcwAgAHIAbwB0AGEAdABlACAAbABlAGYAdAA7ACAAbgBlAGcAYQB0AGkAdgBlACAAcwBoAGkAZgB0ACAAdgBhAGwAdQBlAHMAIAByAG8AdABhAHQAZQAgAHIAaQBnAGgAdAAuAFwAbgBcAG4AIAAgACAAIABFAHgAYQBtAHAAbABlAHMAOgBcAG4AIAAgACAAIAAgACAAIAAgAD0AUwBoAGkAZgB0ALsDKAB7ADEALAAyACwAMwAsADQAfQAsACAAMgApAFwAbgAgACAAIAAgACAAIAAgACAAIAAgACAAIACSISAAewAzACwANAAsADEALAAyAH0AXABuAFwAbgAgACAAIAAgACAAIAAgACAAPQBTAGgAaQBmAHQAuwMoAHsAMQAsADIALAAzACwANAB9ACwAIAAtADEAKQBcAG4AIAAgACAAIAAgACAAIAAgACAAIAAgACAAkiEgAHsANAAsADEALAAyACwAMwB9AFwAbgBcAG4AIAAgACAAIAAgACAAIAAgAD0AUwBoAGkAZgB0ALsDKABcACIAMQAyADMANABcACIAKQBcAG4AIAAgACAAIAAgACAAIAAgACAAIAAgACAAkiEgAHsAXAAiADIAXAAiADsAXAAiADMAXAAiADsAXAAiADQAXAAiADsAXAAiADEAXAAiAH0AXABuACAAIAAgACAAIAAgACAAIABcAG4AIAAgACAAIAAgACAAIAAgAD0AUwBoAGkAZgB0ALsDKAB7ADEALAAyACwAMwAsADQAfQAsAHsAMQAsADIALAAzAH0AKQBcAG4AIAAgACAAIAAgACAAIAAgACAAIAAgACAAkiEgAHsAMgAsADMALAA0ACwAMQA7AFwAbgAgACAAIAAgACAAIAAgACAAIAAgACAAIAAgACAAIAAzACwANAAsADEALAAyADsAXABuACAAIAAgACAAIAAgACAAIAAgACAAIAAgACAAIAAgADQALAAxACwAMgAsADMAfQBcAG4AXABuAFAAYQByAGEAbQBlAHQAZQByAHMAOgBcAG4AIAAgACAAIAB0AHUAcABsAGUAIAAgACAAIAAgACAAIAAtACAAUwBjAGEAbABhAHIALAAgADEARAAgAGEAcgByAGEAeQAsACAAbwByACAAMgBEACAAYQByAHIAYQB5AC4AXABuACAAIAAgACAAIAAgACAAIAAgACAAIAAgACAAIAAgACAAIAAgACIgIABTAGMAYQBsAGEAcgBzACAAYQByAGUAIABlAHgAcABsAG8AZABlAGQAIABpAG4AdABvACAAYwBoAGEAcgBhAGMAdABlAHIAIABhAHIAcgBhAHkAcwAgAHYAaQBhACAARQB4AHAAbABvAGQAZQC7Ay4AXABuACAAIAAgACAAIAAgACAAIAAgACAAIAAgACAAIAAgACAAIAAgACIgIAAyAEQAIABhAHIAcgBhAHkAcwAgAGEAcgBlACAAZgBsAGEAdAB0AGUAbgBlAGQAIAB3AGkAdABoACAAVABPAEMATwBMAC4AXABuAFwAbgAgACAAIAAgAFsAcwBoAGkAZgB0AF8AYgB5AF0AIAAgAC0AIABTAGgAaQBmAHQAIABjAG8AdQBuAHQAIAAoAGQAZQBmAGEAdQBsAHQAIAA9ACAAMQApAC4AXABuACAAIAAgACAAIAAgACAAIAAgACAAIAAgACAAIAAgACAAIAAgACIgIABQAG8AcwBpAHQAaQB2AGUAIACSISAAbABlAGYAdAAgAHMAaABpAGYAdABcAG4AIAAgACAAIAAgACAAIAAgACAAIAAgACAAIAAgACAAIAAgACAAIiAgAE4AZQBnAGEAdABpAHYAZQAgAJIhIAByAGkAZwBoAHQAIABzAGgAaQBmAHQAXABuACAAIAAgACAAIAAgACAAIAAgACAAIAAgACAAIAAgACAAIAAgACIgIABNAHUAbAB0AGkAESBzAGgAaQBmAHQAIABhAHIAcgBhAHkAcwAgAHAAcgBvAGQAdQBjAGUAIABhACAAbQBhAHQAcgBpAHgAIABvAGYAIABzAGgAaQBmAHQAZQBkACAAdAB1AHAAbABlAHMALgBcAG4AXABuAE4AbwB0AGUAcwA6AFwAbgAgACAAIAAgACIgIABPAHUAdABwAHUAdAAgAG8AcgBpAGUAbgB0AGEAdABpAG8AbgAgAG0AYQB0AGMAaABlAHMAIABpAG4AcAB1AHQAOgBcAG4AIAAgACAAIAAgACAAIAAgACAAIAAtACAAUwBjAGEAbABhAHIAcwAgAJIhIAB2AGUAcgB0AGkAYwBhAGwAXABuACAAIAAgACAAIAAgACAAIAAgACAALQAgAFYAZQByAHQAaQBjAGEAbAAgAGEAcgByAGEAeQBzACAAkiEgAHYAZQByAHQAaQBjAGEAbABcAG4AIAAgACAAIAAgACAAIAAgACAAIAAtACAASABvAHIAaQB6AG8AbgB0AGEAbAAgAGEAcgByAGEAeQBzACAAkiEgAGgAbwByAGkAegBvAG4AdABhAGwAXABuACAAIAAgACAAIiAgAE0AdQBsAHQAaQARIHMAaABpAGYAdAAgAGkAbgBwAHUAdABzACAAcgBlAHQAdQByAG4AIABhACAAcwB0AGEAYwBrAGUAZAAgAG0AYQB0AHIAaQB4ACAAbwBmACAAcwBoAGkAZgB0AGUAZAAgAHIAZQBzAHUAbAB0AHMALgBcAG4ALQAtAC0ALQAtAC0ALQAtAC0ALQAtAC0ALQAtAC0ALQAtAC0ALQAtAC0ALQAtAC0ALQAtAC0ALQAtAC0ALQAtAC0ALQAtAC0ALQAtAC0ALQAtAC0ALQAtAC0ALQAtAC0ALQAtAC0ALQAtAC0ALQAtAC0ALQAtAC0ALQAtAC0ALQAtAC0ALQAtAC0ALQAtAC0ALQAtAC0ALQAtAC0AKgAvAFwAbgBcAG4AUwBoAGkAZgB0ALsDIAA9AFwAbgBMAEEATQBCAEQAQQAoAFwAbgAgACAAIAAgAHQAdQBwAGwAZQAsAFwAbgAgACAAIAAgAFsAcwBoAGkAZgB0AF8AYgB5AF0ALABcAG4ATABFAFQAKABcAG4AIAAgACAAIAAvAC8AIABTAGgAYQBwAGUAIABjAGwAYQBzAHMAaQBmAGkAYwBhAHQAaQBvAG4AXABuACAAIAAgACAAaAAsACAAIAAgACAAIAAgACAAIAAgACAAIAAgACAAIAAgACAAIAAgAFIATwBXAFMAKAB0AHUAcABsAGUAKQAsAFwAbgAgACAAIAAgAHcALAAgACAAIAAgACAAIAAgACAAIAAgACAAIAAgACAAIAAgACAAIABDAE8ATABVAE0ATgBTACgAdAB1AHAAbABlACkALABcAG4AIAAgACAAIABJAHMAUwBjAGEAbABhAHIAPwAsACAAIAAgACAAIAAgACAAIAAgACAAQQBOAEQAKABoACAAPQAgADEALAAgAHcAIAA9ACAAMQApACwAXABuACAAIAAgACAASQBzAFYAZQByAHQAaQBjAGEAbAA/ACwAIAAgACAAIAAgACAAIAAgAEEATgBEACgAaAAgAD4AIAAxACwAIAB3ACAAPQAgADEAKQAsAFwAbgBcAG4AIAAgACAAIAAvAC8AIABOAG8AcgBtAGEAbABpAHoAZQAgAHQAdQBwAGwAZQAgAJIhIAB2AGUAcgB0AGkAYwBhAGwAIABhAHIAcgBhAHkAXABuACAAIAAgACAAdAB1AHAAbABlACwAIAAgACAAIAAgACAAIAAgACAAIAAgACAAIAAgAFQATwBDAE8ATAAoAEkARgAoAEkAcwBTAGMAYQBsAGEAcgA/ACwARQB4AHAAbABvAGQAZQC7AygAdAB1AHAAbABlACkALAB0AHUAcABsAGUAKQApACwAXABuAFwAbgAgACAAIAAgAC8ALwAgAE4AbwByAG0AYQBsAGkAegBlACAAcwBoAGkAZgB0AF8AYgB5ACAAkiEgAHYAZQByAHQAaQBjAGEAbAAgAGEAcgByAGEAeQBcAG4AIAAgACAAIABzAGgAaQBmAHQAXwBiAHkALAAgACAAIAAgACAAIAAgACAAIAAgACAAVABPAEMATwBMACgASQBGACgASQBTAE8ATQBJAFQAVABFAEQAKABzAGgAaQBmAHQAXwBiAHkAKQAsACAAMQAsACAAcwBoAGkAZgB0AF8AYgB5ACkAKQAsAFwAbgAgACAAIAAgAEkAcwBNAHUAbAB0AGkAUwBoAGkAZgB0AD8ALAAgACAAIAAgACAAIABDAE8AVQBOAFQAQQAoAHMAaABpAGYAdABfAGIAeQApACAAPgAgADEALABcAG4AXABuACAAIAAgACAALwAvACAAUwBjAGUAbgBhAHIAaQBvAHMAXABuACAAIAAgACAASQBzADEARQBsAGUAbQBlAG4AdAA/ACwAIAAgACAAIAAgACAAIAAgAEMATwBVAE4AVABBACgAdAB1AHAAbABlACkAIAA9ACAAMQAsAFwAbgAgACAAIAAgAEkAcwBUAGUAeAB0AFMAaABpAGYAdAA/ACwAIAAgACAAIAAgACAAIABPAFIAKABJAFMAVABFAFgAVAAoAHMAaABpAGYAdABfAGIAeQApACkALABcAG4AXABuAC8ALwAgAEwAbwBnAGkAYwAgAGcAYQB0AGUAXABuACAAIAAgACAASQBGACgASQBzADEARQBsAGUAbQBlAG4AdAA/ACwAIAB0AHUAcABsAGUALABcAG4AXABuACAAIAAgACAAIAAgACAAIABJAEYAKABJAHMAVABlAHgAdABTAGgAaQBmAHQAPwAsACAAXAAiACMAVABFAFgAVAAtAFMASABJAEYAVAAhAFwAIgAsAFwAbgBcAG4ATABFAFQAKABcAG4AIAAgACAAIAAvAC8AIABUAHUAcABsAGUAIABsAGUAbgBnAHQAaABcAG4AIAAgACAAIABuACwAIAAgACAAIAAgACAAIAAgACAAIABDAE8AVQBOAFQAQQAoAHQAdQBwAGwAZQApACwAXABuAFwAbgAgACAAIAAgAC8ALwAgADAAESBiAGEAcwBlAGQAIABpAG4AZABlAHgAIABzAGUAcQB1AGUAbgBjAGUAXABuACAAIAAgACAAaQAsACAAIAAgACAAIAAgACAAIAAgACAAUwBFAFEAVQBFAE4AQwBFACgALAAgAG4ALAAgADAALAAgADEAKQAsAFwAbgBcAG4AIAAgACAAIAAvAC8AIABDAGkAcgBjAHUAbABhAHIAIABpAG4AZABlAHgAIABzAGUAbABlAGMAdABpAG8AbgBcAG4AIAAgACAAIABpAGQAeAAsACAAIAAgACAAIAAgACAAIABNAE8ARAAoAGkAIAArACAAcwBoAGkAZgB0AF8AYgB5ACwAIABuACkAIAArACAAMQAsAFwAbgBcAG4AIAAgACAAIAAvAC8AIABBAHAAcABsAHkAIABzAGgAaQBmAHQAXABuACAAIAAgACAAcwBoAGkAZgB0AGUAZAAsACAAIAAgACAASQBOAEQARQBYACgAdAB1AHAAbABlACwAIABpAGQAeAApACwAXABuAFwAbgAgACAAIAAgAC8ALwAgAFIAZQBzAHQAbwByAGUAIABvAHIAaQBlAG4AdABhAHQAaQBvAG4AXABuACAAIAAgACAAcgBlAHMAdQBsAHQALAAgACAAIAAgACAASQBGACgASQBzAE0AdQBsAHQAaQBTAGgAaQBmAHQAPwAsACAAcwBoAGkAZgB0AGUAZAAsAFwAbgAgACAAIAAgACAAIAAgACAAIAAgACAAIAAgACAAIAAgACAAIAAgACAAIAAgACAAIAAgACAAIAAgAEkARgAoAE8AUgAoAEkAcwBTAGMAYQBsAGEAcgA/ACwAIABJAHMAVgBlAHIAdABpAGMAYQBsAD8AKQAsAFwAbgAgACAAIAAgACAAIAAgACAAIAAgACAAIAAgACAAIAAgACAAIAAgACAAIAAgACAAIAAgACAAIAAgACAAIAAgACAAVABPAEMATwBMACgAcwBoAGkAZgB0AGUAZAApACwAXABuACAAIAAgACAAIAAgACAAIAAgACAAIAAgACAAIAAgACAAIAAgACAAIAAgACAAIAAgACAAIAAgACAAIAAgACAAIABUAE8AUgBPAFcAKABzAGgAaQBmAHQAZQBkACkAKQApACwAXABuAFwAbgAgACAAIAAgAHIAZQBzAHUAbAB0AFwAbgApACkAKQApACkAOwBcAG4AXABuAFwAbgBcAG4ALwAqACAAWwBHAEEAMQAxAF0AIAAtAC0ALQAtAC0ALQAtAC0ALQAtAC0ALQAtAC0ALQAtAC0ALQAtAC0ALQAtAC0ALQAtAC0ALQAtAC0ALQAtAC0ALQAtAC0ALQAtAC0ALQAtAC0ALQAtAC0ALQAtAC0ALQAtAC0ALQAtAC0ALQAtAC0ALQAtAC0ALQAtAC0ALQAtAC0ALQAtAC0ALQAtAC0ALQAtAFwAbgBGAHUAbgBjAHQAaQBvAG4AOgAgACAAIAAgACAAUwBoAGkAZgB0AFIAbwB3AHMAuwNcAG4AQwBhAHQAZQBnAG8AcgB5ADoAIAAgACAAIAAgAEcAcgBpAGQAIABBAGwAZwBlAGIAcgBhACAAKABSAG8AbABsAGkAbgBnACkAXABuAEEAdQB0AGgAbwByADoAIAAgACAAIAAgACAAIABQAGEAdAByAGkAYwBrACAASAAuAFwAbgBWAGUAcgBzAGkAbwBuADoAIAAgACAAIAAgACAAMQAuADEAXABuAEQAZQBwAGUAbgBkAGUAbgBjAGkAZQBzADoAIABTAGgAaQBmAHQAuwMsACAATQBHAHIAaQBkALsDLAAgAFIAZQBzAGkAegBlALsDXABuAFwAbgBEAGUAcwBjAHIAaQBwAHQAaQBvAG4AOgBcAG4AIAAgACAAIABQAGUAcgBmAG8AcgBtAHMAIABhACAAYwBpAHIAYwB1AGwAYQByACAAaABvAHIAaQB6AG8AbgB0AGEAbAAgAHMAaABpAGYAdAAgAG8AbgAgAGUAYQBjAGgAIAByAG8AdwAgAG8AZgAgAGEAIAAyAEQAIABhAHIAcgBhAHkALgAgAFQAaABlACAAcwBoAGkAZgB0AF8AYgB5AFwAbgAgACAAIAAgAHYAYQBsAHUAZQAgAGQAZQB0AGUAcgBtAGkAbgBlAHMAIABoAG8AdwAgAG0AYQBuAHkAIABwAG8AcwBpAHQAaQBvAG4AcwAgAGUAYQBjAGgAIAByAG8AdwAgAGkAcwAgAHIAbwB0AGEAdABlAGQAOgBcAG4AIAAgACAAIAAgACAAIAAgACIgIABQAG8AcwBpAHQAaQB2AGUAIACSISAAcwBoAGkAZgB0ACAAbABlAGYAdABcAG4AIAAgACAAIAAgACAAIAAgACIgIABOAGUAZwBhAHQAaQB2AGUAIACSISAAcwBoAGkAZgB0ACAAcgBpAGcAaAB0AFwAbgBcAG4AIAAgACAAIAAxAEQAIABhAHIAcgBhAHkAcwAgAGEAbgBkACAAcwBjAGEAbABhAHIAcwAgAGEAcgBlACAAZABlAGwAZQBnAGEAdABlAGQAIAB0AG8AIABTAGgAaQBmAHQAuwMuAFwAbgBcAG4ARQB4AGEAbQBwAGwAZQBzADoAXABuACAAIAAgACAAYQByAHIAYQB5ACAAPQAgAHsAXAAiAEIAbwBiAFwAIgAsAFwAIgBNAGEAdABoAFwAIgAsAFwAIgBCAFwAIgA7AFwAbgAgACAAIAAgACAAIAAgACAAIAAgACAAIAAgAFwAIgBEAGUAYgBcACIALABcACIAUABoAHkAcwBpAGMAcwBcACIALABcACIAQQBcACIAOwBcAG4AIAAgACAAIAAgACAAIAAgACAAIAAgACAAIABcACIAUwB1AGUAXAAiACwAXAAiAEgAaQBzAHQAbwByAHkAXAAiACwAXAAiAEIAXAAiADsAXABuACAAIAAgACAAIAAgACAAIAAgACAAIAAgACAAXAAiAEoAbwBlAFwAIgAsAFwAIgBDAGgAZQBtAGkAcwB0AHIAeQBcACIALABcACIAQwBcACIAfQBcAG4AXABuACAAIAAgACAAPQBTAGgAaQBmAHQAUgBvAHcAcwC7AygAYQByAHIAYQB5ACwAIAAxACkAXABuACAAIAAgACAAIAAgACAAIACSISAAewBcACIATQBhAHQAaABcACIALABcACIAQgBcACIALABcACIAQgBvAGIAXAAiADsAXABuACAAIAAgACAAIAAgACAAIAAgACAAIABcACIAUABoAHkAcwBpAGMAcwBcACIALABcACIAQQBcACIALABcACIARABlAGIAXAAiADsAXABuACAAIAAgACAAIAAgACAAIAAgACAAIABcACIASABpAHMAdABvAHIAeQBcACIALABcACIAQgBcACIALABcACIAUwB1AGUAXAAiADsAXABuACAAIAAgACAAIAAgACAAIAAgACAAIABcACIAQwBoAGUAbQBpAHMAdAByAHkAXAAiACwAXAAiAEMAXAAiACwAXAAiAEoAbwBlAFwAIgB9AFwAbgBcAG4AIAAgACAAIAA9AFMAaABpAGYAdABSAG8AdwBzALsDKABhAHIAcgBhAHkALAAgAC0AMQApAFwAbgAgACAAIAAgACAAIAAgACAAkiEgAHsAXAAiAEIAXAAiACwAXAAiAEIAbwBiAFwAIgAsAFwAIgBNAGEAdABoAFwAIgA7AFwAbgAgACAAIAAgACAAIAAgACAAIAAgACAAXAAiAEEAXAAiACwAXAAiAEQAZQBiAFwAIgAsAFwAIgBQAGgAeQBzAGkAYwBzAFwAIgA7AFwAbgAgACAAIAAgACAAIAAgACAAIAAgACAAXAAiAEIAXAAiACwAXAAiAFMAdQBlAFwAIgAsAFwAIgBIAGkAcwB0AG8AcgB5AFwAIgA7AFwAbgAgACAAIAAgACAAIAAgACAAIAAgACAAXAAiAEMAXAAiACwAXAAiAEoAbwBlAFwAIgAsAFwAIgBDAGgAZQBtAGkAcwB0AHIAeQBcACIAfQBcAG4ALQAtAC0ALQAtAC0ALQAtAC0ALQAtAC0ALQAtAC0ALQAtAC0ALQAtAC0ALQAtAC0ALQAtAC0ALQAtAC0ALQAtAC0ALQAtAC0ALQAtAC0ALQAtAC0ALQAtAC0ALQAtAC0ALQAtAC0ALQAtAC0ALQAtAC0ALQAtAC0ALQAtAC0ALQAtAC0ALQAtAC0ALQAtAC0ALQAtAC0ALQAtAC0AKgAvAFwAbgBcAG4AUwBoAGkAZgB0AFIAbwB3AHMAuwMgAD0AXABuAEwAQQBNAEIARABBACgAXABuACAAIAAgACAAbQBhAHQAcgBpAHgALABcAG4AIAAgACAAIABbAHMAaABpAGYAdABfAGIAeQBdACwAXABuAEwARQBUACgAXABuACAAIAAgACAALwAvACAARABpAG0AZQBuAHMAaQBvAG4AcwBcAG4AIAAgACAAIABoACwAIAAgACAAIAAgACAAIAAgAFIATwBXAFMAKABtAGEAdAByAGkAeAApACwAXABuACAAIAAgACAAdwAsACAAIAAgACAAIAAgACAAIABDAE8ATABVAE0ATgBTACgAbQBhAHQAcgBpAHgAKQAsAFwAbgBcAG4AIAAgACAAIAAvAC8AIAAxAEQAIABhAHIAcgBhAHkAcwAgAC8AIABzAGMAYQBsAGEAcgBzACAAaABhAG4AZABsAGUAZAAgAGIAeQAgAFMAaABpAGYAdAC7A1wAbgAgACAAIAAgAEkAcwAxAEQAPwAsACAAIAAgACAATwBSACgAaAAgAD0AIAAxACwAIAB3ACAAPQAgADEAKQAsAFwAbgBcAG4AIAAgACAAIABJAEYAKABJAHMAMQBEAD8ALABTAGgAaQBmAHQAuwMoAG0AYQB0AHIAaQB4ACwAIABzAGgAaQBmAHQAXwBiAHkAKQAsAFwAbgBcAG4ATABFAFQAKABcAG4AIAAgACAAIAAvAC8AIABSAG8AdwAgAGkAbgBkAGkAYwBlAHMAIAByAGUAbQBhAGkAbgAgAGYAaQB4AGUAZABcAG4AIAAgACAAIABpACwAIAAgACAAIAAgACAAIAAgAE0ARwByAGkAZAC7AygAbQBhAHQAcgBpAHgAKQAsAFwAbgBcAG4AIAAgACAAIAAvAC8AIABDAG8AbAB1AG0AbgAgAGkAbgBkAGkAYwBlAHMAIABhAHIAZQAgAGMAaQByAGMAdQBsAGEAcgBsAHkAIABzAGgAaQBmAHQAZQBkAFwAbgAgACAAIAAgAGoALAAgACAAIAAgACAAIAAgACAAUgBlAHMAaQB6AGUAuwMoAFMAaABpAGYAdAC7AygAUwBFAFEAVQBFAE4AQwBFACgALAAgAHcAKQAsACAAcwBoAGkAZgB0AF8AYgB5ACkALABoACkALABcAG4AXABuACAAIAAgACAAcgBlAHMAdQBsAHQALAAgACAAIABJAE4ARABFAFgAKABtAGEAdAByAGkAeAAsACAAaQAsACAAagApACwAXABuAFwAbgAgACAAIAAgAHIAZQBzAHUAbAB0AFwAbgApACkAKQApADsAXABuAFwAbgBcAG4AXABuAC8AKgAgAFsARwBBADEAMgBdACAALQAtAC0ALQAtAC0ALQAtAC0ALQAtAC0ALQAtAC0ALQAtAC0ALQAtAC0ALQAtAC0ALQAtAC0ALQAtAC0ALQAtAC0ALQAtAC0ALQAtAC0ALQAtAC0ALQAtAC0ALQAtAC0ALQAtAC0ALQAtAC0ALQAtAC0ALQAtAC0ALQAtAC0ALQAtAC0ALQAtAC0ALQAtAC0ALQBcAG4ARgB1AG4AYwB0AGkAbwBuADoAIAAgACAAIAAgAFMAaABpAGYAdABDAG8AbABzALsDXABuAEMAYQB0AGUAZwBvAHIAeQA6ACAAIAAgACAAIABHAHIAaQBkACAAQQBsAGcAZQBiAHIAYQAgACgAUgBvAGwAbABpAG4AZwApAFwAbgBBAHUAdABoAG8AcgA6ACAAIAAgACAAIAAgACAAUABhAHQAcgBpAGMAawAgAEgALgBcAG4AVgBlAHIAcwBpAG8AbgA6ACAAIAAgACAAIAAgADEALgAxAFwAbgBEAGUAcABlAG4AZABlAG4AYwBpAGUAcwA6ACAAUwBoAGkAZgB0ALsDLAAgAE0ARwByAGkAZAC7AywAIABSAGUAcwBpAHoAZQC7A1wAbgBcAG4ARABlAHMAYwByAGkAcAB0AGkAbwBuADoAXABuACAAIAAgACAAUABlAHIAZgBvAHIAbQBzACAAYQAgAGMAaQByAGMAdQBsAGEAcgAgAHYAZQByAHQAaQBjAGEAbAAgAHMAaABpAGYAdAAgAG8AbgAgAGUAYQBjAGgAIABjAG8AbAB1AG0AbgAgAG8AZgAgAGEAIAAyAEQAIABhAHIAcgBhAHkALgAgAFQAaABlACAAcwBoAGkAZgB0AF8AYgB5AFwAbgAgACAAIAAgAHYAYQBsAHUAZQAgAGQAZQB0AGUAcgBtAGkAbgBlAHMAIABoAG8AdwAgAG0AYQBuAHkAIABwAG8AcwBpAHQAaQBvAG4AcwAgAGUAYQBjAGgAIABjAG8AbAB1AG0AbgAgAGkAcwAgAHIAbwB0AGEAdABlAGQAOgBcAG4AIAAgACAAIAAgACAAIAAgACIgIABQAG8AcwBpAHQAaQB2AGUAIACSISAAcwBoAGkAZgB0ACAAdQBwAFwAbgAgACAAIAAgACAAIAAgACAAIiAgAE4AZQBnAGEAdABpAHYAZQAgAJIhIABzAGgAaQBmAHQAIABkAG8AdwBuAFwAbgBcAG4AIAAgACAAIAAxAEQAIABhAHIAcgBhAHkAcwAgAGEAbgBkACAAcwBjAGEAbABhAHIAcwAgAGEAcgBlACAAZABlAGwAZQBnAGEAdABlAGQAIAB0AG8AIABTAGgAaQBmAHQAuwMuAFwAbgBcAG4ARQB4AGEAbQBwAGwAZQBzADoAXABuACAAIAAgACAAYQByAHIAYQB5ACAAPQAgAHsAXAAiAEIAbwBiAFwAIgAsAFwAIgBNAGEAdABoAFwAIgAsAFwAIgBCAFwAIgA7AFwAbgAgACAAIAAgACAAIAAgACAAIAAgACAAIAAgAFwAIgBEAGUAYgBcACIALABcACIAUABoAHkAcwBpAGMAcwBcACIALABcACIAQQBcACIAOwBcAG4AIAAgACAAIAAgACAAIAAgACAAIAAgACAAIABcACIAUwB1AGUAXAAiACwAXAAiAEgAaQBzAHQAbwByAHkAXAAiACwAXAAiAEIAXAAiADsAXABuACAAIAAgACAAIAAgACAAIAAgACAAIAAgACAAXAAiAEoAbwBlAFwAIgAsAFwAIgBDAGgAZQBtAGkAcwB0AHIAeQBcACIALABcACIAQwBcACIAfQBcAG4AXABuACAAIAAgACAAPQBTAGgAaQBmAHQAQwBvAGwAcwC7AygAYQByAHIAYQB5ACwAIAAxACkAXABuACAAIAAgACAAIAAgACAAIACSISAAewBcACIARABlAGIAXAAiACwAXAAiAFAAaAB5AHMAaQBjAHMAXAAiACwAXAAiAEEAXAAiADsAXABuACAAIAAgACAAIAAgACAAIAAgACAAIABcACIAUwB1AGUAXAAiACwAXAAiAEgAaQBzAHQAbwByAHkAXAAiACwAXAAiAEIAXAAiADsAXABuACAAIAAgACAAIAAgACAAIAAgACAAIABcACIASgBvAGUAXAAiACwAXAAiAEMAaABlAG0AaQBzAHQAcgB5AFwAIgAsAFwAIgBDAFwAIgA7AFwAbgAgACAAIAAgACAAIAAgACAAIAAgACAAXAAiAEIAbwBiAFwAIgAsAFwAIgBNAGEAdABoAFwAIgAsAFwAIgBCAFwAIgB9AFwAbgBcAG4AIAAgACAAIAA9AFMAaABpAGYAdABDAG8AbABzALsDKABhAHIAcgBhAHkALAAgAC0AMQApAFwAbgAgACAAIAAgACAAIAAgACAAkiEgAHsAXAAiAEoAbwBlAFwAIgAsAFwAIgBDAGgAZQBtAGkAcwB0AHIAeQBcACIALABcACIAQwBcACIAOwBcAG4AIAAgACAAIAAgACAAIAAgACAAIAAgAFwAIgBCAG8AYgBcACIALABcACIATQBhAHQAaABcACIALABcACIAQgBcACIAOwBcAG4AIAAgACAAIAAgACAAIAAgACAAIAAgAFwAIgBEAGUAYgBcACIALABcACIAUABoAHkAcwBpAGMAcwBcACIALABcACIAQQBcACIAOwBcAG4AIAAgACAAIAAgACAAIAAgACAAIAAgAFwAIgBTAHUAZQBcACIALABcACIASABpAHMAdABvAHIAeQBcACIALABcACIAQgBcACIAfQBcAG4ALQAtAC0ALQAtAC0ALQAtAC0ALQAtAC0ALQAtAC0ALQAtAC0ALQAtAC0ALQAtAC0ALQAtAC0ALQAtAC0ALQAtAC0ALQAtAC0ALQAtAC0ALQAtAC0ALQAtAC0ALQAtAC0ALQAtAC0ALQAtAC0ALQAtAC0ALQAtAC0ALQAtAC0ALQAtAC0ALQAtAC0ALQAtAC0ALQAtAC0ALQAtAC0AKgAvAFwAbgBcAG4AUwBoAGkAZgB0AEMAbwBsAHMAuwMgAD0AXABuAEwAQQBNAEIARABBACgAXABuACAAIAAgACAAbQBhAHQAcgBpAHgALABcAG4AIAAgACAAIABbAHMAaABpAGYAdABfAGIAeQBdACwAXABuAEwARQBUACgAXABuACAAIAAgACAALwAvACAARABpAG0AZQBuAHMAaQBvAG4AcwBcAG4AIAAgACAAIABoACwAIAAgACAAIAAgACAAIAAgACAAIAAgAFIATwBXAFMAKABtAGEAdAByAGkAeAApACwAXABuACAAIAAgACAAdwAsACAAIAAgACAAIAAgACAAIAAgACAAIABDAE8ATABVAE0ATgBTACgAbQBhAHQAcgBpAHgAKQAsAFwAbgBcAG4AIAAgACAAIAAvAC8AIAAxAEQAIABhAHIAcgBhAHkAcwAgAC8AIABzAGMAYQBsAGEAcgBzACAAaABhAG4AZABsAGUAZAAgAGIAeQAgAFMAaABpAGYAdAC7A1wAbgAgACAAIAAgAEkAcwAxAEQAPwAsACAAIAAgACAAIAAgACAATwBSACgAaAAgAD0AIAAxACwAIAB3ACAAPQAgADEAKQAsAFwAbgBcAG4AIAAgACAAIABJAEYAKABJAHMAMQBEAD8ALABTAGgAaQBmAHQAuwMoAG0AYQB0AHIAaQB4ACwAIABzAGgAaQBmAHQAXwBiAHkAKQAsAFwAbgBcAG4ATABFAFQAKABcAG4AIAAgACAAIAAvAC8AIABDAG8AbAB1AG0AbgAgAGkAbgBkAGkAYwBlAHMAIABhAHIAZQAgAGMAaQByAGMAdQBsAGEAcgBsAHkAIABzAGgAaQBmAHQAZQBkAFwAbgAgACAAIAAgAGkALAAgACAAIAAgACAAIAAgACAAIAAgACAAUgBlAHMAaQB6AGUAuwMoAFMAaABpAGYAdAC7AygAUwBFAFEAVQBFAE4AQwBFACgAaAApACwAIABzAGgAaQBmAHQAXwBiAHkAKQAsACwAdwApACwAXABuAFwAbgAgACAAIAAgAC8ALwAgAFIAbwB3ACAAaQBuAGQAaQBjAGUAcwAgAHIAZQBtAGEAaQBuACAAZgBpAHgAZQBkAFwAbgAgACAAIAAgAGoALAAgACAAIAAgACAAIAAgACAAIAAgACAATQBHAHIAaQBkALsDKABtAGEAdAByAGkAeAAsACAAMQApACwAXABuAFwAbgAgACAAIAAgAHIAZQBzAHUAbAB0ACwAIAAgACAAIAAgACAASQBOAEQARQBYACgAbQBhAHQAcgBpAHgALAAgAGkALAAgAGoAKQAsAFwAbgBcAG4AIAAgACAAIAByAGUAcwB1AGwAdABcAG4AKQApACkAKQA7AFwAbgBcAG4AXABuAFwAbgAvACoAIABbAEcAQQAxADMAXQAgAC0ALQAtAC0ALQAtAC0ALQAtAC0ALQAtAC0ALQAtAC0ALQAtAC0ALQAtAC0ALQAtAC0ALQAtAC0ALQAtAC0ALQAtAC0ALQAtAC0ALQAtAC0ALQAtAC0ALQAtAC0ALQAtAC0ALQAtAC0ALQAtAC0ALQAtAC0ALQAtAC0ALQAtAC0ALQAtAC0ALQAtAC0ALQAtAC0AXABuAEYAdQBuAGMAdABpAG8AbgA6ACAAIAAgACAAIABFAG0AYgBlAGQAuwNcAG4AQwBhAHQAZQBnAG8AcgB5ADoAIAAgACAAIAAgAEcAcgBpAGQAIABBAGwAZwBlAGIAcgBhACAAKABTAGUAbABlAGMAdABpAG8AbgApAFwAbgBBAHUAdABoAG8AcgA6ACAAIAAgACAAIAAgACAAUABhAHQAcgBpAGMAawAgAEgALgBcAG4AVgBlAHIAcwBpAG8AbgA6ACAAIAAgACAAIAAgADEALgAxAFwAbgBcAG4ARABlAHMAYwByAGkAcAB0AGkAbwBuADoAXABuACAAIAAgACAARQBtAGIAZQBkAHMAIABhACAAcwB1AHAAcABsAGkAZQBkACAAYQByAHIAYQB5ACAAaQBuAHQAbwAgAGEAIAAyAEQAIABoAG8AcwB0ACAAYQByAHIAYQB5ACAAYQB0ACAAYQAgAHMAcABlAGMAaQBmAGkAZQBkACAAcgBvAHcAIABvAHIAIABjAG8AbAB1AG0AbgBcAG4AIAAgACAAIABpAG4AZABlAHgALgAgAEUAbQBiAGUAZAC7AyAAcwB1AHAAcABvAHIAdABzACAAcwBjAGEAbABhAHIAcwAsACAAMQBEACAAYQByAHIAYQB5AHMALAAgAGEAbgBkACAAMgBEACAAYQByAHIAYQB5AHMALgAgAFQAaABlACAAZQBtAGIAZQBkAGQAZQBkACAAYQByAHIAYQB5AFwAbgAgACAAIAAgAGkAcwAgAGEAdQB0AG8AbQBhAHQAaQBjAGEAbABsAHkAIABlAHgAcABhAG4AZABlAGQAIABhAHMAIABuAGUAZQBkAGUAZAAgAHQAbwAgAG0AYQBpAG4AdABhAGkAbgAgAHIAZQBjAHQAYQBuAGcAdQBsAGEAcgBpAHQAeQAgAGEAbgBkACAAYQB2AG8AaQBkAFwAbgAgACAAIAAgAGoAYQBnAGcAZQBkACAAcgBlAHMAdQBsAHQAcwAuAFwAbgBcAG4AUABhAHIAYQBtAGUAdABlAHIAcwA6AFwAbgAgACAAIAAgAGEAcgByAGEAeQAgACAAIAAgACAAIAAgACAAIAAtACAAUgBlAHEAdQBpAHIAZQBkACAAMQBEACAAbwByACAAMgBEACAAaABvAHMAdAAgAGEAcgByAGEAeQAuAFwAbgAgACAAIAAgAGUAbQBiAGUAZABfAGEAcgByAGEAeQAgACAAIAAtACAAQQByAHIAYQB5ACAAdABvACAAZQBtAGIAZQBkACAAdwBpAHQAaABpAG4AIAB0AGgAZQAgAGgAbwBzAHQAIABhAHIAcgBhAHkALgBcAG4AIAAgACAAIABbAHIAbwB3AF8AaQBuAGQAZQB4AF0AIAAgACAALQAgAE8AcAB0AGkAbwBuAGEAbAAgAHIAbwB3ACAAcABvAHMAaQB0AGkAbwBuACAAZgBvAHIAIABpAG4AcwBlAHIAdABpAG8AbgAuAFwAbgAgACAAIAAgAFsAYwBvAGwAXwBpAG4AZABlAHgAXQAgACAAIAAtACAATwBwAHQAaQBvAG4AYQBsACAAYwBvAGwAdQBtAG4AIABwAG8AcwBpAHQAaQBvAG4AIABmAG8AcgAgAGkAbgBzAGUAcgB0AGkAbwBuAC4AXABuACAAIAAgACAAIAAgACAAIAAgACAAIAAgACAAIAAgACAAIAAgACAAIAAiICAASQBmACAAYgBvAHQAaAAgAGEAcgBlACAAcwB1AHAAcABsAGkAZQBkACwAIAByAG8AdwBfAGkAbgBkAGUAeAAgAHQAYQBrAGUAcwAgAHAAcgBlAGMAZQBkAGUAbgBjAGUALgBcAG4AXABuAE4AdQBhAG4AYwBlAHMAOgBcAG4AIAAgACAAIAAiICAAUwBjAGEAbABhAHIAcwAgAGUAeABwAGEAbgBkACAAaABvAHIAaQB6AG8AbgB0AGEAbABsAHkAIAB3AGgAZQBuACAAaQBuAHMAZQByAHQAZQBkACAAYgB5ACAAcgBvAHcAXwBpAG4AZABlAHgALAAgAHYAZQByAHQAaQBjAGEAbABsAHkAIAB3AGgAZQBuAFwAbgAgACAAIAAgACAAIABpAG4AcwBlAHIAdABlAGQAIABiAHkAIABjAG8AbABfAGkAbgBkAGUAeAAuAFwAbgAgACAAIAAgACIgIAAxAEQALwAyAEQAIABlAG0AYgBlAGQAXwBhAHIAcgBhAHkAIABpAG4AcAB1AHQAcwAgAHQAaABhAHQAIABkAG8AIABuAG8AdAAgAG0AYQB0AGMAaAAgAGgAbwBzAHQAIAB3AGkAZAB0AGgALwBoAGUAaQBnAGgAdAAgAGEAcgBlACAAcABhAGQAZABlAGQAXABuACAAIAAgACAAIAAgAHcAaQB0AGgAIABcACIAXAAiACAAdABvACAAbQBhAGkAbgB0AGEAaQBuACAAcgBlAGMAdABhAG4AZwB1AGwAYQByAGkAdAB5AC4AXABuACAAIAAgACAAIiAgAFwAIgAjAFIATwBXAC8AQwBPAEwALQBJAE4ARABFAFgAXAAiACAAaQBzACAAcgBlAHQAdQByAG4AZQBkACAAZgBvAHIAIABuAG8AbgARIG4AdQBtAGUAcgBpAGMAIABvAHIAIABvAHUAdAARIG8AZgARIGIAbwB1AG4AZABzACAAaQBuAGQAaQBjAGUAcwAuAFwAbgAgACAAIAAgACIgIABTAGMAYQBsAGEAcgBzACAAYwBhAG4AbgBvAHQAIABzAGUAcgB2AGUAIABhAHMAIABoAG8AcwB0ACAAYQByAHIAYQB5AHMAOwAgAFwAIgAjAFMAQwBBAEwAQQBSACEAXAAiACAAaQBzACAAcgBlAHQAdQByAG4AZQBkAC4AXABuAC0ALQAtAC0ALQAtAC0ALQAtAC0ALQAtAC0ALQAtAC0ALQAtAC0ALQAtAC0ALQAtAC0ALQAtAC0ALQAtAC0ALQAtAC0ALQAtAC0ALQAtAC0ALQAtAC0ALQAtAC0ALQAtAC0ALQAtAC0ALQAtAC0ALQAtAC0ALQAtAC0ALQAtAC0ALQAtAC0ALQAtAC0ALQAtAC0ALQAtAC0ALQAtACoALwBcAG4AXABuAEUAbQBiAGUAZAC7AyAAPQBcAG4ATABBAE0AQgBEAEEAKABcAG4AIAAgACAAIABhAHIAcgBhAHkALABcAG4AIAAgACAAIABlAG0AYgBlAGQAXwBhAHIAcgBhAHkALABcAG4AIAAgACAAIABbAHIAbwB3AF8AaQBuAGQAZQB4AF0ALABcAG4AIAAgACAAIABbAGMAbwBsAF8AaQBuAGQAZQB4AF0ALABcAG4ATABFAFQAKABcAG4AIAAgACAAIAAvAC8AIABIAG8AcwB0ACAAZABpAG0AZQBuAHMAaQBvAG4AcwBcAG4AIAAgACAAIABoACwAIAAgACAAIAAgACAAIAAgACAAIAAgACAAIAAgACAAIAAgACAAUgBPAFcAUwAoAGEAcgByAGEAeQApACwAXABuACAAIAAgACAAdwAsACAAIAAgACAAIAAgACAAIAAgACAAIAAgACAAIAAgACAAIAAgAEMATwBMAFUATQBOAFMAKABhAHIAcgBhAHkAKQAsAFwAbgBcAG4AIAAgACAAIAAvAC8AIABFAG0AYgBlAGQAIABkAGkAbQBlAG4AcwBpAG8AbgBzAFwAbgAgACAAIAAgAGgAgiAsACAAIAAgACAAIAAgACAAIAAgACAAIAAgACAAIAAgACAAIABSAE8AVwBTACgAZQBtAGIAZQBkAF8AYQByAHIAYQB5ACkALABcAG4AIAAgACAAIAB3AIIgLAAgACAAIAAgACAAIAAgACAAIAAgACAAIAAgACAAIAAgACAAQwBPAEwAVQBNAE4AUwAoAGUAbQBiAGUAZABfAGEAcgByAGEAeQApACwAXABuAFwAbgAgACAAIAAgAC8ALwAgAFAAYQByAGEAbQBlAHQAZQByACAAcAByAGUAcwBlAG4AYwBlAFwAbgAgACAAIAAgAFIAbwB3AEUAbQBiAGUAZAA/ACwAIAAgACAAIAAgACAAIAAgACAAIABOAE8AVAAoAEkAUwBPAE0ASQBUAFQARQBEACgAcgBvAHcAXwBpAG4AZABlAHgAKQApACwAXABuACAAIAAgACAAQwBvAGwARQBtAGIAZQBkAD8ALAAgACAAIAAgACAAIAAgACAAIAAgAE4ATwBUACgASQBTAE8ATQBJAFQAVABFAEQAKABjAG8AbABfAGkAbgBkAGUAeAApACkALABcAG4AIAAgACAAIABSAEMARQBtAGIAZQBkAD8ALAAgACAAIAAgACAAIAAgACAAIAAgACAAQQBOAEQAKABSAG8AdwBFAG0AYgBlAGQAPwAsACAAQwBvAGwARQBtAGIAZQBkAD8AKQAsAFwAbgBcAG4AIAAgACAAIAAvAC8AIABJAG4AdgBhAGwAaQBkACAAZQBtAGIAZQBkACAAcwBpAHoAZQAgACgAZQBtAGIAZQBkACAAbABhAHIAZwBlAHIAIAB0AGgAYQBuACAAaABvAHMAdAApAFwAbgAgACAAIAAgAEkAbgB2AGEAbABpAGQARQBtAGIAZQBkAD8ALAAgACAAIAAgACAAIABJAEYAKABBAE4ARAAoAFIAbwB3AEUAbQBiAGUAZAA/ACwAIAB3AIIgIAA+ACAAdwApACwAIABUAFIAVQBFACwAXABuACAAIAAgACAAIAAgACAAIAAgACAAIAAgACAAIAAgACAAIAAgACAAIAAgACAAIAAgACAAIAAgACAASQBGACgAQQBOAEQAKABDAG8AbABFAG0AYgBlAGQAPwAsACAAaACCICAAPgAgAGgAKQAsACAAVABSAFUARQAsAFwAbgAgACAAIAAgACAAIAAgACAAIAAgACAAIAAgACAAIAAgACAAIAAgACAAIAAgACAAIAAgACAAIAAgACAAIAAgACAASQBGACgAQQBOAEQAKABSAEMARQBtAGIAZQBkAD8ALAAgAE8AUgAoAGgAgiAgAD4AIABoACwAIAB3AIIgIAA+ACAAdwApACkALABcAG4AIAAgACAAIAAgACAAIAAgACAAIAAgACAAIAAgACAAIAAgACAAIAAgACAAIAAgACAAIAAgACAAIAAgACAAIAAgACAAIAAgACAAVABSAFUARQAsAFwAbgAgACAAIAAgACAAIAAgACAAIAAgACAAIAAgACAAIAAgACAAIAAgACAAIAAgACAAIAAgACAAIAAgACAAIAAgACAAIAAgACAAIABGAEEATABTAEUAKQApACkALABcAG4AXABuACAAIAAgACAALwAvACAASQBuAGQAZQB4ACAAdgBhAGwAaQBkAGEAdABpAG8AbgBcAG4AIAAgACAAIABJAG4AdgBhAGwAaQBkAEkAZAB4AD8ALAAgACAAIAAgACAAIAAgACAATwBSACgASQBTAFQARQBYAFQAKAByAG8AdwBfAGkAbgBkAGUAeAApACwAXABuACAAIAAgACAAIAAgACAAIAAgACAAIAAgACAAIAAgACAAIAAgACAAIAAgACAAIAAgACAAIAAgAEkAUwBUAEUAWABUACgAYwBvAGwAXwBpAG4AZABlAHgAKQAsAFwAbgAgACAAIAAgACAAIAAgACAAIAAgACAAIAAgACAAIAAgACAAIAAgACAAIAAgACAAIAAgACAAIABBAE4ARAAoAE4ATwBUACgASQBTAE8ATQBJAFQAVABFAEQAKAByAG8AdwBfAGkAbgBkAGUAeAApACkALABcAG4AIAAgACAAIAAgACAAIAAgACAAIAAgACAAIAAgACAAIAAgACAAIAAgACAAIAAgACAAIAAgACAATwBSACgAcgBvAHcAXwBpAG4AZABlAHgAIAA8ACAAMQAsACAAcgBvAHcAXwBpAG4AZABlAHgAIAA+ACAAaAApACkALABcAG4AIAAgACAAIAAgACAAIAAgACAAIAAgACAAIAAgACAAIAAgACAAIAAgACAAIAAgACAAIAAgACAAQQBOAEQAKABOAE8AVAAoAEkAUwBPAE0ASQBUAFQARQBEACgAYwBvAGwAXwBpAG4AZABlAHgAKQApACwAXABuACAAIAAgACAAIAAgACAAIAAgACAAIAAgACAAIAAgACAAIAAgACAAIAAgACAAIAAgACAAIAAgAE8AUgAoAGMAbwBsAF8AaQBuAGQAZQB4ACAAPAAgADEALAAgAGMAbwBsAF8AaQBuAGQAZQB4ACAAPgAgAHcAKQApACkALABcAG4AXABuACAAIAAgACAALwAvACAASABvAHMAdAAgAGMAYQBuAG4AbwB0ACAAYgBlACAAcwBjAGEAbABhAHIAXABuACAAIAAgACAASQBzAFMAYwBhAGwAYQByAD8ALAAgACAAIAAgACAAIAAgACAAIAAgAEEATgBEACgAaAAgAD0AIAAxACwAIAB3ACAAPQAgADEAKQAsAFwAbgBcAG4ALwAvACAATABvAGcAaQBjACAAZwBhAHQAZQBcAG4AIAAgACAAIABJAEYAKABJAG4AdgBhAGwAaQBkAEkAZAB4AD8ALAAgAFwAIgAjAFIATwBXAC8AQwBPAEwALQBJAE4ARABFAFgAXAAiACwAXABuAFwAbgAgACAAIAAgACAAIAAgACAASQBGACgASQBuAHYAYQBsAGkAZABFAG0AYgBlAGQAPwAsACAAXAAiACMARQBNAEIARQBEACEAXAAiACwAXABuAFwAbgAgACAAIAAgACAAIAAgACAAIAAgACAAIABJAEYAKABJAHMAUwBjAGEAbABhAHIAPwAsACAAXAAiACMAUwBDAEEATABBAFIAIQBcACIALABcAG4AXABuAEwARQBUACgAXABuACAAIAAgACAALwAvACAARABpAHIAZQBjAHQAaQBvAG4AOgAgAHYAZQByAHQAaQBjAGEAbAAgAGkAbgBzAGUAcgB0AGkAbwBuACAAdQBuAGwAZQBzAHMAIABvAG4AbAB5ACAAYwBvAGwAXwBpAG4AZABlAHgAIABpAHMAIABwAHIAbwB2AGkAZABlAGQAXABuACAAIAAgACAASQBzAFYAZQByAHQAaQBjAGEAbAA/ACwAIAAgACAAIAAgACAAIAAgAE8AUgAoAE4ATwBUACgASQBTAE8ATQBJAFQAVABFAEQAKAByAG8AdwBfAGkAbgBkAGUAeAApACkALAAgAEkAUwBPAE0ASQBUAFQARQBEACgAYwBvAGwAXwBpAG4AZABlAHgAKQApACwAXABuAFwAbgAgACAAIAAgAC8ALwAgAFMAdABhAGMAawAgAGYAdQBuAGMAdABpAG8AbgBcAG4AIAAgACAAIABTAHQAYQBjAGsAuwMsACAAIAAgACAAIAAgACAAIAAgACAAIAAgACAASQBGACgASQBzAFYAZQByAHQAaQBjAGEAbAA/ACwAIABWAFMAVABBAEMASwAsACAASABTAFQAQQBDAEsAKQAsAFwAbgBcAG4AIAAgACAAIAAvAC8AIABTAGMAYQBsAGEAcgAgAGUAbQBiAGUAZAA/AFwAbgAgACAAIAAgAEkAcwBJAG4AYwBTAGMAYQBsAGEAcgA/ACwAIAAgACAAIAAgACAAIABBAE4ARAAoAGgAgiAgAD0AIAAxACwAIAB3AIIgIAA9ACAAMQApACwAXABuAFwAbgAgACAAIAAgAC8ALwAgAEkAbgBzAGUAcgB0AGkAbwBuACAAaQBuAGQAZQB4AFwAbgAgACAAIAAgAGkAZAB4ACwAIAAgACAAIAAgACAAIAAgACAAIAAgACAAIAAgACAAIABJAEYAKABJAHMAVgBlAHIAdABpAGMAYQBsAD8ALAAgAHIAbwB3AF8AaQBuAGQAZQB4ACwAIABjAG8AbABfAGkAbgBkAGUAeAApACwAXABuACAAIAAgACAAbQBhAHgAXwBkAGkAbQAsACAAIAAgACAAIAAgACAAIAAgACAAIAAgADEAIAArACAASQBGACgASQBzAFYAZQByAHQAaQBjAGEAbAA/ACwAIABoACwAIAB3ACkALABcAG4AXABuACAAIAAgACAALwAvACAAUwBwAGwAaQB0ACAAaABvAHMAdAAgAGEAcgByAGEAeQBcAG4AIAAgACAAIABiAGwAbwBjAGsAXwBhACwAIAAgACAAIAAgACAAIAAgACAAIAAgACAASQBGACgASQBzAFYAZQByAHQAaQBjAGEAbAA/ACwAXABuACAAIAAgACAAIAAgACAAIAAgACAAIAAgACAAIAAgACAAIAAgACAAIAAgACAAIAAgACAAIAAgACAAVABBAEsARQAoAGEAcgByAGEAeQAsACAAaQBkAHgAIAAtACAAMQApACwAXABuACAAIAAgACAAIAAgACAAIAAgACAAIAAgACAAIAAgACAAIAAgACAAIAAgACAAIAAgACAAIAAgACAAVABBAEsARQAoAGEAcgByAGEAeQAsACAALAAgAGkAZAB4ACAALQAgADEAKQApACwAXABuAFwAbgAgACAAIAAgAGIAbABvAGMAawBfAGIALAAgACAAIAAgACAAIAAgACAAIAAgACAAIABJAEYAKABJAHMAVgBlAHIAdABpAGMAYQBsAD8ALABcAG4AIAAgACAAIAAgACAAIAAgACAAIAAgACAAIAAgACAAIAAgACAAIAAgACAAIAAgACAAIAAgACAAIABUAEEASwBFACgAYQByAHIAYQB5ACwAIAAtACgAMQAgACsAIABoACAALQAgAGkAZAB4ACkAKQAsAFwAbgAgACAAIAAgACAAIAAgACAAIAAgACAAIAAgACAAIAAgACAAIAAgACAAIAAgACAAIAAgACAAIAAgAFQAQQBLAEUAKABhAHIAcgBhAHkALAAgACwAIAAtACgAMQAgACsAIAB3ACAALQAgAGkAZAB4ACkAKQApACwAXABuAFwAbgAgACAAIAAgAC8ALwAgAFMAdABhAG4AZABhAHIAZAAgAGkAbgBzAGUAcgB0AGkAbwBuACAAKAB0AG8AcAAgAG8AcgAgAGIAbwB0AHQAbwBtACkAXABuACAAIAAgACAASQBzAFMAdABhAG4AZABhAHIAZAA/ACwAIAAgACAAIAAgACAAIAAgAE8AUgAoAGkAZAB4ACAAPQAgADEALAAgAGkAZAB4ACAAPQAgAG0AYQB4AF8AZABpAG0AKQAsAFwAbgBcAG4AIAAgACAAIAAvAC8AIABFAHgAcABhAG4AcwBpAG8AbgAgAHIAdQBsAGUAcwBcAG4AIAAgACAAIABlAHgAcABfAHMAYwBhAGwAYQByAF8AdwBpAGQAdABoACwAIAAgACAARQBYAFAAQQBOAEQAKABlAG0AYgBlAGQAXwBhAHIAcgBhAHkALAAgACwAIAB3ACwAIABlAG0AYgBlAGQAXwBhAHIAcgBhAHkAKQAsAFwAbgAgACAAIAAgAGUAeABwAF8AdwBpAGQAdABoACwAIAAgACAAIAAgACAAIAAgACAAIABFAFgAUABBAE4ARAAoAGUAbQBiAGUAZABfAGEAcgByAGEAeQAsACAALAAgAHcALAAgAFwAIgBcACIAKQAsAFwAbgAgACAAIAAgAGUAeABwAF8AcwBjAGEAbABhAHIAXwBoAGUAaQBnAGgAdAAsACAAIABFAFgAUABBAE4ARAAoAGUAbQBiAGUAZABfAGEAcgByAGEAeQAsACAAaAAsACAALAAgAGUAbQBiAGUAZABfAGEAcgByAGEAeQApACwAXABuACAAIAAgACAAZQB4AHAAXwBoAGUAaQBnAGgAdAAsACAAIAAgACAAIAAgACAAIAAgAEUAWABQAEEATgBEACgAZQBtAGIAZQBkAF8AYQByAHIAYQB5ACwAIABoACwAIAAsACAAXAAiAFwAIgApACwAXABuAFwAbgAgACAAIAAgAC8ALwAgAFAAYQBkACAAZQBtAGIAZQBkAF8AYQByAHIAYQB5ACAAdABvACAAYQB2AG8AaQBkACAAZABpAG0AZQBuAHMAaQBvAG4AIABtAGkAcwBtAGEAdABjAGgAXABuACAAIAAgACAAZQBtAGIAZQBkAF8AYQByAHIAYQB5ACwAIAAgACAAIAAgACAAIAAgAEkARgAoAEkAcwBWAGUAcgB0AGkAYwBhAGwAPwAgACoAIABJAHMASQBuAGMAUwBjAGEAbABhAHIAPwAsACAAZQB4AHAAXwBzAGMAYQBsAGEAcgBfAHcAaQBkAHQAaAAsAFwAbgAgACAAIAAgACAAIAAgACAAIAAgACAAIAAgACAAIAAgACAAIAAgACAAIAAgACAAIAAgACAAIAAgAEkARgAoAEkAcwBWAGUAcgB0AGkAYwBhAGwAPwAsACAAZQB4AHAAXwB3AGkAZAB0AGgALABcAG4AIAAgACAAIAAgACAAIAAgACAAIAAgACAAIAAgACAAIAAgACAAIAAgACAAIAAgACAAIAAgACAAIAAgACAAIAAgAEkARgAoAEkAcwBJAG4AYwBTAGMAYQBsAGEAcgA/ACwAIABlAHgAcABfAHMAYwBhAGwAYQByAF8AaABlAGkAZwBoAHQALABcAG4AIAAgACAAIAAgACAAIAAgACAAIAAgACAAIAAgACAAIAAgACAAIAAgACAAIAAgACAAIAAgACAAIAAgACAAIAAgACAAIAAgACAAZQB4AHAAXwBoAGUAaQBnAGgAdAApACkAKQAsAFwAbgBcAG4AIAAgACAAIAAvAC8AIABTAHQAYQBuAGQAYQByAGQAIAB2AHMAIABtAGkAZAARIGEAcgByAGEAeQAgAGkAbgBzAGUAcgB0AGkAbwBuAFwAbgAgACAAIAAgAHMAdABhAG4AZABhAHIAZAAsACAAIAAgACAAIAAgACAAIAAgACAAIABJAEYAKABpAGQAeAAgAD0AIAAxACwAUwB0AGEAYwBrALsDKABlAG0AYgBlAGQAXwBhAHIAcgBhAHkALAAgAGEAcgByAGEAeQApACwAXABuACAAIAAgACAAIAAgACAAIAAgACAAIAAgACAAIAAgACAAIAAgACAAIAAgACAAIAAgACAAIAAgACAAUwB0AGEAYwBrALsDKABhAHIAcgBhAHkALAAgAGUAbQBiAGUAZABfAGEAcgByAGEAeQApACkALABcAG4AXABuACAAIAAgACAAcwB0AGEAYwBrACwAIAAgACAAIAAgACAAIAAgACAAIAAgACAAIAAgAFMAdABhAGMAawC7AygAYgBsAG8AYwBrAF8AYQAsACAAZQBtAGIAZQBkAF8AYQByAHIAYQB5ACwAIABiAGwAbwBjAGsAXwBiACkALABcAG4AXABuACAAIAAgACAAcgBlAHMAdQBsAHQALAAgACAAIAAgACAAIAAgACAAIAAgACAAIAAgAEkARgAoAEkAcwBTAHQAYQBuAGQAYQByAGQAPwAsACAAcwB0AGEAbgBkAGEAcgBkACwAIABzAHQAYQBjAGsAKQAsAFwAbgBcAG4AIAAgACAAIAByAGUAcwB1AGwAdABcAG4AKQApACkAKQApACkAOwBcAG4AXABuAFwAbgBcAG4ALwAqACAAWwBHAEEAMQA0AF0AIAAtAC0ALQAtAC0ALQAtAC0ALQAtAC0ALQAtAC0ALQAtAC0ALQAtAC0ALQAtAC0ALQAtAC0ALQAtAC0ALQAtAC0ALQAtAC0ALQAtAC0ALQAtAC0ALQAtAC0ALQAtAC0ALQAtAC0ALQAtAC0ALQAtAC0ALQAtAC0ALQAtAC0ALQAtAC0ALQAtAC0ALQAtAC0ALQAtAFwAbgBGAHUAbgBjAHQAaQBvAG4AOgAgACAAIAAgACAASwBlAGUAcABSAG8AdwBzALsDXABuAEMAYQB0AGUAZwBvAHIAeQA6ACAAIAAgACAAIABHAHIAaQBkACAAQQBsAGcAZQBiAHIAYQAgACgAUwBlAGwAZQBjAHQAaQBvAG4AKQBcAG4AQQB1AHQAaABvAHIAOgAgACAAIAAgACAAIAAgAFAAYQB0AHIAaQBjAGsAIABIAC4AXABuAFYAZQByAHMAaQBvAG4AOgAgACAAIAAgACAAIAAxAC4AMQBcAG4ARABlAHAAZQBuAGQAZQBuAGMAaQBlAHMAOgAgAFMAdAByAGUAYQBrALsDLAAgAEMAbwB1AG4AdABkAG8AdwBuALsDXABuAFwAbgBEAGUAcwBjAHIAaQBwAHQAaQBvAG4AOgBcAG4AIAAgACAAIABSAGUAdABhAGkAbgBzACAAcgBvAHcAcwAgAGYAcgBvAG0AIABhACAAMgBEACAAYQByAHIAYQB5ACAAYgBhAHMAZQBkACAAbwBuACAAYwBvAG4AdABpAGcAdQBvAHUAcwAgAHMAdQBiAGcAcgBvAHUAcAAgAHIAdQBuAHMALgAgAEEAIABwAG8AcwBpAHQAaQB2AGUAXABuACAAIAAgACAAawBlAGUAcAAgAHYAYQBsAHUAZQAgAHIAZQB0AGEAaQBuAHMAIAByAG8AdwBzACAAZgByAG8AbQAgAHQAaABlACAAdABvAHAAIABvAGYAIABlAGEAYwBoACAAcwB1AGIAZwByAG8AdQBwACAAcgB1AG4AOwAgAGEAIABuAGUAZwBhAHQAaQB2AGUAIABrAGUAZQBwAFwAbgAgACAAIAAgAHYAYQBsAHUAZQAgAHIAZQB0AGEAaQBuAHMAIAByAG8AdwBzACAAZgByAG8AbQAgAHQAaABlACAAYgBvAHQAdABvAG0ALgBcAG4AXABuAFAAYQByAGEAbQBlAHQAZQByAHMAOgBcAG4AIAAgACAAIABhAHIAcgBhAHkAIAAgACAAIAAgACAAIAAgACAAIAAgAC0AIAAyAEQAIABhAHIAcgBhAHkALgBcAG4AIAAgACAAIABrAGUAZQBwACAAIAAgACAAIAAgACAAIAAgACAAIAAgAC0AIABTAGMAYQBsAGEAcgAgAGkAbgB0AGUAZwBlAHIAOgBcAG4AIAAgACAAIAAgACAAIAAgACAAIAAgACAAIAAgACAAIAAgACAAIAAgACAAIAAgACAAIAAgAD4AIAAwACAAkiEgAGsAZQBlAHAAIABmAHIAbwBtACAAdABvAHAAIABvAGYAIABlAGEAYwBoACAAcgB1AG4AXABuACAAIAAgACAAIAAgACAAIAAgACAAIAAgACAAIAAgACAAIAAgACAAIAAgACAAIAAgACAAIAA8ACAAMAAgAJIhIABrAGUAZQBwACAAZgByAG8AbQAgAGIAbwB0AHQAbwBtACAAbwBmACAAZQBhAGMAaAAgAHIAdQBuAFwAbgAgACAAIAAgAGEAdABfAGUAYQBjAGgAXwBjAGgAYQBuAGcAZQAgACAALQAgAFMAdQBiAGcAcgBvAHUAcAAgAGwAYQBiAGUAbABzACAAKABzAGEAbQBlACAAaABlAGkAZwBoAHQAIABhAHMAIABhAHIAcgBhAHkAKQAuAFwAbgBcAG4ATgBvAHQAZQBzADoAXABuACAAIAAgACAAIiAgAEkAZgAgAG8AbgBsAHkAIABvAG4AZQAgAHMAdQBiAGcAcgBvAHUAcAAgAGUAeABpAHMAdABzACwAIABEAFIATwBQACgAKQAgAGkAcwAgAHUAcwBlAGQAIABhAHMAIABhACAAZgBhAHMAdAAgAHAAYQB0AGgALgBcAG4AIAAgACAAIAAiICAAawBlAGUAcAAgAG0AdQBzAHQAIABiAGUAIABhACAAcwBjAGEAbABhAHIAOwAgAHQAZQB4AHQAIABvAHIAIAB2AGUAYwB0AG8AcgAgAGkAbgBwAHUAdABzACAAaABhAGwAdAAgAHcAaQB0AGgAIABhAG4AIABlAHIAcgBvAHIALgBcAG4ALQAtAC0ALQAtAC0ALQAtAC0ALQAtAC0ALQAtAC0ALQAtAC0ALQAtAC0ALQAtAC0ALQAtAC0ALQAtAC0ALQAtAC0ALQAtAC0ALQAtAC0ALQAtAC0ALQAtAC0ALQAtAC0ALQAtAC0ALQAtAC0ALQAtAC0ALQAtAC0ALQAtAC0ALQAtAC0ALQAtAC0ALQAtAC0ALQAtAC0ALQAtAC0AKgAvAFwAbgBcAG4ASwBlAGUAcABSAG8AdwBzALsDIAA9AFwAbgBMAEEATQBCAEQAQQAoAFwAbgAgACAAIAAgAGEAcgByAGEAeQAsAFwAbgAgACAAIAAgAGsAZQBlAHAALABcAG4AIAAgACAAIABhAHQAXwBlAGEAYwBoAF8AYwBoAGEAbgBnAGUALABcAG4ATABFAFQAKABcAG4AIAAgACAAIAAvAC8AIABTAHUAYgBnAHIAbwB1AHAAIABzAGMAZQBuAGEAcgBpAG8AcwBcAG4AIAAgACAAIABPAG4AZQBTAHUAYgBHAHIAbwB1AHAAPwAsACAAIAAgACAAIAAgACAAQwBPAFUATgBUAEEAKABVAE4ASQBRAFUARQAoAGEAdABfAGUAYQBjAGgAXwBjAGgAYQBuAGcAZQApACkAIAA9ACAAMQAsAFwAbgAgACAAIAAgAEQAaQBzAGMAYQByAGQALAAgACAAIAAgACAAIAAgACAAIAAgACAAIABEAFIATwBQACgAYQByAHIAYQB5ACwAIABrAGUAZQBwACkALABcAG4AXABuACAAIAAgACAALwAvACAAVgBhAGwAaQBkAGEAdABpAG8AbgBcAG4AIAAgACAAIABTAGgAYQBwAGUATQBpAHMAbQBhAHQAYwBoAD8ALAAgACAAIAAgACAAUgBPAFcAUwAoAGEAcgByAGEAeQApACAAPAA+ACAAUgBPAFcAUwAoAGEAdABfAGUAYQBjAGgAXwBjAGgAYQBuAGcAZQApACwAXABuACAAIAAgACAASQBzAFQAZQB4AHQAPwAsACAAIAAgACAAIAAgACAAIAAgACAAIAAgAEkAUwBUAEUAWABUACgAawBlAGUAcAApACwAXABuACAAIAAgACAATgBvAHQAUwBjAGEAbABhAHIAPwAsACAAIAAgACAAIAAgACAAIAAgAEEATgBEACgATgBPAFQAKABJAHMAVABlAHgAdAA/ACkALAAgAEMATwBVAE4AVABBACgAawBlAGUAcAApACAAPgAgADEAKQAsAFwAbgAgACAAIAAgAHMAYwBlAG4AYQByAGkAbwBzACwAIAAgACAAIAAgACAAIAAgACAAIABWAFMAVABBAEMASwAoAFMAaABhAHAAZQBNAGkAcwBtAGEAdABjAGgAPwAsACAASQBzAFQAZQB4AHQAPwAsACAATgBvAHQAUwBjAGEAbABhAHIAPwApACwAXABuAFwAbgAgACAAIAAgAC8ALwAgAEUAcgByAG8AcgAgAGgAYQBuAGQAbABpAG4AZwBcAG4AIAAgACAAIABoAGEAbAB0ACwAIAAgACAAIAAgACAAIAAgACAAIAAgACAAIAAgACAATwBSACgAcwBjAGUAbgBhAHIAaQBvAHMAKQAsAFwAbgAgACAAIAAgAGUAcgByAG8AcgBzACwAIAAgACAAIAAgACAAIAAgACAAIAAgACAAIAB7AFwAIgAjAEQASQBNAEUATgBTAEkATwBOAFMAIQBcACIAOwAgAFwAIgAjAFQARQBYAFQAIQBcACIAOwAgAFwAIgAjAFMAQwBBAEwAQQBSACEAXAAiAH0ALABcAG4AIAAgACAAIABhAGwAZQByAHQALAAgACAAIAAgACAAIAAgACAAIAAgACAAIAAgACAAQQBSAFIAQQBZAFQATwBUAEUAWABUACgARgBJAEwAVABFAFIAKABlAHIAcgBvAHIAcwAsACAAcwBjAGUAbgBhAHIAaQBvAHMALAAgADAAKQApACwAXABuAFwAbgAvAC8AIABMAG8AZwBpAGMAIABnAGEAdABlAFwAbgAgACAAIAAgAEkARgAoAE8AbgBlAFMAdQBiAEcAcgBvAHUAcAA/ACwAIABEAGkAcwBjAGEAcgBkACwAXABuAFwAbgAgACAAIAAgACAAIAAgACAASQBGACgAaABhAGwAdAAsACAAYQBsAGUAcgB0ACwAXABuAFwAbgBMAEUAVAAoAFwAbgAgACAAIAAgAC8ALwAgAEQAaQByAGUAYwB0AGkAbwBuADoAIAArAHQAbwBwACwAIAATIGIAbwB0AHQAbwBtAFwAbgAgACAAIAAgAHMALAAgACAAIAAgACAAIAAgACAAIAAgACAAIAAgACAAIAAgACAAIABTAEkARwBOACgAawBlAGUAcAApACwAXABuAFwAbgAgACAAIAAgAC8ALwAgAFIAdQBuACAAaQBuAGQAaQBjAGUAcwBcAG4AIAAgACAAIABhAHMAYwBlAG4AZAAsACAAIAAgACAAIAAgACAAIAAgACAAIAAgACAAUwB0AHIAZQBhAGsAuwMoAGEAdABfAGUAYQBjAGgAXwBjAGgAYQBuAGcAZQApACwAXABuACAAIAAgACAAZABlAHMAYwBlAG4AZAAsACAAIAAgACAAIAAgACAAIAAgACAAIAAgAEMAbwB1AG4AdABkAG8AdwBuALsDKABhAHQAXwBlAGEAYwBoAF8AYwBoAGEAbgBnAGUAKQAsAFwAbgAgACAAIAAgAGsAZQBlAHAALAAgACAAIAAgACAAIAAgACAAIAAgACAAIAAgACAAIABBAEIAUwAoAGsAZQBlAHAAKQAsAFwAbgBcAG4AIAAgACAAIAAvAC8AIABTAGUAbABlAGMAdAAgAGkAbgBkAGUAeAAgAGIAYQBzAGUAZAAgAG8AbgAgAHMAaQBnAG4AXABuACAAIAAgACAAaQBkAHgALAAgACAAIAAgACAAIAAgACAAIAAgACAAIAAgACAAIAAgAEkARgAoAHMAIAA9ACAALQAxACwAIABkAGUAcwBjAGUAbgBkACwAIABhAHMAYwBlAG4AZAApACwAXABuAFwAbgAgACAAIAAgAC8ALwAgAEsAZQBlAHAAIAByAG8AdwBzACAAdwBoAGUAcgBlACAAaQBuAGQAZQB4ACAAZCIgAGsAZQBlAHAAXABuACAAIAAgACAAawBlAGUAcAA/ACwAIAAgACAAIAAgACAAIAAgACAAIAAgACAAIAAgAGkAZAB4ACAAPAA9ACAAawBlAGUAcAAsAFwAbgBcAG4AIAAgACAAIAByAGUAcwB1AGwAdAAsACAAIAAgACAAIAAgACAAIAAgACAAIAAgACAARgBJAEwAVABFAFIAKABhAHIAcgBhAHkALAAgAGsAZQBlAHAAPwApACwAXABuAFwAbgAgACAAIAAgAHIAZQBzAHUAbAB0AFwAbgApACkAKQApACkAOwBcAG4AXABuAFwAbgBcAG4ALwAqACAAWwBHAEEAMQA1AF0AIAAtAC0ALQAtAC0ALQAtAC0ALQAtAC0ALQAtAC0ALQAtAC0ALQAtAC0ALQAtAC0ALQAtAC0ALQAtAC0ALQAtAC0ALQAtAC0ALQAtAC0ALQAtAC0ALQAtAC0ALQAtAC0ALQAtAC0ALQAtAC0ALQAtAC0ALQAtAC0ALQAtAC0ALQAtAC0ALQAtAC0ALQAtAC0ALQAtAFwAbgBGAHUAbgBjAHQAaQBvAG4AOgAgACAAIAAgACAASwBlAGUAcABDAG8AbABzALsDXABuAEMAYQB0AGUAZwBvAHIAeQA6ACAAIAAgACAAIABHAHIAaQBkACAAQQBsAGcAZQBiAHIAYQAgACgAUwBlAGwAZQBjAHQAaQBvAG4AKQBcAG4AQQB1AHQAaABvAHIAOgAgACAAIAAgACAAIAAgAFAAYQB0AHIAaQBjAGsAIABIAC4AXABuAFYAZQByAHMAaQBvAG4AOgAgACAAIAAgACAAIAAxAC4AMQBcAG4ARABlAHAAZQBuAGQAZQBuAGMAaQBlAHMAOgAgAFMAdAByAGUAYQBrALsDLAAgAEMAbwB1AG4AdABkAG8AdwBuALsDXABuAFwAbgBEAGUAcwBjAHIAaQBwAHQAaQBvAG4AOgBcAG4AIAAgACAAIABSAGUAdABhAGkAbgBzACAAYwBvAGwAdQBtAG4AcwAgAGYAcgBvAG0AIABhACAAMgBEACAAYQByAHIAYQB5ACAAYgBhAHMAZQBkACAAbwBuACAAYwBvAG4AdABpAGcAdQBvAHUAcwAgAHMAdQBiAGcAcgBvAHUAcAAgAHIAdQBuAHMALgAgAEEAIABwAG8AcwBpAHQAaQB2AGUAXABuACAAIAAgACAAawBlAGUAcAAgAHYAYQBsAHUAZQAgAHIAZQB0AGEAaQBuAHMAIABjAG8AbAB1AG0AbgBzACAAZgByAG8AbQAgAHQAaABlACAAbABlAGYAdAAgAG8AZgAgAGUAYQBjAGgAIABzAHUAYgBnAHIAbwB1AHAAIAByAHUAbgA7ACAAYQAgAG4AZQBnAGEAdABpAHYAZQBcAG4AIAAgACAAIABrAGUAZQBwACAAdgBhAGwAdQBlACAAcgBlAHQAYQBpAG4AcwAgAGMAbwBsAHUAbQBuAHMAIABmAHIAbwBtACAAdABoAGUAIAByAGkAZwBoAHQALgBcAG4AXABuAFAAYQByAGEAbQBlAHQAZQByAHMAOgBcAG4AIAAgACAAIABhAHIAcgBhAHkAIAAgACAAIAAgACAAIAAgACAAIAAgAC0AIAAyAEQAIABhAHIAcgBhAHkALgBcAG4AIAAgACAAIABrAGUAZQBwACAAIAAgACAAIAAgACAAIAAgACAAIAAgAC0AIABTAGMAYQBsAGEAcgAgAGkAbgB0AGUAZwBlAHIAOgBcAG4AIAAgACAAIAAgACAAIAAgACAAIAAgACAAIAAgACAAIAAgACAAIAAgACAAIAAgACAAIAAgAD4AIAAwACAAkiEgAGsAZQBlAHAAIABmAHIAbwBtACAAbABlAGYAdAAgAG8AZgAgAGUAYQBjAGgAIAByAHUAbgBcAG4AIAAgACAAIAAgACAAIAAgACAAIAAgACAAIAAgACAAIAAgACAAIAAgACAAIAAgACAAIAAgADwAIAAwACAAkiEgAGsAZQBlAHAAIABmAHIAbwBtACAAcgBpAGcAaAB0ACAAbwBmACAAZQBhAGMAaAAgAHIAdQBuAFwAbgAgACAAIAAgAGEAdABfAGUAYQBjAGgAXwBjAGgAYQBuAGcAZQAgACAALQAgAFMAdQBiAGcAcgBvAHUAcAAgAGwAYQBiAGUAbABzACAAKABzAGEAbQBlACAAdwBpAGQAdABoACAAYQBzACAAYQByAHIAYQB5ACkALgBcAG4AXABuAE4AbwB0AGUAcwA6AFwAbgAgACAAIAAgACIgIABJAGYAIABvAG4AbAB5ACAAbwBuAGUAIABzAHUAYgBnAHIAbwB1AHAAIABlAHgAaQBzAHQAcwAsACAARABSAE8AUAAoACkAIABpAHMAIAB1AHMAZQBkACAAYQBzACAAYQAgAGYAYQBzAHQAIABwAGEAdABoAC4AXABuACAAIAAgACAAIiAgAGsAZQBlAHAAIABtAHUAcwB0ACAAYgBlACAAYQAgAHMAYwBhAGwAYQByADsAIAB0AGUAeAB0ACAAbwByACAAdgBlAGMAdABvAHIAIABpAG4AcAB1AHQAcwAgAGgAYQBsAHQAIAB3AGkAdABoACAAYQBuACAAZQByAHIAbwByAC4AXABuAC0ALQAtAC0ALQAtAC0ALQAtAC0ALQAtAC0ALQAtAC0ALQAtAC0ALQAtAC0ALQAtAC0ALQAtAC0ALQAtAC0ALQAtAC0ALQAtAC0ALQAtAC0ALQAtAC0ALQAtAC0ALQAtAC0ALQAtAC0ALQAtAC0ALQAtAC0ALQAtAC0ALQAtAC0ALQAtAC0ALQAtAC0ALQAtAC0ALQAtAC0ALQAtACoALwBcAG4AXABuAEsAZQBlAHAAQwBvAGwAcwC7AyAAPQBcAG4ATABBAE0AQgBEAEEAKABcAG4AIAAgACAAIABhAHIAcgBhAHkALABcAG4AIAAgACAAIABrAGUAZQBwACwAXABuACAAIAAgACAAYQB0AF8AZQBhAGMAaABfAGMAaABhAG4AZwBlACwAXABuAEwARQBUACgAXABuACAAIAAgACAALwAvACAAUwB1AGIAZwByAG8AdQBwACAAcwBjAGUAbgBhAHIAaQBvAHMAXABuACAAIAAgACAATwBuAGUAUwB1AGIARwByAG8AdQBwAD8ALAAgACAAIAAgACAAIAAgAEMATwBVAE4AVABBACgAVQBOAEkAUQBVAEUAKABhAHQAXwBlAGEAYwBoAF8AYwBoAGEAbgBnAGUALAAgADEAKQApACAAPQAgADEALABcAG4AIAAgACAAIABEAGkAcwBjAGEAcgBkACwAIAAgACAAIAAgACAAIAAgACAAIAAgACAARABSAE8AUAAoAGEAcgByAGEAeQAsACAALAAgAGsAZQBlAHAAKQAsAFwAbgBcAG4AIAAgACAAIAAvAC8AIABWAGEAbABpAGQAYQB0AGkAbwBuAFwAbgAgACAAIAAgAFMAaABhAHAAZQBNAGkAcwBtAGEAdABjAGgAPwAsACAAIAAgACAAIABDAE8ATABVAE0ATgBTACgAYQByAHIAYQB5ACkAIAA8AD4AIABDAE8ATABVAE0ATgBTACgAYQB0AF8AZQBhAGMAaABfAGMAaABhAG4AZwBlACkALABcAG4AIAAgACAAIABJAHMAVABlAHgAdAA/ACwAIAAgACAAIAAgACAAIAAgACAAIAAgACAASQBTAFQARQBYAFQAKABrAGUAZQBwACkALABcAG4AIAAgACAAIABOAG8AdABTAGMAYQBsAGEAcgA/ACwAIAAgACAAIAAgACAAIAAgACAAQQBOAEQAKABOAE8AVAAoAEkAcwBUAGUAeAB0AD8AKQAsACAAQwBPAFUATgBUAEEAKABrAGUAZQBwACkAIAA+ACAAMQApACwAXABuACAAIAAgACAAcwBjAGUAbgBhAHIAaQBvAHMALAAgACAAIAAgACAAIAAgACAAIAAgAFYAUwBUAEEAQwBLACgAUwBoAGEAcABlAE0AaQBzAG0AYQB0AGMAaAA/ACwAIABJAHMAVABlAHgAdAA/ACwAIABOAG8AdABTAGMAYQBsAGEAcgA/ACkALABcAG4AXABuACAAIAAgACAALwAvACAARQByAHIAbwByACAAaABhAG4AZABsAGkAbgBnAFwAbgAgACAAIAAgAGgAYQBsAHQALAAgACAAIAAgACAAIAAgACAAIAAgACAAIAAgACAAIABPAFIAKABzAGMAZQBuAGEAcgBpAG8AcwApACwAXABuACAAIAAgACAAZQByAHIAbwByAHMALAAgACAAIAAgACAAIAAgACAAIAAgACAAIAAgAHsAXAAiACMARABJAE0ARQBOAFMASQBPAE4AUwAhAFwAIgA7ACAAXAAiACMAVABFAFgAVAAhAFwAIgA7ACAAXAAiACMAUwBDAEEATABBAFIAIQBcACIAfQAsAFwAbgAgACAAIAAgAGEAbABlAHIAdAAsACAAIAAgACAAIAAgACAAIAAgACAAIAAgACAAIABBAFIAUgBBAFkAVABPAFQARQBYAFQAKABGAEkATABUAEUAUgAoAGUAcgByAG8AcgBzACwAIABzAGMAZQBuAGEAcgBpAG8AcwAsACAAMAApACkALABcAG4AXABuAC8ALwAgAEwAbwBnAGkAYwAgAGcAYQB0AGUAXABuACAAIAAgACAASQBGACgATwBuAGUAUwB1AGIARwByAG8AdQBwAD8ALAAgAEQAaQBzAGMAYQByAGQALABcAG4AXABuACAAIAAgACAAIAAgACAAIABJAEYAKABoAGEAbAB0ACwAIABhAGwAZQByAHQALABcAG4AXABuAEwARQBUACgAXABuACAAIAAgACAALwAvACAARABpAHIAZQBjAHQAaQBvAG4AOgAgACsAbABlAGYAdAAsACAAEyByAGkAZwBoAHQAXABuACAAIAAgACAAcwAsACAAIAAgACAAIAAgACAAIAAgACAAIAAgACAAIAAgACAAIAAgAFMASQBHAE4AKABrAGUAZQBwACkALABcAG4AXABuACAAIAAgACAALwAvACAAUgB1AG4AIABpAG4AZABpAGMAZQBzACAAKABoAG8AcgBpAHoAbwBuAHQAYQBsACkAXABuACAAIAAgACAAYQBzAGMAZQBuAGQALAAgACAAIAAgACAAIAAgACAAIAAgACAAIAAgAFMAdAByAGUAYQBrALsDKABhAHQAXwBlAGEAYwBoAF8AYwBoAGEAbgBnAGUALAAgAFQAUgBVAEUAKQAsAFwAbgAgACAAIAAgAGQAZQBzAGMAZQBuAGQALAAgACAAIAAgACAAIAAgACAAIAAgACAAIABDAG8AdQBuAHQAZABvAHcAbgC7AygAYQB0AF8AZQBhAGMAaABfAGMAaABhAG4AZwBlACwAIABUAFIAVQBFACkALABcAG4AIAAgACAAIABrAGUAZQBwACwAIAAgACAAIAAgACAAIAAgACAAIAAgACAAIAAgACAAQQBCAFMAKABrAGUAZQBwACkALABcAG4AXABuACAAIAAgACAALwAvACAAUwBlAGwAZQBjAHQAIABpAG4AZABlAHgAIABiAGEAcwBlAGQAIABvAG4AIABzAGkAZwBuAFwAbgAgACAAIAAgAGkAZAB4ACwAIAAgACAAIAAgACAAIAAgACAAIAAgACAAIAAgACAAIABJAEYAKABzACAAPQAgAC0AMQAsACAAZABlAHMAYwBlAG4AZAAsACAAYQBzAGMAZQBuAGQAKQAsAFwAbgBcAG4AIAAgACAAIAAvAC8AIABLAGUAZQBwACAAYwBvAGwAdQBtAG4AcwAgAHcAaABlAHIAZQAgAGkAbgBkAGUAeAAgAGQiIABrAGUAZQBwAFwAbgAgACAAIAAgAGsAZQBlAHAAPwAsACAAIAAgACAAIAAgACAAIAAgACAAIAAgACAAIABpAGQAeAAgADwAPQAgAGsAZQBlAHAALABcAG4AXABuACAAIAAgACAALwAvACAAQwBvAGwAdQBtAG4AESB3AGkAcwBlACAAZgBpAGwAdABlAHIAXABuACAAIAAgACAAcgBlAHMAdQBsAHQALAAgACAAIAAgACAAIAAgACAAIAAgACAAIAAgAEYASQBMAFQARQBSACgAYQByAHIAYQB5ACwAIABrAGUAZQBwAD8AKQAsAFwAbgBcAG4AIAAgACAAIAByAGUAcwB1AGwAdABcAG4AKQApACkAKQApADsAXABuAFwAbgBcAG4AXABuAC8AKgAgAFsARwBBADEANgBdACAALQAtAC0ALQAtAC0ALQAtAC0ALQAtAC0ALQAtAC0ALQAtAC0ALQAtAC0ALQAtAC0ALQAtAC0ALQAtAC0ALQAtAC0ALQAtAC0ALQAtAC0ALQAtAC0ALQAtAC0ALQAtAC0ALQAtAC0ALQAtAC0ALQAtAC0ALQAtAC0ALQAtAC0ALQAtAC0ALQAtAC0ALQAtAC0ALQBcAG4ARgB1AG4AYwB0AGkAbwBuADoAIAAgACAAIAAgAEIAbABvAGMAawBNAGEAcAC7A1wAbgBDAGEAdABlAGcAbwByAHkAOgAgACAAIAAgACAARwByAGkAZAAgAEEAbABnAGUAYgByAGEAIAAoAFMAdAByAHUAYwB0AHUAcgBhAGwAIABNAGEAcABwAGkAbgBnACkAXABuAEEAdQB0AGgAbwByADoAIAAgACAAIAAgACAAIABQAGEAdAByAGkAYwBrACAASAAuAFwAbgBWAGUAcgBzAGkAbwBuADoAIAAgACAAIAAgACAAMQAuADEAXABuAEQAZQBwAGUAbgBkAGUAbgBjAGkAZQBzADoAIABWAGEAbABpAGQAYQB0AGUAQgBsAG8AYwBrAE0AYQBwALsDXABuAFwAbgBEAGUAcwBjAHIAaQBwAHQAaQBvAG4AOgBcAG4AIAAgACAAIABSAGUAcwBoAGEAcABlAHMAIABhACAAbQBhAHQAcgBpAHgAIAByAG8AdwARIHcAaQBzAGUAIABvAHIAIABjAG8AbAB1AG0AbgARIHcAaQBzAGUAIABpAG4AdABvACAAYgBsAG8AYwBrAHMAIABvAGYAIABzAGkAegBlAFwAbgAgACAAIAAgAGQAZQBwAHQAaAAgANcAIAB3AGkAZAB0AGgALgAgAE8AcAB0AGkAbwBuAGEAbAAgAHAAYQByAGEAbQBlAHQAZQByAHMAIABhAGwAbABvAHcAIAByAGUAcwBoAGEAcABpAG4AZwAgAGIAeQAgAGMAbwBsAHUAbQBuACAAYQBuAGQAXABuACAAIAAgACAAdAByAGEAbgBzAHAAbwBzAGkAbgBnACAAdABoAGUAIABhAG4AYwBoAG8AcgAgAGcAcgBpAGQAcwAgAHUAcwBlAGQAIAB0AG8AIABnAGUAbgBlAHIAYQB0AGUAIABiAGwAbwBjAGsAIABpAG4AZABpAGMAZQBzAC4AXABuAFwAbgBQAGEAcgBhAG0AZQB0AGUAcgBzADoAXABuACAAIAAgACAAbQBhAHQAcgBpAHgAIAAgACAAIAAgACAAIAAgACAAIAAgACAAIAAgACAALQAgAEkAbgBwAHUAdAAgAG0AYQB0AHIAaQB4AC4AXABuACAAIAAgACAAZABlAHAAdABoACAAIAAgACAAIAAgACAAIAAgACAAIAAgACAAIAAgACAALQAgAEgAZQBpAGcAaAB0ACAAbwBmACAAZQBhAGMAaAAgAGIAbABvAGMAawAuAFwAbgAgACAAIAAgAHcAaQBkAHQAaAAgACAAIAAgACAAIAAgACAAIAAgACAAIAAgACAAIAAgAC0AIABXAGkAZAB0AGgAIABvAGYAIABlAGEAYwBoACAAYgBsAG8AYwBrAC4AXABuACAAIAAgACAAWwByAGUAXwBzAGgAYQBwAGUAXwBiAHkAXwBjAG8AbAB1AG0AbgA/AF0ALQAgAEkAZgAgAFQAUgBVAEUALAAgAHIAZQBzAGgAYQBwAGUAIABjAG8AbAB1AG0AbgARIHcAaQBzAGUAOwAgAGUAbABzAGUAIAByAG8AdwARIHcAaQBzAGUALgBcAG4AIAAgACAAIABbAHQAcgBhAG4AcwBwAG8AcwBlAF8AYQBuAGMAaABvAHIAcwA/AF0AIAAtACAASQBmACAAVABSAFUARQAsACAAdAByAGEAbgBzAHAAbwBzAGUAIAByAG8AdwAvAGMAbwBsAHUAbQBuACAAYQBuAGMAaABvAHIAIABnAHIAaQBkAHMALgBcAG4AXABuAE4AbwB0AGUAcwA6AFwAbgAgACAAIAAgACIgIABWAGEAbABpAGQAYQB0AGUAQgBsAG8AYwBrAE0AYQBwALsDIABlAG4AZgBvAHIAYwBlAHMAIABzAHQAcgBpAGMAdAAgAHMAaABhAHAAZQAgAGMAbwBtAHAAYQB0AGkAYgBpAGwAaQB0AHkALgBcAG4AIAAgACAAIAAiICAAQQBuAGMAaABvAHIAcwAgAGQAZQBmAGkAbgBlACAAdABoAGUAIAB0AG8AcAARIGwAZQBmAHQAIABjAG8AcgBuAGUAcgAgAG8AZgAgAGUAYQBjAGgAIABiAGwAbwBjAGsALgBcAG4AIAAgACAAIAAiICAATwB1AHQAcAB1AHQAIABpAHMAIABhAGwAdwBhAHkAcwAgAHIAZQBjAHQAYQBuAGcAdQBsAGEAcgAgAGEAbgBkACAAZgB1AGwAbAB5ACAAdABpAGwAZQBkAC4AXABuAC0ALQAtAC0ALQAtAC0ALQAtAC0ALQAtAC0ALQAtAC0ALQAtAC0ALQAtAC0ALQAtAC0ALQAtAC0ALQAtAC0ALQAtAC0ALQAtAC0ALQAtAC0ALQAtAC0ALQAtAC0ALQAtAC0ALQAtAC0ALQAtAC0ALQAtAC0ALQAtAC0ALQAtAC0ALQAtAC0ALQAtAC0ALQAtAC0ALQAtAC0ALQAtACoALwBcAG4AXABuAEIAbABvAGMAawBNAGEAcAC7AyAAPQBcAG4ATABBAE0AQgBEAEEAKABcAG4AIAAgACAAIABtAGEAdAByAGkAeAAsAFwAbgAgACAAIAAgAGQAZQBwAHQAaAAsAFwAbgAgACAAIAAgAHcAaQBkAHQAaAAsAFwAbgAgACAAIAAgAFsAcgBlAF8AcwBoAGEAcABlAF8AYgB5AF8AYwBvAGwAdQBtAG4APwBdACwAXABuACAAIAAgACAAWwB0AHIAYQBuAHMAcABvAHMAZQBfAGEAbgBjAGgAbwByAHMAPwBdACwAXABuAFwAbgAgACAAIAAgAC8ALwAgAFYAYQBsAGkAZABhAHQAZQAgAGkAbgBwAHUAdABzACAAYgBlAGYAbwByAGUAIAByAGUAcwBoAGEAcABpAG4AZwBcAG4AIAAgACAAIABWAGEAbABpAGQAYQB0AGUAQgBsAG8AYwBrAE0AYQBwALsDKABtAGEAdAByAGkAeAAsACAAZABlAHAAdABoACwAIAB3AGkAZAB0AGgALAAgAHIAZQBfAHMAaABhAHAAZQBfAGIAeQBfAGMAbwBsAHUAbQBuAD8ALABcAG4AXABuAEwARQBUACgAXABuACAAIAAgACAALwAvACAAQgBsAG8AYwBrACAAZwByAGkAZAAgAGQAaQBtAGUAbgBzAGkAbwBuAHMAXABuACAAIAAgACAAeAAsACAAIAAgACAAIAAgACAAIAAgACAAIAAgACAAUgBPAFUATgBEAFUAUAAoAFIATwBXAFMAKABtAGEAdAByAGkAeAApACAALwAgAGQAZQBwAHQAaAAsACAAMAApACwAIAAgACAAIAAgAC8ALwAgAGIAbABvAGMAawAgAHIAbwB3AHMAXABuACAAIAAgACAAeQAsACAAIAAgACAAIAAgACAAIAAgACAAIAAgACAAUgBPAFUATgBEAFUAUAAoAEMATwBMAFUATQBOAFMAKABtAGEAdAByAGkAeAApACAALwAgAHcAaQBkAHQAaAAsACAAMAApACwAIAAgAC8ALwAgAGIAbABvAGMAawAgAGMAbwBsAHUAbQBuAHMAXABuAFwAbgAgACAAIAAgAC8ALwAgAEEAbgBjAGgAbwByACAAZwByAGkAZABzAFwAbgAgACAAIAAgAGkALAAgACAAIAAgACAAIAAgACAAIAAgACAAIAAgAFMARQBRAFUARQBOAEMARQAoAHgALAAgACwAIAAxACwAIABkAGUAcAB0AGgAKQAgACoAXABuACAAIAAgACAAIAAgACAAIAAgACAAIAAgACAAIAAgACAAIAAgACAAUwBFAFEAVQBFAE4AQwBFACgALAAgAHkALAAgADEALAAgADAAKQAsAFwAbgBcAG4AIAAgACAAIABqACwAIAAgACAAIAAgACAAIAAgACAAIAAgACAAIABTAEUAUQBVAEUATgBDAEUAKAAsACAAeQAsACAAMQAsACAAdwBpAGQAdABoACkAIAAqAFwAbgAgACAAIAAgACAAIAAgACAAIAAgACAAIAAgACAAIAAgACAAIAAgAFMARQBRAFUARQBOAEMARQAoAHgALAAgACwAIAAxACwAIAAwACkALABcAG4AXABuACAAIAAgACAAcgBvAHcAXwBhAG4AYwBoAG8AcgAsACAAIAAgACAASQBGACgASQBTAE8ATQBJAFQAVABFAEQAKAB0AHIAYQBuAHMAcABvAHMAZQBfAGEAbgBjAGgAbwByAHMAPwApACwAIABpACwAIABUAFIAQQBOAFMAUABPAFMARQAoAGkAKQApACwAXABuACAAIAAgACAAYwBvAGwAXwBhAG4AYwBoAG8AcgAsACAAIAAgACAASQBGACgASQBTAE8ATQBJAFQAVABFAEQAKAB0AHIAYQBuAHMAcABvAHMAZQBfAGEAbgBjAGgAbwByAHMAPwApACwAIABqACwAIABUAFIAQQBOAFMAUABPAFMARQAoAGoAKQApACwAXABuAFwAbgAgACAAIAAgAC8ALwAgAFIAbwB3ACAAaQBuAGQAaQBjAGUAcwAgAGYAbwByACAAZQBhAGMAaAAgAGIAbABvAGMAawBcAG4AIAAgACAAIAByAG8AdwBfAGkAbgBkAGkAYwBlAHMALAAgACAAIABUAE8AQwBPAEwAKAByAG8AdwBfAGEAbgBjAGgAbwByACkAIAArAFwAbgAgACAAIAAgACAAIAAgACAAIAAgACAAIAAgACAAIAAgACAAIAAgAEkATgBUACgAUwBFAFEAVQBFAE4AQwBFACgALAAgAGQAZQBwAHQAaAAgACoAIAB3AGkAZAB0AGgALAAgADAALAAgADEAIAAvACAAdwBpAGQAdABoACkAKQAsAFwAbgBcAG4AIAAgACAAIAAvAC8AIABDAG8AbAB1AG0AbgAgAGkAbgBkAGkAYwBlAHMAIABmAG8AcgAgAGUAYQBjAGgAIABiAGwAbwBjAGsAXABuACAAIAAgACAAYwBvAGwAXwBpAG4AZABpAGMAZQBzACwAIAAgACAAVABPAEMATwBMACgAYwBvAGwAXwBhAG4AYwBoAG8AcgApACAAKwBcAG4AIAAgACAAIAAgACAAIAAgACAAIAAgACAAIAAgACAAIAAgACAAIABUAE8AUgBPAFcAKABJAEYAUwAoAFMARQBRAFUARQBOAEMARQAoAGQAZQBwAHQAaAApACwAIABTAEUAUQBVAEUATgBDAEUAKAAsACAAdwBpAGQAdABoACwAIAAwACwAIAAxACkAKQApACwAXABuAFwAbgAgACAAIAAgAC8ALwAgAEUAeAB0AHIAYQBjAHQAIABiAGwAbwBjAGsAcwBcAG4AIAAgACAAIAByAGUAcwBoAGEAcABlAGQALAAgACAAIAAgACAAIABJAE4ARABFAFgAKABtAGEAdAByAGkAeAAsACAAcgBvAHcAXwBpAG4AZABpAGMAZQBzACwAIABjAG8AbABfAGkAbgBkAGkAYwBlAHMAKQAsAFwAbgBcAG4AIAAgACAAIAAvAC8AIABPAHAAdABpAG8AbgBhAGwAIABjAG8AbAB1AG0AbgARIHcAaQBzAGUAIAByAGUAcwBoAGEAcABlAFwAbgAgACAAIAAgAHIAZQBzAHUAbAB0ACwAIAAgACAAIAAgACAAIAAgAEkARgAoAHIAZQBfAHMAaABhAHAAZQBfAGIAeQBfAGMAbwBsAHUAbQBuAD8ALAAgAFQAUgBBAE4AUwBQAE8AUwBFACgAcgBlAHMAaABhAHAAZQBkACkALAAgAHIAZQBzAGgAYQBwAGUAZAApACwAXABuAFwAbgAgACAAIAAgAHIAZQBzAHUAbAB0AFwAbgApACkAKQA7AFwAbgBcAG4AXABuAFwAbgAvACoAIABbAEcAQQARIEMATwBSAEUAXQAgAC0ALQAtAC0ALQAtAC0ALQAtAC0ALQAtAC0ALQAtAC0ALQAtAC0ALQAtAC0ALQAtAC0ALQAtAC0ALQAtAC0ALQAtAC0ALQAtAC0ALQAtAC0ALQAtAC0ALQAtAC0ALQAtAC0ALQAtAC0ALQAtAC0ALQAtAC0ALQAtAC0ALQAtAC0ALQAtAC0ALQAtAC0AXABuAEYAdQBuAGMAdABpAG8AbgA6ACAAIAAgACAAIABWAGEAbABpAGQAYQB0AGUAQgBsAG8AYwBrAE0AYQBwALsDXABuAEMAYQB0AGUAZwBvAHIAeQA6ACAAIAAgACAAIABHAHIAaQBkACAAQQBsAGcAZQBiAHIAYQAgACgAQwBvAHIAZQAgAFYAYQBsAGkAZABhAHQAaQBvAG4AKQBcAG4AQQB1AHQAaABvAHIAOgAgACAAIAAgACAAIAAgAFAAYQB0AHIAaQBjAGsAIABIAC4AXABuAFYAZQByAHMAaQBvAG4AOgAgACAAIAAgACAAIAAxAC4AMQBcAG4AXABuAEQAZQBzAGMAcgBpAHAAdABpAG8AbgA6AFwAbgAgACAAIAAgAFYAYQBsAGkAZABhAHQAZQBzACAAaQBuAHAAdQB0AHMAIABmAG8AcgAgAEIAbABvAGMAawBNAGEAcAC7Ay4AIABFAG4AcwB1AHIAZQBzACAAdABoAGUAIABtAGEAdAByAGkAeAAgAGkAcwAgAHYAYQBsAGkAZAAsACAAYgBsAG8AYwBrACAAZABpAG0AZQBuAHMAaQBvAG4AcwBcAG4AIAAgACAAIABhAHIAZQAgAGMAbwBtAHAAYQB0AGkAYgBsAGUALAAgAHIAZQBzAGgAYQBwAGkAbgBnACAAdwBpAGwAbAAgAG4AbwB0ACAAcwBwAGkAbABsACwAIABhAG4AZAAgAHQAaABlACAAYgBsAG8AYwBrACAAZwBlAG8AbQBlAHQAcgB5ACAAdABpAGwAZQBzACAAdABoAGUAXABuACAAIAAgACAAbQBhAHQAcgBpAHgAIABjAGwAZQBhAG4AbAB5AC4AXABuAFwAbgBQAGEAcgBhAG0AZQB0AGUAcgBzADoAXABuACAAIAAgACAAbQBhAHQAcgBpAHgAIAAgACAAIAAgACAAIAAgACAAIAAgACAAIAAgACAALQAgAEkAbgBwAHUAdAAgAG0AYQB0AHIAaQB4AC4AXABuACAAIAAgACAAZABlAHAAdABoACAAIAAgACAAIAAgACAAIAAgACAAIAAgACAAIAAgACAALQAgAEIAbABvAGMAawAgAGgAZQBpAGcAaAB0AC4AXABuACAAIAAgACAAdwBpAGQAdABoACAAIAAgACAAIAAgACAAIAAgACAAIAAgACAAIAAgACAALQAgAEIAbABvAGMAawAgAHcAaQBkAHQAaAAuAFwAbgAgACAAIAAgAHIAZQBfAHMAaABhAHAAZQBfAGIAeQBfAGMAbwBsAHUAbQBuAD8AIAAgAC0AIABPAHAAdABpAG8AbgBhAGwAIABmAGwAYQBnACAAZgBvAHIAIABjAG8AbAB1AG0AbgARIHcAaQBzAGUAIAByAGUAcwBoAGEAcABlAC4AXABuACAAIAAgACAAbwBuAF8AdgBhAGwAaQBkACAAIAAgACAAIAAgACAAIAAgACAAIAAgACAALQAgAEUAeABwAHIAZQBzAHMAaQBvAG4AIAB0AG8AIABlAHYAYQBsAHUAYQB0AGUAIAB3AGgAZQBuACAAdgBhAGwAaQBkAGEAdABpAG8AbgAgAHAAYQBzAHMAZQBzAC4AXABuAFwAbgBOAG8AdABlAHMAOgBcAG4AIAAgACAAIAAiICAARQBuAHMAdQByAGUAcwAgAG0AYQB0AHIAaQB4ACAAaQBzACAAYQAgAHAAcgBvAHAAZQByACAAYQByAHIAYQB5ACAAKABUAFkAUABFACAAPQAgADYANAApAC4AXABuACAAIAAgACAAIiAgAFAAcgBlAHYAZQBuAHQAcwAgAHMAcABpAGwAbAARIHIAaQBzAGsAIAB3AGgAZQBuACAAcgBlAHMAaABhAHAAaQBuAGcAIABiAHkAIABjAG8AbAB1AG0AbgAuAFwAbgAgACAAIAAgACIgIABFAG4AZgBvAHIAYwBlAHMAIABlAHgAYQBjAHQAIABkAGkAdgBpAHMAaQBiAGkAbABpAHQAeQAgAGIAeQAgAGIAbABvAGMAawAgAGQAaQBtAGUAbgBzAGkAbwBuAHMALgBcAG4AIAAgACAAIAAiICAAUgBlAGoAZQBjAHQAcwAgAGkAbgB2AGEAbABpAGQAIABvAHIAIAB0AGUAeAB0ACAAYgBsAG8AYwBrACAAcwBpAHoAZQBzAC4AXABuAC0ALQAtAC0ALQAtAC0ALQAtAC0ALQAtAC0ALQAtAC0ALQAtAC0ALQAtAC0ALQAtAC0ALQAtAC0ALQAtAC0ALQAtAC0ALQAtAC0ALQAtAC0ALQAtAC0ALQAtAC0ALQAtAC0ALQAtAC0ALQAtAC0ALQAtAC0ALQAtAC0ALQAtAC0ALQAtAC0ALQAtAC0ALQAtAC0ALQAtAC0ALQAtACoALwBcAG4AXABuAFYAYQBsAGkAZABhAHQAZQBCAGwAbwBjAGsATQBhAHAAuwMgAD0AXABuAEwAQQBNAEIARABBACgAXABuACAAIAAgACAAbQBhAHQAcgBpAHgALABcAG4AIAAgACAAIABkAGUAcAB0AGgALABcAG4AIAAgACAAIAB3AGkAZAB0AGgALABcAG4AIAAgACAAIAByAGUAXwBzAGgAYQBwAGUAXwBiAHkAXwBjAG8AbAB1AG0AbgA/ACwAXABuACAAIAAgACAAbwBuAF8AdgBhAGwAaQBkACwAXABuAFwAbgAgACAAIAAgAC8ALwAgAE0AdQBzAHQAIABiAGUAIABhAG4AIABhAHIAcgBhAHkAXABuACAAIAAgACAASQBGACgATgBPAFQAKABUAFkAUABFACgAbQBhAHQAcgBpAHgAKQAgAD0AIAA2ADQAKQAsAFwAIgAjAE0AQQBUAFIASQBYACEAXAAiACwAXABuAFwAbgAgACAAIAAgAC8ALwAgAFMAcABpAGwAbAARIHIAaQBzAGsAIAB3AGgAZQBuACAAcgBlAHMAaABhAHAAaQBuAGcAIABiAHkAIABjAG8AbAB1AG0AbgBcAG4AIAAgACAAIABJAEYAKAAoAHIAZQBfAHMAaABhAHAAZQBfAGIAeQBfAGMAbwBsAHUAbQBuAD8AKQAgACoAIABcAG4AIAAgACAAIAAgACAAIAAoAFIATwBXAFMAKABtAGEAdAByAGkAeAApACAAKgAgAEMATwBMAFUATQBOAFMAKABtAGEAdAByAGkAeAApACAALwAgACgAdwBpAGQAdABoACAAKgAgAGQAZQBwAHQAaAApAF4AMgAgAD4AIAAxADYAMwA4ADQAKQAsAFwAIgAjAFMAUABJAEwATAAtAFIASQBTAEsAIQBcACIALABcAG4AXABuACAAIAAgACAALwAvACAATQB1AHMAdAAgAHQAaQBsAGUAIABjAGwAZQBhAG4AbAB5AFwAbgAgACAAIAAgAEkARgAoACgATQBPAEQAKABSAE8AVwBTACgAbQBhAHQAcgBpAHgAKQAsACAAZABlAHAAdABoACkAIAA8AD4AIAAwACkAIAArACgATQBPAEQAKABDAE8ATABVAE0ATgBTACgAbQBhAHQAcgBpAHgAKQAsACAAdwBpAGQAdABoACkAIAA8AD4AIAAwACkALABcACIAIwBCAEwATwBDAEsAIABNAEkAUwBNAEEAVABDAEgAIQBcACIALABcAG4AXABuACAAIAAgACAALwAvACAAQgBsAG8AYwBrACAAcwBpAHoAZQAgAG0AdQBzAHQAIABiAGUAIAB2AGEAbABpAGQAXABuACAAIAAgACAASQBGACgATwBSACgAQQBOAEQAKAB3AGkAZAB0AGgAIAA9ACAAMQAsACAAZABlAHAAdABoACAAPQAgADEAKQAsAGQAZQBwAHQAaAAgAD4AIABSAE8AVwBTACgAbQBhAHQAcgBpAHgAKQAsAFwAbgAgACAAIAAgACAAIAAgACAAIAAgACAAIAAgACAAdwBpAGQAdABoACAAPgAgAEMATwBMAFUATQBOAFMAKABtAGEAdAByAGkAeAApACwASQBTAFQARQBYAFQAKAB3AGkAZAB0AGgAKQAsAEkAUwBUAEUAWABUACgAZABlAHAAdABoACkAKQAsAFwAIgAjAEQASQBNAEUATgBTAEkATwBOAFMAIQBcACIALABcAG4AXABuACAAIAAgACAALwAvACAAQQBsAGwAIABjAGgAZQBjAGsAcwAgAHAAYQBzAHMAZQBkAFwAbgAgACAAIAAgAG8AbgBfAHYAYQBsAGkAZABcAG4AIAAgACAAIAApACkAKQApACkAOwBcAG4AXABuAFwAbgBcAG4ALwAqACAAWwBHAEEAMQA3AF0AIAAtAC0ALQAtAC0ALQAtAC0ALQAtAC0ALQAtAC0ALQAtAC0ALQAtAC0ALQAtAC0ALQAtAC0ALQAtAC0ALQAtAC0ALQAtAC0ALQAtAC0ALQAtAC0ALQAtAC0ALQAtAC0ALQAtAC0ALQAtAC0ALQAtAC0ALQAtAC0ALQAtAC0ALQAtAC0ALQAtAC0ALQAtAC0ALQAtAFwAbgBGAHUAbgBjAHQAaQBvAG4AOgAgACAAIAAgACAAQwBvAG4AdgBvAGwAdgBlALsDXABuAEMAYQB0AGUAZwBvAHIAeQA6ACAAIAAgACAAIABHAHIAaQBkACAAQQBsAGcAZQBiAHIAYQAgACgAUwB0AHIAdQBjAHQAdQByAGEAbAAgAE0AYQBwAHAAaQBuAGcAKQBcAG4AQQB1AHQAaABvAHIAOgAgACAAIAAgACAAIAAgAFAAYQB0AHIAaQBjAGsAIABIAC4AXABuAFYAZQByAHMAaQBvAG4AOgAgACAAIAAgACAAIAAxAC4AMQBcAG4ARABlAHAAZQBuAGQAZQBuAGMAaQBlAHMAOgAgAFIAZQBzAGkAegBlALsDXABuAFwAbgBEAGUAcwBjAHIAaQBwAHQAaQBvAG4AOgBcAG4AIAAgACAAIABQAGUAcgBmAG8AcgBtAHMAIABhACAAcwBsAGkAZABpAG4AZwARIHcAaQBuAGQAbwB3ACAAYwBvAG4AdgBvAGwAdQB0AGkAbwBuACAAbwB2AGUAcgAgAGEAIAAyAEQAIABhAHIAcgBhAHkAIAB1AHMAaQBuAGcAIABhACAAMgBEACAAawBlAHIAbgBlAGwALgBcAG4AIAAgACAAIABFAGEAYwBoACAAdwBpAG4AZABvAHcAIABlAHgAdAByAGEAYwB0AGUAZAAgAGYAcgBvAG0AIAB0AGgAZQAgAGkAbgBwAHUAdAAgAGEAcgByAGEAeQAgAGgAYQBzACAAdABoAGUAIABzAGEAbQBlACAAZABpAG0AZQBuAHMAaQBvAG4AcwAgAGEAcwAgAHQAaABlAFwAbgAgACAAIAAgAGsAZQByAG4AZQBsAC4AIABBACAAcgBlAGQAdQBjAGUAcgAgAGYAdQBuAGMAdABpAG8AbgAgAGkAcwAgAGEAcABwAGwAaQBlAGQAIAB0AG8AIABlAGEAYwBoACAAdwBpAG4AZABvAHcAIAB0AG8AIABwAHIAbwBkAHUAYwBlACAAdABoAGUAIABvAHUAdABwAHUAdAAuAFwAbgBcAG4AIAAgACAAIABJAGYAIABuAG8AIAByAGUAZAB1AGMAZQByACAAZgB1AG4AYwB0AGkAbwBuACAAaQBzACAAcwB1AHAAcABsAGkAZQBkACwAIABDAG8AbgB2AG8AbAB2AGUAuwMgAGQAZQBmAGEAdQBsAHQAcwAgAHQAbwAgAGEAIABkAG8AdAARIHAAcgBvAGQAdQBjAHQAXABuACAAIAAgACAAcgBlAGQAdQBjAGUAcgA6ACAAUwBVAE0AKAB2ACAAKgAgAGsAZQByAG4AZQBsACkALgBcAG4AXABuAFAAYQByAGEAbQBlAHQAZQByAHMAOgBcAG4AIAAgACAAIABhAHIAcgBhAHkAIAAgACAAIAAgACAAIAAtACAAMgBEACAAYQByAHIAYQB5ACAAdABvACAAdwBoAGkAYwBoACAAdABoAGUAIABrAGUAcgBuAGUAbAAgAGkAcwAgAGEAcABwAGwAaQBlAGQALgBcAG4AIAAgACAAIABrAGUAcgBuAGUAbAAgACAAIAAgACAAIAAtACAAMgBEACAAYQByAHIAYQB5ACAAZABlAGYAaQBuAGkAbgBnACAAdABoAGUAIABzAGwAaQBkAGkAbgBnACAAdwBpAG4AZABvAHcAIABkAGkAbQBlAG4AcwBpAG8AbgBzAC4AXABuACAAIAAgACAAWwBmAHUAbgBjAHQAaQBvAG4AXQAgACAALQAgAE8AcAB0AGkAbwBuAGEAbAAgAHIAZQBkAHUAYwBlAHIAIABMAEEATQBCAEQAQQAgAGEAYwBjAGUAcAB0AGkAbgBnACAAYQAgAHMAaQBuAGcAbABlACAAYQByAHIAYQB5ACAAYQByAGcAdQBtAGUAbgB0AC4AXABuACAAIAAgACAAIAAgACAAIAAgACAAIAAgACAAIAAgACAAIAAgAEQAZQBmAGEAdQBsAHQAcwAgAHQAbwAgAFMAVQBNACgAdgAgACoAIABrAGUAcgBuAGUAbAApAC4AXABuAFwAbgBOAG8AdABlAHMAOgBcAG4AIAAgACAAIAAiICAAUgBlAHQAdQByAG4AcwAgAFwAIgAjAEsARQBSAE4ARQBMACEAXAAiACAAaQBmACAAdABoAGUAIABrAGUAcgBuAGUAbAAgAGkAcwAgAGwAYQByAGcAZQByACAAdABoAGEAbgAgAHQAaABlACAAaQBuAHAAdQB0ACAAYQByAHIAYQB5AC4AXABuACAAIAAgACAAIiAgAFIAZQB0AHUAcgBuAHMAIABcACIAIwBGAFUATgBDAFQASQBPAE4AIQBcACIAIABpAGYAIAB0AGgAZQAgAHIAZQBkAHUAYwBlAHIAIABpAHMAIABuAG8AdAAgAGEAIAB2AGEAbABpAGQAIABMAEEATQBCAEQAQQAuAFwAbgAgACAAIAAgACIgIABTAGMAYQBsAGEAcgBzACAAYQByAGUAIAB0AHIAZQBhAHQAZQBkACAAYQBzACAAMQDXADEAIABhAHIAcgBhAHkAcwAgAGEAbgBkACAAbQBhAHAAcABlAGQAIAB0AGgAcgBvAHUAZwBoACAAdABoAGUAIAByAGUAZAB1AGMAZQByAC4AXABuACAAIAAgACAAIiAgAFIAZQBkAHUAYwBlAHIAIABiAGUAaABhAHYAaQBvAHIAIABpAHMAIAB1AHMAZQByABEgZABlAGYAaQBuAGUAZAA7ACAAYQByAHIAYQB5AHMAIABuAGUAZQBkACAAbgBvAHQAIABiAGUAIABuAHUAbQBlAHIAaQBjAC4AXABuAC0ALQAtAC0ALQAtAC0ALQAtAC0ALQAtAC0ALQAtAC0ALQAtAC0ALQAtAC0ALQAtAC0ALQAtAC0ALQAtAC0ALQAtAC0ALQAtAC0ALQAtAC0ALQAtAC0ALQAtAC0ALQAtAC0ALQAtAC0ALQAtAC0ALQAtAC0ALQAtAC0ALQAtAC0ALQAtAC0ALQAtAC0ALQAtAC0ALQAtAC0ALQAtACoALwBcAG4AXABuAEMAbwBuAHYAbwBsAHYAZQC7AyAAPQBcAG4ATABBAE0AQgBEAEEAKABcAG4AIAAgACAAIABhAHIAcgBhAHkALABcAG4AIAAgACAAIABrAGUAcgBuAGUAbAAsAFwAbgAgACAAIAAgAFsAZgB1AG4AYwB0AGkAbwBuAF0ALABcAG4ATABFAFQAKABcAG4AIAAgACAAIAAvAC8AIABBAHIAcgBhAHkAIABkAGkAbQBlAG4AcwBpAG8AbgBzAFwAbgAgACAAIAAgAGgALAAgACAAIAAgACAAIAAgACAAIAAgACAAIAAgACAAIAAgACAAIABSAE8AVwBTACgAYQByAHIAYQB5ACkALABcAG4AIAAgACAAIAB3ACwAIAAgACAAIAAgACAAIAAgACAAIAAgACAAIAAgACAAIAAgACAAQwBPAEwAVQBNAE4AUwAoAGEAcgByAGEAeQApACwAXABuAFwAbgAgACAAIAAgAC8ALwAgAEsAZQByAG4AZQBsACAAZABpAG0AZQBuAHMAaQBvAG4AcwBcAG4AIAAgACAAIABoAF8ALAAgACAAIAAgACAAIAAgACAAIAAgACAAIAAgACAAIAAgACAAUgBPAFcAUwAoAGsAZQByAG4AZQBsACkALABcAG4AIAAgACAAIAB3AF8ALAAgACAAIAAgACAAIAAgACAAIAAgACAAIAAgACAAIAAgACAAQwBPAEwAVQBNAE4AUwAoAGsAZQByAG4AZQBsACkALABcAG4AXABuACAAIAAgACAALwAvACAASwBlAHIAbgBlAGwAIABtAHUAcwB0ACAAZgBpAHQAIABpAG4AcwBpAGQAZQAgAGEAcgByAGEAeQBcAG4AIAAgACAAIABJAG4AdgBhAGwAaQBkAEsAZQByAG4AZQBsAD8ALAAgACAAIAAgACAATwBSACgAaABfACAAPgAgAGgALAAgAHcAXwAgAD4AIAB3ACkALABcAG4AXABuACAAIAAgACAALwAvACAAUwBjAGEAbABhAHIAIABoAGEAbgBkAGwAaQBuAGcAXABuACAAIAAgACAASQBzAFMAYwBhAGwAYQByAD8ALAAgACAAIAAgACAAIAAgACAAIAAgAEEATgBEACgAaAAgAD0AIAAxACwAIAB3ACAAPQAgADEAKQAsAFwAbgAgACAAIAAgAEkAcwBTAGMAYQBsAGEAcgBLAGUAcgBuAGUAbAA/ACwAIAAgACAAIABBAE4ARAAoAGgAXwAgAD0AIAAxACwAIAB3AF8AIAA9ACAAMQApACwAXABuAFwAbgAgACAAIAAgAC8ALwAgAEQAZQBmAGEAdQBsAHQAIAByAGUAZAB1AGMAZQByACAAPQAgAGQAbwB0ACAAcAByAG8AZAB1AGMAdABcAG4AIAAgACAAIABmAHUAbgBjAHQAaQBvAG4ALAAgACAAIAAgACAAIAAgACAAIAAgACAASQBGACgASQBTAE8ATQBJAFQAVABFAEQAKABmAHUAbgBjAHQAaQBvAG4AKQAsAEwAQQBNAEIARABBACgAdgAsACAAUwBVAE0AKAB2ACAAKgAgAGsAZQByAG4AZQBsACkAKQAsAGYAdQBuAGMAdABpAG8AbgApACwAXABuAFwAbgAgACAAIAAgAC8ALwAgAFQAWQBQAEUAKABmAHUAbgBjAHQAaQBvAG4AKQAgAD0AIAAxADIAOAAgAJIhIAB2AGEAbABpAGQAIABMAEEATQBCAEQAQQBcAG4AIAAgACAAIABJAG4AdgBhAGwAaQBkAEYAbgA/ACwAIAAgACAAIAAgACAAIAAgACAAVABZAFAARQAoAGYAdQBuAGMAdABpAG8AbgApACAAPAA+ACAAMQAyADgALABcAG4AXABuACAAIAAgACAALwAvACAAUwBjAGEAbABhAHIAIABvAHIAIABzAGMAYQBsAGEAcgARIGsAZQByAG4AZQBsACAAYwBhAHMAZQAgAJIhIABzAGkAbQBwAGwAZQAgAE0AQQBQAFwAbgAgACAAIAAgAFMAdABhAG4AZABhAHIAZABNAGEAcAAsACAAIAAgACAAIAAgACAAIABMAEEATQBCAEQAQQAoAE0AQQBQACgAYQByAHIAYQB5ACwAIABmAHUAbgBjAHQAaQBvAG4AKQApACwAXABuAFwAbgAvAC8AIABMAG8AZwBpAGMAIABnAGEAdABlAFwAbgAgACAAIAAgAEkARgAoAEkAbgB2AGEAbABpAGQASwBlAHIAbgBlAGwAPwAsACAAXAAiACMASwBFAFIATgBFAEwAIQBcACIALABcAG4AXABuACAAIAAgACAAIAAgACAAIABJAEYAKABJAG4AdgBhAGwAaQBkAEYAbgA/ACwAIABcACIAIwBGAFUATgBDAFQASQBPAE4AIQBcACIALABcAG4AXABuACAAIAAgACAAIAAgACAAIAAgACAAIAAgAEkARgAoACgASQBzAFMAYwBhAGwAYQByAD8AKQAgACsAIAAoAEkAcwBTAGMAYQBsAGEAcgBLAGUAcgBuAGUAbAA/ACkALABTAHQAYQBuAGQAYQByAGQATQBhAHAAKAApACwAXABuAFwAbgBMAEUAVAAoAFwAbgAgACAAIAAgAC8ALwAgAEEAbgBjAGgAbwByACAAYwBvAHUAbgB0AHMAXABuACAAIAAgACAAYQBuAGMAaABfAHIALAAgACAAIAAgACAAIAAgACAAIAAgACAAIAAgAGgAIAAtACAAaABfACAAKwAgADEALABcAG4AIAAgACAAIABhAG4AYwBoAF8AYwAsACAAIAAgACAAIAAgACAAIAAgACAAIAAgACAAdwAgAC0AIAB3AF8AIAArACAAMQAsAFwAbgBcAG4AIAAgACAAIAAvAC8AIABBAG4AYwBoAG8AcgAgAGkAbgBkAGUAeAAgAGcAcgBpAGQAcwBcAG4AIAAgACAAIABpACwAIAAgACAAIAAgACAAIAAgACAAIAAgACAAIAAgACAAIAAgACAATABBAE0AQgBEAEEAKABSAGUAcwBpAHoAZQC7AygAUwBFAFEAVQBFAE4AQwBFACgAYQBuAGMAaABfAHIAKQAsACAALAAgAGEAbgBjAGgAXwBjACkAKQAsAFwAbgAgACAAIAAgAGoALAAgACAAIAAgACAAIAAgACAAIAAgACAAIAAgACAAIAAgACAAIABMAEEATQBCAEQAQQAoAFIAZQBzAGkAegBlALsDKABTAEUAUQBVAEUATgBDAEUAKAAsACAAYQBuAGMAaABfAGMAKQAsACAAYQBuAGMAaABfAHIAKQApACwAXABuAFwAbgAgACAAIAAgAC8ALwAgAFcAaQBuAGQAbwB3ACAAcgBlAGQAdQBjAGUAcgBcAG4AIAAgACAAIABCAGwAbwBjAGsAQQBnAGcAuwMsACAAIAAgACAAIAAgACAAIAAgACAATABBAE0AQgBEAEEAKABpAF8ALAAgAGoAXwAsAFwAbgAgACAAIAAgACAAIAAgACAAIAAgACAAIAAgACAAIAAgACAAIAAgACAAIAAgACAAIAAgACAAIAAgAEwARQBUACgAXABuACAAIAAgACAAIAAgACAAIAAgACAAIAAgACAAIAAgACAAIAAgACAAIAAgACAAIAAgACAAIAAgACAAIAAgACAAIABiAGwAbwBjAGsALAAgACAAVABBAEsARQAoAEQAUgBPAFAAKABhAHIAcgBhAHkALAAgAGkAXwAgAC0AIAAxACwAIABqAF8AIAAtACAAMQApACwAIABoAF8ALAAgAHcAXwApACwAXABuACAAIAAgACAAIAAgACAAIAAgACAAIAAgACAAIAAgACAAIAAgACAAIAAgACAAIAAgACAAIAAgACAAIAAgACAAIAB0AG8AdABhAGwALAAgACAAZgB1AG4AYwB0AGkAbwBuACgAYgBsAG8AYwBrACkALABcAG4AIAAgACAAIAAgACAAIAAgACAAIAAgACAAIAAgACAAIAAgACAAIAAgACAAIAAgACAAIAAgACAAIAAgACAAIAAgAHQAbwB0AGEAbAApACkALABcAG4AXABuACAAIAAgACAALwAvACAAQQBwAHAAbAB5ACAAcgBlAGQAdQBjAGUAcgAgAHQAbwAgAGUAYQBjAGgAIAB3AGkAbgBkAG8AdwBcAG4AIAAgACAAIAByAGUAcwB1AGwAdAAsACAAIAAgACAAIAAgACAAIAAgACAAIAAgACAATQBBAFAAKABpACgAKQAsACAAagAoACkALAAgAEIAbABvAGMAawBBAGcAZwC7AykALABcAG4AXABuACAAIAAgACAAcgBlAHMAdQBsAHQAXABuACkAKQApACkAKQApADsAXABuAFwAbgBcAG4AXABuAC8AKgAgAFsARwBBADEAOABdACAALQAtAC0ALQAtAC0ALQAtAC0ALQAtAC0ALQAtAC0ALQAtAC0ALQAtAC0ALQAtAC0ALQAtAC0ALQAtAC0ALQAtAC0ALQAtAC0ALQAtAC0ALQAtAC0ALQAtAC0ALQAtAC0ALQAtAC0ALQAtAC0ALQAtAC0ALQAtAC0ALQAtAC0ALQAtAC0ALQAtAC0ALQAtAC0ALQBcAG4ARgB1AG4AYwB0AGkAbwBuADoAIAAgACAAIAAgAEYAbwBsAGQAuwNcAG4AQwBhAHQAZQBnAG8AcgB5ADoAIAAgACAAIAAgAEcAcgBpAGQAIABBAGwAZwBlAGIAcgBhACAAKABTAHQAcgB1AGMAdAB1AHIAYQBsACAATQBhAHAAcABpAG4AZwApAFwAbgBBAHUAdABoAG8AcgA6ACAAIAAgACAAIAAgACAAUABhAHQAcgBpAGMAawAgAEgALgBcAG4AVgBlAHIAcwBpAG8AbgA6ACAAIAAgACAAIAAgADEALgAxAFwAbgBEAGUAcABlAG4AZABlAG4AYwBpAGUAcwA6ACAAQQBsAGkAZwBuALsDXABuAFwAbgBEAGUAcwBjAHIAaQBwAHQAaQBvAG4AOgBcAG4AIAAgACAAIABSAGUAZAB1AGMAZQBzACAAcgBlAGMAbwByAGQAcwAgAGkAbgAgAGEAbgAgAGEAcgByAGEAeQAgAGIAeQAgAGcAcgBvAHUAcABpAG4AZwAgAGkAZABlAG4AdABpAGMAYQBsACAAcgBvAHcAcwAgAGEAbgBkACAAYQBwAHAAbAB5AGkAbgBnACAAYQBuAFwAbgAgACAAIAAgAGEAZwBnAHIAZQBnAGEAdABpAG8AbgAgAGYAdQBuAGMAdABpAG8AbgAgAHQAbwAgAHQAaABlACAAYwBvAHIAcgBlAHMAcABvAG4AZABpAG4AZwAgAGUAbgB0AHIAaQBlAHMAIABpAG4AIAB2AGEAbAB1AGUAcwBfAGEAcgByAGEAeQAuAFwAbgBcAG4AIAAgACAAIABJAGYAIAB2AGEAbAB1AGUAcwBfAGEAcgByAGEAeQAgAGkAcwAgAG8AbQBpAHQAdABlAGQALAAgAEYAbwBsAGQAuwMgAHUAcwBlAHMAIAB0AGgAZQAgAGYAaQByAHMAdAAgAGYAaQBlAGwAZAAgAG8AZgAgAGUAYQBjAGgAIAByAGUAYwBvAHIAZAAgAGEAcwBcAG4AIAAgACAAIAB0AGgAZQAgAGEAZwBnAHIAZQBnAGEAdABpAG8AbgAgAHYAZQBjAHQAbwByAC4AIABUAGgAaQBzACAAbQBvAGQAZQAgAGkAcwAgAGkAbgB0AGUAbgBkAGUAZAAgAGYAbwByACAAQwBPAFUATgBUAEEAOwAgAG8AdABoAGUAcgAgAHIAZQBkAHUAYwBlAHIAcwBcAG4AIAAgACAAIABtAGEAeQAgAHAAcgBvAGQAdQBjAGUAIAByAGUAcwB1AGwAdABzACAAYgB1AHQAIABhAHIAZQAgAG4AbwB0ACAAbQBlAGEAbgBpAG4AZwBmAHUAbAAuAFwAbgBcAG4AUABhAHIAYQBtAGUAdABlAHIAcwA6AFwAbgAgACAAIAAgAGEAcgByAGEAeQAgACAAIAAgACAAIAAgACAAIAAgACAALQAgADEARAAgAG8AcgAgADIARAAgAGEAcgByAGEAeQAgAHcAaABvAHMAZQAgAHIAbwB3AHMAIABkAGUAZgBpAG4AZQAgAGcAcgBvAHUAcABpAG4AZwAgAGsAZQB5AHMALgBcAG4AIAAgACAAIABbAHYAYQBsAHUAZQBzAF8AYQByAHIAYQB5AF0AIAAgAC0AIABPAHAAdABpAG8AbgBhAGwAIAAxAEQAIABvAHIAIAAyAEQAIABhAHIAcgBhAHkAIABvAGYAIAB2AGEAbAB1AGUAcwAgAHQAbwAgAGEAZwBnAHIAZQBnAGEAdABlAC4AXABuACAAIAAgACAAWwBmAHUAbgBjAHQAaQBvAG4AXQAgACAAIAAgACAAIAAtACAAUgBlAGQAdQBjAGUAcgAgAEwAQQBNAEIARABBACAAYQBjAGMAZQBwAHQAaQBuAGcAIABhACAAMQBEACAAdgBlAGMAdABvAHIAIAAoAGQAZQBmAGEAdQBsAHQAIAA9ACAAQwBPAFUATgBUAEEAKQAuAFwAbgBcAG4ATgBvAHQAZQBzADoAXABuACAAIAAgACAAIiAgAEYAbwBsAGQAuwMgAGgAYQBsAHQAcwAgAHcAaQB0AGgAIAAjAFYAQQBMAFUARQAhACAAaQBmACAAYQByAHIAYQB5ACAAYQBuAGQAIAB2AGEAbAB1AGUAcwBfAGEAcgByAGEAeQAgAGgAZQBpAGcAaAB0AHMAIABkAGkAZgBmAGUAcgAuAFwAbgAgACAAIAAgACIgIABGAG8AbABkALsDIABoAGEAbAB0AHMAIAB3AGkAdABoACAAIwBGAFUATgBDAFQASQBPAE4AIQAgAGkAZgAgAHIAZQBkAHUAYwBlAHIAIABpAHMAIABuAG8AdAAgAGEAIAB2AGEAbABpAGQAIABMAEEATQBCAEQAQQAuAFwAbgAgACAAIAAgACIgIABBAGwAaQBnAG4AuwMgAGMAYQBuAG8AbgBpAGMAYQBsAGkAegBlAHMAIAByAGUAYwBvAHIAZABzACAAcwBvACAAaQBkAGUAbgB0AGkAYwBhAGwAIAByAG8AdwBzACAAZwByAG8AdQBwACAAYwBsAGUAYQBuAGwAeQAuAFwAbgAtAC0ALQAtAC0ALQAtAC0ALQAtAC0ALQAtAC0ALQAtAC0ALQAtAC0ALQAtAC0ALQAtAC0ALQAtAC0ALQAtAC0ALQAtAC0ALQAtAC0ALQAtAC0ALQAtAC0ALQAtAC0ALQAtAC0ALQAtAC0ALQAtAC0ALQAtAC0ALQAtAC0ALQAtAC0ALQAtAC0ALQAtAC0ALQAtAC0ALQAtAC0ALQAqAC8AXABuAFwAbgBGAG8AbABkALsDIAA9AFwAbgBMAEEATQBCAEQAQQAoAFwAbgAgACAAIAAgAGEAcgByAGEAeQAsAFwAbgAgACAAIAAgAFsAdgBhAGwAdQBlAHMAXwBhAHIAcgBhAHkAXQAsAFwAbgAgACAAIAAgAFsAZgB1AG4AYwB0AGkAbwBuAF0ALABcAG4AXABuAEwARQBUACgAXABuACAAIAAgACAALwAvACAARABlAGYAYQB1AGwAdAAgAHYAYQBsAHUAZQBzACAAYQByAHIAYQB5AFwAbgAgACAAIAAgAHYAYQBsAHUAZQBzAF8AYQByAHIAYQB5ACwASQBGACgASQBTAE8ATQBJAFQAVABFAEQAKAB2AGEAbAB1AGUAcwBfAGEAcgByAGEAeQApACwAVABBAEsARQAoAGEAcgByAGEAeQAsACAALAAgADEAKQAsAFwAbgAgACAAIAAgACAAIAAgACAAIAAgACAAIAAgACAAIAAgACAAIAAgACAAIAAgACAAIAAgACAAIAAgACAAIAAgACAAIAAgACAAIAAgACAAIAAgACAAIAAgACAAIAAgACAAdgBhAGwAdQBlAHMAXwBhAHIAcgBhAHkAKQAsAFwAbgAgACAAIAAgAC8ALwAgAEQAZQBmAGEAdQBsAHQAIAByAGUAZAB1AGMAZQByAFwAbgAgACAAIAAgAGYAdQBuAGMAdABpAG8AbgAsACAAIAAgACAASQBGACgATwBSACgASQBTAE8ATQBJAFQAVABFAEQAKABmAHUAbgBjAHQAaQBvAG4AKQAsACAASQBTAE8ATQBJAFQAVABFAEQAKAB2AGEAbAB1AGUAcwBfAGEAcgByAGEAeQApACkALABDAE8AVQBOAFQAQQAsAFwAbgAgACAAIAAgACAAIAAgACAAIAAgACAAIAAgACAAIAAgACAAIAAgACAAIAAgACAAIAAgACAAIAAgACAAIAAgACAAIAAgACAAIAAgACAAIAAgACAAIAAgACAAIAAgACAAIAAgACAAIAAgACAAIAAgACAAIAAgACAAIAAgACAAIAAgACAAIABmAHUAbgBjAHQAaQBvAG4AKQAsAFwAbgBcAG4ALwAvACAATABvAGcAaQBjACAAZwBhAHQAZQBcAG4ASQBGACgAQQBOAEQAKABOAE8AVAAoAEkAUwBPAE0ASQBUAFQARQBEACgAdgBhAGwAdQBlAHMAXwBhAHIAcgBhAHkAKQApACwAXABuACAAIAAgACAAIAAgACAAIABSAE8AVwBTACgAYQByAHIAYQB5ACkAIAA8AD4AIABSAE8AVwBTACgAdgBhAGwAdQBlAHMAXwBhAHIAcgBhAHkAKQApACwAXAAiACMAVgBBAEwAVQBFACEAXAAiACwAXABuAFwAbgAgACAAIAAgAEkARgAoAFQAWQBQAEUAKABmAHUAbgBjAHQAaQBvAG4AKQAgADwAPgAgADEAMgA4ACwAXAAiACMARgBVAE4AQwBUAEkATwBOACEAXAAiACwAXABuAFwAbgBMAEUAVAAoAFwAbgAgACAAIAAgAC8ALwAgAEMAYQBuAG8AbgBpAGMAYQBsACAAZwByAG8AdQBwAGkAbgBnACAAawBlAHkAcwBcAG4AIAAgACAAIABhAGwAaQBnAG4AZQBkACwAIAAgACAAIAAgAEEAbABpAGcAbgC7AygAYQByAHIAYQB5ACkALABcAG4AXABuACAAIAAgACAALwAvACAAQQBnAGcAcgBlAGcAYQB0AGkAbwBuAFwAbgAgACAAIAAgAGEAZwBnACwAIAAgACAAIAAgACAAIAAgACAARwBSAE8AVQBQAEIAWQAoAGEAbABpAGcAbgBlAGQALAAgAHYAYQBsAHUAZQBzAF8AYQByAHIAYQB5ACwAIABmAHUAbgBjAHQAaQBvAG4ALAAgACwAIAAwACkALABcAG4AXABuACAAIAAgACAAYQBnAGcAXABuACkAKQApACkAKQA7AFwAbgBcAG4AXABuAFwAbgAvACoAIABbAEcAQQAxADkAXQAgAC0ALQAtAC0ALQAtAC0ALQAtAC0ALQAtAC0ALQAtAC0ALQAtAC0ALQAtAC0ALQAtAC0ALQAtAC0ALQAtAC0ALQAtAC0ALQAtAC0ALQAtAC0ALQAtAC0ALQAtAC0ALQAtAC0ALQAtAC0ALQAtAC0ALQAtAC0ALQAtAC0ALQAtAC0ALQAtAC0ALQAtAC0ALQAtAC0AXABuAEYAdQBuAGMAdABpAG8AbgA6ACAAIAAgACAAIABKAG8AaQBuADIARAC7A1wAbgBDAGEAdABlAGcAbwByAHkAOgAgACAAIAAgACAARwByAGkAZAAgAEEAbABnAGUAYgByAGEAIAAoAFMAdAByAHUAYwB0AHUAcgBhAGwAIABNAGEAcABwAGkAbgBnACkAXABuAEEAdQB0AGgAbwByADoAIAAgACAAIAAgACAAIABQAGEAdAByAGkAYwBrACAASAAuAFwAbgBWAGUAcgBzAGkAbwBuADoAIAAgACAAIAAgACAAMQAuADEAXABuAFwAbgBEAGUAcwBjAHIAaQBwAHQAaQBvAG4AOgBcAG4AIAAgACAAIABKAG8AaQBuAHMAIABhAGwAbAAgAG4AbwBuABEgZQBtAHAAdAB5ACAAdgBhAGwAdQBlAHMAIABhAGMAcgBvAHMAcwAgADIAIAB0AG8AIAA0ACAAaQBkAGUAbgB0AGkAYwBhAGwAbAB5ABEgcwBoAGEAcABlAGQAIAAyAEQAIABhAHIAcgBhAHkAcwAgAHUAcwBpAG4AZwBcAG4AIAAgACAAIABhACAAcwBwAGUAYwBpAGYAaQBlAGQAIABkAGUAbABpAG0AaQB0AGUAcgAuACAAVABoAGUAIABvAHUAdABwAHUAdAAgAHAAcgBlAHMAZQByAHYAZQBzACAAdABoAGUAIABzAGgAYQBwAGUAIABvAGYAIAB0AGgAZQAgAGkAbgBwAHUAdABzAC4AXABuAFwAbgAgACAAIAAgAEEAIABjAGUAbABsACAAaQBzACAAYwBvAG4AcwBpAGQAZQByAGUAZAAgABwgZQBtAHAAdAB5AB0gIABpAGYAIABpAHQAIABtAGEAdABjAGgAZQBzACAAQQBOAFkAIABvAGYAOgBcAG4AIAAgACAAIAAgACAAIAAgACIgIABMAEUATgAoAGMAZQBsAGwAKQAgAD0AIAAwAFwAbgAgACAAIAAgACAAIAAgACAAIiAgAGMAZQBsAGwAIAA9ACAARgBBAEwAUwBFAFwAbgAgACAAIAAgACAAIAAgACAAIiAgAGMAZQBsAGwAIAA9ACAAaQBnAG4AbwByAGUAIAAoAHUAcwBlAHIAESBzAHAAZQBjAGkAZgBpAGUAZAApAFwAbgBcAG4AIAAgACAAIABKAG8AaQBuADIARAC7AyAAaQBzACAAYQBuACAAYQBsAHQAZQByAG4AYQB0AGkAdgBlACAAdABvACAAbgBlAHMAdABlAGQAIABNAEEAUAAgAGwAbwBnAGkAYwAgAGYAbwByACAAZQBsAGUAbQBlAG4AdAARIHcAaQBzAGUAIABqAG8AaQBuAGkAbgBnAC4AXABuAFwAbgBQAGEAcgBhAG0AZQB0AGUAcgBzADoAXABuACAAIAAgACAAYQByAHIAYQB5AF8AMQAgACAAIAAgACAALQAgAFIAZQBxAHUAaQByAGUAZAAgADIARAAgAGEAcgByAGEAeQAuAFwAbgAgACAAIAAgAGEAcgByAGEAeQBfADIAIAAgACAAIAAgAC0AIABSAGUAcQB1AGkAcgBlAGQAIAAyAEQAIABhAHIAcgBhAHkALgBcAG4AIAAgACAAIABbAGEAcgByAGEAeQBfADMAXQAgACAAIAAtACAATwBwAHQAaQBvAG4AYQBsACAAMgBEACAAYQByAHIAYQB5AC4AXABuACAAIAAgACAAWwBhAHIAcgBhAHkAXwA0AF0AIAAgACAALQAgAE8AcAB0AGkAbwBuAGEAbAAgADIARAAgAGEAcgByAGEAeQAuAFwAbgAgACAAIAAgAFsAZABlAGwAaQBtAGkAdABlAHIAXQAgAC0AIABEAGUAbABpAG0AaQB0AGUAcgAgAGYAbwByACAAagBvAGkAbgBpAG4AZwAgACgAZABlAGYAYQB1AGwAdAAgAD0AIABcACIALAAgAFwAIgApAC4AXABuACAAIAAgACAAWwBpAGcAbgBvAHIAZQBdACAAIAAgACAALQAgAFYAYQBsAHUAZQAgAHQAcgBlAGEAdABlAGQAIABhAHMAIABlAG0AcAB0AHkAIAAoAGQAZQBmAGEAdQBsAHQAIAA9ACAAXAAiAFwAIgApAC4AXABuAFwAbgBOAG8AdABlAHMAOgBcAG4AIAAgACAAIAAiICAAQQBsAGwAIABzAHUAcABwAGwAaQBlAGQAIABhAHIAcgBhAHkAcwAgAG0AdQBzAHQAIABoAGEAdgBlACAAaQBkAGUAbgB0AGkAYwBhAGwAIABkAGkAbQBlAG4AcwBpAG8AbgBzAC4AXABuACAAIAAgACAAIiAgAEUAbQBwAHQAeQAgAGMAZQBsAGwAcwAgAGEAcgBlACAAcwBrAGkAcABwAGUAZAA7ACAAbgBvACAAdAByAGEAaQBsAGkAbgBnACAAZABlAGwAaQBtAGkAdABlAHIAIABpAHMAIABhAGQAZABlAGQALgBcAG4ALQAtAC0ALQAtAC0ALQAtAC0ALQAtAC0ALQAtAC0ALQAtAC0ALQAtAC0ALQAtAC0ALQAtAC0ALQAtAC0ALQAtAC0ALQAtAC0ALQAtAC0ALQAtAC0ALQAtAC0ALQAtAC0ALQAtAC0ALQAtAC0ALQAtAC0ALQAtAC0ALQAtAC0ALQAtAC0ALQAtAC0ALQAtAC0ALQAtAC0ALQAtAC0AKgAvAFwAbgBcAG4ASgBvAGkAbgAyAEQAuwMgAD0AXABuAEwAQQBNAEIARABBACgAXABuACAAIAAgACAAYQByAHIAYQB5AF8AMQAsAFwAbgAgACAAIAAgAGEAcgByAGEAeQBfADIALABcAG4AIAAgACAAIABbAGEAcgByAGEAeQBfADMAXQAsAFwAbgAgACAAIAAgAFsAYQByAHIAYQB5AF8ANABdACwAXABuACAAIAAgACAAWwBkAGUAbABpAG0AaQB0AGUAcgBdACwAXABuACAAIAAgACAAWwBpAGcAbgBvAHIAZQBdACwAXABuAEwARQBUACgAXABuACAAIAAgACAALwAvACAATwBwAHQAaQBvAG4AYQBsACAAYQByAHIAYQB5AHMAXABuACAAIAAgACAASQBuAGMAbAB1AGQAZQAzAD8ALAAgACAAIAAgACAAIAAgACAAIAAgAE4ATwBUACgASQBTAE8ATQBJAFQAVABFAEQAKABhAHIAcgBhAHkAXwAzACkAKQAsAFwAbgAgACAAIAAgAEkAbgBjAGwAdQBkAGUANAA/ACwAIAAgACAAIAAgACAAIAAgACAAIABOAE8AVAAoAEkAUwBPAE0ASQBUAFQARQBEACgAYQByAHIAYQB5AF8ANAApACkALABcAG4AIAAgACAAIABhAHIAcgBhAHkAXwAzACwAIAAgACAAIAAgACAAIAAgACAAIAAgACAASQBGACgASQBTAE8ATQBJAFQAVABFAEQAKABhAHIAcgBhAHkAXwAzACkALAAgAEYAQQBMAFMARQAsACAAYQByAHIAYQB5AF8AMwApACwAXABuACAAIAAgACAAYQByAHIAYQB5AF8ANAAsACAAIAAgACAAIAAgACAAIAAgACAAIAAgAEkARgAoAEkAUwBPAE0ASQBUAFQARQBEACgAYQByAHIAYQB5AF8ANAApACwAIABGAEEATABTAEUALAAgAGEAcgByAGEAeQBfADQAKQAsAFwAbgBcAG4AIAAgACAAIAAvAC8AIABEAGUAbABpAG0AaQB0AGUAcgAgACsAIABpAGcAbgBvAHIAZQBcAG4AIAAgACAAIABkAGUAbABpAG0AaQB0AGUAcgAsACAAIAAgACAAIAAgACAAIAAgACAASQBGACgASQBTAE8ATQBJAFQAVABFAEQAKABkAGUAbABpAG0AaQB0AGUAcgApACwAIABcACIALAAgAFwAIgAsACAAZABlAGwAaQBtAGkAdABlAHIAKQAsAFwAbgAgACAAIAAgAGkAZwBuAG8AcgBlACwAIAAgACAAIAAgACAAIAAgACAAIAAgACAAIABJAEYAKABJAFMATwBNAEkAVABUAEUARAAoAGkAZwBuAG8AcgBlACkALAAgAFwAIgBcACIALAAgAGkAZwBuAG8AcgBlACkALABcAG4AXABuACAAIAAgACAALwAvACAARABpAG0AZQBuAHMAaQBvAG4AcwBcAG4AIAAgACAAIABoACwAIAAgACAAIAAgACAAIAAgACAAIAAgACAAIAAgACAAIAAgACAAUgBPAFcAUwAoAGEAcgByAGEAeQBfADEAKQAsAFwAbgAgACAAIAAgAHcALAAgACAAIAAgACAAIAAgACAAIAAgACAAIAAgACAAIAAgACAAIABDAE8ATABVAE0ATgBTACgAYQByAHIAYQB5AF8AMQApACwAXABuAFwAbgAgACAAIAAgAGgAgiAsACAAIAAgACAAIAAgACAAIAAgACAAIAAgACAAIAAgACAAIABSAE8AVwBTACgAYQByAHIAYQB5AF8AMgApACwAXABuACAAIAAgACAAdwCCICwAIAAgACAAIAAgACAAIAAgACAAIAAgACAAIAAgACAAIAAgAEMATwBMAFUATQBOAFMAKABhAHIAcgBhAHkAXwAyACkALABcAG4AXABuACAAIAAgACAAaACDICwAIAAgACAAIAAgACAAIAAgACAAIAAgACAAIAAgACAAIAAgAFIATwBXAFMAKABhAHIAcgBhAHkAXwAzACkALABcAG4AIAAgACAAIAB3AIMgLAAgACAAIAAgACAAIAAgACAAIAAgACAAIAAgACAAIAAgACAAQwBPAEwAVQBNAE4AUwAoAGEAcgByAGEAeQBfADMAKQAsAFwAbgBcAG4AIAAgACAAIABoAIQgLAAgACAAIAAgACAAIAAgACAAIAAgACAAIAAgACAAIAAgACAAUgBPAFcAUwAoAGEAcgByAGEAeQBfADQAKQAsAFwAbgAgACAAIAAgAHcAhCAsACAAIAAgACAAIAAgACAAIAAgACAAIAAgACAAIAAgACAAIABDAE8ATABVAE0ATgBTACgAYQByAHIAYQB5AF8ANAApACwAXABuAFwAbgAgACAAIAAgAC8ALwAgAEQAaQBtAGUAbgBzAGkAbwBuACAAYwBoAGUAYwBrAHMAXABuACAAIAAgACAAUwBfADIALAAgACAAIAAgACAAIAAgACAAIAAgACAAIAAgACAAIAAgAE8AUgAoAGgAIAA8AD4AIABoAIIgLAAgAHcAIAA8AD4AIAB3AIIgKQAsAFwAbgAgACAAIAAgAFMAXwAzACwAIAAgACAAIAAgACAAIAAgACAAIAAgACAAIAAgACAAIABJAG4AYwBsAHUAZABlADMAPwAgACoAIABPAFIAKABoACAAPAA+ACAAaACDICwAIAB3ACAAPAA+ACAAdwCDICkALABcAG4AIAAgACAAIABTAF8ANAAsACAAIAAgACAAIAAgACAAIAAgACAAIAAgACAAIAAgACAASQBuAGMAbAB1AGQAZQA0AD8AIAAqACAATwBSACgAaAAgADwAPgAgAGgAhCAsACAAdwAgADwAPgAgAHcAhCApACwAXABuAFwAbgAgACAAIAAgAFMAaABhAHAAZQBNAGkAcwBtAGEAdABjAGgAPwAsACAAIAAgACAAIABPAFIAKABTAF8AMgAsACAAUwBfADMALAAgAFMAXwA0ACkALABcAG4AXABuACAAIAAgACAASQBGACgAUwBoAGEAcABlAE0AaQBzAG0AYQB0AGMAaAA/ACwAIABcACIAIwBEAEkATQBFAE4AUwBJAE8ATgBTACEAXAAiACwAXABuAFwAbgBMAEUAVAAoAFwAbgAgACAAIAAgAC8ALwAgAE8AYwBjAHUAcABhAG4AYwB5ACAAcAByAGUAZABpAGMAYQB0AGUAXABuACAAIAAgACAATwBjAGMAdQBwAGkAZQBkALsDLAAgACAATABBAE0AQgBEAEEAKABhACwAXABuACAAIAAgACAAIAAgACAAIAAgACAAIAAgACAAIAAgACAAIAAgACAAIAAgACAAKABhACAAPAA+ACAARgBBAEwAUwBFACkAIAAqACAAKABMAEUATgAoAGEAKQAgADwAPgAgADAAKQAgACoAIAAoAGEAIAA8AD4AIABpAGcAbgBvAHIAZQApACkALABcAG4AXABuACAAIAAgACAAbQBfADEALAAgACAAIAAgACAAIAAgACAATwBjAGMAdQBwAGkAZQBkALsDKABhAHIAcgBhAHkAXwAxACkALABcAG4AIAAgACAAIABtAF8AMgAsACAAIAAgACAAIAAgACAAIABPAGMAYwB1AHAAaQBlAGQAuwMoAGEAcgByAGEAeQBfADIAKQAsAFwAbgAgACAAIAAgAG0AXwAzACwAIAAgACAAIAAgACAAIAAgAE8AYwBjAHUAcABpAGUAZAC7AygAYQByAHIAYQB5AF8AMwApACwAXABuACAAIAAgACAAbQBfADQALAAgACAAIAAgACAAIAAgACAATwBjAGMAdQBwAGkAZQBkALsDKABhAHIAcgBhAHkAXwA0ACkALABcAG4AXABuACAAIAAgACAALwAvACAASgBvAGkAbgAgAGkAbgAgAG8AcgBkAGUAcgAsACAAcwBrAGkAcABwAGkAbgBnACAAZQBtAHAAdABpAGUAcwBcAG4AIAAgACAAIABqAG8AaQBuAGUAZAAsACAAIAAgACAAIABJAEYAKABtAF8AMQAsACAAYQByAHIAYQB5AF8AMQAgACYAIABkAGUAbABpAG0AaQB0AGUAcgAsACAAXAAiAFwAIgApACAAJgBcAG4AXABuACAAIAAgACAAIAAgACAAIAAgACAAIAAgACAAIAAgACAAIAAgACAAIABJAEYAKABtAF8AMgAsACAAYQByAHIAYQB5AF8AMgAgACYAIABkAGUAbABpAG0AaQB0AGUAcgAsACAAXAAiAFwAIgApACAAJgBcAG4AXABuACAAIAAgACAAIAAgACAAIAAgACAAIAAgACAAIAAgACAAIAAgACAAIAAgACAAIAAgAEkARgAoAG0AXwAzACwAIABhAHIAcgBhAHkAXwAzACAAJgAgAGQAZQBsAGkAbQBpAHQAZQByACwAIABcACIAXAAiACkAIAAmAFwAbgBcAG4AIAAgACAAIAAgACAAIAAgACAAIAAgACAAIAAgACAAIAAgACAAIAAgACAAIAAgACAAIAAgACAAIABJAEYAKABtAF8ANAAsACAAYQByAHIAYQB5AF8ANAAgACYAIABkAGUAbABpAG0AaQB0AGUAcgAsACAAXAAiAFwAIgApACwAXABuAFwAbgAgACAAIAAgAGYAaQBuAGEAbAAsACAAIAAgACAAIAAgAFQARQBYAFQAQgBFAEYATwBSAEUAKABqAG8AaQBuAGUAZAAsAGQAZQBsAGkAbQBpAHQAZQByACwALQAxACwAMQAsACwAagBvAGkAbgBlAGQAKQAsAFwAbgBcAG4AIAAgACAAIABmAGkAbgBhAGwAXABuACkAKQApACkAOwBcAG4AXABuAFwAbgBcAG4ALwAqACAAWwBSAFAAXQAgAC0ALQAtAC0ALQAtAC0ALQAtAC0ALQAtAC0ALQAtAC0ALQAtAC0ALQAtAC0ALQAtAC0ALQAtAC0ALQAtAC0ALQAtAC0ALQAtAC0ALQAtAC0ALQAtAC0ALQAtAC0ALQAtAC0ALQAtAC0ALQAtAC0ALQAtAC0ALQAtAC0ALQAtAC0ALQAtAC0ALQAtAC0ALQAtAC0ALQAtAFwAbgAjACMAIAAwADUAIAAtACAAUgBlAHAAZQB0AGkAdABpAG8AbgBcAG4ALQAtAC0ALQAtAC0ALQAtAC0ALQAtAC0ALQAtAC0ALQAtAC0ALQAtAC0ALQAtAC0ALQAtAC0ALQAtAC0ALQAtAC0ALQAtAC0ALQAtAC0ALQAtAC0ALQAtAC0ALQAtAC0ALQAtAC0ALQAtAC0ALQAtAC0ALQAtAC0ALQAtAC0ALQAtAC0ALQAtAC0ALQAtAC0ALQAtAC0ALQAtAC0ALQAgACoALwBcAG4AXABuAC8AKgBcAG4ARABlAHMAYwByAGkAcAB0AGkAbwBuADoAXABuACAAIAAgACAAVABoAGkAcwAgAHMAZQBjAHQAaQBvAG4AIABjAG8AbgB0AGEAaQBuAHMAIABmAHUAbgBjAHQAaQBvAG4AcwAgAHQAaABhAHQAIAByAGUAcABsAGkAYwBhAHQAZQAgAGEAcgByAGEAeQBzACAAYQBsAG8AbgBnACAAcgBvAHcAcwAsACAAYwBvAGwAdQBtAG4AcwAsACAAbwByACAAYgBvAHQAaAAuAFwAbgBcAG4ARgB1AG4AYwB0AGkAbwBuAHMAOgBcAG4AIAAgACAAIAAiICAARQBjAGgAbwC7AyAAIAAgACAAIAAgACAAIAAgACAALQAgAFIAZQBwAGUAYQB0ACAAZQBhAGMAaAAgAGUAbABlAG0AZQBuAHQAIABpAG4AIABhACAAMQBEACAAYQByAHIAYQB5ACAAYgB5ACAAYwBvAHUAbgB0AC4AXABuACAAIAAgACAAIiAgAFIAZQBwAGUAYQB0AFIAbwB3AHMAuwMgACAAIAAgAC0AIABSAGUAcABlAGEAdAAgAGUAYQBjAGgAIAByAG8AdwAgAGIAeQAgAGEAIABjAG8AcgByAGUAcwBwAG8AbgBkAGkAbgBnACAAcgBlAHAAZQBhAHQAIABjAG8AdQBuAHQALgBcAG4AIAAgACAAIAAiICAAUgBlAHAAZQBhAHQAQwBvAGwAcwC7AyAAIAAgACAALQAgAFIAZQBwAGUAYQB0ACAAZQBhAGMAaAAgAGMAbwBsAHUAbQBuACAAYgB5ACAAYQAgAGMAbwByAHIAZQBzAHAAbwBuAGQAaQBuAGcAIAByAGUAcABlAGEAdAAgAGMAbwB1AG4AdAAuAFwAbgAgACAAIAAgACIgIABUAGUAcwBzAGUAbABsAGEAdABlALsDIAAgACAAIAAtACAAVABpAGwAZQAgAGEAIAAyAEQAIABhAHIAcgBhAHkAIABpAG4AIABtAG8AZAB1AGwAYQByACAAZgBhAHMAaABpAG8AbgAsACAAcwB1AHAAcABvAHIAdABpAG4AZwBcAG4AIAAgACAAIAAgACAAIAAgACAAIAAgACAAIAAgACAAIAAgACAAIAAgACAAIAAgACAAcABhAHIAdABpAGEAbAAgAHQAaQBsAGUAcwAgAHcAaABlAG4AIABvAHUAdABwAHUAdAAgAGQAaQBtAGUAbgBzAGkAbwBuAHMAIABkAG8AIABuAG8AdABcAG4AIAAgACAAIAAgACAAIAAgACAAIAAgACAAIAAgACAAIAAgACAAIAAgACAAIAAgACAAZABpAHYAaQBkAGUAIABlAHYAZQBuAGwAeQAuAFwAbgBcAG4AXABuAFwAbgBcACIAUAByAGUAcwBlAG4AdAAgAHMAdQBjAGMAZQBzAHMAIABpAHMAIABhAG4AIABlAGMAaABvACAAbwBmACAAYQAgAHAAYQBzAHQAIAB0AHIAaQB1AG0AcABoAC4AIABGAGEAaQBsAHUAcgBlACAAaQBzACAAcgBlAGQAdQBuAGQAYQBuAHQALgBcACIAIAAtACAAUgBlAHAAZQB0AHQAbwBcAG4AKgAvAFwAbgBcAG4AXABuAFwAbgAvACoAIABbAFIAUAAwADEAXQAgAC0ALQAtAC0ALQAtAC0ALQAtAC0ALQAtAC0ALQAtAC0ALQAtAC0ALQAtAC0ALQAtAC0ALQAtAC0ALQAtAC0ALQAtAC0ALQAtAC0ALQAtAC0ALQAtAC0ALQAtAC0ALQAtAC0ALQAtAC0ALQAtAC0ALQAtAC0ALQAtAC0ALQAtAC0ALQAtAC0ALQAtAC0ALQAtAC0AXABuAEYAdQBuAGMAdABpAG8AbgA6ACAAIAAgACAAIABFAGMAaABvALsDXABuAEMAYQB0AGUAZwBvAHIAeQA6ACAAIAAgACAAIABSAGUAcABlAHQAaQB0AGkAbwBuAFwAbgBBAHUAdABoAG8AcgA6ACAAIAAgACAAIAAgACAAUABhAHQAcgBpAGMAawAgAEgALgBcAG4AVgBlAHIAcwBpAG8AbgA6ACAAIAAgACAAIAAgADEALgAxAFwAbgBcAG4ARABlAHMAYwByAGkAcAB0AGkAbwBuADoAXABuACAAIAAgACAAUgBlAHAAZQBhAHQAcwAgAGUAYQBjAGgAIABlAGwAZQBtAGUAbgB0ACAAaQBuACAAYQAgAHMAdQBwAHAAbABpAGUAZAAgADEARAAgAGEAcgByAGEAeQAgAGEAYwBjAG8AcgBkAGkAbgBnACAAdABvACAAYQAgAHYAZQBjAHQAbwByACAAbwBmAFwAbgAgACAAIAAgAHIAZQBwAGUAYQB0ACAAYwBvAHUAbgB0AHMALgAgAFMAYwBhAGwAYQByAHMAIABhAG4AZAAgAGEAcgByAGEAeQBzACAAYQByAGUAIABzAHUAcABwAG8AcgB0AGUAZAAuACAAUgBlAHAAZQBhAHQAIABjAG8AdQBuAHQAcwAgAG0AdQBzAHQAIABiAGUAXABuACAAIAAgACAAbgB1AG0AZQByAGkAYwAgAGEAbgBkACAAZSIgADEALgBcAG4AXABuAFAAYQByAGEAbQBlAHQAZQByAHMAOgBcAG4AIAAgACAAIAB2AGUAYwB0AG8AcgAgACAAIAAtACAAMQBEACAAYQByAHIAYQB5ACAAbwByACAAcwBjAGEAbABhAHIAIAB0AG8AIABiAGUAIABlAGMAaABvAGUAZAAuAFwAbgAgACAAIAAgAHIAZQBwAGUAYQB0ACAAIAAgAC0AIAAxAEQAIABhAHIAcgBhAHkAIABvAGYAIAByAGUAcABlAGEAdAAgAGMAbwB1AG4AdABzACAAKABuAHUAbQBlAHIAaQBjACwAIABlIiAAMQApAC4AXABuAFwAbgBOAG8AdABlAHMAOgBcAG4AIAAgACAAIAAiICAAUwBjAGEAbABhAHIAcwAgAGEAcgBlACAAdAByAGUAYQB0AGUAZAAgAGEAcwAgADEA1wAxACAAYQByAHIAYQB5AHMALgBcAG4AIAAgACAAIAAiICAASQBmACAAcgBlAHAAZQBhAHQAIABoAGEAcwAgAGEAIABkAGkAZgBmAGUAcgBlAG4AdAAgAGwAZQBuAGcAdABoACAAdABoAGEAbgAgAHYAZQBjAHQAbwByACwAIAB0AGgAZQAgAGwAYQBzAHQAIAByAGUAcABlAGEAdAAgAHYAYQBsAHUAZQBcAG4AIAAgACAAIAAgACAAaQBzACAAZQB4AHQAZQBuAGQAZQBkACAAdABvACAAbQBhAHQAYwBoACAAdABoAGUAIAB2AGUAYwB0AG8AcgAgAGwAZQBuAGcAdABoAC4AXABuACAAIAAgACAAIiAgAE8AdQB0AHAAdQB0ACAAaQBzACAAYQBsAHcAYQB5AHMAIABhACAAdgBlAHIAdABpAGMAYQBsACAAYQByAHIAYQB5AC4AXABuAC0ALQAtAC0ALQAtAC0ALQAtAC0ALQAtAC0ALQAtAC0ALQAtAC0ALQAtAC0ALQAtAC0ALQAtAC0ALQAtAC0ALQAtAC0ALQAtAC0ALQAtAC0ALQAtAC0ALQAtAC0ALQAtAC0ALQAtAC0ALQAtAC0ALQAtAC0ALQAtAC0ALQAtAC0ALQAtAC0ALQAtAC0ALQAtAC0ALQAtAC0ALQAtACoALwBcAG4AXABuAEUAYwBoAG8AuwMgAD0AXABuAEwAQQBNAEIARABBACgAXABuACAAIAAgACAAdgBlAGMAdABvAHIALABcAG4AIAAgACAAIAByAGUAcABlAGEAdAAsAFwAbgBcAG4ASQBGACgATwBSACgASQBTAFQARQBYAFQAKAByAGUAcABlAGEAdAApACwAIAByAGUAcABlAGEAdAAgADwAPQAgADAAKQAsAFwAIgAjAFYAQQBMAFUARQAhAFwAIgAsAFwAbgBcAG4ATABFAFQAKABcAG4AIAAgACAAIAAvAC8AIABOAG8AcgBtAGEAbABpAHoAZQAgAGkAbgBwAHUAdABzAFwAbgAgACAAIAAgAHYAZQBjAHQAbwByACwAIAAgACAAIAAgACAAIAAgACAAVABPAEMATwBMACgAdgBlAGMAdABvAHIAKQAsAFwAbgAgACAAIAAgAHIAZQBwAGUAYQB0ACwAIAAgACAAIAAgACAAIAAgACAAVABPAEMATwBMACgAcgBlAHAAZQBhAHQAKQAsAFwAbgBcAG4AIAAgACAAIAAvAC8AIABEAGkAbQBlAG4AcwBpAG8AbgBzAFwAbgAgACAAIAAgAFYAaAAsACAAIAAgACAAIAAgACAAIAAgACAAIAAgACAAUgBPAFcAUwAoAHYAZQBjAHQAbwByACkALABcAG4AIAAgACAAIABSAGgALAAgACAAIAAgACAAIAAgACAAIAAgACAAIAAgAFIATwBXAFMAKAByAGUAcABlAGEAdAApACwAXABuAFwAbgAgACAAIAAgAC8ALwAgAFIAZQBwAGUAYQB0ACAAdgBlAGMAdABvAHIAIAAoAGUAeAB0AGUAbgBkACAAbABhAHMAdAAgAHYAYQBsAHUAZQAgAGkAZgAgAG4AZQBlAGQAZQBkACkAXABuACAAIAAgACAAcgAsACAAIAAgACAAIAAgACAAIAAgACAAIAAgACAAIABJAEYAKABWAGgAIAA8AD4AIABSAGgALABcAG4AIAAgACAAIAAgACAAIAAgACAAIAAgACAAIAAgACAAIAAgACAAIAAgACAAIAAgACAARQBYAFAAQQBOAEQAKAByAGUAcABlAGEAdAAsACAAVgBoACwAIAAsACAAQABUAEEASwBFACgAcgBlAHAAZQBhAHQALAAgAC0AMQApACkALABcAG4AIAAgACAAIAAgACAAIAAgACAAIAAgACAAIAAgACAAIAAgACAAIAAgACAAIAAgACAAcgBlAHAAZQBhAHQAKQAsAFwAbgBcAG4AIAAgACAAIAAvAC8AIABCAGEAcwBlACAAaQBuAGQAZQB4AFwAbgAgACAAIAAgAGkALAAgACAAIAAgACAAIAAgACAAIAAgACAAIAAgACAAUwBFAFEAVQBFAE4AQwBFACgAUgBPAFcAUwAoAHIAKQApACwAXABuAFwAbgAgACAAIAAgAC8ALwAgAE0AYQB4AGkAbQB1AG0AIAByAGUAcABlAGEAdAAgAGMAbwB1AG4AdABcAG4AIAAgACAAIABtACwAIAAgACAAIAAgACAAIAAgACAAIAAgACAAIAAgAE0AQQBYACgAcgApACwAXABuAFwAbgAgACAAIAAgAC8ALwAgAEIAdQBpAGwAZAAgAGkAbgBkAGUAeAAgAHYAZQBjAHQAbwByAFwAbgAgACAAIAAgAGkAZAB4ACwAIAAgACAAIAAgACAAIAAgACAAIAAgACAATABBAE0AQgBEAEEAKABUAE8AQwBPAEwAKABJAEYAKABTAEkARwBOACgAcgAgAC0AIABTAEUAUQBVAEUATgBDAEUAKAAsACAAbQAsACAAMAAsACAAKQApACAAPQAgADEALABpACwATgBBACgAKQApACwAMgApACkALABcAG4AXABuACAAIAAgACAAZABlAGwAaQB2AGUAcgAsACAAIAAgACAAIAAgACAAIABJAE4ARABFAFgAKAB2AGUAYwB0AG8AcgAsACAAaQBkAHgAKAApACkALABcAG4AXABuACAAIAAgACAAZABlAGwAaQB2AGUAcgBcAG4AKQApACkAOwBcAG4AXABuAFwAbgBcAG4ALwAqACAAWwBSAFAAMAAyAF0AIAAtAC0ALQAtAC0ALQAtAC0ALQAtAC0ALQAtAC0ALQAtAC0ALQAtAC0ALQAtAC0ALQAtAC0ALQAtAC0ALQAtAC0ALQAtAC0ALQAtAC0ALQAtAC0ALQAtAC0ALQAtAC0ALQAtAC0ALQAtAC0ALQAtAC0ALQAtAC0ALQAtAC0ALQAtAC0ALQAtAC0ALQAtAC0ALQAtAFwAbgBGAHUAbgBjAHQAaQBvAG4AOgAgACAAIAAgACAAUgBlAHAAZQBhAHQAUgBvAHcAcwC7A1wAbgBDAGEAdABlAGcAbwByAHkAOgAgACAAIAAgACAAUgBlAHAAZQB0AGkAdABpAG8AbgBcAG4AQQB1AHQAaABvAHIAOgAgACAAIAAgACAAIAAgAFAAYQB0AHIAaQBjAGsAIABIAC4AXABuAFYAZQByAHMAaQBvAG4AOgAgACAAIAAgACAAIAAxAC4AMQBcAG4AXABuAEQAZQBzAGMAcgBpAHAAdABpAG8AbgA6AFwAbgAgACAAIAAgAFIAZQBwAGUAYQB0AHMAIABlAGEAYwBoACAAcgBvAHcAIABvAGYAIABhACAAcwB1AHAAcABsAGkAZQBkACAAYQByAHIAYQB5ACAAYQBjAGMAbwByAGQAaQBuAGcAIAB0AG8AIABhACAAdgBlAGMAdABvAHIAIABvAGYAIAByAGUAcABlAGEAdABcAG4AIAAgACAAIABjAG8AdQBuAHQAcwAuACAAUwBjAGEAbABhAHIAcwAgAGEAbgBkACAAYQByAHIAYQB5AHMAIABhAHIAZQAgAHMAdQBwAHAAbwByAHQAZQBkAC4AIABSAGUAcABlAGEAdAAgAGMAbwB1AG4AdABzACAAbQB1AHMAdAAgAGIAZQAgAG4AdQBtAGUAcgBpAGMAXABuACAAIAAgACAAYQBuAGQAIABlIiAAMQAuAFwAbgBcAG4AUABhAHIAYQBtAGUAdABlAHIAcwA6AFwAbgAgACAAIAAgAGEAcgByAGEAeQAgACAAIAAgAC0AIAAyAEQAIABhAHIAcgBhAHkAIAB3AGgAbwBzAGUAIAByAG8AdwBzACAAdwBpAGwAbAAgAGIAZQAgAHIAZQBwAGUAYQB0AGUAZAAuAFwAbgAgACAAIAAgAHIAZQBwAGUAYQB0ACAAIAAgAC0AIAAxAEQAIABhAHIAcgBhAHkAIABvAGYAIAByAGUAcABlAGEAdAAgAGMAbwB1AG4AdABzACAAKABuAHUAbQBlAHIAaQBjACwAIABlIiAAMQApAC4AXABuAFwAbgBOAG8AdABlAHMAOgBcAG4AIAAgACAAIAAiICAASQBmACAAcgBlAHAAZQBhAHQAIABoAGEAcwAgAGYAZQB3AGUAcgAgAGUAbgB0AHIAaQBlAHMAIAB0AGgAYQBuACAAdABoAGUAIABuAHUAbQBiAGUAcgAgAG8AZgAgAHIAbwB3AHMALAAgAHQAaABlACAAbABhAHMAdAAgAHIAZQBwAGUAYQB0AFwAbgAgACAAIAAgACAAIAB2AGEAbAB1AGUAIABpAHMAIABlAHgAdABlAG4AZABlAGQAIAB0AG8AIABtAGEAdABjAGgAIAB0AGgAZQAgAGEAcgByAGEAeQAgAGgAZQBpAGcAaAB0AC4AXABuACAAIAAgACAAIiAgAE8AdQB0AHAAdQB0ACAAcAByAGUAcwBlAHIAdgBlAHMAIAB0AGgAZQAgAGMAbwBsAHUAbQBuACAAcwB0AHIAdQBjAHQAdQByAGUAIABvAGYAIAB0AGgAZQAgAGkAbgBwAHUAdAAgAGEAcgByAGEAeQAuAFwAbgAtAC0ALQAtAC0ALQAtAC0ALQAtAC0ALQAtAC0ALQAtAC0ALQAtAC0ALQAtAC0ALQAtAC0ALQAtAC0ALQAtAC0ALQAtAC0ALQAtAC0ALQAtAC0ALQAtAC0ALQAtAC0ALQAtAC0ALQAtAC0ALQAtAC0ALQAtAC0ALQAtAC0ALQAtAC0ALQAtAC0ALQAtAC0ALQAtAC0ALQAtAC0ALQAqAC8AXABuAFwAbgBSAGUAcABlAGEAdABSAG8AdwBzALsDIAA9AFwAbgBMAEEATQBCAEQAQQAoAFwAbgAgACAAIAAgAGEAcgByAGEAeQAsAFwAbgAgACAAIAAgAHIAZQBwAGUAYQB0ACwAXABuAFwAbgBJAEYAKABPAFIAKABJAFMAVABFAFgAVAAoAHIAZQBwAGUAYQB0ACkALAAgAHIAZQBwAGUAYQB0ACAAPAA9ACAAMAApACwAXAAiACMAVgBBAEwAVQBFACEAXAAiACwAXABuAFwAbgBMAEUAVAAoAFwAbgAgACAAIAAgAC8ALwAgAE4AbwByAG0AYQBsAGkAegBlACAAcgBlAHAAZQBhAHQAIAB2AGUAYwB0AG8AcgBcAG4AIAAgACAAIAByAGUAcABlAGEAdAAsACAAIAAgACAAIAAgACAAIAAgAFQATwBDAE8ATAAoAHIAZQBwAGUAYQB0ACkALABcAG4AXABuACAAIAAgACAALwAvACAARABpAG0AZQBuAHMAaQBvAG4AcwBcAG4AIAAgACAAIABBAGgALAAgACAAIAAgACAAIAAgACAAIAAgACAAIAAgAFIATwBXAFMAKABhAHIAcgBhAHkAKQAsAFwAbgAgACAAIAAgAFIAaAAsACAAIAAgACAAIAAgACAAIAAgACAAIAAgACAAUgBPAFcAUwAoAHIAZQBwAGUAYQB0ACkALABcAG4AXABuACAAIAAgACAALwAvACAARQB4AHQAZQBuAGQAIAByAGUAcABlAGEAdAAgAHYAZQBjAHQAbwByACAAaQBmACAAbgBlAGUAZABlAGQAXABuACAAIAAgACAAcgAsACAAIAAgACAAIAAgACAAIAAgACAAIAAgACAAIABJAEYAKABBAGgAIAA8AD4AIABSAGgALABcAG4AIAAgACAAIAAgACAAIAAgACAAIAAgACAAIAAgACAAIAAgACAAIAAgACAAIAAgACAARQBYAFAAQQBOAEQAKAByAGUAcABlAGEAdAAsACAAQQBoACwAIAAsACAAQABUAEEASwBFACgAcgBlAHAAZQBhAHQALAAgAC0AMQApACkALABcAG4AIAAgACAAIAAgACAAIAAgACAAIAAgACAAIAAgACAAIAAgACAAIAAgACAAIAAgACAAcgBlAHAAZQBhAHQAKQAsAFwAbgBcAG4AIAAgACAAIAAvAC8AIABCAGEAcwBlACAAcgBvAHcAIABpAG4AZABpAGMAZQBzAFwAbgAgACAAIAAgAGkALAAgACAAIAAgACAAIAAgACAAIAAgACAAIAAgACAAUwBFAFEAVQBFAE4AQwBFACgAUgBPAFcAUwAoAHIAKQApACwAXABuAFwAbgAgACAAIAAgAC8ALwAgAE0AYQB4AGkAbQB1AG0AIAByAGUAcABlAGEAdAAgAGMAbwB1AG4AdABcAG4AIAAgACAAIABtACwAIAAgACAAIAAgACAAIAAgACAAIAAgACAAIAAgAE0AQQBYACgAcgApACwAXABuAFwAbgAgACAAIAAgAC8ALwAgAEIAdQBpAGwAZAAgAGkAbgBkAGUAeAAgAHYAZQBjAHQAbwByAFwAbgAgACAAIAAgAGkAZAB4ACwAIAAgACAAIAAgACAAIAAgACAAIAAgACAATABBAE0AQgBEAEEAKABUAE8AQwBPAEwAKABJAEYAKABTAEkARwBOACgAcgAgAC0AIABTAEUAUQBVAEUATgBDAEUAKAAsACAAbQAsACAAMAApACkAIAA9ACAAMQAsAGkALABOAEEAKAApACkALAAyACkAKQAsAFwAbgBcAG4AIAAgACAAIABkAGUAbABpAHYAZQByACwAIAAgACAAIAAgACAAIAAgAEMASABPAE8AUwBFAFIATwBXAFMAKABhAHIAcgBhAHkALAAgAGkAZAB4ACgAKQApACwAXABuAFwAbgAgACAAIAAgAGQAZQBsAGkAdgBlAHIAXABuACkAKQApADsAXABuAFwAbgBcAG4AXABuAC8AKgAgAFsAUgBQADAAMwBdACAALQAtAC0ALQAtAC0ALQAtAC0ALQAtAC0ALQAtAC0ALQAtAC0ALQAtAC0ALQAtAC0ALQAtAC0ALQAtAC0ALQAtAC0ALQAtAC0ALQAtAC0ALQAtAC0ALQAtAC0ALQAtAC0ALQAtAC0ALQAtAC0ALQAtAC0ALQAtAC0ALQAtAC0ALQAtAC0ALQAtAC0ALQAtAC0ALQBcAG4ARgB1AG4AYwB0AGkAbwBuADoAIAAgACAAIAAgAFIAZQBwAGUAYQB0AEMAbwBsAHMAuwNcAG4AQwBhAHQAZQBnAG8AcgB5ADoAIAAgACAAIAAgAFIAZQBwAGUAdABpAHQAaQBvAG4AXABuAEEAdQB0AGgAbwByADoAIAAgACAAIAAgACAAIABQAGEAdAByAGkAYwBrACAASAAuAFwAbgBWAGUAcgBzAGkAbwBuADoAIAAgACAAIAAgACAAMQAuADEAXABuAFwAbgBEAGUAcwBjAHIAaQBwAHQAaQBvAG4AOgBcAG4AIAAgACAAIABSAGUAcABlAGEAdABzACAAZQBhAGMAaAAgAGMAbwBsAHUAbQBuACAAbwBmACAAYQAgAHMAdQBwAHAAbABpAGUAZAAgAGEAcgByAGEAeQAgAGEAYwBjAG8AcgBkAGkAbgBnACAAdABvACAAYQAgAHYAZQBjAHQAbwByACAAbwBmACAAcgBlAHAAZQBhAHQAXABuACAAIAAgACAAYwBvAHUAbgB0AHMALgAgAFMAYwBhAGwAYQByAHMAIABhAG4AZAAgAGEAcgByAGEAeQBzACAAYQByAGUAIABzAHUAcABwAG8AcgB0AGUAZAAuACAAUgBlAHAAZQBhAHQAIABjAG8AdQBuAHQAcwAgAG0AdQBzAHQAIABiAGUAIABuAHUAbQBlAHIAaQBjAFwAbgAgACAAIAAgAGEAbgBkACAAZSIgADEALgBcAG4AXABuAFAAYQByAGEAbQBlAHQAZQByAHMAOgBcAG4AIAAgACAAIABhAHIAcgBhAHkAIAAgACAAIAAtACAAMgBEACAAYQByAHIAYQB5ACAAdwBoAG8AcwBlACAAYwBvAGwAdQBtAG4AcwAgAHcAaQBsAGwAIABiAGUAIAByAGUAcABlAGEAdABlAGQALgBcAG4AIAAgACAAIAByAGUAcABlAGEAdAAgACAAIAAtACAAMQBEACAAYQByAHIAYQB5ACAAbwBmACAAcgBlAHAAZQBhAHQAIABjAG8AdQBuAHQAcwAgACgAbgB1AG0AZQByAGkAYwAsACAAZSIgADEAKQAuAFwAbgBcAG4ATgBvAHQAZQBzADoAXABuACAAIAAgACAAIiAgAEkAZgAgAHIAZQBwAGUAYQB0ACAAaABhAHMAIABmAGUAdwBlAHIAIABlAG4AdAByAGkAZQBzACAAdABoAGEAbgAgAHQAaABlACAAbgB1AG0AYgBlAHIAIABvAGYAIABjAG8AbAB1AG0AbgBzACwAIAB0AGgAZQAgAGwAYQBzAHQAIAByAGUAcABlAGEAdABcAG4AIAAgACAAIAAgACAAdgBhAGwAdQBlACAAaQBzACAAZQB4AHQAZQBuAGQAZQBkACAAdABvACAAbQBhAHQAYwBoACAAdABoAGUAIABhAHIAcgBhAHkAIAB3AGkAZAB0AGgALgBcAG4AIAAgACAAIAAiICAATwB1AHQAcAB1AHQAIABwAHIAZQBzAGUAcgB2AGUAcwAgAHQAaABlACAAcgBvAHcAIABzAHQAcgB1AGMAdAB1AHIAZQAgAG8AZgAgAHQAaABlACAAaQBuAHAAdQB0ACAAYQByAHIAYQB5AC4AXABuAC0ALQAtAC0ALQAtAC0ALQAtAC0ALQAtAC0ALQAtAC0ALQAtAC0ALQAtAC0ALQAtAC0ALQAtAC0ALQAtAC0ALQAtAC0ALQAtAC0ALQAtAC0ALQAtAC0ALQAtAC0ALQAtAC0ALQAtAC0ALQAtAC0ALQAtAC0ALQAtAC0ALQAtAC0ALQAtAC0ALQAtAC0ALQAtAC0ALQAtAC0ALQAtACoALwBcAG4AXABuAFIAZQBwAGUAYQB0AEMAbwBsAHMAuwMgAD0AXABuAEwAQQBNAEIARABBACgAXABuACAAIAAgACAAYQByAHIAYQB5ACwAXABuACAAIAAgACAAcgBlAHAAZQBhAHQALABcAG4AXABuAEkARgAoAE8AUgAoAEkAUwBUAEUAWABUACgAcgBlAHAAZQBhAHQAKQAsACAAcgBlAHAAZQBhAHQAIAA8AD0AIAAwACkALABcACIAIwBWAEEATABVAEUAIQBcACIALABcAG4AXABuAEwARQBUACgAXABuACAAIAAgACAALwAvACAATgBvAHIAbQBhAGwAaQB6AGUAIAByAGUAcABlAGEAdAAgAHYAZQBjAHQAbwByAFwAbgAgACAAIAAgAHIAZQBwAGUAYQB0ACwAIAAgACAAIAAgACAAIAAgACAAVABPAEMATwBMACgAcgBlAHAAZQBhAHQAKQAsAFwAbgBcAG4AIAAgACAAIAAvAC8AIABEAGkAbQBlAG4AcwBpAG8AbgBzAFwAbgAgACAAIAAgAEEAdwAsACAAIAAgACAAIAAgACAAIAAgACAAIAAgACAAQwBPAEwAVQBNAE4AUwAoAGEAcgByAGEAeQApACwAXABuACAAIAAgACAAUgBoACwAIAAgACAAIAAgACAAIAAgACAAIAAgACAAIABSAE8AVwBTACgAcgBlAHAAZQBhAHQAKQAsAFwAbgBcAG4AIAAgACAAIAAvAC8AIABFAHgAdABlAG4AZAAgAHIAZQBwAGUAYQB0ACAAdgBlAGMAdABvAHIAIABpAGYAIABuAGUAZQBkAGUAZABcAG4AIAAgACAAIABjACwAIAAgACAAIAAgACAAIAAgACAAIAAgACAAIAAgAEkARgAoAEEAdwAgADwAPgAgAFIAaAAsAFwAbgAgACAAIAAgACAAIAAgACAAIAAgACAAIAAgACAAIAAgACAAIAAgACAAIAAgACAAIABFAFgAUABBAE4ARAAoAHIAZQBwAGUAYQB0ACwAIABBAHcALAAgACwAIABAAFQAQQBLAEUAKAByAGUAcABlAGEAdAAsACAALQAxACkAKQAsAFwAbgAgACAAIAAgACAAIAAgACAAIAAgACAAIAAgACAAIAAgACAAIAAgACAAIAAgACAAIAByAGUAcABlAGEAdAApACwAXABuAFwAbgAgACAAIAAgAC8ALwAgAEIAYQBzAGUAIABjAG8AbAB1AG0AbgAgAGkAbgBkAGkAYwBlAHMAXABuACAAIAAgACAAaQAsACAAIAAgACAAIAAgACAAIAAgACAAIAAgACAAIABTAEUAUQBVAEUATgBDAEUAKABSAE8AVwBTACgAYwApACkALABcAG4AXABuACAAIAAgACAALwAvACAATQBhAHgAaQBtAHUAbQAgAHIAZQBwAGUAYQB0ACAAYwBvAHUAbgB0AFwAbgAgACAAIAAgAG0ALAAgACAAIAAgACAAIAAgACAAIAAgACAAIAAgACAATQBBAFgAKABjACkALABcAG4AXABuACAAIAAgACAALwAvACAAQgB1AGkAbABkACAAaQBuAGQAZQB4ACAAdgBlAGMAdABvAHIAXABuACAAIAAgACAAaQBkAHgALAAgACAAIAAgACAAIAAgACAAIAAgACAAIABMAEEATQBCAEQAQQAoAFQATwBDAE8ATAAoAEkARgAoAFMASQBHAE4AKABjACAALQAgAFMARQBRAFUARQBOAEMARQAoACwAIABtACwAIAAwACkAKQAgAD0AIAAxACwAaQAsAE4AQQAoACkAKQAsADIAKQApACwAXABuAFwAbgAgACAAIAAgAGQAZQBsAGkAdgBlAHIALAAgACAAIAAgACAAIAAgACAAQwBIAE8ATwBTAEUAQwBPAEwAUwAoAGEAcgByAGEAeQAsACAAaQBkAHgAKAApACkALABcAG4AXABuACAAIAAgACAAZABlAGwAaQB2AGUAcgBcAG4AKQApACkAOwBcAG4AXABuAFwAbgBcAG4ALwAqACAAWwBSAFAAMAA0AF0AIAAtAC0ALQAtAC0ALQAtAC0ALQAtAC0ALQAtAC0ALQAtAC0ALQAtAC0ALQAtAC0ALQAtAC0ALQAtAC0ALQAtAC0ALQAtAC0ALQAtAC0ALQAtAC0ALQAtAC0ALQAtAC0ALQAtAC0ALQAtAC0ALQAtAC0ALQAtAC0ALQAtAC0ALQAtAC0ALQAtAC0ALQAtAC0ALQAtAFwAbgBGAHUAbgBjAHQAaQBvAG4AOgAgACAAIAAgACAAVABlAHMAcwBlAGwAbABhAHQAZQC7A1wAbgBDAGEAdABlAGcAbwByAHkAOgAgACAAIAAgACAAUgBlAHAAZQB0AGkAdABpAG8AbgBcAG4AQQB1AHQAaABvAHIAOgAgACAAIAAgACAAIAAgAFAAYQB0AHIAaQBjAGsAIABIAC4AXABuAFYAZQByAHMAaQBvAG4AOgAgACAAIAAgACAAIAAxAC4AMQBcAG4ARABlAHAAZQBuAGQAZQBuAGMAaQBlAHMAOgAgAFQARwByAGkAZAC7A1wAbgBcAG4ARABlAHMAYwByAGkAcAB0AGkAbwBuADoAXABuACAAIAAgACAARwBlAG4AZQByAGEAdABlAHMAIABhACAAbQBvAGQAdQBsAGEAcgAgAHQAZQBzAHMAZQBsAGwAYQB0AGkAbwBuACAAbwBmACAAYQAgADIARAAgAHAAYQB0AHQAZQByAG4AIABkAGUAZgBpAG4AZQBkACAAYgB5ACAAbgBlAHcAXwBoAGUAaQBnAGgAdAAgANcAIABuAGUAdwBfAHcAaQBkAHQAaAAuAFwAbgAgACAAIAAgAFQAaABlACAAcABhAHQAdABlAHIAbgAgAGkAcwAgAHIAZQBwAGUAYQB0AGUAZAAgAHUAcwBpAG4AZwAgAG0AbwBkAHUAbABhAHIAIAByAG8AdwAgAGEAbgBkACAAYwBvAGwAdQBtAG4AIABjAHkAYwBsAGUAcwAgAGQAZQByAGkAdgBlAGQAIABmAHIAbwBtACAAdABoAGUAXABuACAAIAAgACAAcABhAHQAdABlAHIAbgAZIHMAIABvAHcAbgAgAGQAaQBtAGUAbgBzAGkAbwBuAHMALgBcAG4AXABuAFAAYQByAGEAbQBlAHQAZQByAHMAOgBcAG4AIAAgACAAIABwAGEAdAB0AGUAcgBuACAAIAAgACAAIAAgACAALQAgADIARAAgAGEAcgByAGEAeQAgACgAcwBjAGEAbABhAHIAcwAgAGEAbgBkACAAMQBEACAAYQByAHIAYQB5AHMAIABhAHIAZQAgAGYAbwByAGIAaQBkAGQAZQBuACkALgBcAG4AIAAgACAAIABuAGUAdwBfAGgAZQBpAGcAaAB0ACAAIAAgACAALQAgAE4AdQBtAGIAZQByACAAbwBmACAAcgBvAHcAcwAgAGkAbgAgAHQAaABlACAAbwB1AHQAcAB1AHQAIAB0AGUAcwBzAGUAbABsAGEAdABpAG8AbgAuAFwAbgAgACAAIAAgAG4AZQB3AF8AdwBpAGQAdABoACAAIAAgACAAIAAtACAATgB1AG0AYgBlAHIAIABvAGYAIABjAG8AbAB1AG0AbgBzACAAaQBuACAAdABoAGUAIABvAHUAdABwAHUAdAAgAHQAZQBzAHMAZQBsAGwAYQB0AGkAbwBuAC4AXABuAFwAbgBOAG8AdABlAHMAOgBcAG4AIAAgACAAIAAiICAAUABlAHIAZgBvAHIAbQBzACAAbQBvAGQAdQBsAGEAcgAgAHIAZQBwAGUAdABpAHQAaQBvAG4AIAB1AHMAaQBuAGcAIABUAEcAcgBpAGQAuwMgAGYAbwByACAAcgBvAHcALwBjAG8AbAB1AG0AbgAgAGMAeQBjAGwAaQBuAGcALgBcAG4AIAAgACAAIAAiICAAUwB1AHAAcABvAHIAdABzACAAcABhAHIAdABpAGEAbAAgAHQAaQBsAGUAcwAgAHcAaABlAG4AIABuAGUAdwAgAGQAaQBtAGUAbgBzAGkAbwBuAHMAIABhAHIAZQAgAG4AbwB0ACAAbQB1AGwAdABpAHAAbABlAHMAIABvAGYAXABuACAAIAAgACAAIAAgAHQAaABlACAAcABhAHQAdABlAHIAbgAgAHMAaQB6AGUALgBcAG4AIAAgACAAIAAiICAAUgBlAGoAZQBjAHQAcwAgAHMAYwBhAGwAYQByACAAYQBuAGQAIAAxAEQAIABpAG4AcAB1AHQAcwAgAHQAbwAgAGUAbgBmAG8AcgBjAGUAIABzAHQAcgBpAGMAdAAgADIARAAgAGcAZQBvAG0AZQB0AHIAeQAuAFwAbgAtAC0ALQAtAC0ALQAtAC0ALQAtAC0ALQAtAC0ALQAtAC0ALQAtAC0ALQAtAC0ALQAtAC0ALQAtAC0ALQAtAC0ALQAtAC0ALQAtAC0ALQAtAC0ALQAtAC0ALQAtAC0ALQAtAC0ALQAtAC0ALQAtAC0ALQAtAC0ALQAtAC0ALQAtAC0ALQAtAC0ALQAtAC0ALQAtAC0ALQAtAC0ALQAqAC8AXABuAFwAbgBUAGUAcwBzAGUAbABsAGEAdABlALsDIAA9AFwAbgBMAEEATQBCAEQAQQAoAFwAbgAgACAAIAAgAHAAYQB0AHQAZQByAG4ALABcAG4AIAAgACAAIABuAGUAdwBfAGgAZQBpAGcAaAB0ACwAXABuACAAIAAgACAAbgBlAHcAXwB3AGkAZAB0AGgALABcAG4ATABFAFQAKABcAG4AIAAgACAAIAAvAC8AIABQAGEAdAB0AGUAcgBuACAAZABpAG0AZQBuAHMAaQBvAG4AcwBcAG4AIAAgACAAIABoACwAIAAgACAAIAAgACAAIAAgACAAIAAgACAAIAAgAFIATwBXAFMAKABwAGEAdAB0AGUAcgBuACkALABcAG4AIAAgACAAIAB3ACwAIAAgACAAIAAgACAAIAAgACAAIAAgACAAIAAgAEMATwBMAFUATQBOAFMAKABwAGEAdAB0AGUAcgBuACkALABcAG4AXABuACAAIAAgACAALwAvACAASQBuAHYAYQBsAGkAZAAgAHMAaABhAHAAZQBzAFwAbgAgACAAIAAgAEkAcwBTAGMAYQBsAGEAcgA/ACwAIAAgACAAIAAgACAAQQBOAEQAKABoACAAPQAgADEALAAgAHcAIAA9ACAAMQApACwAXABuACAAIAAgACAASQBzADEARAA/ACwAIAAgACAAIAAgACAAIAAgACAAIABYAE8AUgAoAGgAIAA9ACAAMQAsACAAdwAgAD0AIAAxACkALABcAG4AXABuACAAIAAgACAALwAvACAATgBvAHIAbQBhAGwAaQB6AGUAIABuAGUAdwAgAGQAaQBtAGUAbgBzAGkAbwBuAHMAXABuACAAIAAgACAAbgBlAHcAXwBoAGUAaQBnAGgAdAAsACAAIAAgACAAIABJAE4ARABFAFgAKABuAGUAdwBfAGgAZQBpAGcAaAB0ACwAIAAxACwAIAAxACkALABcAG4AIAAgACAAIABuAGUAdwBfAHcAaQBkAHQAaAAsACAAIAAgACAAIAAgAEkATgBEAEUAWAAoAG4AZQB3AF8AdwBpAGQAdABoACwAIAAxACwAIAAxACkALABcAG4AXABuACAAIAAgACAALwAvACAAUwBjAGUAbgBhAHIAaQBvAHMAXABuACAAIAAgACAATgBvAEMAaABhAG4AZwBlAD8ALAAgACAAIAAgACAAIABBAE4ARAAoAGgAIAA9ACAAbgBlAHcAXwBoAGUAaQBnAGgAdAAsACAAdwAgAD0AIABuAGUAdwBfAHcAaQBkAHQAaAApACwAXABuAFwAbgAgACAAIAAgAEkAbgB2AGEAbABpAGQASABXAD8ALAAgACAAIAAgACAATwBSACgAbgBlAHcAXwBoAGUAaQBnAGgAdAAgADwAPQAgADAALABcAG4AIAAgACAAIAAgACAAIAAgACAAIAAgACAAIAAgACAAIAAgACAAIAAgACAAIAAgAG4AZQB3AF8AdwBpAGQAdABoACAAIAA8AD0AIAAwACwAXABuACAAIAAgACAAIAAgACAAIAAgACAAIAAgACAAIAAgACAAIAAgACAAIAAgACAAIABJAFMAVABFAFgAVAAoAG4AZQB3AF8AaABlAGkAZwBoAHQAKQAsAFwAbgAgACAAIAAgACAAIAAgACAAIAAgACAAIAAgACAAIAAgACAAIAAgACAAIAAgACAASQBTAFQARQBYAFQAKABuAGUAdwBfAHcAaQBkAHQAaAApACkALABcAG4AXABuAC8ALwAgAEwAbwBnAGkAYwAgAGcAYQB0AGUAXABuACAAIAAgACAASQBGACgASQBzAFMAYwBhAGwAYQByAD8ALAAgAFwAIgAjAFMAQwBBAEwAQQBSACEAXAAiACwAXABuAFwAbgAgACAAIAAgACAAIAAgACAASQBGACgASQBzADEARAA/ACwAIABcACIAIwAxAEQALQBBAFIAUgBBAFkAIQBcACIALABcAG4AXABuACAAIAAgACAAIAAgACAAIAAgACAAIAAgAEkARgAoAE4AbwBDAGgAYQBuAGcAZQA/ACwAIABwAGEAdAB0AGUAcgBuACwAXABuAFwAbgAgACAAIAAgACAAIAAgACAAIAAgACAAIAAgACAAIAAgAEkARgAoAEkAbgB2AGEAbABpAGQASABXAD8ALAAgAFwAIgAjAE4ARQBXAC0ASABFAEkARwBIAFQALwBXAEkARABUAEgAIQBcACIALABcAG4AXABuAEwARQBUACgAXABuACAAIAAgACAALwAvACAATwB1AHQAcAB1AHQAIABnAGUAbwBtAGUAdAByAHkAIABwAGwAYQBjAGUAaABvAGwAZABlAHIAXABuACAAIAAgACAAZQB4AHAAXwBzAGgAYQBwAGUALAAgACAAIAAgAEUAWABQAEEATgBEACgAMAAsACAAbgBlAHcAXwBoAGUAaQBnAGgAdAAsACAAbgBlAHcAXwB3AGkAZAB0AGgAKQAsAFwAbgBcAG4AIAAgACAAIAAvAC8AIABNAG8AZAB1AGwAYQByACAAcgBvAHcALwBjAG8AbAB1AG0AbgAgAGkAbgBkAGkAYwBlAHMAXABuACAAIAAgACAAaQAsACAAIAAgACAAIAAgACAAIAAgACAAIAAgAFQARwByAGkAZAC7AygAZQB4AHAAXwBzAGgAYQBwAGUALAAgAGgAKQAsAFwAbgAgACAAIAAgAGoALAAgACAAIAAgACAAIAAgACAAIAAgACAAIABUAEcAcgBpAGQAuwMoAGUAeABwAF8AcwBoAGEAcABlACwAIAB3ACwAIAAxACkALABcAG4AXABuACAAIAAgACAALwAvACAAVABlAHMAcwBlAGwAbABhAHQAZQBkACAAbwB1AHQAcAB1AHQAXABuACAAIAAgACAAdABlAHMAcwAsACAAIAAgACAAIAAgACAAIAAgAEkATgBEAEUAWAAoAHAAYQB0AHQAZQByAG4ALAAgAGkALAAgAGoAKQAsAFwAbgBcAG4AIAAgACAAIAB0AGUAcwBzAFwAbgApACkAKQApACkAKQApADsAXABuAFwAbgBcAG4AXABuAC8AKgAgAFsARwBSAF0AIAAtAC0ALQAtAC0ALQAtAC0ALQAtAC0ALQAtAC0ALQAtAC0ALQAtAC0ALQAtAC0ALQAtAC0ALQAtAC0ALQAtAC0ALQAtAC0ALQAtAC0ALQAtAC0ALQAtAC0ALQAtAC0ALQAtAC0ALQAtAC0ALQAtAC0ALQAtAC0ALQAtAC0ALQAtAC0ALQAtAC0ALQAtAC0ALQAtAC0ALQBcAG4AIwAjACAAMAA2ACAAFCAgAEcAcgBpAGQAIABBAG4AYQBsAHkAdABpAGMAcwBcAG4ALQAtAC0ALQAtAC0ALQAtAC0ALQAtAC0ALQAtAC0ALQAtAC0ALQAtAC0ALQAtAC0ALQAtAC0ALQAtAC0ALQAtAC0ALQAtAC0ALQAtAC0ALQAtAC0ALQAtAC0ALQAtAC0ALQAtAC0ALQAtAC0ALQAtAC0ALQAtAC0ALQAtAC0ALQAtAC0ALQAtAC0ALQAtAC0ALQAtAC0ALQAtAC0ALQAgACoALwBcAG4AXABuAC8AKgBcAG4ARABlAHMAYwByAGkAcAB0AGkAbwBuADoAXABuACAAIAAgACAARwByAGkAZAAgAEEAbgBhAGwAeQB0AGkAYwBzACAAaQBzACAAYQAgAGMAbwBsAGwAZQBjAHQAaQBvAG4AIABvAGYAIABmAHUAbgBjAHQAaQBvAG4AcwAgAGYAbwByACAAZQBsAGUAZwBhAG4AdAAgAHMAZQBxAHUAZQBuAGMAaQBuAGcALABcAG4AIAAgACAAIABjAGEAdABlAGcAbwByAGkAYwBhAGwAIABhAG4AYQBsAHkAcwBpAHMALAAgAG4AZQBpAGcAaABiAG8AcgBoAG8AbwBkABEgYgBhAHMAZQBkACAAYQBnAGcAcgBlAGcAYQB0AGkAbwBuACwAIABhAG4AZAAgAHMAdABhAHQAaQBzAHQAaQBjAHMALgBcAG4AIAAgACAAIABUAGgAaQBzACAAbQBvAGQAdQBsAGUAIABlAHgAdABlAG4AZABzACAAdABoAGUAIABjAGEAcABhAGIAaQBsAGkAdABpAGUAcwAgAG8AZgAgAG4AYQB0AGkAdgBlACAARQB4AGMAZQBsACAAZgB1AG4AYwB0AGkAbwBuAHMAXABuACAAIAAgACAAKABlAC4AZwAuACwAIABNAG8AZABlALsDIABjAGEAbgAgAHIAZQB0AHUAcgBuACAAdABoAGUAIABtAG8AcwB0ACAAZgByAGUAcQB1AGUAbgB0ACAAbgB1AG0AZQByAGkAYwBhAGwAIABvAHIAIAB0AGUAeAB0ACAAdgBhAGwAdQBlAHMAKQAuAFwAbgBcAG4AIAAgACAAIABTAHUAYgARIGMAYQB0AGUAZwBvAHIAaQBlAHMAOgBcAG4AXABuACAAIAAgACAAIAAgACAAIAAiICAAUwBlAHEAdQBlAG4AYwBpAG4AZwBcAG4AIAAgACAAIAAgACAAIAAgACAAIAAgACAAIAAgAFMAdAByAGUAYQBrALsDLAAgAEMAbwB1AG4AdABkAG8AdwBuALsDXABuAFwAbgAgACAAIAAgACAAIAAgACAAIiAgAEMAYQB0AGUAZwBvAHIAaQBjAGEAbAAgAEEAbgBhAGwAeQBzAGkAcwBcAG4AIAAgACAAIAAgACAAIAAgACAAIAAgACAAIAAgAEIAeQBEAGkAYQBnALsDLAAgAEQAaQBhAGcATQBhAHAAuwMsACAARABpAGEAZwBJAG4AZABlAHgAuwMsACAAUABhAGkAcgB3AGkAcwBlALsDLAAgAEcAcgBvAHUAcABiAHkAQgBpAG4AuwMsACAARwByAG8AdQBwAGIAeQBEAGEAdABlALsDLAAgAFAAaQB2AG8AdABiAHkAQwBhAHQAuwNcAG4AXABuACAAIAAgACAAIAAgACAAIAAiICAATgBlAGkAZwBoAGIAbwByAGgAbwBvAGQAcwBcAG4AIAAgACAAIAAgACAAIAAgACAAIAAgACAAIAAgAEcAcgBhAGkAbgC7AywAIABNAG8AbwByAGUAQQBnAGcAuwMsACAATQBvAG8AcgBlAFMAZQBsAGUAYwB0ALsDXABuAFwAbgAgACAAIAAgACAAIAAgACAAIiAgAFMAdABhAHQAaQBzAHQAaQBjAHMAXABuACAAIAAgACAAIAAgACAAIAAgACAAIAAgACAAIABIAGkAcwB0AG8AZwByAGEAbQC7AywAIABNAG8AZABlALsDLAAgAFoAbwBuAGUAUwB0AGEAdAC7A1wAbgAqAC8AXABuAFwAbgBcAG4AXABuAC8AKgAgAFsARwBSADAAMQBdACAALQAtAC0ALQAtAC0ALQAtAC0ALQAtAC0ALQAtAC0ALQAtAC0ALQAtAC0ALQAtAC0ALQAtAC0ALQAtAC0ALQAtAC0ALQAtAC0ALQAtAC0ALQAtAC0ALQAtAC0ALQAtAC0ALQAtAC0ALQAtAC0ALQAtAC0ALQAtAC0ALQAtAC0ALQAtAC0ALQAtAC0ALQAtAC0ALQBcAG4ARgB1AG4AYwB0AGkAbwBuADoAIAAgACAAIAAgAFMAdAByAGUAYQBrALsDXABuAEMAYQB0AGUAZwBvAHIAeQA6ACAAIAAgACAAIABHAHIAaQBkACAAQQBuAGEAbAB5AHQAaQBjAHMAIAAoAFMAZQBxAHUAZQBuAGMAaQBuAGcAKQBcAG4AQQB1AHQAaABvAHIAOgAgACAAIAAgACAAIAAgAFAAYQB0AHIAaQBjAGsAIABIAC4AXABuAFYAZQByAHMAaQBvAG4AOgAgACAAIAAgACAAIAAxAC4AMQBcAG4AXABuAEQAZQBzAGMAcgBpAHAAdABpAG8AbgA6AFwAbgAgACAAIAAgAEMAbwBtAHAAdQB0AGUAcwAgAHMAdAByAGUAYQBrACAAYwBvAHUAbgB0AHMAIABvAGYAIABjAG8AbgBzAGUAYwB1AHQAaQB2AGUAIABpAGQAZQBuAHQAaQBjAGEAbAAgAHYAYQBsAHUAZQBzACAAaQBuACAAYQAgADEARAAgAG8AcgAgADIARAAgAGEAcgByAGEAeQAuAFwAbgAgACAAIAAgAFMAdAByAGUAYQBrAHMAIABpAG4AYwByAGUAbQBlAG4AdAAgAGYAbwByAHcAYQByAGQAIAAoADEALAAgADIALAAgADMALAAgACYgKQAgAHcAaABlAG4AZQB2AGUAcgAgAHQAaABlACAAYwB1AHIAcgBlAG4AdAAgAGUAbABlAG0AZQBuAHQAIABtAGEAdABjAGgAZQBzAFwAbgAgACAAIAAgAHQAaABlACAAcAByAGUAdgBpAG8AdQBzACAAbwBuAGUALgAgAEYAbwByACAAMgBEACAAYQByAHIAYQB5AHMALAAgAHMAdAByAGUAYQBrAHMAIABhAHIAZQAgAGMAbwBtAHAAdQB0AGUAZAAgAHIAbwB3ABEgbQBhAGoAbwByACAAYgB5ACAAZABlAGYAYQB1AGwAdAAuAFwAbgBcAG4AUABhAHIAYQBtAGUAdABlAHIAcwA6AFwAbgAgACAAIAAgAGEAcgByAGEAeQAgACAAIAAgACAAIAAgACAAIAAgACAAIAAgACAALQAgADEARAAgAG8AcgAgADIARAAgAGEAcgByAGEAeQAuAFwAbgBcAG4ATwBwAHQAaQBvAG4AYQBsADoAXABuACAAIAAgACAAWwBIAG8AcgBpAHoAbwBuAHQAYQBsAD8AXQAgACAAIAAgACAAIAAtACAARgBvAHIAIAAxAEQAIABhAHIAcgBhAHkAcwAsACAAYwBvAG0AcAB1AHQAZQAgAHMAdAByAGUAYQBrAHMAIABjAG8AbAB1AG0AbgARIHcAaQBzAGUAIABpAG4AcwB0AGUAYQBkACAAbwBmAFwAbgAgACAAIAAgACAAIAAgACAAIAAgACAAIAAgACAAIAAgACAAIAAgACAAIAAgACAAIAAgACAAcgBvAHcAESB3AGkAcwBlAC4AIABJAGcAbgBvAHIAZQBkACAAZgBvAHIAIAAyAEQAIABhAHIAcgBhAHkAcwAuAFwAbgAgACAAIAAgAFsASQBuAGMAbAB1AGQAZQBfAFMAeQBtAGIAbwBsAD8AXQAgACAALQAgAEkAZgAgAFQAUgBVAEUALAAgAGEAcABwAGUAbgBkACAAdABoAGUAIABzAHkAbQBiAG8AbAAgAHQAbwAgAHQAaABlACAAcwB0AHIAZQBhAGsAIABjAG8AdQBuAHQAXABuACAAIAAgACAAIAAgACAAIAAgACAAIAAgACAAIAAgACAAIAAgACAAIAAgACAAIAAgACAAIAAoAGUALgBnAC4ALAAgAFcAtwAxACwAIABXALcAMgAsACAATAC3ADEAKQAuAFwAbgBcAG4ATgBvAHQAZQBzADoAXABuACAAIAAgACAAIiAgAFMAYwBhAGwAYQByAHMAIAByAGUAdAB1AHIAbgAgAHQAaABlAG0AcwBlAGwAdgBlAHMALgBcAG4AIAAgACAAIAAiICAAMgBEACAAYQByAHIAYQB5AHMAIABhAHIAZQAgAGYAbABhAHQAdABlAG4AZQBkACAAcgBvAHcAESBtAGEAagBvAHIALAAgAHAAcgBvAGMAZQBzAHMAZQBkACwAIAB0AGgAZQBuACAAcgBlAHMAdABvAHIAZQBkAC4AXABuACAAIAAgACAAIiAgAEgAbwByAGkAegBvAG4AdABhAGwAPwAgAG8AbgBsAHkAIABhAHAAcABsAGkAZQBzACAAdABvACAAMQBEACAAYQByAHIAYQB5AHMALgBcAG4AIAAgACAAIAAiICAASQBuAGMAbAB1AGQAZQBfAFMAeQBtAGIAbwBsAD8AIAB1AHMAZQBzACAAVQBOAEkAQwBIAEEAUgAoADEAOAAzACkAIAAoALcAKQAgAGEAcwAgAHQAaABlACAAcwBlAHAAYQByAGEAdABvAHIALgBcAG4ALQAtAC0ALQAtAC0ALQAtAC0ALQAtAC0ALQAtAC0ALQAtAC0ALQAtAC0ALQAtAC0ALQAtAC0ALQAtAC0ALQAtAC0ALQAtAC0ALQAtAC0ALQAtAC0ALQAtAC0ALQAtAC0ALQAtAC0ALQAtAC0ALQAtAC0ALQAtAC0ALQAtAC0ALQAtAC0ALQAtAC0ALQAtAC0ALQAtAC0ALQAtAC0AKgAvAFwAbgBcAG4AUwB0AHIAZQBhAGsAuwMgAD0AXABuAEwAQQBNAEIARABBACgAXABuACAAIAAgACAAYQByAHIAYQB5ACwAXABuACAAIAAgACAAWwBIAG8AcgBpAHoAbwBuAHQAYQBsAD8AXQAsAFwAbgAgACAAIAAgAFsASQBuAGMAbAB1AGQAZQBfAFMAeQBtAGIAbwBsAD8AXQAsAFwAbgBcAG4ASQBGACgAQQBOAEQAKABSAE8AVwBTACgAYQByAHIAYQB5ACkAIAA9ACAAMQAsACAAQwBPAEwAVQBNAE4AUwAoAGEAcgByAGEAeQApACAAPQAgADEAKQAsAGEAcgByAGEAeQAsAFwAbgBcAG4ATABFAFQAKABcAG4AIAAgACAAIAAvAC8AIABEAGkAbQBlAG4AcwBpAG8AbgBzAFwAbgAgACAAIAAgAGgALAAgACAAIAAgACAAIAAgACAAIAAgACAAIAAgACAAUgBPAFcAUwAoAGEAcgByAGEAeQApACwAXABuACAAIAAgACAAdwAsACAAIAAgACAAIAAgACAAIAAgACAAIAAgACAAIABDAE8ATABVAE0ATgBTACgAYQByAHIAYQB5ACkALABcAG4AIAAgACAAIABJAHMAMgBEAD8ALAAgACAAIAAgACAAIAAgACAAIAAgAEEATgBEACgAaAAgAD4AIAAxACwAIAB3ACAAPgAgADEAKQAsAFwAbgBcAG4AIAAgACAAIAAvAC8AIABGAGwAYQB0AHQAZQBuACAAMgBEACAAkiEgADEARABcAG4AIAAgACAAIABhAHIAcgBhAHkALAAgACAAIAAgACAAIAAgACAAIAAgAEkARgAoAEkAcwAyAEQAPwAsACAAVABPAEMATwBMACgAYQByAHIAYQB5ACkALAAgAGEAcgByAGEAeQApACwAXABuAFwAbgAgACAAIAAgAC8ALwAgAEQAaQByAGUAYwB0AGkAbwBuACAAKABvAG4AbAB5ACAAcgBlAGwAZQB2AGEAbgB0ACAAZgBvAHIAIAAxAEQAKQBcAG4AIAAgACAAIABOAG8ARABpAHIAPwAsACAAIAAgACAAIAAgACAAIAAgAEkAUwBPAE0ASQBUAFQARQBEACgASABvAHIAaQB6AG8AbgB0AGEAbAA/ACkALABcAG4AIAAgACAAIABmAG4ALAAgACAAIAAgACAAIAAgACAAIAAgACAAIAAgAEkARgAoAE4AbwBEAGkAcgA/ACwAIABWAFMAVABBAEMASwAsACAASABTAFQAQQBDAEsAKQAsAFwAbgBcAG4AIAAgACAAIAAvAC8AIABDAG8AbQBwAGEAcgBlACAAdwBpAHQAaAAgAHAAcgBlAHYAaQBvAHUAcwAgAGUAbABlAG0AZQBuAHQAXABuACAAIAAgACAAawBlAHAAdAAsACAAIAAgACAAIAAgACAAIAAgACAAIABJAEYAKABOAG8ARABpAHIAPwAsACAARABSAE8AUAAoAGEAcgByAGEAeQAsACAALQAxACkALAAgAEQAUgBPAFAAKABhAHIAcgBhAHkALAAgACwAIAAtADEAKQApACwAXABuACAAIAAgACAAYgBvAG8AbAAsACAAIAAgACAAIAAgACAAIAAgACAAIABhAHIAcgBhAHkAIAA9ACAAZgBuACgAXAAiAG8AbQBpAHQAXAAiACwAIABrAGUAcAB0ACkALABcAG4AXABuACAAIAAgACAALwAvACAAQQBjAGMAdQBtAHUAbABhAHQAZQAgAHMAdAByAGUAYQBrACAAYwBvAHUAbgB0AHMAXABuACAAIAAgACAAYQBjAGMALAAgACAAIAAgACAAIAAgACAAIAAgACAAIABTAEMAQQBOACgAMAAsAGIAbwBvAGwALABMAEEATQBCAEQAQQAoAGEALAAgAHYALABJAEYAKABhACAAPQAgADAALAAgADEALAAgAEkARgAoAHYALAAgAGEAIAArACAAMQAsACAAMQApACkAKQApACwAXABuAFwAbgAgACAAIAAgAC8ALwAgAE8AcAB0AGkAbwBuAGEAbAAgAHMAeQBtAGIAbwBsACAAaQBuAGMAbAB1AHMAaQBvAG4AXABuACAAIAAgACAAcgBlAHMAdQBsAHQALAAgACAAIAAgACAAIAAgACAAIABJAEYAKABJAFMATwBNAEkAVABUAEUARAAoAEkAbgBjAGwAdQBkAGUAXwBTAHkAbQBiAG8AbAA/ACkALABhAGMAYwAsAFwAbgAgACAAIAAgACAAIAAgACAAIAAgACAAIAAgACAAIAAgACAAIAAgACAAIAAgACAAIABhAHIAcgBhAHkAIAAmACAAVQBOAEkAQwBIAEEAUgAoADEAOAAzACkAIAAmACAAYQBjAGMAKQAsAFwAbgBcAG4AIAAgACAAIAAvAC8AIABSAGUAcwB0AG8AcgBlACAAMgBEACAAcwBoAGEAcABlACAAaQBmACAAbgBlAGUAZABlAGQAXABuACAAIAAgACAAZABlAGwAaQB2AGUAcgAsACAAIAAgACAAIAAgACAAIABJAEYAKABJAHMAMgBEAD8ALAAgAFcAUgBBAFAAUgBPAFcAUwAoAHIAZQBzAHUAbAB0ACwAIAB3ACkALAAgAHIAZQBzAHUAbAB0ACkALABcAG4AXABuACAAIAAgACAAZABlAGwAaQB2AGUAcgBcAG4AKQApACkAOwBcAG4AXABuAFwAbgBcAG4ALwAqACAAWwBHAFIAMAAyAF0AIAAtAC0ALQAtAC0ALQAtAC0ALQAtAC0ALQAtAC0ALQAtAC0ALQAtAC0ALQAtAC0ALQAtAC0ALQAtAC0ALQAtAC0ALQAtAC0ALQAtAC0ALQAtAC0ALQAtAC0ALQAtAC0ALQAtAC0ALQAtAC0ALQAtAC0ALQAtAC0ALQAtAC0ALQAtAC0ALQAtAC0ALQAtAC0ALQAtAFwAbgBGAHUAbgBjAHQAaQBvAG4AOgAgACAAIAAgACAAQwBvAHUAbgB0AGQAbwB3AG4AuwNcAG4AQwBhAHQAZQBnAG8AcgB5ADoAIAAgACAAIAAgAEcAcgBpAGQAIABBAG4AYQBsAHkAdABpAGMAcwAgACgAUwBlAHEAdQBlAG4AYwBpAG4AZwApAFwAbgBBAHUAdABoAG8AcgA6ACAAIAAgACAAIAAgACAAUABhAHQAcgBpAGMAawAgAEgALgBcAG4AVgBlAHIAcwBpAG8AbgA6ACAAIAAgACAAIAAgADEALgAxAFwAbgBcAG4ARABlAHMAYwByAGkAcAB0AGkAbwBuADoAXABuACAAIAAgACAARwBlAG4AZQByAGEAdABlAHMAIABjAG8AdQBuAHQAZABvAHcAbgAgAGkAbgBkAGkAYwBlAHMAIABmAG8AcgAgAGMAbwBuAHQAaQBnAHUAbwB1AHMAIAByAHUAbgBzACAAaQBuACAAYQAgADEARAAgAGEAcgByAGEAeQAuACAARQBhAGMAaAAgAHIAdQBuAFwAbgAgACAAIAAgAGMAbwB1AG4AdABzACAAZABvAHcAbgAgAGYAcgBvAG0AIABpAHQAcwAgAGwAZQBuAGcAdABoACAAdABvACAAMQAuACAAQwBvAHUAbgB0AGQAbwB3AG4AuwMgAGkAcwAgAG0AbwBzAHQAIAB1AHMAZQBmAHUAbAAgAHcAaABlAG4AIAB3AG8AcgBrAGkAbgBnAFwAbgAgACAAIAAgAHcAaQB0AGgAIABzAG8AcgB0AGUAZAAgAHYAZQBjAHQAbwByAHMAIABhAG4AZAAgAGkAcwAgAHQAaABlACAAbgBhAHQAdQByAGEAbAAgAHIAZQB2AGUAcgBzAGUAIABvAGYAIABTAHQAcgBlAGEAawC7Ay4AXABuAFwAbgBQAGEAcgBhAG0AZQB0AGUAcgBzADoAXABuACAAIAAgACAAdgBlAGMAdABvAHIAIAAgACAAIAAgACAAIAAgACAAIAAgAC0AIAAxAEQAIABhAHIAcgBhAHkALgBcAG4AXABuAE8AcAB0AGkAbwBuAGEAbAA6AFwAbgAgACAAIAAgAFsASABvAHIAaQB6AG8AbgB0AGEAbAA/AF0AIAAgACAAIAAtACAASQBmACAAbwBtAGkAdAB0AGUAZAAsACAAbwB1AHQAcAB1AHQAIABpAHMAIAB2AGUAcgB0AGkAYwBhAGwALgAgAEkAZgAgAFQAUgBVAEUALAAgAG8AdQB0AHAAdQB0ACAAaQBzAFwAbgAgACAAIAAgACAAIAAgACAAIAAgACAAIAAgACAAIAAgACAAIAAgACAAIAAgACAAIAByAGUAdAB1AHIAbgBlAGQAIABoAG8AcgBpAHoAbwBuAHQAYQBsAGwAeQAuAFwAbgBcAG4ATgBvAHQAZQBzADoAXABuACAAIAAgACAAIiAgAEEAbAB3AGEAeQBzACAAZgBsAGEAdAB0AGUAbgBzACAAaQBuAHAAdQB0ACAAdABvACAAYQAgAHMAaQBuAGcAbABlACAAYwBvAGwAdQBtAG4AIABiAGUAZgBvAHIAZQAgAHAAcgBvAGMAZQBzAHMAaQBuAGcALgBcAG4AXABuAC0ALQAtAC0ALQAtAC0ALQAtAC0ALQAtAC0ALQAtAC0ALQAtAC0ALQAtAC0ALQAtAC0ALQAtAC0ALQAtAC0ALQAtAC0ALQAtAC0ALQAtAC0ALQAtAC0ALQAtAC0ALQAtAC0ALQAtAC0ALQAtAC0ALQAtAC0ALQAtAC0ALQAtAC0ALQAtAC0ALQAtAC0ALQAtAC0ALQAtAC0ALQAtACoALwBcAG4AXABuAEMAbwB1AG4AdABkAG8AdwBuALsDIAA9AFwAbgBMAEEATQBCAEQAQQAoAFwAbgAgACAAIAAgAGEAcgByAGEAeQAsAFwAbgAgACAAIAAgAFsASABvAHIAaQB6AG8AbgB0AGEAbAA/AF0ALABcAG4AXABuAEkARgAoAEEATgBEACgAUgBPAFcAUwAoAGEAcgByAGEAeQApACAAPQAgADEALAAgAEMATwBMAFUATQBOAFMAKABhAHIAcgBhAHkAKQAgAD0AIAAxACkALABhAHIAcgBhAHkALABcAG4AXABuAEwARQBUACgAXABuACAAIAAgACAALwAvACAARABpAG0AZQBuAHMAaQBvAG4AcwBcAG4AIAAgACAAIABoACwAIAAgACAAIAAgACAAIAAgACAAIAAgACAAIAAgAFIATwBXAFMAKABhAHIAcgBhAHkAKQAsAFwAbgAgACAAIAAgAHcALAAgACAAIAAgACAAIAAgACAAIAAgACAAIAAgACAAQwBPAEwAVQBNAE4AUwAoAGEAcgByAGEAeQApACwAXABuACAAIAAgACAASQBzADIARAA/ACwAIAAgACAAIAAgACAAIAAgACAAIABBAE4ARAAoAGgAIAA+ACAAMQAsACAAdwAgAD4AIAAxACkALABcAG4AXABuACAAIAAgACAALwAvACAARgBsAGEAdAB0AGUAbgAgADIARAAgAJIhIAAxAEQAXABuACAAIAAgACAAYQByAHIAYQB5ACwAIAAgACAAIAAgACAAIAAgACAAIABJAEYAKABJAHMAMgBEAD8ALAAgAFQATwBDAE8ATAAoAGEAcgByAGEAeQApACwAIABhAHIAcgBhAHkAKQAsAFwAbgBcAG4AIAAgACAAIAAvAC8AIABEAGkAcgBlAGMAdABpAG8AbgAgACgAbwBuAGwAeQAgAHIAZQBsAGUAdgBhAG4AdAAgAGYAbwByACAAMQBEACkAXABuACAAIAAgACAATgBvAEQAaQByAD8ALAAgACAAIAAgACAAIAAgACAAIABJAFMATwBNAEkAVABUAEUARAAoAEgAbwByAGkAegBvAG4AdABhAGwAPwApACwAXABuACAAIAAgACAAZgBuACwAIAAgACAAIAAgACAAIAAgACAAIAAgACAAIABJAEYAKABOAG8ARABpAHIAPwAsACAAVgBTAFQAQQBDAEsALAAgAEgAUwBUAEEAQwBLACkALABcAG4AXABuACAAIAAgACAALwAvACAAQwBvAG0AcABhAHIAZQAgAHcAaQB0AGgAIABwAHIAZQB2AGkAbwB1AHMAIABlAGwAZQBtAGUAbgB0AFwAbgAgACAAIAAgAGsAZQBwAHQALAAgACAAIAAgACAAIAAgACAAIAAgACAASQBGACgATgBvAEQAaQByAD8ALAAgAEQAUgBPAFAAKABhAHIAcgBhAHkALAAgAC0AMQApACwAIABEAFIATwBQACgAYQByAHIAYQB5ACwAIAAsACAALQAxACkAKQAsAFwAbgAgACAAIAAgAGIAbwBvAGwALAAgACAAIAAgACAAIAAgACAAIAAgACAAYQByAHIAYQB5ACAAPQAgAGYAbgAoAFwAIgBvAG0AaQB0AFwAIgAsACAAawBlAHAAdAApACwAXABuAFwAbgAgACAAIAAgAC8ALwAgAEEAYwBjAHUAbQB1AGwAYQB0AGUAIABzAHQAcgBlAGEAawAgAGMAbwB1AG4AdABzAFwAbgAgACAAIAAgAGEAYwBjACwAIAAgACAAIAAgACAAIAAgACAAIAAgACAAUwBDAEEATgAoADAALABiAG8AbwBsACwATABBAE0AQgBEAEEAKABhACwAIAB2ACwASQBGACgAYQAgAD0AIAAwACwAIAAxACwAIABJAEYAKAB2ACwAIABhACAAKwAgADEALAAgADEAKQApACkAKQAsAFwAbgBcAG4AIAAgACAAIAAvAC8AIABDAGgAYQBuAGcAZQAgAGcAcgBvAHUAcABzAFwAbgAgACAAIAAgAGMAZwAsACAAIAAgACAAIAAgACAAIAAgACAAIAAgACAAUwBDAEEATgAoADAALABOAE8AVAAoAGIAbwBvAGwAKQAsAFMAVQBNACkALABcAG4AXABuACAAIAAgACAALwAvACAAUwBvAHIAdAAgAGQAZQBzAGMAZQBuAGQAaQBuAGcAXABuACAAIAAgACAAcwBvAHIAdABlAGQALAAgACAAIAAgACAAIAAgACAAIABTAE8AUgBUAEIAWQAoAGEAYwBjACwAYwBnACwAMQAsAGEAYwBjACwALQAxACkALABcAG4AXABuACAAIAAgACAALwAvACAAUgBlAHMAdABvAHIAZQAgADIARAAgAHMAaABhAHAAZQAgAGkAZgAgAG4AZQBlAGQAZQBkAFwAbgAgACAAIAAgAGQAZQBsAGkAdgBlAHIALAAgACAAIAAgACAAIAAgACAASQBGACgASQBzADIARAA/ACwAIABXAFIAQQBQAFIATwBXAFMAKABzAG8AcgB0AGUAZAAsACAAdwApACwAIABzAG8AcgB0AGUAZAApACwAXABuAFwAbgAgACAAIAAgAGQAZQBsAGkAdgBlAHIAXABuACkAKQApADsAXABuAFwAbgBcAG4AXABuAC8AKgAgAFsARwBSADAAMwBdACAALQAtAC0ALQAtAC0ALQAtAC0ALQAtAC0ALQAtAC0ALQAtAC0ALQAtAC0ALQAtAC0ALQAtAC0ALQAtAC0ALQAtAC0ALQAtAC0ALQAtAC0ALQAtAC0ALQAtAC0ALQAtAC0ALQAtAC0ALQAtAC0ALQAtAC0ALQAtAC0ALQAtAC0ALQAtAC0ALQAtAC0ALQAtAC0ALQBcAG4ARgB1AG4AYwB0AGkAbwBuADoAIAAgACAAIAAgAEIAeQBEAGkAYQBnALsDXABuAEMAYQB0AGUAZwBvAHIAeQA6ACAAIAAgACAAIABHAHIAaQBkACAAQQBuAGEAbAB5AHQAaQBjAHMAIAAoAEMAYQB0AGUAZwBvAHIAaQBjAGEAbAAgAEEAbgBhAGwAeQBzAGkAcwApAFwAbgBBAHUAdABoAG8AcgA6ACAAIAAgACAAIAAgACAAUABhAHQAcgBpAGMAawAgAEgALgBcAG4AVgBlAHIAcwBpAG8AbgA6ACAAIAAgACAAIAAgADEALgAxAFwAbgBEAGUAcABlAG4AZABlAG4AYwBpAGUAcwA6ACAAVgBhAGwAaQBkAGEAdABlAEQAaQBhAGcAuwNcAG4AXABuAEQAZQBzAGMAcgBpAHAAdABpAG8AbgA6AFwAbgAgACAAIAAgAEEAcABwAGwAaQBlAHMAIABhAG4AIABFAFQAQQAgAGYAdQBuAGMAdABpAG8AbgAgAG8AcgAgAEwAYQBtAGIAZABhACAAdABvACAAZQBhAGMAaAAgAGQAaQBhAGcAbwBuAGEAbAAgAG8AZgAgAGEAIAAyAEQAIABhAHIAcgBhAHkALgBcAG4AIAAgACAAIABEAGkAYQBnAG8AbgBhAGwAcwAgAGEAcgBlACAAZQB4AHQAcgBhAGMAdABlAGQAIABmAHIAbwBtACAAdABvAHAAESBsAGUAZgB0ACAAdABvACAAYgBvAHQAdABvAG0AESByAGkAZwBoAHQALAAgAHcAaQB0AGgAIABlAGEAYwBoACAAZABpAGEAZwBvAG4AYQBsAFwAbgAgACAAIAAgAHIAZQBwAHIAZQBzAGUAbgB0AGUAZAAgAGEAcwAgAGEAIAByAG8AdwAgAGkAbgAgAHQAaABlACAAbwB1AHQAcAB1AHQALgAgAE8AcAB0AGkAbwBuAGEAbABsAHkALAAgAHIAZQBzAHUAbAB0AHMAIABtAGEAeQAgAGIAZQAgAHMAdABhAGMAawBlAGQAXABuACAAIAAgACAAcgBvAHcAESB3AGkAcwBlACAAKAB2AGUAcgB0AGkAYwBhAGwAKQAgAG8AcgAgAGMAbwBsAHUAbQBuABEgdwBpAHMAZQAgACgAaABvAHIAaQB6AG8AbgB0AGEAbAApAC4AXABuAFwAbgBQAGEAcgBhAG0AZQB0AGUAcgBzADoAXABuACAAIAAgACAAYQByAHIAYQB5ACAAIAAgACAAIAAgACAAIAAgACAAIAAgACAAIAAgAC0AIAAyAEQAIABpAG4AcAB1AHQAIABhAHIAcgBhAHkAIAAoAHMAYwBhAGwAYQByAHMAIABuAG8AdAAgAGEAYwBjAGUAcAB0AGUAZAApAC4AXABuACAAIAAgACAAWwBmAHUAbgBjAHQAaQBvAG4AXQAgACAAIAAgACAAIAAgACAAIAAgAC0AIABFAFQAQQAgAGYAdQBuAGMAdABpAG8AbgAgAG8AcgAgAEwAYQBtAGIAZABhACAAYQBwAHAAbABpAGUAZAAgAHQAbwAgAGUAYQBjAGgAIABkAGkAYQBnAG8AbgBhAGwALgBcAG4AIAAgACAAIABbAHIAbwB3AF8AdwBpAHMAZQBfAHMAdABhAGMAawA/AF0AIAAgACAALQAgAEkAZgAgAFQAUgBVAEUALAAgAHIAZQBzAHUAbAB0AHMAIABhAHIAZQAgAHMAdABhAGMAawBlAGQAIAB2AGUAcgB0AGkAYwBhAGwAbAB5ADsAIABvAHQAaABlAHIAdwBpAHMAZQBcAG4AIAAgACAAIAAgACAAIAAgACAAIAAgACAAIAAgACAAIAAgACAAIAAgACAAIAAgACAAIAAgACAAZABpAGEAZwBvAG4AYQBsAHMAIABhAHIAZQAgAHIAZQB0AHUAcgBuAGUAZAAgAGEAcwAgAGMAbwBsAHUAbQBuAHMALgBcAG4AXABuAE4AbwB0AGUAcwA6AFwAbgAgACAAIAAgACIgIABTAGMAYQBsAGEAcgBzACAAYQBuAGQAIAAxAEQAIABhAHIAcgBhAHkAcwAgAGEAcgBlACAAcgBlAGoAZQBjAHQAZQBkACAAYgB5ACAAVgBhAGwAaQBkAGEAdABlAEQAaQBhAGcAuwMuAFwAbgAgACAAIAAgACIgIABJAGYAIABmAHUAbgBjAHQAaQBvAG4AIABpAHMAIABvAG0AaQB0AHQAZQBkACwAIAByAGEAdwAgAGQAaQBhAGcAbwBuAGEAbABzACAAYQByAGUAIAByAGUAdAB1AHIAbgBlAGQALgBcAG4AIAAgACAAIAAiICAATwB1AHQAcAB1AHQAIABzAGgAYQBwAGUAIABpAHMAIABrACAA1wAgAGoAIAB3AGgAZQByAGUAIABrACAAPQAgAE0ASQBOACgAcgBvAHcAcwAsACAAYwBvAGwAdQBtAG4AcwApAC4AXABuAC0ALQAtAC0ALQAtAC0ALQAtAC0ALQAtAC0ALQAtAC0ALQAtAC0ALQAtAC0ALQAtAC0ALQAtAC0ALQAtAC0ALQAtAC0ALQAtAC0ALQAtAC0ALQAtAC0ALQAtAC0ALQAtAC0ALQAtAC0ALQAtAC0ALQAtAC0ALQAtAC0ALQAtAC0ALQAtAC0ALQAtAC0ALQAtAC0ALQAtAC0ALQAtACoALwBcAG4AXABuAEIAeQBEAGkAYQBnALsDIAA9AFwAbgBMAEEATQBCAEQAQQAoAFwAbgAgACAAIAAgAGEAcgByAGEAeQAsAFwAbgAgACAAIAAgAFsAZgB1AG4AYwB0AGkAbwBuAF0ALABcAG4AIAAgACAAIABbAHIAbwB3AF8AdwBpAHMAZQBfAHMAdABhAGMAawA/AF0ALABcAG4AXABuAFYAYQBsAGkAZABhAHQAZQBEAGkAYQBnALsDKABhAHIAcgBhAHkALAAgACwAIABmAHUAbgBjAHQAaQBvAG4ALAAgAHIAbwB3AF8AdwBpAHMAZQBfAHMAdABhAGMAawA/ACwAXABuAEwARQBUACgAXABuACAAIAAgACAALwAvACAATwBwAHQAaQBvAG4AYQBsACAAcABhAHIAYQBtAGUAdABlAHIAcwBcAG4AIAAgACAAIABOAG8AXwBGAHUAbgBjAHQAaQBvAG4ALAAgACAAIAAgACAAIAAgACAASQBTAE8ATQBJAFQAVABFAEQAKABmAHUAbgBjAHQAaQBvAG4AKQAsAFwAbgAgACAAIAAgAE4AbwBfAFIAbwB3AFMAdABhAGMAawAsACAAIAAgACAAIAAgACAAIABJAFMATwBNAEkAVABUAEUARAAoAHIAbwB3AF8AdwBpAHMAZQBfAHMAdABhAGMAawA/ACkALABcAG4AXABuACAAIAAgACAALwAvACAARABpAG0AZQBuAHMAaQBvAG4AcwBcAG4AIAAgACAAIABoACwAIAAgACAAIAAgACAAIAAgACAAIAAgACAAIAAgACAAIAAgACAAUgBPAFcAUwAoAGEAcgByAGEAeQApACwAXABuACAAIAAgACAAdwAsACAAIAAgACAAIAAgACAAIAAgACAAIAAgACAAIAAgACAAIAAgAEMATwBMAFUATQBOAFMAKABhAHIAcgBhAHkAKQAsAFwAbgBcAG4AIAAgACAAIAAvAC8AIABOAHUAbQBiAGUAcgAgAG8AZgAgAGQAaQBhAGcAbwBuAGEAbABzAFwAbgAgACAAIAAgAGsALAAgACAAIAAgACAAIAAgACAAIAAgACAAIAAgACAAIAAgACAAIABNAEkATgAoAGgALAAgAHcAKQAsAFwAbgBcAG4AIAAgACAAIAAvAC8AIABEAGUAZgBlAHIAcgBlAGQAIABpAG4AZABlAHgAIABnAGUAbgBlAHIAYQB0AG8AcgBzAFwAbgAgACAAIAAgAHIALAAgACAAIAAgACAAIAAgACAAIAAgACAAIAAgACAAIAAgACAAIABMAEEATQBCAEQAQQAoAFMARQBRAFUARQBOAEMARQAoAGsAKQAgACoAIABTAEUAUQBVAEUATgBDAEUAKAAsACAAdwAsACAAMQAsACAAMAApACkALABcAG4AIAAgACAAIAB5ACwAIAAgACAAIAAgACAAIAAgACAAIAAgACAAIAAgACAAIAAgACAATABBAE0AQgBEAEEAKABTAEUAUQBVAEUATgBDAEUAKABrACkAIAArACAAUwBFAFEAVQBFAE4AQwBFACgALAAgAHcALAAgADAALAAgADEAKQApACwAXABuACAAIAAgACAAYwAsACAAIAAgACAAIAAgACAAIAAgACAAIAAgACAAIAAgACAAIAAgAEwAQQBNAEIARABBACgASQBGACgAeQAoACkAIAA+ACAAdwAsACAATgBBACgAKQAsACAAeQAoACkAKQApACwAXABuAFwAbgAgACAAIAAgAC8ALwAgAEUAeAB0AHIAYQBjAHQAIABkAGkAYQBnAG8AbgBhAGwAcwBcAG4AIAAgACAAIAByAGUAcwB1AGwAdAAsACAAIAAgACAAIAAgACAAIAAgACAAIAAgACAASQBGAE4AQQAoAEkATgBEAEUAWAAoAGEAcgByAGEAeQAsACAAcgAoACkALAAgAGMAKAApACkALAAgAFwAIgBcACIAKQAsAFwAbgBcAG4AIAAgACAAIAAvAC8AIABPAHIAaQBlAG4AdABhAHQAaQBvAG4AXABuACAAIAAgACAAcwBoAGEAcABlAGQALAAgACAAIAAgACAAIAAgACAAIAAgACAAIAAgAEkARgAoAE4AbwBfAFIAbwB3AFMAdABhAGMAawAsACAAcgBlAHMAdQBsAHQALAAgAFQAUgBBAE4AUwBQAE8AUwBFACgAcgBlAHMAdQBsAHQAKQApACwAXABuAFwAbgAgACAAIAAgAC8ALwAgAEEAcABwAGwAeQAgAGYAdQBuAGMAdABpAG8AbgAgAGkAZgAgAHAAcgBvAHYAaQBkAGUAZABcAG4AIAAgACAAIABmAGkAbgBhAGwALAAgACAAIAAgACAAIAAgACAAIAAgACAAIAAgACAASQBGACgATgBvAF8ARgB1AG4AYwB0AGkAbwBuACwAcwBoAGEAcABlAGQALABcAG4AIAAgACAAIAAgACAAIAAgACAAIAAgACAAIAAgACAAIAAgACAAIAAgACAAIAAgACAAIAAgACAAIABJAEYAKABOAG8AXwBSAG8AdwBTAHQAYQBjAGsALABCAFkAQwBPAEwAKABzAGgAYQBwAGUAZAAsACAAZgB1AG4AYwB0AGkAbwBuACkALABcAG4AIAAgACAAIAAgACAAIAAgACAAIAAgACAAIAAgACAAIAAgACAAIAAgACAAIAAgACAAIAAgACAAIAAgACAAIAAgACAAIAAgACAAIAAgACAAIAAgACAAIABCAFkAUgBPAFcAKABzAGgAYQBwAGUAZAAsACAAZgB1AG4AYwB0AGkAbwBuACkAKQApACwAXABuAFwAbgAgACAAIAAgAGYAaQBuAGEAbABcAG4AKQApACkAOwBcAG4AXABuAFwAbgBcAG4ALwAqACAAWwBHAFIAMAA0AF0AIAAtAC0ALQAtAC0ALQAtAC0ALQAtAC0ALQAtAC0ALQAtAC0ALQAtAC0ALQAtAC0ALQAtAC0ALQAtAC0ALQAtAC0ALQAtAC0ALQAtAC0ALQAtAC0ALQAtAC0ALQAtAC0ALQAtAC0ALQAtAC0ALQAtAC0ALQAtAC0ALQAtAC0ALQAtAC0ALQAtAC0ALQAtAC0ALQAtAFwAbgBGAHUAbgBjAHQAaQBvAG4AOgAgACAAIAAgACAARABpAGEAZwBNAGEAcAC7A1wAbgBDAGEAdABlAGcAbwByAHkAOgAgACAAIAAgACAARwByAGkAZAAgAEEAbgBhAGwAeQB0AGkAYwBzACAAKABDAGEAdABlAGcAbwByAGkAYwBhAGwAIABBAG4AYQBsAHkAcwBpAHMAKQBcAG4AQQB1AHQAaABvAHIAOgAgACAAIAAgACAAIAAgAFAAYQB0AHIAaQBjAGsAIABIAC4AXABuAFYAZQByAHMAaQBvAG4AOgAgACAAIAAgACAAIAAxAC4AMQBcAG4ARABlAHAAZQBuAGQAZQBuAGMAaQBlAHMAOgAgAEIAeQBEAGkAYQBnALsDLAAgAFYAYQBsAGkAZABhAHQAZQBEAGkAYQBnALsDXABuAFwAbgBEAGUAcwBjAHIAaQBwAHQAaQBvAG4AOgBcAG4AIAAgACAAIABDAG8AbgB2AGUAbgBpAGUAbgBjAGUAIAB3AHIAYQBwAHAAZQByACAAZgBvAHIAIABCAHkARABpAGEAZwC7AyAAdABoAGEAdAAgAGUAeAB0AHIAYQBjAHQAcwAgAGEAbABsACAAZABpAGEAZwBvAG4AYQBsAHMAIABmAHIAbwBtACAAYQAgADIARABcAG4AIAAgACAAIABhAHIAcgBhAHkAIABhAG4AZAAgAHIAZQB0AHUAcgBuAHMAIAB0AGgAZQBtACAAYQBzACAAYQAgADIARAAgAG0AYQB0AHIAaQB4AC4AIABPAHAAdABpAG8AbgBhAGwAIAByAG8AdwARIHcAaQBzAGUAIABzAHQAYQBjAGsAaQBuAGcAIABpAHMAXABuACAAIAAgACAAcwB1AHAAcABvAHIAdABlAGQALgBcAG4AXABuAFAAYQByAGEAbQBlAHQAZQByAHMAOgBcAG4AIAAgACAAIABhAHIAcgBhAHkAIAAgACAAIAAgACAAIAAgACAAIAAgACAAIAAgACAALQAgADIARAAgAGkAbgBwAHUAdAAgAGEAcgByAGEAeQAuAFwAbgAgACAAIAAgAFsAcgBvAHcAXwB3AGkAcwBlAF8AcwB0AGEAYwBrAD8AXQAgACAAIAAtACAASQBmACAAVABSAFUARQAsACAAZABpAGEAZwBvAG4AYQBsAHMAIABhAHIAZQAgAHMAdABhAGMAawBlAGQAIAB2AGUAcgB0AGkAYwBhAGwAbAB5AC4AXABuAFwAbgBOAG8AdABlAHMAOgBcAG4AIAAgACAAIAAiICAARQBxAHUAaQB2AGEAbABlAG4AdAAgAHQAbwAgAGMAYQBsAGwAaQBuAGcAIABCAHkARABpAGEAZwC7AygAYQByAHIAYQB5ACwAIAAsACAAcgBvAHcAXwB3AGkAcwBlAF8AcwB0AGEAYwBrAD8AKQAuAFwAbgAtAC0ALQAtAC0ALQAtAC0ALQAtAC0ALQAtAC0ALQAtAC0ALQAtAC0ALQAtAC0ALQAtAC0ALQAtAC0ALQAtAC0ALQAtAC0ALQAtAC0ALQAtAC0ALQAtAC0ALQAtAC0ALQAtAC0ALQAtAC0ALQAtAC0ALQAtAC0ALQAtAC0ALQAtAC0ALQAtAC0ALQAtAC0ALQAtAC0ALQAtAC0ALQAqAC8AXABuAFwAbgBEAGkAYQBnAE0AYQBwALsDIAA9AFwAbgBMAEEATQBCAEQAQQAoAFwAbgAgACAAIAAgAGEAcgByAGEAeQAsAFwAbgAgACAAIAAgAFsAcgBvAHcAXwB3AGkAcwBlAF8AcwB0AGEAYwBrAD8AXQAsAFwAbgAgACAAIAAgAEIAeQBEAGkAYQBnALsDKABhAHIAcgBhAHkALAAgACwAIAByAG8AdwBfAHcAaQBzAGUAXwBzAHQAYQBjAGsAPwApACkAOwBcAG4AXABuAFwAbgBcAG4ALwAqACAAWwBHAFIAMAA1AF0AIAAtAC0ALQAtAC0ALQAtAC0ALQAtAC0ALQAtAC0ALQAtAC0ALQAtAC0ALQAtAC0ALQAtAC0ALQAtAC0ALQAtAC0ALQAtAC0ALQAtAC0ALQAtAC0ALQAtAC0ALQAtAC0ALQAtAC0ALQAtAC0ALQAtAC0ALQAtAC0ALQAtAC0ALQAtAC0ALQAtAC0ALQAtAC0ALQAtAFwAbgBGAHUAbgBjAHQAaQBvAG4AOgAgACAAIAAgACAARABpAGEAZwBJAG4AZABlAHgAuwNcAG4AQwBhAHQAZQBnAG8AcgB5ADoAIAAgACAAIAAgAEcAcgBpAGQAIABBAG4AYQBsAHkAdABpAGMAcwAgACgAQwBhAHQAZQBnAG8AcgBpAGMAYQBsACAAQQBuAGEAbAB5AHMAaQBzACkAXABuAEEAdQB0AGgAbwByADoAIAAgACAAIAAgACAAIABQAGEAdAByAGkAYwBrACAASAAuAFwAbgBWAGUAcgBzAGkAbwBuADoAIAAgACAAIAAgACAAMQAuADEAXABuAEQAZQBwAGUAbgBkAGUAbgBjAGkAZQBzADoAIABCAHkARABpAGEAZwC7AywAIABWAGEAbABpAGQAYQB0AGUARABpAGEAZwC7A1wAbgBcAG4ARABlAHMAYwByAGkAcAB0AGkAbwBuADoAXABuACAAIAAgACAARQB4AHQAcgBhAGMAdABzACAAYQAgAHMAaQBuAGcAbABlACAAZABpAGEAZwBvAG4AYQBsACAAbwByACAAYQBuAHQAaQARIGQAaQBhAGcAbwBuAGEAbAAgAHYAZQBjAHQAbwByACAAZgByAG8AbQAgAGEAIAAyAEQAIABhAHIAcgBhAHkALgBcAG4AIAAgACAAIABQAG8AcwBpAHQAaQB2AGUAIABjAG8AbABfAGkAbgBkAGUAeAAgAHMAZQBsAGUAYwB0AHMAIABhACAAcwB0AGEAbgBkAGEAcgBkACAAKABTAEUAESBkAGkAcgBlAGMAdABpAG8AbgApACAAZABpAGEAZwBvAG4AYQBsAC4AXABuACAAIAAgACAATgBlAGcAYQB0AGkAdgBlACAAYwBvAGwAXwBpAG4AZABlAHgAIABzAGUAbABlAGMAdABzACAAYQBuACAAYQBuAHQAaQARIGQAaQBhAGcAbwBuAGEAbAAgACgAUwBXABEgZABpAHIAZQBjAHQAaQBvAG4AKQAuAFwAbgBcAG4AUABhAHIAYQBtAGUAdABlAHIAcwA6AFwAbgAgACAAIAAgAGEAcgByAGEAeQAgACAAIAAgACAAIAAgAC0AIAAyAEQAIABpAG4AcAB1AHQAIABhAHIAcgBhAHkAIAAoAHMAYwBhAGwAYQByAHMAIABuAG8AdAAgAGEAYwBjAGUAcAB0AGUAZAApAC4AXABuACAAIAAgACAAYwBvAGwAXwBpAG4AZABlAHgAIAAgACAALQAgAFMAdABhAHIAdABpAG4AZwAgAGMAbwBsAHUAbQBuACAAaQBuAGQAZQB4AC4AIABOAGUAZwBhAHQAaQB2AGUAIAB2AGEAbAB1AGUAcwAgAGkAbgBkAGkAYwBhAHQAZQBcAG4AIAAgACAAIAAgACAAIAAgACAAIAAgACAAIAAgACAAIAAgACAAIABhAG4AdABpABEgZABpAGEAZwBvAG4AYQBsACAAZQB4AHQAcgBhAGMAdABpAG8AbgAuAFwAbgBcAG4ATgBvAHQAZQBzADoAXABuACAAIAAgACAAIiAgAE8AdQB0AHAAdQB0ACAAaQBzACAAYQBsAHcAYQB5AHMAIABhACAAMQBEACAAdgBlAGMAdABvAHIAIABvAGYAIABsAGUAbgBnAHQAaAAgAGsAIAA9ACAAZABpAGEAZwBvAG4AYQBsACAAbABlAG4AZwB0AGgALgBcAG4ALQAtAC0ALQAtAC0ALQAtAC0ALQAtAC0ALQAtAC0ALQAtAC0ALQAtAC0ALQAtAC0ALQAtAC0ALQAtAC0ALQAtAC0ALQAtAC0ALQAtAC0ALQAtAC0ALQAtAC0ALQAtAC0ALQAtAC0ALQAtAC0ALQAtAC0ALQAtAC0ALQAtAC0ALQAtAC0ALQAtAC0ALQAtAC0ALQAtAC0ALQAtAC0AKgAvAFwAbgBcAG4ARABpAGEAZwBJAG4AZABlAHgAuwMgAD0AXABuAEwAQQBNAEIARABBACgAXABuACAAIAAgACAAYQByAHIAYQB5ACwAXABuACAAIAAgACAAYwBvAGwAXwBpAG4AZABlAHgALABcAG4AXABuAFYAYQBsAGkAZABhAHQAZQBEAGkAYQBnALsDKABhAHIAcgBhAHkALAAgAGMAbwBsAF8AaQBuAGQAZQB4ACwAIAAsACAALABcAG4AXABuAEwARQBUACgAXABuACAAIAAgACAALwAvACAARABpAG0AZQBuAHMAaQBvAG4AcwBcAG4AIAAgACAAIABoACwAIAAgACAAIAAgACAAIABSAE8AVwBTACgAYQByAHIAYQB5ACkALABcAG4AIAAgACAAIAB3ACwAIAAgACAAIAAgACAAIABDAE8ATABVAE0ATgBTACgAYQByAHIAYQB5ACkALABcAG4AXABuACAAIAAgACAALwAvACAARABpAHIAZQBjAHQAaQBvAG4AOgAgACsAMQAgAD0AIABTAEUALAAgABMgMQAgAD0AIABTAFcAXABuACAAIAAgACAAcwAsACAAIAAgACAAIAAgACAAUwBJAEcATgAoAGMAbwBsAF8AaQBuAGQAZQB4ACkALABcAG4AXABuACAAIAAgACAALwAvACAARABpAGEAZwBvAG4AYQBsACAAbABlAG4AZwB0AGgAXABuACAAIAAgACAAawAsACAAIAAgACAAIAAgACAASQBGACgAcwAgAD4AIAAwACwATQBJAE4AKABoACwAIAB3ACAAKwAgADEAIAAtACAAYwBvAGwAXwBpAG4AZABlAHgAKQAsAFwAbgAgACAAIAAgACAAIAAgACAAIAAgACAAIAAgACAAIAAgACAAIAAgACAAIAAgAE0ASQBOACgAaAAsACAAQQBCAFMAKABjAG8AbABfAGkAbgBkAGUAeAApACkAKQAsAFwAbgBcAG4AIAAgACAAIAAvAC8AIABTAHQAYQByAHQAaQBuAGcAIABjAG8AbAB1AG0AbgBcAG4AIAAgACAAIABzAHQAYQByAHQALAAgACAAIABJAEYAKABzACAAPAAgADAALAAgAEEAQgBTACgAYwBvAGwAXwBpAG4AZABlAHgAKQAsACAAYwBvAGwAXwBpAG4AZABlAHgAKQAsAFwAbgBcAG4AIAAgACAAIAAvAC8AIABEAGUAZgBlAHIAcgBlAGQAIABpAG4AZABlAHgAIABnAGUAbgBlAHIAYQB0AG8AcgBzAFwAbgAgACAAIAAgAHgALAAgACAAIAAgACAAIAAgAEwAQQBNAEIARABBACgAUwBFAFEAVQBFAE4AQwBFACgAawApACkALABcAG4AIAAgACAAIAB5ACwAIAAgACAAIAAgACAAIABMAEEATQBCAEQAQQAoAFMARQBRAFUARQBOAEMARQAoAGsALAAgACwAIABzAHQAYQByAHQALAAgAHMAKQApACwAXABuAFwAbgAgACAAIAAgAC8ALwAgAEUAeAB0AHIAYQBjAHQAIABkAGkAYQBnAG8AbgBhAGwAXABuACAAIAAgACAAZABlAGwAaQB2AGUAcgAsACAASQBOAEQARQBYACgAYQByAHIAYQB5ACwAIAB4ACgAKQAsACAAeQAoACkAKQAsAFwAbgBcAG4AIAAgACAAIABkAGUAbABpAHYAZQByAFwAbgApACkAKQA7AFwAbgBcAG4AXABuAFwAbgAvACoAIABbAEcAUgARIEMATwBSAEUAXQAgAC0ALQAtAC0ALQAtAC0ALQAtAC0ALQAtAC0ALQAtAC0ALQAtAC0ALQAtAC0ALQAtAC0ALQAtAC0ALQAtAC0ALQAtAC0ALQAtAC0ALQAtAC0ALQAtAC0ALQAtAC0ALQAtAC0ALQAtAC0ALQAtAC0ALQAtAC0ALQAtAC0ALQAtAC0ALQAtAC0ALQAtAC0AXABuAEYAdQBuAGMAdABpAG8AbgA6ACAAIAAgACAAIABWAGEAbABpAGQAYQB0AGUARABpAGEAZwC7A1wAbgBDAGEAdABlAGcAbwByAHkAOgAgACAAIAAgACAARwByAGkAZAAgAEEAbgBhAGwAeQB0AGkAYwBzACAAKABDAG8AcgBlACAAVgBhAGwAaQBkAGEAdABpAG8AbgApAFwAbgBBAHUAdABoAG8AcgA6ACAAIAAgACAAIAAgACAAUABhAHQAcgBpAGMAawAgAEgALgBcAG4AVgBlAHIAcwBpAG8AbgA6ACAAIAAgACAAIAAgADEALgAxAFwAbgBcAG4ARABlAHMAYwByAGkAcAB0AGkAbwBuADoAXABuACAAIAAgACAAVgBhAGwAaQBkAGEAdABlAHMAIABpAG4AcAB1AHQAcwAgAGYAbwByACAAQgB5AEQAaQBhAGcAuwMsACAARABpAGEAZwBNAGEAcAC7AywAIABhAG4AZAAgAEQAaQBhAGcASQBuAGQAZQB4ALsDLgAgAEUAbgBzAHUAcgBlAHMAIAB0AGgAYQB0ACAAdABoAGUAXABuACAAIAAgACAAYQByAHIAYQB5ACAAaQBzACAAYQAgAHYAYQBsAGkAZAAgADIARAAgAHMAdAByAHUAYwB0AHUAcgBlACwAIAB0AGgAYQB0ACAAYwBvAGwAdQBtAG4AIABpAG4AZABpAGMAZQBzACAAKAB3AGgAZQBuACAAcwB1AHAAcABsAGkAZQBkACkAIABhAHIAZQBcAG4AIAAgACAAIAB3AGkAdABoAGkAbgAgAGIAbwB1AG4AZABzACwAIABhAG4AZAAgAHQAaABhAHQAIABhAG4AeQAgAHMAdQBwAHAAbABpAGUAZAAgAGYAdQBuAGMAdABpAG8AbgAgAGkAcwAgAGEAIAB2AGEAbABpAGQAIABMAEEATQBCAEQAQQAvAEUAVABBAFwAbgAgACAAIAAgAGYAdQBuAGMAdABpAG8AbgAuAFwAbgBcAG4AUABhAHIAYQBtAGUAdABlAHIAcwA6AFwAbgAgACAAIAAgAGEAcgByAGEAeQAgACAAIAAgACAAIAAgACAAIAAgACAAIAAgACAAIAAtACAAMgBEACAAaQBuAHAAdQB0ACAAYQByAHIAYQB5AC4AXABuACAAIAAgACAAWwBjAG8AbABfAGkAbgBkAGUAeABdACAAIAAgACAAIAAgACAAIAAgAC0AIABTAHQAYQByAHQAaQBuAGcAIABjAG8AbAB1AG0AbgAgAGkAbgBkAGUAeAAgACgARABpAGEAZwBJAG4AZABlAHgAuwMgAG8AbgBsAHkAKQAuAFwAbgAgACAAIAAgAFsAZgB1AG4AYwB0AGkAbwBuAF0AIAAgACAAIAAgACAAIAAgACAAIAAtACAARQBUAEEAIABvAHIAIABMAEEATQBCAEQAQQAgACgAQgB5AEQAaQBhAGcAuwMgAG8AbgBsAHkAKQAuAFwAbgAgACAAIAAgAFsAcgBvAHcAXwB3AGkAcwBlAF8AcwB0AGEAYwBrAD8AXQAgACAAIAAtACAATwByAGkAZQBuAHQAYQB0AGkAbwBuACAAZgBsAGEAZwAgACgAQgB5AEQAaQBhAGcAuwMgAC8AIABEAGkAYQBnAE0AYQBwALsDKQAuAFwAbgAgACAAIAAgAFsAbwBuAF8AdgBhAGwAaQBkAF0AIAAgACAAIAAgACAAIAAgACAAIAAtACAARQB4AHAAcgBlAHMAcwBpAG8AbgAgAHQAbwAgAGUAdgBhAGwAdQBhAHQAZQAgAHcAaABlAG4AIABpAG4AcAB1AHQAcwAgAGEAcgBlACAAdgBhAGwAaQBkAC4AXABuAFwAbgBOAG8AdABlAHMAOgBcAG4AIAAgACAAIAAiICAAUwBjAGEAbABhAHIAcwAgAGEAbgBkACAAbgBvAG4AESBhAHIAcgBhAHkAcwAgAGEAcgBlACAAcgBlAGoAZQBjAHQAZQBkAC4AXABuACAAIAAgACAAIiAgAGMAbwBsAF8AaQBuAGQAZQB4ACAAPQAgADAAIABpAHMAIABpAG4AdgBhAGwAaQBkACAAYgB5ACAAZABlAHMAaQBnAG4ALgBcAG4AIAAgACAAIAAiICAARgB1AG4AYwB0AGkAbwBuACAAdgBhAGwAaQBkAGEAdABpAG8AbgAgAHUAcwBlAHMAIABhACAAcwBhAGYAZQAgAFQAWQBQAEUAESBiAGEAcwBlAGQAIABpAG4AdgBvAGMAYQB0AGkAbwBuACAAdABlAHMAdAAuAFwAbgAgACAAIAAgACIgIABSAG8AdQB0AGkAbgBnACAAbABvAGcAaQBjACAAZABlAHQAZQByAG0AaQBuAGUAcwAgAHcAaABpAGMAaAAgAG8AcABlAHIAYQB0AG8AcgAgAGkAcwAgAGIAZQBpAG4AZwAgAHYAYQBsAGkAZABhAHQAZQBkAC4AXABuAC0ALQAtAC0ALQAtAC0ALQAtAC0ALQAtAC0ALQAtAC0ALQAtAC0ALQAtAC0ALQAtAC0ALQAtAC0ALQAtAC0ALQAtAC0ALQAtAC0ALQAtAC0ALQAtAC0ALQAtAC0ALQAtAC0ALQAtAC0ALQAtAC0ALQAtAC0ALQAtAC0ALQAtAC0ALQAtAC0ALQAtAC0ALQAtAC0ALQAtAC0ALQAtACoALwBcAG4AXABuAFYAYQBsAGkAZABhAHQAZQBEAGkAYQBnALsDIAA9AFwAbgBMAEEATQBCAEQAQQAoAFwAbgAgACAAIAAgAGEAcgByAGEAeQAsAFwAbgAgACAAIAAgAFsAYwBvAGwAXwBpAG4AZABlAHgAXQAsAFwAbgAgACAAIAAgAFsAZgB1AG4AYwB0AGkAbwBuAF0ALABcAG4AIAAgACAAIABbAHIAbwB3AF8AdwBpAHMAZQBfAHMAdABhAGMAawA/AF0ALABcAG4AIAAgACAAIABbAG8AbgBfAHYAYQBsAGkAZABdACwAXABuAEwARQBUACgAXABuACAAIAAgACAALwAvACAALQAtAC0AIABBAHIAcgBhAHkAIAB2AGEAbABpAGQAYQB0AGkAbwBuACAALQAtAC0AXABuACAAIAAgACAASQBzAEEAcgByAGEAeQA/ACwAIAAgACAAIAAgACAAIAAgACAAIAAgACAAIAAgACAAVABZAFAARQAoAGEAcgByAGEAeQApACAAPQAgADYANAAsAFwAbgAgACAAIAAgAE4AbwB0AF8AQQByAHIAYQB5ACwAIAAgACAAIAAgACAAIAAgACAAIAAgACAAIAAgAE4ATwBUACgASQBzAEEAcgByAGEAeQA/ACkALABcAG4AXABuACAAIAAgACAALwAvACAALQAtAC0AIABDAG8AbAB1AG0AbgAgAGkAbgBkAGUAeAAgAHYAYQBsAGkAZABhAHQAaQBvAG4AIAAoAEQAaQBhAGcASQBuAGQAZQB4ALsDIABvAG4AbAB5ACkAIAAtAC0ALQBcAG4AIAAgACAAIABOAG8AXwBDAG8AbABfAEkAbgBkAGUAeAAsACAAIAAgACAAIAAgACAAIAAgACAAIABJAFMATwBNAEkAVABUAEUARAAoAGMAbwBsAF8AaQBuAGQAZQB4ACkALABcAG4AIAAgACAAIABDAG8AbABJAG4AZABlAHgAXwBJAG4AYwBsAHUAZABlAGQALAAgACAAIAAgACAAIABOAE8AVAAoAE4AbwBfAEMAbwBsAF8ASQBuAGQAZQB4ACkALABcAG4AIAAgACAAIABOAG8AdABfAFYAYQBsAGkAZABfAEMAbwBsAEkAbgBkAGUAeAA/ACwAIAAgACAAIABOAE8AVAAoAEEATgBEACgAYwBvAGwAXwBpAG4AZABlAHgAIAA8AD4AIAAwACwAXABuACAAIAAgACAAIAAgACAAIAAgACAAIAAgACAAIAAgACAAIAAgACAAIAAgACAAIAAgACAAIAAgACAAIAAgACAAIAAgACAAIAAgAEEAQgBTACgAYwBvAGwAXwBpAG4AZABlAHgAKQAgADwAPQAgAEMATwBMAFUATQBOAFMAKABhAHIAcgBhAHkAKQApACkALABcAG4AXABuACAAIAAgACAALwAvACAALQAtAC0AIABGAHUAbgBjAHQAaQBvAG4AIAB2AGEAbABpAGQAYQB0AGkAbwBuACAAKABCAHkARABpAGEAZwC7AyAAbwBuAGwAeQApACAALQAtAC0AXABuACAAIAAgACAATgBvAF8ARgB1AG4AYwB0AGkAbwBuACwAIAAgACAAIAAgACAAIAAgACAAIAAgACAASQBTAE8ATQBJAFQAVABFAEQAKABmAHUAbgBjAHQAaQBvAG4AKQAsAFwAbgAgACAAIAAgAEYAdQBuAGMAdABpAG8AbgBfAEkAbgBjAGwAdQBkAGUAZAAsACAAIAAgACAAIAAgAE4ATwBUACgATgBvAF8ARgB1AG4AYwB0AGkAbwBuACkALABcAG4AXABuACAAIAAgACAALwAvACAAUwBhAGYAZQAgAGYAdQBuAGMAdABpAG8AbgAgAHYAYQBsAGkAZABhAHQAaQBvAG4AOgAgAGUAbgBzAHUAcgBlACAAZgB1AG4AYwB0AGkAbwBuACAAaQBzACAAYwBhAGwAbABhAGIAbABlAFwAbgAgACAAIAAgAEkAbgB2AGEAbABpAGQAXwBGAHUAbgBjAHQAaQBvAG4APwAsACAAIAAgACAAIAAgAEEATgBEACgARgB1AG4AYwB0AGkAbwBuAF8ASQBuAGMAbAB1AGQAZQBkACwAXABuACAAIAAgACAAIAAgACAAIAAgACAAIAAgACAAIAAgACAAIAAgACAAIAAgACAAIAAgACAAIAAgACAAIAAgACAAIABJAFMARQBSAFIATwBSACgAQgBZAFIATwBXACgAewAxACwAMQB9ACwAIABmAHUAbgBjAHQAaQBvAG4AKQApACkALABcAG4AXABuACAAIAAgACAALwAvACAALQAtAC0AIABPAHIAaQBlAG4AdABhAHQAaQBvAG4AIABmAGwAYQBnACAAKABEAGkAYQBnAE0AYQBwALsDIAAvACAAQgB5AEQAaQBhAGcAuwMpACAALQAtAC0AXABuACAAIAAgACAAUgBvAHcAVwBpAHMAZQBTAHQAYQBjAGsAPwAsACAAIAAgACAAIAAgACAAIAAgACAATgBPAFQAKABJAFMATwBNAEkAVABUAEUARAAoAHIAbwB3AF8AdwBpAHMAZQBfAHMAdABhAGMAawA/ACkAKQAsAFwAbgBcAG4AIAAgACAAIAAvAC8AIAAtAC0ALQAgAEQAZQB0AGUAcgBtAGkAbgBlACAAdwBoAGkAYwBoACAAbwBwAGUAcgBhAHQAbwByACAAaQBzACAAYgBlAGkAbgBnACAAdgBhAGwAaQBkAGEAdABlAGQAIAAtAC0ALQBcAG4AIAAgACAAIABJAHMARABpAGEAZwBJAG4AZABlAHgAPwAsACAAIAAgACAAIAAgACAAIAAgACAAIABDAG8AbABJAG4AZABlAHgAXwBJAG4AYwBsAHUAZABlAGQALABcAG4AIAAgACAAIABJAHMAQgB5AEQAaQBhAGcAPwAsACAAIAAgACAAIAAgACAAIAAgACAAIAAgACAAIABBAE4ARAAoAE4AbwBfAEMAbwBsAF8ASQBuAGQAZQB4ACwAIABGAHUAbgBjAHQAaQBvAG4AXwBJAG4AYwBsAHUAZABlAGQAKQAsAFwAbgAgACAAIAAgAEkAcwBEAGkAYQBnAE0AYQBwAD8ALAAgACAAIAAgACAAIAAgACAAIAAgACAAIAAgAEEATgBEACgATgBvAF8AQwBvAGwAXwBJAG4AZABlAHgALAAgAE4AbwBfAEYAdQBuAGMAdABpAG8AbgApACwAXABuAFwAbgAgACAAIAAgAC8ALwAgAC0ALQAtACAATABvAGcAaQBjACAAZwBhAHQAZQBzACAALQAtAC0AXABuACAAIAAgACAALwAvACAARABpAGEAZwBJAG4AZABlAHgAuwNcAG4AIAAgACAAIABnAGEAdABlAF8ARABpAGEAZwBJAG4AZABlAHgALAAgACAAIAAgACAAIAAgACAAIABJAEYAKABOAG8AdABfAEEAcgByAGEAeQAsACAAIAAgACAAIAAgACAAIAAgACAAIABcACIAIwBOAE8AVAAtAEEAUgBSAEEAWQAhAFwAIgAsAFwAbgAgACAAIAAgACAAIAAgACAAIAAgACAAIAAgACAAIAAgACAAIAAgACAAIAAgACAAIAAgACAAIAAgACAAIAAgACAASQBGACgATgBvAHQAXwBWAGEAbABpAGQAXwBDAG8AbABJAG4AZABlAHgAPwAsACAAXAAiACMAQwBPAEwAVQBNAE4ALQBJAE4ARABFAFgAIQBcACIALABcAG4AIAAgACAAIAAgACAAIAAgACAAIAAgACAAIAAgACAAIAAgACAAIAAgACAAIAAgACAAIAAgACAAIAAgACAAIAAgACAAIAAgACAAbwBuAF8AdgBhAGwAaQBkACkAKQAsAFwAbgBcAG4AIAAgACAAIAAvAC8AIABCAHkARABpAGEAZwC7A1wAbgAgACAAIAAgAGcAYQB0AGUAXwBCAHkARABpAGEAZwAsACAAIAAgACAAIAAgACAAIAAgACAAIAAgAEkARgAoAE4AbwB0AF8AQQByAHIAYQB5ACwAIAAgACAAIAAgACAAIAAgACAAIAAgAFwAIgAjAE4ATwBUAC0AQQBSAFIAQQBZACEAXAAiACwAXABuACAAIAAgACAAIAAgACAAIAAgACAAIAAgACAAIAAgACAAIAAgACAAIAAgACAAIAAgACAAIAAgACAAIAAgACAAIABJAEYAKABJAG4AdgBhAGwAaQBkAF8ARgB1AG4AYwB0AGkAbwBuAD8ALAAgAFwAIgAjAEYAVQBOAEMAVABJAE8ATgAhAFwAIgAsAFwAbgAgACAAIAAgACAAIAAgACAAIAAgACAAIAAgACAAIAAgACAAIAAgACAAIAAgACAAIAAgACAAIAAgACAAIAAgACAAIAAgACAAIABvAG4AXwB2AGEAbABpAGQAKQApACwAXABuAFwAbgAgACAAIAAgAC8ALwAgAEQAaQBhAGcATQBhAHAAuwNcAG4AIAAgACAAIABnAGEAdABlAF8ARABpAGEAZwBNAGEAcAAsACAAIAAgACAAIAAgACAAIAAgACAAIABJAEYAKABOAG8AdABfAEEAcgByAGEAeQAsACAAIAAgACAAIAAgACAAIAAgACAAIABcACIAIwBOAE8AVAAtAEEAUgBSAEEAWQAhAFwAIgAsAFwAbgAgACAAIAAgACAAIAAgACAAIAAgACAAIAAgACAAIAAgACAAIAAgACAAIAAgACAAIAAgACAAIAAgACAAIAAgACAAbwBuAF8AdgBhAGwAaQBkACkALABcAG4AXABuACAAIAAgACAALwAvACAALQAtAC0AIABSAG8AdQB0AGUAIAB0AG8AIABjAG8AcgByAGUAYwB0ACAAZwBhAHQAZQAgAC0ALQAtAFwAbgAgACAAIAAgAGQAZQBjAGkAZABlACwAIAAgACAAIAAgACAAIAAgACAAIAAgACAAIAAgACAAIAAgAEkARgAoAEkAcwBEAGkAYQBnAEkAbgBkAGUAeAA/ACwAIABnAGEAdABlAF8ARABpAGEAZwBJAG4AZABlAHgALABcAG4AXABuACAAIAAgACAAIAAgACAAIAAgACAAIAAgACAAIAAgACAAIAAgACAAIAAgACAAIAAgACAAIAAgACAAIAAgACAAIABJAEYAKABJAHMARABpAGEAZwBNAGEAcAA/ACwAIABnAGEAdABlAF8ARABpAGEAZwBNAGEAcAAsAFwAbgBcAG4AIAAgACAAIAAgACAAIAAgACAAIAAgACAAIAAgACAAIAAgACAAIAAgACAAIAAgACAAIAAgACAAIAAgACAAIAAgACAAIAAgACAASQBGACgASQBzAEIAeQBEAGkAYQBnAD8ALAAgAGcAYQB0AGUAXwBCAHkARABpAGEAZwAsAFwAbgBcAG4AIAAgACAAIAAgACAAIAAgACAAIAAgACAAIAAgACAAIAAgACAAIAAgACAAIAAgACAAIAAgACAAIAAgACAAIAAgACAAIAAgACAAIAAgACAAIABcACIAIwBVAE4AUgBPAFUAVABFAEQAIQBcACIAKQApACkALABcAG4AXABuACAAIAAgACAAZABlAGMAaQBkAGUAXABuACkAKQA7AFwAbgBcAG4AXABuAFwAbgAvACoAIABbAEcAUgAwADYAXQAgAC0ALQAtAC0ALQAtAC0ALQAtAC0ALQAtAC0ALQAtAC0ALQAtAC0ALQAtAC0ALQAtAC0ALQAtAC0ALQAtAC0ALQAtAC0ALQAtAC0ALQAtAC0ALQAtAC0ALQAtAC0ALQAtAC0ALQAtAC0ALQAtAC0ALQAtAC0ALQAtAC0ALQAtAC0ALQAtAC0ALQAtAC0ALQAtAC0AXABuAEYAdQBuAGMAdABpAG8AbgA6ACAAIAAgACAAIABQAGEAaQByAHcAaQBzAGUAuwNcAG4AQwBhAHQAZQBnAG8AcgB5ADoAIAAgACAAIAAgAEcAcgBpAGQAIABBAG4AYQBsAHkAdABpAGMAcwAgACgAQwBhAHQAZQBnAG8AcgBpAGMAYQBsACAAQQBuAGEAbAB5AHMAaQBzACkAXABuAEEAdQB0AGgAbwByADoAIAAgACAAIAAgACAAIABQAGEAdAByAGkAYwBrACAASAAuAFwAbgBWAGUAcgBzAGkAbwBuADoAIAAgACAAIAAgACAAMQAuADEAXABuAEQAZQBwAGUAbgBkAGUAbgBjAGkAZQBzADoAIABFAGMAaABvALsDLAAgAFIAZQBzAGkAegBlALsDXABuAFwAbgBEAGUAcwBjAHIAaQBwAHQAaQBvAG4AOgBcAG4AIAAgACAAIABDAHIAZQBhAHQAZQBzACAAdgBlAHIAdABpAGMAYQBsACAAcABhAGkAcgBzACAAZgByAG8AbQAgADEARAAgAGEAbgBkACAAcwBjAGEAbABhAHIAIABpAG4AcAB1AHQAcwAuACAASQBuAHAAdQB0AHMAIABhAHIAZQAgAGYAbABhAHQAdABlAG4AZQBkACAAdwBpAHQAaABcAG4AIAAgACAAIABUAE8AQwBPAEwAIAB0AG8AIABuAG8AcgBtAGEAbABpAHoAZQAgAG8AcgBpAGUAbgB0AGEAdABpAG8AbgAuACAAMgBEACAAYQByAHIAYQB5AHMAIABhAHIAZQAgAHMAdAByAGkAYwB0AGwAeQAgAHAAcgBvAGgAaQBiAGkAdABlAGQALgBcAG4AXABuAFAAYQByAGEAbQBlAHQAZQByAHMAOgBcAG4AIAAgACAAIAB2AGUAYwB0AG8AcgBfADEAIAAgACAAIAAtACAAMQBEACAAdgBlAGMAdABvAHIAIABvAHIAIABzAGMAYQBsAGEAcgAuAFwAbgAgACAAIAAgAHYAZQBjAHQAbwByAF8AMgAgACAAIAAgAC0AIAAxAEQAIAB2AGUAYwB0AG8AcgAgAG8AcgAgAHMAYwBhAGwAYQByAC4AXABuAC0ALQAtAC0ALQAtAC0ALQAtAC0ALQAtAC0ALQAtAC0ALQAtAC0ALQAtAC0ALQAtAC0ALQAtAC0ALQAtAC0ALQAtAC0ALQAtAC0ALQAtAC0ALQAtAC0ALQAtAC0ALQAtAC0ALQAtAC0ALQAtAC0ALQAtAC0ALQAtAC0ALQAtAC0ALQAtAC0ALQAtAC0ALQAtAC0ALQAtAC0ALQAtACoALwBcAG4AXABuAFAAYQBpAHIAdwBpAHMAZQC7Az0AXABuAEwAQQBNAEIARABBACgAXABuACAAIAAgACAAdgBlAGMAdABvAHIAXwAxACwAXABuACAAIAAgACAAdgBlAGMAdABvAHIAXwAyACwAXABuAFwAbgBMAEUAVAAoAFwAbgAgACAAIAAgAC8ALwAgAEYAbABhAHQAdABlAG4AIABpAG4AcAB1AHQAcwBcAG4AIAAgACAAIAB2ACwAIAAgACAAIAAgACAAIAAgACAAIABUAE8AQwBPAEwAKAB2AGUAYwB0AG8AcgBfADEAKQAsAFwAbgAgACAAIAAgAHYAgiAsACAAIAAgACAAIAAgACAAIAAgAFQATwBDAE8ATAAoAHYAZQBjAHQAbwByAF8AMgApACwAXABuAFwAbgAgACAAIAAgAC8ALwAgAEUAbABlAG0AZQBuAHQAIABjAG8AdQBuAHQAcwBcAG4AIAAgACAAIABrACwAIAAgACAAIAAgACAAIAAgACAAIABDAE8AVQBOAFQAQQAoAHYAKQAsAFwAbgAgACAAIAAgAGsAgiAsACAAIAAgACAAIAAgACAAIAAgAEMATwBVAE4AVABBACgAdgCCICkALABcAG4AXABuACAAIAAgACAALwAvACAASABhAGwAdABpAG4AZwAgAHMAYwBlAG4AYQByAGkAbwBzAFwAbgAgACAAIAAgAEkAcwAyAEQASQBuAHAAdQB0AD8ALAAgAE8AUgAoAEEATgBEACgAUgBPAFcAUwAoAHYAZQBjAHQAbwByAF8AMQApAD4AMQAsACAAQwBPAEwAVQBNAE4AUwAoAHYAZQBjAHQAbwByAF8AMQApAD4AMQApACwAXABuACAAIAAgACAAIAAgACAAIAAgACAAIAAgACAAIAAgACAAIAAgACAAQQBOAEQAKABSAE8AVwBTACgAdgBlAGMAdABvAHIAXwAyACkAPgAxACwAIABDAE8ATABVAE0ATgBTACgAdgBlAGMAdABvAHIAXwAyACkAPgAxACkAKQAsAFwAbgBcAG4AIAAgACAAIABJAHMAMgBCAGkAZwA/ACwAIAAgACAAIABrACAAKgAgAGsAgiAgAD4AIAAxADAAMAAwADAAMAAwACwAXABuAFwAbgBJAEYAKABJAHMAMgBEAEkAbgBwAHUAdAA/ACwAIAAgACMAVgBBAEwAVQBFACEALABcAG4AXABuACAAIAAgACAASQBGACgASQBzADIAQgBpAGcAPwAsACAAIAAgACAAIAAjAE4AVQBNACEALABcAG4AXABuAEwARQBUACgAXABuACAAIAAgACAALwAvACAAQwBhAHIAdABlAHMAaQBhAG4AIABlAHgAcABhAG4AcwBpAG8AbgBcAG4AIAAgACAAIAB4ACwAIAAgACAAIAAgACAARQBjAGgAbwC7AygAdgAsACAAawCCICkALABcAG4AIAAgACAAIAB5ACwAIAAgACAAIAAgACAAUgBlAHMAaQB6AGUAuwMoAHYAgiAsACAAawApACwAXABuACAAIAAgACAAcABhAGkAcgBzACwAIAAgAEgAUwBUAEEAQwBLACgAeAAsACAAeQApACwAXABuAFwAbgAgACAAIAAgAHAAYQBpAHIAcwBcAG4AIAAgACAAIABcAG4AKQApACkAKQApADsAXABuAFwAbgBcAG4AXABuAC8AKgAgAFsARwBSADAANwBdACAALQAtAC0ALQAtAC0ALQAtAC0ALQAtAC0ALQAtAC0ALQAtAC0ALQAtAC0ALQAtAC0ALQAtAC0ALQAtAC0ALQAtAC0ALQAtAC0ALQAtAC0ALQAtAC0ALQAtAC0ALQAtAC0ALQAtAC0ALQAtAC0ALQAtAC0ALQAtAC0ALQAtAC0ALQAtAC0ALQAtAC0ALQAtAC0ALQBcAG4ARgB1AG4AYwB0AGkAbwBuADoAIAAgACAAIAAgAEcAcgBvAHUAcABiAHkAQgBpAG4AuwNcAG4AQwBhAHQAZQBnAG8AcgB5ADoAIAAgACAAIAAgAEcAcgBpAGQAIABBAG4AYQBsAHkAdABpAGMAcwAgACgAQwBhAHQAZQBnAG8AcgBpAGMAYQBsACAAQQBuAGEAbAB5AHMAaQBzACkAXABuAEEAdQB0AGgAbwByADoAIAAgACAAIAAgACAAIABQAGEAdAByAGkAYwBrACAASAAuAFwAbgBWAGUAcgBzAGkAbwBuADoAIAAgACAAIAAgACAAMQAuADEAXABuAFwAbgBEAGUAcwBjAHIAaQBwAHQAaQBvAG4AOgBcAG4AIAAgACAAIABBAGcAZwByAGUAZwBhAHQAZQBzACAAbwBuAGUAIABvAHIAIABtAG8AcgBlACAAdgBhAGwAdQBlACAAYQByAHIAYQB5AHMAIABpAG4AdABvACAAZgBpAHgAZQBkABEgdwBpAGQAdABoACAAYgBpAG4AcwAgAGQAZQByAGkAdgBlAGQAIABmAHIAbwBtACAAYQBcAG4AIAAgACAAIABuAHUAbQBlAHIAaQBjACAAZgBpAGUAbABkAC4AIABTAHUAcABwAG8AcgB0AHMAIABvAHAAdABpAG8AbgBhAGwAIABoAGUAYQBkAGUAcgBzACAAYQBuAGQAIABjAGgAYQByAHQAESByAGUAYQBkAHkAIABvAHUAdABwAHUAdAAuACAAQgBpAG4AcwAgAGEAcgBlAFwAbgAgACAAIAAgAGQAZQBmAGkAbgBlAGQAIABiAHkAIABhACAAbgB1AG0AZQByAGkAYwAgAGEAcgByAGEAeQAgAGEAbgBkACAAYQAgAHAAbwBzAGkAdABpAHYAZQAgAGkAbgB0AGUAZwBlAHIAIABiAGkAbgBfAHcAaQBkAHQAaAAuAFwAbgBcAG4AUABhAHIAYQBtAGUAdABlAHIAcwA6AFwAbgAgACAAIAAgAGEAcgByAGEAeQAgACAAIAAgACAAIAAgACAAIAAgACAALQAgAE4AdQBtAGUAcgBpAGMAIAAxAEQAIABhAHIAcgBhAHkAIAB1AHMAZQBkACAAdABvACAAZABlAGYAaQBuAGUAIABiAGkAbgAgAGIAbwB1AG4AZABhAHIAaQBlAHMALgBcAG4AIAAgACAAIAB2AGEAbAB1AGUAcwAgACAAIAAgACAAIAAgACAAIAAgAC0AIABBAHIAcgBhAHkAKABzACkAIAB0AG8AIABiAGUAIABhAGcAZwByAGUAZwBhAHQAZQBkACAAKAAxAEQAIABvAHIAIAAyAEQAKQAuAFwAbgAgACAAIAAgAGIAaQBuAF8AdwBpAGQAdABoACAAIAAgACAAIAAgACAALQAgAFAAbwBzAGkAdABpAHYAZQAgAGkAbgB0AGUAZwBlAHIAIABzAHAAZQBjAGkAZgB5AGkAbgBnACAAYgBpAG4AIAB3AGkAZAB0AGgAIAAoAGUiIAAxACkALgBcAG4AIAAgACAAIABmAHUAbgBjAHQAaQBvAG4AIAAgACAAIAAgACAAIAAgAC0AIABFAFQAQQARIGMAbwBtAHAAYQB0AGkAYgBsAGUAIABmAHUAbgBjAHQAaQBvAG4AIABvAHIAIABzAGkAbgBnAGwAZQARIHAAYQByAGEAbQBlAHQAZQByACAATABBAE0AQgBEAEEALgBcAG4AXABuAE8AcAB0AGkAbwBuAGEAbAA6AFwAbgAgACAAIAAgAFsAZgBpAGUAbABkAF8AaABlAGEAZABlAHIAXQAgACAALQAgAFQAUgBVAEUAIABpAGYAIABpAG4AcAB1AHQAIABhAHIAcgBhAHkAcwAgAGkAbgBjAGwAdQBkAGUAIABoAGUAYQBkAGUAcgBzACAAdABvACAAYgBlACAAYwBhAHIAcgBpAGUAZAAgAGYAbwByAHcAYQByAGQALgBcAG4AIAAgACAAIABbAGMAaABhAHIAdABfAHAAcgBlAHAAXQAgACAAIAAgAC0AIABUAFIAVQBFACAAdABvACAAcgBlAHQAdQByAG4AIABhACAAYwBvAG4AYwBpAHMAZQAgAGMAaABhAHIAdAARIHIAZQBhAGQAeQAgAGwAYQB5AG8AdQB0AC4AXABuAFwAbgBOAG8AdABlAHMAOgBcAG4AIAAgACAAIAAiICAAYgBpAG4AXwB3AGkAZAB0AGgAIAA9ACAAMQAgAJIhIABiAGUAaABhAHYAZQBzACAAbABpAGsAZQAgAEcAUgBPAFUAUABCAFkAIAAoAG4AbwAgAGIAaQBuAG4AaQBuAGcAKQAuAFwAbgAgACAAIAAgACIgIABiAGkAbgBfAHcAaQBkAHQAaAAgAGUiIAAoAG0AYQB4ACAAEiIgAG0AaQBuACkAIACSISAAYwBvAGwAbABhAHAAcwBlAHMAIAB0AG8AIABhACAAcwBpAG4AZwBsAGUAIABiAGkAbgAuAFwAbgAgACAAIAAgACIgIABDAGgAYQByAHQAIABtAG8AZABlACAAcgBlAHQAdQByAG4AcwAgAHsAXAAiAEIAaQBuAFwAIgAsAFwAIgBBAGcAZwByAGUAZwBhAHQAZQBcACIAfQAgAGYAbwByACAAZQBhAHMAeQAgAHAAbABvAHQAdABpAG4AZwAuAFwAbgAtAC0ALQAtAC0ALQAtAC0ALQAtAC0ALQAtAC0ALQAtAC0ALQAtAC0ALQAtAC0ALQAtAC0ALQAtAC0ALQAtAC0ALQAtAC0ALQAtAC0ALQAtAC0ALQAtAC0ALQAtAC0ALQAtAC0ALQAtAC0ALQAtAC0ALQAtAC0ALQAtAC0ALQAtAC0ALQAtAC0ALQAtAC0ALQAtAC0ALQAtAC0ALQAqAC8AXABuAFwAbgBHAHIAbwB1AHAAYgB5AEIAaQBuALsDIAA9AFwAbgBMAEEATQBCAEQAQQAoAFwAbgAgACAAIAAgAGEAcgByAGEAeQAsAFwAbgAgACAAIAAgAHYAYQBsAHUAZQBzACwAXABuACAAIAAgACAAYgBpAG4AXwB3AGkAZAB0AGgALABcAG4AIAAgACAAIABmAHUAbgBjAHQAaQBvAG4ALABcAG4AIAAgACAAIABbAGYAaQBlAGwAZABfAGgAZQBhAGQAZQByAF0ALABcAG4AIAAgACAAIABbAGMAaABhAHIAdABfAHAAcgBlAHAAXQAsAFwAbgBMAEUAVAAoAFwAbgAgACAAIAAgAC8ALwAgAEQAaQBtAGUAbgBzAGkAbwBuAHMAXABuACAAIAAgACAAaQAsACAAIAAgACAAIAAgACAAIAAgACAAIAAgACAAIAAgACAAIAAgAFIATwBXAFMAKABhAHIAcgBhAHkAKQAsAFwAbgAgACAAIAAgAGoALAAgACAAIAAgACAAIAAgACAAIAAgACAAIAAgACAAIAAgACAAIABDAE8ATABVAE0ATgBTACgAYQByAHIAYQB5ACkALABcAG4AIAAgACAAIABpAF8ALAAgACAAIAAgACAAIAAgACAAIAAgACAAIAAgACAAIAAgACAAUgBPAFcAUwAoAHYAYQBsAHUAZQBzACkALABcAG4AIAAgACAAIABqAF8ALAAgACAAIAAgACAAIAAgACAAIAAgACAAIAAgACAAIAAgACAAQwBPAEwAVQBNAE4AUwAoAHYAYQBsAHUAZQBzACkALABcAG4AXABuACAAIAAgACAALwAvACAASABlAGEAZABlAHIAIABmAGwAYQBnAFwAbgAgACAAIAAgAEgAZQBhAGQAZQByAHMAPwAsACAAIAAgACAAIAAgACAAIAAgACAAIABOAE8AVAAoAEkAUwBPAE0ASQBUAFQARQBEACgAZgBpAGUAbABkAF8AaABlAGEAZABlAHIAKQApACwAXABuAFwAbgAgACAAIAAgAC8ALwAgAEgAYQBsAHQAaQBuAGcAIABjAG8AbgBkAGkAdABpAG8AbgBzAFwAbgAgACAAIAAgAEkAcwAyAEQAPwAsACAAIAAgACAAIAAgACAAIAAgACAAIAAgACAAIABBAE4ARAAoAGkAIAA+ACAAMQAsACAAagAgAD4AIAAxACkALABcAG4AIAAgACAAIABTAGgAYQBwAGUATQBpAHMAbQBhAHQAYwBoAD8ALAAgACAAIAAgACAAaQAgADwAPgAgAGkAXwAsAFwAbgAgACAAIAAgAEkAbgB2AGEAbABpAGQAQgBpAG4APwAsACAAIAAgACAAIAAgACAAIABPAFIAKABJAFMAVABFAFgAVAAoAGIAaQBuAF8AdwBpAGQAdABoACkALAAgAGIAaQBuAF8AdwBpAGQAdABoACAAPAAgADEAKQAsAFwAbgAgACAAIAAgAEkAbgB2AGEAbABpAGQARgBuAD8ALAAgACAAIAAgACAAIAAgACAAIABUAFkAUABFACgAZgB1AG4AYwB0AGkAbwBuACkAIAA8AD4AIAAxADIAOAAsAFwAbgAgACAAIAAgAE4AbwBuAE4AdQBtAGUAcgBpAGMAPwAsACAAIAAgACAAIAAgACAAIABOAE8AVAAoAEEATgBEACgASQBTAE4AVQBNAEIARQBSACgASQBGACgASABlAGEAZABlAHIAcwA/ACwAIABEAFIATwBQACgAYQByAHIAYQB5ACwAIAAxACkALAAgAGEAcgByAGEAeQApACkAKQApACwAXABuAFwAbgAgACAAIAAgAC8ALwAgAEwAbwBnAGkAYwAgAGcAYQB0AGUAXABuACAAIAAgACAASQBGACgASQBzADIARAA/ACwAIAAgACAAIAAgACAAIAAgACAAIAAgACAAIABcACIAIwAxAEQALQBBAFIAUgBBAFkAIQBcACIALABcAG4AXABuACAAIAAgACAAIAAgACAAIABJAEYAKABTAGgAYQBwAGUATQBpAHMAbQBhAHQAYwBoAD8ALAAgAFwAIgAjAEQASQBNAEUATgBTAEkATwBOAFMAIQBcACIALABcAG4AXABuACAAIAAgACAAIAAgACAAIAAgACAAIAAgAEkARgAoAE4AbwBuAE4AdQBtAGUAcgBpAGMAPwAsACAAXAAiACMATgBVAE0AIQBcACIALABcAG4AXABuACAAIAAgACAAIAAgACAAIAAgACAAIAAgACAAIAAgACAASQBGACgASQBuAHYAYQBsAGkAZABCAGkAbgA/ACwAIABcACIAIwBCAEkATgAtAFcASQBEAFQASAAhAFwAIgAsAFwAbgBcAG4AIAAgACAAIAAgACAAIAAgACAAIAAgACAAIAAgACAAIAAgACAAIAAgAEkARgAoAEkAbgB2AGEAbABpAGQARgBuAD8ALAAgAFwAIgAjAEkATgBWAEEATABJAEQALQBGAFUATgBDAFQASQBPAE4AIQBcACIALABcAG4AXABuAEwARQBUACgAXABuACAAIAAgACAALwAvACAATwBwAHQAaQBvAG4AYQBsACAAZgBsAGEAZwBzAFwAbgAgACAAIAAgAE4AbwBDAGgAYQByAHQAPwAsACAAIAAgACAAIAAgACAAIAAgACAAIABJAFMATwBNAEkAVABUAEUARAAoAGMAaABhAHIAdABfAHAAcgBlAHAAKQAsAFwAbgBcAG4AIAAgACAAIAAvAC8AIABTAHQAcgBpAHAAIABoAGUAYQBkAGUAcgBzACAAaQBmACAAcAByAGUAcwBlAG4AdABcAG4AIAAgACAAIABhAHIAcgAsACAAIAAgACAAIAAgACAAIAAgACAAIAAgACAAIAAgACAASQBGACgASABlAGEAZABlAHIAcwA/ACwAIABEAFIATwBQACgAYQByAHIAYQB5ACwAIAAxACkALAAgAGEAcgByAGEAeQApACwAXABuACAAIAAgACAAdgBhAGwALAAgACAAIAAgACAAIAAgACAAIAAgACAAIAAgACAAIAAgAEkARgAoAEgAZQBhAGQAZQByAHMAPwAsACAARABSAE8AUAAoAHYAYQBsAHUAZQBzACwAIAAxACkALAAgAHYAYQBsAHUAZQBzACkALABcAG4AXABuACAAIAAgACAALwAvACAASABlAGEAZABlAHIAIABjAG8AbgBzAHQAcgB1AGMAdABpAG8AbgBcAG4AIAAgACAAIAByAG8AdwBfAGgAZQBhAGQAZQByACwAIAAgACAAIAAgACAAIAAgACAASABTAFQAQQBDAEsAKABcACIAQgBpAG4AIABTAHQAYQByAHQAIABcACIAIAAmACAASQBGACgASABlAGEAZABlAHIAcwA/ACwAIABUAEEASwBFACgAYQByAHIAYQB5ACwAIAAxACkALAAgAFwAIgBcACIAKQAgACYAIABcACIAIABWAGEAbAB1AGUAXAAiACwAXAAiAEIAaQBuACAARQBuAGQAXAAiACkALABcAG4AIAAgACAAIAB2AGEAbABfAGgAZQBhAGQAZQByACwAIAAgACAAIAAgACAAIAAgACAARQBYAFAAQQBOAEQAKABJAEYAKABIAGUAYQBkAGUAcgBzAD8ALAAgAFQAQQBLAEUAKAB2AGEAbAB1AGUAcwAsACAAMQApACwAIABcACIAVABvAHQAYQBsAFwAIgApACwALABqAF8ALABcACIAXAAiACkALABcAG4AIAAgACAAIABoAGUAYQBkAGUAcgAsACAAIAAgACAAIAAgACAAIAAgACAAIAAgACAASABTAFQAQQBDAEsAKAByAG8AdwBfAGgAZQBhAGQAZQByACwAIAB2AGEAbABfAGgAZQBhAGQAZQByACkALABcAG4AXABuACAAIAAgACAALwAvACAAQgBpAG4AIABiAG8AdQBuAGQAYQByAGkAZQBzAFwAbgAgACAAIAAgAG0AaQBuACwAIAAgACAAIAAgACAAIAAgACAAIAAgACAAIAAgACAAIABNAEkATgAoAGEAcgByACkALABcAG4AIAAgACAAIABzAHQAYQByAHQALAAgACAAIAAgACAAIAAgACAAIAAgACAAIAAgACAARgBMAE8ATwBSACgAbQBpAG4ALAAgAGIAaQBuAF8AdwBpAGQAdABoACkALABcAG4AXABuACAAIAAgACAAbQBhAHgALAAgACAAIAAgACAAIAAgACAAIAAgACAAIAAgACAAIAAgAE0AQQBYACgAYQByAHIAKQAsAFwAbgAgACAAIAAgAGUAbgBkACwAIAAgACAAIAAgACAAIAAgACAAIAAgACAAIAAgACAAIABDAEUASQBMAEkATgBHACgAbQBhAHgALAAgAGIAaQBuAF8AdwBpAGQAdABoACkALABcAG4AXABuACAAIAAgACAAawAsACAAIAAgACAAIAAgACAAIAAgACAAIAAgACAAIAAgACAAIAAgACgAZQBuAGQAIAAtACAAcwB0AGEAcgB0ACkAIAAvACAAYgBpAG4AXwB3AGkAZAB0AGgALABcAG4AXABuACAAIAAgACAAYgBpAG4ALAAgACAAIAAgACAAIAAgACAAIAAgACAAIAAgACAAIAAgAFMARQBRAFUARQBOAEMARQAoAGsAIAArACAAMQAsACAALAAgAHMAdABhAHIAdAAsACAAYgBpAG4AXwB3AGkAZAB0AGgAKQAsAFwAbgAgACAAIAAgAGIAaQBuAF8AcwB0AGEAcgB0ACwAIAAgACAAIAAgACAAIAAgACAAIABEAFIATwBQACgAYgBpAG4ALAAgAC0AMQApACwAXABuACAAIAAgACAAYgBpAG4AXwBlAG4AZAAsACAAIAAgACAAIAAgACAAIAAgACAAIAAgAEQAUgBPAFAAKABiAGkAbgAsACAAMQApACwAXABuAFwAbgAgACAAIAAgAC8ALwAgAEIAaQBuACAAYQBzAHMAaQBnAG4AbQBlAG4AdABcAG4AIAAgACAAIABpAGQAeAAsACAAIAAgACAAIAAgACAAIAAgACAAIAAgACAAIAAgACAAWABNAEEAVABDAEgAKABhAHIAcgAsACAAYgBpAG4AXwBzAHQAYQByAHQALAAgAC0AMQApACwAXABuACAAIAAgACAAcgBvAHcAXwBzAHQAYQByAHQALAAgACAAIAAgACAAIAAgACAAIAAgAEkATgBEAEUAWAAoAGIAaQBuAF8AcwB0AGEAcgB0ACwAIABpAGQAeAApACwAXABuACAAIAAgACAAcgBvAHcAXwBlAG4AZAAsACAAIAAgACAAIAAgACAAIAAgACAAIAAgAEkATgBEAEUAWAAoAGIAaQBuAF8AZQBuAGQALAAgAGkAZAB4ACkALABcAG4AIAAgACAAIAByAG8AdwBfAGYAaQBlAGwAZABzACwAIAAgACAAIAAgACAAIAAgACAASABTAFQAQQBDAEsAKAByAG8AdwBfAHMAdABhAHIAdAAsACAAcgBvAHcAXwBlAG4AZAApACwAXABuAFwAbgAgACAAIAAgAC8ALwAgAEEAZwBnAHIAZQBnAGEAdABpAG8AbgBcAG4AIAAgACAAIABhAGcAZwAsACAAIAAgACAAIAAgACAAIAAgACAAIAAgACAAIAAgACAARwBSAE8AVQBQAEIAWQAoAHIAbwB3AF8AZgBpAGUAbABkAHMALAAgAHYAYQBsACwAIABmAHUAbgBjAHQAaQBvAG4ALAAgAEgAZQBhAGQAZQByAHMAPwAsACAAMAApACwAXABuAFwAbgAgACAAIAAgAC8ALwAgAEMAaABhAHIAdAAgAHAAcgBlAHAAXABuACAAIAAgACAAYQAsACAAIAAgACAAIAAgACAAIAAgACAAIAAgACAAIAAgACAAIAAgAEMASABPAE8AUwBFAEMATwBMAFMAKABhAGcAZwAsACAAMQApACAAJgAgAFwAIgAgAC0AIAA8AFwAIgAgACYAIABDAEgATwBPAFMARQBDAE8ATABTACgAYQBnAGcALAAgADIAKQAsAFwAbgAgACAAIAAgAGIALAAgACAAIAAgACAAIAAgACAAIAAgACAAIAAgACAAIAAgACAAIABEAFIATwBQACgAYQBnAGcALAAgACwAIAAyACkALABcAG4AIAAgACAAIABjAGgAYQByAHQAXwBsAGEAYgBlAGwAcwAsACAAIAAgACAAIAAgACAAewBcACIAQgBpAG4AXAAiACwAIABcACIAQQBnAGcAcgBlAGcAYQB0AGUAXAAiAH0ALABcAG4AXABuACAAIAAgACAALwAvACAAUgBlAHQAdQByAG4AIABtAG8AZABlAHMAXABuACAAIAAgACAAZABhAHQAYQAsACAAIAAgACAAIAAgACAAIAAgACAAIAAgACAAIAAgAFYAUwBUAEEAQwBLACgAaABlAGEAZABlAHIALAAgAGEAZwBnACkALABcAG4AIAAgACAAIABjAGgAYQByAHQALAAgACAAIAAgACAAIAAgACAAIAAgACAAIAAgACAAVgBTAFQAQQBDAEsAKABjAGgAYQByAHQAXwBsAGEAYgBlAGwAcwAsACAASABTAFQAQQBDAEsAKABhACwAIABiACkAKQAsAFwAbgBcAG4AIAAgACAAIABkAGUAbABpAHYAZQByAHkALAAgACAAIAAgACAAIAAgACAAIAAgACAASQBGACgATgBvAEMAaABhAHIAdAA/ACwAIABkAGEAdABhACwAIABjAGgAYQByAHQAKQAsAFwAbgAgACAAIAAgAGQAZQBsAGkAdgBlAHIAeQBcAG4AKQApACkAKQApACkAKQApADsAXABuAFwAbgBcAG4AXABuAC8AKgAgAFsARwBSADAAOABdACAALQAtAC0ALQAtAC0ALQAtAC0ALQAtAC0ALQAtAC0ALQAtAC0ALQAtAC0ALQAtAC0ALQAtAC0ALQAtAC0ALQAtAC0ALQAtAC0ALQAtAC0ALQAtAC0ALQAtAC0ALQAtAC0ALQAtAC0ALQAtAC0ALQAtAC0ALQAtAC0ALQAtAC0ALQAtAC0ALQAtAC0ALQAtAC0ALQBcAG4ARgB1AG4AYwB0AGkAbwBuADoAIAAgACAAIAAgAEcAcgBvAHUAcABiAHkARABhAHQAZQC7A1wAbgBDAGEAdABlAGcAbwByAHkAOgAgACAAIAAgACAARwByAGkAZAAgAEEAbgBhAGwAeQB0AGkAYwBzACAAKABDAGEAdABlAGcAbwByAGkAYwBhAGwAIABBAG4AYQBsAHkAcwBpAHMAKQBcAG4AQQB1AHQAaABvAHIAOgAgACAAIAAgACAAIAAgAFAAYQB0AHIAaQBjAGsAIABIAC4AXABuAFYAZQByAHMAaQBvAG4AOgAgACAAIAAgACAAIAAxAC4AMQBcAG4ARABlAHAAZQBuAGQAZQBuAGMAaQBlAHMAOgAgAFYAYQBsAGkAZABhAHQAZQBHAEQAuwNcAG4AXABuAEQAZQBzAGMAcgBpAHAAdABpAG8AbgA6AFwAbgAgACAAIAAgAEEAZwBnAHIAZQBnAGEAdABlAHMAIAB2AGEAbAB1AGUAcwAgAGIAeQAgAHIAbwB3ACAAZgBpAGUAbABkAHMAIABjAG8AbgB0AGEAaQBuAGkAbgBnACAAZABhAHQAZQBzACwAIAB1AHMAaQBuAGcAIABhACAAcwBwAGUAYwBpAGYAaQBlAGQAXABuACAAIAAgACAAZABhAHQAZQAvAHQAaQBtAGUAIABpAG4AdABlAHIAdgBhAGwAIAAoAG0AaQBuAHUAdABlACwAIABoAG8AdQByACwAIABkAGEAeQAsACAAdwBlAGUAawAsACAAZgBvAHIAdABuAGkAZwBoAHQALAAgAG0AbwBuAHQAaAAsACAAcQB1AGEAcgB0AGUAcgAsAFwAbgAgACAAIAAgAHkAZQBhAHIAKQAuACAAUwB1AHAAcABvAHIAdABzACAAbwBwAHQAaQBvAG4AYQBsACAAaABlAGEAZABlAHIAcwAsACAAYwB1AHMAdABvAG0AIABmAG8AcgBtAGEAdAB0AGkAbgBnACwAIABhAG4AZAAgAHIAbwB3ACAAZgBpAGwAdABlAHIAaQBuAGcALgBcAG4AXABuAFAAYQByAGEAbQBlAHQAZQByAHMAOgBcAG4AIAAgACAAIAByAG8AdwBfAGYAaQBlAGwAZABzACAAIAAgACAAIAAgAC0AIABBAHIAcgBhAHkAIAAoADEARAAgAG8AcgAgADIARAApACAAdwBpAHQAaAAgAGQAYQB0AGUAcwAgAGkAbgAgAHQAaABlACAAbABlAGYAdABtAG8AcwB0ACAAYwBvAGwAdQBtAG4ALgBcAG4AIAAgACAAIAB2AGEAbAB1AGUAcwAgACAAIAAgACAAIAAgACAAIAAgAC0AIABBAHIAcgBhAHkAIAAoADEARAAgAG8AcgAgADIARAApACAAYwBvAG4AdABhAGkAbgBpAG4AZwAgAHYAYQBsAHUAZQBzACAAZgBvAHIAIABhAGcAZwByAGUAZwBhAHQAaQBvAG4ALgBcAG4AIAAgACAAIABpAG4AdABlAHIAdgBhAGwAIAAgACAAIAAgACAAIAAgAC0AIABEAGEAdABlAC8AdABpAG0AZQAgAGEAZwBnAHIAZQBnAGEAdABpAG8AbgAgAGkAbgB0AGUAcgB2AGEAbAAgACgAbgB1AG0AYgBlAHIAIABvAHIAIAB0AGUAeAB0ACkALgBcAG4AIAAgACAAIABmAHUAbgBjAHQAaQBvAG4AIAAgACAAIAAgACAAIAAgAC0AIABFAFQAQQARIGMAbwBtAHAAYQB0AGkAYgBsAGUAIABmAHUAbgBjAHQAaQBvAG4AIABvAHIAIABzAGkAbgBnAGwAZQARIHAAYQByAGEAbQBlAHQAZQByACAATABBAE0AQgBEAEEALgBcAG4AXABuAE8AcAB0AGkAbwBuAGEAbAA6AFwAbgAgACAAIAAgAFsAZgBvAHIAbQBhAHQAXQAgACAAIAAgACAAIAAgACAALQAgAEMAdQBzAHQAbwBtACAAZABhAHQAZQAvAHQAaQBtAGUAIABmAG8AcgBtAGEAdAAgAHMAdAByAGkAbgBnAC4AXABuACAAIAAgACAAWwBmAGkAZQBsAGQAXwBoAGUAYQBkAGUAcgBzAF0AIAAtACAAVABSAFUARQAgAGkAZgAgAGkAbgBwAHUAdAAgAGEAcgByAGEAeQBzACAAaQBuAGMAbAB1AGQAZQAgAGgAZQBhAGQAZQByAHMALgBcAG4AIAAgACAAIABbAGYAaQBsAHQAZQByAF8AYQByAHIAYQB5AF0AIAAgAC0AIABCAG8AbwBsAGUAYQBuACAAYQByAHIAYQB5ACAAdABvACAAZgBpAGwAdABlAHIAIAByAG8AdwBzACAAYgBlAGYAbwByAGUAIABhAGcAZwByAGUAZwBhAHQAaQBvAG4ALgBcAG4ALQAtAC0ALQAtAC0ALQAtAC0ALQAtAC0ALQAtAC0ALQAtAC0ALQAtAC0ALQAtAC0ALQAtAC0ALQAtAC0ALQAtAC0ALQAtAC0ALQAtAC0ALQAtAC0ALQAtAC0ALQAtAC0ALQAtAC0ALQAtAC0ALQAtAC0ALQAtAC0ALQAtAC0ALQAtAC0ALQAtAC0ALQAtAC0ALQAtAC0ALQAtAC0AKgAvAFwAbgBcAG4ARwByAG8AdQBwAGIAeQBEAGEAdABlALsDIAA9AFwAbgBMAEEATQBCAEQAQQAoAFwAbgAgACAAIAAgAHIAbwB3AF8AZgBpAGUAbABkAHMALABcAG4AIAAgACAAIAB2AGEAbAB1AGUAcwAsAFwAbgAgACAAIAAgAGkAbgB0AGUAcgB2AGEAbAAsAFwAbgAgACAAIAAgAGYAdQBuAGMAdABpAG8AbgAsAFwAbgAgACAAIAAgAFsAZgBvAHIAbQBhAHQAXQAsAFwAbgAgACAAIAAgAFsAZgBpAGUAbABkAF8AaABlAGEAZABlAHIAcwBdACwAXABuACAAIAAgACAAWwBmAGkAbAB0AGUAcgBfAGEAcgByAGEAeQBdACwAXABuAFwAbgBWAGEAbABpAGQAYQB0AGUARwBEALsDKAByAG8AdwBfAGYAaQBlAGwAZABzACwAIAB2AGEAbAB1AGUAcwAsACAAaQBuAHQAZQByAHYAYQBsACwAIABmAHUAbgBjAHQAaQBvAG4ALAAgAGYAaQBlAGwAZABfAGgAZQBhAGQAZQByAHMALAAgAGYAaQBsAHQAZQByAF8AYQByAHIAYQB5ACwAXABuAFwAbgBMAEUAVAAoAFwAbgAgACAAIAAgAC8ALwAgAEkAbgB0AGUAcgB2AGEAbAAgAG4AbwByAG0AYQBsAGkAegBhAHQAaQBvAG4AXABuACAAIAAgACAATgB1AG0ASQBuAHQAZQByAHYAYQBsAD8ALAAgACAAIAAgACAAIAAgAE4ATwBUACgASQBTAFQARQBYAFQAKABpAG4AdABlAHIAdgBhAGwAKQApACwAXABuAFwAbgAgACAAIAAgAGMAbwBuAHMAdAAsACAAIAAgACAAIAAgACAAIAAgACAAIAAgACAAIAB7AFwAIgBtAGkAbgB1AHQAZQBcACIAOwBcACIAaABvAHUAcgBcACIAOwBcACIAZABhAHkAXAAiADsAXAAiAHcAZQBlAGsAXAAiADsAXABuACAAIAAgACAAIAAgACAAIAAgACAAIAAgACAAIAAgACAAIAAgACAAIAAgACAAIAAgACAAXAAiAGYAbwByAHQAbgBpAGcAaAB0AFwAIgA7AFwAIgBtAG8AbgB0AGgAXAAiADsAXAAiAHEAdQBhAHIAdABlAHIAXAAiADsAXAAiAHkAZQBhAHIAXAAiAH0ALABcAG4AXABuACAAIAAgACAAaQBuAHQAZQByAHYAYQBsACwAIAAgACAAIAAgACAAIAAgACAAIAAgAEkARgAoAE4AdQBtAEkAbgB0AGUAcgB2AGEAbAA/ACwAaQBuAHQAZQByAHYAYQBsACwAXABuACAAIAAgACAAIAAgACAAIAAgACAAIAAgACAAIAAgACAAIAAgACAAIAAgACAAIAAgACAAIAAgACAAWABNAEEAVABDAEgAKABMAE8AVwBFAFIAKABpAG4AdABlAHIAdgBhAGwAKQAgACYAIABcACIAKgBcACIALAAgAGMAbwBuAHMAdAAsACAAMgApACkALABcAG4AXABuACAAIAAgACAASQBuAGMAbAB1AGQAZQBzAF8AZQBuAGQAPwAsACAAIAAgACAAIAAgACgAaQBuAHQAZQByAHYAYQBsACAAPQAgADQAKQAgACsAIAAoAGkAbgB0AGUAcgB2AGEAbAAgAD0AIAA1ACkALABcAG4AXABuACAAIAAgACAAdQBuAGkAdAAsACAAIAAgACAAIAAgACAAIAAgACAAIAAgACAAIAAgAEMASABPAE8AUwBFACgAaQBuAHQAZQByAHYAYQBsACwAIAAxADQANAAwACwAIAAyADQALAAgADEALAAgADEALAAgADEALAAgADEALAAgADEALAAgADEAKQAsAFwAbgBcAG4AIAAgACAAIAAvAC8AIABPAHAAdABpAG8AbgBhAGwAIABwAGEAcgBhAG0AZQB0AGUAcgBzAFwAbgAgACAAIAAgAE4AbwBGAG8AcgBtAGEAdAA/ACwAIAAgACAAIAAgACAAIAAgACAAIABJAFMATwBNAEkAVABUAEUARAAoAGYAbwByAG0AYQB0ACkALABcAG4AIAAgACAAIABIAGUAYQBkAGUAcgA/ACwAIAAgACAAIAAgACAAIAAgACAAIAAgACAATgBPAFQAKABJAFMATwBNAEkAVABUAEUARAAoAGYAaQBlAGwAZABfAGgAZQBhAGQAZQByAHMAKQApACwAXABuACAAIAAgACAARgBpAGwAdABlAHIAPwAsACAAIAAgACAAIAAgACAAIAAgACAAIAAgAE4ATwBUACgASQBTAE8ATQBJAFQAVABFAEQAKABmAGkAbAB0AGUAcgBfAGEAcgByAGEAeQApACkALABcAG4AXABuACAAIAAgACAALwAvACAARABhAHQAZQAgAHYAZQBjAHQAbwByACAAZgByAG8AbQAgAHIAbwB3AF8AZgBpAGUAbABkAHMAXABuACAAIAAgACAAZABhAHQAZQBfAGMAbwBsACwAIAAgACAAIAAgACAAIAAgACAAIAAgAEkARgAoAEgAZQBhAGQAZQByAD8ALABcAG4AIAAgACAAIAAgACAAIAAgACAAIAAgACAAIAAgACAAIAAgACAAIAAgACAAIAAgACAAIAAgACAAIABEAFIATwBQACgAVABBAEsARQAoAHIAbwB3AF8AZgBpAGUAbABkAHMALAAgACwAIAAxACkALAAgADEAKQAsAFwAbgAgACAAIAAgACAAIAAgACAAIAAgACAAIAAgACAAIAAgACAAIAAgACAAIAAgACAAIAAgACAAIAAgAFQAQQBLAEUAKAByAG8AdwBfAGYAaQBlAGwAZABzACwAIAAsACAAMQApACkALABcAG4AXABuACAAIAAgACAAZABhAHQAZQBzACwAIAAgACAAIAAgACAAIAAgACAAIAAgACAAIAAgAEkARgAoAGkAbgB0AGUAcgB2AGEAbAAgADwAIAAzACwAXABuACAAIAAgACAAIAAgACAAIAAgACAAIAAgACAAIAAgACAAIAAgACAAIAAgACAAIAAgACAAIAAgACAAUgBPAFUATgBEACgAZABhAHQAZQBfAGMAbwBsACAAKgAgAHUAbgBpAHQALAAgADAAKQAgAC8AIAB1AG4AaQB0ACwAXABuACAAIAAgACAAIAAgACAAIAAgACAAIAAgACAAIAAgACAAIAAgACAAIAAgACAAIAAgACAAIAAgACAASQBOAFQAKABkAGEAdABlAF8AYwBvAGwAKQApACwAXABuAFwAbgAgACAAIAAgAHYAYQBsAHUAZQBzAF8AaABlAGEAZABlAHIALAAgACAAIAAgACAAIABUAEEASwBFACgAdgBhAGwAdQBlAHMALAAgADEAKQAsAFwAbgAgACAAIAAgAHYAYQBsAHUAZQBzACwAIAAgACAAIAAgACAAIAAgACAAIAAgACAAIABJAEYAKABIAGUAYQBkAGUAcgA/ACwAIABEAFIATwBQACgAdgBhAGwAdQBlAHMALAAgADEAKQAsACAAdgBhAGwAdQBlAHMAKQAsAFwAbgAgACAAIAAgAHIAbwB3AF8AZABlAHQAYQBpAGwAcwAsACAAIAAgACAAIAAgACAAIABEAFIATwBQACgARABSAE8AUAAoAHIAbwB3AF8AZgBpAGUAbABkAHMALAAgACwAIAAxACkALAAgAEgAZQBhAGQAZQByAD8AKQAsAFwAbgAgACAAIAAgAGYAaQBsAHQAZQByAF8AdQBzAGUAZAAsACAAIAAgACAAIAAgACAAIABJAEYAKABIAGUAYQBkAGUAcgA/ACAAKgAgAEYAaQBsAHQAZQByAD8ALABcAG4AIAAgACAAIAAgACAAIAAgACAAIAAgACAAIAAgACAAIAAgACAAIAAgACAAIAAgACAAIAAgACAAIABEAFIATwBQACgAZgBpAGwAdABlAHIAXwBhAHIAcgBhAHkALAAgADEAKQAsAFwAbgAgACAAIAAgACAAIAAgACAAIAAgACAAIAAgACAAIAAgACAAIAAgACAAIAAgACAAIAAgACAAIAAgAGYAaQBsAHQAZQByAF8AYQByAHIAYQB5ACkALABcAG4AXABuACAAIAAgACAALwAvACAAVwBpAGQAdABoAHMAXABuACAAIAAgACAAdwAsACAAIAAgACAAIAAgACAAIAAgACAAIAAgACAAIAAgACAAIAAgAEMATwBMAFUATQBOAFMAKAByAG8AdwBfAGYAaQBlAGwAZABzACkALABcAG4AIAAgACAAIAB3AF8ALAAgACAAIAAgACAAIAAgACAAIAAgACAAIAAgACAAIAAgACAAQwBPAEwAVQBNAE4AUwAoAHYAYQBsAHUAZQBzACkALABcAG4AIAAgACAAIABqACwAIAAgACAAIAAgACAAIAAgACAAIAAgACAAIAAgACAAIAAgACAAdwAgACsAIAB3AF8ALABcAG4AXABuACAAIAAgACAALwAvACAARABhAHQAZQAgAGIAbwB1AG4AZABzAFwAbgAgACAAIAAgAG0AaQBuACwAIAAgACAAIAAgACAAIAAgACAAIAAgACAAIAAgACAAIABJAE4AVAAoAE0ASQBOACgAZABhAHQAZQBzACkAKQAsAFwAbgAgACAAIAAgAG0AYQB4ACwAIAAgACAAIAAgACAAIAAgACAAIAAgACAAIAAgACAAIABJAE4AVAAoAE0AQQBYACgAZABhAHQAZQBzACkAKQAsAFwAbgAgACAAIAAgAG0ALAAgACAAIAAgACAAIAAgACAAIAAgACAAIAAgACAAIAAgACAAIABNAE8ATgBUAEgAKABtAGkAbgApACwAXABuACAAIAAgACAAZAAsACAAIAAgACAAIAAgACAAIAAgACAAIAAgACAAIAAgACAAIAAgAEQAQQBZACgAbQBpAG4AKQAsAFwAbgAgACAAIAAgAHkALAAgACAAIAAgACAAIAAgACAAIAAgACAAIAAgACAAIAAgACAAIABZAEUAQQBSACgAbQBpAG4AKQAsAFwAbgBcAG4AIAAgACAAIAAvAC8AIABUAGkAbQBlACAAbwBmACAAZgBpAHIAcwB0ACAAZABhAHQAZQBcAG4AIAAgACAAIABmAGkAcgBzAHQALAAgACAAIAAgACAAIAAgACAAIAAgACAAIAAgACAATQBJAE4AKABkAGEAdABlAHMAKQAsAFwAbgAgACAAIAAgAGwAYQBzAHQALAAgACAAIAAgACAAIAAgACAAIAAgACAAIAAgACAAIABNAEEAWAAoAGQAYQB0AGUAcwApACwAXABuACAAIAAgACAAaAByACwAIAAgACAAIAAgACAAIAAgACAAIAAgACAAIAAgACAAIAAgAEgATwBVAFIAKABmAGkAcgBzAHQAKQAsAFwAbgAgACAAIAAgAG0AbQAsACAAIAAgACAAIAAgACAAIAAgACAAIAAgACAAIAAgACAAIABNAEkATgBVAFQARQAoAGYAaQByAHMAdAApACwAXABuAFwAbgAgACAAIAAgAC8ALwAgAFIAYQBuAGcAZQBzAFwAbgAgACAAIAAgAHMAZQBjAG8AbgBkAHMALAAgACAAIAAgACAAIAAgACAAIAAgACAAIAAoAGwAYQBzAHQAIAAtACAAZgBpAHIAcwB0ACkAIAAqACAAOAA2ADQAMAAwACwAXABuACAAIAAgACAAbQBpAG4AdQB0AGUAcwAsACAAIAAgACAAIAAgACAAIAAgACAAIAAgAEMARQBJAEwASQBOAEcAKABzAGUAYwBvAG4AZABzACAALwAgADYAMAAsACAAMQApACwAXABuACAAIAAgACAAaABvAHUAcgBzACwAIAAgACAAIAAgACAAIAAgACAAIAAgACAAIAAgAG0AaQBuAHUAdABlAHMAIAAvACAANgAwACwAXABuACAAIAAgACAAZABhAHkAcwAsACAAIAAgACAAIAAgACAAIAAgACAAIAAgACAAIAAgAG0AYQB4ACAALQAgAG0AaQBuACwAXABuACAAIAAgACAAdwBlAGUAawBzACwAIAAgACAAIAAgACAAIAAgACAAIAAgACAAIAAgAEMARQBJAEwASQBOAEcAKABkAGEAeQBzACAALwAgADcALAAgADEAKQAsAFwAbgAgACAAIAAgAGYAbwByAHQAbgBpAGcAaAB0ACwAIAAgACAAIAAgACAAIAAgACAAIABDAEUASQBMAEkATgBHACgAZABhAHkAcwAgAC8AIAAxADQALAAgADEAKQAsAFwAbgAgACAAIAAgAG0AbwBuAHQAaABzACwAIAAgACAAIAAgACAAIAAgACAAIAAgACAAIABEAEEAVABFAEQASQBGACgAbQBpAG4ALAAgAG0AYQB4ACwAIABcACIAbQBcACIAKQAsAFwAbgAgACAAIAAgAHEAdQBhAHIAdABlAHIAcwAsACAAIAAgACAAIAAgACAAIAAgACAAIABDAEUASQBMAEkATgBHACgAbQBvAG4AdABoAHMAIAAvACAAMwAsACAAMQApACwAXABuACAAIAAgACAAeQBlAGEAcgBzACwAIAAgACAAIAAgACAAIAAgACAAIAAgACAAIAAgAEMARQBJAEwASQBOAEcAKABtAG8AbgB0AGgAcwAgAC8AIAAxADIALAAgADEAKQAsAFwAbgBcAG4AIAAgACAAIAAvAC8AIABEAGkAcwBwAGwAYQB5ACAAZgBvAHIAbQBhAHQAcwBcAG4AIAAgACAAIABoAF8AbQBtACwAIAAgACAAIAAgACAAIAAgACAAIAAgACAAIAAgACAASQBGACgAZABhAHkAcwAgAD4AIAAxACwAIABcACIAbQAvAGQALwB5AHkAeQAgAGgAOgBtAG0AIABBAE0ALwBQAE0AXAAiACwAIABcACIAaAA6AG0AbQAgAEEATQAvAFAATQBcACIAKQAsAFwAbgAgACAAIAAgAG0AbQBtAG0ALAAgACAAIAAgACAAIAAgACAAIAAgACAAIAAgACAAIABcACIAbQBtAG0AbQAgAHkAeQB5AFwAIgAsAFwAbgAgACAAIAAgAGQAYQB5ACwAIAAgACAAIAAgACAAIAAgACAAIAAgACAAIAAgACAAIABcACIAbQAvAGQALwB5AHkAeQBcACIALABcAG4AIAAgACAAIAB5AHkAeQAsACAAIAAgACAAIAAgACAAIAAgACAAIAAgACAAIAAgACAAXAAiAHkAeQB5AFwAIgAsAFwAbgBcAG4AIAAgACAAIABmAG0AdAAsACAAIAAgACAAIAAgACAAIAAgACAAIAAgACAAIAAgACAASQBGACgATgBvAEYAbwByAG0AYQB0AD8ALABcAG4AIAAgACAAIAAgACAAIAAgACAAIAAgACAAIAAgACAAIAAgACAAIAAgACAAIAAgACAAIAAgACAAIABTAFcASQBUAEMASAAoAGkAbgB0AGUAcgB2AGEAbAAsAFwAbgAgACAAIAAgACAAIAAgACAAIAAgACAAIAAgACAAIAAgACAAIAAgACAAIAAgACAAIAAgACAAIAAgACAAIAAgACAAIAAgACAAIAAxACwAIABoAF8AbQBtACwAXABuACAAIAAgACAAIAAgACAAIAAgACAAIAAgACAAIAAgACAAIAAgACAAIAAgACAAIAAgACAAIAAgACAAIAAgACAAIAAgACAAIAAgADIALAAgAGgAXwBtAG0ALABcAG4AIAAgACAAIAAgACAAIAAgACAAIAAgACAAIAAgACAAIAAgACAAIAAgACAAIAAgACAAIAAgACAAIAAgACAAIAAgACAAIAAgACAAMwAsACAAZABhAHkALABcAG4AIAAgACAAIAAgACAAIAAgACAAIAAgACAAIAAgACAAIAAgACAAIAAgACAAIAAgACAAIAAgACAAIAAgACAAIAAgACAAIAAgACAANAAsACAAZABhAHkALABcAG4AIAAgACAAIAAgACAAIAAgACAAIAAgACAAIAAgACAAIAAgACAAIAAgACAAIAAgACAAIAAgACAAIAAgACAAIAAgACAAIAAgACAANQAsACAAZABhAHkALABcAG4AIAAgACAAIAAgACAAIAAgACAAIAAgACAAIAAgACAAIAAgACAAIAAgACAAIAAgACAAIAAgACAAIAAgACAAIAAgACAAIAAgACAANgAsACAAbQBtAG0AbQAsAFwAbgAgACAAIAAgACAAIAAgACAAIAAgACAAIAAgACAAIAAgACAAIAAgACAAIAAgACAAIAAgACAAIAAgACAAIAAgACAAIAAgACAAIAA3ACwAIABtAG0AbQBtACwAXABuACAAIAAgACAAIAAgACAAIAAgACAAIAAgACAAIAAgACAAIAAgACAAIAAgACAAIAAgACAAIAAgACAAIAAgACAAIAAgACAAIAAgADgALAAgAHkAeQB5ACwAXABuACAAIAAgACAAIAAgACAAIAAgACAAIAAgACAAIAAgACAAIAAgACAAIAAgACAAIAAgACAAIAAgACAAIAAgACAAIAAgACAAIAAgAG0AbQBtAG0AKQAsAFwAbgAgACAAIAAgACAAIAAgACAAIAAgACAAIAAgACAAIAAgACAAIAAgACAAIAAgACAAIAAgACAAIAAgAGYAbwByAG0AYQB0ACkALABcAG4AXABuACAAIAAgACAALwAvACAARABhAHQAZQAvAHQAaQBtAGUAIABhAHIAcgBhAHkAcwAgACgAZABlAGYAZQByAHIAZQBkACkAXABuACAAIAAgACAAbQBpAG4AXwBhAHIAcgAsACAAIAAgACAAIAAgACAAIAAgACAAIAAgAEwAQQBNAEIARABBACgAUwBFAFEAVQBFAE4AQwBFACgAQABtAGkAbgB1AHQAZQBzACAAKwAgADEALAAgACwAIABmAGkAcgBzAHQALAAgADEAIAAvACAAMQA0ADQAMAApACkALABcAG4AIAAgACAAIABoAHIAcwBfAGEAcgByACwAIAAgACAAIAAgACAAIAAgACAAIAAgACAATABBAE0AQgBEAEEAKABTAEUAUQBVAEUATgBDAEUAKABAAGgAbwB1AHIAcwAgACsAIAAxACwAIAAsACAAZgBpAHIAcwB0ACwAIAAxACAALwAgADIANAApACkALABcAG4AIAAgACAAIABkAGEAeQBzAF8AYQByAHIALAAgACAAIAAgACAAIAAgACAAIAAgACAATABBAE0AQgBEAEEAKABTAEUAUQBVAEUATgBDAEUAKABkAGEAeQBzACAAKwAgADEALAAgACwAIABtAGkAbgAsACAAMQApACkALABcAG4AIAAgACAAIAB3AGUAZQBrAHMAXwBhAHIAcgAsACAAIAAgACAAIAAgACAAIAAgACAATABBAE0AQgBEAEEAKABEAEEAVABFACgAeQAsACAAbQAsACAAUwBFAFEAVQBFAE4AQwBFACgAdwBlAGUAawBzACAAKwAgADEALAAgACwAIABkACwAIAA3ACkAKQApACwAXABuACAAIAAgACAAZgBvAHIAdABfAGEAcgByACwAIAAgACAAIAAgACAAIAAgACAAIAAgAEwAQQBNAEIARABBACgARABBAFQARQAoAHkALAAgAG0ALAAgAFMARQBRAFUARQBOAEMARQAoAGYAbwByAHQAbgBpAGcAaAB0ACAAKwAgADEALAAgACwAIABkACwAIAAxADQAKQApACkALABcAG4AIAAgACAAIABtAG8AbgB0AGgAXwBhAHIAcgAsACAAIAAgACAAIAAgACAAIAAgACAATABBAE0AQgBEAEEAKABEAEEAVABFACgAeQAsACAAbQAgACsAIABTAEUAUQBVAEUATgBDAEUAKABtAG8AbgB0AGgAcwAgACsAIAAxACwAIAAsACAAMAApACwAIABkACkAKQAsAFwAbgAgACAAIAAgAHEAdAByAHMAXwBhAHIAcgAsACAAIAAgACAAIAAgACAAIAAgACAAIABMAEEATQBCAEQAQQAoAEQAQQBUAEUAKAB5ACwAIABtACAAKwAgAFMARQBRAFUARQBOAEMARQAoAHEAdQBhAHIAdABlAHIAcwAgACsAIAAxACwAIAAsACAAMAAsACAAMwApACwAIABkACkAKQAsAFwAbgAgACAAIAAgAHkAcgBzAF8AYQByAHIALAAgACAAIAAgACAAIAAgACAAIAAgACAAIABMAEEATQBCAEQAQQAoAEQAQQBUAEUAKAB5ACAAKwAgAFMARQBRAFUARQBOAEMARQAoAEAAeQBlAGEAcgBzACAAKwAgADEALAAgACwAIAAwACkALAAgAG0ALAAgADEAKQApACwAXABuAFwAbgAgACAAIAAgAC8ALwAgAEkAbgB0AGUAcgB2AGEAbAAgAHMAZQBsAGUAYwB0AGkAbwBuAFwAbgAgACAAIAAgAGIAaQBuACwAIAAgACAAIAAgACAAIAAgACAAIAAgACAAIAAgACAAIABMAEEATQBCAEQAQQAoAEkARgAoAGkAbgB0AGUAcgB2AGEAbAAgADwAIAAzACwAXABuACAAIAAgACAAIAAgACAAIAAgACAAIAAgACAAIAAgACAAIAAgACAAIAAgACAAIAAgACAAIAAgACAAIAAgACAAIABSAE8AVQBOAEQAKABDAEgATwBPAFMARQAoAGkAbgB0AGUAcgB2AGEAbAAsACAAbQBpAG4AXwBhAHIAcgAoACkALAAgAGgAcgBzAF8AYQByAHIAKAApACkAIAAqACAAdQBuAGkAdAAsAFwAbgAgACAAIAAgACAAIAAgACAAIAAgACAAIAAgACAAIAAgACAAIAAgACAAIAAgACAAIAAgACAAIAAgACAAIAAgACAAIAAgACAAIAAwACkAIAAvACAAdQBuAGkAdAAsAFwAbgAgACAAIAAgACAAIAAgACAAIAAgACAAIAAgACAAIAAgACAAIAAgACAAIAAgACAAIAAgACAAIAAgACAAIAAgACAAQwBIAE8ATwBTAEUAKABcAG4AIAAgACAAIAAgACAAIAAgACAAIAAgACAAIAAgACAAIAAgACAAIAAgACAAIAAgACAAIAAgACAAIAAgACAAIAAgACAAIAAgACAAaQBuAHQAZQByAHYAYQBsACAALQAgADIALABcAG4AIAAgACAAIAAgACAAIAAgACAAIAAgACAAIAAgACAAIAAgACAAIAAgACAAIAAgACAAIAAgACAAIAAgACAAIAAgACAAIAAgACAAZABhAHkAcwBfAGEAcgByACgAKQAsAFwAbgAgACAAIAAgACAAIAAgACAAIAAgACAAIAAgACAAIAAgACAAIAAgACAAIAAgACAAIAAgACAAIAAgACAAIAAgACAAIAAgACAAIAB3AGUAZQBrAHMAXwBhAHIAcgAoACkALABcAG4AIAAgACAAIAAgACAAIAAgACAAIAAgACAAIAAgACAAIAAgACAAIAAgACAAIAAgACAAIAAgACAAIAAgACAAIAAgACAAIAAgACAAZgBvAHIAdABfAGEAcgByACgAKQAsAFwAbgAgACAAIAAgACAAIAAgACAAIAAgACAAIAAgACAAIAAgACAAIAAgACAAIAAgACAAIAAgACAAIAAgACAAIAAgACAAIAAgACAAIABtAG8AbgB0AGgAXwBhAHIAcgAoACkALABcAG4AIAAgACAAIAAgACAAIAAgACAAIAAgACAAIAAgACAAIAAgACAAIAAgACAAIAAgACAAIAAgACAAIAAgACAAIAAgACAAIAAgACAAcQB0AHIAcwBfAGEAcgByACgAKQAsAFwAbgAgACAAIAAgACAAIAAgACAAIAAgACAAIAAgACAAIAAgACAAIAAgACAAIAAgACAAIAAgACAAIAAgACAAIAAgACAAIAAgACAAIAB5AHIAcwBfAGEAcgByACgAKQApACkAKQAsAFwAbgBcAG4AIAAgACAAIAAvAC8AIABMAGEAYgBlAGwAIABhAHMAcwBpAGcAbgBtAGUAbgB0AFwAbgAgACAAIAAgAGkALAAgACAAIAAgACAAIAAgACAAIAAgACAAIAAgACAAIAAgACAAIABMAEEATQBCAEQAQQAoAEkARgAoAGkAbgB0AGUAcgB2AGEAbAAgAD0AIAA4ACwAWABNAEEAVABDAEgAKABZAEUAQQBSACgAZABhAHQAZQBzACkALAAgAFkARQBBAFIAKABiAGkAbgAoACkAKQApACwAXABuACAAIAAgACAAIAAgACAAIAAgACAAIAAgACAAIAAgACAAIAAgACAAIAAgACAAIAAgACAAIAAgACAAIAAgACAAIABYAE0AQQBUAEMASAAoAGQAYQB0AGUAcwAsACAAYgBpAG4AKAApACwAIAAtADEAKQApACkALABcAG4AXABuACAAIAAgACAAZABhAHQAZQBfAGYAaQBlAGwAZAAsACAAIAAgACAAIAAgACAAIAAgAEwAQQBNAEIARABBACgASQBOAEQARQBYACgAYgBpAG4AKAApACwAIABpACgAKQApACkALABcAG4AXABuACAAIAAgACAALwAvACAAUgBvAHcAIABsAGEAYgBlAGwAcwBcAG4AIAAgACAAIAByAG8AdwBfAGwAYQBiAGUAbABzACwAIAAgACAAIAAgACAAIAAgACAASQBGACgAdwAgAD0AIAAxACwAZABhAHQAZQBfAGYAaQBlAGwAZAAoACkALABcAG4AIAAgACAAIAAgACAAIAAgACAAIAAgACAAIAAgACAAIAAgACAAIAAgACAAIAAgACAAIAAgACAAIABIAFMAVABBAEMASwAoAGQAYQB0AGUAXwBmAGkAZQBsAGQAKAApACwAIAByAG8AdwBfAGQAZQB0AGEAaQBsAHMAKQApACwAXABuAFwAbgAgACAAIAAgAC8ALwAgAEgAZQBhAGQAZQByAHMAXABuACAAIAAgACAAdABvAHQAYQBsAF8AbABhAGIAZQBsACwAIAAgACAAIAAgACAAIAAgAFMAVwBJAFQAQwBIACgAaQBuAHQAZQByAHYAYQBsACwAXABuACAAIAAgACAAIAAgACAAIAAgACAAIAAgACAAIAAgACAAIAAgACAAIAAgACAAIAAgACAAIAAgACAAIAAgACAAIAAgACAAIAAgACAAIAAgACAAMQAsACAAXAAiAFQAbwB0AGEAbABzACAAYgB5ACAAbQBpAG4AdQB0AGUAXAAiACwAXABuACAAIAAgACAAIAAgACAAIAAgACAAIAAgACAAIAAgACAAIAAgACAAIAAgACAAIAAgACAAIAAgACAAIAAgACAAIAAgACAAIAAgACAAIAAgACAAMgAsACAAXAAiAFQAbwB0AGEAbABzACAAYgB5ACAAaABvAHUAcgBcACIALABcAG4AIAAgACAAIAAgACAAIAAgACAAIAAgACAAIAAgACAAIAAgACAAIAAgACAAIAAgACAAIAAgACAAIAAgACAAIAAgACAAIAAgACAAIAAgACAAIAAzACwAIABcACIAVABvAHQAYQBsAHMAIABiAHkAIABEAGEAeQBcACIALABcAG4AIAAgACAAIAAgACAAIAAgACAAIAAgACAAIAAgACAAIAAgACAAIAAgACAAIAAgACAAIAAgACAAIAAgACAAIAAgACAAIAAgACAAIAAgACAAIAA0ACwAIABcACIAVwBlAGUAawBsAHkAIABUAG8AdABhAGwAcwBcACIALABcAG4AIAAgACAAIAAgACAAIAAgACAAIAAgACAAIAAgACAAIAAgACAAIAAgACAAIAAgACAAIAAgACAAIAAgACAAIAAgACAAIAAgACAAIAAgACAAIAA1ACwAIABcACIAQgBpAHcAZQBlAGsAbAB5ACAAVABvAHQAYQBsAHMAXAAiACwAXABuACAAIAAgACAAIAAgACAAIAAgACAAIAAgACAAIAAgACAAIAAgACAAIAAgACAAIAAgACAAIAAgACAAIAAgACAAIAAgACAAIAAgACAAIAAgACAANgAsACAAXAAiAE0AbwBuAHQAaABsAHkAIABUAG8AdABhAGwAcwBcACIALABcAG4AIAAgACAAIAAgACAAIAAgACAAIAAgACAAIAAgACAAIAAgACAAIAAgACAAIAAgACAAIAAgACAAIAAgACAAIAAgACAAIAAgACAAIAAgACAAIAA3ACwAIABcACIAVABvAHQAYQBsAHMAIABiAHkAIABRAHUAYQByAHQAZQByAFwAIgAsAFwAbgAgACAAIAAgACAAIAAgACAAIAAgACAAIAAgACAAIAAgACAAIAAgACAAIAAgACAAIAAgACAAIAAgACAAIAAgACAAIAAgACAAIAAgACAAIAAgADgALAAgAFwAIgBZAGUAYQByAGwAeQAgAFQAbwB0AGEAbABzAFwAIgAsAFwAbgAgACAAIAAgACAAIAAgACAAIAAgACAAIAAgACAAIAAgACAAIAAgACAAIAAgACAAIAAgACAAIAAgACAAIAAgACAAIAAgACAAIAAgACAAIAAgAFwAIgBcACIAKQAsAFwAbgBcAG4AIAAgACAAIAB0AG8AdABhAGwAXwBoAGUAYQBkAGUAcgAsACAAIAAgACAAIAAgACAARQBYAFAAQQBOAEQAKABJAEYAKABPAFIAKABpAG4AdABlAHIAdgBhAGwAIAA9ACAANAAsACAAaQBuAHQAZQByAHYAYQBsACAAPQAgADUAKQAsAFwAbgAgACAAIAAgACAAIAAgACAAIAAgACAAIAAgACAAIAAgACAAIAAgACAAIAAgACAAIAAgACAAIAAgACAAIAAgACAASABTAFQAQQBDAEsAKAB0AG8AdABhAGwAXwBsAGEAYgBlAGwALAAgAFwAIgBFAG4AZABpAG4AZwAgAEQAYQB0AGUAXAAiACkALABcAG4AIAAgACAAIAAgACAAIAAgACAAIAAgACAAIAAgACAAIAAgACAAIAAgACAAIAAgACAAIAAgACAAIAAgACAAIAAgAHQAbwB0AGEAbABfAGwAYQBiAGUAbAApACwALAB3ACAAKwAgAEkAbgBjAGwAdQBkAGUAcwBfAGUAbgBkAD8ALABcACIAXAAiACkALABcAG4AXABuACAAIAAgACAAYQBnAGcAXwBoAGUAYQBkAGUAcgAsACAAIAAgACAAIAAgACAAIAAgAEkARgAoAEgAZQBhAGQAZQByAD8ALAB2AGEAbAB1AGUAcwBfAGgAZQBhAGQAZQByACwAXABuACAAIAAgACAAIAAgACAAIAAgACAAIAAgACAAIAAgACAAIAAgACAAIAAgACAAIAAgACAAIAAgACAARQBYAFAAQQBOAEQAKABcACIAXAAiACwAIAAsACAAdwBfACwAIABcACIAXAAiACkAKQAsAFwAbgBcAG4AIAAgACAAIAAvAC8AIABBAGcAZwByAGUAZwBhAHQAaQBvAG4AXABuACAAIAAgACAAbgBvAF8AZgBpAGwAdABlAHIALAAgACAAIAAgACAAIAAgACAAIAAgAEcAUgBPAFUAUABCAFkAKAByAG8AdwBfAGwAYQBiAGUAbABzACwAIAB2AGEAbAB1AGUAcwAsACAAZgB1AG4AYwB0AGkAbwBuACwAIABIAGUAYQBkAGUAcgA/ACkALABcAG4AIAAgACAAIABmAGkAbAB0AGUAcgBfAGkAbgBjACwAIAAgACAAIAAgACAAIAAgACAARwBSAE8AVQBQAEIAWQAoAHIAbwB3AF8AbABhAGIAZQBsAHMALAAgAHYAYQBsAHUAZQBzACwAIABmAHUAbgBjAHQAaQBvAG4ALAAgAEgAZQBhAGQAZQByAD8ALAAgACwAIAAsACAAZgBpAGwAdABlAHIAXwB1AHMAZQBkACkALABcAG4AIAAgACAAIABhAGcAZwAsACAAIAAgACAAIAAgACAAIAAgACAAIAAgACAAIAAgACAASQBGACgARgBpAGwAdABlAHIAPwAsACAAZgBpAGwAdABlAHIAXwBpAG4AYwAsACAAbgBvAF8AZgBpAGwAdABlAHIAKQAsAFwAbgBcAG4AIAAgACAAIAAvAC8AIABSAG8AdwAgAGwAYQBiAGUAbAAgACgAdQBuAGYAbwByAG0AYQB0AHQAZQBkACkAIABhAG4AZAAgAGYAbwByAG0AYQB0AHQAZQBkAFwAbgAgACAAIAAgAHIAbwB3AF8AbABhAGIAZQBsACwAIAAgACAAIAAgACAAIAAgACAAIABMAEEATQBCAEQAQQAoAFQAQQBLAEUAKABhAGcAZwAsACAALAAgADEAKQApACwAXABuACAAIAAgACAAYQAsACAAIAAgACAAIAAgACAAIAAgACAAIAAgACAAIAAgACAAIAAgAEwAQQBNAEIARABBACgAVABFAFgAVAAoAHIAbwB3AF8AbABhAGIAZQBsACgAKQAsACAAZgBtAHQAKQApACwAXABuAFwAbgAgACAAIAAgAC8ALwAgAEUAbgBkAGkAbgBnACAAZABhAHQAZQBzACAAZgBvAHIAIAB3AGUAZQBrAGwAeQAgAC8AIABiAGkAdwBlAGUAawBsAHkAXABuACAAIAAgACAAYgBpAG4AXwBlAG4AZAAsACAAIAAgACAAIAAgACAAIAAgACAAIAAgAEwAQQBNAEIARABBACgASQBGACgAaQBuAHQAZQByAHYAYQBsACAAPQAgADQALABUAEUAWABUACgAYQAoACkAIAArACAANgAsACAAZgBtAHQAKQAsAFwAbgAgACAAIAAgACAAIAAgACAAIAAgACAAIAAgACAAIAAgACAAIAAgACAAIAAgACAAIAAgACAAIAAgACAAIAAgACAASQBGACgAaQBuAHQAZQByAHYAYQBsACAAPQAgADUALAAgAFQARQBYAFQAKABhACgAKQAgACsAIAAxADMALAAgAGYAbQB0ACkALAAgADAAKQApACkALABcAG4AXABuACAAIAAgACAALwAvACAAUgBlAG0AYQBpAG4AaQBuAGcAIABjAG8AbAB1AG0AbgBzAFwAbgAgACAAIAAgAGIALAAgACAAIAAgACAAIAAgACAAIAAgACAAIAAgACAAIAAgACAAIABMAEEATQBCAEQAQQAoAEQAUgBPAFAAKABhAGcAZwAsACAALAAgADEAKQApACwAXABuAFwAbgAgACAAIAAgAC8ALwAgAFMAdABhAGMAawBzAFwAbgAgACAAIAAgAHMAdABhAGMAawAsACAAIAAgACAAIAAgACAAIAAgACAAIAAgACAAIABWAFMAVABBAEMASwAoAEgAUwBUAEEAQwBLACgAdABvAHQAYQBsAF8AaABlAGEAZABlAHIALAAgAGEAZwBnAF8AaABlAGEAZABlAHIAKQAsAFwAbgAgACAAIAAgACAAIAAgACAAIAAgACAAIAAgACAAIAAgACAAIAAgACAAIAAgACAAIAAgACAAIAAgACAAIAAgAEgAUwBUAEEAQwBLACgAYQAoACkALAAgAGIAKAApACkAKQAsAFwAbgBcAG4AIAAgACAAIABzAHQAYQBjAGsAXwBlAG4AZAAsACAAIAAgACAAIAAgACAAIAAgACAASQBGAEUAUgBSAE8AUgAoAFwAbgAgACAAIAAgACAAIAAgACAAIAAgACAAIAAgACAAIAAgACAAIAAgACAAIAAgACAAIAAgACAAIAAgAFYAUwBUAEEAQwBLACgAXABuACAAIAAgACAAIAAgACAAIAAgACAAIAAgACAAIAAgACAAIAAgACAAIAAgACAAIAAgACAAIAAgACAAIAAgACAAIABIAFMAVABBAEMASwAoAHQAbwB0AGEAbABfAGgAZQBhAGQAZQByACwAIABhAGcAZwBfAGgAZQBhAGQAZQByACkALABcAG4AIAAgACAAIAAgACAAIAAgACAAIAAgACAAIAAgACAAIAAgACAAIAAgACAAIAAgACAAIAAgACAAIAAgACAAIAAgAEgAUwBUAEEAQwBLACgAYQAoACkALAAgAGIAaQBuAF8AZQBuAGQAKAApACwAIABiACgAKQApAFwAbgAgACAAIAAgACAAIAAgACAAIAAgACAAIAAgACAAIAAgACAAIAAgACAAIAAgACAAIAAgACAAIAAgACkALABcACIAXAAiACkALABcAG4AXABuACAAIAAgACAAZABlAGwAaQB2AGUAcgB5ACwAIAAgACAAIAAgACAAIAAgACAAIAAgAEkARgAoAE8AUgAoAGkAbgB0AGUAcgB2AGEAbAAgAD0AIAA0ACwAIABpAG4AdABlAHIAdgBhAGwAIAA9ACAANQApACwAIABzAHQAYQBjAGsAXwBlAG4AZAAsACAAcwB0AGEAYwBrACkALABcAG4AXABuACAAIAAgACAAZABlAGwAaQB2AGUAcgB5AFwAbgApACkAKQA7AFwAbgBcAG4AXABuAFwAbgAvACoAIABbAEcAUgARIEMATwBSAEUAXQAgAC0ALQAtAC0ALQAtAC0ALQAtAC0ALQAtAC0ALQAtAC0ALQAtAC0ALQAtAC0ALQAtAC0ALQAtAC0ALQAtAC0ALQAtAC0ALQAtAC0ALQAtAC0ALQAtAC0ALQAtAC0ALQAtAC0ALQAtAC0ALQAtAC0ALQAtAC0ALQAtAC0ALQAtAC0ALQAtAC0ALQAtAC0AXABuAEYAdQBuAGMAdABpAG8AbgA6ACAAIAAgACAAIABWAGEAbABpAGQAYQB0AGUARwBEALsDXABuAEMAYQB0AGUAZwBvAHIAeQA6ACAAIAAgACAAIABHAHIAaQBkACAAQQBuAGEAbAB5AHQAaQBjAHMAIAAoAEMAbwByAGUAIABWAGEAbABpAGQAYQB0AGkAbwBuACkAXABuAEEAdQB0AGgAbwByADoAIAAgACAAIAAgACAAIABQAGEAdAByAGkAYwBrACAASAAuAFwAbgBWAGUAcgBzAGkAbwBuADoAIAAgACAAIAAgACAAMQAuADEAXABuAFwAbgBEAGUAcwBjAHIAaQBwAHQAaQBvAG4AOgBcAG4AIAAgACAAIABWAGEAbABpAGQAYQB0AGUAcwAgAGkAbgBwAHUAdABzACAAZgBvAHIAIABHAHIAbwB1AHAAYgB5AEQAYQB0AGUAuwMuACAARQBuAHMAdQByAGUAcwAgAHQAaABhAHQAIAByAG8AdwBfAGYAaQBlAGwAZABzACAAYwBvAG4AdABhAGkAbgAgAHYAYQBsAGkAZABcAG4AIAAgACAAIABkAGEAdABlAHMALAAgAHQAaABhAHQAIABpAG4AdABlAHIAdgBhAGwAcwAgAGEAcgBlACAAcgBlAGMAbwBnAG4AaQB6AGUAZAAsACAAdABoAGEAdAAgAHYAYQBsAHUAZQBzACAAYQBuAGQAIABmAGkAbAB0AGUAcgBzACAAYQBsAGkAZwBuACAAaQBuAFwAbgAgACAAIAAgAHMAaABhAHAAZQAsACAAYQBuAGQAIAB0AGgAYQB0ACAAdABoAGUAIABhAGcAZwByAGUAZwBhAHQAaQBvAG4AIABmAHUAbgBjAHQAaQBvAG4AIABpAHMAIABjAGEAbABsAGEAYgBsAGUALgBcAG4AXABuAFAAYQByAGEAbQBlAHQAZQByAHMAOgBcAG4AIAAgACAAIAByAG8AdwBfAGYAaQBlAGwAZABzACAAIAAgACAAIAAgAC0AIABBAHIAcgBhAHkAIAB3AGkAdABoACAAZABhAHQAZQBzACAAaQBuACAAdABoAGUAIABsAGUAZgB0AG0AbwBzAHQAIABjAG8AbAB1AG0AbgAuAFwAbgAgACAAIAAgAHYAYQBsAHUAZQBzACAAIAAgACAAIAAgACAAIAAgACAALQAgAEEAcgByAGEAeQAgAG8AZgAgAHYAYQBsAHUAZQBzACAAdABvACAAYQBnAGcAcgBlAGcAYQB0AGUALgBcAG4AIAAgACAAIABpAG4AdABlAHIAdgBhAGwAIAAgACAAIAAgACAAIAAgAC0AIABEAGEAdABlAC8AdABpAG0AZQAgAGkAbgB0AGUAcgB2AGEAbAAgACgAbgB1AG0AZQByAGkAYwAgAG8AcgAgAHQAZQB4AHQAKQAuAFwAbgAgACAAIAAgAGYAdQBuAGMAdABpAG8AbgAgACAAIAAgACAAIAAgACAALQAgAEUAVABBACAAbwByACAAcwBpAG4AZwBsAGUAESBwAGEAcgBhAG0AZQB0AGUAcgAgAEwAQQBNAEIARABBAC4AXABuACAAIAAgACAAWwBmAGkAZQBsAGQAXwBoAGUAYQBkAGUAcgBzAF0AIAAtACAAVABSAFUARQAgAGkAZgAgAHIAbwB3AF8AZgBpAGUAbABkAHMALwB2AGEAbAB1AGUAcwAgAGkAbgBjAGwAdQBkAGUAIABoAGUAYQBkAGUAcgBzAC4AXABuACAAIAAgACAAWwBmAGkAbAB0AGUAcgBfAGEAcgByAGEAeQBdACAAIAAtACAAQgBvAG8AbABlAGEAbgAgAGYAaQBsAHQAZQByACAAYQByAHIAYQB5AC4AXABuACAAIAAgACAAWwBPAG4AXwBWAGEAbABpAGQAXQAgACAAIAAgACAAIAAtACAARQB4AHAAcgBlAHMAcwBpAG8AbgAgAHQAbwAgAGUAdgBhAGwAdQBhAHQAZQAgAHcAaABlAG4AIABpAG4AcAB1AHQAcwAgAGEAcgBlACAAdgBhAGwAaQBkAC4AXABuAFwAbgBOAG8AdABlAHMAOgBcAG4AIAAgACAAIAAiICAARABlAHQAZQBjAHQAcwAgAGkAbgB2AGEAbABpAGQAIABkAGEAdABlAHMALAAgAG0AaQBzAHMAaQBuAGcAIAB0AGkAbQBlACAAYwBvAG0AcABvAG4AZQBuAHQAcwAsACAAYQBuAGQAIABtAGEAbABmAG8AcgBtAGUAZAAgAGkAbgB0AGUAcgB2AGEAbABzAC4AXABuACAAIAAgACAAIiAgAEUAbgBzAHUAcgBlAHMAIAByAG8AdwBfAGYAaQBlAGwAZABzACwAIAB2AGEAbAB1AGUAcwAsACAAYQBuAGQAIABmAGkAbAB0AGUAcgBfAGEAcgByAGEAeQAgAGgAYQB2AGUAIABtAGEAdABjAGgAaQBuAGcAIABoAGUAaQBnAGgAdABzAC4AXABuACAAIAAgACAAIiAgAEUAbgBzAHUAcgBlAHMAIABmAHUAbgBjAHQAaQBvAG4AIABpAHMAIABjAGEAbABsAGEAYgBsAGUAIAB2AGkAYQAgAGEAIABzAGEAZgBlACAAQgBZAFIATwBXACAAdABlAHMAdAAuAFwAbgAtAC0ALQAtAC0ALQAtAC0ALQAtAC0ALQAtAC0ALQAtAC0ALQAtAC0ALQAtAC0ALQAtAC0ALQAtAC0ALQAtAC0ALQAtAC0ALQAtAC0ALQAtAC0ALQAtAC0ALQAtAC0ALQAtAC0ALQAtAC0ALQAtAC0ALQAtAC0ALQAtAC0ALQAtAC0ALQAtAC0ALQAtAC0ALQAtAC0ALQAtAC0ALQAqAC8AXABuAFwAbgBWAGEAbABpAGQAYQB0AGUARwBEALsDIAA9AFwAbgBMAEEATQBCAEQAQQAoAFwAbgAgACAAIAAgAHIAbwB3AF8AZgBpAGUAbABkAHMALABcAG4AIAAgACAAIAB2AGEAbAB1AGUAcwAsAFwAbgAgACAAIAAgAGkAbgB0AGUAcgB2AGEAbAAsAFwAbgAgACAAIAAgAGYAdQBuAGMAdABpAG8AbgAsAFwAbgAgACAAIAAgAFsAZgBpAGUAbABkAF8AaABlAGEAZABlAHIAcwBdACwAXABuACAAIAAgACAAWwBmAGkAbAB0AGUAcgBfAGEAcgByAGEAeQBdACwAXABuACAAIAAgACAAWwBPAG4AXwBWAGEAbABpAGQAXQAsAFwAbgBMAEUAVAAoAFwAbgAgACAAIAAgAC8ALwAgAC0ALQAtACAATwBwAHQAaQBvAG4AYQBsACAAZgBsAGEAZwBzACAALQAtAC0AXABuACAAIAAgACAATgBvAF8ARgBpAGUAbABkAF8ASABlAGEAZABlAHIAcwA/ACwAIAAgACAAIAAgACAASQBTAE8ATQBJAFQAVABFAEQAKABmAGkAZQBsAGQAXwBoAGUAYQBkAGUAcgBzACkALABcAG4AIAAgACAAIABGAGkAbAB0AGUAcgBJAG4AYwBsAHUAZABlAGQAPwAsACAAIAAgACAAIAAgACAAIABOAE8AVAAoAEkAUwBPAE0ASQBUAFQARQBEACgAZgBpAGwAdABlAHIAXwBhAHIAcgBhAHkAKQApACwAXABuAFwAbgAgACAAIAAgAC8ALwAgAC0ALQAtACAARQB4AHQAcgBhAGMAdAAgAGQAYQB0AGUAIABhAG4AZAAgAHYAYQBsAHUAZQAgAGMAbwBsAHUAbQBuAHMAIAAtAC0ALQBcAG4AIAAgACAAIABEAGEAdABlAF8AYwBvAGwALAAgACAAIAAgACAAIAAgACAAIAAgACAAIAAgACAAIABJAEYAKABOAG8AXwBGAGkAZQBsAGQAXwBIAGUAYQBkAGUAcgBzAD8ALABUAEEASwBFACgAcgBvAHcAXwBmAGkAZQBsAGQAcwAsACAALAAgADEAKQAsAFwAbgAgACAAIAAgACAAIAAgACAAIAAgACAAIAAgACAAIAAgACAAIAAgACAAIAAgACAAIAAgACAAIAAgACAAIAAgACAARABSAE8AUAAoAFQAQQBLAEUAKAByAG8AdwBfAGYAaQBlAGwAZABzACwAIAAsACAAMQApACwAIAAxACkAKQAsAFwAbgBcAG4AIAAgACAAIABWAGEAbAB1AGUAcwBfAGMAbwBsACwAIAAgACAAIAAgACAAIAAgACAAIAAgACAAIABJAEYAKABOAG8AXwBGAGkAZQBsAGQAXwBIAGUAYQBkAGUAcgBzAD8ALABUAEEASwBFACgAdgBhAGwAdQBlAHMALAAgACwAIAAxACkALABcAG4AIAAgACAAIAAgACAAIAAgACAAIAAgACAAIAAgACAAIAAgACAAIAAgACAAIAAgACAAIAAgACAAIAAgACAAIAAgAEQAUgBPAFAAKABUAEEASwBFACgAdgBhAGwAdQBlAHMALAAgACwAIAAxACkALAAgADEAKQApACwAXABuAFwAbgAgACAAIAAgAC8ALwAgAC0ALQAtACAARgBpAGwAdABlAHIAIABhAHIAcgBhAHkAIABuAG8AcgBtAGEAbABpAHoAYQB0AGkAbwBuACAALQAtAC0AXABuACAAIAAgACAAQgBvAG8AbAAsACAAIAAgACAAIAAgACAAIAAgACAAIAAgACAAIAAgACAAIAAgACAASQBGAEUAUgBSAE8AUgAoAEkARgAoAE4AbwBfAEYAaQBlAGwAZABfAEgAZQBhAGQAZQByAHMAPwAsAGYAaQBsAHQAZQByAF8AYQByAHIAYQB5ACwAXABuACAAIAAgACAAIAAgACAAIAAgACAAIAAgACAAIAAgACAAIAAgACAAIAAgACAAIAAgACAAIAAgACAAIAAgACAAIAAgACAAIAAgAEQAUgBPAFAAKABmAGkAbAB0AGUAcgBfAGEAcgByAGEAeQAsACAAMQApACAAKQAsADAAKQAsAFwAbgBcAG4AIAAgACAAIAAvAC8AIAAtAC0ALQAgAEQAYQB0AGUAIAB2AGEAbABpAGQAaQB0AHkAIABjAGgAZQBjAGsAcwAgAC0ALQAtAFwAbgAgACAAIAAgAE4AbwBfAEQAYQB0AGUAcwA/ACwAIAAgACAAIAAgACAAIAAgACAAIAAgACAAIAAgAE8AUgAoAEQAYQB0AGUAXwBjAG8AbAAgADwAIAAwACwARABhAHQAZQBfAGMAbwBsACAAPgAgADIAOQA1ADgANAA2ADUALABOAE8AVAAoAEEATgBEACgASQBTAE4AVQBNAEIARQBSACgARABhAHQAZQBfAGMAbwBsACkAKQApACkALABcAG4AXABuACAAIAAgACAATgBvAF8AVABpAG0AZQBzAD8ALAAgACAAIAAgACAAIAAgACAAIAAgACAAIAAgACAAQQBOAEQAKABEAGEAdABlAF8AYwBvAGwAIAAtACAASQBOAFQAKABEAGEAdABlAF8AYwBvAGwAKQAgAD0AIAAwACkALABcAG4AXABuACAAIAAgACAALwAvACAALQAtAC0AIABEAGkAbQBlAG4AcwBpAG8AbgAgAGMAaABlAGMAawBzACAALQAtAC0AXABuACAAIAAgACAAaQBfAGQALAAgACAAIAAgACAAIAAgACAAIAAgACAAIAAgACAAIAAgACAAIAAgACAAUgBPAFcAUwAoAEQAYQB0AGUAXwBjAG8AbAApACwAXABuACAAIAAgACAAaQBfAHYALAAgACAAIAAgACAAIAAgACAAIAAgACAAIAAgACAAIAAgACAAIAAgACAAUgBPAFcAUwAoAFYAYQBsAHUAZQBzAF8AYwBvAGwAKQAsAFwAbgAgACAAIAAgAGkAXwBmACwAIAAgACAAIAAgACAAIAAgACAAIAAgACAAIAAgACAAIAAgACAAIAAgAEkARgAoAEYAaQBsAHQAZQByAEkAbgBjAGwAdQBkAGUAZAA/ACwAIABSAE8AVwBTACgAQgBvAG8AbAApACwAIAAwACkALABcAG4AXABuACAAIAAgACAALwAvACAALQAtAC0AIABJAG4AdABlAHIAdgBhAGwAIAB2AGEAbABpAGQAYQB0AGkAbwBuACAALQAtAC0AXABuACAAIAAgACAAQwBvAG4AcwB0ACwAIAAgACAAIAAgACAAIAAgACAAIAAgACAAIAAgACAAIAAgACAAewBcACIAbQBpAG4AdQB0AGUAXAAiADsAXAAiAGgAbwB1AHIAXAAiADsAXAAiAGQAYQB5AFwAIgA7AFwAIgB3AGUAZQBrAFwAIgA7AFwAbgAgACAAIAAgACAAIAAgACAAIAAgACAAIAAgACAAIAAgACAAIAAgACAAIAAgACAAIAAgACAAIAAgACAAXAAiAGYAbwByAHQAbgBpAGcAaAB0AFwAIgA7AFwAIgBtAG8AbgB0AGgAXAAiADsAXAAiAHEAdQBhAHIAdABlAHIAXAAiADsAXAAiAHkAZQBhAHIAXAAiAH0ALABcAG4AXABuACAAIAAgACAAVABlAHgAdABJAG4AdABlAHIAdgBhAGwAPwAsACAAIAAgACAAIAAgACAAIAAgACAASQBTAFQARQBYAFQAKABpAG4AdABlAHIAdgBhAGwAKQAsAFwAbgAgACAAIAAgAE4AdQBtAGUAcgBpAGMASQBuAHQAZQByAHYAYQBsAD8ALAAgACAAIAAgACAAIAAgAEkAUwBOAFUATQBCAEUAUgAoAGkAbgB0AGUAcgB2AGEAbAApACwAXABuAFwAbgAgACAAIAAgAEkAbgB2AGEAbABpAGQASQBuAHQAZQByAHYAYQBsAD8ALAAgACAAIAAgACAAIAAgAEkARgAoAEEATgBEACgATgB1AG0AZQByAGkAYwBJAG4AdABlAHIAdgBhAGwAPwAsACAATwBSACgAaQBuAHQAZQByAHYAYQBsACAAPAAgADEALAAgAGkAbgB0AGUAcgB2AGEAbAAgAD4AIAA4ACkAKQAsAFQAUgBVAEUALABcAG4AIAAgACAAIAAgACAAIAAgACAAIAAgACAAIAAgACAAIAAgACAAIAAgACAAIAAgACAAIAAgACAAIAAgACAAIAAgAEkARgAoAEEATgBEACgAVABlAHgAdABJAG4AdABlAHIAdgBhAGwAPwAsACAASQBTAE4AQQAoAFgATQBBAFQAQwBIACgAaQBuAHQAZQByAHYAYQBsACAAJgAgAFwAIgAqAFwAIgAsACAAQwBvAG4AcwB0ACwAIAAyACkAKQApACwAVABSAFUARQAsAFwAbgAgACAAIAAgACAAIAAgACAAIAAgACAAIAAgACAAIAAgACAAIAAgACAAIAAgACAAIAAgACAAIAAgACAAIAAgACAAIAAgACAAIABGAEEATABTAEUAKQApACwAXABuAFwAbgAgACAAIAAgAEkAcwBUAGkAbQBlAD8ALAAgACAAIAAgACAAIAAgACAAIAAgACAAIAAgACAAIAAgAGkAbgB0AGUAcgB2AGEAbAAgADwAIAAzACwAXABuAFwAbgAgACAAIAAgAC8ALwAgAC0ALQAtACAASABhAGwAdABpAG4AZwAgAGMAbwBuAGQAaQB0AGkAbwBuAHMAIAAtAC0ALQBcAG4AIAAgACAAIABFAG0AcAB0AHkASQBuAHAAdQB0AHMAPwAsACAAIAAgACAAIAAgACAAIAAgACAAIABPAFIAKABJAFMATwBNAEkAVABUAEUARAAoAHIAbwB3AF8AZgBpAGUAbABkAHMAKQAsACAASQBTAE8ATQBJAFQAVABFAEQAKAB2AGEAbAB1AGUAcwApACkALABcAG4AXABuACAAIAAgACAASABhAGwAdABEAGEAdABlAHMAPwAsACAAIAAgACAAIAAgACAAIAAgACAAIAAgACAAQQBOAEQAKABpAG4AdABlAHIAdgBhAGwAIAA+ACAAMgAsACAATgBvAF8ARABhAHQAZQBzAD8AKQAsAFwAbgAgACAAIAAgAEgAYQBsAHQAVABpAG0AZQA/ACwAIAAgACAAIAAgACAAIAAgACAAIAAgACAAIAAgAEEATgBEACgASQBzAFQAaQBtAGUAPwAsACAATgBvAF8AVABpAG0AZQBzAD8AKQAsAFwAbgBcAG4AIAAgACAAIABTAGgAYQBwAGUATQBpAHMAbQBhAHQAYwBoAD8ALAAgACAAIAAgACAAIAAgACAAIABPAFIAKABpAF8AZAAgADwAPgAgAGkAXwB2ACwAQQBOAEQAKABGAGkAbAB0AGUAcgBJAG4AYwBsAHUAZABlAGQAPwAsACAAaQBfAGQAIAA8AD4AIABpAF8AZgApACkALABcAG4AXABuACAAIAAgACAASQBuAHYAYQBsAGkAZABGAG4APwAsACAAIAAgACAAIAAgACAAIAAgACAAIAAgACAAVABZAFAARQAoAGYAdQBuAGMAdABpAG8AbgApACAAPAA+ACAAMQAyADgALABcAG4AXABuACAAIAAgACAARQBtAHAAdAB5AEYAaQBsAHQAZQByAD8ALAAgACAAIAAgACAAIAAgACAAIAAgACAAQQBOAEQAKABGAGkAbAB0AGUAcgBJAG4AYwBsAHUAZABlAGQAPwAsACAATgBPAFQAKABPAFIAKABCAG8AbwBsACkAKQApACwAXABuAFwAbgAgACAAIAAgAC8ALwAgAEMAbwBsAGwAZQBjAHQAIABhAGwAbAAgAGMAbwBuAGQAaQB0AGkAbwBuAHMAXABuACAAIAAgACAAYwBvAG4AZABpAHQAaQBvAG4AcwAsACAAIAAgACAAIAAgACAAIAAgACAAIAAgACAAVgBTAFQAQQBDAEsAKABFAG0AcAB0AHkASQBuAHAAdQB0AHMAPwAsAEgAYQBsAHQARABhAHQAZQBzAD8ALABIAGEAbAB0AFQAaQBtAGUAPwAsAFwAbgAgACAAIAAgACAAIAAgACAAIAAgACAAIAAgACAAIAAgACAAIAAgACAAIAAgACAAIAAgACAAIAAgACAAIAAgACAAIAAgACAAUwBoAGEAcABlAE0AaQBzAG0AYQB0AGMAaAA/ACwASQBuAHYAYQBsAGkAZABJAG4AdABlAHIAdgBhAGwAPwAsAEkAbgB2AGEAbABpAGQARgBuAD8ALABFAG0AcAB0AHkARgBpAGwAdABlAHIAPwApACwAXABuAFwAbgAgACAAIAAgAGgAYQBsAHQALAAgACAAIAAgACAAIAAgACAAIAAgACAAIAAgACAAIAAgACAAIAAgAE8AUgAoAGMAbwBuAGQAaQB0AGkAbwBuAHMAKQAsAFwAbgBcAG4AIAAgACAAIAAvAC8AIABFAHIAcgBvAHIAIABtAGUAcwBzAGEAZwBlAHMAIAAoAGEAbABpAGcAbgBlAGQAIAB3AGkAdABoACAARwByAG8AdQBwAGIAeQBEAGEAdABlALsDKQBcAG4AIAAgACAAIABlAHIAcgBvAHIAcwAsACAAIAAgACAAIAAgACAAIAAgACAAIAAgACAAIAAgACAAIAB7AFwAIgAjAEUATQBQAFQAWQAtAEkATgBQAFUAVAAhAFwAIgA7AFwAbgAgACAAIAAgACAAIAAgACAAIAAgACAAIAAgACAAIAAgACAAIAAgACAAIAAgACAAIAAgACAAIAAgACAAXAAiACMATgBPAC0ARABBAFQARQBTACEAXAAiADsAXABuACAAIAAgACAAIAAgACAAIAAgACAAIAAgACAAIAAgACAAIAAgACAAIAAgACAAIAAgACAAIAAgACAAIABcACIAIwBOAE8ALQBUAEkATQBFAFMAIQBcACIAOwBcAG4AIAAgACAAIAAgACAAIAAgACAAIAAgACAAIAAgACAAIAAgACAAIAAgACAAIAAgACAAIAAgACAAIAAgAFwAIgAjAEQASQBNAEUATgBTAEkATwBOAFMAIQBcACIAOwBcAG4AIAAgACAAIAAgACAAIAAgACAAIAAgACAAIAAgACAAIAAgACAAIAAgACAAIAAgACAAIAAgACAAIAAgAFwAIgAjAEkATgBUAEUAUgBWAEEATAAhAFwAIgA7AFwAbgAgACAAIAAgACAAIAAgACAAIAAgACAAIAAgACAAIAAgACAAIAAgACAAIAAgACAAIAAgACAAIAAgACAAXAAiACMASQBOAFYAQQBMAEkARAAtAEYAVQBOAEMAVABJAE8ATgAhAFwAIgA7AFwAbgAgACAAIAAgACAAIAAgACAAIAAgACAAIAAgACAAIAAgACAAIAAgACAAIAAgACAAIAAgACAAIAAgACAAXAAiACMARQBNAFAAVABZAC0ARgBJAEwAVABFAFIAIQBcACIAfQAsAFwAbgBcAG4AIAAgACAAIABhAGwAZQByAHQALAAgACAAIAAgACAAIAAgACAAIAAgACAAIAAgACAAIAAgACAAIABGAEkATABUAEUAUgAoAGUAcgByAG8AcgBzACwAIABjAG8AbgBkAGkAdABpAG8AbgBzACwAIABcACIAXAAiACkALABcAG4AXABuACAAIAAgACAALwAvACAALQAtAC0AIABMAG8AZwBpAGMAIABnAGEAdABlACAALQAtAC0AXABuACAAIAAgACAASQBGACgAaABhAGwAdAAsACAAYQBsAGUAcgB0ACwAIABPAG4AXwBWAGEAbABpAGQAKQBcAG4AKQApADsAXABuAFwAbgBcAG4AXABuAC8AKgAgAFsARwBSADAAOQBdACAALQAtAC0ALQAtAC0ALQAtAC0ALQAtAC0ALQAtAC0ALQAtAC0ALQAtAC0ALQAtAC0ALQAtAC0ALQAtAC0ALQAtAC0ALQAtAC0ALQAtAC0ALQAtAC0ALQAtAC0ALQAtAC0ALQAtAC0ALQAtAC0ALQAtAC0ALQAtAC0ALQAtAC0ALQAtAC0ALQAtAC0ALQAtAC0ALQBcAG4ARgB1AG4AYwB0AGkAbwBuADoAIAAgACAAIAAgAFAAaQB2AG8AdABiAHkAQwBhAHQAuwNcAG4AQwBhAHQAZQBnAG8AcgB5ADoAIAAgACAAIAAgAEcAcgBpAGQAIABBAG4AYQBsAHkAdABpAGMAcwAgACgAQwBhAHQAZQBnAG8AcgBpAGMAYQBsACAAQQBuAGEAbAB5AHMAaQBzACkAXABuAEEAdQB0AGgAbwByADoAIAAgACAAIAAgACAAIABQAGEAdAByAGkAYwBrACAASAAuAFwAbgBWAGUAcgBzAGkAbwBuADoAIAAgACAAIAAgACAAMQAuADEAXABuAEQAZQBwAGUAbgBkAGUAbgBjAGkAZQBzADoAIABTAHQAcgBlAGEAawC7AywAIABSAGUAcABlAGEAdABSAG8AdwBzALsDXABuAFwAbgBEAGUAcwBjAHIAaQBwAHQAaQBvAG4AOgBcAG4AIAAgACAAIABQAGkAdgBvAHQAcwAgAGQAYQB0AGEAIABiAHkAIAByAG8AdwAgAGYAaQBlAGwAZABzACAAKABkAGUAdABhAGkAbAAgACsAIABkAGEAdABlACkALAAgAGMAYQB0AGUAZwBvAHIAaQBlAHMALAAgAGEAbgBkACAAdgBhAGwAdQBlAHMALgBcAG4AIAAgACAAIABDAGEAdABlAGcAbwByAGkAZQBzACAAYQByAGUAIABhAHMAcwB1AG0AZQBkACAAdABvACAAYgBlACAAcAByAGUAESBjAG8AbgBjAGEAdABlAG4AYQB0AGUAZAAgAHUAcwBpAG4AZwAgAGEAIABkAGUAbABpAG0AaQB0AGUAcgAuAFwAbgAgACAAIAAgAFMAdQBwAHAAbwByAHQAcwAgAG8AcAB0AGkAbwBuAGEAbAAgAGEAZwBnAHIAZQBnAGEAdABpAG8AbgAgAGYAdQBuAGMAdABpAG8AbgAgAGEAbgBkACAAZABhAHQAZQAgAGYAbwByAG0AYQB0AHQAaQBuAGcALgBcAG4AXABuAFAAYQByAGEAbQBlAHQAZQByAHMAOgBcAG4AIAAgACAAIAByAG8AdwBfAGQAZQB0AGEAaQBsACAAIAAgACAAIAAgAC0AIAAxAEQAIABhAHIAcgBhAHkAIABvAGYAIABuAG8AbgARIGQAYQB0AGUAIAByAG8AdwAgAGYAaQBlAGwAZABzAC4AXABuACAAIAAgACAAcgBvAHcAXwBkAGEAdABlAHMAIAAgACAAIAAgACAAIAAtACAAMQBEACAAYQByAHIAYQB5ACAAbwBmACAAZABhAHQAZQBzAC4AXABuACAAIAAgACAAYwBhAHQAZQBnAG8AcgBpAGUAcwAgACAAIAAgACAAIAAtACAAMQBEACAAYQByAHIAYQB5ACAAbwBmACAAZABlAGwAaQBtAGkAdABlAGQAIABjAGEAdABlAGcAbwByAHkAIABzAHQAcgBpAG4AZwBzAC4AXABuACAAIAAgACAAdgBhAGwAdQBlAHMAIAAgACAAIAAgACAAIAAgACAAIAAtACAAMQBEACAAYQByAHIAYQB5ACAAbwBmACAAbgB1AG0AZQByAGkAYwAgAHYAYQBsAHUAZQBzAC4AXABuACAAIAAgACAAZABlAGwAaQBtAGkAdABlAHIAIAAgACAAIAAgACAAIAAtACAARABlAGwAaQBtAGkAdABlAHIAIAB1AHMAZQBkACAAaQBuACAAdABoAGUAIABjAGEAdABlAGcAbwByAGkAZQBzACAAYQByAHIAYQB5AC4AXABuAFwAbgBPAHAAdABpAG8AbgBhAGwAOgBcAG4AIAAgACAAIABbAGQAYQB0AGUAXwBmAG8AcgBtAGEAdABdACAAIAAgAC0AIABGAG8AcgBtAGEAdAAgAGMAbwBkAGUAIABmAG8AcgAgAGQAYQB0AGUAcwAgACgAZABlAGYAYQB1AGwAdAAgAFwAIgB5AHkAeQBcACIAKQAuAFwAbgAgACAAIAAgAFsAZgB1AG4AYwB0AGkAbwBuAF0AIAAgACAAIAAgACAALQAgAEUAVABBACAAbwByACAATABBAE0AQgBEAEEAIABhAGcAZwByAGUAZwBhAHQAaQBvAG4AIABmAHUAbgBjAHQAaQBvAG4AIAAoAGQAZQBmAGEAdQBsAHQAIABTAFUATQApAC4AXABuAFwAbgBOAG8AdABlAHMAOgBcAG4AIAAgACAAIAAiICAAQwBhAHQAZQBnAG8AcgBpAGUAcwAgAGEAcgBlACAAcwBwAGwAaQB0ACAAaQBuAHQAbwAgAG0AdQBsAHQAaQBwAGwAZQAgAHIAbwB3AHMAIAB1AHMAaQBuAGcAIABSAGUAcABlAGEAdABSAG8AdwBzALsDLgBcAG4AIAAgACAAIAAiICAARABhAHQAZQBzACAAYQByAGUAIABmAG8AcgBtAGEAdAB0AGUAZAAgAGEAbgBkACAAcwBvAHIAdABlAGQAIAB1AHMAaQBuAGcAIABhACAAbgB1AG0AZQByAGkAYwAgAHMAbwByAHQAIABrAGUAeQAuAFwAbgAgACAAIAAgACIgIABWAGEAbAB1AGUAcwAgAGEAcgBlACAAYQBwAHAAbwByAHQAaQBvAG4AZQBkACAAYQBjAHIAbwBzAHMAIAByAGUAcABlAGEAdABlAGQAIABjAGEAdABlAGcAbwByAHkAIAByAG8AdwBzAC4AXABuAC0ALQAtAC0ALQAtAC0ALQAtAC0ALQAtAC0ALQAtAC0ALQAtAC0ALQAtAC0ALQAtAC0ALQAtAC0ALQAtAC0ALQAtAC0ALQAtAC0ALQAtAC0ALQAtAC0ALQAtAC0ALQAtAC0ALQAtAC0ALQAtAC0ALQAtAC0ALQAtAC0ALQAtAC0ALQAtAC0ALQAtAC0ALQAtAC0ALQAtAC0ALQAtACoALwBcAG4AXABuAFAAaQB2AG8AdABiAHkAQwBhAHQAuwMgAD0AXABuAEwAQQBNAEIARABBACgAXABuACAAIAAgACAAcgBvAHcAXwBkAGUAdABhAGkAbAAsAFwAbgAgACAAIAAgAHIAbwB3AF8AZABhAHQAZQBzACwAXABuACAAIAAgACAAYwBhAHQAZQBnAG8AcgBpAGUAcwAsAFwAbgAgACAAIAAgAHYAYQBsAHUAZQBzACwAXABuACAAIAAgACAAZABlAGwAaQBtAGkAdABlAHIALABcAG4AIAAgACAAIABbAGQAYQB0AGUAXwBmAG8AcgBtAGEAdABdACwAXABuACAAIAAgACAAWwBmAHUAbgBjAHQAaQBvAG4AXQAsAFwAbgBcAG4ATABFAFQAKABcAG4AIAAgACAAIAAvAC8AIAAtAC0ALQAgAEQAaQBtAGUAbgBzAGkAbwBuAHMAIAAtAC0ALQBcAG4AIAAgACAAIAByAIEgLAAgACAAIAAgACAAIAAgACAAIAAgACAAIAAgACAAIAAgACAAUgBPAFcAUwAoAHIAbwB3AF8AZABlAHQAYQBpAGwAKQAsAFwAbgAgACAAIAAgAHIAgiAsACAAIAAgACAAIAAgACAAIAAgACAAIAAgACAAIAAgACAAIABSAE8AVwBTACgAcgBvAHcAXwBkAGEAdABlAHMAKQAsAFwAbgAgACAAIAAgAHIAgyAsACAAIAAgACAAIAAgACAAIAAgACAAIAAgACAAIAAgACAAIABSAE8AVwBTACgAYwBhAHQAZQBnAG8AcgBpAGUAcwApACwAXABuACAAIAAgACAAcgCEICwAIAAgACAAIAAgACAAIAAgACAAIAAgACAAIAAgACAAIAAgAFIATwBXAFMAKAB2AGEAbAB1AGUAcwApACwAXABuAFwAbgAgACAAIAAgAC8ALwAgAC0ALQAtACAASABhAGwAdABpAG4AZwAgAGMAbwBuAGQAaQB0AGkAbwBuAHMAIAAtAC0ALQBcAG4AIAAgACAAIABTAGgAYQBwAGUATQBpAHMAbQBhAHQAYwBoACwAIAAgACAAIAAgACAATwBSACgAcgCBICAAPAA+ACAAcgCCICwAIAByAIEgIAA8AD4AIAByAIMgLAAgAHIAgSAgADwAPgAgAHIAhCApACwAXABuAFwAbgAgACAAIAAgAGQAYQB0AGUAXwBmAG8AcgBtAGEAdAAsACAAIAAgACAAIAAgACAAIABJAEYAKABJAFMATwBNAEkAVABUAEUARAAoAGQAYQB0AGUAXwBmAG8AcgBtAGEAdAApACwAIABcACIAeQB5AHkAXAAiACwAIABkAGEAdABlAF8AZgBvAHIAbQBhAHQAKQAsAFwAbgBcAG4AIAAgACAAIABJAG4AdgBhAGwAaQBkAEQAYQB0AGUAcwAsACAAIAAgACAAIAAgACAATwBSACgAQQBOAEQAKABJAFMARQBSAFIATwBSACgARABBAFQARQBWAEEATABVAEUAKABUAEUAWABUACgAcgBvAHcAXwBkAGEAdABlAHMALAAgAGQAYQB0AGUAXwBmAG8AcgBtAGEAdAApACkAKQAsAFwAbgAgACAAIAAgACAAIAAgACAAIAAgACAAIAAgACAAIAAgACAAIAAgACAAIAAgACAAIAAgACAAIAAgACAAIAAgAEkAUwBFAFIAUgBPAFIAKABWAEEATABVAEUAKABUAEUAWABUACgAcgBvAHcAXwBkAGEAdABlAHMALAAgAGQAYQB0AGUAXwBmAG8AcgBtAGEAdAApACkAKQApACwAXABuACAAIAAgACAAIAAgACAAIAAgACAAIAAgACAAIAAgACAAIAAgACAAIAAgACAAIAAgACAAIAAgAE4ATwBUACgAQQBOAEQAKABJAFMATgBVAE0AQgBFAFIAKAByAG8AdwBfAGQAYQB0AGUAcwApACkAKQApACwAXABuAFwAbgAgACAAIAAgAEkAbgB2AGEAbABpAGQARgBuACwAIAAgACAAIAAgACAAIAAgACAAIABUAFkAUABFACgAZgB1AG4AYwB0AGkAbwBuACkAIAA8AD4AIAAxADIAOAAsAFwAbgBcAG4AIAAgACAAIABzAGMAZQBuAGEAcgBpAG8AcwAsACAAIAAgACAAIAAgACAAIAAgACAAVgBTAFQAQQBDAEsAKABTAGgAYQBwAGUATQBpAHMAbQBhAHQAYwBoACwAIABJAG4AdgBhAGwAaQBkAEQAYQB0AGUAcwAsACAASQBuAHYAYQBsAGkAZABGAG4AKQAsAFwAbgBcAG4AIAAgACAAIABlAHIAcgBvAHIAcwAsACAAIAAgACAAIAAgACAAIAAgACAAIAAgACAAewBcACIAIwBEAEkATQBFAE4AUwBJAE8ATgBTACEAXAAiADsAXABuACAAIAAgACAAIAAgACAAIAAgACAAIAAgACAAIAAgACAAIAAgACAAIAAgACAAIAAgACAAXAAiACMARABBAFQARQBTACEAXAAiADsAXABuACAAIAAgACAAIAAgACAAIAAgACAAIAAgACAAIAAgACAAIAAgACAAIAAgACAAIAAgACAAXAAiACMASQBOAFYAQQBMAEkARAAtAEYAVQBOAEMAVABJAE8ATgAhAFwAIgB9ACwAXABuAFwAbgAgACAAIAAgAC8ALwAgAC0ALQAtACAATABvAGcAaQBjACAAZwBhAHQAZQAgAC0ALQAtAFwAbgAgACAAIAAgAEYASQBMAFQARQBSACgAZQByAHIAbwByAHMALAAgAHMAYwBlAG4AYQByAGkAbwBzACwAXABuAFwAbgBMAEUAVAAoAFwAbgAgACAAIAAgAC8ALwAgAC0ALQAtACAATwBwAHQAaQBvAG4AYQBsACAAcABhAHIAYQBtAGUAdABlAHIAIAAtAC0ALQBcAG4AIAAgACAAIABmAG4AuwMsACAAIAAgACAAIAAgACAAIAAgACAAIAAgACAAIAAgACAASQBGACgASQBTAE8ATQBJAFQAVABFAEQAKABmAHUAbgBjAHQAaQBvAG4AKQAsACAAUwBVAE0ALAAgAGYAdQBuAGMAdABpAG8AbgApACwAXABuAFwAbgBcAG4AIAAgACAAIAAvAC8AIAAtAC0ALQAgAEwAbwBjAGEAbAAgAGgAZQBsAHAAZQByAHMAIAAtAC0ALQBcAG4AIAAgACAAIABDAG8AdQBuAHQAQwBhAHQAuwMsACAAIAAgACAAIAAgACAAIAAgACAATABBAE0AQgBEAEEAKAByAG8AdwAsAFwAbgAgACAAIAAgACAAIAAgACAAIAAgACAAIAAgACAAIAAgACAAIAAgACAAIAAgACAAIAAgACAAIAAgAEMATwBVAE4AVABBACgAVABFAFgAVABTAFAATABJAFQAKAByAG8AdwAsACAAZABlAGwAaQBtAGkAdABlAHIAKQApACkALABcAG4AXABuACAAIAAgACAAUABhAHIAcwBlALsDLAAgACAAIAAgACAAIAAgACAAIAAgACAAIAAgAEwAQQBNAEIARABBACgAYQByAHIAYQB5ACwAIABpAG4AcwB0AGEAbgBjAGUALABcAG4AIAAgACAAIAAgACAAIAAgACAAIAAgACAAIAAgACAAIAAgACAAIAAgACAAIAAgACAAIAAgACAAIABUAEUAWABUAEIARQBGAE8AUgBFACgAVABFAFgAVABBAEYAVABFAFIAKABkAGUAbABpAG0AaQB0AGUAcgAgACYAIABhAHIAcgBhAHkAIAAmACAAZABlAGwAaQBtAGkAdABlAHIALABcAG4AIAAgACAAIAAgACAAIAAgACAAIAAgACAAIAAgACAAIAAgACAAIAAgACAAIAAgACAAIAAgACAAIAAgACAAIAAgACAAIAAgACAAIAAgACAAIAAgACAAIAAgACAAIAAgACAAIABkAGUAbABpAG0AaQB0AGUAcgAsAGkAbgBzAHQAYQBuAGMAZQAsACwALABhAHIAcgBhAHkAKQAsAFwAbgAgACAAIAAgACAAIAAgACAAIAAgACAAIAAgACAAIAAgACAAIAAgACAAIAAgACAAIAAgACAAIAAgACAAIAAgACAAIAAgACAAIAAgACAAZABlAGwAaQBtAGkAdABlAHIALAAsACwALABcAG4AIAAgACAAIAAgACAAIAAgACAAIAAgACAAIAAgACAAIAAgACAAIAAgACAAIAAgACAAIAAgACAAIAAgACAAIAAgACAAIAAgACAAIAAgAGMAYQB0AGUAZwBvAHIAaQBlAHMAKQApACwAXABuAFwAbgAgACAAIAAgAC8ALwAgAC0ALQAtACAAQwBhAHQAZQBnAG8AcgB5ACAAZQB4AHAAYQBuAHMAaQBvAG4AIAAtAC0ALQBcAG4AIAAgACAAIABrACwAIAAgACAAIAAgACAAIAAgACAAIAAgACAAIAAgACAAIAAgACAAQgBZAFIATwBXACgAYwBhAHQAZQBnAG8AcgBpAGUAcwAsACAAQwBvAHUAbgB0AEMAYQB0ALsDKQAsAFwAbgBcAG4AIAAgACAAIABpACwAIAAgACAAIAAgACAAIAAgACAAIAAgACAAIAAgACAAIAAgACAAUgBlAHAAZQBhAHQAUgBvAHcAcwC7AygAUwBFAFEAVQBFAE4AQwBFACgAcgCBICkALAAgAGsAKQAsAFwAbgAgACAAIAAgAGoALAAgACAAIAAgACAAIAAgACAAIAAgACAAIAAgACAAIAAgACAAIABTAHQAcgBlAGEAawC7AygAaQApACwAXABuAFwAbgAgACAAIAAgAC8ALwAgAC0ALQAtACAAUgBvAHcAIABmAGkAZQBsAGQAcwAgAC0ALQAtAFwAbgAgACAAIAAgAGEALAAgACAAIAAgACAAIAAgACAAIAAgACAAIAAgACAAIAAgACAAIABSAGUAcABlAGEAdABSAG8AdwBzALsDKAByAG8AdwBfAGQAZQB0AGEAaQBsACwAIABrACkALABcAG4AIAAgACAAIABkAGUAdABhAGkAbAAsACAAIAAgACAAIAAgACAAIAAgACAAIAAgACAASQBGACgAYQAgAD0AIAAwACwAIABcACIAVQBuAGsAbgBvAHcAbgBcACIALAAgAGEAKQAsAFwAbgBcAG4AIAAgACAAIABkAGEAdABlAHMALAAgACAAIAAgACAAIAAgACAAIAAgACAAIAAgACAAUgBlAHAAZQBhAHQAUgBvAHcAcwC7AygAVABFAFgAVAAoAHIAbwB3AF8AZABhAHQAZQBzACwAIABkAGEAdABlAF8AZgBvAHIAbQBhAHQAKQAsACAAawApACwAXABuACAAIAAgACAAcwBvAHIAdABfAGsAZQB5ACwAIAAgACAAIAAgACAAIAAgACAAIAAgAEkARgBFAFIAUgBPAFIAKABEAEEAVABFAFYAQQBMAFUARQAoAGQAYQB0AGUAcwApACwAIABWAEEATABVAEUAKABkAGEAdABlAHMAKQApACwAXABuAFwAbgAgACAAIAAgAHIAbwB3AF8AZgBpAGUAbABkAHMALAAgACAAIAAgACAAIAAgACAAIABIAFMAVABBAEMASwAoAHMAbwByAHQAXwBrAGUAeQAsACAAZABlAHQAYQBpAGwALAAgAGQAYQB0AGUAcwApACwAXABuAFwAbgAgACAAIAAgAC8ALwAgAC0ALQAtACAAQwBvAGwAdQBtAG4AIABmAGkAZQBsAGQAcwAgAC0ALQAtAFwAbgAgACAAIAAgAHUAbgBwAGEAYwBrACwAIAAgACAAIAAgACAAIAAgACAAIAAgACAAIABSAGUAcABlAGEAdABSAG8AdwBzALsDKABjAGEAdABlAGcAbwByAGkAZQBzACwAIABrACkALABcAG4AIAAgACAAIABjAGEAdABlAGcAbwByAGkAZQBzACwAIAAgACAAIAAgACAAIAAgACAAUABhAHIAcwBlALsDKAB1AG4AcABhAGMAawAsACAAagApACwAXABuAFwAbgAgACAAIAAgAC8ALwAgAC0ALQAtACAAVgBhAGwAdQBlAHMAIAAoAGEAcABwAG8AcgB0AGkAbwBuAGUAZAApACAALQAtAC0AXABuACAAIAAgACAAdgBhAGwAdQBlAHMALAAgACAAIAAgACAAIAAgACAAIAAgACAAIAAgAFIAZQBwAGUAYQB0AFIAbwB3AHMAuwMoAHYAYQBsAHUAZQBzACAALwAgAGsALAAgAGsAKQAsAFwAbgBcAG4AIAAgACAAIAAvAC8AIAAtAC0ALQAgAEEAZwBnAHIAZQBnAGEAdABpAG8AbgAgAC0ALQAtAFwAbgAgACAAIAAgAGEAZwBnACwAIAAgACAAIAAgACAAIAAgACAAIAAgACAAIAAgACAAIABEAFIATwBQACgAUABJAFYATwBUAEIAWQAoAHIAbwB3AF8AZgBpAGUAbABkAHMALABjAGEAdABlAGcAbwByAGkAZQBzACwAdgBhAGwAdQBlAHMALABmAG4AuwMsACwAMAAsACwAMAApACwALAAxACkALABcAG4AXABuACAAIAAgACAAYQBnAGcAXABuACkAKQApACkAOwBcAG4AXABuAFwAbgBcAG4ALwAqACAAWwBHAFIAMQAwAF0AIAAtAC0ALQAtAC0ALQAtAC0ALQAtAC0ALQAtAC0ALQAtAC0ALQAtAC0ALQAtAC0ALQAtAC0ALQAtAC0ALQAtAC0ALQAtAC0ALQAtAC0ALQAtAC0ALQAtAC0ALQAtAC0ALQAtAC0ALQAtAC0ALQAtAC0ALQAtAC0ALQAtAC0ALQAtAC0ALQAtAC0ALQAtAC0ALQAtAFwAbgBGAHUAbgBjAHQAaQBvAG4AOgAgACAAIAAgACAARwByAGEAaQBuALsDXABuAEMAYQB0AGUAZwBvAHIAeQA6ACAAIAAgACAAIABHAHIAaQBkACAAQQBuAGEAbAB5AHQAaQBjAHMAIAAoAE4AZQBpAGcAaABiAG8AcgBoAG8AbwBkAHMAKQBcAG4AQQB1AHQAaABvAHIAOgAgACAAIAAgACAAIAAgAFAAYQB0AHIAaQBjAGsAIABIAC4AXABuAFYAZQByAHMAaQBvAG4AOgAgACAAIAAgACAAIAAxAC4AMQBcAG4AXABuAEQAZQBzAGMAcgBpAHAAdABpAG8AbgA6AFwAbgAgACAAIAAgAEQAbwB3AG4AcwBhAG0AcABsAGUAcwAgAGEAIABtAGEAdAByAGkAeAAgAGIAeQAgAGEAZwBnAHIAZQBnAGEAdABpAG4AZwAgAG8AdgBlAHIAIABuAG8AbgARIG8AdgBlAHIAbABhAHAAcABpAG4AZwAgAHMAcABhAHQAaQBhAGwAIABiAGwAbwBjAGsAcwBcAG4AIAAgACAAIABvAGYAIABzAGkAegBlACAAZABlAHAAdABoACAA1wAgAHcAaQBkAHQAaAAuACAAUABhAHIAdABpAGEAbAAgAGIAbABvAGMAawBzACAAYQB0ACAAdABoAGUAIABlAGQAZwBlAHMAIABhAHIAZQAgAGkAbgBjAGwAdQBkAGUAZAAuACAAVABoAGUAXABuACAAIAAgACAAYQBnAGcAcgBlAGcAYQB0AGkAbwBuACAAaQBzACAAcABlAHIAZgBvAHIAbQBlAGQAIAB1AHMAaQBuAGcAIABhAG4AIABFAFQAQQARIGMAbwBtAHAAYQB0AGkAYgBsAGUAIABmAHUAbgBjAHQAaQBvAG4AIAAoAGUALgBnAC4ALAAgAFMAVQBNACwAXABuACAAIAAgACAAQQBWAEUAUgBBAEcARQAsACAATQBBAFgALAAgAE0ASQBOACwAIABNAEUARABJAEEATgAsACAAbwByACAAYQAgAGMAdQBzAHQAbwBtACAATABBAE0AQgBEAEEAKQAuAFwAbgBcAG4AUABhAHIAYQBtAGUAdABlAHIAcwA6AFwAbgAgACAAIAAgAG0AYQB0AHIAaQB4ACAAIAAgACAAIAAgAC0AIAAyAEQAIABpAG4AcAB1AHQAIABtAGEAdAByAGkAeAAuAFwAbgAgACAAIAAgAGQAZQBwAHQAaAAgACAAIAAgACAAIAAgAC0AIABOAHUAbQBiAGUAcgAgAG8AZgAgAHIAbwB3AHMAIABwAGUAcgAgAGIAbABvAGMAawAuAFwAbgAgACAAIAAgAHcAaQBkAHQAaAAgACAAIAAgACAAIAAgAC0AIABOAHUAbQBiAGUAcgAgAG8AZgAgAGMAbwBsAHUAbQBuAHMAIABwAGUAcgAgAGIAbABvAGMAawAuAFwAbgAgACAAIAAgAGYAdQBuAGMAdABpAG8AbgAgACAAIAAgAC0AIABFAFQAQQAgAG8AcgAgAEwAQQBNAEIARABBACAAYQBwAHAAbABpAGUAZAAgAHQAbwAgAGUAYQBjAGgAIABiAGwAbwBjAGsALgBcAG4AXABuAE4AbwB0AGUAcwA6AFwAbgAgACAAIAAgACIgIABSAGUAagBlAGMAdABzACAAbgBvAG4AESBtAGEAdAByAGkAeAAgAGkAbgBwAHUAdABzAC4AXABuACAAIAAgACAAIiAgAFIAZQBqAGUAYwB0AHMAIABpAG4AdgBhAGwAaQBkACAAYgBsAG8AYwBrACAAcwBpAHoAZQBzACAAbwByACAAdABlAHgAdAAgAGQAaQBtAGUAbgBzAGkAbwBuAHMALgBcAG4AIAAgACAAIAAiICAAUABhAHIAdABpAGEAbAAgAGIAbABvAGMAawBzACAAYQByAGUAIABoAGEAbgBkAGwAZQBkACAAYQB1AHQAbwBtAGEAdABpAGMAYQBsAGwAeQAgAHYAaQBhACAASQBOAEQARQBYACAAKwAgAFQATwBDAE8ATAAuAFwAbgAtAC0ALQAtAC0ALQAtAC0ALQAtAC0ALQAtAC0ALQAtAC0ALQAtAC0ALQAtAC0ALQAtAC0ALQAtAC0ALQAtAC0ALQAtAC0ALQAtAC0ALQAtAC0ALQAtAC0ALQAtAC0ALQAtAC0ALQAtAC0ALQAtAC0ALQAtAC0ALQAtAC0ALQAtAC0ALQAtAC0ALQAtAC0ALQAtAC0ALQAtAC0ALQAqAC8AXABuAFwAbgBHAHIAYQBpAG4AuwMgAD0AXABuAEwAQQBNAEIARABBACgAXABuACAAIAAgACAAbQBhAHQAcgBpAHgALABcAG4AIAAgACAAIABkAGUAcAB0AGgALABcAG4AIAAgACAAIAB3AGkAZAB0AGgALABcAG4AIAAgACAAIABmAHUAbgBjAHQAaQBvAG4ALABcAG4AXABuAEkARgAoAE4ATwBUACgAVABZAFAARQAoAG0AYQB0AHIAaQB4ACkAIAA9ACAANgA0ACkALABcACIAIwBNAEEAVABSAEkAWAAhAFwAIgAsAFwAbgBcAG4AIAAgACAAIABJAEYAKABPAFIAKABkAGUAcAB0AGgAIAA+ACAAUgBPAFcAUwAoAG0AYQB0AHIAaQB4ACkALAAgAHcAaQBkAHQAaAAgACAAPgAgAEMATwBMAFUATQBOAFMAKABtAGEAdAByAGkAeAApACwASQBTAFQARQBYAFQAKABkAGUAcAB0AGgAKQAsAEkAUwBUAEUAWABUACgAdwBpAGQAdABoACkAKQAsAFwAIgAjAEQASQBNAEUATgBTAEkATwBOAFMAIQBcACIALABcAG4AXABuACAAIAAgACAAIAAgACAAIABJAEYAKABUAFkAUABFACgAZgB1AG4AYwB0AGkAbwBuACkAIAA8AD4AIAAxADIAOAAsAFwAIgAjAEUAVABBACAARgBVAE4AQwBUAEkATwBOACEAXAAiACwAXABuAFwAbgBMAEUAVAAoAFwAbgAgACAAIAAgAC8ALwAgAEQAaQBtAGUAbgBzAGkAbwBuAHMAXABuACAAIAAgACAAaAAsACAAIAAgACAAIAAgACAAIAAgACAAIAAgACAAIABSAE8AVwBTACgAbQBhAHQAcgBpAHgAKQAsAFwAbgAgACAAIAAgAHcALAAgACAAIAAgACAAIAAgACAAIAAgACAAIAAgACAAQwBPAEwAVQBNAE4AUwAoAG0AYQB0AHIAaQB4ACkALABcAG4AXABuACAAIAAgACAALwAvACAATgB1AG0AYgBlAHIAIABvAGYAIABiAGwAbwBjAGsAcwAgACgAcgBvAHUAbgBkAGUAZAAgAHUAcAApAFwAbgAgACAAIAAgAHgALAAgACAAIAAgACAAIAAgACAAIAAgACAAIAAgACAAUgBPAFUATgBEAFUAUAAoAGgAIAAvACAAZABlAHAAdABoACwAIAAwACkALABcAG4AIAAgACAAIAB5ACwAIAAgACAAIAAgACAAIAAgACAAIAAgACAAIAAgAFIATwBVAE4ARABVAFAAKAB3ACAALwAgAHcAaQBkAHQAaAAsACAAMAApACwAXABuAFwAbgAgACAAIAAgAC8ALwAgAEIAbABvAGMAawAgAGEAbgBjAGgAbwByACAAZwByAGkAZABzACAAKABkAGUAZgBlAHIAcgBlAGQAKQBcAG4AIAAgACAAIABkAG8AdwBuACwAIAAgACAAIAAgACAAIAAgACAAIAAgAEwAQQBNAEIARABBACgAUwBFAFEAVQBFAE4AQwBFACgAeAAsACAALAAgADEALAAgAGQAZQBwAHQAaAApACAAKgAgAFMARQBRAFUARQBOAEMARQAoACwAIAB5ACwAIAAxACwAIAAwACkAKQAsAFwAbgAgACAAIAAgAGEAYwByAG8AcwBzACwAIAAgACAAIAAgACAAIAAgACAATABBAE0AQgBEAEEAKABTAEUAUQBVAEUATgBDAEUAKAAsACAAeQAsACAAMQAsACAAdwBpAGQAdABoACkAIAAqACAAUwBFAFEAVQBFAE4AQwBFACgAeAAsACAALAAgADEALAAgADAAKQApACwAXABuAFwAbgAgACAAIAAgAC8ALwAgAEIAbABvAGMAawAgAGEAZwBnAHIAZQBnAGEAdABvAHIAXABuACAAIAAgACAAQgBsAG8AYwBrAHMAuwMsACAAIAAgACAAIAAgACAAIABMAEEATQBCAEQAQQAoAHIALAAgAGMALABcAG4AIAAgACAAIAAgACAAIAAgACAAIAAgACAAIAAgACAAIAAgACAAIAAgACAAIAAgACAATABFAFQAKABcAG4AIAAgACAAIAAgACAAIAAgACAAIAAgACAAIAAgACAAIAAgACAAIAAgACAAIAAgACAAIAAgACAAIABpACwAIAAgACAAIAAgACAATABBAE0AQgBEAEEAKABTAEUAUQBVAEUATgBDAEUAKABkAGUAcAB0AGgALAAgACwAIAByACkAIAAqACAAUwBFAFEAVQBFAE4AQwBFACgALAAgAHcAaQBkAHQAaAAsACAAMQAsACAAMAApACkALABcAG4AIAAgACAAIAAgACAAIAAgACAAIAAgACAAIAAgACAAIAAgACAAIAAgACAAIAAgACAAIAAgACAAIABqACwAIAAgACAAIAAgACAATABBAE0AQgBEAEEAKABTAEUAUQBVAEUATgBDAEUAKAAsACAAdwBpAGQAdABoACwAIABjACkAIAAqACAAUwBFAFEAVQBFAE4AQwBFACgAZABlAHAAdABoACwAIAAsACAAMQAsACAAMAApACkALABcAG4AIAAgACAAIAAgACAAIAAgACAAIAAgACAAIAAgACAAIAAgACAAIAAgACAAIAAgACAAIAAgACAAIABiAGwAbwBjAGsALAAgACAAVABPAEMATwBMACgASQBOAEQARQBYACgAbQBhAHQAcgBpAHgALAAgAGkAKAApACwAIABqACgAKQApACwAIAAyACkALABcAG4AIAAgACAAIAAgACAAIAAgACAAIAAgACAAIAAgACAAIAAgACAAIAAgACAAIAAgACAAIAAgACAAIAByAGUAcwB1AGwAdAAsACAAZgB1AG4AYwB0AGkAbwBuACgAYgBsAG8AYwBrACkALABcAG4AIAAgACAAIAAgACAAIAAgACAAIAAgACAAIAAgACAAIAAgACAAIAAgACAAIAAgACAAIAAgACAAIAByAGUAcwB1AGwAdAApACkALABcAG4AXABuACAAIAAgACAALwAvACAAQQBwAHAAbAB5ACAAYQBnAGcAcgBlAGcAYQB0AGkAbwBuACAAdABvACAAZQBhAGMAaAAgAGIAbABvAGMAawBcAG4AIAAgACAAIABkAGUAbABpAHYAZQByACwAIAAgACAAIAAgACAAIAAgAE0AQQBQACgAZABvAHcAbgAoACkALAAgAGEAYwByAG8AcwBzACgAKQAsACAAQgBsAG8AYwBrAHMAuwMpACwAXABuAFwAbgAgACAAIAAgAGQAZQBsAGkAdgBlAHIAXABuACkAKQApACkAKQA7AFwAbgBcAG4AXABuAFwAbgAvACoAIABbAEcAUgAxADEAXQAgAC0ALQAtAC0ALQAtAC0ALQAtAC0ALQAtAC0ALQAtAC0ALQAtAC0ALQAtAC0ALQAtAC0ALQAtAC0ALQAtAC0ALQAtAC0ALQAtAC0ALQAtAC0ALQAtAC0ALQAtAC0ALQAtAC0ALQAtAC0ALQAtAC0ALQAtAC0ALQAtAC0ALQAtAC0ALQAtAC0ALQAtAC0ALQAtAC0AXABuAEYAdQBuAGMAdABpAG8AbgA6ACAAIAAgACAAIABNAG8AbwByAGUAQQBnAGcAuwNcAG4AQwBhAHQAZQBnAG8AcgB5ADoAIAAgACAAIAAgAEcAcgBpAGQAIABBAG4AYQBsAHkAdABpAGMAcwAgACgATgBlAGkAZwBoAGIAbwByAGgAbwBvAGQAcwApAFwAbgBBAHUAdABoAG8AcgA6ACAAIAAgACAAIAAgACAAUABhAHQAcgBpAGMAawAgAEgALgBcAG4AVgBlAHIAcwBpAG8AbgA6ACAAIAAgACAAIAAgADEALgAxAFwAbgBcAG4ARABlAHMAYwByAGkAcAB0AGkAbwBuADoAXABuACAAIAAgACAAUABlAHIAZgBvAHIAbQBzACAAYQBnAGcAcgBlAGcAYQB0AGkAbwBuACAAbwB2AGUAcgAgAE0AbwBvAHIAZQAgAG8AcgAgAHYAbwBuACAATgBlAHUAbQBhAG4AbgAgAG4AZQBpAGcAaABiAG8AcgBoAG8AbwBkAHMAIAB1AHMAaQBuAGcAIABhAG4AXABuACAAIAAgACAARQBUAEEAESBjAG8AbQBwAGEAdABpAGIAbABlACAAZgB1AG4AYwB0AGkAbwBuACAAKABTAFUATQAsACAAQQBWAEUAUgBBAEcARQAsACAATQBBAFgALAAgAE0ASQBOACwAIABNAEUARABJAEEATgAsACAAbwByACAAYQAgAGMAdQBzAHQAbwBtAFwAbgAgACAAIAAgAEwAQQBNAEIARABBACkALgAgAE8AcAB0AGkAbwBuAGEAbAAgAHAAYQByAGEAbQBlAHQAZQByAHMAIABjAG8AbgB0AHIAbwBsACAAbgBlAGkAZwBoAGIAbwByAGgAbwBvAGQAIAB0AHkAcABlACAAYQBuAGQAIABpAGYAIAB0AGgAZQBcAG4AIAAgACAAIABjAGUAbgB0AGUAcgAgAGMAZQBsAGwAIABpAHMAIAB0AG8AIABiAGUAIABpAG4AYwBsAHUAZABlAGQALgBcAG4AXABuAE4AZQBpAGcAaABiAG8AcgBoAG8AbwBkAHMAOgBcAG4AIAAgACAAIABNAG8AbwByAGUAIAAoADgAESBjAG8AbgBuAGUAYwB0AGUAZAApADoAIAAgACAAIAAgACAAIAAgAHYAbwBuACAATgBlAHUAbQBhAG4AbgAgACgANAARIGMAbwBuAG4AZQBjAHQAZQBkACkAOgBcAG4AIAAgACAAIAAgACAAIAAgADEAIAAgADIAIAAgADMAIAAgACAAIAAgACAAIAAgACAAIAAgACAAIAAgACAAIAAgACAAIAAgACAAMQBcAG4AIAAgACAAIAAgACAAIAAgADQAIAAgAEMAIAAgADYAIAAgACAAIAAgACAAIAAgACAAIAAgACAAIAAgACAAIAAgACAAMgAgACAAQwAgACAAMwBcAG4AIAAgACAAIAAgACAAIAAgADcAIAAgADgAIAAgADkAIAAgACAAIAAgACAAIAAgACAAIAAgACAAIAAgACAAIAAgACAAIAAgACAANABcAG4AXABuAFAAYQByAGEAbQBlAHQAZQByAHMAOgBcAG4AIAAgACAAIABNAGEAdAByAGkAeAAgACAAIAAgACAAIAAgACAAIAAgAC0AIAAyAEQAIABpAG4AcAB1AHQAIABtAGEAdAByAGkAeAAuAFwAbgAgACAAIAAgAGYAdQBuAGMAdABpAG8AbgAgACAAIAAgACAAIAAgACAALQAgAEUAVABBACAAbwByACAATABBAE0AQgBEAEEAIABhAGcAZwByAGUAZwBhAHQAaQBvAG4AIABmAHUAbgBjAHQAaQBvAG4ALgBcAG4AIAAgACAAIABbAEkAcwB2AG8AbgBOAGUAdQBtAGEAbgBuAD8AXQAgAC0AIABUAFIAVQBFACAAkiEgAHUAcwBlACAAdgBvAG4AIABOAGUAdQBtAGEAbgBuACAAbgBlAGkAZwBoAGIAbwByAGgAbwBvAGQALgBcAG4AIAAgACAAIABbAG8AbQBpAHQAXwBjAGUAbgB0AGUAcgBdACAAIAAgAC0AIABUAFIAVQBFACAAkiEgAGUAeABjAGwAdQBkAGUAIABjAGUAbgB0AGUAcgAgAGMAZQBsAGwAIABmAHIAbwBtACAAYQBnAGcAcgBlAGcAYQB0AGkAbwBuAC4AXABuAC0ALQAtAC0ALQAtAC0ALQAtAC0ALQAtAC0ALQAtAC0ALQAtAC0ALQAtAC0ALQAtAC0ALQAtAC0ALQAtAC0ALQAtAC0ALQAtAC0ALQAtAC0ALQAtAC0ALQAtAC0ALQAtAC0ALQAtAC0ALQAtAC0ALQAtAC0ALQAtAC0ALQAtAC0ALQAtAC0ALQAtAC0ALQAtAC0ALQAtAC0ALQAtACoALwBcAG4AXABuAE0AbwBvAHIAZQBBAGcAZwC7AyAAPQBcAG4ATABBAE0AQgBEAEEAKABcAG4AIAAgACAAIABNAGEAdAByAGkAeAAsAFwAbgAgACAAIAAgAGYAdQBuAGMAdABpAG8AbgAsAFwAbgAgACAAIAAgAFsASQBzAHYAbwBuAE4AZQB1AG0AYQBuAG4APwBdACwAXABuACAAIAAgACAAWwBvAG0AaQB0AF8AYwBlAG4AdABlAHIAXQAsAFwAbgBcAG4ASQBGACgAVABZAFAARQAoAE0AYQB0AHIAaQB4ACkAIAA8AD4AIAA2ADQALABcACIAIwBNAEEAVABSAEkAWAAhAFwAIgAsAFwAbgBcAG4AIAAgACAAIABJAEYAKABUAFkAUABFACgAZgB1AG4AYwB0AGkAbwBuACkAIAA8AD4AIAAxADIAOAAgACwAXAAiACMARQBUAEEAIABGAFUATgBDAFQASQBPAE4AIQBcACIALABcAG4AXABuAEwARQBUACgAXABuACAAIAAgACAALwAvACAATwBwAHQAaQBvAG4AYQBsACAAcABhAHIAYQBtAGUAdABlAHIAcwBcAG4AIAAgACAAIABJAHMAdgBvAG4ATgBlAHUAbQBhAG4AbgA/ACwAIAAgACAAIAAgACAATgBPAFQAKABJAFMATwBNAEkAVABUAEUARAAoAEkAcwB2AG8AbgBOAGUAdQBtAGEAbgBuAD8AKQApACwAXABuACAAIAAgACAAbwBtAGkAdABfAGMAZQBuAHQAZQByACwAIAAgACAAIAAgACAAIAAgAE4ATwBUACgASQBTAE8ATQBJAFQAVABFAEQAKABvAG0AaQB0AF8AYwBlAG4AdABlAHIAKQApACwAXABuAFwAbgAgACAAIAAgAC8ALwAgAEQAaQBtAGUAbgBzAGkAbwBuAHMAXABuACAAIAAgACAAaABlAGkAZwBoAHQALAAgACAAIAAgACAAIAAgACAAIAAgACAAIAAgAFIATwBXAFMAKABNAGEAdAByAGkAeAApACwAXABuACAAIAAgACAAdwBpAGQAdABoACwAIAAgACAAIAAgACAAIAAgACAAIAAgACAAIAAgAEMATwBMAFUATQBOAFMAKABNAGEAdAByAGkAeAApACwAXABuAFwAbgAgACAAIAAgAC8ALwAgAFAAYQBkACAAbQBhAHQAcgBpAHgAIAB3AGkAdABoACAAXAAiAG8AbQBpAHQAXAAiACAAdABvACAAcwBhAGYAZQBsAHkAIABkAHIAbwBwACAAZQBkAGcAZQBzAFwAbgAgACAAIAAgAE0ALAAgACAAIAAgACAAIAAgACAAIAAgACAAIAAgACAAIAAgACAAIABWAFMAVABBAEMASwAoAFwAIgBvAG0AaQB0AFwAIgAsAFwAbgAgACAAIAAgACAAIAAgACAAIAAgACAAIAAgACAAIAAgACAAIAAgACAAIAAgACAAIAAgACAAIAAgACAAIAAgAEgAUwBUAEEAQwBLACgAXAAiAG8AbQBpAHQAXAAiACwAIABNAGEAdAByAGkAeAAsACAAXAAiAG8AbQBpAHQAXAAiACkALABcAG4AIAAgACAAIAAgACAAIAAgACAAIAAgACAAIAAgACAAIAAgACAAIAAgACAAIAAgACAAIAAgACAAIAAgACAAIABcACIAbwBtAGkAdABcACIAKQAsAFwAbgBcAG4AIAAgACAAIAAvAC8AIABEAGkAcgBlAGMAdABpAG8AbgBhAGwAIAB2AGUAYwB0AG8AcgBzACAAKABmAGwAYQB0AHQAZQBuAGUAZAApAFwAbgAgACAAIAAgAGEALAAgACAAIAAgACAAIABUAE8AQwBPAEwAKABEAFIATwBQACgATQAsACAALQAyACwAIAAtADIAKQApACwAIAAgACAAIAAgACAAIAAgACAAIAAgACAAIAAgACAAIAAgACAAIAAgACAAIAAgACAAIAAvAC8AIABOAFcAXABuACAAIAAgACAAYgAsACAAIAAgACAAIAAgAFQATwBDAE8ATAAoAFQAQQBLAEUAKABEAFIATwBQACgATQAsACAALAAgADEAKQAsACAAaABlAGkAZwBoAHQALAAgAHcAaQBkAHQAaAApACkALAAgACAAIAAgACAAIAAgAC8ALwAgAE4AXABuACAAIAAgACAAYwAsACAAIAAgACAAIAAgAFQATwBDAE8ATAAoAFQAQQBLAEUAKABEAFIATwBQACgATQAsACAALAAgADIAKQAsACAAaABlAGkAZwBoAHQAKQApACwAIAAgACAAIAAgACAAIAAgACAAIAAgACAAIAAgAC8ALwAgAE4ARQBcAG4AIAAgACAAIABkACwAIAAgACAAIAAgACAAVABPAEMATwBMACgAVABBAEsARQAoAEQAUgBPAFAAKABNACwAIAAxACwAIAAtADEAKQAsACAAaABlAGkAZwBoAHQALAAgAHcAaQBkAHQAaAApACkALAAgACAAIAAgACAALwAvACAAVwBcAG4AIAAgACAAIABjAGUAbgB0AGUAcgAsACAAVABPAEMATwBMACgAVABBAEsARQAoAEQAUgBPAFAAKABNACwAIAAxACwAIAAxACkALAAgAGgAZQBpAGcAaAB0ACwAIAB3AGkAZAB0AGgAKQApACwAIAAgACAAIAAgACAALwAvACAAQwBcAG4AIAAgACAAIABmACwAIAAgACAAIAAgACAAVABPAEMATwBMACgAVABBAEsARQAoAEQAUgBPAFAAKABNACwAIAAxACwAIAAxACkALAAgAGgAZQBpAGcAaAB0ACwAIAAtAHcAaQBkAHQAaAApACkALAAgACAAIAAgACAALwAvACAARQBcAG4AIAAgACAAIABnACwAIAAgACAAIAAgACAAVABPAEMATwBMACgAVABBAEsARQAoAEQAUgBPAFAAKABNACwAIAAxACwAIAAtADEAKQAsACAALQBoAGUAaQBnAGgAdAAsACAAdwBpAGQAdABoACkAKQAsACAAIAAgACAALwAvACAAUwBXAFwAbgAgACAAIAAgAGgALAAgACAAIAAgACAAIABUAE8AQwBPAEwAKABUAEEASwBFACgARABSAE8AUAAoAE0ALAAgADEALAAgAC0AMQApACwAIAAtAGgAZQBpAGcAaAB0ACwAIAAtAHcAaQBkAHQAaAApACkALAAgACAAIAAvAC8AIABTAFwAbgAgACAAIAAgAGkALAAgACAAIAAgACAAIABUAE8AQwBPAEwAKABUAEEASwBFACgARABSAE8AUAAoAE0ALAAgADEALAAgADEAKQAsACAALQBoAGUAaQBnAGgAdAAsACAALQB3AGkAZAB0AGgAKQApACwAIAAgACAAIAAvAC8AIABTAEUAXABuAFwAbgAgACAAIAAgAC8ALwAgAE4AZQBpAGcAaABiAG8AcgBoAG8AbwBkACAAYQBzAHMAZQBtAGIAbABpAGUAcwBcAG4AIAAgACAAIABNAG8AbwByAGUAXwBuAG8AXwBjAGUAbgB0AGUAcgAsACAAIAAgACAAIAAgACAASABTAFQAQQBDAEsAKABhACwAYgAsAGMALABkACwAZgAsAGcALABoACwAaQApACwAXABuACAAIAAgACAATQBvAG8AcgBlAF8AdwBpAHQAaABfAGMAZQBuAHQAZQByACwAIAAgACAAIAAgAEgAUwBUAEEAQwBLACgAYQAsAGIALABjACwAZAAsAGMAZQBuAHQAZQByACwAZgAsAGcALABoACwAaQApACwAXABuAFwAbgAgACAAIAAgAHYAbwBuAF8AbgBvAF8AYwBlAG4AdABlAHIALAAgACAAIAAgACAAIAAgACAAIABIAFMAVABBAEMASwAoAGIALABkACwAZgAsAGgAKQAsAFwAbgAgACAAIAAgAHYAbwBuAF8AdwBpAHQAaABfAGMAZQBuAHQAZQByACwAIAAgACAAIAAgACAAIABIAFMAVABBAEMASwAoAGIALABkACwAZgAsAGgALABjAGUAbgB0AGUAcgApACwAXABuAFwAbgAgACAAIAAgAC8ALwAgAEEAZwBnAHIAZQBnAGEAdABvAHIAXABuACAAIAAgACAAQQBnAGcAcgBlAGcAYQB0AGUAuwMsACAAIAAgACAAIAAgACAAIAAgACAAIAAgAEwAQQBNAEIARABBACgAdgAsAFwAbgAgACAAIAAgACAAIAAgACAAIAAgACAAIAAgACAAIAAgACAAIAAgACAAIAAgACAAIAAgACAAIAAgAGYAdQBuAGMAdABpAG8AbgAoAFQATwBDAE8ATAAoAEkARgBTACgAdgAsACAAdgApACwAMgApACkAKQAsAFwAbgBcAG4AIAAgACAAIAAvAC8AIABBAHAAcABsAHkAIABhAGcAZwByAGUAZwBhAHQAaQBvAG4AXABuACAAIAAgACAAYQBnAGcALAAgACAAIAAgACAAIAAgACAAIAAgACAAIAAgACAAIAAgACAAIAAgAEkARgAoAEkAcwB2AG8AbgBOAGUAdQBtAGEAbgBuAD8ALABcAG4AXABuACAAIAAgACAAIAAgACAAIAAgACAAIAAgACAAIAAgACAAIAAgACAAIAAgACAAIAAgACAAIAAgACAAIAAgACAAIABJAEYAKABvAG0AaQB0AF8AYwBlAG4AdABlAHIALABCAFkAUgBPAFcAKAB2AG8AbgBfAG4AbwBfAGMAZQBuAHQAZQByACwAIABBAGcAZwByAGUAZwBhAHQAZQC7AykALABcAG4AIAAgACAAIAAgACAAIAAgACAAIAAgACAAIAAgACAAIAAgACAAIAAgACAAIAAgACAAIAAgACAAIAAgACAAIAAgACAAIAAgACAAIAAgACAAIAAgACAAIAAgACAAIAAgAEIAWQBSAE8AVwAoAHYAbwBuAF8AdwBpAHQAaABfAGMAZQBuAHQAZQByACwAIABBAGcAZwByAGUAZwBhAHQAZQC7AykAKQAsAFwAbgBcAG4AIAAgACAAIAAgACAAIAAgACAAIAAgACAAIAAgACAAIAAgACAAIAAgACAAIAAgACAAIAAgACAAIAAgACAAIAAgAEkARgAoAG8AbQBpAHQAXwBjAGUAbgB0AGUAcgAsAEIAWQBSAE8AVwAoAE0AbwBvAHIAZQBfAG4AbwBfAGMAZQBuAHQAZQByACwAIABBAGcAZwByAGUAZwBhAHQAZQC7AykALABcAG4AIAAgACAAIAAgACAAIAAgACAAIAAgACAAIAAgACAAIAAgACAAIAAgACAAIAAgACAAIAAgACAAIAAgACAAIAAgACAAIAAgACAAIAAgACAAIAAgACAAIAAgACAAIAAgAEIAWQBSAE8AVwAoAE0AbwBvAHIAZQBfAHcAaQB0AGgAXwBjAGUAbgB0AGUAcgAsACAAQQBnAGcAcgBlAGcAYQB0AGUAuwMpACkAKQAsAFwAbgBcAG4AIAAgACAAIAAvAC8AIABSAGUAcwBoAGEAcABlACAAYgBhAGMAawAgAHQAbwAgAG0AYQB0AHIAaQB4AFwAbgAgACAAIAAgAGQAZQBsAGkAdgBlAHIALAAgACAAIAAgACAAIAAgACAAIAAgACAAIAAgACAAIABJAEYARQBSAFIATwBSACgAVwBSAEEAUABSAE8AVwBTACgAYQBnAGcALAAgAHcAaQBkAHQAaAApACwAIAAwACkALABcAG4AXABuACAAIAAgACAAZABlAGwAaQB2AGUAcgBcAG4AKQApACkAKQA7AFwAbgBcAG4AXABuAFwAbgAvACoAIABbAEcAUgAxADIAXQAgAC0ALQAtAC0ALQAtAC0ALQAtAC0ALQAtAC0ALQAtAC0ALQAtAC0ALQAtAC0ALQAtAC0ALQAtAC0ALQAtAC0ALQAtAC0ALQAtAC0ALQAtAC0ALQAtAC0ALQAtAC0ALQAtAC0ALQAtAC0ALQAtAC0ALQAtAC0ALQAtAC0ALQAtAC0ALQAtAC0ALQAtAC0ALQAtAC0AXABuAEYAdQBuAGMAdABpAG8AbgA6ACAAIAAgACAAIABNAG8AbwByAGUAUwBlAGwAZQBjAHQAuwNcAG4AQwBhAHQAZQBnAG8AcgB5ADoAIAAgACAAIAAgAEcAcgBpAGQAIABBAG4AYQBsAHkAdABpAGMAcwAgACgATgBlAGkAZwBoAGIAbwByAGgAbwBvAGQAcwApAFwAbgBBAHUAdABoAG8AcgA6ACAAIAAgACAAIAAgACAAUABhAHQAcgBpAGMAawAgAEgALgBcAG4AVgBlAHIAcwBpAG8AbgA6ACAAIAAgACAAIAAgADEALgAxAFwAbgBcAG4ARABlAHMAYwByAGkAcAB0AGkAbwBuADoAXABuACAAIAAgACAAUwBlAGwAZQBjAHQAcwAgAGEAIABzAHAAZQBjAGkAZgBpAGMAIABuAGUAaQBnAGgAYgBvAHIAIAAoADEAEyA5ACkAIABmAHIAbwBtACAAdABoAGUAIABNAG8AbwByAGUAIABuAGUAaQBnAGgAYgBvAHIAaABvAG8AZAAgAGYAbwByACAAZQBhAGMAaABcAG4AIAAgACAAIABlAGwAZQBtAGUAbgB0ACAAaQBuACAAYQAgAG0AYQB0AHIAaQB4AC4AIABOAGUAaQBnAGgAYgBvAHIAIABpAG4AZABlAHgAIAA1ACAAcgBlAHQAdQByAG4AcwAgAHQAaABlACAAYwBlAG4AdABlAHIAIABjAGUAbABsAC4AXABuAFwAbgBNAG8AbwByAGUAIABOAGUAaQBnAGgAYgBvAHIAaABvAG8AZAA6AFwAbgAgACAAIAAgACAAIAAgACAAMQAgACAAIAAyACAAIAAgADMAXABuACAAIAAgACAAIAAgACAAIAA0ACAAIAAgAEMAIAAgACAANgBcAG4AIAAgACAAIAAgACAAIAAgADcAIAAgACAAOAAgACAAIAA5AFwAbgBcAG4AUABhAHIAYQBtAGUAdABlAHIAcwA6AFwAbgAgACAAIAAgAE0AYQB0AHIAaQB4ACAAIAAgACAAIAAgAC0AIAAyAEQAIABpAG4AcAB1AHQAIABtAGEAdAByAGkAeAAuAFwAbgAgACAAIAAgAG4AZQBpAGcAaABiAG8AcgAgACAAIAAgAC0AIABJAG4AdABlAGcAZQByACAAMQATIDkAIABpAG4AZABpAGMAYQB0AGkAbgBnACAAdwBoAGkAYwBoACAAbgBlAGkAZwBoAGIAbwByACAAdABvACAAcgBlAHQAdQByAG4ALgBcAG4ALQAtAC0ALQAtAC0ALQAtAC0ALQAtAC0ALQAtAC0ALQAtAC0ALQAtAC0ALQAtAC0ALQAtAC0ALQAtAC0ALQAtAC0ALQAtAC0ALQAtAC0ALQAtAC0ALQAtAC0ALQAtAC0ALQAtAC0ALQAtAC0ALQAtAC0ALQAtAC0ALQAtAC0ALQAtAC0ALQAtAC0ALQAtAC0ALQAtAC0ALQAtAC0AKgAvAFwAbgBcAG4ATQBvAG8AcgBlAFMAZQBsAGUAYwB0ALsDIAA9AFwAbgBMAEEATQBCAEQAQQAoAFwAbgAgACAAIAAgAG0AYQB0AHIAaQB4ACwAXABuACAAIAAgACAAbgBlAGkAZwBoAGIAbwByACwAXABuAFwAbgBJAEYAKABUAFkAUABFACgAbQBhAHQAcgBpAHgAKQAgADwAPgAgADYANAAsAFwAIgAjAE0AQQBUAFIASQBYACEAXAAiACwAXABuAFwAbgAgACAAIAAgAEkARgAoAE4ATwBUACgAQQBOAEQAKABuAGUAaQBnAGgAYgBvAHIAIAA+AD0AIAAxACwAIABuAGUAaQBnAGgAYgBvAHIAIAA8AD0AIAA5ACwAIABOAE8AVAAoAEkAUwBUAEUAWABUACgAbgBlAGkAZwBoAGIAbwByACkAKQApACkALABcACIAIwBOAEUASQBHAEgAQgBPAFIAIQBcACIALABcAG4AXABuAEwARQBUACgAXABuACAAIAAgACAALwAvACAARABpAG0AZQBuAHMAaQBvAG4AcwBcAG4AIAAgACAAIABoAGUAaQBnAGgAdAAsACAAIAAgACAAIAAgACAAIAAgACAAIAAgACAAUgBPAFcAUwAoAG0AYQB0AHIAaQB4ACkALABcAG4AIAAgACAAIAB3AGkAZAB0AGgALAAgACAAIAAgACAAIAAgACAAIAAgACAAIAAgACAAQwBPAEwAVQBNAE4AUwAoAG0AYQB0AHIAaQB4ACkALABcAG4AXABuACAAIAAgACAALwAvACAAUABhAGQAIABtAGEAdAByAGkAeAAgAHcAaQB0AGgAIAB6AGUAcgBvAHMAIAAoAG4AbwAgAGEAZwBnAHIAZQBnAGEAdABpAG8AbgAgAG4AZQBlAGQAZQBkACkAXABuACAAIAAgACAAaABwAGEAZAAsACAAIAAgACAAIAAgACAAIAAgACAAIAAgACAAIAAgAEUAWABQAEEATgBEACgAMAAsACAALAAgAHcAaQBkAHQAaAAgACsAIAAyACwAIAAwACkALABcAG4AIAAgACAAIAB2AHAAYQBkACwAIAAgACAAIAAgACAAIAAgACAAIAAgACAAIAAgACAARQBYAFAAQQBOAEQAKAAwACwAIABoAGUAaQBnAGgAdAAsACAALAAgADAAKQAsAFwAbgAgACAAIAAgAE0ALAAgACAAIAAgACAAIAAgACAAIAAgACAAIAAgACAAIAAgACAAIABWAFMAVABBAEMASwAoAGgAcABhAGQALAAgAEgAUwBUAEEAQwBLACgAdgBwAGEAZAAsACAAbQBhAHQAcgBpAHgALAAgAHYAcABhAGQAKQAsACAAaABwAGEAZAApACwAXABuAFwAbgAgACAAIAAgAC8ALwAgAE0AbwBvAHIAZQAgAG4AZQBpAGcAaABiAG8AcgBoAG8AbwBkACAAZQB4AHQAcgBhAGMAdABpAG8AbgBcAG4AIAAgACAAIABhACwAIAAgACAAIAAgACAAIAAgACAAIAAgACAAIAAgACAAIAAgACAARABSAE8AUAAoAE0ALAAgAC0AMgAsACAALQAyACkALAAgACAAIAAgACAAIAAgACAAIAAgACAAIAAgACAAIAAgACAAIAAgACAAIAAgACAAIAAgAC8ALwAgAE4AVwBcAG4AIAAgACAAIABiACwAIAAgACAAIAAgACAAIAAgACAAIAAgACAAIAAgACAAIAAgACAAVABBAEsARQAoAEQAUgBPAFAAKABNACwAIAAsACAAMQApACwAIABoAGUAaQBnAGgAdAAsACAAdwBpAGQAdABoACkALAAgACAAIAAgACAAIAAgAC8ALwAgAE4AXABuACAAIAAgACAAYwAsACAAIAAgACAAIAAgACAAIAAgACAAIAAgACAAIAAgACAAIAAgAFQAQQBLAEUAKABEAFIATwBQACgATQAsACAALAAgADIAKQAsACAAaABlAGkAZwBoAHQAKQAsACAAIAAgACAAIAAgACAAIAAgACAAIAAgACAAIAAvAC8AIABOAEUAXABuACAAIAAgACAAZAAsACAAIAAgACAAIAAgACAAIAAgACAAIAAgACAAIAAgACAAIAAgAFQAQQBLAEUAKABEAFIATwBQACgATQAsACAAMQAsACAALQAxACkALAAgAGgAZQBpAGcAaAB0ACwAIAB3AGkAZAB0AGgAKQAsACAAIAAgACAAIAAvAC8AIABXAFwAbgAgACAAIAAgAGMAZQBuAHQAZQByACwAIAAgACAAIAAgACAAIAAgACAAIAAgACAAIABUAEEASwBFACgARABSAE8AUAAoAE0ALAAgADEALAAgADEAKQAsACAAaABlAGkAZwBoAHQALAAgAHcAaQBkAHQAaAApACwAIAAgACAAIAAgACAALwAvACAAQwBcAG4AIAAgACAAIABmACwAIAAgACAAIAAgACAAIAAgACAAIAAgACAAIAAgACAAIAAgACAAVABBAEsARQAoAEQAUgBPAFAAKABNACwAIAAxACwAIAAxACkALAAgAGgAZQBpAGcAaAB0ACwAIAAtAHcAaQBkAHQAaAApACwAIAAgACAAIAAgAC8ALwAgAEUAXABuACAAIAAgACAAZwAsACAAIAAgACAAIAAgACAAIAAgACAAIAAgACAAIAAgACAAIAAgAFQAQQBLAEUAKABEAFIATwBQACgATQAsACAAMQAsACAALQAxACkALAAgAC0AaABlAGkAZwBoAHQALAAgAHcAaQBkAHQAaAApACwAIAAgACAAIAAvAC8AIABTAFcAXABuACAAIAAgACAAaAAsACAAIAAgACAAIAAgACAAIAAgACAAIAAgACAAIAAgACAAIAAgAFQAQQBLAEUAKABEAFIATwBQACgATQAsACAAMQAsACAALQAxACkALAAgAC0AaABlAGkAZwBoAHQALAAgAC0AdwBpAGQAdABoACkALAAgACAAIAAvAC8AIABTAFwAbgAgACAAIAAgAGkALAAgACAAIAAgACAAIAAgACAAIAAgACAAIAAgACAAIAAgACAAIABUAEEASwBFACgARABSAE8AUAAoAE0ALAAgADEALAAgADEAKQAsACAALQBoAGUAaQBnAGgAdAAsACAALQB3AGkAZAB0AGgAKQAsACAAIAAgACAALwAvACAAUwBFAFwAbgBcAG4AIAAgACAAIAAvAC8AIABTAHQAYQBjAGsAIABhAGwAbAAgADkAIABuAGUAaQBnAGgAYgBvAHIAcwAgAGgAbwByAGkAegBvAG4AdABhAGwAbAB5AFwAbgAgACAAIAAgAE0AbwBvAHIAZQAsACAAIAAgACAAIAAgACAAIAAgACAAIAAgACAAIABIAFMAVABBAEMASwAoAGEALAAgAGIALAAgAGMALAAgAGQALAAgAGMAZQBuAHQAZQByACwAIABmACwAIABnACwAIABoACwAIABpACkALABcAG4AXABuACAAIAAgACAALwAvACAAQwBvAG0AcAB1AHQAZQAgAHMAdABhAHIAdABpAG4AZwAgAGMAbwBsAHUAbQBuACAAZgBvAHIAIAB0AGgAZQAgAGMAaABvAHMAZQBuACAAbgBlAGkAZwBoAGIAbwByAFwAbgAgACAAIAAgAHMAdABhAHIAdAAsACAAIAAgACAAIAAgACAAIAAgACAAIAAgACAAIAAoAG4AZQBpAGcAaABiAG8AcgAgAC0AIAAxACkAIAAqACAAdwBpAGQAdABoACAAKwAgADEALABcAG4AXABuACAAIAAgACAALwAvACAAUwBlAGwAZQBjAHQAIAB0AGgAZQAgAG4AZQBpAGcAaABiAG8AcgAgAGIAbABvAGMAawBcAG4AIAAgACAAIABzAGUAbABlAGMAdABfAG4AZQBpAGcAaABiAG8AcgAsACAAIAAgACAAQwBIAE8ATwBTAEUAQwBPAEwAUwAoAE0AbwBvAHIAZQAsACAAUwBFAFEAVQBFAE4AQwBFACgALAAgAHcAaQBkAHQAaAAsACAAcwB0AGEAcgB0ACkAKQAsAFwAbgBcAG4AIAAgACAAIABzAGUAbABlAGMAdABfAG4AZQBpAGcAaABiAG8AcgBcAG4AKQApACkAKQA7AFwAbgBcAG4AXABuAFwAbgAvACoAIABbAEcAUgAxADMAXQAgAC0ALQAtAC0ALQAtAC0ALQAtAC0ALQAtAC0ALQAtAC0ALQAtAC0ALQAtAC0ALQAtAC0ALQAtAC0ALQAtAC0ALQAtAC0ALQAtAC0ALQAtAC0ALQAtAC0ALQAtAC0ALQAtAC0ALQAtAC0ALQAtAC0ALQAtAC0ALQAtAC0ALQAtAC0ALQAtAC0ALQAtAC0ALQAtAC0AXABuAEYAdQBuAGMAdABpAG8AbgA6ACAAIAAgACAAIABIAGkAcwB0AG8AZwByAGEAbQC7A1wAbgBDAGEAdABlAGcAbwByAHkAOgAgACAAIAAgACAARwByAGkAZAAgAEEAbgBhAGwAeQB0AGkAYwBzACAAKABTAHQAYQB0AGkAcwB0AGkAYwBzACkAXABuAEEAdQB0AGgAbwByADoAIAAgACAAIAAgACAAIABQAGEAdAByAGkAYwBrACAASAAuAFwAbgBWAGUAcgBzAGkAbwBuADoAIAAgACAAIAAgACAAMQAuADEAXABuAFwAbgBEAGUAcwBjAHIAaQBwAHQAaQBvAG4AOgBcAG4AIAAgACAAIABHAGUAbgBlAHIAYQB0AGUAcwAgAGEAIABoAGkAcwB0AG8AZwByAGEAbQAgAHUAcwBpAG4AZwAgAGEAdQB0AG8AbQBhAHQAaQBjACAAYgBpAG4AbgBpAG4AZwAgAHIAdQBsAGUAcwAgACgAUwB0AHUAcgBnAGUAcwAsACAAUgBpAGMAZQAsAFwAbgAgACAAIAAgAFMAYwBvAHQAdAAsACAARgByAGUAZQBkAG0AYQBuACkAIABkAGUAcABlAG4AZABpAG4AZwAgAG8AbgAgAHMAYQBtAHAAbABlACAAcwBpAHoAZQAgAGEAbgBkACAAcwBrAGUAdwBuAGUAcwBzAC4AIABTAHUAcABwAG8AcgB0AHMAIABhAG4AXABuACAAIAAgACAAbwBwAHQAaQBvAG4AYQBsACAAZgBpAHgAZQBkACAAYgBpAG4AIAB3AGkAZAB0AGgAIABhAG4AZAAgAGEAbgAgAG8AcAB0AGkAbwBuAGEAbAAgAFAAYQByAGUAdABvACAAKABjAHUAbQB1AGwAYQB0AGkAdgBlACAAJQApACAAYwBvAGwAdQBtAG4ALgBcAG4AXABuAFAAYQByAGEAbQBlAHQAZQByAHMAOgBcAG4AIAAgACAAIABhAHIAcgBhAHkAIAAgACAAIAAgACAAIAAgACAAIAAgACAALQAgAE4AdQBtAGUAcgBpAGMAIABhAHIAcgBhAHkAIAAoADEARAAgAG8AcgAgADIARAApAC4AXABuACAAIAAgACAAWwBiAGkAbgBfAHcAaQBkAHQAaABdACAAIAAgACAAIAAgAC0AIABPAHAAdABpAG8AbgBhAGwAIABmAGkAeABlAGQAIABiAGkAbgAgAHcAaQBkAHQAaAAgACgAMAAgADwAIAB3AGkAZAB0AGgAIABkIiAAMQAwADAAMAApAC4AXABuACAAIAAgACAAWwBpAG4AYwBsAHUAZABlAF8AUABhAHIAZQB0AG8AXQAgAC0AIABUAFIAVQBFACAAkiEgAGkAbgBjAGwAdQBkAGUAIABjAHUAbQB1AGwAYQB0AGkAdgBlACAAJQAgAGMAbwBsAHUAbQBuAC4AXABuAFwAbgBOAG8AdABlAHMAOgBcAG4AIAAgACAAIAAiICAAUgBlAHQAdQByAG4AcwAgACMAVgBBAEwAVQBFACEAIABpAGYAIABmAGUAdwBlAHIAIAB0AGgAYQBuACAAMgAgAHYAYQBsAHUAZQBzACAAYQByAGUAIABzAHUAcABwAGwAaQBlAGQALgBcAG4AIAAgACAAIAAiICAAQwBhAHAAcwAgAHQAbwB0AGEAbAAgAGIAaQBuAHMAIABhAHQAIAAxADAAMAAuAFwAbgAgACAAIAAgACIgIABJAGYAIABiAGkAbgBfAHcAaQBkAHQAaAAgAGkAcwAgAHMAdQBwAHAAbABpAGUAZAAsACAAYQB1AHQAbwBtAGEAdABpAGMAIAByAHUAbABlAHMAIABhAHIAZQAgAGIAeQBwAGEAcwBzAGUAZAAuAFwAbgAtAC0ALQAtAC0ALQAtAC0ALQAtAC0ALQAtAC0ALQAtAC0ALQAtAC0ALQAtAC0ALQAtAC0ALQAtAC0ALQAtAC0ALQAtAC0ALQAtAC0ALQAtAC0ALQAtAC0ALQAtAC0ALQAtAC0ALQAtAC0ALQAtAC0ALQAtAC0ALQAtAC0ALQAtAC0ALQAtAC0ALQAtAC0ALQAtAC0ALQAtAC0ALQAqAC8AXABuAFwAbgBIAGkAcwB0AG8AZwByAGEAbQC7AyAAPQBcAG4ATABBAE0AQgBEAEEAKABcAG4AIAAgACAAIABhAHIAcgBhAHkALABcAG4AIAAgACAAIABbAGIAaQBuAF8AdwBpAGQAdABoAF0ALABcAG4AIAAgACAAIABbAGkAbgBjAGwAdQBkAGUAXwBQAGEAcgBlAHQAbwBdACwAXABuAFwAbgBcAG4ASQBGACgAQwBPAFUATgBUACgAYQByAHIAYQB5ACkAIAA8AD0AIAAxACwAIwBWAEEATABVAEUAIQAsAFwAbgBcAG4AIAAgACAAIABJAEYAKABBAE4ARAAoAE4ATwBUACgASQBTAE8ATQBJAFQAVABFAEQAKABiAGkAbgBfAHcAaQBkAHQAaAApACkALABPAFIAKABiAGkAbgBfAHcAaQBkAHQAaAAgADwAIAAwACwAIABiAGkAbgBfAHcAaQBkAHQAaAAgAD4AIAAxADAAMAAwACkAKQAsAFwAIgAjAEIASQBOAC0AVwBJAEQAVABIACEAXAAiACwAXABuAFwAbgBMAEUAVAAoAFwAbgAgACAAIAAgAC8ALwAgAFMAYQBtAHAAbABlACAAYwBoAGEAcgBhAGMAdABlAHIAaQBzAHQAaQBjAHMAXABuACAAIAAgACAAbgAsACAAIAAgACAAIAAgACAAIAAgACAAIAAgACAAIABDAE8AVQBOAFQAKABhAHIAcgBhAHkAKQAsAFwAbgAgACAAIAAgAFMAbQBhAGwAbABEAGEAdABhAD8ALAAgACAAIAAgACAAbgAgADwAIAAyADAAMAAsAFwAbgAgACAAIAAgAEEAZABkAF8AUABhAHIAZQB0AG8APwAsACAAIAAgACAATgBPAFQAKABJAFMATwBNAEkAVABUAEUARAAoAGkAbgBjAGwAdQBkAGUAXwBQAGEAcgBlAHQAbwApACkALABcAG4AXABuACAAIAAgACAAbQBpAG4ALAAgACAAIAAgACAAIAAgACAAIAAgACAAIABNAEkATgAoAGEAcgByAGEAeQApACwAXABuACAAIAAgACAAbQBhAHgALAAgACAAIAAgACAAIAAgACAAIAAgACAAIABNAEEAWAAoAGEAcgByAGEAeQApACwAXABuACAAIAAgACAAcgBhAG4AZwBlACwAIAAgACAAIAAgACAAIAAgACAAIABtAGEAeAAgAC0AIABtAGkAbgAsAFwAbgAgACAAIAAgAGkAcQByACwAIAAgACAAIAAgACAAIAAgACAAIAAgACAAUQBVAEEAUgBUAEkATABFACgAYQByAHIAYQB5ACwAIAAzACkAIAAtACAAUQBVAEEAUgBUAEkATABFACgAYQByAHIAYQB5ACwAIAAxACkALABcAG4AXABuACAAIAAgACAAcwAsACAAIAAgACAAIAAgACAAIAAgACAAIAAgACAAIABTAEsARQBXACgAYQByAHIAYQB5ACkALABcAG4AIAAgACAAIABJAHMAUwBrAGUAdwBlAGQAPwAsACAAIAAgACAAIAAgAEkARgAoAFMAbQBhAGwAbABEAGEAdABhAD8ALAAgAEYAQQBMAFMARQAsACAAQQBCAFMAKABzACkAIAA+ACAAMAAuADIAKQAsAFwAbgBcAG4AIAAgACAAIAAvAC8AIABPAHAAdABpAG8AbgBhAGwAIABmAGkAeABlAGQAIABiAGkAbgAgAHcAaQBkAHQAaABcAG4AIAAgACAAIABJAHMARgBpAHgAZQBkAD8ALAAgACAAIAAgACAAIAAgAE4ATwBUACgASQBTAE8ATQBJAFQAVABFAEQAKABiAGkAbgBfAHcAaQBkAHQAaAApACkALABcAG4AXABuACAAIAAgACAALwAvACAAQQB1AHQAbwBtAGEAdABpAGMAIABiAGkAbgBuAGkAbgBnACAAcgB1AGwAZQBzAFwAbgAgACAAIAAgAFMAdAB1AHIAZwBlACwAIAAgACAAIAAgACAAIAAgACAAQwBFAEkATABJAE4ARwAoAEwATwBHACgAbgAsACAAMgApACAAKwAgADEALAAgADEAKQAsAFwAbgAgACAAIAAgAFMAUgBSACwAIAAgACAAIAAgACAAIAAgACAAIAAgACAAQwBFAEkATABJAE4ARwAoAFMAUQBSAFQAKABuACkALAAgADEAKQAsAFwAbgAgACAAIAAgAFIAaQBjAGUALAAgACAAIAAgACAAIAAgACAAIAAgACAAQwBFAEkATABJAE4ARwAoADIAIAAqACAAbgBeACgAMQAvADMAKQAsACAAMQApACwAXABuACAAIAAgACAAUwBjAG8AdAB0ACwAIAAgACAAIAAgACAAIAAgACAAIABDAEUASQBMAEkATgBHACgAMwAuADUAIAAqACAAUwBUAEQARQBWAC4AUAAoAGEAcgByAGEAeQApACAALwAgAG4AXgAoADEALwAzACkALAAgADEAKQAsAFwAbgAgACAAIAAgAEYAcgBlAGUAZABtAGEAbgAsACAAIAAgACAAIAAgACAAQwBFAEkATABJAE4ARwAoADIAIAAqACAAaQBxAHIAIAAvACAAbgBeACgAMQAvADMAKQAsACAAMQApACwAXABuAFwAbgAgACAAIAAgAGYAaQB4AGUAZAAsACAAIAAgACAAIAAgACAAIAAgACAAQwBFAEkATABJAE4ARwAoAHIAYQBuAGcAZQAgAC8AIABiAGkAbgBfAHcAaQBkAHQAaAAsACAAMQAgAC8AIABiAGkAbgBfAHcAaQBkAHQAaAApACwAXABuAFwAbgAgACAAIAAgAC8ALwAgAEIAaQBuACAAYwBvAHUAbgB0ACAAcwBlAGwAZQBjAHQAaQBvAG4AXABuACAAIAAgACAAawAsACAAIAAgACAAIAAgACAAIAAgACAAIAAgACAAIABJAEYAKABJAHMARgBpAHgAZQBkAD8ALABmAGkAeABlAGQALABcAG4AIAAgACAAIAAgACAAIAAgACAAIAAgACAAIAAgACAAIAAgACAAIAAgACAAIAAgACAASQBGACgAbgAgADwAPQAgADMAMAAsAE0AQQBYACgAUwB0AHUAcgBnAGUALAAgAFIAaQBjAGUAKQAsAFwAbgAgACAAIAAgACAAIAAgACAAIAAgACAAIAAgACAAIAAgACAAIAAgACAAIAAgACAAIAAgACAAIAAgAEkARgAoAEkAcwBTAGsAZQB3AGUAZAA/ACwATQBJAE4AKABGAHIAZQBlAGQAbQBhAG4ALAAgADEANQApACwAXABuACAAIAAgACAAIAAgACAAIAAgACAAIAAgACAAIAAgACAAIAAgACAAIAAgACAAIAAgACAAIAAgACAAIAAgACAAIABNAEkATgAoAFMAYwBvAHQAdAAsACAAMQA1ACkAKQApACkALABcAG4AXABuACAAIAAgACAALwAvACAAQQB2AG8AaQBkACAAcwBpAG4AZwBsAGUALQBiAGkAbgAgAG8AdQB0AHAAdQB0ADsAIABjAGEAcAAgAGEAdAAgADEAMAAwAFwAbgAgACAAIAAgAGsAXwAsACAAIAAgACAAIAAgACAAIAAgACAAIAAgACAATQBJAE4AKABJAEYAKABrACAAPQAgADEALAAgADUALAAgAGsAKQAsACAAMQAwADAAKQAsAFwAbgBcAG4AIAAgACAAIAAvAC8AIABCAGkAbgAgAGkAbgB0AGUAcgB2AGEAbABcAG4AIAAgACAAIABpAG4AdABlAHIAdgBhAGwALAAgACAAIAAgACAAIAAgAEkARgAoAHIAYQBuAGcAZQAgAD0AIAAwACwAIAAxACwAIABNAEEAWAAoAHIAYQBuAGcAZQAgAC8AIABrAF8ALAAgADAALgAxACkAKQAsAFwAbgAgACAAIAAgAGIAaQBuAF8AdQBwAHAAZQByACwAIAAgACAAIAAgACAAQwBFAEkATABJAE4ARwAoAG0AYQB4ACwAIABpAG4AdABlAHIAdgBhAGwAKQAsAFwAbgAgACAAIAAgAGIAaQBuAF8AbABvAHcAZQByACwAIAAgACAAIAAgACAARgBMAE8ATwBSACgAbQBpAG4ALAAgAGkAbgB0AGUAcgB2AGEAbAApACwAXABuAFwAbgAgACAAIAAgAGIAaQBuAF8AYQByAHIALAAgACAAIAAgACAAIAAgACAAUwBFAFEAVQBFAE4AQwBFACgAMQAgACsAIAAoAGIAaQBuAF8AdQBwAHAAZQByACAALQAgAGIAaQBuAF8AbABvAHcAZQByACkAIAAvACAAaQBuAHQAZQByAHYAYQBsACwALABiAGkAbgBfAGwAbwB3AGUAcgAsAGkAbgB0AGUAcgB2AGEAbAApACwAXABuAFwAbgAgACAAIAAgAC8ALwAgAEIAaQBuACAAbABhAGIAZQBsAHMAXABuACAAIAAgACAAYgBpAG4AXwBzAHQAYQByAHQALAAgACAAIAAgACAAIABEAFIATwBQACgAYgBpAG4AXwBhAHIAcgAsACAALQAxACkALABcAG4AIAAgACAAIABiAGkAbgBfAGUAbgBkACwAIAAgACAAIAAgACAAIAAgAEQAUgBPAFAAKABiAGkAbgBfAGEAcgByACwAIAAxACkALABcAG4AXABuACAAIAAgACAAYgBpAG4AXwBoAGUAYQBkAGUAcgAsACAAIAAgACAAIAB7AFwAIgBTAHQAYQByAHQAXAAiACwAIABcACIARQBuAGQAXAAiACwAIABcACIAVABvAHQAYQBsAFwAIgB9ACwAXABuACAAIAAgACAAYgBpAG4AXwBsAGEAYgBlAGwAcwAsACAAIAAgACAAIABIAFMAVABBAEMASwAoAFYAUwBUAEEAQwBLACgAXAAiADwAXAAiACwAIABiAGkAbgBfAHMAdABhAHIAdAApACwAXABuACAAIAAgACAAIAAgACAAIAAgACAAIAAgACAAIAAgACAAIAAgACAAIAAgACAAIAAgACAAIAAgAFYAUwBUAEEAQwBLACgAVABBAEsARQAoAGIAaQBuAF8AcwB0AGEAcgB0ACwAIAAxACkALAAgAGIAaQBuAF8AZQBuAGQAKQApACwAXABuAFwAbgAgACAAIAAgAC8ALwAgAEYAcgBlAHEAdQBlAG4AYwBpAGUAcwAgAGEAbgBkACAAUABhAHIAZQB0AG8AXABuACAAIAAgACAAZgByAGUAcQAsACAAIAAgACAAIAAgACAAIAAgACAAIABEAFIATwBQACgARgBSAEUAUQBVAEUATgBDAFkAKABhAHIAcgBhAHkALAAgAGIAaQBuAF8AYQByAHIAKQAsACAALQAxACkALABcAG4AIAAgACAAIABQAGEAcgBlAHQAbwAsACAAIAAgACAAIAAgACAAIAAgAEIAWQBSAE8AVwAoAGYAcgBlAHEALAAgAEwAQQBNAEIARABBACgAdgAsACAAUABFAFIAQwBFAE4AVABPAEYAKAB2ACwAIABmAHIAZQBxACkAKQApACwAXABuAFwAbgAgACAAIAAgAC8ALwAgAEYAaQBuAGEAbAAgAGEAcwBzAGUAbQBiAGwAeQBcAG4AIAAgACAAIABzAHQAYQBjAGsALAAgACAAIAAgACAAIAAgACAAIAAgAFYAUwBUAEEAQwBLACgAYgBpAG4AXwBoAGUAYQBkAGUAcgAsACAASABTAFQAQQBDAEsAKABiAGkAbgBfAGwAYQBiAGUAbABzACwAIABmAHIAZQBxACkAKQAsAFwAbgBcAG4AIAAgACAAIABkAGUAbABpAHYAZQByACwAIAAgACAAIAAgACAAIAAgAEkARgAoAEEAZABkAF8AUABhAHIAZQB0AG8APwAsAFMATwBSAFQAKABIAFMAVABBAEMASwAoAHMAdABhAGMAawAsAFYAUwBUAEEAQwBLACgAXAAiAEMAdQBtAHUAbABhAHQAaQB2AGUAIAAlAFwAIgAsACAAUABhAHIAZQB0AG8AKQApACwAMwAsAC0AMQApACwAXABuACAAIAAgACAAIAAgACAAIAAgACAAIAAgACAAIAAgACAAIAAgACAAIAAgACAAIAAgAHMAdABhAGMAawApACwAXABuAFwAbgAgACAAIAAgAGQAZQBsAGkAdgBlAHIAXABuACkAKQApACkAOwBcAG4AXABuAFwAbgBcAG4ALwAqACAAWwBHAFIAMQA0AF0AIAAtAC0ALQAtAC0ALQAtAC0ALQAtAC0ALQAtAC0ALQAtAC0ALQAtAC0ALQAtAC0ALQAtAC0ALQAtAC0ALQAtAC0ALQAtAC0ALQAtAC0ALQAtAC0ALQAtAC0ALQAtAC0ALQAtAC0ALQAtAC0ALQAtAC0ALQAtAC0ALQAtAC0ALQAtAC0ALQAtAC0ALQAtAC0ALQAtAFwAbgBGAHUAbgBjAHQAaQBvAG4AOgAgACAAIAAgACAATQBvAGQAZQC7A1wAbgBDAGEAdABlAGcAbwByAHkAOgAgACAAIAAgACAARwByAGkAZAAgAEEAbgBhAGwAeQB0AGkAYwBzACAAKABTAHQAYQB0AGkAcwB0AGkAYwBzACkAXABuAEEAdQB0AGgAbwByADoAIAAgACAAIAAgACAAIABQAGEAdAByAGkAYwBrACAASAAuAFwAbgBWAGUAcgBzAGkAbwBuADoAIAAgACAAIAAgACAAMQAuADEAXABuAFwAbgBEAGUAcwBjAHIAaQBwAHQAaQBvAG4AOgBcAG4AIAAgACAAIABSAGUAdAB1AHIAbgBzACAAYQAgAHYAZQByAHQAaQBjAGEAbAAgAGEAcgByAGEAeQAgAG8AZgAgAHQAaABlACAAbQBvAHMAdAAgAGYAcgBlAHEAdQBlAG4AdABsAHkAIABvAGMAYwB1AHIAcgBpAG4AZwAgAHYAYQBsAHUAZQBzACAAbwByAFwAbgAgACAAIAAgAHQAZQB4AHQAIABlAG4AdAByAGkAZQBzACAAaQBuACAAYQBuACAAYQByAHIAYQB5AC4AIABTAHUAcABwAG8AcgB0AHMAIABhAG4AIABvAHAAdABpAG8AbgBhAGwAIAB0AG8AdABhAGwAcwAgAGMAbwBsAHUAbQBuACAAcwBoAG8AdwBpAG4AZwBcAG4AIAAgACAAIAB0AGgAZQAgAGMAbwB1AG4AdAAgAG8AZgAgAGUAYQBjAGgAIABtAG8AZABlAC4AXABuAFwAbgBQAGEAcgBhAG0AZQB0AGUAcgBzADoAXABuACAAIAAgACAAYQByAHIAYQB5ACAAIAAgACAAIAAgACAAIAAgACAAIAAtACAAQQByAHIAYQB5ACAAKAAxAEQAIABvAHIAIAAyAEQAKQAuAFwAbgAgACAAIAAgAFsAaQBuAGMAbAB1AGQAZQBfAHQAbwB0AGEAbABzAF0ALQAgAFQAUgBVAEUAIACSISAAaQBuAGMAbAB1AGQAZQAgAGMAbwB1AG4AdABzACAAbwBmACAAZgByAGUAcQB1AGUAbgB0ACAAdgBhAGwAdQBlAHMALgBcAG4AXABuAE4AbwB0AGUAcwA6AFwAbgAgACAAIAAgACIgIABJAGYAIAB0AGgAZQAgAGEAcgByAGEAeQAgAGMAbwBuAHQAYQBpAG4AcwAgAG4AbwAgAHQAZQB4AHQALAAgAE0ATwBEAEUALgBNAFUATABUACAAaQBzACAAdQBzAGUAZAAgAGYAbwByACAAbgB1AG0AZQByAGkAYwAgAG0AbwBkAGUALgBcAG4AIAAgACAAIAAiICAASQBmACAAbgBvACAAcgBlAHAAZQBhAHQAcwAgAGUAeABpAHMAdAAsACAAcgBlAHQAdQByAG4AcwAgAFwAIgAjAE4ATwAtAFIARQBQAEUAQQBUAFMAIQBcACIALgBcAG4ALQAtAC0ALQAtAC0ALQAtAC0ALQAtAC0ALQAtAC0ALQAtAC0ALQAtAC0ALQAtAC0ALQAtAC0ALQAtAC0ALQAtAC0ALQAtAC0ALQAtAC0ALQAtAC0ALQAtAC0ALQAtAC0ALQAtAC0ALQAtAC0ALQAtAC0ALQAtAC0ALQAtAC0ALQAtAC0ALQAtAC0ALQAtAC0ALQAtAC0ALQAtAC0AKgAvAFwAbgBcAG4ATQBvAGQAZQC7AyAAPQBcAG4ATABBAE0AQgBEAEEAKABcAG4AIAAgACAAIABhAHIAcgBhAHkALABcAG4AIAAgACAAIABbAGkAbgBjAGwAdQBkAGUAXwB0AG8AdABhAGwAcwBdACwAXABuAFwAbgBJAEYAKABDAE8AVQBOAFQAKAAtAC0ASQBTAFQARQBYAFQAKABhAHIAcgBhAHkAKQApACAAPQAgADAALABNAE8ARABFAC4ATQBVAEwAVAAoAGEAcgByAGEAeQApACwAXABuAFwAbgBMAEUAVAAoAFwAbgAgACAAIAAgAC8ALwAgAE0AZQBzAHMAYQBnAGUAIABmAG8AcgAgAG4AbwAgAHIAZQBwAGUAYQB0AHMAXABuACAAIAAgACAAbQBzAGcALAAgACAAIAAgACAAIAAgACAAIAAgACAAIABcACIAIwBOAE8ALQBSAEUAUABFAEEAVABTACEAXAAiACwAXABuAFwAbgAgACAAIAAgAC8ALwAgAEYAbABhAHQAdABlAG4AIABpAG4AcAB1AHQAIABhAG4AZAAgAGMAbwBtAHAAdQB0AGUAIABtAG8AZABlACAAaQBuAGQAaQBjAGUAcwBcAG4AIAAgACAAIABWACwAIAAgACAAIAAgACAAIAAgACAAIAAgACAAIAAgAFQATwBDAE8ATAAoAGEAcgByAGEAeQApACwAXABuACAAIAAgACAAaQAsACAAIAAgACAAIAAgACAAIAAgACAAIAAgACAAIABNAE8ARABFAC4ATQBVAEwAVAAoAFgATQBBAFQAQwBIACgAVgAsACAAVgApACkALABcAG4AIAAgACAAIAByAGUAcwB1AGwAdAAsACAAIAAgACAAIAAgACAAIAAgAFMATwBSAFQAKABJAEYARQBSAFIATwBSACgASQBOAEQARQBYACgAVgAsACAAaQApACwAIABtAHMAZwApACkALABcAG4AXABuACAAIAAgACAALwAvACAAVABvAHQAYQBsAHMAIABmAG8AcgAgAHIAZQBwAGUAYQB0AGUAZAAgAHYAYQBsAHUAZQBzAFwAbgAgACAAIAAgAGsAZQBlAHAALAAgACAAIAAgACAAIAAgACAAIAAgACAASQBTAE4AVQBNAEIARQBSACgAWABNAEEAVABDAEgAKABWACwAIAByAGUAcwB1AGwAdAApACkALABcAG4AIAAgACAAIAB0AG8AdABhAGwAcwAsACAAIAAgACAAIAAgACAAIAAgAEcAUgBPAFUAUABCAFkAKABWACwAIABWACwAIABDAE8AVQBOAFQAQQAsACAAMAAsACAAMAAsACAALAAgAGsAZQBlAHAAKQAsAFwAbgBcAG4AIAAgACAAIAAvAC8AIABEAGUAbABpAHYAZQByACAAdABvAHQAYQBsAHMAIABpAGYAIAByAGUAcQB1AGUAcwB0AGUAZABcAG4AIAAgACAAIABkAGUAbABpAHYAZQByACwAIAAgACAAIAAgACAAIAAgAEkARgAoAEEATgBEACgAaQBuAGMAbAB1AGQAZQBfAHQAbwB0AGEAbABzACwAIAByAGUAcwB1AGwAdAAgADwAPgAgAG0AcwBnACkALAB0AG8AdABhAGwAcwAsAFwAbgAgACAAIAAgACAAIAAgACAAIAAgACAAIAAgACAAIAAgACAAIAAgACAAIAAgACAAIAByAGUAcwB1AGwAdAApACwAXABuAFwAbgAgACAAIAAgAGQAZQBsAGkAdgBlAHIAXABuACkAKQApADsAXABuAFwAbgBcAG4AXABuAC8AKgAgAFsARwBSADEANQBdACAALQAtAC0ALQAtAC0ALQAtAC0ALQAtAC0ALQAtAC0ALQAtAC0ALQAtAC0ALQAtAC0ALQAtAC0ALQAtAC0ALQAtAC0ALQAtAC0ALQAtAC0ALQAtAC0ALQAtAC0ALQAtAC0ALQAtAC0ALQAtAC0ALQAtAC0ALQAtAC0ALQAtAC0ALQAtAC0ALQAtAC0ALQAtAC0ALQBcAG4ARgB1AG4AYwB0AGkAbwBuADoAIAAgACAAIAAgAFoAbwBuAGUAUwB0AGEAdAC7A1wAbgBDAGEAdABlAGcAbwByAHkAOgAgACAAIAAgACAARwByAGkAZAAgAEEAbgBhAGwAeQB0AGkAYwBzACAAKABTAHQAYQB0AGkAcwB0AGkAYwBzACkAXABuAEEAdQB0AGgAbwByADoAIAAgACAAIAAgACAAIABQAGEAdAByAGkAYwBrACAASAAuAFwAbgBWAGUAcgBzAGkAbwBuADoAIAAgACAAIAAgACAAMQAuADEAXABuAEQAZQBwAGUAbgBkAGUAbgBjAGkAZQBzADoAIABIAGkAcwB0AG8AZwByAGEAbQC7A1wAbgBcAG4ARABlAHMAYwByAGkAcAB0AGkAbwBuADoAXABuACAAIAAgACAAQQBnAGcAcgBlAGcAYQB0AGUAcwAgAHYAYQBsAHUAZQBzACAAYgB5ACAAXAAiAHoAbwBuAGUAcwBcACIAIABkAGUAdABlAHIAbQBpAG4AZQBkACAAYgB5ACAASABpAHMAdABvAGcAcgBhAG0AuwMuACAAVABoAGUAIABiAGkAbgAgAHcAaQBkAHQAaAAgAGkAcwBcAG4AIAAgACAAIABjAG8AbQBwAHUAdABlAGQAIABhAHMAIAAxADAAXgBtACAAdwBoAGUAcgBlACAAbQAgAGkAcwAgAHQAaABlACAAbQBvAHMAdAAgAGYAcgBlAHEAdQBlAG4AdAAgAGkAbgB0AGUAZwBlAHIAIABMAE8ARwAgAG0AYQBnAG4AaQB0AHUAZABlACAAbwBmAFwAbgAgACAAIAAgAHQAaABlACAAdgBhAGwAdQBlAHMALgAgAFMAdQBwAHAAbwByAHQAcwAgAEUAVABBACAAZgB1AG4AYwB0AGkAbwBuAHMAIABhAG4AZAAgAGMAdQBzAHQAbwBtACAATABBAE0AQgBEAEEAcwAuAFwAbgBcAG4AUABhAHIAYQBtAGUAdABlAHIAcwA6AFwAbgAgACAAIAAgAGcAcgBpAGQAIAAgACAAIAAgACAAIAAgAC0AIABOAHUAbQBlAHIAaQBjACAAYQByAHIAYQB5ACAAKAAxAEQAIABvAHIAIAAyAEQAKQAuAFwAbgAgACAAIAAgAFsAZgB1AG4AYwB0AGkAbwBuAF0AIAAgAC0AIABFAFQAQQAgAG8AcgAgAEwAQQBNAEIARABBACAAYQBnAGcAcgBlAGcAYQB0AGkAbwBuACAAZgB1AG4AYwB0AGkAbwBuACAAKABkAGUAZgBhAHUAbAB0ACAAUwBVAE0AKQAuAFwAbgBcAG4ATgBvAHQAZQBzADoAXABuACAAIAAgACAAIiAgAFMAYwBhAGwAYQByAHMAIAByAGUAdAB1AHIAbgAgAGYAdQBuAGMAdABpAG8AbgAoAGcAcgBpAGQAKQAuAFwAbgAgACAAIAAgACIgIABOAG8AbgARIG4AdQBtAGUAcgBpAGMAIABnAHIAaQBkAHMAIAByAGUAdAB1AHIAbgAgACMAVgBBAEwAVQBFACEALgBcAG4AIAAgACAAIAAiICAAWgBvAG4AZQBzACAAYQByAGUAIABhAHMAcwBpAGcAbgBlAGQAIAB2AGkAYQAgAEgAaQBzAHQAbwBnAHIAYQBtALsDIAB1AHMAaQBuAGcAIABhAHUAdABvAG0AYQB0AGkAYwAgAGIAaQBuAG4AaQBuAGcALgBcAG4ALQAtAC0ALQAtAC0ALQAtAC0ALQAtAC0ALQAtAC0ALQAtAC0ALQAtAC0ALQAtAC0ALQAtAC0ALQAtAC0ALQAtAC0ALQAtAC0ALQAtAC0ALQAtAC0ALQAtAC0ALQAtAC0ALQAtAC0ALQAtAC0ALQAtAC0ALQAtAC0ALQAtAC0ALQAtAC0ALQAtAC0ALQAtAC0ALQAtAC0ALQAtAC0AKgAvAFwAbgBcAG4AWgBvAG4AZQBTAHQAYQB0ALsDIAA9AFwAbgBMAEEATQBCAEQAQQAoAFwAbgAgACAAIAAgAGcAcgBpAGQALABcAG4AIAAgACAAIABbAGYAdQBuAGMAdABpAG8AbgBdACwAXABuAFwAbgBMAEUAVAAoAFwAbgAgACAAIAAgAC8ALwAgAEQAZQBmAGEAdQBsAHQAIABhAGcAZwByAGUAZwBhAHQAaQBvAG4AIABmAHUAbgBjAHQAaQBvAG4AXABuACAAIAAgACAAZgB1AG4AYwB0AGkAbwBuACwAIAAgACAAIAAgACAAIAAgACAAIAAgAEkARgAoAEkAUwBPAE0ASQBUAFQARQBEACgAZgB1AG4AYwB0AGkAbwBuACkALAAgAFMAVQBNACwAIABmAHUAbgBjAHQAaQBvAG4AKQAsAFwAbgBcAG4AIAAgACAAIAAvAC8AIAAtAC0ALQAgAFYAYQBsAGkAZABhAHQAaQBvAG4AIAAtAC0ALQBcAG4AIAAgACAAIABJAHMATgBvAG4ATgB1AG0APwAsACAAIAAgACAAIAAgACAAIAAgACAAQQBOAEQAKABJAFMAVABFAFgAVAAoAGcAcgBpAGQAKQApACwAXABuACAAIAAgACAASQBuAHYAYQBsAGkAZABGAG4APwAsACAAIAAgACAAIAAgACAAIAAgAFQAWQBQAEUAKABmAHUAbgBjAHQAaQBvAG4AKQAgADwAPgAgADEAMgA4ACwAXABuACAAIAAgACAASQBzAFMAYwBhAGwAYQByAD8ALAAgACAAIAAgACAAIAAgACAAIAAgAEEATgBEACgAUgBPAFcAUwAoAGcAcgBpAGQAKQA9ADEALAAgAEMATwBMAFUATQBOAFMAKABnAHIAaQBkACkAPQAxACkALABcAG4AXABuACAAIAAgACAALwAvACAATABvAGcAaQBjACAAZwBhAHQAZQBcAG4AIAAgACAAIABJAEYAKABJAHMATgBvAG4ATgB1AG0APwAsACAAIAAgACAAIAAgACAAIAAgACAAIwBWAEEATABVAEUAIQAsAFwAbgBcAG4AIAAgACAAIAAgACAAIAAgAEkARgAoAEkAbgB2AGEAbABpAGQARgBuAD8ALAAgACAAIAAgACAAXAAiACMARgBVAE4AQwBUAEkATwBOACEAXAAiACwAXABuAFwAbgAgACAAIAAgACAAIAAgACAAIAAgACAAIABJAEYAKABJAHMAUwBjAGEAbABhAHIAPwAsACAAIABmAHUAbgBjAHQAaQBvAG4AKABnAHIAaQBkACkALABcAG4AXABuAEwARQBUACgAXABuACAAIAAgACAALwAvACAARABlAHQAZQByAG0AaQBuAGUAIABiAGkAbgAgAHcAaQBkAHQAaAAgAGYAcgBvAG0AIABtAGEAZwBuAGkAdAB1AGQAZQBcAG4AIAAgACAAIABtAGEAZwAsACAAIAAgACAAIAAgACAAIAAgACAAIAAgACAAIAAgACAASQBGAEUAUgBSAE8AUgAoAE0ATwBEAEUAKABJAE4AVAAoAEwATwBHACgAZwByAGkAZAApACkAKQAsACAAMQApACwAXABuACAAIAAgACAAYgBpAG4AXwB3AGkAZAB0AGgALAAgACAAIAAgACAAIAAgACAAIAAgADEAMAAgAF4AIABtAGEAZwAsAFwAbgBcAG4AIAAgACAAIAAvAC8AIABIAGkAcwB0AG8AZwByAGEAbQAgAGIAaQBuAHMAIAAoAGYAaQByAHMAdAAgAGMAbwBsAHUAbQBuACAAbwBuAGwAeQApAFwAbgAgACAAIAAgAGgAaQBzAHQALAAgACAAIAAgACAAIAAgACAAIAAgACAAIAAgACAAIABUAEEASwBFACgARABSAE8AUAAoAEgAaQBzAHQAbwBnAHIAYQBtALsDKABnAHIAaQBkACwAIABiAGkAbgBfAHcAaQBkAHQAaAApACwAIAAyACkALAAgACwAIAAxACkALABcAG4AXABuACAAIAAgACAALwAvACAAQQBzAHMAaQBnAG4AIAB6AG8AbgBlAHMAXABuACAAIAAgACAAegBvAG4AZQBzACwAIAAgACAAIAAgACAAIAAgACAAIAAgACAAIAAgAEkARgBOAEEAKABYAE0AQQBUAEMASAAoAGcAcgBpAGQALAAgAGgAaQBzAHQALAAgAC0AMQApACwAIAAwACkALABcAG4AXABuACAAIAAgACAALwAvACAARgBsAGEAdAB0AGUAbgAgAGEAcgByAGEAeQBzAFwAbgAgACAAIAAgAGcALAAgACAAIAAgACAAIAAgACAAIAAgACAAIAAgACAAIAAgACAAIABUAE8AQwBPAEwAKABnAHIAaQBkACkALABcAG4AIAAgACAAIAB6ACwAIAAgACAAIAAgACAAIAAgACAAIAAgACAAIAAgACAAIAAgACAAVABPAEMATwBMACgAegBvAG4AZQBzACkALABcAG4AXABuACAAIAAgACAALwAvACAAQQBnAGcAcgBlAGcAYQB0AGUAIABiAHkAIAB6AG8AbgBlAFwAbgAgACAAIAAgAGEAZwBnACwAIAAgACAAIAAgACAAIAAgACAAIAAgACAAIAAgACAAIABHAFIATwBVAFAAQgBZACgAegAsACAAZwAsACAAZgB1AG4AYwB0AGkAbwBuACwAIAAsACAAMAApACwAXABuACAAIAAgACAAegBvAG4AZQBfAEkARABzACwAIAAgACAAIAAgACAAIAAgACAAIAAgAFQAQQBLAEUAKABhAGcAZwAsACAALAAgADEAKQAsAFwAbgAgACAAIAAgAGcAcgBpAGQAXwB2AGEAbAB1AGUAcwAsACAAIAAgACAAIAAgACAAIABUAEEASwBFACgAYQBnAGcALAAgACwAIAAtADEAKQAsAFwAbgBcAG4AIAAgACAAIAAvAC8AIABCAHIAbwBhAGQAYwBhAHMAdAAgAGEAZwBnAHIAZQBnAGEAdABlAGQAIAB2AGEAbAB1AGUAcwAgAGIAYQBjAGsAIAB0AG8AIABnAHIAaQBkACAAcwBoAGEAcABlAFwAbgAgACAAIAAgAGYAaQBuAGEAbAAsACAAIAAgACAAIAAgACAAIAAgACAAIAAgACAAIABYAEwATwBPAEsAVQBQACgAegBvAG4AZQBzACwAIAB6AG8AbgBlAF8ASQBEAHMALAAgAGcAcgBpAGQAXwB2AGEAbAB1AGUAcwAsACAAMAApACwAXABuAFwAbgAgACAAIAAgAGYAaQBuAGEAbABcAG4AKQApACkAKQApACkAOwBcAG4AXABuAFwAbgBcAG4ALwAvACAAWwBUAFgAXQAgAC0ALQAtAC0ALQAtAC0ALQAtAC0ALQAtAC0ALQAtAC0ALQAtAC0ALQAtAC0ALQAtAC0ALQAtAC0ALQAtAC0ALQAtAC0ALQAtAC0ALQAtAC0ALQAtAC0ALQAtAC0ALQAtAC0ALQAtAC0ALQAtAC0ALQAtAC0ALQAtAC0ALQAtAC0ALQAtAC0ALQAtAC0ALQAtAC0ALQAtAC0ALQBcAG4ALwAvACAALQAtAC0AIwAjACAAMAA3ACAAFCAgAFQAZQB4AHQAXABuAC8ALwAgAC0ALQAtAC0ALQAtAC0ALQAtAC0ALQAtAC0ALQAtAC0ALQAtAC0ALQAtAC0ALQAtAC0ALQAtAC0ALQAtAC0ALQAtAC0ALQAtAC0ALQAtAC0ALQAtAC0ALQAtAC0ALQAtAC0ALQAtAC0ALQAtAC0ALQAtAC0ALQAtAC0ALQAtAC0ALQAtAC0ALQAtAC0ALQAtAC0ALQAtAC0ALQBcAG4AXABuAC8AKgBcAG4ARABlAHMAYwByAGkAcAB0AGkAbwBuADoAXABuACAAIAAgACAAVABoAGkAcwAgAGMAYQB0AGUAZwBvAHIAeQAgAHAAcgBvAHYAaQBkAGUAcwAgAG8AcABlAHIAYQB0AG8AcgBzACAAdABoAGEAdAAgAG8AdgBlAHIAYwBvAG0AZQAgAGMAbwBtAG0AbwBuACAAbABpAG0AaQB0AGEAdABpAG8AbgBzACAAaQBuAFwAbgAgACAAIAAgAEUAeABjAGUAbAAnAHMAIABuAGEAdABpAHYAZQAgAHQAZQB4AHQAIABlAG4AZwBpAG4AZQAgACgAZQAuAGcALgAsACAAVABFAFgAVABTAFAATABJAFQAIABjAGEAbgBuAG8AdAAgAHMAcABpAGwAbAAgADIARAAgAHIAZQBzAHUAbAB0AHMAOwAgAEIAWQBSAE8AVwBcAG4AIAAgACAAIABjAGEAbgBuAG8AdAAgAGQAZQBwAGwAbwB5ACAAUwBPAFIAVAAgAHQAbwAgAGEAbABpAGcAbgAgAGMAbwBsAHUAbQBuAHMAKQAuACAAVABoAGUAcwBlACAAZgB1AG4AYwB0AGkAbwBuAHMAIABlAG4AYQBiAGwAZQAgAHMAdAByAHUAYwB0AHUAcgBhAGwAXABuACAAIAAgACAAYQBsAGkAZwBuAG0AZQBuAHQALAAgAGUAeAB0AHIAYQBjAHQAaQBvAG4ALAAgAGEAbgBkACAAdAByAGEAbgBzAGYAbwByAG0AYQB0AGkAbwBuACAAbwBmACAAdABlAHgAdAAgAGEAcgByAGEAeQBzACwAIABlAHgAdABlAG4AZABpAG4AZwAgAEUAeABjAGUAbAAnAHMAXABuACAAIAAgACAAYwBhAHAAYQBiAGkAbABpAHQAaQBlAHMAIABmAG8AcgAgAGIAbwB0AGgAIAAxAEQAIABhAG4AZAAgADIARAAgAGkAbgBwAHUAdABzAC4AXABuAFwAbgBGAHUAbgBjAHQAaQBvAG4AcwA6AFwAbgAgACAAIAAgACIgIABBAGwAaQBnAG4AuwNcAG4AIAAgACAAIAAgACAAIAAgAFMAbwByAHQAcwAgAGUAYQBjAGgAIAByAG8AdwAgAG8AcgAgAGMAbwBsAHUAbQBuACAAYQBsAHAAaABhAGIAZQB0AGkAYwBhAGwAbAB5AC4AXABuAFwAbgAgACAAIAAgACIgIABBAGwAaQBnAG4ARABpAHMAdABpAG4AYwB0ALsDXABuACAAIAAgACAAIAAgACAAIABDAGEAbABsAHMAIABBAGwAaQBnAG4AuwMgAHQAbwAgAHMAbwByAHQAIABhACAAMgBEACAAYQByAHIAYQB5ACwAIAB0AGgAZQBuACAAcgBlAHQAdQByAG4AcwAgAGQAaQBzAHQAaQBuAGMAdAAgAHYAYQBsAHUAZQBzAC4AXABuAFwAbgAgACAAIAAgACIgIABBAGwAaQBnAG4AVQBuAGkAcQB1AGUAuwNcAG4AIAAgACAAIAAgACAAIAAgAEMAYQBsAGwAcwAgAEEAbABpAGcAbgC7AyAAdABvACAAcwBvAHIAdAAgAGEAIAAyAEQAIABhAHIAcgBhAHkALAAgAHQAaABlAG4AIAByAGUAdAB1AHIAbgBzACAAdQBuAGkAcQB1AGUAIAB2AGEAbAB1AGUAcwAuAFwAbgBcAG4AIAAgACAAIAAiICAAQwBvAGEAbABlAHMAYwBlALsDXABuACAAIAAgACAAIAAgACAAIABSAGUAdAB1AHIAbgBzACAAdABoAGUAIABmAGkAcgBzAHQAIABuAG8AbgARIGUAbQBwAHQAeQAgAHYAYQBsAHUAZQAgAGEAYwByAG8AcwBzACAAbQB1AGwAdABpAHAAbABlACAAMgBEACAAYQByAHIAYQB5AHMAIAAoADIAIAB0AG8AIAA0ACAAaQBuAHAAdQB0AHMAKQAuAFwAbgBcAG4AIAAgACAAIAAiICAARQB4AHAAbABvAGQAZQC7A1wAbgAgACAAIAAgACAAIAAgACAAQwBvAG4AdgBlAHIAdABzACAAYQAgAHMAYwBhAGwAYQByACwAIAAxAEQAIABhAHIAcgBhAHkALAAgAG8AcgAgADIARAAgAGEAcgByAGEAeQAgAGkAbgB0AG8AIABhAG4AIABlAHgAcABsAG8AZABlAGQAIABjAGgAYQByAGEAYwB0AGUAcgAgAGEAcgByAGEAeQAuAFwAbgBcAG4AIAAgACAAIAAiICAATgB1AG0AYgBlAHIAcwBPAG4AbAB5ALsDXABuACAAIAAgACAAIAAgACAAIABFAHgAdAByAGEAYwB0AHMAIABuAHUAbQBlAHIAaQBjACAAdgBhAGwAdQBlAHMAIABmAHIAbwBtACAAYQAgAHMAYwBhAGwAYQByACwAIAAxAEQAIABhAHIAcgBhAHkALAAgAG8AcgAgADIARAAgAGEAcgByAGEAeQAuAFwAbgBcAG4AIAAgACAAIAAiICAAVABlAHgAdABPAG4AbAB5ALsDXABuACAAIAAgACAAIAAgACAAIABFAHgAdAByAGEAYwB0AHMAIAB0AGUAeAB0ACAAdgBhAGwAdQBlAHMAIABmAHIAbwBtACAAYQAgAHMAYwBhAGwAYQByACwAIAAxAEQAIABhAHIAcgBhAHkALAAgAG8AcgAgADIARAAgAGEAcgByAGEAeQAuAFwAbgBcAG4AIAAgACAAIAAiICAAUwBwAGwAaQB0ALsDXABuACAAIAAgACAAIAAgACAAIABTAHAAbABpAHQAcwAgADEARAAgAHQAZQB4AHQAIABhAHIAcgBhAHkAcwAgAHUAcwBpAG4AZwAgAGEAIABzAHAAZQBjAGkAZgBpAGUAZAAgAGQAZQBsAGkAbQBpAHQAZQByACwAIAB3AGkAdABoACAAZgB1AGwAbAAgADIARAAgAHMAcABpAGwAbAAgAHMAdQBwAHAAbwByAHQALgBcAG4AKgAvAFwAbgBcAG4AXABuAFwAbgAvACoAIABbAFQAWAAwADEAXQAgAC0ALQAtAC0ALQAtAC0ALQAtAC0ALQAtAC0ALQAtAC0ALQAtAC0ALQAtAC0ALQAtAC0ALQAtAC0ALQAtAC0ALQAtAC0ALQAtAC0ALQAtAC0ALQAtAC0ALQAtAC0ALQAtAC0ALQAtAC0ALQAtAC0ALQAtAC0ALQAtAC0ALQAtAC0ALQAtAC0ALQAtAC0ALQAtAC0AXABuAEYAdQBuAGMAdABpAG8AbgA6ACAAIAAgACAAIAAgACAAIABBAGwAaQBnAG4AuwNcAG4AQwBhAHQAZQBnAG8AcgB5ADoAIAAgACAAIAAgACAAIAAgAFQAZQB4AHQAXABuAEEAdQB0AGgAbwByADoAIAAgACAAIAAgACAAIAAgACAAIABQAGEAdAByAGkAYwBrACAASAAuAFwAbgBWAGUAcgBzAGkAbwBuADoAIAAgACAAIAAgACAAIAAgACAAMQAuADEAXABuAEQAZQBwAGUAbgBkAGUAbgBjAGkAZQBzADoAIAAgACAAIABTAHAAbABpAHQAuwNcAG4AXABuAEQAZQBzAGMAcgBpAHAAdABpAG8AbgA6AFwAbgAgACAAIAAgAFMAbwByAHQAcwAgAGUAYQBjAGgAIAByAG8AdwAgAGEAbABwAGgAYQBiAGUAdABpAGMAYQBsAGwAeQAgACgAZABlAGYAYQB1AGwAdAApACAAbwByACAAZQBhAGMAaAAgAGMAbwBsAHUAbQBuACAAdwBoAGUAbgBcAG4AIAAgACAAIABiAHkAXwBjAG8AbAAgAD0AIABUAFIAVQBFAC4AIABPAHIAaQBlAG4AdABhAHQAaQBvAG4AIABpAHMAIABuAG8AcgBtAGEAbABpAHoAZQBkACAAaQBuAHQAZQByAG4AYQBsAGwAeQAgAHMAbwAgAHQAaABlAFwAbgAgACAAIAAgAHMAYQBtAGUAIABwAGkAcABlAGwAaQBuAGUAIABoAGEAbgBkAGwAZQBzACAAYgBvAHQAaAAgAG0AbwBkAGUAcwAuACAAUwBvAHIAdABpAG4AZwAgAGkAcwAgAGwAZQB4AGkAYwBvAGcAcgBhAHAAaABpAGMAXABuACAAIAAgACAAYQBuAGQAIABjAGEAcwBlABEgcwBlAG4AcwBpAHQAaQB2AGUALgBcAG4AXABuAFAAYQByAGEAbQBlAHQAZQByAHMAOgBcAG4AIAAgACAAIABhAHIAcgBhAHkAIAAgACAAIAAgACAAIAAtACAAMgBEACAAYQByAHIAYQB5ACAAdABvACAAYgBlACAAYQBsAGkAZwBuAGUAZAAuAFwAbgAgACAAIAAgAFsAYgB5AF8AYwBvAGwAXQAgACAAIAAgAC0AIABPAHAAdABpAG8AbgBhAGwALgAgAFQAUgBVAEUAIACSISAAcwBvAHIAdAAgAGUAYQBjAGgAIABjAG8AbAB1AG0AbgAgAHQAbwBwABEgdABvABEgYgBvAHQAdABvAG0ALgBcAG4AIAAgACAAIAAgACAAIAAgACAAIAAgACAAIAAgACAAIAAgACAATwBtAGkAdAB0AGUAZAAgAJIhIABzAG8AcgB0ACAAZQBhAGMAaAAgAHIAbwB3ACAAbABlAGYAdAARIHQAbwARIHIAaQBnAGgAdAAuAFwAbgBcAG4ATgBvAHQAZQBzADoAXABuACAAIAAgACAAIiAgAFUAcwBlAHMAIABUAEUAWABUAEoATwBJAE4AIAArACAAUwBwAGwAaQB0ALsDIABmAG8AcgAgAGYAYQBzAHQAIAByAG8AdwARIHcAaQBzAGUAIABjAGEAbgBvAG4AaQBjAGEAbABpAHoAYQB0AGkAbwBuAC4AXABuAC0ALQAtAC0ALQAtAC0ALQAtAC0ALQAtAC0ALQAtAC0ALQAtAC0ALQAtAC0ALQAtAC0ALQAtAC0ALQAtAC0ALQAtAC0ALQAtAC0ALQAtAC0ALQAtAC0ALQAtAC0ALQAtAC0ALQAtAC0ALQAtAC0ALQAtAC0ALQAtAC0ALQAtAC0ALQAtAC0ALQAtAC0ALQAtAC0ALQAtAC0ALQAtACoALwBcAG4AXABuAEEAbABpAGcAbgC7AyAAPQBcAG4ATABBAE0AQgBEAEEAKABcAG4AIAAgACAAIABhAHIAcgBhAHkALABcAG4AIAAgACAAIABbAGIAeQBfAGMAbwBsAF0ALABcAG4AXABuAEwARQBUACgAXABuACAAIAAgACAALwAvACAARABlAHQAZQByAG0AaQBuAGUAIABzAG8AcgB0ACAAbwByAGkAZQBuAHQAYQB0AGkAbwBuAFwAbgAgACAAIAAgAEkAcwBSAG8AdwBTAG8AcgB0AD8ALAAgAEkAUwBPAE0ASQBUAFQARQBEACgAYgB5AF8AYwBvAGwAKQAsAFwAbgBcAG4AIAAgACAAIAAvAC8AIABOAG8AcgBtAGEAbABpAHoAZQAgAG8AcgBpAGUAbgB0AGEAdABpAG8AbgAgACgAYQBsAHcAYQB5AHMAIABzAG8AcgB0ACAAcgBvAHcAcwApAFwAbgAgACAAIAAgAGEAcgByAGEAeQAsACAAIAAgACAAIAAgAEkARgAoAEkAcwBSAG8AdwBTAG8AcgB0AD8ALAAgAGEAcgByAGEAeQAsACAAVABSAEEATgBTAFAATwBTAEUAKABhAHIAcgBhAHkAKQApACwAXABuAFwAbgAgACAAIAAgAC8ALwAgAFIAbwB3ABEgdwBpAHMAZQAgAHMAbwByAHQAIACSISAAcwBjAGEAbABhAHIAIABqAG8AaQBuACAAdwBpAHQAaAAgAGkAbgB2AGkAcwBpAGIAbABlACAAcwBlAHAAYQByAGEAdABvAHIAXABuACAAIAAgACAAaQBuAHYAaQBzACwAIAAgACAAIAAgACAAVQBOAEkAQwBIAEEAUgAoADgAMgA5ADEAKQAsAFwAbgAgACAAIAAgAFIAbwB3AFMAbwByAHQAuwMsACAAIAAgAEwAQQBNAEIARABBACgAdgAsACAAVABFAFgAVABKAE8ASQBOACgAaQBuAHYAaQBzACwAIAAsACAAUwBPAFIAVAAoAHYALAAgACwAIAAsACAAMQApACkAKQAsAFwAbgBcAG4AIAAgACAAIAAvAC8AIABDAG8AbgB2AGUAcgB0ACAAZQBhAGMAaAAgAHIAbwB3ACAAdABvACAAYQAgAGoAbwBpAG4AZQBkACAAcwB0AHIAaQBuAGcAXABuACAAIAAgACAAagBvAGkAbgBlAGQALAAgACAAIAAgACAAQgBZAFIATwBXACgAYQByAHIAYQB5ACwAIABSAG8AdwBTAG8AcgB0ALsDKQAsAFwAbgBcAG4AIAAgACAAIAAvAC8AIABTAHAAbABpAHQAIABiAGEAYwBrACAAaQBuAHQAbwAgAGMAbwBsAHUAbQBuAHMAXABuACAAIAAgACAAZQB4ACwAIAAgACAAIAAgACAAIAAgACAAUwBwAGwAaQB0ALsDKABqAG8AaQBuAGUAZAAsACAAaQBuAHYAaQBzACkALABcAG4AXABuACAAIAAgACAALwAvACAAUgBlAHMAdABvAHIAZQAgAG8AcgBpAGcAaQBuAGEAbAAgAG8AcgBpAGUAbgB0AGEAdABpAG8AbgBcAG4AIAAgACAAIABmAGkAbgBhAGwALAAgACAAIAAgACAAIABJAEYAKABJAHMAUgBvAHcAUwBvAHIAdAA/ACwAIABlAHgALAAgAFQAUgBBAE4AUwBQAE8AUwBFACgAZQB4ACkAKQAsAFwAbgBcAG4AIAAgACAAIABmAGkAbgBhAGwAXABuACkAKQA7AFwAbgBcAG4AXABuAFwAbgAvACoAIABbAFQAWAAwADIAXQAgAC0ALQAtAC0ALQAtAC0ALQAtAC0ALQAtAC0ALQAtAC0ALQAtAC0ALQAtAC0ALQAtAC0ALQAtAC0ALQAtAC0ALQAtAC0ALQAtAC0ALQAtAC0ALQAtAC0ALQAtAC0ALQAtAC0ALQAtAC0ALQAtAC0ALQAtAC0ALQAtAC0ALQAtAC0ALQAtAC0ALQAtAC0ALQAtAC0AXABuAEYAdQBuAGMAdABpAG8AbgA6ACAAIAAgACAAIAAgACAAIABBAGwAaQBnAG4ARABpAHMAdABpAG4AYwB0ALsDXABuAEMAYQB0AGUAZwBvAHIAeQA6ACAAIAAgACAAIAAgACAAIABUAGUAeAB0AFwAbgBBAHUAdABoAG8AcgA6ACAAIAAgACAAIAAgACAAIAAgACAAUABhAHQAcgBpAGMAawAgAEgALgBcAG4AVgBlAHIAcwBpAG8AbgA6ACAAIAAgACAAIAAgACAAIAAgADEALgAxAFwAbgBEAGUAcABlAG4AZABlAG4AYwBpAGUAcwA6ACAAIAAgACAAQQBsAGkAZwBuALsDXABuAFwAbgBEAGUAcwBjAHIAaQBwAHQAaQBvAG4AOgBcAG4AIAAgACAAIABDAGEAbABsAHMAIABBAGwAaQBnAG4AuwMgAHQAbwAgAGEAbABwAGgAYQBiAGUAdABpAGMAYQBsAGwAeQAgAHMAbwByAHQAIABlAGEAYwBoACAAcgBvAHcAIABvAHIAIABjAG8AbAB1AG0AbgAsACAAdABoAGUAbgAgAHIAZQB0AHUAcgBuAHMAXABuACAAIAAgACAAZABpAHMAdABpAG4AYwB0ACAAdgBhAGwAdQBlAHMAIABhAGwAbwBuAGcAIAB0AGgAZQAgAHMAYQBtAGUAIABvAHIAaQBlAG4AdABhAHQAaQBvAG4ALgBcAG4AXABuAFAAYQByAGEAbQBlAHQAZQByAHMAOgBcAG4AIAAgACAAIABhAHIAcgBhAHkAIAAgACAAIAAgACAAIAAtACAAMgBEACAAYQByAHIAYQB5ACAAdABvACAAYgBlACAAYQBsAGkAZwBuAGUAZAAgAGEAbgBkACAAZABlAGQAdQBwAGwAaQBjAGEAdABlAGQALgBcAG4AIAAgACAAIABbAGIAeQBfAGMAbwBsAF0AIAAgACAAIAAtACAATwBwAHQAaQBvAG4AYQBsAC4AIABUAFIAVQBFACAAkiEgAG8AcABlAHIAYQB0AGUAIABjAG8AbAB1AG0AbgARIHcAaQBzAGUALgAgAE8AbQBpAHQAdABlAGQAIACSISAAcgBvAHcAESB3AGkAcwBlAC4AXABuAFwAbgBOAG8AdABlAHMAOgBcAG4AIAAgACAAIAAiICAARABJAFMAVABJAE4AQwBUACAAcgBlAG0AbwB2AGUAcwAgAGUAeABhAGMAdAAgAGQAdQBwAGwAaQBjAGEAdABlAHMALgBcAG4AIAAgACAAIAAiICAATwByAGkAZQBuAHQAYQB0AGkAbwBuACAAaQBzACAAcAByAGUAcwBlAHIAdgBlAGQALgBcAG4ALQAtAC0ALQAtAC0ALQAtAC0ALQAtAC0ALQAtAC0ALQAtAC0ALQAtAC0ALQAtAC0ALQAtAC0ALQAtAC0ALQAtAC0ALQAtAC0ALQAtAC0ALQAtAC0ALQAtAC0ALQAtAC0ALQAtAC0ALQAtAC0ALQAtAC0ALQAtAC0ALQAtAC0ALQAtAC0ALQAtAC0ALQAtAC0ALQAtAC0ALQAtAC0AKgAvAFwAbgBcAG4AQQBsAGkAZwBuAEQAaQBzAHQAaQBuAGMAdAC7AyAAPQBcAG4ATABBAE0AQgBEAEEAKABcAG4AIAAgACAAIABhAHIAcgBhAHkALABcAG4AIAAgACAAIABbAGIAeQBfAGMAbwBsAF0ALABcAG4AXABuAEwARQBUACgAXABuACAAIAAgACAALwAvACAATwByAGkAZQBuAHQAYQB0AGkAbwBuACAAZgBsAGEAZwBcAG4AIAAgACAAIABTAG8AcgB0AEIAeQBDAG8AbAA/ACwAIABOAE8AVAAoAEkAUwBPAE0ASQBUAFQARQBEACgAYgB5AF8AYwBvAGwAKQApACwAXABuAFwAbgAgACAAIAAgAC8ALwAgAEEAbABpAGcAbgBtAGUAbgB0AFwAbgAgACAAIAAgAGEAbABpAGcAbgBlAGQALAAgACAAIAAgAEEAbABpAGcAbgC7AygAYQByAHIAYQB5ACwAIABiAHkAXwBjAG8AbAApACwAXABuAFwAbgAgACAAIAAgAC8ALwAgAEQAaQBzAHQAaQBuAGMAdAAgAHIAZQBtAG8AdgBhAGwAXABuACAAIAAgACAAdQAsACAAIAAgACAAIAAgACAAIAAgACAAVQBOAEkAUQBVAEUAKABhAGwAaQBnAG4AZQBkACwAIABTAG8AcgB0AEIAeQBDAG8AbAA/ACwAIABUAFIAVQBFACkALABcAG4AXABuACAAIAAgACAAdQBcAG4AKQApADsAXABuAFwAbgBcAG4AXABuAC8AKgAgAFsAVABYADAAMwBdACAALQAtAC0ALQAtAC0ALQAtAC0ALQAtAC0ALQAtAC0ALQAtAC0ALQAtAC0ALQAtAC0ALQAtAC0ALQAtAC0ALQAtAC0ALQAtAC0ALQAtAC0ALQAtAC0ALQAtAC0ALQAtAC0ALQAtAC0ALQAtAC0ALQAtAC0ALQAtAC0ALQAtAC0ALQAtAC0ALQAtAC0ALQAtAC0ALQBcAG4ARgB1AG4AYwB0AGkAbwBuADoAIAAgACAAIAAgACAAIAAgAEEAbABpAGcAbgBVAG4AaQBxAHUAZQC7A1wAbgBDAGEAdABlAGcAbwByAHkAOgAgACAAIAAgACAAIAAgACAAVABlAHgAdABcAG4AQQB1AHQAaABvAHIAOgAgACAAIAAgACAAIAAgACAAIAAgAFAAYQB0AHIAaQBjAGsAIABIAC4AXABuAFYAZQByAHMAaQBvAG4AOgAgACAAIAAgACAAIAAgACAAIAAxAC4AMQBcAG4ARABlAHAAZQBuAGQAZQBuAGMAaQBlAHMAOgAgACAAIAAgAEEAbABpAGcAbgC7A1wAbgBcAG4ARABlAHMAYwByAGkAcAB0AGkAbwBuADoAXABuACAAIAAgACAAQwBhAGwAbABzACAAQQBsAGkAZwBuALsDIAB0AG8AIABhAGwAcABoAGEAYgBlAHQAaQBjAGEAbABsAHkAIABzAG8AcgB0ACAAZQBhAGMAaAAgAHIAbwB3ACAAbwByACAAYwBvAGwAdQBtAG4ALAAgAHQAaABlAG4AIAByAGUAdAB1AHIAbgBzAFwAbgAgACAAIAAgAHUAbgBpAHEAdQBlACAAdgBhAGwAdQBlAHMAIABhAGwAbwBuAGcAIAB0AGgAZQAgAHMAYQBtAGUAIABvAHIAaQBlAG4AdABhAHQAaQBvAG4ALgBcAG4AXABuAFAAYQByAGEAbQBlAHQAZQByAHMAOgBcAG4AIAAgACAAIABhAHIAcgBhAHkAIAAgACAAIAAgACAAIAAtACAAMgBEACAAYQByAHIAYQB5ACAAdABvACAAYgBlACAAYQBsAGkAZwBuAGUAZAAgAGEAbgBkACAAZABlAGQAdQBwAGwAaQBjAGEAdABlAGQALgBcAG4AIAAgACAAIABbAGIAeQBfAGMAbwBsAF0AIAAgACAAIAAtACAATwBwAHQAaQBvAG4AYQBsAC4AIABUAFIAVQBFACAAkiEgAG8AcABlAHIAYQB0AGUAIABjAG8AbAB1AG0AbgARIHcAaQBzAGUALgAgAE8AbQBpAHQAdABlAGQAIACSISAAcgBvAHcAESB3AGkAcwBlAC4AXABuAFwAbgBOAG8AdABlAHMAOgBcAG4AIAAgACAAIAAiICAAVQBOAEkAUQBVAEUAIAByAGUAbQBvAHYAZQBzACAAcgBlAHAAZQBhAHQAZQBkACAAcgBvAHcAcwAvAGMAbwBsAHUAbQBuAHMAIABiAHUAdAAgAHAAcgBlAHMAZQByAHYAZQBzACAAZgBpAHIAcwB0ACAAbwBjAGMAdQByAHIAZQBuAGMAZQBzAC4AXABuACAAIAAgACAAIiAgAE8AcgBpAGUAbgB0AGEAdABpAG8AbgAgAGkAcwAgAHAAcgBlAHMAZQByAHYAZQBkAC4AXABuAC0ALQAtAC0ALQAtAC0ALQAtAC0ALQAtAC0ALQAtAC0ALQAtAC0ALQAtAC0ALQAtAC0ALQAtAC0ALQAtAC0ALQAtAC0ALQAtAC0ALQAtAC0ALQAtAC0ALQAtAC0ALQAtAC0ALQAtAC0ALQAtAC0ALQAtAC0ALQAtAC0ALQAtAC0ALQAtAC0ALQAtAC0ALQAtAC0ALQAtAC0ALQAtACoALwBcAG4AXABuAEEAbABpAGcAbgBVAG4AaQBxAHUAZQC7AyAAPQBcAG4ATABBAE0AQgBEAEEAKABcAG4AIAAgACAAIABhAHIAcgBhAHkALABcAG4AIAAgACAAIABbAGIAeQBfAGMAbwBsAF0ALABcAG4AXABuAEwARQBUACgAXABuACAAIAAgACAALwAvACAATwByAGkAZQBuAHQAYQB0AGkAbwBuACAAZgBsAGEAZwBcAG4AIAAgACAAIABTAG8AcgB0AEIAeQBDAG8AbAA/ACwAIABOAE8AVAAoAEkAUwBPAE0ASQBUAFQARQBEACgAYgB5AF8AYwBvAGwAKQApACwAXABuAFwAbgAgACAAIAAgAC8ALwAgAEEAbABpAGcAbgBtAGUAbgB0AFwAbgAgACAAIAAgAGEAbABpAGcAbgBlAGQALAAgACAAIAAgAEEAbABpAGcAbgC7AygAYQByAHIAYQB5ACwAIABiAHkAXwBjAG8AbAApACwAXABuAFwAbgAgACAAIAAgAC8ALwAgAFUAbgBpAHEAdQBlACAAcgBlAG0AbwB2AGEAbABcAG4AIAAgACAAIAB1ACwAIAAgACAAIAAgACAAIAAgACAAIABVAE4ASQBRAFUARQAoAGEAbABpAGcAbgBlAGQALAAgAFMAbwByAHQAQgB5AEMAbwBsAD8AKQAsAFwAbgBcAG4AIAAgACAAIAB1AFwAbgApACkAOwBcAG4AXABuAFwAbgBcAG4ALwAqACAAWwBUAFgAMAA0AF0AIAAtAC0ALQAtAC0ALQAtAC0ALQAtAC0ALQAtAC0ALQAtAC0ALQAtAC0ALQAtAC0ALQAtAC0ALQAtAC0ALQAtAC0ALQAtAC0ALQAtAC0ALQAtAC0ALQAtAC0ALQAtAC0ALQAtAC0ALQAtAC0ALQAtAC0ALQAtAC0ALQAtAC0ALQAtAC0ALQAtAC0ALQAtAC0ALQAtAFwAbgBGAHUAbgBjAHQAaQBvAG4AOgAgACAAIAAgACAAIAAgACAAQwBvAGEAbABlAHMAYwBlALsDXABuAEMAYQB0AGUAZwBvAHIAeQA6ACAAIAAgACAAIAAgACAAIABUAGUAeAB0AFwAbgBBAHUAdABoAG8AcgA6ACAAIAAgACAAIAAgACAAIAAgACAAUABhAHQAcgBpAGMAawAgAEgALgBcAG4AVgBlAHIAcwBpAG8AbgA6ACAAIAAgACAAIAAgACAAIAAgADEALgAxAFwAbgBcAG4ARABlAHMAYwByAGkAcAB0AGkAbwBuADoAXABuACAAIAAgACAAUgBlAHQAdQByAG4AcwAgAHQAaABlACAAZgBpAHIAcwB0ACAAbgBvAG4AESBlAG0AcAB0AHkAIAB2AGEAbAB1AGUAIABhAGMAcgBvAHMAcwAgAG0AdQBsAHQAaQBwAGwAZQAgADIARAAgAGEAcgByAGEAeQBzACAAKAAyACAAdABvACAANAAgAGkAbgBwAHUAdABzACkALABcAG4AIAAgACAAIABlAHYAYQBsAHUAYQB0AGUAZAAgAGkAbgAgAHAAcgBpAG8AcgBpAHQAeQAgAG8AcgBkAGUAcgA6AFwAbgBcAG4AIAAgACAAIAAgACAAIAAgAGEAcgByAGEAeQBfADEAIACSISAAYQByAHIAYQB5AF8AMgAgAJIhIABhAHIAcgBhAHkAXwAzACAAkiEgAGEAcgByAGEAeQBfADQAIACSISAAZgBpAGwAbABfAHYAYQBsAHUAZQBcAG4AXABuACAAIAAgACAAQQAgAGMAZQBsAGwAIABpAHMAIABjAG8AbgBzAGkAZABlAHIAZQBkACAAXAAiAGUAbQBwAHQAeQBcACIAIABpAGYAIABpAHQAIABtAGEAdABjAGgAZQBzACAAYQBuAHkAIABvAGYAIAB0AGgAZQAgAGYAbwBsAGwAbwB3AGkAbgBnADoAXABuACAAIAAgACAAIAAgACAAIAAiICAATABFAE4AKABjAGUAbABsACkAIAA9ACAAMABcAG4AIAAgACAAIAAgACAAIAAgACIgIABjAGUAbABsACAAPQAgAEYAQQBMAFMARQBcAG4AIAAgACAAIAAgACAAIAAgACIgIABjAGUAbABsACAAPQAgAGkAZwBuAG8AcgBlACAAIAAgACgAdQBzAGUAcgARIHMAcABlAGMAaQBmAGkAZQBkACkAXABuAFwAbgAgACAAIAAgAEUAbQBwAHQAeQAgAGMAZQBsAGwAcwAgAGEAcgBlACAAcwBrAGkAcABwAGUAZAAgAHcAaABlAG4AIABkAGUAdABlAHIAbQBpAG4AaQBuAGcAIAB0AGgAZQAgAG8AdQB0AHAAdQB0ACAAdgBhAGwAdQBlAC4AIABUAGgAaQBzACAAZgB1AG4AYwB0AGkAbwBuACAAaQBzAFwAbgAgACAAIAAgAHUAcwBlAGYAdQBsACAAZgBvAHIAIAByAGUAYwBvAG0AcABvAHMAaQBuAGcAIABtAGEAcwBrAGUAZAAgAG8AcgAgAGwAYQB5AGUAcgBlAGQAIABhAHIAcgBhAHkAcwAgACgAZQAuAGcALgAsACAAcgBpAG4AZwBzACkAIABpAG4AdABvACAAYQAgAHMAaQBuAGcAbABlAFwAbgAgACAAIAAgAGMAbwBoAGUAcgBlAG4AdAAgAGcAcgBpAGQAIABhAGYAdABlAHIAIAB0AHIAYQBuAHMAZgBvAHIAbQBhAHQAaQBvAG4AcwAuAFwAbgBcAG4AUABhAHIAYQBtAGUAdABlAHIAcwA6AFwAbgAgACAAIAAgAGEAcgByAGEAeQBfADEAIAAgACAAIAAgACAAIAAtACAAUgBlAHEAdQBpAHIAZQBkACAAMgBEACAAYQByAHIAYQB5AC4AXABuACAAIAAgACAAYQByAHIAYQB5AF8AMgAgACAAIAAgACAAIAAgAC0AIABSAGUAcQB1AGkAcgBlAGQAIAAyAEQAIABhAHIAcgBhAHkALgBcAG4AXABuAE8AcAB0AGkAbwBuAGEAbAA6AFwAbgAgACAAIAAgAFsAYQByAHIAYQB5AF8AMwBdACAAIAAgACAAIAAtACAATwBwAHQAaQBvAG4AYQBsACAAMgBEACAAYQByAHIAYQB5AC4AXABuACAAIAAgACAAWwBhAHIAcgBhAHkAXwA0AF0AIAAgACAAIAAgAC0AIABPAHAAdABpAG8AbgBhAGwAIAAyAEQAIABhAHIAcgBhAHkALgBcAG4AIAAgACAAIABbAGkAZwBuAG8AcgBlAF0AIAAgACAAIAAgACAALQAgAFYAYQBsAHUAZQAgAHQAcgBlAGEAdABlAGQAIABhAHMAIABlAG0AcAB0AHkAIABkAHUAcgBpAG4AZwAgAG8AYwBjAHUAcABhAG4AYwB5ACAAZQB2AGEAbAB1AGEAdABpAG8AbgAuAFwAbgAgACAAIAAgAFsAZgBpAGwAbABfAHYAYQBsAHUAZQBdACAAIAAtACAAUwBjAGEAbABhAHIAIAB1AHMAZQBkACAAdwBoAGUAbgAgAGEAbABsACAAYQByAHIAYQB5AHMAIABzAHUAcABwAGwAeQAgAGEAbgAgAGUAbQBwAHQAeQAgAHYAYQBsAHUAZQAuAFwAbgAtAC0ALQAtAC0ALQAtAC0ALQAtAC0ALQAtAC0ALQAtAC0ALQAtAC0ALQAtAC0ALQAtAC0ALQAtAC0ALQAtAC0ALQAtAC0ALQAtAC0ALQAtAC0ALQAtAC0ALQAtAC0ALQAtAC0ALQAtAC0ALQAtAC0ALQAtAC0ALQAtAC0ALQAtAC0ALQAtAC0ALQAtAC0ALQAtAC0ALQAtAC0ALQAqAC8AXABuAFwAbgBDAG8AYQBsAGUAcwBjAGUAuwMgAD0AXABuAEwAQQBNAEIARABBACgAXABuACAAIAAgACAAYQByAHIAYQB5AF8AMQAsACAAYQByAHIAYQB5AF8AMgAsACAAWwBhAHIAcgBhAHkAXwAzAF0ALAAgAFsAYQByAHIAYQB5AF8ANABdACwAXABuACAAIAAgACAAWwBpAGcAbgBvAHIAZQBdACwAXABuACAAIAAgACAAWwBmAGkAbABsAF8AdgBhAGwAdQBlAF0ALABcAG4AXABuAEwARQBUACgAXABuACAAIAAgACAALwAvACAATwBwAHQAaQBvAG4AYQBsACAAYQByAHIAYQB5ACAAcAByAGUAcwBlAG4AYwBlAFwAbgAgACAAIAAgAEkAbgBjAGwAdQBkAGUAMwAsACAAIAAgACAAIAAgACAATgBPAFQAKABJAFMATwBNAEkAVABUAEUARAAoAGEAcgByAGEAeQBfADMAKQApACwAXABuACAAIAAgACAASQBuAGMAbAB1AGQAZQA0ACwAIAAgACAAIAAgACAAIABOAE8AVAAoAEkAUwBPAE0ASQBUAFQARQBEACgAYQByAHIAYQB5AF8ANAApACkALABcAG4AIAAgACAAIABhAHIAcgBhAHkAXwAzACwAIAAgACAAIAAgACAAIAAgAEkARgAoAEkAUwBPAE0ASQBUAFQARQBEACgAYQByAHIAYQB5AF8AMwApACwAIABGAEEATABTAEUALAAgAGEAcgByAGEAeQBfADMAKQAsAFwAbgAgACAAIAAgAGEAcgByAGEAeQBfADQALAAgACAAIAAgACAAIAAgACAASQBGACgASQBTAE8ATQBJAFQAVABFAEQAKABhAHIAcgBhAHkAXwA0ACkALAAgAEYAQQBMAFMARQAsACAAYQByAHIAYQB5AF8ANAApACwAXABuAFwAbgAgACAAIAAgAC8ALwAgAEUAbQBwAHQAeQARIHYAYQBsAHUAZQAgAHIAdQBsAGUAcwBcAG4AIAAgACAAIABpAGcAbgBvAHIAZQAsACAAIAAgACAAIAAgACAAIAAgAEkARgAoAEkAUwBPAE0ASQBUAFQARQBEACgAaQBnAG4AbwByAGUAKQAsACAAXAAiAFwAIgAsACAAaQBnAG4AbwByAGUAKQAsAFwAbgAgACAAIAAgAGYAaQBsAGwAXwB2AGEAbAB1AGUALAAgACAAIAAgACAASQBGACgASQBTAE8ATQBJAFQAVABFAEQAKABmAGkAbABsAF8AdgBhAGwAdQBlACkALAAgAFwAIgBcACIALAAgAGYAaQBsAGwAXwB2AGEAbAB1AGUAKQAsAFwAbgBcAG4AIAAgACAAIAAvAC8AIABEAGkAbQBlAG4AcwBpAG8AbgBzAFwAbgAgACAAIAAgAGgALAAgACAAIAAgACAAIAAgACAAIAAgACAAIAAgACAAUgBPAFcAUwAoAGEAcgByAGEAeQBfADEAKQAsACAAIAAgACAAIAAgAHcALAAgACAAIABDAE8ATABVAE0ATgBTACgAYQByAHIAYQB5AF8AMQApACwAXABuACAAIAAgACAAaACCICwAIAAgACAAIAAgACAAIAAgACAAIAAgACAAIABSAE8AVwBTACgAYQByAHIAYQB5AF8AMgApACwAIAAgACAAIAAgACAAdwCCICwAIAAgAEMATwBMAFUATQBOAFMAKABhAHIAcgBhAHkAXwAyACkALABcAG4AIAAgACAAIABoAIMgLAAgACAAIAAgACAAIAAgACAAIAAgACAAIAAgAFIATwBXAFMAKABhAHIAcgBhAHkAXwAzACkALAAgACAAIAAgACAAIAB3AIMgLAAgACAAQwBPAEwAVQBNAE4AUwAoAGEAcgByAGEAeQBfADMAKQAsAFwAbgAgACAAIAAgAGgAhCAsACAAIAAgACAAIAAgACAAIAAgACAAIAAgACAAUgBPAFcAUwAoAGEAcgByAGEAeQBfADQAKQAsACAAIAAgACAAIAAgAHcAhCAsACAAIABDAE8ATABVAE0ATgBTACgAYQByAHIAYQB5AF8ANAApACwAXABuAFwAbgAgACAAIAAgAC8ALwAgAEQAaQBtAGUAbgBzAGkAbwBuACAAbQBpAHMAbQBhAHQAYwBoAGUAcwBcAG4AIAAgACAAIABTAF8AMgAsACAAIAAgACAAIAAgACAAIAAgACAAIAAgAE8AUgAoAGgAIAA8AD4AIABoAIIgLAAgAHcAIAA8AD4AIAB3AIIgKQAsAFwAbgAgACAAIAAgAFMAXwAzACwAIAAgACAAIAAgACAAIAAgACAAIAAgACAASQBuAGMAbAB1AGQAZQAzACAAKgAgAE8AUgAoAGgAIAA8AD4AIABoAIMgLAAgAHcAIAA8AD4AIAB3AIMgKQAsAFwAbgAgACAAIAAgAFMAXwA0ACwAIAAgACAAIAAgACAAIAAgACAAIAAgACAASQBuAGMAbAB1AGQAZQA0ACAAKgAgAE8AUgAoAGgAIAA8AD4AIABoAIQgLAAgAHcAIAA8AD4AIAB3AIQgKQAsAFwAbgBcAG4AIAAgACAAIABTAGgAYQBwAGUATQBpAHMAbQBhAHQAYwBoAD8ALAAgAE8AUgAoAFMAXwAyACwAIABTAF8AMwAsACAAUwBfADQAKQAsAFwAbgBcAG4AIAAgACAAIABJAEYAKABTAGgAYQBwAGUATQBpAHMAbQBhAHQAYwBoAD8ALABcACIAIwBEAEkATQBFAE4AUwBJAE8ATgBTACEAXAAiACwAXABuAFwAbgBMAEUAVAAoAFwAbgAgACAAIAAgAC8ALwAgAE8AYwBjAHUAcABhAG4AYwB5ACAAdABlAHMAdABcAG4AIAAgACAAIABPAGMAYwB1AHAAaQBlAGQAuwMsACAAIABMAEEATQBCAEQAQQAoAGEAcgByACwAXABuACAAIAAgACAAIAAgACAAIAAgACAAIAAgACAAIAAgACAAIAAgACAAIABMAEEATQBCAEQAQQAoACgAYQByAHIAIAA8AD4AIABGAEEATABTAEUAKQAgACoAKABMAEUATgAoAGEAcgByACkAIAA8AD4AIAAwACkAIAAqACAAKABhAHIAcgAgADwAPgAgAGkAZwBuAG8AcgBlACkAKQApACwAXABuAFwAbgAgACAAIAAgAG0AXwAxACwAIAAgACAAIAAgACAAIAAgAE8AYwBjAHUAcABpAGUAZAC7AygAYQByAHIAYQB5AF8AMQApACwAXABuACAAIAAgACAAbQBfADIALAAgACAAIAAgACAAIAAgACAATwBjAGMAdQBwAGkAZQBkALsDKABhAHIAcgBhAHkAXwAyACkALABcAG4AIAAgACAAIABtAF8AMwAsACAAIAAgACAAIAAgACAAIABPAGMAYwB1AHAAaQBlAGQAuwMoAGEAcgByAGEAeQBfADMAKQAsAFwAbgAgACAAIAAgAG0AXwA0ACwAIAAgACAAIAAgACAAIAAgAE8AYwBjAHUAcABpAGUAZAC7AygAYQByAHIAYQB5AF8ANAApACwAXABuAFwAbgAgACAAIAAgAC8ALwAgAFAAcgBpAG8AcgBpAHQAeQAgAGMAaABhAGkAbgBcAG4AIAAgACAAIABmAGkAbgBhAGwALAAgACAAIAAgACAAIABJAEYAKABtAF8AMQAoACkALAAgAGEAcgByAGEAeQBfADEALABcAG4AIAAgACAAIAAgACAAIAAgACAAIAAgACAAIAAgACAAIAAgACAAIAAgAEkARgAoAG0AXwAyACgAKQAsACAAYQByAHIAYQB5AF8AMgAsAFwAbgAgACAAIAAgACAAIAAgACAAIAAgACAAIAAgACAAIAAgACAAIAAgACAAIAAgACAAIABJAEYAKABtAF8AMwAoACkALAAgAGEAcgByAGEAeQBfADMALABcAG4AIAAgACAAIAAgACAAIAAgACAAIAAgACAAIAAgACAAIAAgACAAIAAgACAAIAAgACAAIAAgACAAIABJAEYAKABtAF8ANAAoACkALAAgAGEAcgByAGEAeQBfADQALAAgAGYAaQBsAGwAXwB2AGEAbAB1AGUAKQApACkAKQAsAFwAbgBcAG4AIAAgACAAIABmAGkAbgBhAGwAXABuACkAKQApACkAOwBcAG4AXABuAFwAbgBcAG4ALwAqACAAWwBUAFgAMAA1AF0AIAAtAC0ALQAtAC0ALQAtAC0ALQAtAC0ALQAtAC0ALQAtAC0ALQAtAC0ALQAtAC0ALQAtAC0ALQAtAC0ALQAtAC0ALQAtAC0ALQAtAC0ALQAtAC0ALQAtAC0ALQAtAC0ALQAtAC0ALQAtAC0ALQAtAC0ALQAtAC0ALQAtAC0ALQAtAC0ALQAtAC0ALQAtAC0ALQAtAFwAbgBGAHUAbgBjAHQAaQBvAG4AOgAgACAAIAAgACAAIAAgACAARQB4AHAAbABvAGQAZQC7A1wAbgBDAGEAdABlAGcAbwByAHkAOgAgACAAIAAgACAAIAAgACAAVABlAHgAdABcAG4AQQB1AHQAaABvAHIAOgAgACAAIAAgACAAIAAgACAAIAAgAFAAYQB0AHIAaQBjAGsAIABIAC4AXABuAFYAZQByAHMAaQBvAG4AOgAgACAAIAAgACAAIAAgACAAIAAxAC4AMQBcAG4ARABlAHAAZQBuAGQAZQBuAGMAaQBlAHMAOgAgACAAIAAgAE0ARwByAGkAZAC7AywAIABSAGUAcwBpAHoAZQC7A1wAbgBcAG4ARABlAHMAYwByAGkAcAB0AGkAbwBuADoAXABuACAAIAAgACAAQwBvAG4AdgBlAHIAdABzACAAYQAgAHMAYwBhAGwAYQByACwAIAAxAEQAIABhAHIAcgBhAHkALAAgAG8AcgAgADIARAAgAGEAcgByAGEAeQAgAGkAbgB0AG8AIABhAG4AIABlAHgAcABsAG8AZABlAGQAIABjAGgAYQByAGEAYwB0AGUAcgAgAGEAcgByAGEAeQAuAFwAbgAgACAAIAAgAEUAeABwAGwAbwBzAGkAbwBuACAAYgBlAGgAYQB2AGkAbwByACAAZABlAHAAZQBuAGQAcwAgAG8AbgAgAHQAaABlACAAaQBuAHAAdQB0ACAAcwBoAGEAcABlADoAXABuAFwAbgAgACAAIAAgACAAIAAgACAAIiAgAFMAYwBhAGwAYQByAHMAIABlAHgAcABsAG8AZABlACAAYwBvAGwAdQBtAG4AESB3AGkAcwBlAC4AXABuACAAIAAgACAAIAAgACAAIAAiICAAVgBlAHIAdABpAGMAYQBsACAAMQBEACAAYQByAHIAYQB5AHMAIABlAHgAcABsAG8AZABlACAAYwBvAGwAdQBtAG4AESB3AGkAcwBlAC4AXABuACAAIAAgACAAIAAgACAAIAAiICAASABvAHIAaQB6AG8AbgB0AGEAbAAgADEARAAgAGEAcgByAGEAeQBzACAAZQB4AHAAbABvAGQAZQAgAHIAbwB3ABEgdwBpAHMAZQAuAFwAbgAgACAAIAAgACAAIAAgACAAIiAgADIARAAgAGEAcgByAGEAeQBzACAAZQB4AHAAbABvAGQAZQAgAHIAbwB3ABEgdwBpAHMAZQAgAGIAeQAgAGQAZQBmAGEAdQBsAHQALAAgAG8AcgAgAHcAaQBkAHQAaAARIHcAaQBzAGUAIAB3AGgAZQBuAFwAbgAgACAAIAAgACAAIAAgACAAIAAgAGUAeABwAGwAbwBkAGUAXwAyAEQAXwBiAHkAYwBvAGwAIAA9ACAAVABSAFUARQAuAFwAbgBcAG4AUABhAHIAYQBtAGUAdABlAHIAcwA6AFwAbgAgACAAIAAgAGEAcgByAGEAeQAgACAAIAAgACAAIAAgACAAIAAgACAAIAAgACAAIAAtACAASQBuAHAAdQB0ACAAYwBhAG4AIABiAGUAIABzAGMAYQBsAGEAcgAsACAAMQBEACwAIABvAHIAIAAyAEQALgBcAG4AIAAgACAAIABbAGUAeABwAGwAbwBkAGUAXwAyAEQAXwBiAHkAYwBvAGwAXQAgACAALQAgAE8AcAB0AGkAbwBuAGEAbAAuACAAVABSAFUARQAgAJIhIABlAHgAcABsAG8AZABlACAAMgBEACAAYQByAHIAYQB5AHMAIAB3AGkAZAB0AGgAESB3AGkAcwBlAC4AXABuACAAIAAgACAAIAAgACAAIAAgACAAIAAgACAAIAAgACAAIAAgACAAIAAgACAAIAAgACAAIABPAG0AaQB0AHQAZQBkACAAkiEgAGUAeABwAGwAbwBkAGUAIAByAG8AdwARIHcAaQBzAGUALgBcAG4AXABuAE4AbwB0AGUAcwA6AFwAbgAgACAAIAAgACIgIABMAEUATgAoAGEAcgByAGEAeQApACAAZABlAHQAZQByAG0AaQBuAGUAcwAgAHQAaABlACAAbQBhAHgAaQBtAHUAbQAgAGMAaABhAHIAYQBjAHQAZQByACAAYwBvAHUAbgB0ACAAcABlAHIAIABjAGUAbABsAC4AXABuAC0ALQAtAC0ALQAtAC0ALQAtAC0ALQAtAC0ALQAtAC0ALQAtAC0ALQAtAC0ALQAtAC0ALQAtAC0ALQAtAC0ALQAtAC0ALQAtAC0ALQAtAC0ALQAtAC0ALQAtAC0ALQAtAC0ALQAtAC0ALQAtAC0ALQAtAC0ALQAtAC0ALQAtAC0ALQAtAC0ALQAtAC0ALQAtAC0ALQAtAC0ALQAtACoALwBcAG4AXABuAEUAeABwAGwAbwBkAGUAuwMgAD0AXABuAEwAQQBNAEIARABBACgAXABuACAAIAAgACAAYQByAHIAYQB5ACwAXABuACAAIAAgACAAWwBlAHgAcABsAG8AZABlAF8AMgBEAF8AYgB5AGMAbwBsAF0ALABcAG4AXABuAEwARQBUACgAXABuACAAIAAgACAALwAvACAARABpAG0AZQBuAHMAaQBvAG4AcwBcAG4AIAAgACAAIABoACwAIAAgACAAIAAgACAAIAAgACAAIAAgACAAIAAgAFIATwBXAFMAKABhAHIAcgBhAHkAKQAsAFwAbgAgACAAIAAgAHcALAAgACAAIAAgACAAIAAgACAAIAAgACAAIAAgACAAQwBPAEwAVQBNAE4AUwAoAGEAcgByAGEAeQApACwAXABuAFwAbgAgACAAIAAgAC8ALwAgAEcAZQBvAG0AZQB0AHIAeQAgAGMAbABhAHMAcwBpAGYAaQBjAGEAdABpAG8AbgBcAG4AIAAgACAAIABJAHMAVgBlAHIAdABpAGMAYQBsAD8ALAAgACAAIAAgAGgAIAA+ACAAdwAsAFwAbgAgACAAIAAgAEkAcwBIAG8AcgBpAHoAbwBuAHQAYQBsAD8ALAAgACAAdwAgAD4AIABoACwAXABuACAAIAAgACAASQBzAFMAYwBhAGwAYQByAD8ALAAgACAAIAAgACAAIABBAE4ARAAoAGgAIAA9ACAAMQAsACAAdwAgAD0AIAAxACkALABcAG4AIAAgACAAIABJAHMAMQBEAD8ALAAgACAAIAAgACAAIAAgACAAIAAgAFgATwBSACgAaAAgAD4AIAAxACwAIAB3ACAAPgAgADEAKQAsAFwAbgAgACAAIAAgAEkAcwAyAEQAPwAsACAAIAAgACAAIAAgACAAIAAgACAAQQBOAEQAKABoACAAPgAgADEALAAgAHcAIAA+ACAAMQApACwAXABuACAAIAAgACAARABpAHIATwBtAGkAdAB0AGUAZAA/ACwAIAAgACAAIABJAFMATwBNAEkAVABUAEUARAAoAGUAeABwAGwAbwBkAGUAXwAyAEQAXwBiAHkAYwBvAGwAKQAsAFwAbgBcAG4AIAAgACAAIAAvAC8AIABTAGMAYQBsAGEAcgAgAGUAeABwAGwAbwBzAGkAbwBuAFwAbgAgACAAIAAgAEUAeABwAGwAbwBkAGUAUwBjAGEAbABhAHIALAAgACAAUgBFAEcARQBYAEUAWABUAFIAQQBDAFQAKABhAHIAcgBhAHkALAAgAFwAIgAuAFwAIgAsACAAMQApACwAXABuAFwAbgAgACAAIAAgAEkARgAoAEkAcwBTAGMAYQBsAGEAcgA/ACwARQB4AHAAbABvAGQAZQBTAGMAYQBsAGEAcgAsAFwAbgBcAG4ATABFAFQAKABcAG4AIAAgACAAIAAvAC8AIABNAGEAeABpAG0AdQBtACAAYwBoAGEAcgBhAGMAdABlAHIAcwAgAGEAYwByAG8AcwBzACAAYQBsAGwAIABjAGUAbABsAHMAXABuACAAIAAgACAAbQAsACAAIAAgACAAIAAgACAAIAAgACAATQBBAFgAKABMAEUATgAoAGEAcgByAGEAeQApACkALABcAG4AXABuACAAIAAgACAALwAvACAALQAtAC0AIAAxAEQAIABpAG4AZABlAHgAaQBuAGcAIAAtAC0ALQBcAG4AIAAgACAAIABpAGQAeAAsACAAIAAgACAAIAAgACAAIABMAEEATQBCAEQAQQAoAEkARgAoAEkAcwBWAGUAcgB0AGkAYwBhAGwAPwAsAFMARQBRAFUARQBOAEMARQAoACwAIABtACkALABcAG4AIAAgACAAIAAgACAAIAAgACAAIAAgACAAIAAgACAAIAAgACAAIAAgACAAIAAgACAAIAAgACAAIAAgACAAIAAgACAAIAAgACAAIAAgAFMARQBRAFUARQBOAEMARQAoAG0AKQApACkALABcAG4AXABuACAAIAAgACAALwAvACAALQAtAC0AIAAyAEQAIABpAG4AZABlAHgAaQBuAGcAIAAoAHYAZQByAHQAaQBjAGEAbAAgAGUAeABwAGwAbwBzAGkAbwBuACkAIAAtAC0ALQBcAG4AIAAgACAAIABpAF8ALAAgACAAIAAgACAAIAAgACAAIABMAEEATQBCAEQAQQAoACAAUgBlAHMAaQB6AGUAuwMoACAASQBOAFQAKABTAEUAUQBVAEUATgBDAEUAKABtACAAKgAgAGgALAAgACwAIAAsACAAMQAgAC8AIABtACkAKQAsACAALAAgAHcAIAApACAAKQAsAFwAbgAgACAAIAAgAGoAXwAsACAAIAAgACAAIAAgACAAIAAgAEwAQQBNAEIARABBACgAIABSAGUAcwBpAHoAZQC7AygAIABNAEcAcgBpAGQAuwMoAGEAcgByAGEAeQAsACAAMQApACwAIABtACAAKQAgACkALABcAG4AIAAgACAAIABzAHQAYQByAHQAXwBhAHQAXwAsACAAIABMAEEATQBCAEQAQQAoACAAUgBlAHMAaQB6AGUAuwMoACAAUwBFAFEAVQBFAE4AQwBFACgAbQApACwAIABoACwAIAB3ACAAKQAgACkALABcAG4AXABuACAAIAAgACAALwAvACAALQAtAC0AIAAyAEQAIABpAG4AZABlAHgAaQBuAGcAIAAoAGgAbwByAGkAegBvAG4AdABhAGwAIABlAHgAcABsAG8AcwBpAG8AbgApACAALQAtAC0AXABuACAAIAAgACAAaQAsACAAIAAgACAAIAAgACAAIAAgACAATABBAE0AQgBEAEEAKAAgAFIAZQBzAGkAegBlALsDKAAgAE0ARwByAGkAZAC7AygAYQByAHIAYQB5ACkALAAgACwAIABtACAAKQAgACkALABcAG4AIAAgACAAIABqACwAIAAgACAAIAAgACAAIAAgACAAIABMAEEATQBCAEQAQQAoACAAUgBlAHMAaQB6AGUAuwMoACAASQBOAFQAKABTAEUAUQBVAEUATgBDAEUAKAAsACAAbQAgACoAIAB3ACwAIAAsACAAMQAgAC8AIABtACkAKQAsACAAaAAgACkAIAApACwAXABuACAAIAAgACAAcwB0AGEAcgB0AF8AYQB0ACwAIAAgACAATABBAE0AQgBEAEEAKAAgAFIAZQBzAGkAegBlALsDKAAgAFMARQBRAFUARQBOAEMARQAoACwAIABtACkALAAgAGgALAAgAHcAIAApACAAKQAsAFwAbgBcAG4AIAAgACAAIAAvAC8AIAAxAEQAIABlAHgAcABsAG8AcwBpAG8AbgBcAG4AIAAgACAAIABlAHgAMQBEACwAIAAgACAAIAAgACAAIABMAEEATQBCAEQAQQAoACAATQBJAEQAKABhAHIAcgBhAHkALAAgAGkAZAB4ACgAKQAsACAAMQApACAAKQAsAFwAbgBcAG4AIAAgACAAIAAvAC8AIAAyAEQAIABlAHgAcABsAG8AcwBpAG8AbgAgAHYAYQByAGkAYQBuAHQAcwBcAG4AIAAgACAAIABlAHgAMgBEAF8AVgAsACAAIAAgACAAIABMAEEATQBCAEQAQQAoACAATQBJAEQAKABJAE4ARABFAFgAKABhAHIAcgBhAHkALAAgAGkAXwAoACkALAAgAGoAXwAoACkAKQAsACAAcwB0AGEAcgB0AF8AYQB0AF8AKAApACwAIAAxACkAIAApACwAXABuACAAIAAgACAAZQB4ADIARABfAEgALAAgACAAIAAgACAATABBAE0AQgBEAEEAKAAgAE0ASQBEACgASQBOAEQARQBYACgAYQByAHIAYQB5ACwAIABpACgAKQAsACAAIABqACgAKQApACwAIABzAHQAYQByAHQAXwBhAHQAKAApACwAIAAgADEAKQAgACkALABcAG4AXABuACAAIAAgACAALwAvACAAMgBEACAAcwBlAGwAZQBjAHQAaQBvAG4AXABuACAAIAAgACAAZQB4ADIARAAsACAAIAAgACAAIAAgACAATABBAE0AQgBEAEEAKABJAEYAKABEAGkAcgBPAG0AaQB0AHQAZQBkAD8ALABlAHgAMgBEAF8AVgAoACkALABlAHgAMgBEAF8ASAAoACkAKQApACwAXABuAFwAbgAgACAAIAAgAC8ALwAgAEYAaQBuAGEAbAAgAHMAZQBsAGUAYwB0AGkAbwBuAFwAbgAgACAAIAAgAGYAaQBuAGEAbAAsACAAIAAgACAAIAAgAEkARgAoAEkAcwAxAEQAPwAsACAAZQB4ADEARAAoACkALAAgAGUAeAAyAEQAKAApACkALABcAG4AXABuACAAIAAgACAAZgBpAG4AYQBsAFwAbgApACkAKQApADsAXABuAFwAbgBcAG4AXABuAC8AKgAgAFsAVABYADAANgBdACAALQAtAC0ALQAtAC0ALQAtAC0ALQAtAC0ALQAtAC0ALQAtAC0ALQAtAC0ALQAtAC0ALQAtAC0ALQAtAC0ALQAtAC0ALQAtAC0ALQAtAC0ALQAtAC0ALQAtAC0ALQAtAC0ALQAtAC0ALQAtAC0ALQAtAC0ALQAtAC0ALQAtAC0ALQAtAC0ALQAtAC0ALQAtAC0ALQBcAG4ARgB1AG4AYwB0AGkAbwBuADoAIAAgACAAIAAgACAAIAAgAE4AdQBtAGIAZQByAHMATwBuAGwAeQC7A1wAbgBDAGEAdABlAGcAbwByAHkAOgAgACAAIAAgACAAIAAgACAAVABlAHgAdABcAG4AQQB1AHQAaABvAHIAOgAgACAAIAAgACAAIAAgACAAIAAgAFAAYQB0AHIAaQBjAGsAIABIAC4AXABuAFYAZQByAHMAaQBvAG4AOgAgACAAIAAgACAAIAAgACAAIAAxAC4AMQBcAG4ARABlAHAAZQBuAGQAZQBuAGMAaQBlAHMAOgAgACAAIAAgAEUAeABwAGwAbwBkAGUAuwNcAG4AXABuAEQAZQBzAGMAcgBpAHAAdABpAG8AbgA6AFwAbgAgACAAIAAgAEUAeAB0AHIAYQBjAHQAcwAgAG4AdQBtAGUAcgBpAGMAIABjAGgAYQByAGEAYwB0AGUAcgBzACAAKAAwABMgOQApACAAZgByAG8AbQAgAGEAIABzAGMAYQBsAGEAcgAsACAAMQBEACAAYQByAHIAYQB5ACwAIABvAHIAIAAyAEQAIABhAHIAcgBhAHkALgBcAG4AXABuAFAAYQByAGEAbQBlAHQAZQByAHMAOgBcAG4AIAAgACAAIABhAHIAcgBhAHkAIAAgACAAIAAgACAAIAAtACAASQBuAHAAdQB0ACAAcwBjAGEAbABhAHIALAAgADEARAAgAGEAcgByAGEAeQAsACAAbwByACAAMgBEACAAYQByAHIAYQB5AC4AXABuAFwAbgBOAG8AdABlAHMAOgBcAG4AIAAgACAAIAAiICAAVQBzAGUAcwAgAEUAeABwAGwAbwBkAGUAuwMgAGYAbwByACAAYwBoAGEAcgBhAGMAdABlAHIAESBsAGUAdgBlAGwAIABlAHgAcABhAG4AcwBpAG8AbgAuAFwAbgAgACAAIAAgACIgIABDAE8ARABFACgAKQAgAGYAaQBsAHQAZQByAGkAbgBnACAAZQBuAHMAdQByAGUAcwAgAHMAdAByAGkAYwB0ACAAZABpAGcAaQB0ACAAZQB4AHQAcgBhAGMAdABpAG8AbgAuAFwAbgAtAC0ALQAtAC0ALQAtAC0ALQAtAC0ALQAtAC0ALQAtAC0ALQAtAC0ALQAtAC0ALQAtAC0ALQAtAC0ALQAtAC0ALQAtAC0ALQAtAC0ALQAtAC0ALQAtAC0ALQAtAC0ALQAtAC0ALQAtAC0ALQAtAC0ALQAtAC0ALQAtAC0ALQAtAC0ALQAtAC0ALQAtAC0ALQAtAC0ALQAtAC0ALQAqAC8AXABuAFwAbgBOAHUAbQBiAGUAcgBzAE8AbgBsAHkAuwMgAD0AXABuAEwAQQBNAEIARABBACgAXABuACAAIAAgACAAYQByAHIAYQB5ACwAXABuAFwAbgBMAEUAVAAoAFwAbgAgACAAIAAgAC8ALwAgAEYAbABhAHQAdABlAG4AIABpAG4AcAB1AHQAIABpAGYAIABhAHIAcgBhAHkAXABuACAAIAAgACAAYQByAHIAYQB5ACwAIAAgACAAIAAgACAAIAAgACAASQBGACgAVABZAFAARQAoAGEAcgByAGEAeQApACAAPAA+ACAANgA0ACwAIABhAHIAcgBhAHkALABUAE8AQwBPAEwAKABhAHIAcgBhAHkAKQApACwAXABuAFwAbgAgACAAIAAgAC8ALwAgAEUAeABwAGwAbwBkAGUAIAB0AG8AIABjAGgAYQByAGEAYwB0AGUAcgBzAFwAbgAgACAAIAAgAGUAeAAsACAAIAAgACAAIAAgACAAIAAgACAAIAAgAEUAeABwAGwAbwBkAGUAuwMoAGEAcgByAGEAeQApACwAXABuAFwAbgAgACAAIAAgAC8ALwAgAEQAaQBnAGkAdAAgAG0AYQBzAGsAXABuACAAIAAgACAASwBlAGUAcAAsACAAIAAgACAAIAAgACAAIAAgACAASQBGAEUAUgBSAE8AUgAoACgAQwBPAEQARQAoAGUAeAApACAAPgA9ACAANAA4ACkAIAAqACAAKABDAE8ARABFACgAZQB4ACkAIAA8AD0AIAA1ADcAKQAsACAARgBBAEwAUwBFACkALABcAG4AXABuACAAIAAgACAALwAvACAATQBhAHMAawBlAGQAIAByAGUAcwB1AGwAdABcAG4AIAAgACAAIABSAGUAcwB1AGwAdAAsACAAIAAgACAAIAAgACAAIABJAEYAKABLAGUAZQBwACwAIABlAHgALAAgAFwAIgBcACIAKQAsAFwAbgBcAG4AIAAgACAAIAAvAC8AIAAxAEQAIABjAG8AbgBjAGEAdABlAG4AYQB0AGUAZAAgAG8AdQB0AHAAdQB0AFwAbgAgACAAIAAgAGYAaQBuAGEAbAAsACAAIAAgACAAIAAgACAAIAAgAEkARgBFAFIAUgBPAFIAKABCAFkAUgBPAFcAKABSAGUAcwB1AGwAdAAsACAAQwBPAE4AQwBBAFQAKQAgACsAIAAwACwAXAAiAFwAIgApACwAXABuAFwAbgAgACAAIAAgAGYAaQBuAGEAbABcAG4AKQApADsAXABuAFwAbgBcAG4AXABuAC8AKgAgAFsAVABYADAANwBdACAALQAtAC0ALQAtAC0ALQAtAC0ALQAtAC0ALQAtAC0ALQAtAC0ALQAtAC0ALQAtAC0ALQAtAC0ALQAtAC0ALQAtAC0ALQAtAC0ALQAtAC0ALQAtAC0ALQAtAC0ALQAtAC0ALQAtAC0ALQAtAC0ALQAtAC0ALQAtAC0ALQAtAC0ALQAtAC0ALQAtAC0ALQAtAC0ALQBcAG4ARgB1AG4AYwB0AGkAbwBuADoAIAAgACAAIAAgACAAIAAgAFQAZQB4AHQATwBuAGwAeQC7A1wAbgBDAGEAdABlAGcAbwByAHkAOgAgACAAIAAgACAAIAAgACAAVABlAHgAdABcAG4AQQB1AHQAaABvAHIAOgAgACAAIAAgACAAIAAgACAAIAAgAFAAYQB0AHIAaQBjAGsAIABIAC4AXABuAFYAZQByAHMAaQBvAG4AOgAgACAAIAAgACAAIAAgACAAIAAxAC4AMQBcAG4ARABlAHAAZQBuAGQAZQBuAGMAaQBlAHMAOgAgACAAIAAgAEUAeABwAGwAbwBkAGUAuwNcAG4AXABuAEQAZQBzAGMAcgBpAHAAdABpAG8AbgA6AFwAbgAgACAAIAAgAEUAeAB0AHIAYQBjAHQAcwAgAG4AbwBuABEgbgB1AG0AZQByAGkAYwAgAGMAaABhAHIAYQBjAHQAZQByAHMAIABmAHIAbwBtACAAYQAgAHMAYwBhAGwAYQByACwAIAAxAEQAIABhAHIAcgBhAHkALAAgAG8AcgAgADIARAAgAGEAcgByAGEAeQAuAFwAbgBcAG4AUABhAHIAYQBtAGUAdABlAHIAcwA6AFwAbgAgACAAIAAgAGEAcgByAGEAeQAgACAAIAAgACAAIAAgAC0AIABJAG4AcAB1AHQAIABzAGMAYQBsAGEAcgAsACAAMQBEACAAYQByAHIAYQB5ACwAIABvAHIAIAAyAEQAIABhAHIAcgBhAHkALgBcAG4AXABuAE4AbwB0AGUAcwA6AFwAbgAgACAAIAAgACIgIABVAHMAZQBzACAARQB4AHAAbABvAGQAZQC7AyAAZgBvAHIAIABjAGgAYQByAGEAYwB0AGUAcgARIGwAZQB2AGUAbAAgAGUAeABwAGEAbgBzAGkAbwBuAC4AXABuACAAIAAgACAAIiAgAEMAbwBtAHAAbABlAG0AZQBuAHQAcwAgAE4AdQBtAGIAZQByAHMATwBuAGwAeQC7AyAAYgB5ACAAcwBlAGwAZQBjAHQAaQBuAGcAIABhAGwAbAAgAG4AbwBuABEgZABpAGcAaQB0ACAAYwBoAGEAcgBhAGMAdABlAHIAcwAuAFwAbgAtAC0ALQAtAC0ALQAtAC0ALQAtAC0ALQAtAC0ALQAtAC0ALQAtAC0ALQAtAC0ALQAtAC0ALQAtAC0ALQAtAC0ALQAtAC0ALQAtAC0ALQAtAC0ALQAtAC0ALQAtAC0ALQAtAC0ALQAtAC0ALQAtAC0ALQAtAC0ALQAtAC0ALQAtAC0ALQAtAC0ALQAtAC0ALQAtAC0ALQAtAC0ALQAqAC8AXABuAFwAbgBUAGUAeAB0AE8AbgBsAHkAuwMgAD0AXABuAEwAQQBNAEIARABBACgAXABuACAAIAAgACAAYQByAHIAYQB5ACwAXABuAFwAbgBMAEUAVAAoAFwAbgAgACAAIAAgAC8ALwAgAEYAbABhAHQAdABlAG4AIABpAG4AcAB1AHQAIABpAGYAIABhAHIAcgBhAHkAXABuACAAIAAgACAAYQByAHIAYQB5ACwAIAAgACAAIAAgACAAIAAgACAASQBGACgAVABZAFAARQAoAGEAcgByAGEAeQApACAAPAA+ACAANgA0ACwAIABhAHIAcgBhAHkALABUAE8AQwBPAEwAKABhAHIAcgBhAHkAKQApACwAXABuAFwAbgAgACAAIAAgAC8ALwAgAEUAeABwAGwAbwBkAGUAIAB0AG8AIABjAGgAYQByAGEAYwB0AGUAcgBzAFwAbgAgACAAIAAgAGUAeAAsACAAIAAgACAAIAAgACAAIAAgACAAIAAgAEUAeABwAGwAbwBkAGUAuwMoAGEAcgByAGEAeQApACwAXABuAFwAbgAgACAAIAAgAC8ALwAgAE4AbwBuABEgZABpAGcAaQB0ACAAbQBhAHMAawBcAG4AIAAgACAAIABLAGUAZQBwACwAIAAgACAAIAAgACAAIAAgACAAIABJAEYARQBSAFIATwBSACgAKABDAE8ARABFACgAZQB4ACkAIAA8ACAANAA4ACkAIAArACAAKABDAE8ARABFACgAZQB4ACkAIAA+ACAANQA3ACkALAAgAEYAQQBMAFMARQApACwAXABuAFwAbgAgACAAIAAgAC8ALwAgAE0AYQBzAGsAZQBkACAAcgBlAHMAdQBsAHQAXABuACAAIAAgACAAUgBlAHMAdQBsAHQALAAgACAAIAAgACAAIAAgACAASQBGACgASwBlAGUAcAAsACAAZQB4ACwAIABcACIAXAAiACkALABcAG4AXABuACAAIAAgACAALwAvACAAMQBEACAAYwBvAG4AYwBhAHQAZQBuAGEAdABlAGQAIABvAHUAdABwAHUAdABcAG4AIAAgACAAIABmAGkAbgBhAGwALAAgACAAIAAgACAAIAAgACAAIABJAEYARQBSAFIATwBSACgAQgBZAFIATwBXACgAUgBlAHMAdQBsAHQALAAgAEMATwBOAEMAQQBUACkALABcACIAXAAiACkALABcAG4AXABuACAAIAAgACAAZgBpAG4AYQBsAFwAbgApACkAOwBcAG4AXABuAFwAbgBcAG4ALwAqACAAWwBUAFgAMAA4AF0AIAAtAC0ALQAtAC0ALQAtAC0ALQAtAC0ALQAtAC0ALQAtAC0ALQAtAC0ALQAtAC0ALQAtAC0ALQAtAC0ALQAtAC0ALQAtAC0ALQAtAC0ALQAtAC0ALQAtAC0ALQAtAC0ALQAtAC0ALQAtAC0ALQAtAC0ALQAtAC0ALQAtAC0ALQAtAC0ALQAtAC0ALQAtAC0ALQAtAFwAbgBGAHUAbgBjAHQAaQBvAG4AOgAgACAAIAAgACAAIAAgACAAUwBwAGwAaQB0ALsDXABuAEMAYQB0AGUAZwBvAHIAeQA6ACAAIAAgACAAIAAgACAAIABUAGUAeAB0AFwAbgBBAHUAdABoAG8AcgA6ACAAIAAgACAAIAAgACAAIAAgACAAUABhAHQAcgBpAGMAawAgAEgALgBcAG4AVgBlAHIAcwBpAG8AbgA6ACAAIAAgACAAIAAgACAAIAAgADEALgAxAFwAbgBEAGUAcABlAG4AZABlAG4AYwBpAGUAcwA6ACAAIAAgACAAUgBlAGcAZQB4AFMAYQBmAGUAuwNcAG4AXABuAEQAZQBzAGMAcgBpAHAAdABpAG8AbgA6AFwAbgAgACAAIAAgAFMAcABsAGkAdABzACAAMQBEACAAdABlAHgAdAAgAGEAcgByAGEAeQBzACAAaQBuAHQAbwAgAHQAbwBrAGUAbgBzACAAdQBzAGkAbgBnACAAYQAgAHMAcABlAGMAaQBmAGkAZQBkACAAZABlAGwAaQBtAGkAdABlAHIALgAgAFQAaABlACAAZgB1AG4AYwB0AGkAbwBuAFwAbgAgACAAIAAgAGkAcwAgAHMAaABhAHAAZQARIGEAdwBhAHIAZQAgAGEAbgBkACAAcgBlAHQAdQByAG4AcwAgAGEAIAAyAEQAIABzAHAAaQBsAGwAIABhAGwAaQBnAG4AZQBkACAAdABvACAAdABoAGUAIABvAHIAaQBlAG4AdABhAHQAaQBvAG4AIABvAGYAIAB0AGgAZQBcAG4AIAAgACAAIABpAG4AcAB1AHQAIABhAHIAcgBhAHkALgAgAFMAdQBwAHAAbwByAHQAcwAgAG0AdQBsAHQAaQARIGMAaABhAHIAYQBjAHQAZQByACAAZABlAGwAaQBtAGkAdABlAHIAcwAgAGEAbgBkACAAZgB1AGwAbAAgAHIAZQBnAGUAeAARIHMAYQBmAGUAXABuACAAIAAgACAAZQBzAGMAYQBwAGkAbgBnAC4AXABuAFwAbgBQAGEAcgBhAG0AZQB0AGUAcgBzADoAXABuACAAIAAgACAAYQByAHIAYQB5ACAAIAAgACAAIAAgACAALQAgAEEAIAAxAEQAIABhAHIAcgBhAHkAIAAoAHYAZQByAHQAaQBjAGEAbAAgAG8AcgAgAGgAbwByAGkAegBvAG4AdABhAGwAKQAuACAAMgBEACAAYQByAHIAYQB5AHMAIABhAHIAZQAgAG4AbwB0ACAAcwB1AHAAcABvAHIAdABlAGQALgBcAG4AIAAgACAAIABkAGUAbABpAG0AaQB0AGUAcgAgACAAIAAtACAARABlAGwAaQBtAGkAdABlAHIAIAB1AHMAZQBkACAAdABvACAAcwBwAGwAaQB0ACAAZQBhAGMAaAAgAHQAZQB4AHQAIABlAGwAZQBtAGUAbgB0AC4AIABTAHAAaQBsAGwAIABvAHIAaQBlAG4AdABhAHQAaQBvAG4AXABuACAAIAAgACAAIAAgACAAIAAgACAAIAAgACAAIAAgACAAIAAgAGkAcwAgAGkAbgBmAGUAcgByAGUAZAAgAGYAcgBvAG0AIAB0AGgAZQAgAHMAaABhAHAAZQAgAG8AZgAgAGEAcgByAGEAeQAuAFwAbgBcAG4ATwBwAHQAaQBvAG4AYQBsADoAXABuACAAIAAgACAAWwBpAGYAXwBuAG8AdABfAGYAbwB1AG4AZABdAFwAbgAgACAAIAAgACAAIAAgACAAVgBhAGwAdQBlACAAcgBlAHQAdQByAG4AZQBkACAAdwBoAGUAbgAgAGEAIAB0AGUAeAB0ACAAZQBsAGUAbQBlAG4AdAAgAGMAbwBuAHQAYQBpAG4AcwAgAG4AbwAgAGQAZQBsAGkAbQBpAHQAZQByAC4AXABuACAAIAAgACAAIAAgACAAIABEAGUAZgBhAHUAbAB0AHMAIAB0AG8AIABcACIAXAAiAC4AXABuAFwAbgAgACAAIAAgAFsAdAByAGUAYQB0AF8AYwBvAG4AcwBlAGMAdQB0AGkAdgBlAF8AZABlAGwAaQBtAGkAdABlAHIAcwBfAGEAcwBfAG8AbgBlAF0AXABuACAAIAAgACAAIAAgACAAIABUAFIAVQBFACAAkiEgAGMAbwBsAGwAYQBwAHMAZQAgAHIAdQBuAHMAIABvAGYAIABjAG8AbgBzAGUAYwB1AHQAaQB2AGUAIABkAGUAbABpAG0AaQB0AGUAcgBzACAAYgBlAGYAbwByAGUAIABzAHAAbABpAHQAdABpAG4AZwAuAFwAbgAgACAAIAAgACAAIAAgACAAVQBzAGUAZgB1AGwAIABmAG8AcgAgAEMAUwBWABEgcwB0AHkAbABlACAAbgBvAHIAbQBhAGwAaQB6AGEAdABpAG8AbgAuAFwAbgBcAG4ATgBvAHQAZQBzADoAXABuACAAIAAgACAAIiAgAEMAbwBsAGwAYQBwAHMAZQAgAG0AbwBkAGUAIABwAGUAcgBmAG8AcgBtAHMAIABhACAAUgBFAEcARQBYAFIARQBQAEwAQQBDAEUAIABwAGEAcwBzACAAdwBoAGUAbgAgAGMAbwBuAHMAZQBjAHUAdABpAHYAZQAgAGQAZQBsAGkAbQBpAHQAZQByAHMAIABlAHgAaQBzAHQALgBcAG4AIAAgACAAIAAgACAARgBvAHIAIAB2AGUAcgB5ACAAbABhAHIAZwBlACAAYQByAHIAYQB5AHMAIABvAHIAIABoAGkAZwBoACAAdABvAGsAZQBuACAAYwBvAHUAbgB0AHMALAAgAHQAaABpAHMAIABtAGEAeQAgAGkAbgBjAHIAZQBhAHMAZQAgAGMAYQBsAGMAdQBsAGEAdABpAG8AbgAgAHQAaQBtAGUALgBcAG4AIAAgACAAIAAiICAARABlAGwAaQBtAGkAdABlAHIAcwAgAGEAcgBlACAAZgB1AGwAbAB5ACAAcgBlAGcAZQB4ABEgZQBzAGMAYQBwAGUAZAAgAHYAaQBhACAAUgBlAGcAZQB4AFMAYQBmAGUAuwMsACAAYQBsAGwAbwB3AGkAbgBnACAAbABpAHQAZQByAGEAbAAgAHUAcwBlACAAbwBmAFwAbgAgACAAIAAgACAAIABtAGUAdABhAGMAaABhAHIAYQBjAHQAZQByAHMAIAAoACoALAAgAD8ALAAgACsALAAgAHwALAAgACgALAAgACkALAAgAFsALAAgAF0ALAAgAF4ALAAgACQALAAgAGUAdABjAC4AKQAuAFwAbgAtAC0ALQAtAC0ALQAtAC0ALQAtAC0ALQAtAC0ALQAtAC0ALQAtAC0ALQAtAC0ALQAtAC0ALQAtAC0ALQAtAC0ALQAtAC0ALQAtAC0ALQAtAC0ALQAtAC0ALQAtAC0ALQAtAC0ALQAtAC0ALQAtAC0ALQAtAC0ALQAtAC0ALQAtAC0ALQAtAC0ALQAtAC0ALQAtAC0ALQAtAC0ALQAqAC8AXABuAFwAbgBTAHAAbABpAHQAuwMgAD0AXABuAEwAQQBNAEIARABBACgAXABuACAAIAAgACAAYQByAHIAYQB5ACwAXABuACAAIAAgACAAZABlAGwAaQBtAGkAdABlAHIALABcAG4AIAAgACAAIABbAGkAZgBfAG4AbwB0AF8AZgBvAHUAbgBkAF0ALABcAG4AIAAgACAAIABbAHQAcgBlAGEAdABfAGMAbwBuAHMAZQBjAHUAdABpAHYAZQBfAGQAZQBsAGkAbQBpAHQAZQByAHMAXwBhAHMAXwBvAG4AZQBdACwAXABuAFwAbgBMAEUAVAAoAFwAbgAgACAAIAAgAC8ALwAgAEQAaQBtAGUAbgBzAGkAbwBuAHMAIABvAGYAIABpAG4AcAB1AHQAIABhAHIAcgBhAHkAXABuACAAIAAgACAAaAAsACAAIABSAE8AVwBTACgAYQByAHIAYQB5ACkALABcAG4AIAAgACAAIAB3ACwAIAAgAEMATwBMAFUATQBOAFMAKABhAHIAcgBhAHkAKQAsAFwAbgBcAG4AIAAgACAAIAAvAC8AIABEAGkAbQBlAG4AcwBpAG8AbgBzACAAbwBmACAAZABlAGwAaQBtAGkAdABlAHIAXABuACAAIAAgACAAaACCICwAIABSAE8AVwBTACgAZABlAGwAaQBtAGkAdABlAHIAKQAsAFwAbgAgACAAIAAgAHcAgiAsACAAQwBPAEwAVQBNAE4AUwAoAGQAZQBsAGkAbQBpAHQAZQByACkALABcAG4AXABuACAAIAAgACAALwAvACAATwByAGkAZQBuAHQAYQB0AGkAbwBuACAAYwBoAGUAYwBrAHMAXABuACAAIAAgACAASQBzAFYAZQByAHQAaQBjAGEAbAA/ACwAIAAgACAAIABoACAAPgAgAHcALABcAG4AIAAgACAAIABJAHMAMgBEAD8ALAAgACAAIAAgACAAIAAgACAAIAAgAEEATgBEACgAaAAgAD4AIAAxACwAIAB3ACAAPgAgADEAKQAsAFwAbgAgACAAIAAgAEkAcwBTAGMAYQBsAGEAcgA/ACwAIAAgACAAIAAgACAAQQBOAEQAKABoACAAPQAgADEALAAgAHcAIAA9ACAAMQApACwAXABuAFwAbgAgACAAIAAgAC8ALwAgAE8AcAB0AGkAbwBuAGEAbAAgAHAAYQByAGEAbQBlAHQAZQByAHMAXABuACAAIAAgACAAaQBmAF8AbgBvAHQAXwBmAG8AdQBuAGQALAAgACAAIABJAEYAKABJAFMATwBNAEkAVABUAEUARAAoAGkAZgBfAG4AbwB0AF8AZgBvAHUAbgBkACkALAAgAFwAIgBcACIALAAgAGkAZgBfAG4AbwB0AF8AZgBvAHUAbgBkACkALABcAG4AIAAgACAAIABDAG8AbABsAGEAcABzAGUARABlAGwAaQBtAD8ALAAgAE4ATwBUACgASQBTAE8ATQBJAFQAVABFAEQAKAB0AHIAZQBhAHQAXwBjAG8AbgBzAGUAYwB1AHQAaQB2AGUAXwBkAGUAbABpAG0AaQB0AGUAcgBzAF8AYQBzAF8AbwBuAGUAKQApACwAXABuACAAIAAgACAATQB1AGwAdABpAHAAbABlAEQAZQBsAGkAbQA/ACwAIABPAFIAKABoAIIgIAA+ACAAMQAsACAAdwCCICAAPgAgADEAKQAsAFwAbgBcAG4AIAAgACAAIAAvAC8AIABWAGEAbABpAGQAYQB0AGkAbwBuAFwAbgAgACAAIAAgAEkARgAoAEkAcwAyAEQAPwAsACAAIAAgACAAIAAgACAAIAAgACAAIAAgACAAIABcACIAIwAyAEQALQBJAE4AUABVAFQAIQBcACIALABcAG4AXABuACAAIAAgACAAIAAgACAAIABJAEYAKABNAHUAbAB0AGkAcABsAGUARABlAGwAaQBtAD8ALAAgAFwAIgAjAEQARQBMAEkATQBJAFQARQBSAC0AQQBSAFIAQQBZACEAXAAiACwAXABuAFwAbgBMAEUAVAAoAFwAbgAgACAAIAAgAC8ALwAgAFcAcgBhAHAAIABlAGEAYwBoACAAZQBsAGUAbQBlAG4AdAAgAHcAaQB0AGgAIABkAGUAbABpAG0AaQB0AGUAcgAgAG8AbgAgAGIAbwB0AGgAIABzAGkAZABlAHMAXABuACAAIAAgACAAagBvAGkAbgBlAGQALAAgACAAIAAgACAAIAAgACAAIABkAGUAbABpAG0AaQB0AGUAcgAgACYAIABhAHIAcgBhAHkAIAAmACAAZABlAGwAaQBtAGkAdABlAHIALABcAG4AXABuACAAIAAgACAALwAvACAAUgBlAGcAZQB4ABEgcwBhAGYAZQAgAGQAZQBsAGkAbQBpAHQAZQByAFwAbgAgACAAIAAgAGQAZQBsAGkAbQBfAGIALAAgACAAIAAgACAAIAAgACAAUgBlAGcAZQB4AFMAYQBmAGUAuwMoAGQAZQBsAGkAbQBpAHQAZQByACkALABcAG4AXABuACAAIAAgACAALwAvACAARABlAHQAZQBjAHQAIABjAG8AbgBzAGUAYwB1AHQAaQB2AGUAIABkAGUAbABpAG0AaQB0AGUAcgBzAFwAbgAgACAAIAAgAEkAcwBDAG8AbgBzAGUAYwBEAGUAbABpAG0APwAsACAATwBSACgAUgBFAEcARQBYAFQARQBTAFQAKABqAG8AaQBuAGUAZAAsACAAXAAiACgAXAAiACAAJgAgAGQAZQBsAGkAbQBfAGIAIAAmACAAXAAiACkAewAyACwAfQBcACIAKQApACwAXABuAFwAbgAgACAAIAAgAC8ALwAgAEMAbwBsAGwAYQBwAHMAZQAgAGMAbwBuAHMAZQBjAHUAdABpAHYAZQAgAGQAZQBsAGkAbQBpAHQAZQByAHMAIABpAGYAIAByAGUAcQB1AGUAcwB0AGUAZABcAG4AIAAgACAAIAB0AGUAeAB0AHMALAAgACAAIAAgACAAIAAgACAAIAAgAEkARgAoAEEATgBEACgAQwBvAGwAbABhAHAAcwBlAEQAZQBsAGkAbQA/ACwAIABJAHMAQwBvAG4AcwBlAGMARABlAGwAaQBtAD8AKQAsAFwAbgAgACAAIAAgACAAIAAgACAAIAAgACAAIAAgACAAIAAgACAAIAAgACAAIAAgACAAIABSAEUARwBFAFgAUgBFAFAATABBAEMARQAoAGoAbwBpAG4AZQBkACwAIABcACIAKABcACIAIAAmACAAZABlAGwAaQBtAF8AYgAgACYAIABcACIAKQArAFwAIgAsACAAZABlAGwAaQBtAF8AYgApACwAXABuACAAIAAgACAAIAAgACAAIAAgACAAIAAgACAAIAAgACAAIAAgACAAIAAgACAAIAAgAGoAbwBpAG4AZQBkACkALABcAG4AXABuACAAIAAgACAALwAvACAAVABvAGsAZQBuACAAYwBvAHUAbgB0AFwAbgAgACAAIAAgAEwALAAgACAAIAAgACAAIAAgACAAIAAgACAAIAAgACAATABFAE4AKABkAGUAbABpAG0AaQB0AGUAcgApACwAXABuACAAIAAgACAAdABvAGsAZQBuACwAIAAgACAAIAAgACAAIAAgACAAIABNAEEAWAAoAEwARQBOACgAdABlAHgAdABzACkAIAAtACAATABFAE4AKABTAFUAQgBTAFQASQBUAFUAVABFACgAdABlAHgAdABzACwAIABkAGUAbABpAG0AaQB0AGUAcgAsACAAXAAiAFwAIgApACkAKQAgAC8AIABMACAALQAgADEALABcAG4AXABuACAAIAAgACAALwAvACAASQBuAGQAZQB4AGkAbgBnACAAZgBvAHIAIABUAEUAWABUAEEARgBUAEUAUgAvAFQARQBYAFQAQgBFAEYATwBSAEUAXABuACAAIAAgACAAaQBkAHgALAAgACAAIAAgACAAIAAgACAAIAAgACAAIABMAEEATQBCAEQAQQAoAEkARgAoACgASQBzAFYAZQByAHQAaQBjAGEAbAA/ACkAIAArACAAKABJAHMAUwBjAGEAbABhAHIAPwApACwAUwBFAFEAVQBFAE4AQwBFACgALAAgAHQAbwBrAGUAbgApACwAXABuACAAIAAgACAAIAAgACAAIAAgACAAIAAgACAAIAAgACAAIAAgACAAIAAgACAAIAAgACAAIAAgACAAIAAgACAAIAAgACAAIAAgACAAIAAgACAAIAAgACAAIAAgACAAIAAgACAAIAAgACAAIAAgACAAIAAgACAAUwBFAFEAVQBFAE4AQwBFACgAdABvAGsAZQBuACkAKQApACwAXABuAFwAbgAgACAAIAAgAC8ALwAgAFAAYQByAHMAZQAgAHQAbwBrAGUAbgBzAFwAbgAgACAAIAAgAGYAaQBuAGEAbAAsACAAIAAgACAAIAAgACAAIAAgACAASQBGAEUAUgBSAE8AUgAoAFwAbgAgACAAIAAgACAAIAAgACAAIAAgACAAIAAgACAAIAAgACAAIAAgACAAIAAgACAAIAAgACAAIAAgAFQARQBYAFQAQgBFAEYATwBSAEUAKABUAEUAWABUAEEARgBUAEUAUgAoAHQAZQB4AHQAcwAsACAAZABlAGwAaQBtAGkAdABlAHIALAAgAGkAZAB4ACgAKQAsACAALAAgACwAIABpAGYAXwBuAG8AdABfAGYAbwB1AG4AZAApACwAXABuACAAIAAgACAAIAAgACAAIAAgACAAIAAgACAAIAAgACAAIAAgACAAIAAgACAAIAAgACAAIAAgACAAZABlAGwAaQBtAGkAdABlAHIALAAsACAALAAgACwAIABpAGYAXwBuAG8AdABfAGYAbwB1AG4AZAApACwAXABuACAAIAAgACAAIAAgACAAIAAgACAAIAAgACAAIAAgACAAIAAgACAAIAAgACAAIAAgACAAIAAgACAAaQBmAF8AbgBvAHQAXwBmAG8AdQBuAGQAKQAsAFwAbgBcAG4AIAAgACAAIABmAGkAbgBhAGwAXABuACkAKQApACkAKQA7AFwAbgBcAG4AXABuAFwAbgAvACoAIABbAFQAWAAtAEMATwBSAEUAXQAgAC0ALQAtAC0ALQAtAC0ALQAtAC0ALQAtAC0ALQAtAC0ALQAtAC0ALQAtAC0ALQAtAC0ALQAtAC0ALQAtAC0ALQAtAC0ALQAtAC0ALQAtAC0ALQAtAC0ALQAtAC0ALQAtAC0ALQAtAC0ALQAtAC0ALQAtAC0ALQAtAC0ALQAtAC0ALQAtAC0ALQAtAC0AXABuAEYAdQBuAGMAdABpAG8AbgA6ACAAIAAgACAAIAAgACAAIABSAGUAZwBlAHgAUwBhAGYAZQC7A1wAbgBDAGEAdABlAGcAbwByAHkAOgAgACAAIAAgACAAIAAgACAAVABlAHgAdAAgACgAQwBvAHIAZQApAFwAbgBBAHUAdABoAG8AcgA6ACAAIAAgACAAIAAgACAAIAAgACAAUABhAHQAcgBpAGMAawAgAEgALgBcAG4AVgBlAHIAcwBpAG8AbgA6ACAAIAAgACAAIAAgACAAIAAgADEALgAxAFwAbgBcAG4ARABlAHMAYwByAGkAcAB0AGkAbwBuADoAXABuACAAIAAgACAARQBzAGMAYQBwAGUAcwAgAHIAZQBnAGUAeAAgAG0AZQB0AGEAYwBoAGEAcgBhAGMAdABlAHIAcwAgAGkAbgAgAGEAIABzAHUAcABwAGwAaQBlAGQAIABkAGUAbABpAG0AaQB0AGUAcgAgAHMAbwAgAGkAdAAgAGMAYQBuACAAYgBlACAAdQBzAGUAZABcAG4AIAAgACAAIABzAGEAZgBlAGwAeQAgAGkAbgAgAFIARQBHAEUAWABUAEUAUwBUACwAIABSAEUARwBFAFgAUgBFAFAATABBAEMARQAsACAAYQBuAGQAIABSAEUARwBFAFgARQBYAFQAUgBBAEMAVAAgAHAAYQB0AHQAZQByAG4AcwAuACAATQB1AGwAdABpABEgXABuACAAIAAgACAAYwBoAGEAcgBhAGMAdABlAHIAIABkAGUAbABpAG0AaQB0AGUAcgBzACAAYQByAGUAIABwAHIAbwBjAGUAcwBzAGUAZAAgAGMAaABhAHIAYQBjAHQAZQByABEgYgB5ABEgYwBoAGEAcgBhAGMAdABlAHIALAAgAGEAbgBkACAAbwBuAGwAeQBcAG4AIAAgACAAIABjAGgAYQByAGEAYwB0AGUAcgBzACAAdABoAGEAdAAgAHIAZQBxAHUAaQByAGUAIABlAHMAYwBhAHAAaQBuAGcAIABhAHIAZQAgAHAAcgBlAGYAaQB4AGUAZAAgAHcAaQB0AGgAIABcACIAXABcAFwAIgAuAFwAbgBcAG4ARQB4AGEAbQBwAGwAZQA6AFwAbgAgACAAIAAgAD0AUgBlAGcAZQB4AFMAYQBmAGUAuwMoAFwAIgB8AFwAIgApAFwAbgAgACAAIAAgAHIAZQB0AHUAcgBuAHMAOgAgAFwAIgBcAFwAfABcACIAXABuAC0ALQAtAC0ALQAtAC0ALQAtAC0ALQAtAC0ALQAtAC0ALQAtAC0ALQAtAC0ALQAtAC0ALQAtAC0ALQAtAC0ALQAtAC0ALQAtAC0ALQAtAC0ALQAtAC0ALQAtAC0ALQAtAC0ALQAtAC0ALQAtAC0ALQAtAC0ALQAtAC0ALQAtAC0ALQAtAC0ALQAtAC0ALQAtAC0ALQAtAC0ALQAtACoALwBcAG4AXABuAFIAZQBnAGUAeABTAGEAZgBlALsDIAA9AFwAbgBMAEEATQBCAEQAQQAoAFwAbgAgACAAIAAgAGQAZQBsAGkAbQBpAHQAZQByAHMALABcAG4ATABFAFQAKABcAG4AIAAgACAAIAAvAC8AIABDAGgAYQByAGEAYwB0AGUAcgBzACAAcgBlAHEAdQBpAHIAaQBuAGcAIABlAHMAYwBhAHAAaQBuAGcAIABpAG4AIABFAHgAYwBlAGwAJwBzACAAUABDAFIARQAyACAAZQBuAGcAaQBuAGUAXABuACAAIAAgACAAbQBlAHQAYQAsACAAIAAgACAAIAAgACAAewBcACIAXABcAFwAIgAsACAAXAAiACsAXAAiACwAIABcACIAKgBcACIALAAgAFwAIgA/AFwAIgAsACAAXAAiAF4AXAAiACwAXABuACAAIAAgACAAIAAgACAAIAAgACAAIAAgACAAIAAgACAAIABcACIAJABcACIALAAgAFwAIgAoAFwAIgAsACAAXAAiACkAXAAiACwAIABcACIAWwBcACIALAAgAFwAIgB8AFwAIgB9ACwAXABuAFwAbgAgACAAIAAgAC8ALwAgAEUAbgB1AG0AZQByAGEAdABlACAAZQBhAGMAaAAgAGMAaABhAHIAYQBjAHQAZQByACAAbwBmACAAdABoAGUAIABkAGUAbABpAG0AaQB0AGUAcgBcAG4AIAAgACAAIABjAGgAYQByAHMALAAgACAAIAAgACAAIABSAEUARwBFAFgARQBYAFQAUgBBAEMAVAAoAGQAZQBsAGkAbQBpAHQAZQByAHMALABcACIALgBcACIALAAxACkALABcAG4AXABuACAAIAAgACAALwAvACAASQBkAGUAbgB0AGkAZgB5ACAAbQBlAHQAYQBjAGgAYQByAGEAYwB0AGUAcgBzAFwAbgAgACAAIAAgAEkAcwBNAGUAdABhAD8ALAAgACAAIAAgAEkAUwBOAFUATQBCAEUAUgAoAFgATQBBAFQAQwBIACgAYwBoAGEAcgBzACwAIABtAGUAdABhACkAKQAsAFwAbgBcAG4AIAAgACAAIAAvAC8AIABFAHMAYwBhAHAAZQAgAG8AbgBsAHkAIAB0AGgAbwBzAGUAIAB0AGgAYQB0ACAAcgBlAHEAdQBpAHIAZQAgAGkAdABcAG4AIAAgACAAIABwAGEAdAB0AGUAcgBuACwAIAAgACAAIABDAE8ATgBDAEEAVAAoAEkARgAoAEkAcwBNAGUAdABhAD8ALAAgAFwAIgBcAFwAXAAiACAAJgAgAGMAaABhAHIAcwAsACAAYwBoAGEAcgBzACkAKQAsAFwAbgBcAG4AIAAgACAAIABwAGEAdAB0AGUAcgBuAFwAbgApACkAOwBcAG4AXABuAFwAbgBcAG4ALwAvACAAWwBFAE4AXQAgAC0ALQAtAC0ALQAtAC0ALQAtAC0ALQAtAC0ALQAtAC0ALQAtAC0ALQAtAC0ALQAtAC0ALQAtAC0ALQAtAC0ALQAtAC0ALQAtAC0ALQAtAC0ALQAtAC0ALQAtAC0ALQAtAC0ALQAtAC0ALQAtAC0ALQAtAC0ALQAtAC0ALQAtAC0ALQAtAC0ALQAtAC0ALQAtAC0ALQAtAC0ALQBcAG4ALwAvACAALQAtAC0AIwAjACAAMAA4ACAAFCAgAEUAbgBnAGkAbgBlAGUAcgBpAG4AZwBcAG4ALwAvACAALQAtAC0ALQAtAC0ALQAtAC0ALQAtAC0ALQAtAC0ALQAtAC0ALQAtAC0ALQAtAC0ALQAtAC0ALQAtAC0ALQAtAC0ALQAtAC0ALQAtAC0ALQAtAC0ALQAtAC0ALQAtAC0ALQAtAC0ALQAtAC0ALQAtAC0ALQAtAC0ALQAtAC0ALQAtAC0ALQAtAC0ALQAtAC0ALQAtAC0ALQAtAFwAbgBcAG4ALwAqAFwAbgBEAGUAcwBjAHIAaQBwAHQAaQBvAG4AOgBcAG4AIAAgACAAIABUAGgAZQAgAEUAbgBnAGkAbgBlAGUAcgBpAG4AZwAgAGMAYQB0AGUAZwBvAHIAeQAgAHAAcgBvAHYAaQBkAGUAcwAgAGIAaQBuAGEAcgB5ACwAIABHAHIAYQB5ABEgYwBvAGQAZQAsACAAYQBuAGQAIABiAGkAdAARIGwAZQB2AGUAbAAgAHUAdABpAGwAaQB0AGkAZQBzAFwAbgAgACAAIAAgAGQAZQBzAGkAZwBuAGUAZAAgAHQAbwAgAG8AcABlAHIAYQB0AGUAIAB3AGUAbABsACAAYgBlAHkAbwBuAGQAIABFAHgAYwBlAGwAJwBzACAAbgBhAHQAaQB2AGUAIABEAEUAQwAyAEIASQBOACAAbABpAG0AaQB0ACAAbwBmACAANQAxADEALgAgAEEAbABsAFwAbgAgACAAIAAgAGYAdQBuAGMAdABpAG8AbgBzACAAcwB1AHAAcABvAHIAdAAgAGMAbwBuAGMAaQBzAGUAIABiAGkAbgBhAHIAeQAgAHMAdAByAGkAbgBnAHMAIABhAG4AZAAgAHMAaABhAHAAZQARIHAAcgBlAHMAZQByAHYAaQBuAGcAIABhAHIAcgBhAHkAIABiAGUAaABhAHYAaQBvAHIALABcAG4AIAAgACAAIAB3AGkAdABoACAAbwBwAHQAaQBvAG4AYQBsACAAMgBEACAAZQB4AHAAbABvAGQAZQBkACAAYgBpAHQAESBtAGEAdAByAGkAYwBlAHMAIAB3AGgAZQByAGUAIABhAHAAcABsAGkAYwBhAGIAbABlAC4AXABuAFwAbgBGAHUAbgBjAHQAaQBvAG4AcwA6AFwAbgAgACAAIAAgACIgIABCAGkAbgAyAEQAZQBjALsDXABuACAAIAAgACAAIAAgACAAIABDAG8AbgB2AGUAcgB0AHMAIABjAG8AbgBjAGkAcwBlACAAYgBpAG4AYQByAHkAIABpAG4AdABvACAAZABlAGMAaQBtAGEAbAAgAHYAYQBsAHUAZQBzAC4AXABuAFwAbgAgACAAIAAgACIgIABCAGkAbgAyAEcAcgBhAHkAuwNcAG4AIAAgACAAIAAgACAAIAAgAEMAbwBuAHYAZQByAHQAcwAgAGMAbwBuAGMAaQBzAGUAIABiAGkAbgBhAHIAeQAgAGkAbgB0AG8AIABHAHIAYQB5ABEgYwBvAGQAZQAgAHYAYQBsAHUAZQBzACwAIAB3AGkAdABoACAAbwBwAHQAaQBvAG4AYQBsACAAZQB4AHAAbABvAGQAZQBkACAAZgBvAHIAbQAuAFwAbgBcAG4AIAAgACAAIAAiICAAQgBpAHQAQwBvAHUAbgB0ALsDXABuACAAIAAgACAAIAAgACAAIABDAG8AbgB2AGUAcgB0AHMAIABpAG4AdABlAGcAZQByAHMAIAB0AG8AIABiAGkAbgBhAHIAeQAgAGEAbgBkACAAcgBlAHQAdQByAG4AcwAgAGIAaQB0ACAAYwBvAHUAbgB0AHMALAAgAHAAcgBlAHMAZQByAHYAaQBuAGcAIABpAG4AcAB1AHQAIABzAGgAYQBwAGUALgBcAG4AXABuACAAIAAgACAAIiAgAEQAZQBjADIAQgBpAG4AuwNcAG4AIAAgACAAIAAgACAAIAAgAEMAbwBuAHYAZQByAHQAcwAgAGkAbgB0AGUAZwBlAHIAcwAgAGkAbgB0AG8AIABiAGkAbgBhAHIAeQAgAHYAYQBsAHUAZQBzACwAIAByAGUAdAB1AHIAbgBlAGQAIABhAHMAIABjAG8AbgBjAGkAcwBlACAAcwB0AHIAaQBuAGcAcwAgAG8AcgBcAG4AIAAgACAAIAAgACAAIAAgAGUAeABwAGwAbwBkAGUAZAAgADIARAAgAGIAaQB0ABEgYQByAHIAYQB5AHMALgBcAG4AXABuACAAIAAgACAAIiAgAEQAZQBjADIARwByAGEAeQC7A1wAbgAgACAAIAAgACAAIAAgACAAQwBvAG4AdgBlAHIAdABzACAAaQBuAHQAZQBnAGUAcgBzACAAaQBuAHQAbwAgAEcAcgBhAHkAESBjAG8AZABlACAAdgBhAGwAdQBlAHMAIAAoAHcAcgBhAHAAcABlAHIAOgAgAEQAZQBjADIAQgBpAG4AuwMgAJIhIABCAGkAbgAyAEcAcgBhAHkAuwMpAC4AXABuAFwAbgBOAG8AdABlAHMAOgBcAG4AIAAgACAAIAAiICAATgBlAGcAYQB0AGkAdgBlACAAbgB1AG0AYgBlAHIAcwAgAGEAcgBlACAAbgBvAHQAIABzAHUAcABwAG8AcgB0AGUAZAAgAGYAbwByACAARABlAGMAMgBCAGkAbgC7AyAAbwByACAARABlAGMAMgBHAHIAYQB5ALsDLgBcAG4AKgAvAFwAbgBcAG4AXABuAFwAbgAvACoAIABbAEUATgAwADEAXQAgAC0ALQAtAC0ALQAtAC0ALQAtAC0ALQAtAC0ALQAtAC0ALQAtAC0ALQAtAC0ALQAtAC0ALQAtAC0ALQAtAC0ALQAtAC0ALQAtAC0ALQAtAC0ALQAtAC0ALQAtAC0ALQAtAC0ALQAtAC0ALQAtAC0ALQAtAC0ALQAtAC0ALQAtAC0ALQAtAC0ALQAtAC0ALQAtAC0AXABuAEYAdQBuAGMAdABpAG8AbgA6ACAAIAAgACAAIAAgACAAIABCAGkAbgAyAEQAZQBjALsDXABuAEMAYQB0AGUAZwBvAHIAeQA6ACAAIAAgACAAIAAgACAAIABFAG4AZwBpAG4AZQBlAHIAaQBuAGcAXABuAEEAdQB0AGgAbwByADoAIAAgACAAIAAgACAAIAAgACAAIABQAGEAdAByAGkAYwBrACAASAAuAFwAbgBWAGUAcgBzAGkAbwBuADoAIAAgACAAIAAgACAAIAAgACAAMQAuADEAXABuAEQAZQBwAGUAbgBkAGUAbgBjAGkAZQBzADoAIAAgACAAIABFAHgAcABsAG8AZABlALsDXABuAFwAbgBEAGUAcwBjAHIAaQBwAHQAaQBvAG4AOgBcAG4AIAAgACAAIABDAG8AbgB2AGUAcgB0AHMAIABjAG8AbgBjAGkAcwBlACAAYgBpAG4AYQByAHkAIABpAG4AdABvACAAZABlAGMAaQBtAGEAbAAgAHYAYQBsAHUAZQBzAC4AIABTAHUAcABwAG8AcgB0AHMAIABzAGMAYQBsAGEAcgAsACAAMQBEACwAIABhAG4AZAAgADIARABcAG4AIAAgACAAIABpAG4AcAB1AHQAcwAgAHcAaQB0AGgAIABmAHUAbABsACAAcwBoAGEAcABlACAAcAByAGUAcwBlAHIAdgBhAHQAaQBvAG4ALgAgAEIAaQB0ABEgdwBpAGQAdABoACAAaQBzACAAaQBuAGYAZQByAHIAZQBkACAAYQB1AHQAbwBtAGEAdABpAGMAYQBsAGwAeQBcAG4AIAAgACAAIABhAG4AZAAgAGEAbABsACAAdgBhAGwAdQBlAHMAIABhAHIAZQAgAG4AbwByAG0AYQBsAGkAegBlAGQAIABiAGUAZgBvAHIAZQAgAGUAeABwAGwAbwBzAGkAbwBuAC4AXABuAFwAbgBQAGEAcgBhAG0AZQB0AGUAcgBzADoAXABuACAAIAAgACAAYgBpAG4AYQByAHkAXABuACAAIAAgACAAIAAgACAAIABTAGMAYQBsAGEAcgAsACAAMQBEACAAYQByAHIAYQB5ACwAIABvAHIAIAAyAEQAIABhAHIAcgBhAHkAIABjAG8AbgB0AGEAaQBuAGkAbgBnACAAYwBvAG4AYwBpAHMAZQAgAGIAaQBuAGEAcgB5ACAAcwB0AHIAaQBuAGcAcwAuAFwAbgBcAG4AIAAgACAAIAAgACAAIAAgACIgIABDAG8AbgBjAGkAcwBlACAAZgBvAHIAbQA6AFwAbgAgACAAIAAgACAAIAAgACAAIAAgACAAIAAgACAAXAAiADEAMAAxADEAXAAiACwAIABcACIAMAAwADAAMQAxADAAMQAwAFwAIgAsACAAZQB0AGMALgAgACAAKABhAG4AeQAgAHMAaABhAHAAZQApAFwAbgBcAG4ATgBvAHQAZQBzADoAXABuACAAIAAgACAAIiAgAE8AdQB0AHAAdQB0ACAAcwBoAGEAcABlACAAbQBhAHQAYwBoAGUAcwAgAGkAbgBwAHUAdAAgAHMAaABhAHAAZQAgACgAcwBjAGEAbABhAHIALAAgAHYAZQByAHQAaQBjAGEAbAAsACAAaABvAHIAaQB6AG8AbgB0AGEAbAAsACAAbwByACAAMgBEACkALgBcAG4AIAAgACAAIAAiICAAUwB1AHAAcABvAHIAdABzACAAYgBpAG4AYQByAHkAIAB2AGEAbAB1AGUAcwAgAGYAYQByACAAYgBlAHkAbwBuAGQAIABFAHgAYwBlAGwAGSBzACAAbgBhAHQAaQB2AGUAIAAxADYAESBkAGkAZwBpAHQAIABuAHUAbQBlAHIAaQBjACAAbABpAG0AaQB0AC4AXABuAC0ALQAtAC0ALQAtAC0ALQAtAC0ALQAtAC0ALQAtAC0ALQAtAC0ALQAtAC0ALQAtAC0ALQAtAC0ALQAtAC0ALQAtAC0ALQAtAC0ALQAtAC0ALQAtAC0ALQAtAC0ALQAtAC0ALQAtAC0ALQAtAC0ALQAtAC0ALQAtAC0ALQAtAC0ALQAtAC0ALQAtAC0ALQAtAC0ALQAtAC0ALQAtACoALwBcAG4AXABuAEIAaQBuADIARABlAGMAuwMgAD0AXABuAEwAQQBNAEIARABBACgAXABuACAAIAAgACAAYgBpAG4AYQByAHkALABcAG4ATABFAFQAKABcAG4AIAAgACAAIAAvAC8AIABTAGgAYQBwAGUAIABvAGYAIABpAG4AcAB1AHQAXABuACAAIAAgACAAaAAsACAAIAAgACAAIAAgACAAIAAgACAAIAAgACAAIABSAE8AVwBTACgAYgBpAG4AYQByAHkAKQAsAFwAbgAgACAAIAAgAHcALAAgACAAIAAgACAAIAAgACAAIAAgACAAIAAgACAAQwBPAEwAVQBNAE4AUwAoAGIAaQBuAGEAcgB5ACkALABcAG4AIAAgACAAIABJAHMAUwBjAGEAbABhAHIAPwAsACAAIAAgACAAIAAgAEEATgBEACgAaAAgAD0AIAAxACwAIAB3ACAAPQAgADEAKQAsAFwAbgAgACAAIAAgAEkAcwBWAGUAcgB0AGkAYwBhAGwAPwAsACAAIAAgACAAQQBOAEQAKABoACAAPgAgADEALAAgAHcAIAA9ACAAMQApACwAXABuACAAIAAgACAASQBzAEgAbwByAGkAegBvAG4AdABhAGwAPwAsACAAIABBAE4ARAAoAHcAIAA+ACAAMQAsACAAaAAgAD0AIAAxACkALABcAG4AXABuACAAIAAgACAALwAvACAATgBvAHIAbQBhAGwAaQB6AGUAIABiAGkAdAARIHcAaQBkAHQAaAAgAGEAbgBkACAAZQB4AHAAbABvAGQAZQBcAG4AIAAgACAAIABiAGkAdABzACwAIAAgACAAIAAgACAAIAAgACAAIAAgAE0AQQBYACgATABFAE4AKABiAGkAbgBhAHIAeQApACkALABcAG4AIAAgACAAIABhAHIAcgAsACAAIAAgACAAIAAgACAAIAAgACAAIAAgAFQARQBYAFQAKABiAGkAbgBhAHIAeQAsACAAUgBFAFAAVAAoAFwAIgAwAFwAIgAsACAAYgBpAHQAcwApACkALABcAG4AIAAgACAAIABiAGkAbgBhAHIAeQAsACAAIAAgACAAIAAgACAAIAAgAEkARgAoAEkAcwBTAGMAYQBsAGEAcgA/ACwARQB4AHAAbABvAGQAZQC7AygAYgBpAG4AYQByAHkAKQAsAFwAbgAgACAAIAAgACAAIAAgACAAIAAgACAAIAAgACAAIAAgACAAIAAgACAAIAAgACAAIAAgACAAIAAgACAAIAAgACAAIABFAHgAcABsAG8AZABlALsDKABUAE8AQwBPAEwAKABhAHIAcgApACkAKQAsAFwAbgBcAG4AIAAgACAAIAAvAC8AIABNAGEAdABoAFwAbgAgACAAIAAgAHAAbwB3AGUAcgBzACwAIABTAEUAUQBVAEUATgBDAEUAKAAsACAAYgBpAHQAcwAsACAAYgBpAHQAcwAgAC0AIAAxACwAIAAtADEAKQAsAFwAbgAgACAAIAAgAHAALAAgACAAIAAgACAAIABQAE8AVwBFAFIAKAAyACwAIABwAG8AdwBlAHIAcwApACwAXABuAFwAbgAgACAAIAAgAC8ALwAgAEEAZwBnAHIAZQBnAGEAdABpAG8AbgAgACYAIABkAGUAbABpAHYAZQByAHkAXABuACAAIAAgACAAcgBlAHMAdQBsAHQALAAgAEIAWQBSAE8AVwAoAGIAaQBuAGEAcgB5ACAAKgAgAHAALAAgAFMAVQBNACkALABcAG4AIAAgACAAIABmAGkAbgBhAGwALAAgACAASQBGACgATwBSACgASQBzAFMAYwBhAGwAYQByAD8ALAAgAEkAcwBWAGUAcgB0AGkAYwBhAGwAPwApACwAIAByAGUAcwB1AGwAdAAsAFwAbgAgACAAIAAgACAAIAAgACAAIAAgACAAIAAgACAAIAAgAEkARgAoAEkAcwBIAG8AcgBpAHoAbwBuAHQAYQBsAD8ALAAgAFQAUgBBAE4AUwBQAE8AUwBFACgAcgBlAHMAdQBsAHQAKQAsAFwAbgAgACAAIAAgACAAIAAgACAAIAAgACAAIAAgACAAIAAgACAAIAAgACAAVwBSAEEAUABSAE8AVwBTACgAcgBlAHMAdQBsAHQALAAgAHcAKQApACkALABcAG4AXABuACAAIAAgACAAZgBpAG4AYQBsAFwAbgApACkAOwBcAG4AXABuAFwAbgBcAG4ALwAqACAAWwBFAE4AMAAyAF0AIAAtAC0ALQAtAC0ALQAtAC0ALQAtAC0ALQAtAC0ALQAtAC0ALQAtAC0ALQAtAC0ALQAtAC0ALQAtAC0ALQAtAC0ALQAtAC0ALQAtAC0ALQAtAC0ALQAtAC0ALQAtAC0ALQAtAC0ALQAtAC0ALQAtAC0ALQAtAC0ALQAtAC0ALQAtAC0ALQAtAC0ALQAtAC0ALQAtAFwAbgBGAHUAbgBjAHQAaQBvAG4AOgAgACAAIAAgACAAIAAgACAAQgBpAG4AMgBHAHIAYQB5ALsDXABuAEMAYQB0AGUAZwBvAHIAeQA6ACAAIAAgACAAIAAgACAAIABFAG4AZwBpAG4AZQBlAHIAaQBuAGcAXABuAEEAdQB0AGgAbwByADoAIAAgACAAIAAgACAAIAAgACAAIABQAGEAdAByAGkAYwBrACAASAAuAFwAbgBWAGUAcgBzAGkAbwBuADoAIAAgACAAIAAgACAAIAAgACAAMQAuADEAXABuAEQAZQBwAGUAbgBkAGUAbgBjAGkAZQBzADoAIAAgACAAIABFAHgAcABsAG8AZABlALsDXABuAFwAbgBEAGUAcwBjAHIAaQBwAHQAaQBvAG4AOgBcAG4AIAAgACAAIABDAG8AbgB2AGUAcgB0AHMAIABiAGkAbgBhAHIAeQAgAGkAbgB0AG8AIABHAHIAYQB5ABEgYwBvAGQAZQAgAHYAYQBsAHUAZQBzAC4AIABTAHUAcABwAG8AcgB0AHMAIABzAGMAYQBsAGEAcgAsAFwAbgAgACAAIAAgADEARAAsACAAYQBuAGQAIAAyAEQAIABpAG4AcAB1AHQAcwAuACAATwB1AHQAcAB1AHQAIABjAGEAbgAgAGIAZQAgAHIAZQB0AHUAcgBuAGUAZAAgAGUAaQB0AGgAZQByACAAYQBzACAAYQAgADIARAAgAGEAcgByAGEAeQAgAG8AcgAgAGEAcwBcAG4AIAAgACAAIABjAG8AbgBjAGkAcwBlACAAcgBvAHcAESB3AGkAcwBlACAAcwB0AHIAaQBuAGcAcwAuAFwAbgBcAG4AUABhAHIAYQBtAGUAdABlAHIAcwA6AFwAbgAgACAAIAAgAGIAaQBuAGEAcgB5AFwAbgAgACAAIAAgACAAIAAgACAAUwBjAGEAbABhAHIALAAgADEARAAgAGEAcgByAGEAeQAsACAAbwByACAAMgBEACAAYQByAHIAYQB5ACAAYwBvAG4AdABhAGkAbgBpAG4AZwAgAGIAaQBuAGEAcgB5ACAAZABhAHQAYQAuAFwAbgBcAG4AIAAgACAAIABbAGMAbwBuAGMAaQBzAGUAXQBcAG4AIAAgACAAIAAgACAAIAAgAE8AcAB0AGkAbwBuAGEAbAAuACAAVABSAFUARQAgAJIhIAByAGUAdAB1AHIAbgAgAEcAcgBhAHkAIABjAG8AZABlACAAYQBzACAAYwBvAG4AYwBhAHQAZQBuAGEAdABlAGQAIABzAHQAcgBpAG4AZwBzAC4AXABuACAAIAAgACAAIAAgACAAIABPAG0AaQB0AHQAZQBkACAAkiEgAHIAZQB0AHUAcgBuACAAMgBEACAAZQB4AHAAbABvAGQAZQBkACAARwByAGEAeQARIGMAbwBkAGUAIABiAGkAdAAgAGEAcgByAGEAeQBzAC4AXABuAFwAbgBOAG8AdABlAHMAOgBcAG4AIAAgACAAIAAiICAAMgBEACAAYQByAHIAYQB5AHMAIABhAHIAZQAgAGQAZQBsAGkAdgBlAHIAZQBkACAAaQBuACAAYwBvAG4AYwBpAHMAZQAgAGYAbwByAG0AYQB0AC4AXABuACAAIAAgACAAIiAgAEcAcgBhAHkAIABjAG8AZABlACAAaQBzACAAYwBvAG0AcAB1AHQAZQBkACAAYQBzADoAIAAgAGcAgCAgAD0AIABiAIAgLAAgACAAZwBiHSAAPQAgAGIAYh0gAFgATwBSACAAYgBiHYsggSAuAFwAbgAtAC0ALQAtAC0ALQAtAC0ALQAtAC0ALQAtAC0ALQAtAC0ALQAtAC0ALQAtAC0ALQAtAC0ALQAtAC0ALQAtAC0ALQAtAC0ALQAtAC0ALQAtAC0ALQAtAC0ALQAtAC0ALQAtAC0ALQAtAC0ALQAtAC0ALQAtAC0ALQAtAC0ALQAtAC0ALQAtAC0ALQAtAC0ALQAtAC0ALQAtAC0ALQAqAC8AXABuAFwAbgBCAGkAbgAyAEcAcgBhAHkAuwMgAD0AXABuAEwAQQBNAEIARABBACgAXABuACAAIAAgACAAYgBpAG4AYQByAHkALABcAG4AIAAgACAAIABbAGMAbwBuAGMAaQBzAGUAXQAsAFwAbgBcAG4ATABFAFQAKABcAG4AIAAgACAAIAAvAC8AIABPAHUAdABwAHUAdAAgAG0AbwBkAGUAXABuACAAIAAgACAASQBzADIARABHAHIAYQB5AD8ALAAgACAAIAAgACAAIABJAFMATwBNAEkAVABUAEUARAAoAGMAbwBuAGMAaQBzAGUAKQAsAFwAbgBcAG4AIAAgACAAIAAvAC8AIABTAGgAYQBwAGUAIABvAGYAIABpAG4AcAB1AHQAXABuACAAIAAgACAAaAAsACAAIAAgACAAIAAgACAAIAAgACAAIAAgACAAIABSAE8AVwBTACgAYgBpAG4AYQByAHkAKQAsAFwAbgAgACAAIAAgAHcALAAgACAAIAAgACAAIAAgACAAIAAgACAAIAAgACAAQwBPAEwAVQBNAE4AUwAoAGIAaQBuAGEAcgB5ACkALABcAG4AIAAgACAAIABJAHMAUwBjAGEAbABhAHIAPwAsACAAIAAgACAAIAAgAEEATgBEACgAaAAgAD0AIAAxACwAIAB3ACAAPQAgADEAKQAsAFwAbgAgACAAIAAgAEkAcwBWAGUAcgB0AGkAYwBhAGwAPwAsACAAIAAgACAAQQBOAEQAKABoACAAPgAgADEALAAgAHcAIAA9ACAAMQApACwAXABuACAAIAAgACAASQBzAEgAbwByAGkAegBvAG4AdABhAGwAPwAsACAAIABBAE4ARAAoAHcAIAA+ACAAMQAsACAAaAAgAD0AIAAxACkALABcAG4AIAAgACAAIABJAHMAMQBEAD8ALAAgACAAIAAgACAAIAAgACAAIAAgAFgATwBSACgAaAAgAD0AIAAxACwAIAB3ACAAPQAgADEAKQAsAFwAbgBcAG4AIAAgACAAIAAvAC8AIABOAG8AcgBtAGEAbABpAHoAZQAgAGIAaQB0AC0AdwBpAGQAdABoACAAYQBuAGQAIABlAHgAcABsAG8AZABlAFwAbgAgACAAIAAgAGIAaQB0AHMALAAgACAAIAAgACAAIAAgACAAIAAgACAATQBBAFgAKABMAEUATgAoAGIAaQBuAGEAcgB5ACkAKQAsAFwAbgAgACAAIAAgAGEAcgByACwAIAAgACAAIAAgACAAIAAgACAAIAAgACAAVABFAFgAVAAoAGIAaQBuAGEAcgB5ACwAIABSAEUAUABUACgAXAAiADAAXAAiACwAIABiAGkAdABzACkAKQAsAFwAbgAgACAAIAAgAGIAaQBuAGEAcgB5ACwAIAAgACAAIAAgACAAIAAgACAASQBGACgASQBzAFMAYwBhAGwAYQByAD8ALABFAHgAcABsAG8AZABlALsDKABiAGkAbgBhAHIAeQApACwAXABuACAAIAAgACAAIAAgACAAIAAgACAAIAAgACAAIAAgACAAIAAgACAAIAAgACAAIAAgACAAIAAgACAAIAAgACAAIAAgAEUAeABwAGwAbwBkAGUAuwMoAFQATwBDAE8ATAAoAGEAcgByACkAKQApACwAXABuAFwAbgAgACAAIAAgAC8ALwAgAE0AbwBzAHQAIABzAGkAZwBuAGkAZgBpAGMAYQBuAHQAIABiAGkAdABcAG4AIAAgACAAIABtAHMAYgAsACAAIAAgACAAIAAgACAAIAAgACAAIAAgAFQAQQBLAEUAKABiAGkAbgBhAHIAeQAsACAALAAgADEAKQAsAFwAbgBcAG4AIAAgACAAIAAvAC8AIABYAE8AUgAgAG4AZQBpAGcAaABiAG8AcgBzAFwAbgAgACAAIAAgAHgALAAgACAAIAAgACAAIAAgACAAIAAgACAAIAAgACAAQgBJAFQAWABPAFIAKABEAFIATwBQACgAYgBpAG4AYQByAHkALAAgACwAIAAxACkALAAgAEQAUgBPAFAAKABiAGkAbgBhAHIAeQAsACAALAAgAC0AMQApACkALABcAG4AXABuACAAIAAgACAALwAvACAARwByAGEAeQAgAGMAbwBkAGUAIABtAGEAdAByAGkAeABcAG4AIAAgACAAIABnAHIAYQB5ACwAIAAgACAAIAAgACAAIAAgACAAIAAgAEgAUwBUAEEAQwBLACgAbQBzAGIALAAgAHgAKQAsAFwAbgBcAG4AIAAgACAAIAAvAC8AIABPAHUAdABwAHUAdAAgAGEAbgBkACAAZABlAGwAaQB2AGUAcgB5AFwAbgAgACAAIAAgAHIAZQBzAHUAbAB0ACwAIAAgACAAIAAgACAAIAAgACAASQBGACgAQQBOAEQAKABJAHMAMgBEAEcAcgBhAHkAPwAsAEkAcwAxAEQAPwApACwAIABnAHIAYQB5ACwAIABCAFkAUgBPAFcAKABnAHIAYQB5ACwAIABDAE8ATgBDAEEAVAApACkALABcAG4AIAAgACAAIABmAGkAbgBhAGwALAAgACAAIAAgACAAIAAgACAAIAAgAEkARgAoAE8AUgAoAEkAcwBTAGMAYQBsAGEAcgA/ACwASQBzAFYAZQByAHQAaQBjAGEAbAA/ACkALAByAGUAcwB1AGwAdAAsAFwAbgAgACAAIAAgACAAIAAgACAAIAAgACAAIAAgACAAIAAgACAAIAAgACAAIAAgACAAIABJAEYAKABJAHMASABvAHIAaQB6AG8AbgB0AGEAbAA/ACwAVABSAEEATgBTAFAATwBTAEUAKAByAGUAcwB1AGwAdAApACwAXABuACAAIAAgACAAIAAgACAAIAAgACAAIAAgACAAIAAgACAAIAAgACAAIAAgACAAIAAgACAAIAAgACAAIAAgACAAIAAgACAAIAAgACAAIAAgACAAIABXAFIAQQBQAFIATwBXAFMAKAByAGUAcwB1AGwAdAAsAHcAKQApACkALABcAG4AXABuACAAIAAgACAAZgBpAG4AYQBsAFwAbgApACkAOwBcAG4AXABuAFwAbgBcAG4ALwAqACAAWwBFAE4AMAAzAF0AIAAtAC0ALQAtAC0ALQAtAC0ALQAtAC0ALQAtAC0ALQAtAC0ALQAtAC0ALQAtAC0ALQAtAC0ALQAtAC0ALQAtAC0ALQAtAC0ALQAtAC0ALQAtAC0ALQAtAC0ALQAtAC0ALQAtAC0ALQAtAC0ALQAtAC0ALQAtAC0ALQAtAC0ALQAtAC0ALQAtAC0ALQAtAC0ALQAtAFwAbgBGAHUAbgBjAHQAaQBvAG4AOgAgACAAIAAgACAAIAAgACAAQgBpAHQAQwBvAHUAbgB0ALsDXABuAEMAYQB0AGUAZwBvAHIAeQA6ACAAIAAgACAAIAAgACAAIABFAG4AZwBpAG4AZQBlAHIAaQBuAGcAXABuAEEAdQB0AGgAbwByADoAIAAgACAAIAAgACAAIAAgACAAIABQAGEAdAByAGkAYwBrACAASAAuAFwAbgBWAGUAcgBzAGkAbwBuADoAIAAgACAAIAAgACAAIAAgACAAMQAuADEAXABuAEQAZQBwAGUAbgBkAGUAbgBjAGkAZQBzADoAIAAgACAAIABEAGUAYwAyAEIAaQBuALsDXABuAFwAbgBEAGUAcwBjAHIAaQBwAHQAaQBvAG4AOgBcAG4AIAAgACAAIABDAG8AdQBuAHQAcwAgAHQAaABlACAAbgB1AG0AYgBlAHIAIABvAGYAIAAxABEgYgBpAHQAcwAgAGkAbgAgAHQAaABlACAAYgBpAG4AYQByAHkAIAByAGUAcAByAGUAcwBlAG4AdABhAHQAaQBvAG4AIABvAGYAIABlAGEAYwBoACAAaQBuAHQAZQBnAGUAcgAuAFwAbgAgACAAIAAgAFMAdQBwAHAAbwByAHQAcwAgAHMAYwBhAGwAYQByACwAIAAxAEQALAAgAGEAbgBkACAAMgBEACAAaQBuAHAAdQB0AHMAIAB3AGkAdABoACAAZgB1AGwAbAAgAHMAaABhAHAAZQAgAHAAcgBlAHMAZQByAHYAYQB0AGkAbwBuAC4AXABuAFwAbgBQAGEAcgBhAG0AZQB0AGUAcgBzADoAXABuACAAIAAgACAAbgAgACAAIAAtACAAIAAgAFMAYwBhAGwAYQByACwAIAAxAEQAIABhAHIAcgBhAHkALAAgAG8AcgAgADIARAAgAGEAcgByAGEAeQAgAG8AZgAgAG4AbwBuABEgbgBlAGcAYQB0AGkAdgBlACAAaQBuAHQAZQBnAGUAcgBzAC4AXABuAFwAbgBOAG8AdABlAHMAOgBcAG4AIAAgACAAIAAiICAAVQBzAGUAcwAgAEQAZQBjADIAQgBpAG4AuwMoAG4ALAAxACkAIAB0AG8AIABvAGIAdABhAGkAbgAgAGUAeABwAGwAbwBkAGUAZAAgAGIAaQB0ABEgbQBhAHQAcgBpAGMAZQBzAC4AXABuACAAIAAgACAAIiAgAE8AdQB0AHAAdQB0ACAAcwBoAGEAcABlACAAbQBhAHQAYwBoAGUAcwAgAGkAbgBwAHUAdAAgAHMAaABhAHAAZQAuAFwAbgAtAC0ALQAtAC0ALQAtAC0ALQAtAC0ALQAtAC0ALQAtAC0ALQAtAC0ALQAtAC0ALQAtAC0ALQAtAC0ALQAtAC0ALQAtAC0ALQAtAC0ALQAtAC0ALQAtAC0ALQAtAC0ALQAtAC0ALQAtAC0ALQAtAC0ALQAtAC0ALQAtAC0ALQAtAC0ALQAtAC0ALQAtAC0ALQAtAC0ALQAtAC0ALQAqAC8AXABuAFwAbgBCAGkAdABDAG8AdQBuAHQAuwMgAD0AXABuAEwAQQBNAEIARABBACgAXABuACAAIAAgACAAbgAsAFwAbgBMAEUAVAAoAFwAbgAgACAAIAAgAC8ALwAgAFMAaABhAHAAZQBcAG4AIAAgACAAIABoACwAIAAgACAAIAAgACAAIAAgACAAIAAgACAAUgBPAFcAUwAoAG4AKQAsAFwAbgAgACAAIAAgAHcALAAgACAAIAAgACAAIAAgACAAIAAgACAAIABDAE8ATABVAE0ATgBTACgAbgApACwAXABuAFwAbgAgACAAIAAgAEkAcwBTAGMAYQBsAGEAcgA/ACwAIAAgACAAIABBAE4ARAAoAGgAIAA9ACAAMQAsACAAdwAgAD0AIAAxACkALABcAG4AIAAgACAAIABJAHMAVgBlAHIAdABpAGMAYQBsAD8ALAAgACAAQQBOAEQAKABoACAAPgAgADEALAAgAHcAIAA9ACAAMQApACwAXABuAFwAbgAgACAAIAAgAEkAcwAxAEQAPwAsACAAIAAgACAAIAAgACAAIABYAE8AUgAoAGgAIAA9ACAAMQAsACAAdwAgAD0AIAAxACkALABcAG4AIAAgACAAIABJAHMAMgBEAD8ALAAgACAAIAAgACAAIAAgACAAQQBOAEQAKABoACAAPgAgADEALAAgAHcAIAA+ACAAMQApACwAXABuAFwAbgAgACAAIAAgAC8ALwAgAEYAbABhAHQAdABlAG4AIABpAG4AcAB1AHQAIABpAGYAIAAyAEQAXABuACAAIAAgACAAbgAsACAAIAAgACAAIAAgACAAIAAgACAAIAAgAEkARgAoAEkAcwAxAEQAPwAsAG4ALABUAE8AQwBPAEwAKABuACkAKQAsAFwAbgBcAG4AIAAgACAAIAAvAC8AIABGAHUAbgBjAHQAaQBvAG4AIAAoAGYAbwByACAAbgBvAG4ALQBzAGMAYQBsAGEAcgBzACkAXABuACAAIAAgACAAZgBuALsDLAAgACAAIAAgACAAIAAgACAAIAAgAEkARgAoAE8AUgAoAEkAcwBWAGUAcgB0AGkAYwBhAGwAPwAsAEkAcwAyAEQAPwApACwAQgBZAFIATwBXACwAQgBZAEMATwBMACkALABcAG4AXABuACAAIAAgACAALwAvACAARQB4AHAAbABvAGQAZQBkACAAYgBpAG4AYQByAHkAIABtAGEAdAByAGkAeABcAG4AIAAgACAAIABiAGkAdABzACwAIAAgACAAIAAgACAAIAAgACAARABlAGMAMgBCAGkAbgC7AygAbgAsACAAMQApACwAXABuAFwAbgAgACAAIAAgAC8ALwAgAEMAbwB1AG4AdAAgAGIAaQB0AHMAXABuACAAIAAgACAAYwBvAHUAbgB0AHMALAAgACAAIAAgACAAIAAgAEkARgAoAEkAcwBTAGMAYQBsAGEAcgA/ACwAIABTAFUATQAoAGIAaQB0AHMAKQAsAGYAbgC7AygAYgBpAHQAcwAsAFMAVQBNACkAKQAsAFwAbgBcAG4AIAAgACAAIABmAGkAbgBhAGwALAAgACAAIAAgACAAIAAgACAASQBGACgASQBzADEARAA/ACwAYwBvAHUAbgB0AHMALABXAFIAQQBQAFIATwBXAFMAKABjAG8AdQBuAHQAcwAsAHcAKQApACwAXABuAFwAbgAgACAAIAAgAGYAaQBuAGEAbABcAG4AKQApADsAXABuAFwAbgBcAG4AXABuAC8AKgAgAFsARQBOADAANABdACAALQAtAC0ALQAtAC0ALQAtAC0ALQAtAC0ALQAtAC0ALQAtAC0ALQAtAC0ALQAtAC0ALQAtAC0ALQAtAC0ALQAtAC0ALQAtAC0ALQAtAC0ALQAtAC0ALQAtAC0ALQAtAC0ALQAtAC0ALQAtAC0ALQAtAC0ALQAtAC0ALQAtAC0ALQAtAC0ALQAtAC0ALQAtAC0ALQBcAG4ARgB1AG4AYwB0AGkAbwBuADoAIAAgACAAIAAgACAAIAAgAEQAZQBjADIAQgBpAG4AuwNcAG4AQwBhAHQAZQBnAG8AcgB5ADoAIAAgACAAIAAgACAAIAAgAEUAbgBnAGkAbgBlAGUAcgBpAG4AZwBcAG4AQQB1AHQAaABvAHIAOgAgACAAIAAgACAAIAAgACAAIAAgAFAAYQB0AHIAaQBjAGsAIABIAC4AXABuAFYAZQByAHMAaQBvAG4AOgAgACAAIAAgACAAIAAgACAAIAAxAC4AMQBcAG4AXABuAEQAZQBzAGMAcgBpAHAAdABpAG8AbgA6AFwAbgAgACAAIAAgAEMAbwBuAHYAZQByAHQAcwAgAG4AbwBuABEgbgBlAGcAYQB0AGkAdgBlACAAaQBuAHQAZQBnAGUAcgBzACAAaQBuAHQAbwAgAGIAaQBuAGEAcgB5AC4AIABTAHUAcABwAG8AcgB0AHMAIABzAGMAYQBsAGEAcgAsACAAMQBEACwAIABhAG4AZAAgADIARABcAG4AIAAgACAAIABpAG4AcAB1AHQAcwAgAHcAaQB0AGgAIABmAHUAbABsACAAcwBoAGEAcABlACAAcAByAGUAcwBlAHIAdgBhAHQAaQBvAG4ALgAgAFIAZQB0AHUAcgBuAHMAIABlAGkAdABoAGUAcgAgAGMAbwBuAGMAaQBzAGUAIABiAGkAbgBhAHIAeQAgAHMAdAByAGkAbgBnAHMAXABuACAAIAAgACAAbwByACAAZQB4AHAAbABvAGQAZQBkACAAMgBEACAAYgBpAHQAESBhAHIAcgBhAHkAcwAuAFwAbgBcAG4AUABhAHIAYQBtAGUAdABlAHIAcwA6AFwAbgAgACAAIAAgAG4AdQBtAGIAZQByAHMAXABuACAAIAAgACAAIAAgACAAIABTAGMAYQBsAGEAcgAsACAAMQBEACAAYQByAHIAYQB5ACwAIABvAHIAIAAyAEQAIABhAHIAcgBhAHkAIABvAGYAIABuAG8AbgARIG4AZQBnAGEAdABpAHYAZQAgAGkAbgB0AGUAZwBlAHIAcwAuAFwAbgBcAG4AIAAgACAAIABbAEEAcgByAGEAeQBfAEYAbwByAG0AXwAyAEQAXQBcAG4AIAAgACAAIAAgACAAIAAgAE8AcAB0AGkAbwBuAGEAbAAuACAAVABSAFUARQAgAJIhIAByAGUAdAB1AHIAbgAgAGUAeABwAGwAbwBkAGUAZAAgADIARAAgAGIAaQB0ABEgYQByAHIAYQB5AHMALgBcAG4AIAAgACAAIAAgACAAIAAgAE8AbQBpAHQAdABlAGQAIACSISAAcgBlAHQAdQByAG4AIABjAG8AbgBjAGkAcwBlACAAYgBpAG4AYQByAHkAIABzAHQAcgBpAG4AZwBzAC4AXABuAFwAbgBOAG8AdABlAHMAOgBcAG4AIAAgACAAIAAiICAAUwB1AHAAcABvAHIAdABzACAAYQByAGIAaQB0AHIAYQByAGkAbAB5ACAAbABhAHIAZwBlACAAaQBuAHQAZQBnAGUAcgBzACAAKABiAGUAeQBvAG4AZAAgAEUAeABjAGUAbAAZIHMAIABuAGEAdABpAHYAZQAgAEIASQBOADIARABFAEMAIABsAGkAbQBpAHQAcwApAC4AXABuACAAIAAgACAAIiAgAEMAbwBuAGMAaQBzAGUAIABvAHUAdABwAHUAdAAgAGEAdgBvAGkAZABzACAAcwBjAGkAZQBuAHQAaQBmAGkAYwAgAG4AbwB0AGEAdABpAG8AbgAgAGEAbgBkACAAMQA2ABEgZABpAGcAaQB0ACAAcAByAGUAYwBpAHMAaQBvAG4AIABpAHMAcwB1AGUAcwAuAFwAbgAgACAAIAAgACIgIAAyAEQAIABpAG4AcAB1AHQAcwAgAHAAcgBlAHMAZQByAHYAZQAgAHQAaABlAGkAcgAgAG8AcgBpAGcAaQBuAGEAbAAgAHMAaABhAHAAZQAgAHcAaABlAG4AIABjAG8AbgBjAGkAcwBlACAAbwB1AHQAcAB1AHQAIABpAHMAIABzAGUAbABlAGMAdABlAGQALgBcAG4ALQAtAC0ALQAtAC0ALQAtAC0ALQAtAC0ALQAtAC0ALQAtAC0ALQAtAC0ALQAtAC0ALQAtAC0ALQAtAC0ALQAtAC0ALQAtAC0ALQAtAC0ALQAtAC0ALQAtAC0ALQAtAC0ALQAtAC0ALQAtAC0ALQAtAC0ALQAtAC0ALQAtAC0ALQAtAC0ALQAtAC0ALQAtAC0ALQAtAC0ALQAtAC0AKgAvAFwAbgBcAG4ARABlAGMAMgBCAGkAbgC7Az0AXABuAEwAQQBNAEIARABBACgAXABuACAAIAAgACAAbgB1AG0AYgBlAHIAcwAsAFwAbgAgACAAIAAgAFsAQQByAHIAYQB5AF8ARgBvAHIAbQBfADIARABdACwAXABuAFwAbgAvAC8AQwBoAGUAYwBrACAAbgB1AG0AYgBlAHIAcwBcAG4ASQBGACgATwBSACgASQBTAFQARQBYAFQAKABuAHUAbQBiAGUAcgBzACkALAAgAEkAUwBFAFIAUgBPAFIAKAAtAC0AbgB1AG0AYgBlAHIAcwApACwAbgB1AG0AYgBlAHIAcwAgADwAIAAwACkALAAgACMAVgBBAEwAVQBFACEALABcAG4AXABuAEwARQBUACgAXABuACAAIAAgACAALwAvACAASQBuAHAAdQB0ACAAcwBoAGEAcABlAFwAbgAgACAAIAAgAGgALAAgACAAIAAgACAAIAAgACAAIAAgACAAIAAgAFIATwBXAFMAKABuAHUAbQBiAGUAcgBzACkALABcAG4AIAAgACAAIAB3ACwAIAAgACAAIAAgACAAIAAgACAAIAAgACAAIABDAE8ATABVAE0ATgBTACgAbgB1AG0AYgBlAHIAcwApACwAXABuAFwAbgAgACAAIAAgAEkAcwBTAGMAYQBsAGEAcgA/ACwAIAAgACAAIAAgAEEATgBEACgAaAAgAD0AIAAxACwAIAB3ACAAPQAgADEAKQAsAFwAbgAgACAAIAAgAEkAcwBWAGUAcgB0AGkAYwBhAGwAPwAsACAAIAAgAGgAIAA+ACAAdwAsAFwAbgAgACAAIAAgAEkAcwAyAEQAPwAsACAAIAAgACAAIAAgACAAIAAgAEEATgBEACgAaAAgAD4AIAAxACwAdwAgAD4AIAAxACkALABcAG4AXABuACAAIAAgACAALwAvACAARgBsAGEAdAB0AGUAbgAgAGkAbgBwAHUAdABcAG4AIAAgACAAIABuAHUAbQBiAGUAcgBzACwAIAAgACAAIAAgACAAIABUAE8AQwBPAEwAKABuAHUAbQBiAGUAcgBzACkALABcAG4AXABuACAAIAAgACAALwAvACAARgBvAHIAbQBcAG4AIAAgACAAIABJAHMAVgBlAGMAdABvAHIAPwAsACAAIAAgACAAIABJAFMATwBNAEkAVABUAEUARAAoAEEAcgByAGEAeQBfAEYAbwByAG0AXwAyAEQAKQAsAFwAbgBcAG4AIAAgACAAIAAvAC8AIABNAGEAeAAgAGIAaQB0AHMAIABuAGUAZQBkAGUAZAAgAHQAbwAgAGUAeABwAHIAZQBzAHMAIAByAGUAcwB1AGwAdABzACAAYQBzACAAYQByAHIAYQB5AFwAbgAgACAAIAAgAGIAaQB0AHMALAAgACAAIAAgACAAIAAgACAAIAAgAE0AQQBYACgASQBGAEUAUgBSAE8AUgAoAEkATgBUACgATABPAEcAKABuAHUAbQBiAGUAcgBzACwAMgApACkAIAArACAAMQAsADEAKQApACwAXABuAFwAbgAgACAAIAAgAC8ALwAgAEYAbwByAG0AcwAgAC0AIAAyAEQAIABhAHIAcgBhAHkALAAgAGIAaQBuACAAdgBlAGMAdABvAHIAIAAtACAAZQBhAGcAZQByACAAZQB2AGEAbAB1AGEAdABpAG8AbgAgAGQAZQBmAGUAcgByAGUAZABcAG4AIAAgACAAIABiAGkAbgBfAGEAcgByACwAIAAgACAAIAAgACAAIABMAEEATQBCAEQAQQAoAE0ATwBEACgAQgBJAFQAUgBTAEgASQBGAFQAKABuAHUAbQBiAGUAcgBzACwAUwBFAFEAVQBFAE4AQwBFACgALABiAGkAdABzACwAYgBpAHQAcwAgAC0AIAAxACwALQAxACkAKQAsADIAKQApACwAXABuACAAIAAgACAAYgBpAG4AXwB2AGUAYwB0AG8AcgAsACAAIAAgACAATABBAE0AQgBEAEEAKABCAFkAUgBPAFcAKABiAGkAbgBfAGEAcgByACgAKQAsAEMATwBOAEMAQQBUACkAKQAsAFwAbgAgACAAIAAgAGIAaQBuAF8AcgBlAHMAdQBsAHQALAAgACAAIAAgAEwAQQBNAEIARABBACgASQBGACgASQBzAFYAZQBjAHQAbwByAD8ALABiAGkAbgBfAHYAZQBjAHQAbwByACgAKQAsAGIAaQBuAF8AYQByAHIAKAApACkAKQAsAFwAbgBcAG4AIAAgACAAIAAvAC8AIABSAGUALQBzAGgAYQBwAGkAbgBnACAAJgAgAGQAZQBsAGkAdgBlAHIAeQBcAG4AIAAgACAAIABkAGUAbABpAHYAZQByACwAIAAgACAAIAAgACAAIABJAEYAKABJAHMAMgBEAD8ALABXAFIAQQBQAFIATwBXAFMAKABiAGkAbgBfAHYAZQBjAHQAbwByACgAKQAsAHcAKQAsAFwAbgAgACAAIAAgACAAIAAgACAAIAAgACAAIAAgACAAIAAgACAAIAAgACAAIAAgACAAIABJAEYAKABPAFIAKABJAHMAUwBjAGEAbABhAHIAPwAsAEkAcwBWAGUAcgB0AGkAYwBhAGwAPwApACwAYgBpAG4AXwByAGUAcwB1AGwAdAAoACkALABcAG4AIAAgACAAIAAgACAAIAAgACAAIAAgACAAIAAgACAAIAAgACAAIAAgACAAIAAgACAAIAAgACAAIABUAFIAQQBOAFMAUABPAFMARQAoAGIAaQBuAF8AcgBlAHMAdQBsAHQAKAApACkAKQApACwAXABuACAAIAAgACAAZABlAGwAaQB2AGUAcgBcAG4AKQApACkAOwBcAG4AXABuAFwAbgBcAG4ALwAqACAAWwBFAE4AMAA1AF0AIAAtAC0ALQAtAC0ALQAtAC0ALQAtAC0ALQAtAC0ALQAtAC0ALQAtAC0ALQAtAC0ALQAtAC0ALQAtAC0ALQAtAC0ALQAtAC0ALQAtAC0ALQAtAC0ALQAtAC0ALQAtAC0ALQAtAC0ALQAtAC0ALQAtAC0ALQAtAC0ALQAtAC0ALQAtAC0ALQAtAC0ALQAtAC0ALQAtAFwAbgBGAHUAbgBjAHQAaQBvAG4AOgAgACAAIAAgACAAIAAgACAARABlAGMAMgBHAHIAYQB5ALsDXABuAEMAYQB0AGUAZwBvAHIAeQA6ACAAIAAgACAAIAAgACAAIABFAG4AZwBpAG4AZQBlAHIAaQBuAGcAXABuAEEAdQB0AGgAbwByADoAIAAgACAAIAAgACAAIAAgACAAIABQAGEAdAByAGkAYwBrACAASAAuAFwAbgBWAGUAcgBzAGkAbwBuADoAIAAgACAAIAAgACAAIAAgACAAMQAuADEAXABuAEQAZQBwAGUAbgBkAGUAbgBjAGkAZQBzADoAIAAgACAAIABEAGUAYwAyAEIAaQBuALsDLAAgAEIAaQBuADIARwByAGEAeQC7A1wAbgBcAG4ARABlAHMAYwByAGkAcAB0AGkAbwBuADoAXABuACAAIAAgACAAQwBvAG4AdgBlAHIAdABzACAAbgBvAG4AESBuAGUAZwBhAHQAaQB2AGUAIABpAG4AdABlAGcAZQByAHMAIABpAG4AdABvACAARwByAGEAeQARIGMAbwBkAGUAIAB2AGEAbAB1AGUAcwAuACAAUwB1AHAAcABvAHIAdABzACAAcwBjAGEAbABhAHIALAAgADEARAAsAFwAbgAgACAAIAAgAGEAbgBkACAAMgBEACAAaQBuAHAAdQB0AHMAIAB3AGkAdABoACAAZgB1AGwAbAAgAHMAaABhAHAAZQAgAHAAcgBlAHMAZQByAHYAYQB0AGkAbwBuAC4AIABPAHUAdABwAHUAdAAgAGMAYQBuACAAYgBlACAAcgBlAHQAdQByAG4AZQBkACAAZQBpAHQAaABlAHIAXABuACAAIAAgACAAYQBzACAAYwBvAG4AYwBpAHMAZQAgAEcAcgBhAHkAESBjAG8AZABlACAAcwB0AHIAaQBuAGcAcwAgAG8AcgAgAGEAcwAgAGUAeABwAGwAbwBkAGUAZAAgADIARAAgAGIAaQB0ABEgYQByAHIAYQB5AHMALgBcAG4AXABuAFAAYQByAGEAbQBlAHQAZQByAHMAOgBcAG4AIAAgACAAIABuAHUAbQBiAGUAcgBcAG4AIAAgACAAIAAgACAAIAAgAFMAYwBhAGwAYQByACwAIAAxAEQAIABhAHIAcgBhAHkALAAgAG8AcgAgADIARAAgAGEAcgByAGEAeQAgAG8AZgAgAG4AbwBuABEgbgBlAGcAYQB0AGkAdgBlACAAaQBuAHQAZQBnAGUAcgBzAC4AXABuAFwAbgAgACAAIAAgAFsAYwBvAG4AYwBpAHMAZQBdAFwAbgAgACAAIAAgACAAIAAgACAATwBwAHQAaQBvAG4AYQBsAC4AIABUAFIAVQBFACAAkiEgAHIAZQB0AHUAcgBuACAARwByAGEAeQAgAGMAbwBkAGUAIABhAHMAIABjAG8AbgBjAGEAdABlAG4AYQB0AGUAZAAgAHMAdAByAGkAbgBnAHMALgBcAG4AIAAgACAAIAAgACAAIAAgAE8AbQBpAHQAdABlAGQAIACSISAAcgBlAHQAdQByAG4AIABlAHgAcABsAG8AZABlAGQAIAAyAEQAIABHAHIAYQB5ABEgYwBvAGQAZQAgAGIAaQB0ACAAYQByAHIAYQB5AHMALgBcAG4AXABuAE4AbwB0AGUAcwA6AFwAbgAgACAAIAAgACIgIABVAHMAZQBzACAARABlAGMAMgBCAGkAbgC7AyAAdABvACAAbwBiAHQAYQBpAG4AIABiAGkAbgBhAHIAeQAsACAAdABoAGUAbgAgAEIAaQBuADIARwByAGEAeQC7AyAAdABvACAAYwBvAG4AdgBlAHIAdAAgAHQAbwAgAEcAcgBhAHkAIABjAG8AZABlAC4AXABuACAAIAAgACAAIiAgAE8AdQB0AHAAdQB0ACAAcwBoAGEAcABlACAAbQBhAHQAYwBoAGUAcwAgAGkAbgBwAHUAdAAgAHMAaABhAHAAZQAuAFwAbgAtAC0ALQAtAC0ALQAtAC0ALQAtAC0ALQAtAC0ALQAtAC0ALQAtAC0ALQAtAC0ALQAtAC0ALQAtAC0ALQAtAC0ALQAtAC0ALQAtAC0ALQAtAC0ALQAtAC0ALQAtAC0ALQAtAC0ALQAtAC0ALQAtAC0ALQAtAC0ALQAtAC0ALQAtAC0ALQAtAC0ALQAtAC0ALQAtAC0ALQAtAC0ALQAqAC8AXABuAFwAbgBEAGUAYwAyAEcAcgBhAHkAuwMgAD0AXABuAEwAQQBNAEIARABBACgAXABuACAAIAAgACAAbgB1AG0AYgBlAHIALABcAG4AIAAgACAAIABbAGMAbwBuAGMAaQBzAGUAXQAsAFwAbgAgACAAIAAgAEIAaQBuADIARwByAGEAeQC7AygARABlAGMAMgBCAGkAbgC7AygAbgB1AG0AYgBlAHIAKQAsACAAYwBvAG4AYwBpAHMAZQApAFwAbgApADsAXABuAFwAbgBcAG4AXABuAC8ALwAgAFsAQwBCAF0AIAAtAC0ALQAtAC0ALQAtAC0ALQAtAC0ALQAtAC0ALQAtAC0ALQAtAC0ALQAtAC0ALQAtAC0ALQAtAC0ALQAtAC0ALQAtAC0ALQAtAC0ALQAtAC0ALQAtAC0ALQAtAC0ALQAtAC0ALQAtAC0ALQAtAC0ALQAtAC0ALQAtAC0ALQAtAC0ALQAtAC0ALQAtAC0ALQAtAC0ALQAtAC0AXABuAC8ALwAgAC0ALQAtACMAIwAgADAAOQAgABQgIABDAG8AbQBiAGkAbgBhAHQAbwByAGkAYwBzAFwAbgAvAC8AIAAtAC0ALQAtAC0ALQAtAC0ALQAtAC0ALQAtAC0ALQAtAC0ALQAtAC0ALQAtAC0ALQAtAC0ALQAtAC0ALQAtAC0ALQAtAC0ALQAtAC0ALQAtAC0ALQAtAC0ALQAtAC0ALQAtAC0ALQAtAC0ALQAtAC0ALQAtAC0ALQAtAC0ALQAtAC0ALQAtAC0ALQAtAC0ALQAtAC0ALQAtAC0AXABuAFwAbgAvACoAXABuAEQAZQBzAGMAcgBpAHAAdABpAG8AbgA6AFwAbgAgACAAIAAgAFQAaABlACAAQwBvAG0AYgBpAG4AYQB0AG8AcgBpAGMAcwAgAGMAYQB0AGUAZwBvAHIAeQAgAHAAcgBvAHYAaQBkAGUAcwAgAGgAaQBnAGgAESBwAGUAcgBmAG8AcgBtAGEAbgBjAGUAIABnAGUAbgBlAHIAYQB0AG8AcgBzACAAZgBvAHIAXABuACAAIAAgACAAcABlAHIAbQB1AHQAYQB0AGkAbwBuAHMALAAgAGMAbwBtAGIAaQBuAGEAdABpAG8AbgBzACwAIABzAHUAYgBzAGUAdABzACwAIABhAG4AZAAgAHIAZQBsAGEAdABlAGQAIABzAHQAcgB1AGMAdAB1AHIAZQBzAC4AXABuAFwAbgBGAHUAbgBjAHQAaQBvAG4AcwA6AFwAbgAgACAAIAAgACIgIABQAGUAcgBtAFIAuwNcAG4AIAAgACAAIAAgACAAIAAgAEcAZQBuAGUAcgBhAHQAZQBzACAAcABlAHIAbQB1AHQAYQB0AGkAbwBuAHMAIAB3AGkAdABoACAAcgBlAHAAbABhAGMAZQBtAGUAbgB0ACAAKABrABEgdAB1AHAAbABlAHMAIABkAHIAYQB3AG4AIABmAHIAbwBtACAAbgAgAGkAdABlAG0AcwApAC4AXABuAFwAbgAgACAAIAAgACIgIABQAGUAcgBtALsDXABuACAAIAAgACAAIAAgACAAIABHAGUAbgBlAHIAYQB0AGUAcwAgAHAAZQByAG0AdQB0AGEAdABpAG8AbgBzACAAdwBpAHQAaABvAHUAdAAgAHIAZQBwAGwAYQBjAGUAbQBlAG4AdAAuAFwAbgBcAG4AIAAgACAAIAAiICAAQwBvAG0AYgBpAG4AYQB0AGkAbwBuAHMAUgC7A1wAbgAgACAAIAAgACAAIAAgACAARwBlAG4AZQByAGEAdABlAHMAIABjAG8AbQBiAGkAbgBhAHQAaQBvAG4AcwAgAHcAaQB0AGgAIAByAGUAcABsAGEAYwBlAG0AZQBuAHQALgBcAG4AXABuACAAIAAgACAAIiAgAEMAbwBtAGIAaQBuAGEAdABpAG8AbgBzALsDXABuACAAIAAgACAAIAAgACAAIABHAGUAbgBlAHIAYQB0AGUAcwAgAGMAbwBtAGIAaQBuAGEAdABpAG8AbgBzACAAdwBpAHQAaABvAHUAdAAgAHIAZQBwAGwAYQBjAGUAbQBlAG4AdAAuAFwAbgBcAG4AIAAgACAAIAAiICAARABlAHIAYQBuAGcAZQBtAGUAbgB0AHMAuwNcAG4AIAAgACAAIAAgACAAIAAgAEcAZQBuAGUAcgBhAHQAZQBzACAAcABlAHIAbQB1AHQAYQB0AGkAbwBuAHMAIAB3AGgAZQByAGUAIABuAG8AIABlAGwAZQBtAGUAbgB0ACAAcgBlAG0AYQBpAG4AcwAgAGkAbgAgAGkAdABzACAAbwByAGkAZwBpAG4AYQBsACAAcABvAHMAaQB0AGkAbwBuAC4AXABuAFwAbgAgACAAIAAgACIgIABLAG4AYQBwAFMAYQBjAGsAuwNcAG4AIAAgACAAIAAgACAAIAAgAFMAbwBsAHYAZQBzACAAdABoAGUAIABzAHUAYgBzAGUAdAARIHMAdQBtACAALwAgAGsAbgBhAHAAcwBhAGMAawAgAGYAZQBhAHMAaQBiAGkAbABpAHQAeQAgAHAAcgBvAGIAbABlAG0AIAB1AHMAaQBuAGcAIAB2AGUAYwB0AG8AcgBpAHoAZQBkAFwAbgAgACAAIAAgACAAIAAgACAAZQBuAHUAbQBlAHIAYQB0AGkAbwBuACAAYQBuAGQAIABmAGkAbAB0AGUAcgBpAG4AZwAuAFwAbgBcAG4AIAAgACAAIAAiICAAUwB1AGIAcwBlAHQARwBlAG4AuwNcAG4AIAAgACAAIAAgACAAIAAgAEcAZQBuAGUAcgBhAHQAZQBzACAAYQBsAGwAIABzAHUAYgBzAGUAdABzACAAbwBmACAAYQAgAHMAZQB0ACAAKAB0AGgAZQAgAHAAbwB3AGUAcgAgAHMAZQB0ACkALAAgAHIAZQB0AHUAcgBuAGUAZAAgAGkAbgAgAGIAaQBuAGEAcgB5ABEgbQBhAHMAawBcAG4AIAAgACAAIAAgACAAIAAgAG8AcgBkAGUAcgAuAFwAbgBcAG4AIAAgACAAIAAiICAAUwB1AGIAcwBlAHQAUwB1AG0AuwNcAG4AIAAgACAAIAAgACAAIAAgAFIAZQB0AHUAcgBuAHMAIABhAGwAbAAgAHMAdQBiAHMAZQB0AHMAIAB3AGgAbwBzAGUAIABlAGwAZQBtAGUAbgB0AHMAIABzAHUAbQAgAHQAbwAgAGEAIAB0AGEAcgBnAGUAdAAgAHYAYQBsAHUAZQAuAFwAbgBcAG4ATgBvAHQAZQBzADoAXABuACAAIAAgACAAIiAgAEEAbABsACAAZwBlAG4AZQByAGEAdABvAHIAcwAgAGEAcgBlACAAcwBoAGEAcABlABEgcAByAGUAcwBlAHIAdgBpAG4AZwAgAGEAbgBkACAAcgBlAHQAdQByAG4AIAAyAEQAIABhAHIAcgBhAHkAcwAgAHcAaABlAHIAZQAgAGUAYQBjAGgAIAByAG8AdwBcAG4AIAAgACAAIAAgACAAcgBlAHAAcgBlAHMAZQBuAHQAcwAgAG8AbgBlACAAYwBvAG0AYgBpAG4AYQB0AG8AcgBpAGEAbAAgAG8AYgBqAGUAYwB0AC4AXABuACAAIAAgACAAIiAgAEEAbABsACAAZgB1AG4AYwB0AGkAbwBuAHMAIABvAHAAZQByAGEAdABlACAAbwBuACAAYQByAHIAYQB5AHMAIABvAGYAIABpAHQAZQBtAHMALAAgAG4AbwB0ACAAagB1AHMAdAAgAGkAbgB0AGUAZwBlAHIAcwAuAFwAbgAgACAAIAAgACIgIABUAGgAZQAgAHUAbgBkAGUAcgBsAHkAaQBuAGcAIABhAHIAYwBoAGkAdABlAGMAdAB1AHIAZQAgAHUAcwBlAHMAIABhACAAZgB1AG4AbgBlAGwAIABtAG8AZABlAGwAOgAgAGwAYQByAGcAZQAgAGUAbgB1AG0AZQByAGEAdABpAG8AbgBzACAAYQByAGUAXABuACAAIAAgACAAIAAgAGcAZQBuAGUAcgBhAHQAZQBkACAAbwBuAGMAZQAgAGEAbgBkACAAZgBpAGwAdABlAHIAZQBkACAAYgB5ACAAbwByAGQAZQByACwAIAB1AG4AaQBxAHUAZQBuAGUAcwBzACwAIABvAHIAIABwAG8AcwBpAHQAaQBvAG4AYQBsACAAcAByAGUAZABpAGMAYQB0AGUAcwAuAFwAbgBcAG4ARQBuAHUAbQBlAHIAYQB0AGUAuwNcAG4AIAAgACAAIAAgACAAIAAgACAAIAAgACAAIAAgACAAIAAgACAAIAAgACAAIAAgACAAIAAgACAAIAAgACAAIAAgACgARwBlAG4AZQByAGEAdABpAG4AZwAgAGYAdQBuAGMAdABpAG8AbgApAFwAbgAgACAAIAAgACAAIAAgACAAIAAgACAAIAAgACAAIAAgACAAIAAgACAAIAAgACAAIAAgACAAIAAgACAAIAAgACAAIAAgACAAIAAgACAAIAAgAHwAXABuACAAIAAgACAAIAAgACAAIAAgACAAIAAgACAAIAAgACAAIAAgACAAIAAgACAAIAAgACAAIAAgACAAIAAgACAAIAAgACAAIAAgACAAIABQAGUAcgBtAFIAuwNcAG4AIAAgACAAIAAgACAAIAAgACAAIAAgACAAIAAgACAAIAAgACAAIAAgACgAZgB1AGwAbAAgAHAAZQByAG0AdQB0AGEAdABpAG8AbgBzACAAdwBpAHQAaAAgAHIAZQBwAGwAYQBjAGUAbQBlAG4AdAApAFwAbgAgACAAIAAgACAAIAAgACAAIAAgACAAIAAgACAAIAAgACAAIAAgACAAIAAgACAAIAAgACAAIAAgACAAIAAgACAAIAAgACAAIAAgACAAIAAgAHwAXABuACAAIAAgACAAIAAgACAAIAAgACAAIAAgACAAIAAgACAALQAtAC0ALQAtAC0ALQAtAC0ALQAtAC0ALQAtAC0ALQAtAC0ALQAtAC0ALQAtAC0ALQAtAC0ALQAtAC0ALQAtAC0ALQAtAC0ALQAtAC0ALQAtAC0ALQAtAC0ALQAtAC0ALQBcAG4AIAAgACAAIAAgACAAIAAgACAAIAAgACAAIAAgACAAIAB8ACAAIAAgACAAIAAgACAAIAAgACAAIAAgACAAIAAgACAAIAAgACAAIAAgACAAIAB8ACAAIAAgACAAIAAgACAAIAAgACAAIAAgACAAIAAgACAAIAAgACAAIAAgACAAIAB8AFwAbgAgACAAIAAgACAAIAAgACAAQwBvAG0AYgBpAG4AYQB0AGkAbwBuAHMAUgC7AyAAIAAgACAAIAAgACAAIAAgACAAIAAgACAAIAAgACAAUABlAHIAbQC7AyAAIAAgACAAIAAgACAAIAAgACAAIAAgACAAIABEAGUAcgBhAG4AZwBlAG0AZQBuAHQAcwC7A1wAbgAgACAAIAAgACAAIAAgACAAKABmAGkAbAB0AGUAcgAgAHIAZQBwAGUAYQB0AHMAKQAgACAAIAAgACAAIAAgACAAKABmAGkAbAB0AGUAcgAgAGIAeQAgAG8AcgBkAGUAcgApACAAIAAgACAAIAAoAGYAaQBsAHQAZQByACAAYgB5ACAAcABvAHMAaQB0AGkAbwBuACkAXABuACAAIAAgACAAIAAgACAAIAAgACAAIAAgACAAIAAgACAAfABcAG4AIAAgACAAIAAgACAAIAAgACAAIABDAG8AbQBiAGkAbgBhAHQAaQBvAG4AcwC7A1wAbgAgACAAIAAgACAAKABmAGkAbAB0AGUAcgAgAHIAZQBwAGUAYQB0AHMAIAArACAAbwByAGQAZQByACkAXABuAFwAbgBcAG4AKgAvAFwAbgBcAG4AXABuAFwAbgAvACoAIABbAEMAQgARIEMATwBSAEUAXQAgAC0ALQAtAC0ALQAtAC0ALQAtAC0ALQAtAC0ALQAtAC0ALQAtAC0ALQAtAC0ALQAtAC0ALQAtAC0ALQAtAC0ALQAtAC0ALQAtAC0ALQAtAC0ALQAtAC0ALQAtAC0ALQAtAC0ALQAtAC0ALQAtAC0ALQAtAC0ALQAtAC0ALQAtAC0ALQAtAC0ALQAtAC0ALQBcAG4ARgB1AG4AYwB0AGkAbwBuADoAIAAgACAAIAAgACAAIAAgAEUAbgB1AG0AZQByAGEAdABlALsDXABuAEMAYQB0AGUAZwBvAHIAeQA6ACAAIAAgACAAIAAgACAAIABDAG8AbQBiAGkAbgBhAHQAbwByAGkAYwBzAFwAbgBBAHUAdABoAG8AcgA6ACAAIAAgACAAIAAgACAAIAAgACAAUABhAHQAcgBpAGMAawAgAEgALgBcAG4AVgBlAHIAcwBpAG8AbgA6ACAAIAAgACAAIAAgACAAIAAgADEALgAxAFwAbgBcAG4ARABlAHMAYwByAGkAcAB0AGkAbwBuADoAXABuACAAIAAgACAAQwBvAHIAZQAgAGcAZQBuAGUAcgBhAHQAaQBuAGcAIABmAHUAbgBjAHQAaQBvAG4AIABmAG8AcgAgAGEAbABsACAAYwBvAG0AYgBpAG4AYQB0AG8AcgBpAGEAbAAgAG8AcABlAHIAYQB0AG8AcgBzACAAaQBuACAAdABoAGUAIABDAG8AbQBiAGkAbgBhAHQAbwByAGkAYwBzAFwAbgAgACAAIAAgAGMAYQB0AGUAZwBvAHIAeQAuACAAUAByAG8AZAB1AGMAZQBzACAAaQBuAGQAZQB4ACAAbQBhAHQAcgBpAGMAZQBzACAAZgBvAHIAIABwAGUAcgBtAHUAdABhAHQAaQBvAG4AcwAsACAAYwBvAG0AYgBpAG4AYQB0AGkAbwBuAHMALAAgAG0AdQBsAHQAaQBzAGUAdABzACwAXABuACAAIAAgACAAYQBuAGQAIABkAGUAcgBhAG4AZwBlAG0AZQBuAHQAcwAgAHUAcwBpAG4AZwAgAGEAIAB2AGUAYwB0AG8AcgBpAHoAZQBkACAAZgB1AG4AbgBlAGwAIABhAHIAYwBoAGkAdABlAGMAdAB1AHIAZQAuACAASABpAGcAaABlAHIAESBsAGUAdgBlAGwAXABuACAAIAAgACAAZgB1AG4AYwB0AGkAbwBuAHMAIAAoAFAAZQByAG0AUgC7AywAIABQAGUAcgBtALsDLAAgAEMAbwBtAGIAaQBuAGEAdABpAG8AbgBzAFIAuwMsACAAQwBvAG0AYgBpAG4AYQB0AGkAbwBuAHMAuwMsACAARABlAHIAYQBuAGcAZQBtAGUAbgB0AHMAuwMpAFwAbgAgACAAIAAgAGEAcgBlACAAdABoAGkAbgAgAHcAcgBhAHAAcABlAHIAcwAgAGEAcgBvAHUAbgBkACAAdABoAGkAcwAgAGcAZQBuAGUAcgBhAHQAbwByAC4AXABuAFwAbgBQAGEAcgBhAG0AZQB0AGUAcgBzADoAXABuACAAIAAgACAAaQB0AGUAbQBzAFwAbgAgACAAIAAgACAAIAAgACAAUwBjAGEAbABhAHIALAAgADEARAAgAGEAcgByAGEAeQAsACAAbwByACAAMgBEACAAYQByAHIAYQB5ACAAbwBmACAAaQB0AGUAbQBzAC4AIABJAHQAZQBtAHMAIABtAGEAeQAgAGIAZQAgAG4AdQBtAGIAZQByAHMAIABvAHIAIAB0AGUAeAB0AC4AXABuAFwAbgAgACAAIAAgAGsAXABuACAAIAAgACAAIAAgACAAIABMAGUAbgBnAHQAaAAgAG8AZgAgAGUAYQBjAGgAIAB0AHUAcABsAGUAIAAoAGsAIABlIiAAMAApAC4AIABNAHUAcwB0ACAAYgBlACAAYQAgAHMAYwBhAGwAYQByAC4AXABuAFwAbgAgACAAIAAgAHQAeQBwAGUAXABuACAAIAAgACAAIAAgACAAIABTAGUAbABlAGMAdABvAHIAIABmAG8AcgAgAHQAaABlACAAYwBvAG0AYgBpAG4AYQB0AG8AcgBpAGEAbAAgAG0AbwBkAGUAOgBcAG4AIAAgACAAIAAgACAAIAAgACAAIAAgACAAMQAgAJIhIABQAGUAcgBtAHUAdABhAHQAaQBvAG4AcwAgAHcAaQB0AGgAIAByAGUAcABsAGEAYwBlAG0AZQBuAHQAXABuACAAIAAgACAAIAAgACAAIAAgACAAIAAgADIAIACSISAAUABlAHIAbQB1AHQAYQB0AGkAbwBuAHMAIAB3AGkAdABoAG8AdQB0ACAAcgBlAHAAbABhAGMAZQBtAGUAbgB0AFwAbgAgACAAIAAgACAAIAAgACAAIAAgACAAIAAzACAAkiEgAEMAbwBtAGIAaQBuAGEAdABpAG8AbgBzACAAdwBpAHQAaAAgAHIAZQBwAGwAYQBjAGUAbQBlAG4AdABcAG4AIAAgACAAIAAgACAAIAAgACAAIAAgACAANAAgAJIhIABDAG8AbQBiAGkAbgBhAHQAaQBvAG4AcwAgAHcAaQB0AGgAbwB1AHQAIAByAGUAcABsAGEAYwBlAG0AZQBuAHQAXABuACAAIAAgACAAIAAgACAAIAAgACAAIAAgADUAIACSISAARABlAHIAYQBuAGcAZQBtAGUAbgB0AHMAXABuAFwAbgBOAG8AdABlAHMAOgBcAG4AIAAgACAAIAAiICAAQQBsAGwAIAByAGUAcwB1AGwAdABzACAAYQByAGUAIAByAGUAdAB1AHIAbgBlAGQAIABhAHMAIAAyAEQAIABhAHIAcgBhAHkAcwAgAHcAaABlAHIAZQAgAGUAYQBjAGgAIAByAG8AdwAgAGkAcwAgAG8AbgBlACAAdAB1AHAAbABlAC4AXABuACAAIAAgACAAIiAgAEkAZgAgAGkAdABlAG0AcwAgAGEAcgBlACAAbgB1AG0AZQByAGkAYwAgAGEAbgBkACAAZQBxAHUAYQBsACAAdABvACAAUwBFAFEAVQBFAE4AQwBFACgAbgApACwAIAByAGEAdwAgAGkAbgBkAGkAYwBlAHMAIABhAHIAZQAgAHIAZQB0AHUAcgBuAGUAZAAuAFwAbgAgACAAIAAgACAAIABPAHQAaABlAHIAdwBpAHMAZQAsACAAaQB0AGUAbQBzACAAYQByAGUAIABzAHUAYgBzAHQAaQB0AHUAdABlAGQAIABpAG4AdABvACAAdABoAGUAIABpAG4AZABlAHgAIABtAGEAdAByAGkAeAAuAFwAbgAgACAAIAAgACIgIABNAGEAeABpAG0AdQBtACAAZQBuAHUAbQBlAHIAYQB0AGkAbwBuACAAcwBpAHoAZQAgAGkAcwAgAGMAYQBwAHAAZQBkACAAYQB0ACAAMQAsADAANAA4ACwANQA3ADYAIAByAG8AdwBzAC4AXABuAC0ALQAtAC0ALQAtAC0ALQAtAC0ALQAtAC0ALQAtAC0ALQAtAC0ALQAtAC0ALQAtAC0ALQAtAC0ALQAtAC0ALQAtAC0ALQAtAC0ALQAtAC0ALQAtAC0ALQAtAC0ALQAtAC0ALQAtAC0ALQAtAC0ALQAtAC0ALQAtAC0ALQAtAC0ALQAtAC0ALQAtAC0ALQAtAC0ALQAtAC0ALQAtACoALwBcAG4AXABuAEUAbgB1AG0AZQByAGEAdABlALsDIAA9AFwAbgBMAEEATQBCAEQAQQAoAFwAbgAgACAAIAAgAGkAdABlAG0AcwAsAFwAbgAgACAAIAAgAGsALABcAG4AIAAgACAAIAB0AHkAcABlACwAXABuAFwAbgBJAEYAKABPAFIAKABJAFMAVABFAFgAVAAoAGsAKQAsACAAawAgADwAIAAwACwAIABrACAAPgAgAEMATwBVAE4AVABBACgAaQB0AGUAbQBzACkAKQAsACMAVgBBAEwAVQBFACEALABcAG4AXABuACAAIAAgACAASQBGACgAQwBPAFUATgBUAEEAKABrACkAIAA8AD4AIAAxACwAIwBWAEEATABVAEUAIQAsAFwAbgBcAG4AIAAgACAAIAAgACAAIAAgAEkARgAoAEMATwBVAE4AVABBACgAaQB0AGUAbQBzACkAIABeACAAawAgAD4AIAAxADAANAA4ADUANwA2ACwAIwBOAFUATQAhACwAXABuAFwAbgBMAEUAVAAoAFwAbgAgACAAIAAgAC8ALwAgAEYAbABhAHQAdABlAG4AIABpAHQAZQBtAHMAXABuACAAIAAgACAAbABpAHMAdAAsACAAIAAgACAAVABPAEMATwBMACgAaQB0AGUAbQBzACkALABcAG4AIAAgACAAIABuACwAIAAgACAAIAAgACAAIABDAE8AVQBOAFQAQQAoAGwAaQBzAHQAKQAsAFwAbgBcAG4AIAAgACAAIAAvAC8AIABUAG8AdABhAGwAIAByAG8AdwBzAFwAbgAgACAAIAAgAGkALAAgACAAIAAgACAAIAAgAG4AIABeACAAawAsAFwAbgBcAG4AIAAgACAAIAAvAC8AIABCAGEAcwBlACAAZwBlAG4AZQByAGEAdABvAHIAOgAgAHAAZQByAG0AdQB0AGEAdABpAG8AbgBzACAAdwBpAHQAaAAgAHIAZQBwAGwAYQBjAGUAbQBlAG4AdABcAG4AIAAgACAAIABQAF8AcgAsACAAIAAgACAAIABMAEEATQBCAEQAQQAoADEAIAArACAATQBPAEQAKABRAFUATwBUAEkARQBOAFQAKABTAEUAUQBVAEUATgBDAEUAKABpACkALABuACAAXgAgAFMARQBRAFUARQBOAEMARQAoACwAIABrACwAIABrACAALQAgADEALAAgAC0AMQApACkALABuACkAKQAsAFwAbgBcAG4AIAAgACAAIAAvAC8AIABQAGUAcgBtAHUAdABhAHQAaQBvAG4AcwAgACgAbgBvACAAcgBlAHAAbABhAGMAZQBtAGUAbgB0ACkAXABuACAAIAAgACAAUAAsACAAIAAgACAAIAAgACAATABBAE0AQgBEAEEAKABGAEkATABUAEUAUgAoAFAAXwByACgAKQAsAEkAUwBOAEEAKABCAFkAUgBPAFcAKABQAF8AcgAoACkALAAgAE0ATwBEAEUAKQApACkAKQAsAFwAbgBcAG4AIAAgACAAIAAvAC8AIABDAG8AbQBiAGkAbgBhAHQAaQBvAG4AcwAgAHcAaQB0AGgAIAByAGUAcABsAGEAYwBlAG0AZQBuAHQAXABuACAAIAAgACAAQwBfAHIALAAgACAAIAAgACAATABBAE0AQgBEAEEAKABGAEkATABUAEUAUgAoAFAAXwByACgAKQAsAEIAWQBSAE8AVwAoAFAAXwByACgAKQAsAEwAQQBNAEIARABBACgAcgBvAHcALAAgAEEATgBEACgAcgBvAHcAIAA9ACAAUwBPAFIAVAAoAHIAbwB3ACwALAAsADEAKQApACkAKQApACkALABcAG4AXABuACAAIAAgACAALwAvACAAQwBvAG0AYgBpAG4AYQB0AGkAbwBuAHMAIAAoAG4AbwAgAHIAZQBwAGwAYQBjAGUAbQBlAG4AdAApAFwAbgAgACAAIAAgAEMALAAgACAAIAAgACAAIAAgAEwAQQBNAEIARABBACgARgBJAEwAVABFAFIAKABDAF8AcgAoACkALABJAFMATgBBACgAQgBZAFIATwBXACgAQwBfAHIAKAApACwAIABNAE8ARABFACkAKQApACkALABcAG4AXABuACAAIAAgACAALwAvACAARABlAHIAYQBuAGcAZQBtAGUAbgB0AHMAXABuACAAIAAgACAARAAsACAAIAAgACAAIAAgACAATABBAE0AQgBEAEEAKABGAEkATABUAEUAUgAoAFAAXwByACgAKQAsAEIAWQBSAE8AVwAoAFAAXwByACgAKQAsAEwAQQBNAEIARABBACgAcgBvAHcALAAgAE4ATwBUACgATwBSACgAUwBFAFEAVQBFAE4AQwBFACgALAAgAGsAKQAgAD0AIAByAG8AdwApACkAKQApACkAKQAsAFwAbgBcAG4AIAAgACAAIAAvAC8AIABTAGUAbABlAGMAdAAgAGcAZQBuAGUAcgBhAHQAbwByAFwAbgAgACAAIAAgAGkAZAB4ACwAIAAgACAAIAAgAEwAQQBNAEIARABBACgAQwBIAE8ATwBTAEUAKAB0AHkAcABlACwAIABQAF8AcgAoACkALAAgAFAAKAApACwAIABDAF8AcgAoACkALAAgAEMAKAApACwAIABEACgAKQApACkALABcAG4AXABuACAAIAAgACAALwAvACAAUwB1AGIAcwB0AGkAdAB1AHQAZQAgAGkAdABlAG0AcwAgAHUAbgBsAGUAcwBzACAAdABoAGUAeQAgAGEAcgBlACAAZQB4AGEAYwB0AGwAeQAgADEALgAuAG4AXABuACAAIAAgACAATgBvAHQASQBuAHQAPwAsACAATgBPAFQAKABBAE4ARAAoAFMARQBRAFUARQBOAEMARQAoAG4AKQAgAD0AIABsAGkAcwB0ACkAKQAsAFwAbgAgACAAIAAgAGQAZQBsAGkAdgBlAHIALAAgAEkARgAoAE4AbwB0AEkAbgB0AD8ALAAgAEkATgBEAEUAWAAoAGwAaQBzAHQALAAgAGkAZAB4ACgAKQApACwAIABpAGQAeAAoACkAKQAsAFwAbgBcAG4AIAAgACAAIABkAGUAbABpAHYAZQByAFwAbgApACkAKQApACkAOwBcAG4AXABuAFwAbgBcAG4ALwAqACAAWwBDAEIAMAAxAF0AIAAtAC0ALQAtAC0ALQAtAC0ALQAtAC0ALQAtAC0ALQAtAC0ALQAtAC0ALQAtAC0ALQAtAC0ALQAtAC0ALQAtAC0ALQAtAC0ALQAtAC0ALQAtAC0ALQAtAC0ALQAtAC0ALQAtAC0ALQAtAC0ALQAtAC0ALQAtAC0ALQAtAC0ALQAtAC0ALQAtAC0ALQAtAC0ALQAtAFwAbgBGAHUAbgBjAHQAaQBvAG4AOgAgACAAIAAgACAAIAAgACAAUABlAHIAbQBSALsDXABuAEMAYQB0AGUAZwBvAHIAeQA6ACAAIAAgACAAIAAgACAAIABDAG8AbQBiAGkAbgBhAHQAbwByAGkAYwBzAFwAbgBBAHUAdABoAG8AcgA6ACAAIAAgACAAIAAgACAAIAAgACAAUABhAHQAcgBpAGMAawAgAEgALgBcAG4AVgBlAHIAcwBpAG8AbgA6ACAAIAAgACAAIAAgACAAIAAgADEALgAxAFwAbgBEAGUAcABlAG4AZABlAG4AYwBpAGUAcwA6ACAAIAAgACAARQBuAHUAbQBlAHIAYQB0AGUAuwNcAG4AXABuAEQAZQBzAGMAcgBpAHAAdABpAG8AbgA6AFwAbgAgACAAIAAgAEcAZQBuAGUAcgBhAHQAZQBzACAAcABlAHIAbQB1AHQAYQB0AGkAbwBuAHMAIAB3AGkAdABoACAAcgBlAHAAbABhAGMAZQBtAGUAbgB0ACAAKABrABEgdAB1AHAAbABlAHMAIABkAHIAYQB3AG4AIABmAHIAbwBtACAAbgAgAGkAdABlAG0AcwApAC4AXABuACAAIAAgACAARQBhAGMAaAAgAHIAbwB3ACAAbwBmACAAdABoAGUAIAByAGUAcwB1AGwAdAAgAHIAZQBwAHIAZQBzAGUAbgB0AHMAIABvAG4AZQAgAHAAZQByAG0AdQB0AGEAdABpAG8AbgAgAG8AZgAgAGwAZQBuAGcAdABoACAAawAuACAAUwB1AHAAcABvAHIAdABzAFwAbgAgACAAIAAgAHMAYwBhAGwAYQByACwAIAAxAEQALAAgAGEAbgBkACAAMgBEACAAaQB0AGUAbQAgAGEAcgByAGEAeQBzAC4AXABuAFwAbgBQAGEAcgBhAG0AZQB0AGUAcgBzADoAXABuACAAIAAgACAAaQB0AGUAbQBzAFwAbgAgACAAIAAgACAAIAAgACAAUwBjAGEAbABhAHIALAAgADEARAAgAGEAcgByAGEAeQAsACAAbwByACAAMgBEACAAYQByAHIAYQB5ACAAbwBmACAAaQB0AGUAbQBzAC4AIABJAHQAZQBtAHMAIABtAGEAeQAgAGIAZQAgAG4AdQBtAGIAZQByAHMAIABvAHIAIAB0AGUAeAB0AC4AXABuAFwAbgAgACAAIAAgAGkAdABlAG0AcwBfAGMAaABvAHMAZQBuAFwAbgAgACAAIAAgACAAIAAgACAATABlAG4AZwB0AGgAIABvAGYAIABlAGEAYwBoACAAdAB1AHAAbABlACAAKABrACAAZSIgADAAKQAuACAATQB1AHMAdAAgAGIAZQAgAGEAIABzAGMAYQBsAGEAcgAuAFwAbgBcAG4ATgBvAHQAZQBzADoAXABuACAAIAAgACAAIiAgAEUAcQB1AGkAdgBhAGwAZQBuAHQAIAB0AG8AIABFAG4AdQBtAGUAcgBhAHQAZQC7AygAaQB0AGUAbQBzACwAIABrACwAIAAxACkALgBcAG4ALQAtAC0ALQAtAC0ALQAtAC0ALQAtAC0ALQAtAC0ALQAtAC0ALQAtAC0ALQAtAC0ALQAtAC0ALQAtAC0ALQAtAC0ALQAtAC0ALQAtAC0ALQAtAC0ALQAtAC0ALQAtAC0ALQAtAC0ALQAtAC0ALQAtAC0ALQAtAC0ALQAtAC0ALQAtAC0ALQAtAC0ALQAtAC0ALQAtAC0ALQAtAC0AKgAvAFwAbgBcAG4AUABlAHIAbQBSALsDIAA9AFwAbgBMAEEATQBCAEQAQQAoAFwAbgAgACAAIAAgAGkAdABlAG0AcwAsAFwAbgAgACAAIAAgAGkAdABlAG0AcwBfAGMAaABvAHMAZQBuACwAXABuACAAIAAgACAARQBuAHUAbQBlAHIAYQB0AGUAuwMoAGkAdABlAG0AcwAsACAAaQB0AGUAbQBzAF8AYwBoAG8AcwBlAG4ALAAgADEAKQBcAG4AKQA7AFwAbgBcAG4AXABuAFwAbgAvACoAIABbAEMAQgAwADIAXQAgAC0ALQAtAC0ALQAtAC0ALQAtAC0ALQAtAC0ALQAtAC0ALQAtAC0ALQAtAC0ALQAtAC0ALQAtAC0ALQAtAC0ALQAtAC0ALQAtAC0ALQAtAC0ALQAtAC0ALQAtAC0ALQAtAC0ALQAtAC0ALQAtAC0ALQAtAC0ALQAtAC0ALQAtAC0ALQAtAC0ALQAtAC0ALQAtAC0AXABuAEYAdQBuAGMAdABpAG8AbgA6ACAAIAAgACAAIAAgACAAIABQAGUAcgBtALsDXABuAEMAYQB0AGUAZwBvAHIAeQA6ACAAIAAgACAAIAAgACAAIABDAG8AbQBiAGkAbgBhAHQAbwByAGkAYwBzAFwAbgBBAHUAdABoAG8AcgA6ACAAIAAgACAAIAAgACAAIAAgACAAUABhAHQAcgBpAGMAawAgAEgALgBcAG4AVgBlAHIAcwBpAG8AbgA6ACAAIAAgACAAIAAgACAAIAAgADEALgAxAFwAbgBEAGUAcABlAG4AZABlAG4AYwBpAGUAcwA6ACAAIAAgACAARQBuAHUAbQBlAHIAYQB0AGUAuwNcAG4AXABuAEQAZQBzAGMAcgBpAHAAdABpAG8AbgA6AFwAbgAgACAAIAAgAEcAZQBuAGUAcgBhAHQAZQBzACAAcABlAHIAbQB1AHQAYQB0AGkAbwBuAHMAIAB3AGkAdABoAG8AdQB0ACAAcgBlAHAAbABhAGMAZQBtAGUAbgB0AC4AIABFAGEAYwBoACAAcgBvAHcAIABvAGYAIAB0AGgAZQAgAHIAZQBzAHUAbAB0ACAAcgBlAHAAcgBlAHMAZQBuAHQAcwBcAG4AIAAgACAAIABvAG4AZQAgAGsAESB0AHUAcABsAGUAIABkAHIAYQB3AG4AIABmAHIAbwBtACAAdABoAGUAIABpAG4AcAB1AHQAIABpAHQAZQBtAHMALAAgAHcAaQB0AGgAIABuAG8AIAByAGUAcABlAGEAdABlAGQAIABwAG8AcwBpAHQAaQBvAG4AcwAuACAAUwB1AHAAcABvAHIAdABzAFwAbgAgACAAIAAgAHMAYwBhAGwAYQByACwAIAAxAEQALAAgAGEAbgBkACAAMgBEACAAaQB0AGUAbQAgAGEAcgByAGEAeQBzAC4AXABuAFwAbgBQAGEAcgBhAG0AZQB0AGUAcgBzADoAXABuACAAIAAgACAAaQB0AGUAbQBzAFwAbgAgACAAIAAgACAAIAAgACAAUwBjAGEAbABhAHIALAAgADEARAAgAGEAcgByAGEAeQAsACAAbwByACAAMgBEACAAYQByAHIAYQB5ACAAbwBmACAAaQB0AGUAbQBzAC4AIABJAHQAZQBtAHMAIABtAGEAeQAgAGIAZQAgAG4AdQBtAGIAZQByAHMAIABvAHIAIAB0AGUAeAB0AC4AXABuAFwAbgAgACAAIAAgAGkAdABlAG0AcwBfAGMAaABvAHMAZQBuAFwAbgAgACAAIAAgACAAIAAgACAATABlAG4AZwB0AGgAIABvAGYAIABlAGEAYwBoACAAdAB1AHAAbABlACAAKABrACAAZSIgADAAKQAuACAATQB1AHMAdAAgAGIAZQAgAGEAIABzAGMAYQBsAGEAcgAuAFwAbgBcAG4ATgBvAHQAZQBzADoAXABuACAAIAAgACAAIiAgAEUAcQB1AGkAdgBhAGwAZQBuAHQAIAB0AG8AIABFAG4AdQBtAGUAcgBhAHQAZQC7AygAaQB0AGUAbQBzACwAIABrACwAIAAyACkALgBcAG4ALQAtAC0ALQAtAC0ALQAtAC0ALQAtAC0ALQAtAC0ALQAtAC0ALQAtAC0ALQAtAC0ALQAtAC0ALQAtAC0ALQAtAC0ALQAtAC0ALQAtAC0ALQAtAC0ALQAtAC0ALQAtAC0ALQAtAC0ALQAtAC0ALQAtAC0ALQAtAC0ALQAtAC0ALQAtAC0ALQAtAC0ALQAtAC0ALQAtAC0ALQAtAC0AKgAvAFwAbgBcAG4AUABlAHIAbQC7AyAAPQBcAG4ATABBAE0AQgBEAEEAKABcAG4AIAAgACAAIABpAHQAZQBtAHMALABcAG4AIAAgACAAIABpAHQAZQBtAHMAXwBjAGgAbwBzAGUAbgAsAFwAbgAgACAAIAAgAEUAbgB1AG0AZQByAGEAdABlALsDKABpAHQAZQBtAHMALAAgAGkAdABlAG0AcwBfAGMAaABvAHMAZQBuACwAIAAyACkAXABuACkAOwBcAG4AXABuAFwAbgBcAG4ALwAqACAAWwBDAEIAMAAzAF0AIAAtAC0ALQAtAC0ALQAtAC0ALQAtAC0ALQAtAC0ALQAtAC0ALQAtAC0ALQAtAC0ALQAtAC0ALQAtAC0ALQAtAC0ALQAtAC0ALQAtAC0ALQAtAC0ALQAtAC0ALQAtAC0ALQAtAC0ALQAtAC0ALQAtAC0ALQAtAC0ALQAtAC0ALQAtAC0ALQAtAC0ALQAtAC0ALQAtAFwAbgBGAHUAbgBjAHQAaQBvAG4AOgAgACAAIAAgACAAIAAgACAAQwBvAG0AYgBpAG4AYQB0AGkAbwBuAHMAUgC7A1wAbgBDAGEAdABlAGcAbwByAHkAOgAgACAAIAAgACAAIAAgACAAQwBvAG0AYgBpAG4AYQB0AG8AcgBpAGMAcwBcAG4AQQB1AHQAaABvAHIAOgAgACAAIAAgACAAIAAgACAAIAAgAFAAYQB0AHIAaQBjAGsAIABIAC4AXABuAFYAZQByAHMAaQBvAG4AOgAgACAAIAAgACAAIAAgACAAIAAxAC4AMQBcAG4ARABlAHAAZQBuAGQAZQBuAGMAaQBlAHMAOgAgACAAIAAgAEUAbgB1AG0AZQByAGEAdABlALsDXABuAFwAbgBEAGUAcwBjAHIAaQBwAHQAaQBvAG4AOgBcAG4AIAAgACAAIABHAGUAbgBlAHIAYQB0AGUAcwAgAGMAbwBtAGIAaQBuAGEAdABpAG8AbgBzACAAdwBpAHQAaAAgAHIAZQBwAGwAYQBjAGUAbQBlAG4AdAAgACgAbQB1AGwAdABpAHMAZQB0AHMAKQAuACAARQBhAGMAaAAgAHIAbwB3ACAAbwBmACAAdABoAGUAIAByAGUAcwB1AGwAdABcAG4AIAAgACAAIAByAGUAcAByAGUAcwBlAG4AdABzACAAbwBuAGUAIABrABEgZQBsAGUAbQBlAG4AdAAgAG0AdQBsAHQAaQBzAGUAdAAgAGQAcgBhAHcAbgAgAGYAcgBvAG0AIAB0AGgAZQAgAGkAbgBwAHUAdAAgAGkAdABlAG0AcwAsACAAdwBoAGUAcgBlACAAbwByAGQAZQByAFwAbgAgACAAIAAgAGQAbwBlAHMAIABuAG8AdAAgAG0AYQB0AHQAZQByACAAYQBuAGQAIAByAGUAcABlAGEAdABlAGQAIABzAGUAbABlAGMAdABpAG8AbgBzACAAYQByAGUAIABhAGwAbABvAHcAZQBkAC4AXABuAFwAbgBQAGEAcgBhAG0AZQB0AGUAcgBzADoAXABuACAAIAAgACAAaQB0AGUAbQBzAFwAbgAgACAAIAAgACAAIAAgACAAUwBjAGEAbABhAHIALAAgADEARAAgAGEAcgByAGEAeQAsACAAbwByACAAMgBEACAAYQByAHIAYQB5ACAAbwBmACAAaQB0AGUAbQBzAC4AIABJAHQAZQBtAHMAIABtAGEAeQAgAGIAZQAgAG4AdQBtAGIAZQByAHMAIABvAHIAIAB0AGUAeAB0AC4AXABuAFwAbgAgACAAIAAgAGkAdABlAG0AcwBfAGMAaABvAHMAZQBuAFwAbgAgACAAIAAgACAAIAAgACAAUwBpAHoAZQAgAG8AZgAgAGUAYQBjAGgAIABjAG8AbQBiAGkAbgBhAHQAaQBvAG4AIAAoAGsAIABlIiAAMAApAC4AIABNAHUAcwB0ACAAYgBlACAAYQAgAHMAYwBhAGwAYQByAC4AXABuAFwAbgBOAG8AdABlAHMAOgBcAG4AIAAgACAAIAAiICAARQBxAHUAaQB2AGEAbABlAG4AdAAgAHQAbwAgAEUAbgB1AG0AZQByAGEAdABlALsDKABpAHQAZQBtAHMALAAgAGsALAAgADMAKQAuAFwAbgAtAC0ALQAtAC0ALQAtAC0ALQAtAC0ALQAtAC0ALQAtAC0ALQAtAC0ALQAtAC0ALQAtAC0ALQAtAC0ALQAtAC0ALQAtAC0ALQAtAC0ALQAtAC0ALQAtAC0ALQAtAC0ALQAtAC0ALQAtAC0ALQAtAC0ALQAtAC0ALQAtAC0ALQAtAC0ALQAtAC0ALQAtAC0ALQAtAC0ALQAtAC0ALQAqAC8AXABuAFwAbgBDAG8AbQBiAGkAbgBhAHQAaQBvAG4AcwBSALsDIAA9AFwAbgBMAEEATQBCAEQAQQAoAFwAbgAgACAAIAAgAGkAdABlAG0AcwAsAFwAbgAgACAAIAAgAGkAdABlAG0AcwBfAGMAaABvAHMAZQBuACwAXABuACAAIAAgACAARQBuAHUAbQBlAHIAYQB0AGUAuwMoAGkAdABlAG0AcwAsACAAaQB0AGUAbQBzAF8AYwBoAG8AcwBlAG4ALAAgADMAKQBcAG4AKQA7AFwAbgBcAG4AXABuAFwAbgAvACoAIABbAEMAQgAwADQAXQAgAC0ALQAtAC0ALQAtAC0ALQAtAC0ALQAtAC0ALQAtAC0ALQAtAC0ALQAtAC0ALQAtAC0ALQAtAC0ALQAtAC0ALQAtAC0ALQAtAC0ALQAtAC0ALQAtAC0ALQAtAC0ALQAtAC0ALQAtAC0ALQAtAC0ALQAtAC0ALQAtAC0ALQAtAC0ALQAtAC0ALQAtAC0ALQAtAC0AXABuAEYAdQBuAGMAdABpAG8AbgA6ACAAIAAgACAAIAAgACAAIABDAG8AbQBiAGkAbgBhAHQAaQBvAG4AcwC7A1wAbgBDAGEAdABlAGcAbwByAHkAOgAgACAAIAAgACAAIAAgACAAQwBvAG0AYgBpAG4AYQB0AG8AcgBpAGMAcwBcAG4AQQB1AHQAaABvAHIAOgAgACAAIAAgACAAIAAgACAAIAAgAFAAYQB0AHIAaQBjAGsAIABIAC4AXABuAFYAZQByAHMAaQBvAG4AOgAgACAAIAAgACAAIAAgACAAIAAxAC4AMQBcAG4ARABlAHAAZQBuAGQAZQBuAGMAaQBlAHMAOgAgACAAIAAgAEUAbgB1AG0AZQByAGEAdABlALsDXABuAFwAbgBEAGUAcwBjAHIAaQBwAHQAaQBvAG4AOgBcAG4AIAAgACAAIABHAGUAbgBlAHIAYQB0AGUAcwAgAGMAbwBtAGIAaQBuAGEAdABpAG8AbgBzACAAdwBpAHQAaABvAHUAdAAgAHIAZQBwAGwAYQBjAGUAbQBlAG4AdAAuACAARQBhAGMAaAAgAHIAbwB3ACAAbwBmACAAdABoAGUAIAByAGUAcwB1AGwAdAAgAHIAZQBwAHIAZQBzAGUAbgB0AHMAXABuACAAIAAgACAAbwBuAGUAIABrABEgZQBsAGUAbQBlAG4AdAAgAHMAdQBiAHMAZQB0ACAAZAByAGEAdwBuACAAZgByAG8AbQAgAHQAaABlACAAaQBuAHAAdQB0ACAAaQB0AGUAbQBzACwAIAB3AGgAZQByAGUAIABvAHIAZABlAHIAIABkAG8AZQBzACAAbgBvAHQAIABtAGEAdAB0AGUAcgBcAG4AIAAgACAAIABhAG4AZAAgAHIAZQBwAGUAYQB0AGUAZAAgAHMAZQBsAGUAYwB0AGkAbwBuAHMAIABhAHIAZQAgAG4AbwB0ACAAYQBsAGwAbwB3AGUAZAAuAFwAbgBcAG4AUABhAHIAYQBtAGUAdABlAHIAcwA6AFwAbgAgACAAIAAgAGkAdABlAG0AcwBcAG4AIAAgACAAIAAgACAAIAAgAFMAYwBhAGwAYQByACwAIAAxAEQAIABhAHIAcgBhAHkALAAgAG8AcgAgADIARAAgAGEAcgByAGEAeQAgAG8AZgAgAGkAdABlAG0AcwAuACAASQB0AGUAbQBzACAAbQBhAHkAIABiAGUAIABuAHUAbQBiAGUAcgBzACAAbwByACAAdABlAHgAdAAuAFwAbgBcAG4AIAAgACAAIABpAHQAZQBtAHMAXwBjAGgAbwBzAGUAbgBcAG4AIAAgACAAIAAgACAAIAAgAFMAaQB6AGUAIABvAGYAIABlAGEAYwBoACAAYwBvAG0AYgBpAG4AYQB0AGkAbwBuACAAKABrACAAZSIgADAAKQAuACAATQB1AHMAdAAgAGIAZQAgAGEAIABzAGMAYQBsAGEAcgAuAFwAbgBcAG4ATgBvAHQAZQBzADoAXABuACAAIAAgACAAIiAgAEUAcQB1AGkAdgBhAGwAZQBuAHQAIAB0AG8AIABFAG4AdQBtAGUAcgBhAHQAZQC7AygAaQB0AGUAbQBzACwAIABrACwAIAA0ACkALgBcAG4ALQAtAC0ALQAtAC0ALQAtAC0ALQAtAC0ALQAtAC0ALQAtAC0ALQAtAC0ALQAtAC0ALQAtAC0ALQAtAC0ALQAtAC0ALQAtAC0ALQAtAC0ALQAtAC0ALQAtAC0ALQAtAC0ALQAtAC0ALQAtAC0ALQAtAC0ALQAtAC0ALQAtAC0ALQAtAC0ALQAtAC0ALQAtAC0ALQAtAC0ALQAtAC0AKgAvAFwAbgBcAG4AQwBvAG0AYgBpAG4AYQB0AGkAbwBuAHMAuwMgAD0AXABuAEwAQQBNAEIARABBACgAXABuACAAIAAgACAAaQB0AGUAbQBzACwAXABuACAAIAAgACAAaQB0AGUAbQBzAF8AYwBoAG8AcwBlAG4ALABcAG4AIAAgACAAIABFAG4AdQBtAGUAcgBhAHQAZQC7AygAaQB0AGUAbQBzACwAIABpAHQAZQBtAHMAXwBjAGgAbwBzAGUAbgAsACAANAApAFwAbgApADsAXABuAFwAbgBcAG4AXABuAC8AKgAgAFsAQwBCADAANQBdACAALQAtAC0ALQAtAC0ALQAtAC0ALQAtAC0ALQAtAC0ALQAtAC0ALQAtAC0ALQAtAC0ALQAtAC0ALQAtAC0ALQAtAC0ALQAtAC0ALQAtAC0ALQAtAC0ALQAtAC0ALQAtAC0ALQAtAC0ALQAtAC0ALQAtAC0ALQAtAC0ALQAtAC0ALQAtAC0ALQAtAC0ALQAtAC0ALQBcAG4ARgB1AG4AYwB0AGkAbwBuADoAIAAgACAAIAAgACAAIAAgAEQAZQByAGEAbgBnAGUAbQBlAG4AdABzALsDXABuAEMAYQB0AGUAZwBvAHIAeQA6ACAAIAAgACAAIAAgACAAIABDAG8AbQBiAGkAbgBhAHQAbwByAGkAYwBzAFwAbgBBAHUAdABoAG8AcgA6ACAAIAAgACAAIAAgACAAIAAgACAAUABhAHQAcgBpAGMAawAgAEgALgBcAG4AVgBlAHIAcwBpAG8AbgA6ACAAIAAgACAAIAAgACAAIAAgADEALgAxAFwAbgBEAGUAcABlAG4AZABlAG4AYwBpAGUAcwA6ACAAIAAgACAARQBuAHUAbQBlAHIAYQB0AGUAuwNcAG4AXABuAEQAZQBzAGMAcgBpAHAAdABpAG8AbgA6AFwAbgAgACAAIAAgAEcAZQBuAGUAcgBhAHQAZQBzACAAZABlAHIAYQBuAGcAZQBtAGUAbgB0AHMAIABvAGYAIABsAGUAbgBnAHQAaAAgAGsALgAgAEEAIABkAGUAcgBhAG4AZwBlAG0AZQBuAHQAIABpAHMAIABhACAAcABlAHIAbQB1AHQAYQB0AGkAbwBuACAAaQBuACAAdwBoAGkAYwBoAFwAbgAgACAAIAAgAG4AbwAgAGUAbABlAG0AZQBuAHQAIABhAHAAcABlAGEAcgBzACAAaQBuACAAaQB0AHMAIABvAHIAaQBnAGkAbgBhAGwAIABwAG8AcwBpAHQAaQBvAG4ALgAgAEUAYQBjAGgAIAByAG8AdwAgAG8AZgAgAHQAaABlACAAcgBlAHMAdQBsAHQAXABuACAAIAAgACAAcgBlAHAAcgBlAHMAZQBuAHQAcwAgAG8AbgBlACAAZABlAHIAYQBuAGcAZQBkACAAawARIHQAdQBwAGwAZQAgAGQAcgBhAHcAbgAgAGYAcgBvAG0AIAB0AGgAZQAgAGkAbgBwAHUAdAAgAGkAdABlAG0AcwAuAFwAbgBcAG4AUABhAHIAYQBtAGUAdABlAHIAcwA6AFwAbgAgACAAIAAgAGkAdABlAG0AcwBcAG4AIAAgACAAIAAgACAAIAAgAFMAYwBhAGwAYQByACwAIAAxAEQAIABhAHIAcgBhAHkALAAgAG8AcgAgADIARAAgAGEAcgByAGEAeQAgAG8AZgAgAGkAdABlAG0AcwAuACAASQB0AGUAbQBzACAAbQBhAHkAIABiAGUAIABuAHUAbQBiAGUAcgBzACAAbwByACAAdABlAHgAdAAuAFwAbgBcAG4AIAAgACAAIABpAHQAZQBtAHMAXwBjAGgAbwBzAGUAbgBcAG4AIAAgACAAIAAgACAAIAAgAEwAZQBuAGcAdABoACAAbwBmACAAZQBhAGMAaAAgAHQAdQBwAGwAZQAgACgAawAgAGUiIAAwACkALgAgAE0AdQBzAHQAIABiAGUAIABhACAAcwBjAGEAbABhAHIALgBcAG4AXABuAE4AbwB0AGUAcwA6AFwAbgAgACAAIAAgACIgIABFAHEAdQBpAHYAYQBsAGUAbgB0ACAAdABvACAARQBuAHUAbQBlAHIAYQB0AGUAuwMoAGkAdABlAG0AcwAsACAAawAsACAANQApAC4AXABuAC0ALQAtAC0ALQAtAC0ALQAtAC0ALQAtAC0ALQAtAC0ALQAtAC0ALQAtAC0ALQAtAC0ALQAtAC0ALQAtAC0ALQAtAC0ALQAtAC0ALQAtAC0ALQAtAC0ALQAtAC0ALQAtAC0ALQAtAC0ALQAtAC0ALQAtAC0ALQAtAC0ALQAtAC0ALQAtAC0ALQAtAC0ALQAtAC0ALQAtAC0ALQAtACoALwBcAG4AXABuAEQAZQByAGEAbgBnAGUAbQBlAG4AdABzALsDIAA9AFwAbgBMAEEATQBCAEQAQQAoAFwAbgAgACAAIAAgAGkAdABlAG0AcwAsAFwAbgAgACAAIAAgAGkAdABlAG0AcwBfAGMAaABvAHMAZQBuACwAXABuACAAIAAgACAARQBuAHUAbQBlAHIAYQB0AGUAuwMoAGkAdABlAG0AcwAsACAAaQB0AGUAbQBzAF8AYwBoAG8AcwBlAG4ALAAgADUAKQBcAG4AKQA7AFwAbgBcAG4AXABuAFwAbgAvACoAIABbAEMAQgAwADYAXQAgAC0ALQAtAC0ALQAtAC0ALQAtAC0ALQAtAC0ALQAtAC0ALQAtAC0ALQAtAC0ALQAtAC0ALQAtAC0ALQAtAC0ALQAtAC0ALQAtAC0ALQAtAC0ALQAtAC0ALQAtAC0ALQAtAC0ALQAtAC0ALQAtAC0ALQAtAC0ALQAtAC0ALQAtAC0ALQAtAC0ALQAtAC0ALQAtAC0AXABuAEYAdQBuAGMAdABpAG8AbgA6ACAAIAAgACAAIAAgACAAIABLAG4AYQBwAFMAYQBjAGsAuwNcAG4AQwBhAHQAZQBnAG8AcgB5ADoAIAAgACAAIAAgACAAIAAgAEMAbwBtAGIAaQBuAGEAdABvAHIAaQBjAHMAXABuAEEAdQB0AGgAbwByADoAIAAgACAAIAAgACAAIAAgACAAIABQAGEAdAByAGkAYwBrACAASAAuAFwAbgBWAGUAcgBzAGkAbwBuADoAIAAgACAAIAAgACAAIAAgACAAMQAuADEAXABuAEQAZQBwAGUAbgBkAGUAbgBjAGkAZQBzADoAIAAgACAAIABEAGUAYwAyAEIAaQBuALsDXABuAFwAbgBEAGUAcwBjAHIAaQBwAHQAaQBvAG4AOgBcAG4AIAAgACAAIABTAG8AbAB2AGUAcwAgAHQAaABlACAAMAARIDEAIABrAG4AYQBwAHMAYQBjAGsAIABwAHIAbwBiAGwAZQBtACAAYgB5ACAAZQBuAHUAbQBlAHIAYQB0AGkAbgBnACAAYQBsAGwAIABzAHUAYgBzAGUAdABzACAAbwBmACAAaQB0AGUAbQBzACAAYQBuAGQAXABuACAAIAAgACAAcwBlAGwAZQBjAHQAaQBuAGcAIAB0AGgAZQAgAGYAZQBhAHMAaQBiAGwAZQAgAHAAYQBjAGsAKABzACkAIAB3AGkAdABoACAAbQBhAHgAaQBtAHUAbQAgAHQAbwB0AGEAbAAgAHYAYQBsAHUAZQAuACAAVQBzAGUAcwAgAGEAIABiAHIAdQB0AGUAESBmAG8AcgBjAGUALABcAG4AIAAgACAAIAB2AGUAYwB0AG8AcgBpAHoAZQBkACAAYgBpAHQAESBtAGEAcwBrACAAZwBlAG4AZQByAGEAdABvAHIAIABhAG4AZAAgAHMAdQBwAHAAbwByAHQAcwAgAGIAbwB0AGgAIABuAHUAbQBlAHIAaQBjACAAYQBuAGQAIAB0AGUAeAB0ACAAaQB0AGUAbQAgAGwAYQBiAGUAbABzAC4AXABuAFwAbgBQAGEAcgBhAG0AZQB0AGUAcgBzADoAXABuACAAIAAgACAAaQB0AGUAbQBzAFwAbgAgACAAIAAgACAAIAAgACAAQQByAHIAYQB5ACAAbwBmACAAaQB0AGUAbQAgAGwAYQBiAGUAbABzACAAKABuAHUAbQBiAGUAcgBzACAAbwByACAAdABlAHgAdAApAC4AXABuAFwAbgAgACAAIAAgAHYAYQBsAHUAZQBfAG8AZgBfAGkAdABlAG0AcwBcAG4AIAAgACAAIAAgACAAIAAgAEEAcgByAGEAeQAgAG8AZgAgAG4AdQBtAGUAcgBpAGMAIAB2AGEAbAB1AGUAcwAgAGMAbwByAHIAZQBzAHAAbwBuAGQAaQBuAGcAIAB0AG8AIABlAGEAYwBoACAAaQB0AGUAbQAuAFwAbgBcAG4AIAAgACAAIAB3AGUAaQBnAGgAdABzAFwAbgAgACAAIAAgACAAIAAgACAAQQByAHIAYQB5ACAAbwBmACAAbgB1AG0AZQByAGkAYwAgAHcAZQBpAGcAaAB0AHMAIABjAG8AcgByAGUAcwBwAG8AbgBkAGkAbgBnACAAdABvACAAZQBhAGMAaAAgAGkAdABlAG0ALgBcAG4AXABuACAAIAAgACAAYwBhAHAAYQBjAGkAdAB5AFwAbgAgACAAIAAgACAAIAAgACAAUwBjAGEAbABhAHIAIABuAHUAbQBlAHIAaQBjACAAdwBlAGkAZwBoAHQAIABsAGkAbQBpAHQALgBcAG4AXABuAE4AbwB0AGUAcwA6AFwAbgAgACAAIAAgACIgIABpAHQAZQBtAHMALAAgAHYAYQBsAHUAZQBfAG8AZgBfAGkAdABlAG0AcwAsACAAYQBuAGQAIAB3AGUAaQBnAGgAdABzACAAYQByAGUAIABmAGwAYQB0AHQAZQBuAGUAZAAgAHcAaQB0AGgAIABUAE8AUgBPAFcALgBcAG4AIAAgACAAIAAiICAAYwBhAHAAYQBjAGkAdAB5ACAAaQBzACAAbgBvAHIAbQBhAGwAaQB6AGUAZAAgAHQAbwAgAGEAIABzAGMAYQBsAGEAcgAgAHcAaQB0AGgAIABJAE4ARABFAFgAKABjAGEAcABhAGMAaQB0AHkALAAxACwAMQApAC4AXABuACAAIAAgACAAIiAgAE0AYQB4AGkAbQB1AG0AIABpAHQAZQBtACAAYwBvAHUAbgB0ACAAaQBzACAAYwBhAHAAcABlAGQAIABhAHQAIAAyADAAIAB0AG8AIABhAHYAbwBpAGQAIABjAG8AbQBiAGkAbgBhAHQAbwByAGkAYQBsACAAZQB4AHAAbABvAHMAaQBvAG4ALgBcAG4ALQAtAC0ALQAtAC0ALQAtAC0ALQAtAC0ALQAtAC0ALQAtAC0ALQAtAC0ALQAtAC0ALQAtAC0ALQAtAC0ALQAtAC0ALQAtAC0ALQAtAC0ALQAtAC0ALQAtAC0ALQAtAC0ALQAtAC0ALQAtAC0ALQAtAC0ALQAtAC0ALQAtAC0ALQAtAC0ALQAtAC0ALQAtAC0ALQAtAC0ALQAtAC0AKgAvAFwAbgBcAG4ASwBuAGEAcABTAGEAYwBrALsDIAA9AFwAbgBMAEEATQBCAEQAQQAoAFwAbgAgACAAIAAgAGkAdABlAG0AcwAsAFwAbgAgACAAIAAgAHYAYQBsAHUAZQBfAG8AZgBfAGkAdABlAG0AcwAsAFwAbgAgACAAIAAgAHcAZQBpAGcAaAB0AHMALABcAG4AIAAgACAAIABjAGEAcABhAGMAaQB0AHkALABcAG4AXABuAEwARQBUACgAXABuACAAIAAgACAALwAvACAASABhAGwAdABpAG4AZwAgAHMAYwBlAG4AYQByAGkAbwBzAFwAbgAgACAAIAAgAFQAbwBvAE0AYQBuAHkASQB0AGUAbQBzAD8ALAAgACAAIABSAE8AVwBTACgAaQB0AGUAbQBzACkAIAAqACAAQwBPAEwAVQBNAE4AUwAoAGkAdABlAG0AcwApACAAPgAgADIAMAAsAFwAbgAgACAAIAAgAFQAZQB4AHQASQB0AGUAbQBWAGEAbAA/ACwAIAAgACAAIABPAFIAKABJAFMAVABFAFgAVAAoAHYAYQBsAHUAZQBfAG8AZgBfAGkAdABlAG0AcwApACkALABcAG4AIAAgACAAIABUAGUAeAB0AFcAZQBpAGcAaAB0AHMAPwAsACAAIAAgACAATwBSACgASQBTAFQARQBYAFQAKAB3AGUAaQBnAGgAdABzACkAKQAsAFwAbgAgACAAIAAgAFQAZQB4AHQAQwBhAHAAYQBjAGkAdAB5AD8ALAAgACAAIABPAFIAKABJAFMAVABFAFgAVAAoAGMAYQBwAGEAYwBpAHQAeQApACkALABcAG4AIAAgACAAIABTAGgAYQBwAGUATQBpAHMATQBhAHQAYwBoAD8ALAAgACAATwBSACgAQwBPAFUATgBUAEEAKABpAHQAZQBtAHMAKQAgADwAPgAgAEMATwBVAE4AVABBACgAdgBhAGwAdQBlAF8AbwBmAF8AaQB0AGUAbQBzACkALABcAG4AIAAgACAAIAAgACAAIAAgACAAIAAgACAAIAAgACAAIAAgACAAIAAgACAAIAAgACAAQwBPAFUATgBUAEEAKABpAHQAZQBtAHMAKQAgADwAPgAgAEMATwBVAE4AVABBACgAdwBlAGkAZwBoAHQAcwApACkALABcAG4AXABuACAAIAAgACAAcwBjAGUAbgBhAHIAaQBvAHMALAAgACAAIAAgACAAIAAgAFYAUwBUAEEAQwBLACgAVABlAHgAdABJAHQAZQBtAFYAYQBsAD8ALABUAGUAeAB0AFcAZQBpAGcAaAB0AHMAPwAsAFQAZQB4AHQAQwBhAHAAYQBjAGkAdAB5AD8ALABTAGgAYQBwAGUATQBpAHMATQBhAHQAYwBoAD8AKQAsAFwAbgBcAG4AIAAgACAAIABlAHgAaQB0ACwAIAAgACAAIAAgACAAIAAgACAAIAAgACAATwBSACgAcwBjAGUAbgBhAHIAaQBvAHMAKQAsAFwAbgAgACAAIAAgAGUAcgByAG8AcgBzACwAIAAgACAAIAAgACAAIAAgACAAIAB7AFwAIgAjAFYAQQBMAFUARQAtAEkAVABFAE0AIQBcACIAOwBcACIAIwBWAEEATABVAEUALQBXAEUASQBHAEgAVABTACEAXAAiADsAXAAiACMAVgBBAEwAVQBFAC0AQwBBAFAAQQBDAEkAVABZACEAXAAiADsAXAAiACMASQBOAFAAVQBUAC0ATQBJAFMATQBBAFQAQwBIACEAXAAiAH0ALABcAG4AXABuACAAIAAgACAAYQBsAGUAcgB0ACwAIAAgACAAIAAgACAAIAAgACAAIAAgAEEAUgBSAEEAWQBUAE8AVABFAFgAVAAoAEYASQBMAFQARQBSACgAZQByAHIAbwByAHMALAAgAHMAYwBlAG4AYQByAGkAbwBzACkAKQAsAFwAbgBcAG4ASQBGACgAVABvAG8ATQBhAG4AeQBJAHQAZQBtAHMAPwAsAFwAIgAjAFQATwBPAC0ATQBBAE4AWQAtAEkAVABFAE0AUwAhAFwAIgAsAFwAbgBcAG4AIAAgACAAIABJAEYAKABlAHgAaQB0ACwAYQBsAGUAcgB0ACwAXABuAFwAbgBMAEUAVAAoAFwAbgAgACAAIAAgAC8ALwAgAEYAbABhAHQAdABlAG4AIABpAG4AcAB1AHQAcwBcAG4AIAAgACAAIABpAHQAZQBtAHMALAAgACAAIAAgACAAIAAgACAAIAAgAFQATwBSAE8AVwAoAGkAdABlAG0AcwApACwAXABuACAAIAAgACAAdgBhAGwAdQBlAF8AbwBmAF8AaQB0AGUAbQBzACwAIABUAE8AUgBPAFcAKAB2AGEAbAB1AGUAXwBvAGYAXwBpAHQAZQBtAHMAKQAsAFwAbgAgACAAIAAgAHcAZQBpAGcAaAB0AHMALAAgACAAIAAgACAAIAAgACAAVABPAFIATwBXACgAdwBlAGkAZwBoAHQAcwApACwAXABuACAAIAAgACAAYwBhAHAAYQBjAGkAdAB5ACwAIAAgACAAIAAgACAAIABJAE4ARABFAFgAKABjAGEAcABhAGMAaQB0AHkALAAgADEALAAgADEAKQAsAFwAbgBcAG4AIAAgACAAIAAvAC8AIABMAGEAYgBlAGwAcwBcAG4AIAAgACAAIABsAGEAYgBlAGwAcwAsACAAIAAgACAAIAAgACAAIAAgAHsAXAAiAEkAdABlAG0AcwBcACIAOwAgAFwAIgBWAGEAbAB1AGUAXAAiADsAIABcACIAVwBlAGkAZwBoAHQAXAAiADsAIABcACIAUABhAGMAawBcACIAfQAsAFwAbgBcAG4AIAAgACAAIAAvAC8AIABFAG4AdQBtAGUAcgBhAHQAaQBvAG4AXABuACAAIAAgACAAbgAsACAAIAAgACAAIAAgACAAIAAgACAAIAAgACAAIABDAE8AVQBOAFQAQQAoAGkAdABlAG0AcwApACwAXABuACAAIAAgACAAQwAsACAAIAAgACAAIAAgACAAIAAgACAAIAAgACAAIABTAEUAUQBVAEUATgBDAEUAKAAyACAAXgAgAG4AIAAtACAAMQApACwAXABuACAAIAAgACAAYgBpAG4ALAAgACAAIAAgACAAIAAgACAAIAAgACAAIABEAGUAYwAyAEIAaQBuALsDKABDACwAIAAxACkALABcAG4AXABuACAAIAAgACAALwAvACAAVwBlAGkAZwBoAHQAIABmAGUAYQBzAGkAYgBpAGwAaQB0AHkAXABuACAAIAAgACAAdwBfAGEAcgByACwAIAAgACAAIAAgACAAIAAgACAAIABiAGkAbgAgACoAIAB3AGUAaQBnAGgAdABzACwAXABuACAAIAAgACAAZgBlAGEAcwBpAGIAbABlAD8ALAAgACAAIAAgACAAIABCAFkAUgBPAFcAKAB3AF8AYQByAHIALAAgAFMAVQBNACkAIAA8AD0AIABjAGEAcABhAGMAaQB0AHkALABcAG4AXABuACAAIAAgACAALwAvACAAVgBhAGwAdQBlACAAYwBvAG0AcAB1AHQAYQB0AGkAbwBuAFwAbgAgACAAIAAgAHYAYQBsAF8AYQByAHIALAAgACAAIAAgACAAIAAgACAARgBJAEwAVABFAFIAKABiAGkAbgAgACoAIAB2AGEAbAB1AGUAXwBvAGYAXwBpAHQAZQBtAHMALAAgAGYAZQBhAHMAaQBiAGwAZQA/ACwAIAAwACkALABcAG4AIAAgACAAIAB0AG8AdABhAGwAcwAsACAAIAAgACAAIAAgACAAIAAgAEIAWQBSAE8AVwAoAHYAYQBsAF8AYQByAHIALAAgAFMAVQBNACkALABcAG4AXABuACAAIAAgACAALwAvACAAUwBlAGwAZQBjAHQAIABvAHAAdABpAG0AYQBsACAAcABhAGMAawAoAHMAKQBcAG4AIAAgACAAIABwAGEAYwBrACwAIAAgACAAIAAgACAAIAAgACAAIAAgAFMASQBHAE4AKABGAEkATABUAEUAUgAoAHYAYQBsAF8AYQByAHIALAAgAE0AQQBYACgAdABvAHQAYQBsAHMAKQAgAD0AIAB0AG8AdABhAGwAcwAsACAAMAApACkALABcAG4AXABuACAAIAAgACAALwAvACAARgBpAG4AYQBsACAAdABhAGIAbABlAFwAbgAgACAAIAAgAGYAaQBuAGEAbAAsACAAIAAgACAAIAAgACAAIAAgACAASQBGAE4AQQAoAEgAUwBUAEEAQwBLACgAbABhAGIAZQBsAHMALAAgAFYAUwBUAEEAQwBLACgAaQB0AGUAbQBzACwAIAB2AGEAbAB1AGUAXwBvAGYAXwBpAHQAZQBtAHMALAAgAHcAZQBpAGcAaAB0AHMALAAgAHAAYQBjAGsAKQApACwAXAAiAFwAIgApACwAXABuAFwAbgAgACAAIAAgAGYAaQBuAGEAbABcAG4AKQApACkAKQApADsAXABuAFwAbgBcAG4AXABuAC8AKgAgAFsAQwBCADAANwBdACAALQAtAC0ALQAtAC0ALQAtAC0ALQAtAC0ALQAtAC0ALQAtAC0ALQAtAC0ALQAtAC0ALQAtAC0ALQAtAC0ALQAtAC0ALQAtAC0ALQAtAC0ALQAtAC0ALQAtAC0ALQAtAC0ALQAtAC0ALQAtAC0ALQAtAC0ALQAtAC0ALQAtAC0ALQAtAC0ALQAtAC0ALQAtAC0ALQBcAG4ARgB1AG4AYwB0AGkAbwBuADoAIAAgACAAIAAgACAAIAAgAFMAdQBiAHMAZQB0AEcAZQBuALsDXABuAEMAYQB0AGUAZwBvAHIAeQA6ACAAIAAgACAAIAAgACAAIABDAG8AbQBiAGkAbgBhAHQAbwByAGkAYwBzAFwAbgBBAHUAdABoAG8AcgA6ACAAIAAgACAAIAAgACAAIAAgACAAUABhAHQAcgBpAGMAawAgAEgALgBcAG4AVgBlAHIAcwBpAG8AbgA6ACAAIAAgACAAIAAgACAAIAAgADEALgAxAFwAbgBEAGUAcABlAG4AZABlAG4AYwBpAGUAcwA6ACAAIAAgACAARABlAGMAMgBCAGkAbgC7A1wAbgBcAG4ARABlAHMAYwByAGkAcAB0AGkAbwBuADoAXABuACAAIAAgACAARwBlAG4AZQByAGEAdABlAHMAIABhAGwAbAAgAG4AbwBuABEgZQBtAHAAdAB5ACAAcwB1AGIAcwBlAHQAcwAgAG8AZgAgAGEAIABzAHUAcABwAGwAaQBlAGQAIABsAGkAcwB0ACAAdQBzAGkAbgBnACAAYgByAHUAdABlABEgZgBvAHIAYwBlAFwAbgAgACAAIAAgAGIAaQB0AG0AYQBzAGsAaQBuAGcALgAgAEUAYQBjAGgAIAByAG8AdwAgAG8AZgAgAHQAaABlACAAcgBlAHMAdQBsAHQAIAByAGUAcAByAGUAcwBlAG4AdABzACAAbwBuAGUAIABzAHUAYgBzAGUAdAAsACAAZQB4AHAAcgBlAHMAcwBlAGQAIABhAHMAIABhAFwAbgAgACAAIAAgAGMAbwBtAG0AYQARIHMAZQBwAGEAcgBhAHQAZQBkACAAcwB0AHIAaQBuAGcALgAgAFMAdQBwAHAAbwByAHQAcwAgAG4AdQBtAGIAZQByAHMAIABvAHIAIAB0AGUAeAB0ACAAaQB0AGUAbQBzAC4AXABuAFwAbgBQAGEAcgBhAG0AZQB0AGUAcgBzADoAXABuACAAIAAgACAAcwBlAHQAXABuACAAIAAgACAAIAAgACAAIABBAHIAcgBhAHkAIABvAGYAIABpAHQAZQBtAHMAIAAoAG4AdQBtAGIAZQByAHMAIABvAHIAIAB0AGUAeAB0ACkALgAgAEYAbABhAHQAdABlAG4AZQBkACAAdwBpAHQAaAAgAFQATwBSAE8AVwAuAFwAbgBcAG4ATgBvAHQAZQBzADoAXABuACAAIAAgACAAIiAgAE0AYQB4AGkAbQB1AG0AIABpAHQAZQBtACAAYwBvAHUAbgB0ACAAaQBzACAAYwBhAHAAcABlAGQAIABhAHQAIAAyADAALgBcAG4ALQAtAC0ALQAtAC0ALQAtAC0ALQAtAC0ALQAtAC0ALQAtAC0ALQAtAC0ALQAtAC0ALQAtAC0ALQAtAC0ALQAtAC0ALQAtAC0ALQAtAC0ALQAtAC0ALQAtAC0ALQAtAC0ALQAtAC0ALQAtAC0ALQAtAC0ALQAtAC0ALQAtAC0ALQAtAC0ALQAtAC0ALQAtAC0ALQAtAC0ALQAtAC0AKgAvAFwAbgBcAG4AUwB1AGIAcwBlAHQARwBlAG4AuwMgAD0AXABuAEwAQQBNAEIARABBACgAXABuACAAIAAgACAAcwBlAHQALABcAG4AXABuAEkARgAoAFIATwBXAFMAKABzAGUAdAApACAAKgAgAEMATwBMAFUATQBOAFMAKABzAGUAdAApACAAPgAgADIAMAAsAFwAIgAjAFQATwBPAC0ATQBBAE4AWQAtAEkAVABFAE0AUwAhAFwAIgAsAFwAbgBcAG4ATABFAFQAKABcAG4AIAAgACAAIAAvAC8AIABGAGwAYQB0AHQAZQBuACAAaQBuAHAAdQB0AFwAbgAgACAAIAAgAHMAZQB0ACwAIAAgACAAIABUAE8AUgBPAFcAKABzAGUAdAApACwAXABuAFwAbgAgACAAIAAgAC8ALwAgAFQAbwB0AGEAbAAgAGkAdABlAG0AcwBcAG4AIAAgACAAIABuACwAIAAgACAAIAAgACAAQwBPAFUATgBUAEEAKABzAGUAdAApACwAXABuAFwAbgAgACAAIAAgAC8ALwAgAEIAaQB0ACAAbQBhAHMAawBzACAAKABlAHgAYwBsAHUAZABlACAAMAApAFwAbgAgACAAIAAgAEMALAAgACAAIAAgACAAIABTAEUAUQBVAEUATgBDAEUAKAAyACAAXgAgAG4AIAAtACAAMQApACwAXABuACAAIAAgACAAYgBpAG4ALAAgACAAIAAgAEQAZQBjADIAQgBpAG4AuwMoAEMALAAgADEAKQAsAFwAbgBcAG4AIAAgACAAIAAvAC8AIABBAHAAcABsAHkAIABtAGEAcwBrAFwAbgAgACAAIAAgAG0AYQBzAGsAZQBkACwAIABJAEYAKABiAGkAbgAsACAAcwBlAHQALAAgAFwAIgBcACIAKQAsAFwAbgBcAG4AIAAgACAAIAAvAC8AIABDAG8AbgB2AGUAcgB0ACAAZQBhAGMAaAAgAG0AYQBzAGsAZQBkACAAcgBvAHcAIABpAG4AdABvACAAYQAgAGMAbwBtAHAAYQBjAHQAIABzAHUAYgBzAGUAdAAgAHMAdAByAGkAbgBnAFwAbgAgACAAIAAgAGYAaQBuAGEAbAAsACAAIABCAFkAUgBPAFcAKABtAGEAcwBrAGUAZAAsACAATABBAE0AQgBEAEEAKAB2ACwAIABUAEUAWABUAEoATwBJAE4AKABcACIALAAgAFwAIgAsACAAMQAsACAAdgApACkAKQAsAFwAbgBcAG4AIAAgACAAIABmAGkAbgBhAGwAXABuACkAKQApADsAXABuAFwAbgBcAG4AXABuAC8AKgAgAFsAQwBCADAAOABdACAALQAtAC0ALQAtAC0ALQAtAC0ALQAtAC0ALQAtAC0ALQAtAC0ALQAtAC0ALQAtAC0ALQAtAC0ALQAtAC0ALQAtAC0ALQAtAC0ALQAtAC0ALQAtAC0ALQAtAC0ALQAtAC0ALQAtAC0ALQAtAC0ALQAtAC0ALQAtAC0ALQAtAC0ALQAtAC0ALQAtAC0ALQAtAC0ALQBcAG4ARgB1AG4AYwB0AGkAbwBuADoAIAAgACAAIAAgACAAIAAgAFMAdQBiAHMAZQB0AFMAdQBtALsDXABuAEMAYQB0AGUAZwBvAHIAeQA6ACAAIAAgACAAIAAgACAAIABDAG8AbQBiAGkAbgBhAHQAbwByAGkAYwBzAFwAbgBBAHUAdABoAG8AcgA6ACAAIAAgACAAIAAgACAAIAAgACAAUABhAHQAcgBpAGMAawAgAEgALgBcAG4AVgBlAHIAcwBpAG8AbgA6ACAAIAAgACAAIAAgACAAIAAgADEALgAxAFwAbgBEAGUAcABlAG4AZABlAG4AYwBpAGUAcwA6ACAAIAAgACAARABlAGMAMgBCAGkAbgC7A1wAbgBcAG4ARABlAHMAYwByAGkAcAB0AGkAbwBuADoAXABuACAAIAAgACAAUgBlAHQAdQByAG4AcwAgAGEAbABsACAAcwB1AGIAcwBlAHQAcwAgAG8AZgAgAGEAIABuAHUAbQBlAHIAaQBjACAAcwBlAHQAIAB3AGgAbwBzAGUAIABlAGwAZQBtAGUAbgB0AHMAIABzAHUAbQAgAGUAeABhAGMAdABsAHkAIAB0AG8AIABhACAAdABhAHIAZwBlAHQALgBcAG4AIAAgACAAIABVAHMAZQBzACAAYgByAHUAdABlABEgZgBvAHIAYwBlACAAYgBpAHQAbQBhAHMAawBpAG4AZwAgACgAbgAgAGQiIAAyADAAKQAuACAARQBhAGMAaAAgAHMAdQBiAHMAZQB0ACAAaQBzACAAcgBlAHQAdQByAG4AZQBkACAAYQBzACAAYQAgAGMAbwBtAHAAYQBjAHQAXABuACAAIAAgACAAYwBvAG0AbQBhABEgcwBlAHAAYQByAGEAdABlAGQAIABzAHQAcgBpAG4AZwAuAFwAbgBcAG4AUABhAHIAYQBtAGUAdABlAHIAcwA6AFwAbgAgACAAIAAgAHMAZQB0AFwAbgAgACAAIAAgACAAIAAgACAAQQByAHIAYQB5ACAAbwBmACAAbgB1AG0AZQByAGkAYwAgAGkAdABlAG0AcwAuACAARgBsAGEAdAB0AGUAbgBlAGQAIAB3AGkAdABoACAAVABPAFIATwBXAC4AIABUAGUAeAB0ACAAaQBzACAAbgBvAHQAIABhAGwAbABvAHcAZQBkAC4AXABuAFwAbgAgACAAIAAgAHQAYQByAGcAZQB0AFwAbgAgACAAIAAgACAAIAAgACAAUwBjAGEAbABhAHIAIABuAHUAbQBlAHIAaQBjACAAdABhAHIAZwBlAHQAIABzAHUAbQAuAFwAbgBcAG4ATgBvAHQAZQBzADoAXABuACAAIAAgACAAIiAgAEUAbQBwAHQAeQAgAHMAdQBiAHMAZQB0ACAAaQBzACAAZQB4AGMAbAB1AGQAZQBkACAAYgB5ACAAYwBvAG4AcwB0AHIAdQBjAHQAaQBvAG4AIAAoAGIAaQB0AG0AYQBzAGsAIAAwACAAbwBtAGkAdAB0AGUAZAApAC4AXABuACAAIAAgACAAIiAgAFIAZQB0AHUAcgBuAHMAIABcACIAIwBOAE8ALQBTAE8ATABVAFQASQBPAE4AIQBcACIAIABpAGYAIABuAG8AIABzAHUAYgBzAGUAdABzACAAbQBhAHQAYwBoACAAdABoAGUAIAB0AGEAcgBnAGUAdAAuAFwAbgAtAC0ALQAtAC0ALQAtAC0ALQAtAC0ALQAtAC0ALQAtAC0ALQAtAC0ALQAtAC0ALQAtAC0ALQAtAC0ALQAtAC0ALQAtAC0ALQAtAC0ALQAtAC0ALQAtAC0ALQAtAC0ALQAtAC0ALQAtAC0ALQAtAC0ALQAtAC0ALQAtAC0ALQAtAC0ALQAtAC0ALQAtAC0ALQAtAC0ALQAtAC0ALQAqAC8AXABuAFwAbgBTAHUAYgBzAGUAdABTAHUAbQC7AyAAPQBcAG4ATABBAE0AQgBEAEEAKABcAG4AIAAgACAAIABzAGUAdAAsAFwAbgAgACAAIAAgAHQAYQByAGcAZQB0ACwAXABuAFwAbgBMAEUAVAAoAFwAbgAgACAAIAAgAC8ALwAgAE4AbwByAG0AYQBsAGkAegBlACAAcwBjAGEAbABhAHIAXABuACAAIAAgACAAdABhAHIAZwBlAHQALAAgAEkATgBEAEUAWAAoAHQAYQByAGcAZQB0ACwAIAAxACwAIAAxACkALABcAG4AXABuACAAIAAgACAALwAvACAASABhAGwAdABpAG4AZwAgAHMAYwBlAG4AYQByAGkAbwBzAFwAbgAgACAAIAAgAFQAbwBvAE0AYQBuAHkASQB0AGUAbQBzAD8ALAAgAFIATwBXAFMAKABzAGUAdAApACAAKgAgAEMATwBMAFUATQBOAFMAKABzAGUAdAApACAAPgAgADIAMAAsAFwAbgAgACAAIAAgAFQAZQB4AHQAUwBlAHQAPwAsACAAIAAgACAAIAAgAE8AUgAoAEkAUwBFAFIAUgBPAFIAKAAtAC0AcwBlAHQAKQApACwAXABuACAAIAAgACAAVABlAHgAdABUAGEAcgBnAGUAdAA/ACwAIAAgACAASQBTAEUAUgBSAE8AUgAoAC0ALQB0AGEAcgBnAGUAdAApACwAXABuAFwAbgBJAEYAKABUAG8AbwBNAGEAbgB5AEkAdABlAG0AcwA/ACwAIABcACIAIwBUAE8ATwAtAE0AQQBOAFkALQBJAFQARQBNAFMAIQBcACIALABcAG4AXABuACAAIAAgACAASQBGACgAVABlAHgAdABTAGUAdAA/ACwAIABcACIAIwBUAEUAWABUAC0AUwBFAFQAIQBcACIALABcAG4AXABuACAAIAAgACAAIAAgACAAIABJAEYAKABUAGUAeAB0AFQAYQByAGcAZQB0AD8ALAAgAFwAIgAjAFQARQBYAFQALQBUAEEAUgBHAEUAVAAhAFwAIgAsAFwAbgBcAG4ATABFAFQAKABcAG4AIAAgACAAIAAvAC8AIABGAGwAYQB0AHQAZQBuACAAaQBuAHAAdQB0AFwAbgAgACAAIAAgAHMAZQB0ACwAIAAgACAAIAAgACAAVABPAFIATwBXACgALQAtAHMAZQB0ACkALABcAG4AXABuACAAIAAgACAALwAvACAAVABvAHQAYQBsACAAaQB0AGUAbQBzAFwAbgAgACAAIAAgAG4ALAAgACAAIAAgACAAIAAgACAAQwBPAFUATgBUAEEAKABzAGUAdAApACwAXABuAFwAbgAgACAAIAAgAC8ALwAgAEIAaQB0ACAAbQBhAHMAawBzACAAKABlAHgAYwBsAHUAZABlACAAMAApAFwAbgAgACAAIAAgAEMALAAgACAAIAAgACAAIAAgACAAUwBFAFEAVQBFAE4AQwBFACgAMgAgAF4AIABuACAALQAgADEAKQAsAFwAbgAgACAAIAAgAGIAaQBuACwAIAAgACAAIAAgACAARABlAGMAMgBCAGkAbgC7AygAQwAsACAAMQApACwAXABuAFwAbgAgACAAIAAgAC8ALwAgAEEAcABwAGwAeQAgAG0AYQBzAGsAXABuACAAIAAgACAAdgBhAGwAXwBhAHIAcgAsACAAIABJAEYAKABiAGkAbgAsACAAcwBlAHQALAAgADAAKQAsAFwAbgBcAG4AIAAgACAAIAAvAC8AIABMAG8AYwBhAHQAZQAgAHQAYQByAGcAZQB0ACAAcwB1AG0AXABuACAAIAAgACAAYgBvAG8AbAAsACAAIAAgACAAIABCAFkAUgBPAFcAKAB2AGEAbABfAGEAcgByACwAIABTAFUATQApACAAPQAgAHQAYQByAGcAZQB0ACwAXABuACAAIAAgACAAZgBvAHUAbgBkACwAIAAgACAAIABGAEkATABUAEUAUgAoAHYAYQBsAF8AYQByAHIALAAgAGIAbwBvAGwALAAgADAAKQAsAFwAbgBcAG4AIAAgACAAIAAvAC8AIABDAG8AbgB2AGUAcgB0ACAAZQBhAGMAaAAgAHMAdQBiAHMAZQB0ACAAdABvACAAYQAgAGMAbwBtAHAAYQBjAHQAIABzAHQAcgBpAG4AZwBcAG4AIAAgACAAIABDAG8AbgBjAGkAcwBlALsDLAAgAEwAQQBNAEIARABBACgAdgAsACAAVABFAFgAVABKAE8ASQBOACgAXAAiACwAIABcACIALAAgADEALAAgAFQARQBYAFQAKAB2ACwAIABcACIAMAA7AC0AMAA7ADsAXAAiACkAKQApACwAXABuACAAIAAgACAAcgBlAHMAdQBsAHQALAAgACAAIABCAFkAUgBPAFcAKABmAG8AdQBuAGQALAAgAEMAbwBuAGMAaQBzAGUAuwMpACwAXABuAFwAbgAgACAAIAAgAC8ALwAgAEgAYQBuAGQAbABlACAAbgBvACAAbQBhAHQAYwBoAGUAcwBcAG4AIAAgACAAIABmAGkAbgBhAGwALAAgACAAIAAgAEkARgAoAFMAVQBNACgATABFAE4AKAByAGUAcwB1AGwAdAApACkAIAA9ACAAMAAsACAAXAAiACMATgBPAC0AUwBPAEwAVQBUAEkATwBOACEAXAAiACwAIAByAGUAcwB1AGwAdAApACwAXABuAFwAbgAgACAAIAAgAGYAaQBuAGEAbABcAG4AKQApACkAKQApACkAOwBcAG4AXABuAFwAbgBcAG4ALwAvACAAWwBHAEQAXQAgAC0ALQAtAC0ALQAtAC0ALQAtAC0ALQAtAC0ALQAtAC0ALQAtAC0ALQAtAC0ALQAtAC0ALQAtAC0ALQAtAC0ALQAtAC0ALQAtAC0ALQAtAC0ALQAtAC0ALQAtAC0ALQAtAC0ALQAtAC0ALQAtAC0ALQAtAC0ALQAtAC0ALQAtAC0ALQAtAC0ALQAtAC0ALQAtAC0ALQAtAC0ALQBcAG4ALwAvACAALQAtAC0AIwAjACAAMQAwACAAFCAgAEcAcgBpAGQAIABEAGkAYQBnAG4AbwBzAHQAaQBjAHMAXABuAC8ALwAgAC0ALQAtAC0ALQAtAC0ALQAtAC0ALQAtAC0ALQAtAC0ALQAtAC0ALQAtAC0ALQAtAC0ALQAtAC0ALQAtAC0ALQAtAC0ALQAtAC0ALQAtAC0ALQAtAC0ALQAtAC0ALQAtAC0ALQAtAC0ALQAtAC0ALQAtAC0ALQAtAC0ALQAtAC0ALQAtAC0ALQAtAC0ALQAtAC0ALQAtAC0ALQBcAG4AXABuAC8AKgBcAG4ARABlAHMAYwByAGkAcAB0AGkAbwBuADoAXABuACAAIAAgACAARwByAGkAZAAgAEQAaQBhAGcAbgBvAHMAdABpAGMAcwAgAGMAbwBuAHQAYQBpAG4AcwAgAGYAdQBuAGMAdABpAG8AbgBzACAAdwBoAG8AcwBlACAAcAB1AHIAcABvAHMAZQAgAGkAcwAgAHQAbwAgAGUAeABwAG8AcwBlACwAIABhAG4AbgBvAHQAYQB0AGUALABcAG4AIAAgACAAIABvAHIAIABlAHgAcABsAGEAaQBuACAAdABoAGUAIABpAG4AdABlAHIAbgBhAGwAIABzAHQAcgB1AGMAdAB1AHIAZQAgAG8AZgAgAGEAIABnAHIAaQBkAC4AIABEAGkAYQBnAG4AbwBzAHQAaQBjAHMAIABmAHUAbgBjAHQAaQBvAG4AcwAgAGEAcgBlAFwAbgAgACAAIAAgAHUAcwBlAGQAIABmAG8AcgAgAGQAZQBiAHUAZwBnAGkAbgBnACwAIABpAG4AdAByAG8AcwBwAGUAYwB0AGkAbwBuACwAIAB2AGkAcwB1AGEAbABpAHoAYQB0AGkAbwBuACwAIABhAG4AZAAgAHMAdAByAHUAYwB0AHUAcgBhAGwAIABhAG4AYQBsAHkAcwBpAHMALgBcAG4AXABuAEYAdQBuAGMAdABpAG8AbgBzADoAXABuACAAIAAgACAAIiAgAFIAZQB2AGUAYQBsALsDXABuACAAIAAgACAAIAAgACAAIABpAG4AcwBwAGUAYwB0AHMAIABhACAAbQBhAHQAcgBpAHgAIABvAGYAIABkAGEAdABhACAAYQBuAGQAIAByAGUAdAB1AHIAbgBzACAAZQBpAHQAaABlAHIAOgBcAG4AIAAgACAAIAAgACAAIAAgACAAIAAgACAAIiAgAEEAIAB0AG8AcAAtAGwAZQB2AGUAbAAgAHMAdQBtAG0AYQByAHkAIABvAGYAIABzAGUAbQBhAG4AdABpAGMAIABtAGUAdAByAGkAYwBzACAAKABOAHUAbQBiAGUAcgBzACwAIABUAGUAeAB0AHMALAAgAEUAcgByAG8AcgBzACwAIABlAHQAYwAuACkAXABuACAAIAAgACAAIAAgACAAIAAgACAAIAAgACIgIABBACAAdgBlAHIAYgBvAHMAZQAsACAAYwBlAGwAbAAtAGIAeQAtAGMAZQBsAGwAIABuAGEAcgByAGEAdABpAG8AbgAgAG8AZgAgAHQAYQBnAHMAIABwAGUAcgAgAGMAZQBsAGwAXABuACoALwBcAG4AXABuAFwAbgBcAG4ALwAqACAAWwBHAEQAMAAxAF0AIAAtAC0ALQAtAC0ALQAtAC0ALQAtAC0ALQAtAC0ALQAtAC0ALQAtAC0ALQAtAC0ALQAtAC0ALQAtAC0ALQAtAC0ALQAtAC0ALQAtAC0ALQAtAC0ALQAtAC0ALQAtAC0ALQAtAC0ALQAtAC0ALQAtAC0ALQAtAC0ALQAtAC0ALQAtAC0ALQAtAC0ALQAtAC0ALQAtAFwAbgBGAHUAbgBjAHQAaQBvAG4AOgAgACAAIAAgACAAIAAgACAAUgBlAHYAZQBhAGwAuwNcAG4AQwBhAHQAZQBnAG8AcgB5ADoAIAAgACAAIAAgACAAIAAgAEcAcgBpAGQAIABEAGkAYQBnAG4AbwBzAHQAaQBjAHMAXABuAEEAdQB0AGgAbwByADoAIAAgACAAIAAgACAAIAAgACAAIABQAGEAdAByAGkAYwBrACAASAAuAFwAbgBWAGUAcgBzAGkAbwBuADoAIAAgACAAIAAgACAAIAAgACAAMQAuADEAXABuAFwAbgBEAGUAcwBjAHIAaQBwAHQAaQBvAG4AOgBcAG4AIAAgACAAIABSAGUAdgBlAGEAbAC7AyAAaQBuAHMAcABlAGMAdABzACAAYQAgAG0AYQB0AHIAaQB4ACAAbwBmACAAZABhAHQAYQAgAGEAbgBkACAAcgBlAHQAdQByAG4AcwAgAGUAaQB0AGgAZQByADoAXABuACAAIAAgACAAIAAgACAAIAAiICAAQQAgAHQAbwBwAC0AbABlAHYAZQBsACAAcwB1AG0AbQBhAHIAeQAgAG8AZgAgAHMAZQBtAGEAbgB0AGkAYwAgAG0AZQB0AHIAaQBjAHMAIAAoAE4AdQBtAGIAZQByAHMALAAgAFQAZQB4AHQAcwAsACAARQByAHIAbwByAHMALAAgAGUAdABjAC4AKQBcAG4AIAAgACAAIAAgACAAIAAgACIgIABBACAAdgBlAHIAYgBvAHMAZQAsACAAYwBlAGwAbAAtAGIAeQAtAGMAZQBsAGwAIABuAGEAcgByAGEAdABpAG8AbgAgAG8AZgAgAHQAYQBnAHMAIABwAGUAcgAgAGMAZQBsAGwAXABuACAAIAAgACAAUwB1AHAAcABvAHIAdABzACAAbwBwAHQAaQBvAG4AYQBsACAAZABlAGwAaQBtAGkAdABlAHIAIABjAG8AbgB0AHIAbwBsACAAYQBuAGQAIABiAGwAYQBuAGsALQBhAHcAYQByAGUAIABvAHAAdABpAG0AaQB6AGEAdABpAG8AbgAuAFwAbgBcAG4AUABhAHIAYQBtAGUAdABlAHIAcwA6AFwAbgAgACAAIAAgAGQAYQB0AGEAXABuACAAIAAgACAAIAAgACAAIABEAGEAdABhACAAdABvACAAYgBlACAAaQBuAHMAcABlAGMAdABlAGQAIAAoAGEAbgB5ACAAcwBjAGEAbABhAHIALAAgAHYAZQBjAHQAbwByACwAIABvAHIAIAAyAEQAIABhAHIAcgBhAHkAKQAuAFwAbgBcAG4AIAAgACAAIABJAHMAVgBlAHIAYgBvAHMAZQA/ACAAIABbAG8AcAB0AGkAbwBuAGEAbABdAFwAbgAgACAAIAAgACAAIAAgACAASQBmACAAVABSAFUARQAsACAAcgBlAHQAdQByAG4AcwAgAGEAIABtAGEAdAByAGkAeAAgAG8AZgAgAG4AYQByAHIAYQB0AGEAYgBsAGUAIAB0AGEAZwBzACAAcABlAHIAIABjAGUAbABsAC4AXABuACAAIAAgACAAIAAgACAAIABJAGYAIABvAG0AaQB0AHQAZQBkACwAIAByAGUAdAB1AHIAbgBzACAAYQAgADkA1wAyACAAcwB1AG0AbQBhAHIAeQAgAHQAYQBiAGwAZQAuAFwAbgBcAG4AIAAgACAAIABkAGUAbABpAG0AaQB0AGUAcgAgACAAIABbAG8AcAB0AGkAbwBuAGEAbABdAFwAbgAgACAAIAAgACAAIAAgACAARABlAGwAaQBtAGkAdABlAHIAIAB1AHMAZQBkACAAaQBuACAAdgBlAHIAYgBvAHMAZQAgAG0AbwBkAGUALgAgAEQAZQBmAGEAdQBsAHQAcwAgAHQAbwAgAFwAIgAsACAAXAAiAC4AXABuAFwAbgAtAC0ALQAtAC0ALQAtAC0ALQAtAC0ALQAtAC0ALQAtAC0ALQAtAC0ALQAtAC0ALQAtAC0ALQAtAC0ALQAtAC0ALQAtAC0ALQAtAC0ALQAtAC0ALQAtAC0ALQAtAC0ALQAtAC0ALQAtAC0ALQAtAC0ALQAtAC0ALQAtAC0ALQAtAC0ALQAtAC0ALQAtAC0ALQAtAC0ALQAtAC0ALQAqAC8AXABuAFwAbgBSAGUAdgBlAGEAbAC7AyAAPQBcAG4ATABBAE0AQgBEAEEAKABcAG4AIAAgACAAIABkAGEAdABhACwAIAAgACAAIAAgACAAIAAgAFwAbgAgACAAIAAgAFsASQBzAFYAZQByAGIAbwBzAGUAPwBdACwAXABuACAAIAAgACAAWwBkAGUAbABpAG0AaQB0AGUAcgBdACwAXABuAFwAbgBMAEUAVAAoAFwAbgAgACAAIAAgAC8ALwAgAEQAaQBtAGUAbgBzAGkAbwBuAFwAbgAgACAAIAAgAHcAaQBkAHQAaAAsACAAIAAgACAAIAAgACAAIAAgACAAIAAgACAAIAAgACAAIAAgAEMATwBMAFUATQBOAFMAKABkAGEAdABhACkALABcAG4AXABuACAAIAAgACAALwAvACAAQwBlAGwAbAAgAG0AZQB0AHIAaQBjACAAbABhAGIAZQBsAHMAXABuACAAIAAgACAAbQBlAHQAcgBpAGMAcwAsACAAIAAgACAAIAAgACAAIAAgACAAIAAgACAAIAAgACAAewBcACIATgB1AG0AYgBlAHIAXAAiADsAXABuACAAIAAgACAAIAAgACAAIAAgACAAIAAgACAAIAAgACAAIAAgACAAIAAgACAAIAAgACAAIAAgACAAXAAiAFQAZQB4AHQAXAAiADsAXABuACAAIAAgACAAIAAgACAAIAAgACAAIAAgACAAIAAgACAAIAAgACAAIAAgACAAIAAgACAAIAAgACAAXAAiAE4AdQBtAGIAZQByAC0AcwB0AG8AcgBlAGQALQBhAHMALQB0AGUAeAB0AFwAIgA7AFwAbgAgACAAIAAgACAAIAAgACAAIAAgACAAIAAgACAAIAAgACAAIAAgACAAIAAgACAAIAAgACAAIAAgAFwAIgBFAHIAcgBvAHIAXAAiADsAXABuACAAIAAgACAAIAAgACAAIAAgACAAIAAgACAAIAAgACAAIAAgACAAIAAgACAAIAAgACAAIAAgACAAXAAiAEMAbwBuAHQAYQBpAG4AcwAgAHMAcABhAGMAZQBzAFwAIgA7AFwAbgAgACAAIAAgACAAIAAgACAAIAAgACAAIAAgACAAIAAgACAAIAAgACAAIAAgACAAIAAgACAAIAAgAFwAIgBDAG8AbgB0AGEAaQBuAHMAIABzAHAAZQBjAGkAYQBsACAAYwBoAGEAcgBhAGMAdABlAHIAcwBcACIAOwBcAG4AIAAgACAAIAAgACAAIAAgACAAIAAgACAAIAAgACAAIAAgACAAIAAgACAAIAAgACAAIAAgACAAIABcACIARgBvAHIAbQB1AGwAYQBcACIAOwBcAG4AIAAgACAAIAAgACAAIAAgACAAIAAgACAAIAAgACAAIAAgACAAIAAgACAAIAAgACAAIAAgACAAIABcACIAQgBsAGEAbgBrAFwAIgA7AFwAbgAgACAAIAAgACAAIAAgACAAIAAgACAAIAAgACAAIAAgACAAIAAgACAAIAAgACAAIAAgACAAIAAgAFwAIgBMAG8AZwBpAGMAYQBsAFwAIgB9ACwAXABuAFwAbgAgACAAIAAgAC8ALwAtAC0AIABMAG8AYwBhAGwAIABmAHUAbgBjAHQAaQBvAG4AcwAgAC0ALQBcAG4AXABuACAAIAAgACAALwAvACAARgBsAGEAdAB0AGUAbgAgAG0AYQB0AHIAaQBjAGUAcwAgAGEAbgBkACAAZQBuAHMAdQByAGUAIABiAGkAbgBhAHIAeQAgAGEAcgByAGEAeQAuAFwAbgAgACAAIAAgAEIAaQBuALsDLAAgACAAIAAgACAAIAAgACAAIAAgACAAIAAgACAAIAAgACAAIAAgAEwAQQBNAEIARABBACgAdgAsACAAVABPAEMATwBMACgASQBGAEUAUgBSAE8AUgAoAHYALAAgADAAKQApACkALABcAG4AXABuACAAIAAgACAALwAvACAAUgBlAG0AbwB2AGUAIABlAHIAcgBvAHIAcwAgAGYAcgBvAG0AIABzAGMAYQBsAGEAcgBzAC4AXABuACAAIAAgACAAUgBlAG0AbwB2AGUATgBBALsDLAAgACAAIAAgACAAIAAgACAAIAAgACAAIAAgACAATABBAE0AQgBEAEEAKAB2ACwAIABJAEYATgBBACgAdgAsACAAMAApACkALABcAG4AXABuACAAIAAgACAALwAvACAATwBwAHQAaQBvAG4AYQBsACAAZABlAGwAaQBtAGkAdABlAHIAIABmAG8AcgAgAHYAZQByAGIAbwBzAGUAIAByAGUAcABvAHIAdAAuAFwAbgAgACAAIAAgAGQAZQBsAGkAbQBpAHQAZQByACwAIAAgACAAIAAgACAAIAAgACAAIAAgACAAIAAgAEkARgAoAEkAUwBPAE0ASQBUAFQARQBEACgAZABlAGwAaQBtAGkAdABlAHIAKQAsACAAXAAiACwAIABcACIALAAgAGQAZQBsAGkAbQBpAHQAZQByACkALABcAG4AXABuACAAIAAgACAALwAvACAAVgBlAHIAYgBvAHMAZQAgAHIAZQBwAG8AcgB0ACAALQAgAHIAZQB0AHUAcgBuAHMAIABuAGEAcgByAGEAdABhAGIAbABlACAAdABhAGcAcwAgAGIAeQAgAGMAZQBsAGwALgAgAFQAZQByAG0AaQBuAGEAdABlAHMAIABlAGEAcgBsAHkAIABpAGYAIABiAGwAYQBuAGsALgBcAG4AIAAgACAAIABHAGUAdABEAGUAdABhAGkAbABzALsDLAAgACAAIAAgACAAIAAgACAAIAAgACAAIABMAEEATQBCAEQAQQAoAGEALAAgAGIALAAgAGMALAAgAGQALAAgAGUALAAgAGYALAAgAGcALAAgAGgALAAgAGkALABcAG4AIAAgACAAIAAgACAAIAAgACAAIAAgACAAIAAgACAAIAAgACAAIAAgACAAIAAgACAAIAAgACAAIABMAEUAVAAoAFwAbgAgACAAIAAgACAAIAAgACAAIAAgACAAIAAgACAAIAAgACAAIAAgACAAIAAgACAAIAAgACAAIAAgACAAIAAgACAAbQAsACAAIAAgACAAIAAgAFYAUwBUAEEAQwBLACgAYQAsACAAYgAsACAAYwAsACAAZAAsACAAUgBlAG0AbwB2AGUATgBBALsDKABlACkALAAgAFIAZQBtAG8AdgBlAE4AQQC7AygAZgApACwAIABnACwAIABoACwAIABpACkALABcAG4AIAAgACAAIAAgACAAIAAgACAAIAAgACAAIAAgACAAIAAgACAAIAAgACAAIAAgACAAIAAgACAAIAAgACAAIAAgAGQAZQB0AGEAaQBsACwAIABJAEYAKABoACwAIABcACIAQgBsAGEAbgBrAFwAIgAsACAAVABPAEMATwBMACgASQBGAFMAKABtACwAIABtAGUAdAByAGkAYwBzACkALAAgADIAKQApACwAXABuACAAIAAgACAAIAAgACAAIAAgACAAIAAgACAAIAAgACAAIAAgACAAIAAgACAAIAAgACAAIAAgACAAIAAgACAAIABqAG8AaQBuAGUAZAAsACAAVABFAFgAVABKAE8ASQBOACgAZABlAGwAaQBtAGkAdABlAHIALAAgADEALAAgAGQAZQB0AGEAaQBsACkALABcAG4AIAAgACAAIAAgACAAIAAgACAAIAAgACAAIAAgACAAIAAgACAAIAAgACAAIAAgACAAIAAgACAAIAAgACAAIAAgAGoAbwBpAG4AZQBkACkAKQAsAFwAbgBcAG4AIAAgACAAIAAvAC8AIABDAGUAbABsAHMAIAB3AGkAdABoADoAXABuACAAIAAgACAATgB1AG0AYgBlAHIAcwAsACAAIAAgACAAIAAgACAAIAAgACAAIAAgACAAIAAgAC0ALQBUAE8AQwBPAEwAKABJAFMATgBVAE0AQgBFAFIAKABkAGEAdABhACkAKQAsAFwAbgAgACAAIAAgAFQAZQB4AHQAcwAsACAAIAAgACAAIAAgACAAIAAgACAAIAAgACAAIAAgACAAIAAtAC0AVABPAEMATwBMACgASQBTAFQARQBYAFQAKABkAGEAdABhACkAKQAsAFwAbgAgACAAIAAgAE4AdQBtAGIAZQByAHMAXwBzAHQAbwByAGUAZABfAGEAcwBfAHQAZQB4AHQALAAgAFQATwBDAE8ATAAoAEkAUwBOAFUATQBCAEUAUgAoAEkARgBFAFIAUgBPAFIAKABkAGEAdABhACAAKwAgADAALAAgAFwAIgBcACIAKQApACAAKgAgAEkAUwBUAEUAWABUACgAZABhAHQAYQApACkALABcAG4AIAAgACAAIABDAGUAbABsAHMAXwB3AGkAdABoAF8AZQByAHIAbwByAHMALAAgACAAIAAgACAALQAtAFQATwBDAE8ATAAoAEkAUwBFAFIAUgBPAFIAKABkAGEAdABhACkAKQAsAFwAbgAgACAAIAAgAFMAcABhAGMAZQBzACwAIAAgACAAIAAgACAAIAAgACAAIAAgACAAIAAgACAAIAAtAC0AQgBpAG4AuwMoAEwARQBOACgAVABSAEkATQAoAGQAYQB0AGEAKQApACAAPAA+ACAATABFAE4AKABkAGEAdABhACkAKQAsAFwAbgBcAG4AIAAgACAAIAAvAC8AIABQAGEAdAB0AGUAcgBuACAAbQBhAHQAYwBoAGUAcwAgAGYAbwByACAAcwBwAGUAYwBpAGEAbAAgAGMAaABhAHIAYQBjAHQAZQByAHMAXABuACAAIAAgACAAcABhAHQAdABlAHIAbgAsACAAIAAgACAAIAAgACAAIAAgACAAIAAgACAAIAAgAFwAIgBbAF4AQQAtAFoAYQAtAHoAMAAtADkAIAAuAF0AfABbAFwAXAB4AHsAMAAwAEEAMAB9AFwAXAB4AHsAMgAwADAAQgB9AC0AXABcAHgAewAyADAAMABEAH0AXQB8AFsAXABcAHQAXABcAG4AXABcAHIAXQB8AFsAXABcAHgAewAxAEYANgAwADAAfQAtAFwAXAB4AHsAMQBGADYANABGAH0AXQBcACIALABcAG4AIAAgACAAIABTAHAAZQBjAGkAYQBsAF8AYwBoAGEAcgBhAGMAdABlAHIAcwAsACAAIAAgACAALQAtAEIAaQBuALsDKABSAEUARwBFAFgAVABFAFMAVAAoAGQAYQB0AGEALAAgAHAAYQB0AHQAZQByAG4AKQApACwAXABuAFwAbgAgACAAIAAgAEYAbwByAG0AdQBsAGEAcwAsACAAIAAgACAAIAAgACAAIAAgACAAIAAgACAAIAAtAC0AVABPAEMATwBMACgASQBTAEYATwBSAE0AVQBMAEEAKABkAGEAdABhACkAKQAsAFwAbgAgACAAIAAgAEIAbABhAG4AawBzACwAIAAgACAAIAAgACAAIAAgACAAIAAgACAAIAAgACAAIAAtAC0AVABPAEMATwBMACgASQBTAEIATABBAE4ASwAoAGQAYQB0AGEAKQApACwAXABuACAAIAAgACAATABvAGcAaQBjAGEAbAAsACAAIAAgACAAIAAgACAAIAAgACAAIAAgACAAIAAgAC0ALQBUAE8AQwBPAEwAKABJAFMATABPAEcASQBDAEEATAAoAGQAYQB0AGEAKQApACwAXABuAFwAbgAgACAAIAAgAC8ALwAgAE0AZQB0AHIAaQBjAHMAIABmAGwAYQB0AHQAZQBuAGUAZAAgAHIAbwB3AC0AdwBpAHMAZQAgAGEAbgBkACAAcwB0AGEAYwBrAGUAZAAgAGgAbwByAGkAegBvAG4AdABhAGwAbAB5AC4AXABuACAAIAAgACAAbQBlAHQAcgBpAGMAXwBzAHQAYQBjAGsALAAgACAAIAAgACAAIAAgACAAIAAgAEgAUwBUAEEAQwBLACgAXABuACAAIAAgACAAIAAgACAAIAAgACAAIAAgACAAIAAgACAAIAAgACAAIAAgACAAIAAgACAAIAAgACAAIAAgACAAIABOAHUAbQBiAGUAcgBzACwAXABuACAAIAAgACAAIAAgACAAIAAgACAAIAAgACAAIAAgACAAIAAgACAAIAAgACAAIAAgACAAIAAgACAAIAAgACAAIABUAGUAeAB0AHMALABcAG4AIAAgACAAIAAgACAAIAAgACAAIAAgACAAIAAgACAAIAAgACAAIAAgACAAIAAgACAAIAAgACAAIAAgACAAIAAgAE4AdQBtAGIAZQByAHMAXwBzAHQAbwByAGUAZABfAGEAcwBfAHQAZQB4AHQALABcAG4AIAAgACAAIAAgACAAIAAgACAAIAAgACAAIAAgACAAIAAgACAAIAAgACAAIAAgACAAIAAgACAAIAAgACAAIAAgAEMAZQBsAGwAcwBfAHcAaQB0AGgAXwBlAHIAcgBvAHIAcwAsAFwAbgAgACAAIAAgACAAIAAgACAAIAAgACAAIAAgACAAIAAgACAAIAAgACAAIAAgACAAIAAgACAAIAAgACAAIAAgACAAUwBwAGEAYwBlAHMALABcAG4AIAAgACAAIAAgACAAIAAgACAAIAAgACAAIAAgACAAIAAgACAAIAAgACAAIAAgACAAIAAgACAAIAAgACAAIAAgAFMAcABlAGMAaQBhAGwAXwBjAGgAYQByAGEAYwB0AGUAcgBzACwAXABuACAAIAAgACAAIAAgACAAIAAgACAAIAAgACAAIAAgACAAIAAgACAAIAAgACAAIAAgACAAIAAgACAAIAAgACAAIABGAG8AcgBtAHUAbABhAHMALABcAG4AIAAgACAAIAAgACAAIAAgACAAIAAgACAAIAAgACAAIAAgACAAIAAgACAAIAAgACAAIAAgACAAIAAgACAAIAAgAEIAbABhAG4AawBzACwAXABuACAAIAAgACAAIAAgACAAIAAgACAAIAAgACAAIAAgACAAIAAgACAAIAAgACAAIAAgACAAIAAgACAAIAAgACAAIABMAG8AZwBpAGMAYQBsACkALABcAG4AXABuACAAIAAgACAALwAvACAATQBlAHQAcgBpAGMAcwAgAHMAdQBtAG0AYQByAGkAegBlAGQAIABhAG4AZAAgAGMAbwBuAHYAZQByAHQAZQBkACAAdABvACAAdgBlAHIAdABpAGMAYQBsACAAYQByAHIAYQB5AC4AXABuACAAIAAgACAAdABvAHQAYQBsAHMALAAgACAAIAAgACAAIAAgACAAIAAgACAAIAAgACAAIAAgACAAVABPAEMATwBMACgAQgBZAEMATwBMACgAbQBlAHQAcgBpAGMAXwBzAHQAYQBjAGsALAAgAFMAVQBNACkAKQAsAFwAbgBcAG4AIAAgACAAIAAvAC8ALQAtACAAUgBlAHAAbwByAHQAaQBuAGcAIAAtAC0AXABuAFwAbgAgACAAIAAgAC8ALwAgAFQAbwBwAC0AbABlAHYAZQBsACAAOQDXADIAIABzAHUAbQBtAGEAcgB5ACAAbwBmACAAZABhAHQAYQAuAFwAbgAgACAAIAAgAFMAdQBtAG0AYQByAHkALAAgACAAIAAgACAAIAAgACAAIAAgACAAIAAgACAAIAAgAEwAQQBNAEIARABBACgAUwBPAFIAVAAoAEgAUwBUAEEAQwBLACgAbQBlAHQAcgBpAGMAcwAsACAAdABvAHQAYQBsAHMAKQAsACAAMgAsACAALQAxACkAKQAsAFwAbgBcAG4AIAAgACAAIAAvAC8AIABDAGUAbABsAC0AYgB5AC0AYwBlAGwAbAAgAHIAZQBwAG8AcgB0ACAAbwBmACAAZABhAHQAYQAuAFwAbgAgACAAIAAgAFYAZQByAGIAbwBzAGUALAAgACAAIAAgACAAIAAgACAAIAAgACAAIAAgACAAIAAgAFcAUgBBAFAAUgBPAFcAUwAoAFwAbgAgACAAIAAgACAAIAAgACAAIAAgACAAIAAgACAAIAAgACAAIAAgACAAIAAgACAAIAAgACAAIAAgACAAIAAgACAATQBBAFAAKABcAG4AIAAgACAAIAAgACAAIAAgACAAIAAgACAAIAAgACAAIAAgACAAIAAgACAAIAAgACAAIAAgACAAIAAgACAAIAAgACAAIAAgACAATgB1AG0AYgBlAHIAcwAsAFwAbgAgACAAIAAgACAAIAAgACAAIAAgACAAIAAgACAAIAAgACAAIAAgACAAIAAgACAAIAAgACAAIAAgACAAIAAgACAAIAAgACAAIABUAGUAeAB0AHMALABcAG4AIAAgACAAIAAgACAAIAAgACAAIAAgACAAIAAgACAAIAAgACAAIAAgACAAIAAgACAAIAAgACAAIAAgACAAIAAgACAAIAAgACAATgB1AG0AYgBlAHIAcwBfAHMAdABvAHIAZQBkAF8AYQBzAF8AdABlAHgAdAAsAFwAbgAgACAAIAAgACAAIAAgACAAIAAgACAAIAAgACAAIAAgACAAIAAgACAAIAAgACAAIAAgACAAIAAgACAAIAAgACAAIAAgACAAIABDAGUAbABsAHMAXwB3AGkAdABoAF8AZQByAHIAbwByAHMALABcAG4AIAAgACAAIAAgACAAIAAgACAAIAAgACAAIAAgACAAIAAgACAAIAAgACAAIAAgACAAIAAgACAAIAAgACAAIAAgACAAIAAgACAAUwBwAGEAYwBlAHMALABcAG4AIAAgACAAIAAgACAAIAAgACAAIAAgACAAIAAgACAAIAAgACAAIAAgACAAIAAgACAAIAAgACAAIAAgACAAIAAgACAAIAAgACAAUwBwAGUAYwBpAGEAbABfAGMAaABhAHIAYQBjAHQAZQByAHMALABcAG4AIAAgACAAIAAgACAAIAAgACAAIAAgACAAIAAgACAAIAAgACAAIAAgACAAIAAgACAAIAAgACAAIAAgACAAIAAgACAAIAAgACAARgBvAHIAbQB1AGwAYQBzACwAXABuACAAIAAgACAAIAAgACAAIAAgACAAIAAgACAAIAAgACAAIAAgACAAIAAgACAAIAAgACAAIAAgACAAIAAgACAAIAAgACAAIAAgAEIAbABhAG4AawBzACwAXABuACAAIAAgACAAIAAgACAAIAAgACAAIAAgACAAIAAgACAAIAAgACAAIAAgACAAIAAgACAAIAAgACAAIAAgACAAIAAgACAAIAAgAEwAbwBnAGkAYwBhAGwALABcAG4AIAAgACAAIAAgACAAIAAgACAAIAAgACAAIAAgACAAIAAgACAAIAAgACAAIAAgACAAIAAgACAAIAAgACAAIAAgACAAIAAgACAARwBlAHQARABlAHQAYQBpAGwAcwC7AykALABcAG4AIAAgACAAIAAgACAAIAAgACAAIAAgACAAIAAgACAAIAAgACAAIAAgACAAIAAgACAAIAAgACAAIAAgACAAIAAgAHcAaQBkAHQAaAApACwAXABuAFwAbgAgACAAIAAgAFIAZQBwAG8AcgB0ACwAIAAgACAAIAAgACAAIAAgACAAIAAgACAAIAAgACAAIAAgAEkARgAoAEkAUwBPAE0ASQBUAFQARQBEACgASQBzAFYAZQByAGIAbwBzAGUAPwApACwAIABTAHUAbQBtAGEAcgB5ACgAKQAsACAAVgBlAHIAYgBvAHMAZQApACwAXABuACAAIAAgACAAUgBlAHAAbwByAHQAXABuACkAKQA7AFwAbgBcAG4AXABuAFwAbgAvAC8AIAAtAC0ARQBuAGQAIABvAGYAIABCAGkAZwBTAHAAaQBsAGwAIABNAG8AZAB1AGwAZQAtAC0AIgB9AF0ALAAiAHAAcgBvAGoAZQBjAHQATgBhAG0AZQBzACIAOgBbACIARABHAHIAaQBkALsDIgAsACIAQwBHAHIAaQBkALsDIgAsACIATQBHAHIAaQBkALsDIgAsACIAVABHAHIAaQBkALsDIgAsACIAUABvAGwAYQByAEcAcgBpAGQAuwMiACwAIgBDAGkAcgBjAGwAZQC7AyIALAAiAEQAaQBhAG0AbwBuAGQAuwMiACwAIgBQAGwAdQBzALsDIgAsACIAUAB5AHIAYQBtAGkAZAC7AyIALAAiAFIAaQBuAGcAuwMiACwAIgBTAHEAdQBhAHIAZQC7AyIALAAiAFQAcgBpAGEAbgBnAGwAZQC7AyIALAAiAFIAZQBTAGgAYQBwAGUAMgBEALsDIgAsACIAUgBlAHMAaQB6AGUAuwMiACwAIgBTAGMAYQBuADIARAC7AyIALAAiAFQAcgBhAHYAZQByAHMAZQC7AyIALAAiAFQAYQBrAGUAQgBsAG8AYwBrALsDIgAsACIARABTAHQAYQBjAGsAuwMiACwAIgBXAHIAYQBwAFIAbwB3AHMAMgBEALsDIgAsACIAVwByAGEAcABDAG8AbABzADIARAC7AyIALAAiAFMAdABhAGkAcgBjAGEAcwBlALsDIgAsACIAVgBhAGwAaQBkAGEAdABlAFMAdABhAGkAcgBjAGEAcwBlALsDIgAsACIAVQBuAFAAaQB2AG8AdAC7AyIALAAiAFoAaQBwALsDIgAsACIAUwBsAGkAYwBlAEIAeQBEAGUAZwC7AyIALAAiAFAAYQBkALsDIgAsACIASQBuAHMAdQBsAGEAdABlAFIAbwB3AHMAuwMiACwAIgBJAG4AcwB1AGwAYQB0AGUAQwBvAGwAcwC7AyIALAAiAE0AYQBnAG4AaQBmAHkAuwMiACwAIgBaAG8AbwBtALsDIgAsACIARABlAGwAZQB0AGUAUgBvAHcAcwC7AyIALAAiAEQAZQBsAGUAdABlAEMAbwBsAHMAuwMiACwAIgBEAGUAbABlAHQAZQBXAGgAZQByAGUAuwMiACwAIgBQAGkAbgBjAGgAuwMiACwAIgBSAGUAbQBvAHYAZQC7AyIALAAiAFMAcQB1AGUAZQB6AGUAuwMiACwAIgBLAHIAbwBuAGUAYwBrAGUAcgBQAHIAbwBkALsDIgAsACIARQB4AGMAbAB1AGQAZQC7AyIALAAiAFMAbgBhAHAAuwMiACwAIgBTAGgAaQBmAHQAuwMiACwAIgBTAGgAaQBmAHQAUgBvAHcAcwC7AyIALAAiAFMAaABpAGYAdABDAG8AbABzALsDIgAsACIARQBtAGIAZQBkALsDIgAsACIASwBlAGUAcABSAG8AdwBzALsDIgAsACIASwBlAGUAcABDAG8AbABzALsDIgAsACIAQgBsAG8AYwBrAE0AYQBwALsDIgAsACIAVgBhAGwAaQBkAGEAdABlAEIAbABvAGMAawBNAGEAcAC7AyIALAAiAEMAbwBuAHYAbwBsAHYAZQC7AyIALAAiAEYAbwBsAGQAuwMiACwAIgBKAG8AaQBuADIARAC7AyIALAAiAEUAYwBoAG8AuwMiACwAIgBSAGUAcABlAGEAdABSAG8AdwBzALsDIgAsACIAUgBlAHAAZQBhAHQAQwBvAGwAcwC7AyIALAAiAFQAZQBzAHMAZQBsAGwAYQB0AGUAuwMiACwAIgBTAHQAcgBlAGEAawC7AyIALAAiAEMAbwB1AG4AdABkAG8AdwBuALsDIgAsACIAQgB5AEQAaQBhAGcAuwMiACwAIgBEAGkAYQBnAE0AYQBwALsDIgAsACIARABpAGEAZwBJAG4AZABlAHgAuwMiACwAIgBWAGEAbABpAGQAYQB0AGUARABpAGEAZwC7AyIALAAiAFAAYQBpAHIAdwBpAHMAZQC7AyIALAAiAEcAcgBvAHUAcABiAHkAQgBpAG4AuwMiACwAIgBHAHIAbwB1AHAAYgB5AEQAYQB0AGUAuwMiACwAIgBWAGEAbABpAGQAYQB0AGUARwBEALsDIgAsACIAUABpAHYAbwB0AGIAeQBDAGEAdAC7AyIALAAiAEcAcgBhAGkAbgC7AyIALAAiAE0AbwBvAHIAZQBBAGcAZwC7AyIALAAiAE0AbwBvAHIAZQBTAGUAbABlAGMAdAC7AyIALAAiAEgAaQBzAHQAbwBnAHIAYQBtALsDIgAsACIATQBvAGQAZQC7AyIALAAiAFoAbwBuAGUAUwB0AGEAdAC7AyIALAAiAEEAbABpAGcAbgC7AyIALAAiAEEAbABpAGcAbgBEAGkAcwB0AGkAbgBjAHQAuwMiACwAIgBBAGwAaQBnAG4AVQBuAGkAcQB1AGUAuwMiACwAIgBDAG8AYQBsAGUAcwBjAGUAuwMiACwAIgBFAHgAcABsAG8AZABlALsDIgAsACIATgB1AG0AYgBlAHIAcwBPAG4AbAB5ALsDIgAsACIAVABlAHgAdABPAG4AbAB5ALsDIgAsACIAUwBwAGwAaQB0ALsDIgAsACIAUgBlAGcAZQB4AFMAYQBmAGUAuwMiACwAIgBCAGkAbgAyAEQAZQBjALsDIgAsACIAQgBpAG4AMgBHAHIAYQB5ALsDIgAsACIAQgBpAHQAQwBvAHUAbgB0ALsDIgAsACIARABlAGMAMgBCAGkAbgC7AyIALAAiAEQAZQBjADIARwByAGEAeQC7AyIALAAiAEUAbgB1AG0AZQByAGEAdABlALsDIgAsACIAUABlAHIAbQBSALsDIgAsACIAUABlAHIAbQC7AyIALAAiAEMAbwBtAGIAaQBuAGEAdABpAG8AbgBzAFIAuwMiACwAIgBDAG8AbQBiAGkAbgBhAHQAaQBvAG4AcwC7AyIALAAiAEQAZQByAGEAbgBnAGUAbQBlAG4AdABzALsDIgAsACIASwBuAGEAcABTAGEAYwBrALsDIgAsACIAUwB1AGIAcwBlAHQARwBlAG4AuwMiACwAIgBTAHUAYgBzAGUAdABTAHUAbQC7AyIALAAiAFIAZQB2AGUAYQBsALsDIgBdACwAIgBsAG8AYwBhAGwAZQAiADoAewAiAGwAaQBzAHQAUwBlAHAAYQByAGEAdABvAHIAIgA6ACIALAAiACwAIgByAG8AdwBTAGUAcABhAHIAYQB0AG8AcgAiADoAIgA7ACIALAAiAGMAbwBsAHUAbQBuAFMAZQBwAGEAcgBhAHQAbwByACIAOgAiACwAIgAsACIAdABoAG8AdQBzAGEAbgBkAHMAUwBlAHAAYQByAGEAdABvAHIAIgA6ACIALAAiACwAIgB0AGgAbwB1AHMAYQBuAGQAcwBQAG8AcwBpAHQAaQBvAG4AcwAiADoAWwAzAF0ALAAiAGQAZQBjAGkAbQBhAGwAUwBlAHAAYQByAGEAdABvAHIAIgA6ACIALgAiACwAIgBkAGEAdABlAE8AcgBkAGUAcgAiADoAIgBNAEQAWQAiACwAIgBjAHUAcgByAGUAbgBjAHkAUwB5AG0AYgBvAGwAIgA6ACIAJAAiACwAIgBpAHMAQwB1AHIAcgBlAG4AYwB5AFMAeQBtAGIAbwBsAEwAZQBhAGQAIgA6AHQAcgB1AGUALAAiAGkAcwBDAHUAcgByAGUAbgBjAHkAUwBlAHAAQgB5AFMAcABhAGMAZQAiADoAZgBhAGwAcwBlACwAIgByAG8AdwBMAGUAdAB0AGUAcgAiADoAIgBSACIALAAiAGMAbwBsAHUAbQBuAEwAZQB0AHQAZQByACIAOgAiAEMAIgAsACIAcgBjAEwAZQBmAHQAQgByAGEAYwBrAGUAdAAiADoAIgBbACIALAAiAHIAYwBSAGkAZwBoAHQAQgByAGEAYwBrAGUAdAAiADoAIgBdACIALAAiAHMAdABhAHQAZQBtAGUAbgB0AFMAZQBwAGEAcgBhAHQAbwByACIAOgAiADsAIgAsACIAbABvAGMAYQBsAGUATgBhAG0AZQAiADoAIgBlAG4ALQB1AHMAIgB9AH0A</AFEJSONBlob>
</file>

<file path=customXml/itemProps1.xml><?xml version="1.0" encoding="utf-8"?>
<ds:datastoreItem xmlns:ds="http://schemas.openxmlformats.org/officeDocument/2006/customXml" ds:itemID="{AE3F2B0A-BB57-40F1-B4F2-FE189BC27775}">
  <ds:schemaRefs>
    <ds:schemaRef ds:uri="http://schemas.advancedformulaenvironment.officeapps.live.com/afejsonblob/1.0"/>
  </ds:schemaRefs>
</ds:datastoreItem>
</file>

<file path=docMetadata/LabelInfo.xml><?xml version="1.0" encoding="utf-8"?>
<clbl:labelList xmlns:clbl="http://schemas.microsoft.com/office/2020/mipLabelMetadata">
  <clbl:label id="{8d0d81ba-ed03-4c6f-9248-a3b3967ca35c}" enabled="0" method="" siteId="{8d0d81ba-ed03-4c6f-9248-a3b3967ca35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20</vt:i4>
      </vt:variant>
    </vt:vector>
  </HeadingPairs>
  <TitlesOfParts>
    <vt:vector size="25" baseType="lpstr">
      <vt:lpstr>Introduction</vt:lpstr>
      <vt:lpstr>Echo</vt:lpstr>
      <vt:lpstr>RepeatRows</vt:lpstr>
      <vt:lpstr>RepeatCols</vt:lpstr>
      <vt:lpstr>Tessellate</vt:lpstr>
      <vt:lpstr>Alpha</vt:lpstr>
      <vt:lpstr>Animals</vt:lpstr>
      <vt:lpstr>Available</vt:lpstr>
      <vt:lpstr>Bread</vt:lpstr>
      <vt:lpstr>Checker</vt:lpstr>
      <vt:lpstr>Dealer</vt:lpstr>
      <vt:lpstr>Fish</vt:lpstr>
      <vt:lpstr>Fruit</vt:lpstr>
      <vt:lpstr>Letters</vt:lpstr>
      <vt:lpstr>MeshC</vt:lpstr>
      <vt:lpstr>MeshR</vt:lpstr>
      <vt:lpstr>Noodle</vt:lpstr>
      <vt:lpstr>Places</vt:lpstr>
      <vt:lpstr>Qty</vt:lpstr>
      <vt:lpstr>Rep</vt:lpstr>
      <vt:lpstr>RepB</vt:lpstr>
      <vt:lpstr>RepC</vt:lpstr>
      <vt:lpstr>RepD</vt:lpstr>
      <vt:lpstr>Served</vt:lpstr>
      <vt:lpstr>Sold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BigSpill - Repetition</dc:title>
  <dc:creator>BigSpill Project</dc:creator>
  <dc:description>Demonstration workbook for BigSpill - Repetition</dc:description>
  <dcterms:created xsi:type="dcterms:W3CDTF">2026-07-07T13:49:11Z</dcterms:created>
  <dcterms:modified xsi:type="dcterms:W3CDTF">2026-07-07T13:49:56Z</dcterms:modified>
</cp:coreProperties>
</file>