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1963FD13-5A97-4347-88F0-A6ACF820FEAC}" xr6:coauthVersionLast="47" xr6:coauthVersionMax="47" xr10:uidLastSave="{00000000-0000-0000-0000-000000000000}"/>
  <bookViews>
    <workbookView xWindow="28680" yWindow="-120" windowWidth="29040" windowHeight="15720" tabRatio="878" xr2:uid="{71EA28B6-188F-48C1-8F1F-0D2AAB7FFE6D}"/>
  </bookViews>
  <sheets>
    <sheet name="Starters" sheetId="1" r:id="rId1"/>
    <sheet name="Pairwiseλ" sheetId="9" r:id="rId2"/>
    <sheet name="Zipλ" sheetId="14" r:id="rId3"/>
    <sheet name="WrapCols2Dλ" sheetId="3" r:id="rId4"/>
    <sheet name="Resizeλ" sheetId="11" r:id="rId5"/>
    <sheet name="Shiftλ" sheetId="12" r:id="rId6"/>
    <sheet name="Splitλ" sheetId="4" r:id="rId7"/>
    <sheet name="Echoλ" sheetId="10" r:id="rId8"/>
    <sheet name="Histogramλ" sheetId="5" r:id="rId9"/>
  </sheets>
  <definedNames>
    <definedName name="Addresses">Splitλ!$B$12:$B$36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Echoλ!$B$7:$B$9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es">Pairwiseλ!$L$6:$L$9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ys_array">Shiftλ!$T$5:$Z$5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lavors">Pairwiseλ!$J$6:$J$12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oupA">Pairwiseλ!$O$6:$O$9</definedName>
    <definedName name="GroupB">Pairwiseλ!$Q$6:$Q$8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s">Zipλ!$D$9:$E$9</definedName>
    <definedName name="H_array">Shiftλ!$L$6:$P$6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D">Zipλ!$I$5:$I$21</definedName>
    <definedName name="In_Stock">Zipλ!$K$5:$K$19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Zipλ!$J$5:$J$14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etters">Splitλ!$C$5:$C$8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stersResults">Histogramλ!$C$7:$F$52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Resizeλ!$C$5:$E$7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s">Resizeλ!$C$15:$C$26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ames">Splitλ!$J$5:$J$7</definedName>
    <definedName name="Numbers">WrapCols2Dλ!$B$6:$G$7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pations">WrapCols2Dλ!$I$6:$BG$8</definedName>
    <definedName name="Ordered">Echoλ!$C$13:$C$18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ople">Zipλ!$B$7:$B$9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Zipλ!$D$6:$F$6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duce">Echoλ!$B$13:$B$18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rters">Resizeλ!$B$11:$E$11</definedName>
    <definedName name="Rank">Pairwiseλ!$B$6:$B$18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Suit">Pairwiseλ!$D$6:$D$9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stScores">Histogramλ!$I$6:$I$35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_array">Shiftλ!$R$5:$R$9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est">Pairwiseλ!$T$6:$T$20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27" i="14" l="1" a="1"/>
  <c r="B27" i="14" s="1"/>
  <c r="M25" i="14" a="1"/>
  <c r="M25" i="14" s="1"/>
  <c r="I25" i="14" a="1"/>
  <c r="I25" i="14" s="1"/>
  <c r="B21" i="14" a="1"/>
  <c r="B21" i="14" s="1"/>
  <c r="B14" i="14" a="1"/>
  <c r="B14" i="14" s="1"/>
  <c r="B26" i="3" l="1" a="1"/>
  <c r="B26" i="3" s="1"/>
  <c r="B19" i="3" a="1"/>
  <c r="B19" i="3" s="1"/>
  <c r="B11" i="3" a="1"/>
  <c r="B11" i="3" s="1"/>
  <c r="R17" i="12" a="1"/>
  <c r="R17" i="12" s="1"/>
  <c r="R14" i="12" a="1"/>
  <c r="R14" i="12" s="1"/>
  <c r="L24" i="12" a="1"/>
  <c r="L24" i="12" s="1"/>
  <c r="AC14" i="12" a="1"/>
  <c r="AC14" i="12" s="1"/>
  <c r="AA14" i="12" a="1"/>
  <c r="AA14" i="12" s="1"/>
  <c r="L14" i="12" a="1"/>
  <c r="L14" i="12" s="1"/>
  <c r="L17" i="12" a="1"/>
  <c r="L17" i="12" s="1"/>
  <c r="C20" i="12" a="1"/>
  <c r="C20" i="12" s="1"/>
  <c r="C14" i="12" a="1"/>
  <c r="C14" i="12" s="1"/>
  <c r="G19" i="11" a="1"/>
  <c r="G19" i="11" s="1"/>
  <c r="T7" i="11" a="1"/>
  <c r="T7" i="11" s="1"/>
  <c r="Y16" i="11" a="1"/>
  <c r="Y16" i="11" s="1"/>
  <c r="O16" i="11" a="1"/>
  <c r="O16" i="11" s="1"/>
  <c r="Y13" i="11" a="1"/>
  <c r="Y13" i="11" s="1"/>
  <c r="Y7" i="11" a="1"/>
  <c r="Y7" i="11" s="1"/>
  <c r="O7" i="11" a="1"/>
  <c r="O7" i="11" s="1"/>
  <c r="G7" i="11" a="1"/>
  <c r="G7" i="11" s="1"/>
  <c r="L5" i="4" l="1" a="1"/>
  <c r="L5" i="4" s="1"/>
  <c r="E5" i="4" a="1"/>
  <c r="E5" i="4" s="1"/>
  <c r="J13" i="10" a="1"/>
  <c r="J13" i="10" s="1"/>
  <c r="G9" i="10" a="1"/>
  <c r="G9" i="10" s="1"/>
  <c r="L13" i="10" a="1"/>
  <c r="L13" i="10" s="1"/>
  <c r="E9" i="10" a="1"/>
  <c r="E9" i="10" s="1"/>
  <c r="Q8" i="5" a="1"/>
  <c r="Q8" i="5" s="1"/>
  <c r="L16" i="5" a="1"/>
  <c r="L16" i="5" s="1"/>
  <c r="V8" i="5" a="1"/>
  <c r="V8" i="5" s="1"/>
  <c r="V16" i="5" a="1"/>
  <c r="V16" i="5" s="1"/>
  <c r="Q16" i="5" a="1"/>
  <c r="Q16" i="5" s="1"/>
  <c r="L8" i="5" a="1"/>
  <c r="L8" i="5" s="1"/>
  <c r="V6" i="9" a="1"/>
  <c r="V6" i="9" s="1"/>
  <c r="O15" i="9" a="1"/>
  <c r="O15" i="9" s="1"/>
  <c r="J15" i="9" a="1"/>
  <c r="J15" i="9" s="1"/>
  <c r="F6" i="9" a="1"/>
  <c r="F6" i="9" s="1"/>
  <c r="D12" i="4" a="1"/>
  <c r="D12" i="4" s="1"/>
  <c r="I13" i="3" a="1"/>
  <c r="I1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<sst xmlns="http://schemas.openxmlformats.org/spreadsheetml/2006/main" count="462" uniqueCount="410">
  <si>
    <t>Echoλ</t>
  </si>
  <si>
    <t>Histogramλ</t>
  </si>
  <si>
    <t>Pairwiseλ</t>
  </si>
  <si>
    <t>Shiftλ</t>
  </si>
  <si>
    <t>Splitλ</t>
  </si>
  <si>
    <t>WrapCols2Dλ</t>
  </si>
  <si>
    <t>Emma Johnson</t>
  </si>
  <si>
    <t>Software Engineer</t>
  </si>
  <si>
    <t>Remote</t>
  </si>
  <si>
    <t>Noah Davis</t>
  </si>
  <si>
    <t>Data Analyst</t>
  </si>
  <si>
    <t>Office</t>
  </si>
  <si>
    <t>Sophia Anderson</t>
  </si>
  <si>
    <t>HR Specialist</t>
  </si>
  <si>
    <t>Benjamin Moore</t>
  </si>
  <si>
    <t>Customer Support</t>
  </si>
  <si>
    <t>Charlotte Harris</t>
  </si>
  <si>
    <t>Project Coordinator</t>
  </si>
  <si>
    <t>Ethan Garcia</t>
  </si>
  <si>
    <t>Operations Manager</t>
  </si>
  <si>
    <t>Evelyn Clark</t>
  </si>
  <si>
    <t>Technical Writer</t>
  </si>
  <si>
    <t>Jackson Lee</t>
  </si>
  <si>
    <t>IT Support</t>
  </si>
  <si>
    <t>Ella Allen</t>
  </si>
  <si>
    <t>Accountant</t>
  </si>
  <si>
    <t>Matthew Wright</t>
  </si>
  <si>
    <t>Logistics Coordinator</t>
  </si>
  <si>
    <t>Grace Adams</t>
  </si>
  <si>
    <t>Translator</t>
  </si>
  <si>
    <t>Joseph Carter</t>
  </si>
  <si>
    <t>Engineer</t>
  </si>
  <si>
    <t>Lily Roberts</t>
  </si>
  <si>
    <t>Marketing Analyst</t>
  </si>
  <si>
    <t>Caleb Campbell</t>
  </si>
  <si>
    <t>Data Scientist</t>
  </si>
  <si>
    <t>Hannah Edwards</t>
  </si>
  <si>
    <t>Content Strategist</t>
  </si>
  <si>
    <t>Isaac Sanchez</t>
  </si>
  <si>
    <t>Financial Advisor</t>
  </si>
  <si>
    <t>Aria Reed</t>
  </si>
  <si>
    <t>Editor</t>
  </si>
  <si>
    <t>Liam Smith</t>
  </si>
  <si>
    <t>Marketing Manager</t>
  </si>
  <si>
    <t>Ava Wilson</t>
  </si>
  <si>
    <t>Product Manager</t>
  </si>
  <si>
    <t>James Thomas</t>
  </si>
  <si>
    <t>Financial Analyst</t>
  </si>
  <si>
    <t>Mia Jackson</t>
  </si>
  <si>
    <t>UX Designer</t>
  </si>
  <si>
    <t>Mason Martin</t>
  </si>
  <si>
    <t>Network Engineer</t>
  </si>
  <si>
    <t>Harper Martinez</t>
  </si>
  <si>
    <t>Recruiter</t>
  </si>
  <si>
    <t>Henry Rodriguez</t>
  </si>
  <si>
    <t>Database Administrator</t>
  </si>
  <si>
    <t>Emily Walker</t>
  </si>
  <si>
    <t>Digital Marketer</t>
  </si>
  <si>
    <t>Aiden Young</t>
  </si>
  <si>
    <t>Software Developer</t>
  </si>
  <si>
    <t>Victoria Scott</t>
  </si>
  <si>
    <t>Research Analyst</t>
  </si>
  <si>
    <t>David Baker</t>
  </si>
  <si>
    <t>Consultant</t>
  </si>
  <si>
    <t>Penelope Mitchell</t>
  </si>
  <si>
    <t>Customer Success</t>
  </si>
  <si>
    <t>Gabriel Turner</t>
  </si>
  <si>
    <t>Systems Administrator</t>
  </si>
  <si>
    <t>Nora Parker</t>
  </si>
  <si>
    <t>HR Manager</t>
  </si>
  <si>
    <t>Nathan Collins</t>
  </si>
  <si>
    <t>Software Tester</t>
  </si>
  <si>
    <t>Layla Morris</t>
  </si>
  <si>
    <t>Social Media Coordinator</t>
  </si>
  <si>
    <t>Jonathan Cook</t>
  </si>
  <si>
    <t>Technical Lead</t>
  </si>
  <si>
    <t>Olivia Brown</t>
  </si>
  <si>
    <t>Graphic Designer</t>
  </si>
  <si>
    <t>Elijah Martinez</t>
  </si>
  <si>
    <t>Sales Executive</t>
  </si>
  <si>
    <t>Isabella Taylor</t>
  </si>
  <si>
    <t>Content Writer</t>
  </si>
  <si>
    <t>Lucas White</t>
  </si>
  <si>
    <t>Business Analyst</t>
  </si>
  <si>
    <t>Amelia Thompson</t>
  </si>
  <si>
    <t>Social Media Manager</t>
  </si>
  <si>
    <t>Alexander Robinson</t>
  </si>
  <si>
    <t>Quality Assurance</t>
  </si>
  <si>
    <t>Abigail Lewis</t>
  </si>
  <si>
    <t>Event Planner</t>
  </si>
  <si>
    <t>Sebastian Hall</t>
  </si>
  <si>
    <t>Product Designer</t>
  </si>
  <si>
    <t>Scarlett King</t>
  </si>
  <si>
    <t>PR Specialist</t>
  </si>
  <si>
    <t>Samuel Green</t>
  </si>
  <si>
    <t>Cybersecurity Analyst</t>
  </si>
  <si>
    <t>Chloe Nelson</t>
  </si>
  <si>
    <t>Copywriter</t>
  </si>
  <si>
    <t>Owen Perez</t>
  </si>
  <si>
    <t>Technical Support</t>
  </si>
  <si>
    <t>Zoe Phillips</t>
  </si>
  <si>
    <t>Creative Director</t>
  </si>
  <si>
    <t>Ryan Evans</t>
  </si>
  <si>
    <t>Business Development</t>
  </si>
  <si>
    <t>Addison Stewart</t>
  </si>
  <si>
    <t>Graphic Artist</t>
  </si>
  <si>
    <t>Christian Rogers</t>
  </si>
  <si>
    <t>Project Manager</t>
  </si>
  <si>
    <t>Ella Morgan</t>
  </si>
  <si>
    <t>Web Developer</t>
  </si>
  <si>
    <t>Bob</t>
  </si>
  <si>
    <t>Pete</t>
  </si>
  <si>
    <t>=WrapCols2Dλ(Occupations,3)</t>
  </si>
  <si>
    <t>John</t>
  </si>
  <si>
    <t>A</t>
  </si>
  <si>
    <t>Jane Smith|456 Oak Ave|Madison|WI|53703</t>
  </si>
  <si>
    <t>Michael Johnson|789 Pine Rd|Columbus|OH|43215</t>
  </si>
  <si>
    <t>Emily Davis|101 Elm St|Austin|TX|78701</t>
  </si>
  <si>
    <t>David Wilson|202 Birch Blvd|Denver|CO|80203</t>
  </si>
  <si>
    <t>Sarah Brown|303 Cedar Ln|Seattle|WA|98101</t>
  </si>
  <si>
    <t>James Taylor|404 Spruce Dr|Portland|OR|97205</t>
  </si>
  <si>
    <t>Jessica Martinez|505 Walnut St|Boston|MA|02108</t>
  </si>
  <si>
    <t>Robert Anderson|606 Chestnut Ave|Atlanta|GA|30303</t>
  </si>
  <si>
    <t>Linda Thomas|707 Hickory Ct|Miami|FL|33101</t>
  </si>
  <si>
    <t>William Jackson|808 Aspen Rd|Chicago|IL|60601</t>
  </si>
  <si>
    <t>Barbara White|909 Fir St|Phoenix|AZ|85001</t>
  </si>
  <si>
    <t>Charles Harris|111 Redwood Blvd|San Diego|CA|92101</t>
  </si>
  <si>
    <t>Susan Martin|222 Cypress Ln|Dallas|TX|75201</t>
  </si>
  <si>
    <t>Joseph Thompson|333 Magnolia Dr|Detroit|MI|48201</t>
  </si>
  <si>
    <t>Karen Garcia|444 Palm St|Las Vegas|NV|89101</t>
  </si>
  <si>
    <t>Thomas Martinez|555 Willow Ave|Minneapolis|MN|55401</t>
  </si>
  <si>
    <t>Nancy Robinson|666 Poplar Rd|Philadelphia|PA|19101</t>
  </si>
  <si>
    <t>Christopher Clark|777 Sycamore St|Houston|TX|77001</t>
  </si>
  <si>
    <t>Margaret Rodriguez|888 Cottonwood Blvd|San Francisco|CA|94101</t>
  </si>
  <si>
    <t>Daniel Lewis|999 Alder Ln|Charlotte|NC|28201</t>
  </si>
  <si>
    <t>Patricia Lee|1212 Beech St|Indianapolis|IN|46201</t>
  </si>
  <si>
    <t>Matthew Walker|1313 Dogwood Dr|Columbus|GA|31901</t>
  </si>
  <si>
    <t>Elizabeth Hall|1414 Juniper Ave|Nashville|TN|37201</t>
  </si>
  <si>
    <t>Andrew Allen|1515 Maplewood Rd|Baltimore|MD|21201</t>
  </si>
  <si>
    <t>=Histogramλ(TestScores,10)</t>
  </si>
  <si>
    <t>=Histogramλ(TestScores,10,1)</t>
  </si>
  <si>
    <t>K</t>
  </si>
  <si>
    <t>Q</t>
  </si>
  <si>
    <t>J</t>
  </si>
  <si>
    <t>♦</t>
  </si>
  <si>
    <t>♥</t>
  </si>
  <si>
    <t>♠</t>
  </si>
  <si>
    <t>♣</t>
  </si>
  <si>
    <t>Rank</t>
  </si>
  <si>
    <t>Suit</t>
  </si>
  <si>
    <t>Deck</t>
  </si>
  <si>
    <t>=Pairwiseλ(Rank,Suit)</t>
  </si>
  <si>
    <t>Flavors</t>
  </si>
  <si>
    <t>Chocolate</t>
  </si>
  <si>
    <t>Vanilla</t>
  </si>
  <si>
    <t>Strawberry</t>
  </si>
  <si>
    <t>Butter Pecan</t>
  </si>
  <si>
    <t>Cones</t>
  </si>
  <si>
    <t>Mini cone</t>
  </si>
  <si>
    <t>Pretzel cone</t>
  </si>
  <si>
    <t>Sugar cone</t>
  </si>
  <si>
    <t>Waffle cone</t>
  </si>
  <si>
    <t>Butterscotch</t>
  </si>
  <si>
    <t>Mint Chocolate Chip</t>
  </si>
  <si>
    <t>Neapolitan</t>
  </si>
  <si>
    <t>=Pairwiseλ(Flavors,Cones)</t>
  </si>
  <si>
    <t>Tennis Pairings</t>
  </si>
  <si>
    <t>Andre</t>
  </si>
  <si>
    <t>Martina</t>
  </si>
  <si>
    <t>Serena</t>
  </si>
  <si>
    <t>Lucy</t>
  </si>
  <si>
    <t>=Pairwiseλ(GroupA,GroupB)</t>
  </si>
  <si>
    <t>GroupA</t>
  </si>
  <si>
    <t>GroupB</t>
  </si>
  <si>
    <t>West</t>
  </si>
  <si>
    <t>Match ups</t>
  </si>
  <si>
    <t>Denver Nuggets</t>
  </si>
  <si>
    <t>Minnesota Timberwolves</t>
  </si>
  <si>
    <t>Oklahoma City Thunder</t>
  </si>
  <si>
    <t>Portland Trail Blazers</t>
  </si>
  <si>
    <t>Utah Jazz</t>
  </si>
  <si>
    <t>Golden State Warriors</t>
  </si>
  <si>
    <t>Los Angeles Clippers</t>
  </si>
  <si>
    <t>Los Angeles Lakers</t>
  </si>
  <si>
    <t>Phoenix Suns</t>
  </si>
  <si>
    <t>Sacramento Kings</t>
  </si>
  <si>
    <t>Dallas Mavericks</t>
  </si>
  <si>
    <t>Houston Rockets</t>
  </si>
  <si>
    <t>Memphis Grizzlies</t>
  </si>
  <si>
    <t>New Orleans Pelicans</t>
  </si>
  <si>
    <t>San Antonio Spurs</t>
  </si>
  <si>
    <t>=Pairwiseλ("Cleveland Cavaliers",West)</t>
  </si>
  <si>
    <t>Tiger Woods</t>
  </si>
  <si>
    <t>Tom Kite</t>
  </si>
  <si>
    <t>Tommy Tolles</t>
  </si>
  <si>
    <t>Tom Watson</t>
  </si>
  <si>
    <t>Paul Stankowski</t>
  </si>
  <si>
    <t>Costantino Rocca</t>
  </si>
  <si>
    <t>Bernhard Langer</t>
  </si>
  <si>
    <t>Justin Leonard</t>
  </si>
  <si>
    <t>Fred Couples</t>
  </si>
  <si>
    <t>Davis Love III</t>
  </si>
  <si>
    <t>Jeff Sluman</t>
  </si>
  <si>
    <t>Steve Elkington</t>
  </si>
  <si>
    <t>Willie Wood</t>
  </si>
  <si>
    <t>Per-Ulrik Johansson</t>
  </si>
  <si>
    <t>Tom Lehman</t>
  </si>
  <si>
    <t>Jose Maria Olazabal</t>
  </si>
  <si>
    <t>Mark Calcavecchia</t>
  </si>
  <si>
    <t>Vijay Singh</t>
  </si>
  <si>
    <t>Fred Funk</t>
  </si>
  <si>
    <t>Ernie Els</t>
  </si>
  <si>
    <t>John Huston</t>
  </si>
  <si>
    <t>Stuart Appleby</t>
  </si>
  <si>
    <t>Jesper Parnevik</t>
  </si>
  <si>
    <t>Lee Westwood</t>
  </si>
  <si>
    <t>Nick Price</t>
  </si>
  <si>
    <t>Craig Stadler</t>
  </si>
  <si>
    <t>Lee Janzen</t>
  </si>
  <si>
    <t>Jim Furyk</t>
  </si>
  <si>
    <t>Paul Azinger</t>
  </si>
  <si>
    <t>Larry Mize</t>
  </si>
  <si>
    <t>Scott McCarron</t>
  </si>
  <si>
    <t>Mark O'Meara</t>
  </si>
  <si>
    <t>Colin Montgomerie</t>
  </si>
  <si>
    <t>Sandy Lyle</t>
  </si>
  <si>
    <t>Fuzzy Zoeller</t>
  </si>
  <si>
    <t>Duffy Waldorf</t>
  </si>
  <si>
    <t>David Frost</t>
  </si>
  <si>
    <t>Scott Hoch</t>
  </si>
  <si>
    <t>Jack Nicklaus</t>
  </si>
  <si>
    <t>Sam Torrance</t>
  </si>
  <si>
    <t>Ian Woosnam</t>
  </si>
  <si>
    <t>Jumbo Ozaki</t>
  </si>
  <si>
    <t>Corey Pavin</t>
  </si>
  <si>
    <t>Clarence Rose</t>
  </si>
  <si>
    <t>Ben Crenshaw</t>
  </si>
  <si>
    <t>Frank Nobilo</t>
  </si>
  <si>
    <t>Golfer</t>
  </si>
  <si>
    <t>R1</t>
  </si>
  <si>
    <t>R2</t>
  </si>
  <si>
    <t>R3</t>
  </si>
  <si>
    <t>R4</t>
  </si>
  <si>
    <t>Final</t>
  </si>
  <si>
    <t>=Histogramλ(MastersResults)</t>
  </si>
  <si>
    <t>Histogramλ - Make a frequency table from a list of numbers</t>
  </si>
  <si>
    <t>=Histogramλ(TestScores)</t>
  </si>
  <si>
    <t>=Histogramλ(MastersResults,5)</t>
  </si>
  <si>
    <t>Auto-bin</t>
  </si>
  <si>
    <t>Fixed bin width</t>
  </si>
  <si>
    <t>=Histogramλ(MastersResults,,1)</t>
  </si>
  <si>
    <t>Pareto included</t>
  </si>
  <si>
    <t>Red</t>
  </si>
  <si>
    <t>Green</t>
  </si>
  <si>
    <t>Blue</t>
  </si>
  <si>
    <t>Colors</t>
  </si>
  <si>
    <t>=Echoλ(Colors,3)</t>
  </si>
  <si>
    <t>Produce</t>
  </si>
  <si>
    <t>Apple</t>
  </si>
  <si>
    <t>Banana</t>
  </si>
  <si>
    <t>Mango</t>
  </si>
  <si>
    <t>Lemon</t>
  </si>
  <si>
    <t>Squash</t>
  </si>
  <si>
    <t>Lime</t>
  </si>
  <si>
    <t>Ordered</t>
  </si>
  <si>
    <t>=Echoλ(Produce,Ordered)</t>
  </si>
  <si>
    <t>Fixed count for all items</t>
  </si>
  <si>
    <t>Variable counts for items</t>
  </si>
  <si>
    <t>=Echoλ(Produce,4)</t>
  </si>
  <si>
    <t>=Echoλ(Colors,{5,4})</t>
  </si>
  <si>
    <t>Echoλ - repeat items in a list by fixed or variable counts</t>
  </si>
  <si>
    <t>Counts are automatically</t>
  </si>
  <si>
    <t>extended to match the length</t>
  </si>
  <si>
    <t>of list where needed.</t>
  </si>
  <si>
    <t>Letters</t>
  </si>
  <si>
    <t>=Splitλ(Addresses,"|")</t>
  </si>
  <si>
    <t>A,B,C</t>
  </si>
  <si>
    <t>D,E,F</t>
  </si>
  <si>
    <t>G,H,I</t>
  </si>
  <si>
    <t>=Splitλ(Letters,",")</t>
  </si>
  <si>
    <t>J,K</t>
  </si>
  <si>
    <t>Lev;;Tom;Rick;Gus;;Quinn</t>
  </si>
  <si>
    <t>Lisa;;;;Pablo;Hal;Peg</t>
  </si>
  <si>
    <t>Names</t>
  </si>
  <si>
    <t>Bob;Deb;;Sue;;Wes;;;Rita</t>
  </si>
  <si>
    <t>=Splitλ(Names,";",,1)</t>
  </si>
  <si>
    <t>Split on comma</t>
  </si>
  <si>
    <t>Treat consecutive delimiters as 1</t>
  </si>
  <si>
    <t>Resizeλ</t>
  </si>
  <si>
    <t>=Resizeλ(MiniGrid,3,2)</t>
  </si>
  <si>
    <t>MiniGrid</t>
  </si>
  <si>
    <t>=Resizeλ(MiniGrid,2)</t>
  </si>
  <si>
    <t>Resize rows and columns</t>
  </si>
  <si>
    <t>Resize rows</t>
  </si>
  <si>
    <t>Resize columns</t>
  </si>
  <si>
    <t>Q1</t>
  </si>
  <si>
    <t>Q2</t>
  </si>
  <si>
    <t>Q3</t>
  </si>
  <si>
    <t>Q4</t>
  </si>
  <si>
    <t>Quarters</t>
  </si>
  <si>
    <t>=Resizeλ(Quarters,,3)</t>
  </si>
  <si>
    <t>=Resizeλ(MiniGrid,,2)</t>
  </si>
  <si>
    <t>=Resizeλ(Quarters,4)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</si>
  <si>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</si>
  <si>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</si>
  <si>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</si>
  <si>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</si>
  <si>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</si>
  <si>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</si>
  <si>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</si>
  <si>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</si>
  <si>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</si>
  <si>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</si>
  <si>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</si>
  <si>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</si>
  <si>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</t>
  </si>
  <si>
    <t>=Resizeλ(Months,,5)</t>
  </si>
  <si>
    <t>Resizeλ - repeat rows and/or columns by specified counts</t>
  </si>
  <si>
    <t>=Resizeλ(Months,2)</t>
  </si>
  <si>
    <t>=Resizeλ(7,5,4)</t>
  </si>
  <si>
    <t>=Shiftλ("ABCD",2)</t>
  </si>
  <si>
    <t>=Shiftλ("ABCD",-2)</t>
  </si>
  <si>
    <t>V_array</t>
  </si>
  <si>
    <t>H_array</t>
  </si>
  <si>
    <t>=Shiftλ(H_array,3)</t>
  </si>
  <si>
    <t>=Shiftλ(H_array,-3)</t>
  </si>
  <si>
    <t>=Shiftλ(V_array,1)</t>
  </si>
  <si>
    <t>=Shiftλ(V_array,-2)</t>
  </si>
  <si>
    <t>Horizontal shift</t>
  </si>
  <si>
    <t>Vertical shift</t>
  </si>
  <si>
    <t>Scalar inputs ~ converted to arrays and shifted</t>
  </si>
  <si>
    <t>=Shiftλ(H_array,SEQUENCE(4))</t>
  </si>
  <si>
    <t>Pairwiseλ - Create all combinations from two lists</t>
  </si>
  <si>
    <t>Shiftλ - Rotate values left or right in a list or range</t>
  </si>
  <si>
    <t>Generate all rotations</t>
  </si>
  <si>
    <t>Mon</t>
  </si>
  <si>
    <t>Tue</t>
  </si>
  <si>
    <t>Wed</t>
  </si>
  <si>
    <t>Thu</t>
  </si>
  <si>
    <t>Fri</t>
  </si>
  <si>
    <t>Sat</t>
  </si>
  <si>
    <t>Sun</t>
  </si>
  <si>
    <t>Days_array</t>
  </si>
  <si>
    <t>=Shiftλ(Days_array,2)</t>
  </si>
  <si>
    <t>=Shiftλ(Days_array,-2)</t>
  </si>
  <si>
    <t>=WrapCols2Dλ(Numbers,3)</t>
  </si>
  <si>
    <t>=WrapCols2Dλ(Numbers,5,"X")</t>
  </si>
  <si>
    <t>=WrapCols2Dλ(Numbers,5)</t>
  </si>
  <si>
    <t>Wrap into 5 columns (default padding)</t>
  </si>
  <si>
    <t>Wrap into 5 columns ("X" used for padding)</t>
  </si>
  <si>
    <t>Wrap into 3 columns</t>
  </si>
  <si>
    <t>WrapCols2Dλ - Wrap wide data vertically</t>
  </si>
  <si>
    <t>Input (Numbers)</t>
  </si>
  <si>
    <t>Input - Occupations (Wide)</t>
  </si>
  <si>
    <t>Wrapped (Tall)</t>
  </si>
  <si>
    <t>People</t>
  </si>
  <si>
    <t>Places</t>
  </si>
  <si>
    <t>Deb</t>
  </si>
  <si>
    <t>Jon</t>
  </si>
  <si>
    <t>Fred</t>
  </si>
  <si>
    <t>Cheyenne</t>
  </si>
  <si>
    <t>San Antonio</t>
  </si>
  <si>
    <t>Nashville</t>
  </si>
  <si>
    <t>=Zipλ(People,Places)</t>
  </si>
  <si>
    <t>Groups</t>
  </si>
  <si>
    <t>B</t>
  </si>
  <si>
    <t>=Zipλ(People,Places,Groups)</t>
  </si>
  <si>
    <t>Zipλ - zips up to 4 arrays into 1 list</t>
  </si>
  <si>
    <t>Zip 3 Arrays (Shortest list wins)</t>
  </si>
  <si>
    <t>Zip 2 arrays (Strict mode)</t>
  </si>
  <si>
    <t>Zip 3 arrays (zip_longest with fill_value)</t>
  </si>
  <si>
    <t>In-stock</t>
  </si>
  <si>
    <t>Rubik's Cube</t>
  </si>
  <si>
    <t>Tamagotchi</t>
  </si>
  <si>
    <t>Cabbage Patch Kids</t>
  </si>
  <si>
    <t>G.I. Joe</t>
  </si>
  <si>
    <t>Lite-Brite</t>
  </si>
  <si>
    <t>Beanie Babies</t>
  </si>
  <si>
    <t>Pogs</t>
  </si>
  <si>
    <t>Transformers</t>
  </si>
  <si>
    <t>Polly Pocket</t>
  </si>
  <si>
    <t>Furby</t>
  </si>
  <si>
    <t>ID</t>
  </si>
  <si>
    <t>Items</t>
  </si>
  <si>
    <t>=Zipλ(ID,Items,In_Stock)</t>
  </si>
  <si>
    <t>=Zipλ(ID,Items,In_Stock,,TRUE,"Missing")</t>
  </si>
  <si>
    <t>=Zipλ(People,Places,Groups,,TRUE,"Unknown")</t>
  </si>
  <si>
    <t>Zip 3 arrays (Strict mode)</t>
  </si>
  <si>
    <t>Zipλ</t>
  </si>
  <si>
    <t>How to use this workbook</t>
  </si>
  <si>
    <t>Each sheet demonstrates a family of functions using a sample grid.</t>
  </si>
  <si>
    <t>Formula cells appear above each spill. Function listings and descriptions appear below.</t>
  </si>
  <si>
    <t>Splitλ - Split text on a delimiter</t>
  </si>
  <si>
    <t>Addresses</t>
  </si>
  <si>
    <t>Split on pipe</t>
  </si>
  <si>
    <t>MastersResults</t>
  </si>
  <si>
    <t>TestScores</t>
  </si>
  <si>
    <t>BigSpill - Starters</t>
  </si>
  <si>
    <t>Function</t>
  </si>
  <si>
    <t>Description</t>
  </si>
  <si>
    <t>This workbook contains 8 pickup-and-go functions from BigSpill.</t>
  </si>
  <si>
    <t>Builds a histogram with automatic binning rules.</t>
  </si>
  <si>
    <t>Repeats each element of a list using a vector of counts.</t>
  </si>
  <si>
    <t>Splits text into tokens and returns a shape‑matched spill.</t>
  </si>
  <si>
    <t>Circularly shifts scalars, lists, or grids.</t>
  </si>
  <si>
    <t>Repeats a grid’s rows and/or columns.</t>
  </si>
  <si>
    <t>Wraps a 2D array into column blocks of a chosen width.</t>
  </si>
  <si>
    <t>Combines 1–4 arrays into aligned rows.</t>
  </si>
  <si>
    <t>Creates vertical pairs from 1D arrays or scalars.</t>
  </si>
  <si>
    <t>Name|Street|City|State|Zip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</si>
</sst>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b/>
      <sz val="11"/>
      <color theme="6" tint="-0.249977111117893"/>
      <name val="Segoe UI Variable Display"/>
    </font>
    <font>
      <b/>
      <sz val="11"/>
      <color theme="3" tint="0.249977111117893"/>
      <name val="Segoe UI Variable Display"/>
    </font>
    <font>
      <sz val="11"/>
      <color rgb="FFFF0000"/>
      <name val="Segoe UI Variable Display"/>
    </font>
    <font>
      <sz val="11"/>
      <color theme="9" tint="-0.249977111117893"/>
      <name val="Segoe UI Variable Display"/>
    </font>
    <font>
      <sz val="11"/>
      <color theme="5" tint="-0.249977111117893"/>
      <name val="Segoe UI Variable Display"/>
    </font>
    <font>
      <b/>
      <sz val="11"/>
      <name val="Segoe UI Variable Display"/>
    </font>
    <font>
      <sz val="11"/>
      <name val="Segoe UI Variable Display"/>
    </font>
    <font>
      <sz val="8"/>
      <name val="segoe ui"/>
      <family val="2"/>
    </font>
    <font>
      <sz val="14"/>
      <color theme="1"/>
      <name val="Bahnschrift"/>
      <family val="2"/>
    </font>
    <font>
      <sz val="14"/>
      <color theme="1"/>
      <name val="Impact"/>
      <family val="2"/>
    </font>
    <font>
      <sz val="11"/>
      <color theme="1"/>
      <name val="Bahnschrift"/>
      <family val="2"/>
    </font>
    <font>
      <sz val="10"/>
      <name val="Segoe UI Variable Display"/>
    </font>
    <font>
      <sz val="10"/>
      <color theme="1"/>
      <name val="Segoe UI Variable Display"/>
    </font>
    <font>
      <b/>
      <sz val="10"/>
      <color theme="1"/>
      <name val="Segoe UI Variable Display"/>
    </font>
    <font>
      <b/>
      <sz val="10"/>
      <name val="Segoe UI Variable Display"/>
    </font>
    <font>
      <i/>
      <sz val="10"/>
      <color theme="1"/>
      <name val="Segoe UI Variable Display"/>
    </font>
    <font>
      <i/>
      <sz val="10"/>
      <name val="Segoe UI Variable Display"/>
    </font>
    <font>
      <b/>
      <sz val="11"/>
      <name val="Bahnschrift"/>
      <family val="2"/>
    </font>
    <font>
      <sz val="11"/>
      <name val="Bahnschrift"/>
      <family val="2"/>
    </font>
    <font>
      <b/>
      <sz val="11"/>
      <name val="segoe ui"/>
      <family val="2"/>
    </font>
    <font>
      <sz val="11"/>
      <name val="segoe ui"/>
      <family val="2"/>
    </font>
    <font>
      <i/>
      <sz val="1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i/>
      <sz val="10"/>
      <name val="segoe ui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F5D2"/>
        <bgColor indexed="64"/>
      </patternFill>
    </fill>
    <fill>
      <patternFill patternType="solid">
        <fgColor rgb="FFD2E1F5"/>
        <bgColor indexed="64"/>
      </patternFill>
    </fill>
    <fill>
      <patternFill patternType="solid">
        <fgColor rgb="FFDCD2F0"/>
        <bgColor indexed="64"/>
      </patternFill>
    </fill>
    <fill>
      <patternFill patternType="solid">
        <fgColor rgb="FFD2F0DC"/>
        <bgColor indexed="64"/>
      </patternFill>
    </fill>
    <fill>
      <patternFill patternType="solid">
        <fgColor rgb="FFF0DCD2"/>
        <bgColor indexed="64"/>
      </patternFill>
    </fill>
    <fill>
      <patternFill patternType="solid">
        <fgColor rgb="FFCDEBEB"/>
        <bgColor indexed="64"/>
      </patternFill>
    </fill>
    <fill>
      <patternFill patternType="solid">
        <fgColor rgb="FFF0D2DC"/>
        <bgColor indexed="64"/>
      </patternFill>
    </fill>
    <fill>
      <patternFill patternType="solid">
        <fgColor rgb="FFEBE6D2"/>
        <bgColor indexed="64"/>
      </patternFill>
    </fill>
    <fill>
      <patternFill patternType="solid">
        <fgColor rgb="FFDCEBD7"/>
        <bgColor indexed="64"/>
      </patternFill>
    </fill>
    <fill>
      <patternFill patternType="solid">
        <fgColor rgb="FFF0D7D2"/>
        <bgColor indexed="64"/>
      </patternFill>
    </fill>
    <fill>
      <patternFill patternType="solid">
        <fgColor rgb="FFD7EBF5"/>
        <bgColor indexed="64"/>
      </patternFill>
    </fill>
    <fill>
      <patternFill patternType="solid">
        <fgColor rgb="FFE1DCE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9DEF3"/>
        <bgColor indexed="64"/>
      </patternFill>
    </fill>
    <fill>
      <patternFill patternType="solid">
        <fgColor rgb="FFC1F1C7"/>
        <bgColor indexed="64"/>
      </patternFill>
    </fill>
    <fill>
      <patternFill patternType="solid">
        <fgColor rgb="FFFFE38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6">
    <xf numFmtId="0" fontId="0" fillId="0" borderId="0" xfId="0"/>
    <xf numFmtId="0" fontId="2" fillId="0" borderId="0" xfId="0" applyFo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quotePrefix="1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" fillId="0" borderId="0" xfId="0" quotePrefix="1" applyFont="1" applyAlignment="1">
      <alignment horizontal="left"/>
    </xf>
    <xf numFmtId="0" fontId="2" fillId="0" borderId="2" xfId="0" applyFont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5" fillId="0" borderId="0" xfId="0" quotePrefix="1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quotePrefix="1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4" fillId="0" borderId="0" xfId="0" applyFont="1"/>
    <xf numFmtId="0" fontId="21" fillId="0" borderId="0" xfId="0" applyFont="1" applyAlignment="1">
      <alignment horizontal="center"/>
    </xf>
    <xf numFmtId="0" fontId="9" fillId="0" borderId="0" xfId="0" quotePrefix="1" applyFont="1" applyAlignment="1">
      <alignment horizontal="left"/>
    </xf>
    <xf numFmtId="0" fontId="18" fillId="0" borderId="0" xfId="0" quotePrefix="1" applyFont="1" applyAlignment="1">
      <alignment horizontal="left"/>
    </xf>
    <xf numFmtId="0" fontId="14" fillId="0" borderId="3" xfId="0" applyFont="1" applyBorder="1" applyAlignment="1">
      <alignment horizontal="left"/>
    </xf>
    <xf numFmtId="0" fontId="14" fillId="0" borderId="5" xfId="0" applyFont="1" applyBorder="1" applyAlignment="1">
      <alignment horizontal="center"/>
    </xf>
    <xf numFmtId="0" fontId="2" fillId="0" borderId="6" xfId="0" applyFont="1" applyBorder="1"/>
    <xf numFmtId="0" fontId="2" fillId="0" borderId="8" xfId="0" applyFont="1" applyBorder="1"/>
    <xf numFmtId="0" fontId="2" fillId="0" borderId="5" xfId="0" applyFont="1" applyBorder="1"/>
    <xf numFmtId="0" fontId="9" fillId="0" borderId="0" xfId="0" applyFont="1"/>
    <xf numFmtId="0" fontId="18" fillId="0" borderId="0" xfId="0" applyFont="1"/>
    <xf numFmtId="0" fontId="9" fillId="0" borderId="0" xfId="0" quotePrefix="1" applyFont="1"/>
    <xf numFmtId="0" fontId="10" fillId="0" borderId="0" xfId="0" quotePrefix="1" applyFont="1"/>
    <xf numFmtId="0" fontId="15" fillId="0" borderId="0" xfId="0" quotePrefix="1" applyFont="1"/>
    <xf numFmtId="0" fontId="20" fillId="0" borderId="0" xfId="0" applyFont="1"/>
    <xf numFmtId="0" fontId="19" fillId="0" borderId="0" xfId="0" applyFont="1"/>
    <xf numFmtId="0" fontId="17" fillId="0" borderId="0" xfId="0" applyFont="1"/>
    <xf numFmtId="0" fontId="16" fillId="0" borderId="0" xfId="0" quotePrefix="1" applyFont="1"/>
    <xf numFmtId="0" fontId="14" fillId="17" borderId="3" xfId="0" applyFont="1" applyFill="1" applyBorder="1" applyAlignment="1">
      <alignment horizontal="center"/>
    </xf>
    <xf numFmtId="0" fontId="14" fillId="18" borderId="3" xfId="0" applyFont="1" applyFill="1" applyBorder="1" applyAlignment="1">
      <alignment horizontal="center"/>
    </xf>
    <xf numFmtId="0" fontId="14" fillId="2" borderId="3" xfId="0" applyFont="1" applyFill="1" applyBorder="1"/>
    <xf numFmtId="0" fontId="14" fillId="3" borderId="3" xfId="0" applyFont="1" applyFill="1" applyBorder="1"/>
    <xf numFmtId="0" fontId="14" fillId="4" borderId="3" xfId="0" applyFont="1" applyFill="1" applyBorder="1"/>
    <xf numFmtId="0" fontId="10" fillId="0" borderId="0" xfId="0" applyFont="1"/>
    <xf numFmtId="0" fontId="3" fillId="0" borderId="6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quotePrefix="1" applyFont="1" applyAlignment="1">
      <alignment horizontal="left"/>
    </xf>
    <xf numFmtId="0" fontId="15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22" fillId="20" borderId="3" xfId="0" applyFont="1" applyFill="1" applyBorder="1" applyAlignment="1">
      <alignment horizontal="center"/>
    </xf>
    <xf numFmtId="0" fontId="22" fillId="21" borderId="3" xfId="0" applyFont="1" applyFill="1" applyBorder="1" applyAlignment="1">
      <alignment horizontal="center"/>
    </xf>
    <xf numFmtId="0" fontId="22" fillId="22" borderId="3" xfId="0" applyFont="1" applyFill="1" applyBorder="1" applyAlignment="1">
      <alignment horizontal="center"/>
    </xf>
    <xf numFmtId="0" fontId="22" fillId="9" borderId="3" xfId="0" applyFont="1" applyFill="1" applyBorder="1"/>
    <xf numFmtId="0" fontId="22" fillId="10" borderId="3" xfId="0" applyFont="1" applyFill="1" applyBorder="1"/>
    <xf numFmtId="0" fontId="22" fillId="11" borderId="3" xfId="0" applyFont="1" applyFill="1" applyBorder="1"/>
    <xf numFmtId="0" fontId="22" fillId="12" borderId="3" xfId="0" applyFont="1" applyFill="1" applyBorder="1"/>
    <xf numFmtId="0" fontId="22" fillId="8" borderId="3" xfId="0" applyFont="1" applyFill="1" applyBorder="1"/>
    <xf numFmtId="0" fontId="22" fillId="13" borderId="3" xfId="0" applyFont="1" applyFill="1" applyBorder="1"/>
    <xf numFmtId="0" fontId="22" fillId="14" borderId="3" xfId="0" applyFont="1" applyFill="1" applyBorder="1"/>
    <xf numFmtId="0" fontId="22" fillId="15" borderId="3" xfId="0" applyFont="1" applyFill="1" applyBorder="1"/>
    <xf numFmtId="0" fontId="22" fillId="16" borderId="3" xfId="0" applyFont="1" applyFill="1" applyBorder="1"/>
    <xf numFmtId="0" fontId="22" fillId="17" borderId="3" xfId="0" applyFont="1" applyFill="1" applyBorder="1"/>
    <xf numFmtId="0" fontId="22" fillId="18" borderId="3" xfId="0" applyFont="1" applyFill="1" applyBorder="1"/>
    <xf numFmtId="0" fontId="22" fillId="19" borderId="3" xfId="0" applyFont="1" applyFill="1" applyBorder="1"/>
    <xf numFmtId="0" fontId="22" fillId="5" borderId="3" xfId="0" applyFont="1" applyFill="1" applyBorder="1" applyAlignment="1">
      <alignment horizontal="center"/>
    </xf>
    <xf numFmtId="0" fontId="22" fillId="7" borderId="3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22" fillId="6" borderId="3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5" xfId="0" applyFont="1" applyBorder="1"/>
    <xf numFmtId="0" fontId="10" fillId="0" borderId="6" xfId="0" applyFont="1" applyBorder="1"/>
    <xf numFmtId="0" fontId="10" fillId="0" borderId="6" xfId="0" applyFont="1" applyBorder="1" applyAlignment="1">
      <alignment horizontal="center"/>
    </xf>
    <xf numFmtId="0" fontId="10" fillId="0" borderId="0" xfId="0" quotePrefix="1" applyFont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0" borderId="3" xfId="0" applyFont="1" applyBorder="1"/>
    <xf numFmtId="0" fontId="10" fillId="0" borderId="6" xfId="0" applyFont="1" applyBorder="1" applyAlignment="1">
      <alignment horizontal="left"/>
    </xf>
    <xf numFmtId="0" fontId="10" fillId="0" borderId="8" xfId="0" applyFont="1" applyBorder="1"/>
    <xf numFmtId="0" fontId="10" fillId="0" borderId="12" xfId="0" applyFont="1" applyBorder="1"/>
    <xf numFmtId="0" fontId="14" fillId="0" borderId="13" xfId="0" applyFont="1" applyBorder="1" applyAlignment="1">
      <alignment horizontal="left"/>
    </xf>
    <xf numFmtId="0" fontId="19" fillId="0" borderId="0" xfId="0" applyFont="1" applyAlignment="1">
      <alignment horizontal="left"/>
    </xf>
    <xf numFmtId="0" fontId="22" fillId="0" borderId="3" xfId="0" quotePrefix="1" applyFont="1" applyBorder="1" applyAlignment="1">
      <alignment horizontal="center"/>
    </xf>
    <xf numFmtId="0" fontId="22" fillId="0" borderId="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17" fillId="0" borderId="0" xfId="0" quotePrefix="1" applyFont="1" applyAlignment="1">
      <alignment horizontal="center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8" fillId="0" borderId="0" xfId="0" applyFont="1" applyAlignment="1">
      <alignment horizontal="center"/>
    </xf>
    <xf numFmtId="0" fontId="27" fillId="0" borderId="0" xfId="0" quotePrefix="1" applyFont="1" applyAlignment="1">
      <alignment horizontal="center"/>
    </xf>
    <xf numFmtId="0" fontId="27" fillId="0" borderId="0" xfId="0" quotePrefix="1" applyFont="1"/>
    <xf numFmtId="0" fontId="26" fillId="0" borderId="0" xfId="0" applyFont="1" applyAlignment="1">
      <alignment horizontal="left"/>
    </xf>
    <xf numFmtId="0" fontId="24" fillId="0" borderId="5" xfId="0" applyFont="1" applyBorder="1"/>
    <xf numFmtId="0" fontId="24" fillId="0" borderId="6" xfId="0" applyFont="1" applyBorder="1"/>
    <xf numFmtId="0" fontId="24" fillId="0" borderId="6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8" fillId="0" borderId="11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6" xfId="0" quotePrefix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0" fillId="0" borderId="0" xfId="0" quotePrefix="1" applyFont="1"/>
    <xf numFmtId="0" fontId="22" fillId="0" borderId="1" xfId="0" applyFont="1" applyBorder="1"/>
    <xf numFmtId="0" fontId="22" fillId="0" borderId="1" xfId="0" applyFont="1" applyBorder="1" applyAlignment="1">
      <alignment horizontal="center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1" fontId="22" fillId="0" borderId="3" xfId="0" applyNumberFormat="1" applyFont="1" applyBorder="1" applyAlignment="1">
      <alignment horizontal="center"/>
    </xf>
    <xf numFmtId="9" fontId="22" fillId="0" borderId="3" xfId="1" applyFont="1" applyBorder="1" applyAlignment="1">
      <alignment horizontal="center"/>
    </xf>
    <xf numFmtId="0" fontId="22" fillId="0" borderId="3" xfId="0" quotePrefix="1" applyFont="1" applyBorder="1"/>
    <xf numFmtId="0" fontId="2" fillId="23" borderId="3" xfId="0" applyFont="1" applyFill="1" applyBorder="1" applyAlignment="1">
      <alignment vertical="center" wrapText="1"/>
    </xf>
    <xf numFmtId="0" fontId="2" fillId="24" borderId="3" xfId="0" applyFont="1" applyFill="1" applyBorder="1" applyAlignment="1">
      <alignment vertical="center" wrapText="1"/>
    </xf>
    <xf numFmtId="0" fontId="2" fillId="25" borderId="3" xfId="0" applyFont="1" applyFill="1" applyBorder="1" applyAlignment="1">
      <alignment vertical="center" wrapText="1"/>
    </xf>
    <xf numFmtId="0" fontId="2" fillId="23" borderId="3" xfId="0" applyFont="1" applyFill="1" applyBorder="1" applyAlignment="1">
      <alignment horizontal="center" vertical="center"/>
    </xf>
    <xf numFmtId="0" fontId="2" fillId="24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2" fillId="0" borderId="3" xfId="0" quotePrefix="1" applyFont="1" applyBorder="1" applyAlignment="1">
      <alignment horizontal="left"/>
    </xf>
    <xf numFmtId="0" fontId="22" fillId="24" borderId="3" xfId="0" applyFont="1" applyFill="1" applyBorder="1" applyAlignment="1">
      <alignment horizontal="center"/>
    </xf>
    <xf numFmtId="0" fontId="22" fillId="24" borderId="9" xfId="0" applyFont="1" applyFill="1" applyBorder="1" applyAlignment="1">
      <alignment horizontal="center"/>
    </xf>
    <xf numFmtId="0" fontId="22" fillId="24" borderId="4" xfId="0" applyFont="1" applyFill="1" applyBorder="1" applyAlignment="1">
      <alignment horizontal="center"/>
    </xf>
    <xf numFmtId="0" fontId="22" fillId="24" borderId="10" xfId="0" applyFont="1" applyFill="1" applyBorder="1" applyAlignment="1">
      <alignment horizontal="center"/>
    </xf>
    <xf numFmtId="0" fontId="2" fillId="0" borderId="12" xfId="0" applyFont="1" applyBorder="1" applyAlignment="1">
      <alignment horizontal="left"/>
    </xf>
    <xf numFmtId="0" fontId="14" fillId="24" borderId="3" xfId="0" applyFont="1" applyFill="1" applyBorder="1" applyAlignment="1">
      <alignment horizontal="left"/>
    </xf>
    <xf numFmtId="0" fontId="22" fillId="24" borderId="3" xfId="0" applyFont="1" applyFill="1" applyBorder="1" applyAlignment="1">
      <alignment horizontal="left"/>
    </xf>
    <xf numFmtId="0" fontId="22" fillId="25" borderId="3" xfId="0" applyFont="1" applyFill="1" applyBorder="1"/>
    <xf numFmtId="0" fontId="22" fillId="25" borderId="3" xfId="0" applyFont="1" applyFill="1" applyBorder="1" applyAlignment="1">
      <alignment horizontal="center"/>
    </xf>
    <xf numFmtId="0" fontId="21" fillId="25" borderId="1" xfId="0" applyFont="1" applyFill="1" applyBorder="1"/>
    <xf numFmtId="0" fontId="21" fillId="25" borderId="1" xfId="0" applyFont="1" applyFill="1" applyBorder="1" applyAlignment="1">
      <alignment horizontal="center"/>
    </xf>
    <xf numFmtId="0" fontId="14" fillId="23" borderId="3" xfId="0" applyFont="1" applyFill="1" applyBorder="1" applyAlignment="1">
      <alignment horizontal="center"/>
    </xf>
    <xf numFmtId="0" fontId="14" fillId="23" borderId="7" xfId="0" applyFont="1" applyFill="1" applyBorder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ACFDA0B0-45BC-4157-A693-B47EAC49BA3F}"/>
  </tableStyles>
  <colors>
    <mruColors>
      <color rgb="FFC9DEF3"/>
      <color rgb="FFFFE389"/>
      <color rgb="FFC1F1C7"/>
      <color rgb="FFC0C0C0"/>
      <color rgb="FFFFCF37"/>
      <color rgb="FF83E28E"/>
      <color rgb="FFA6C9EC"/>
      <color rgb="FF50C878"/>
      <color rgb="FF282828"/>
      <color rgb="FF1E1E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6350</xdr:colOff>
      <xdr:row>0</xdr:row>
      <xdr:rowOff>190500</xdr:rowOff>
    </xdr:from>
    <xdr:to>
      <xdr:col>3</xdr:col>
      <xdr:colOff>1589615</xdr:colOff>
      <xdr:row>5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939B26-88C9-4B85-9585-F85AD84558F1}"/>
            </a:ext>
          </a:extLst>
        </xdr:cNvPr>
        <xdr:cNvSpPr>
          <a:spLocks noChangeAspect="1"/>
        </xdr:cNvSpPr>
      </xdr:nvSpPr>
      <xdr:spPr>
        <a:xfrm>
          <a:off x="1663700" y="190500"/>
          <a:ext cx="26214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61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E109B9-180F-42AC-B239-C4B07134FF1B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EB9EC7BF-979B-4F3F-88AB-5BC9F13CB755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3AFCB-B3BF-4090-A50C-80F20CE17C6D}">
  <sheetPr codeName="Sheet1">
    <tabColor theme="0"/>
  </sheetPr>
  <dimension ref="A5:H35"/>
  <sheetViews>
    <sheetView showGridLines="0" showRowColHeaders="0" tabSelected="1" zoomScaleNormal="100" workbookViewId="0"/>
  </sheetViews>
  <sheetFormatPr defaultColWidth="0" defaultRowHeight="16.5"/>
  <cols>
    <col min="1" max="1" width="8.6640625" style="1" customWidth="1"/>
    <col min="2" max="2" width="13.08203125" style="1" customWidth="1"/>
    <col min="3" max="3" width="13.58203125" style="1" customWidth="1"/>
    <col min="4" max="4" width="58.25" style="1" customWidth="1"/>
    <col min="5" max="5" width="20" style="1" customWidth="1"/>
    <col min="6" max="8" width="0" style="1" hidden="1" customWidth="1"/>
    <col min="9" max="16384" width="8.6640625" style="1" hidden="1"/>
  </cols>
  <sheetData>
    <row r="5" spans="3:5">
      <c r="C5" s="4"/>
    </row>
    <row r="6" spans="3:5" ht="22.5" customHeight="1">
      <c r="C6" s="4"/>
      <c r="E6"/>
    </row>
    <row r="7" spans="3:5">
      <c r="C7" s="9" t="s">
        <v>397</v>
      </c>
      <c r="E7"/>
    </row>
    <row r="8" spans="3:5">
      <c r="C8" s="3" t="s">
        <v>400</v>
      </c>
      <c r="E8"/>
    </row>
    <row r="9" spans="3:5">
      <c r="C9" s="4"/>
    </row>
    <row r="10" spans="3:5">
      <c r="C10" s="12" t="s">
        <v>389</v>
      </c>
    </row>
    <row r="11" spans="3:5">
      <c r="C11" s="1" t="s">
        <v>390</v>
      </c>
    </row>
    <row r="12" spans="3:5">
      <c r="C12" s="1" t="s">
        <v>391</v>
      </c>
    </row>
    <row r="14" spans="3:5">
      <c r="C14" s="5" t="s">
        <v>398</v>
      </c>
      <c r="D14" s="5" t="s">
        <v>399</v>
      </c>
    </row>
    <row r="15" spans="3:5" ht="25" customHeight="1">
      <c r="C15" s="139" t="s">
        <v>2</v>
      </c>
      <c r="D15" s="136" t="s">
        <v>408</v>
      </c>
    </row>
    <row r="16" spans="3:5" ht="25" customHeight="1">
      <c r="C16" s="139" t="s">
        <v>388</v>
      </c>
      <c r="D16" s="136" t="s">
        <v>407</v>
      </c>
    </row>
    <row r="17" spans="2:7" ht="25" customHeight="1">
      <c r="C17" s="20"/>
      <c r="D17" s="19"/>
    </row>
    <row r="18" spans="2:7" ht="25" customHeight="1">
      <c r="C18" s="140" t="s">
        <v>5</v>
      </c>
      <c r="D18" s="137" t="s">
        <v>406</v>
      </c>
    </row>
    <row r="19" spans="2:7" ht="25" customHeight="1">
      <c r="C19" s="140" t="s">
        <v>288</v>
      </c>
      <c r="D19" s="137" t="s">
        <v>405</v>
      </c>
    </row>
    <row r="20" spans="2:7" ht="25" customHeight="1">
      <c r="C20" s="140" t="s">
        <v>3</v>
      </c>
      <c r="D20" s="137" t="s">
        <v>404</v>
      </c>
    </row>
    <row r="21" spans="2:7" ht="25" customHeight="1">
      <c r="C21" s="140" t="s">
        <v>4</v>
      </c>
      <c r="D21" s="137" t="s">
        <v>403</v>
      </c>
    </row>
    <row r="22" spans="2:7" ht="25" customHeight="1">
      <c r="C22" s="20"/>
      <c r="D22" s="19"/>
    </row>
    <row r="23" spans="2:7" ht="25" customHeight="1">
      <c r="C23" s="141" t="s">
        <v>0</v>
      </c>
      <c r="D23" s="138" t="s">
        <v>402</v>
      </c>
    </row>
    <row r="24" spans="2:7" ht="25" customHeight="1">
      <c r="C24" s="141" t="s">
        <v>1</v>
      </c>
      <c r="D24" s="138" t="s">
        <v>401</v>
      </c>
    </row>
    <row r="28" spans="2:7" ht="19">
      <c r="E28" s="17"/>
      <c r="F28" s="18"/>
      <c r="G28" s="17"/>
    </row>
    <row r="29" spans="2:7" ht="19">
      <c r="E29" s="17"/>
      <c r="F29" s="18"/>
      <c r="G29" s="17"/>
    </row>
    <row r="31" spans="2:7">
      <c r="B31" s="4"/>
      <c r="C31" s="4"/>
      <c r="D31" s="4"/>
    </row>
    <row r="32" spans="2:7">
      <c r="B32" s="4"/>
      <c r="C32" s="4"/>
      <c r="D32" s="4"/>
    </row>
    <row r="33" spans="2:4">
      <c r="B33" s="4"/>
      <c r="C33" s="4"/>
      <c r="D33" s="4"/>
    </row>
    <row r="34" spans="2:4">
      <c r="B34" s="4"/>
      <c r="C34" s="4"/>
      <c r="D34" s="4"/>
    </row>
    <row r="35" spans="2:4">
      <c r="B35" s="4"/>
      <c r="C35" s="4"/>
      <c r="D35" s="4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E08DB-8125-4A67-B005-63CF819E0D4F}">
  <sheetPr codeName="Sheet4">
    <tabColor rgb="FFC9DEF3"/>
  </sheetPr>
  <dimension ref="B2:W83"/>
  <sheetViews>
    <sheetView zoomScaleNormal="100" workbookViewId="0"/>
  </sheetViews>
  <sheetFormatPr defaultRowHeight="16.5"/>
  <cols>
    <col min="1" max="1" width="5.5" style="4" customWidth="1"/>
    <col min="2" max="2" width="4.75" style="4" bestFit="1" customWidth="1"/>
    <col min="3" max="3" width="4.9140625" style="4" customWidth="1"/>
    <col min="4" max="4" width="4" style="4" bestFit="1" customWidth="1"/>
    <col min="5" max="5" width="8" style="4" customWidth="1"/>
    <col min="6" max="6" width="5.25" style="4" bestFit="1" customWidth="1"/>
    <col min="7" max="7" width="4" style="4" customWidth="1"/>
    <col min="8" max="8" width="7.4140625" style="4" customWidth="1"/>
    <col min="9" max="9" width="8.6640625" style="4"/>
    <col min="10" max="10" width="18" style="4" bestFit="1" customWidth="1"/>
    <col min="11" max="11" width="10.83203125" style="4" bestFit="1" customWidth="1"/>
    <col min="12" max="12" width="11.25" style="4" bestFit="1" customWidth="1"/>
    <col min="13" max="14" width="5.5" style="4" customWidth="1"/>
    <col min="15" max="15" width="12.25" style="4" customWidth="1"/>
    <col min="16" max="16" width="8.6640625" style="4"/>
    <col min="17" max="17" width="15.83203125" style="4" bestFit="1" customWidth="1"/>
    <col min="18" max="19" width="4.5" style="4" customWidth="1"/>
    <col min="20" max="20" width="21.33203125" style="4" customWidth="1"/>
    <col min="21" max="21" width="6.1640625" style="4" customWidth="1"/>
    <col min="22" max="22" width="21" style="4" bestFit="1" customWidth="1"/>
    <col min="23" max="23" width="21.58203125" style="4" bestFit="1" customWidth="1"/>
    <col min="24" max="16384" width="8.6640625" style="4"/>
  </cols>
  <sheetData>
    <row r="2" spans="2:23">
      <c r="B2" s="9" t="s">
        <v>332</v>
      </c>
    </row>
    <row r="3" spans="2:23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</row>
    <row r="4" spans="2:23">
      <c r="F4" s="27" t="s">
        <v>150</v>
      </c>
      <c r="H4" s="34"/>
      <c r="M4" s="34"/>
      <c r="O4" s="28" t="s">
        <v>166</v>
      </c>
      <c r="R4" s="34"/>
      <c r="V4" s="28" t="s">
        <v>175</v>
      </c>
      <c r="W4" s="11"/>
    </row>
    <row r="5" spans="2:23">
      <c r="B5" s="31" t="s">
        <v>148</v>
      </c>
      <c r="D5" s="31" t="s">
        <v>149</v>
      </c>
      <c r="F5" s="26" t="s">
        <v>151</v>
      </c>
      <c r="H5" s="34"/>
      <c r="J5" s="32" t="s">
        <v>152</v>
      </c>
      <c r="L5" s="32" t="s">
        <v>157</v>
      </c>
      <c r="M5" s="34"/>
      <c r="O5" s="33" t="s">
        <v>172</v>
      </c>
      <c r="Q5" s="33" t="s">
        <v>173</v>
      </c>
      <c r="R5" s="34"/>
      <c r="T5" s="29" t="s">
        <v>174</v>
      </c>
      <c r="U5" s="29"/>
      <c r="V5" s="25" t="s">
        <v>191</v>
      </c>
      <c r="W5" s="11"/>
    </row>
    <row r="6" spans="2:23">
      <c r="B6" s="24" t="s">
        <v>114</v>
      </c>
      <c r="D6" s="24" t="s">
        <v>146</v>
      </c>
      <c r="F6" s="24" t="str" cm="1">
        <f t="array" ref="F6:G57">Pairwiseλ(Rank,Suit)</f>
        <v>A</v>
      </c>
      <c r="G6" s="22" t="str">
        <v>♠</v>
      </c>
      <c r="H6" s="34"/>
      <c r="J6" s="24" t="s">
        <v>153</v>
      </c>
      <c r="L6" s="24" t="s">
        <v>161</v>
      </c>
      <c r="M6" s="34"/>
      <c r="O6" s="24" t="s">
        <v>169</v>
      </c>
      <c r="Q6" s="24" t="s">
        <v>167</v>
      </c>
      <c r="R6" s="34"/>
      <c r="T6" s="24" t="s">
        <v>186</v>
      </c>
      <c r="U6" s="30"/>
      <c r="V6" s="24" t="str" cm="1">
        <f t="array" ref="V6:W20">Pairwiseλ("Cleveland Cavaliers",West)</f>
        <v>Cleveland Cavaliers</v>
      </c>
      <c r="W6" s="24" t="str">
        <v>Dallas Mavericks</v>
      </c>
    </row>
    <row r="7" spans="2:23">
      <c r="B7" s="24" t="s">
        <v>141</v>
      </c>
      <c r="D7" s="23" t="s">
        <v>145</v>
      </c>
      <c r="E7" s="2"/>
      <c r="F7" s="24" t="str">
        <v>A</v>
      </c>
      <c r="G7" s="23" t="str">
        <v>♥</v>
      </c>
      <c r="H7" s="34"/>
      <c r="J7" s="24" t="s">
        <v>154</v>
      </c>
      <c r="L7" s="24" t="s">
        <v>160</v>
      </c>
      <c r="M7" s="34"/>
      <c r="O7" s="24" t="s">
        <v>111</v>
      </c>
      <c r="Q7" s="24" t="s">
        <v>113</v>
      </c>
      <c r="R7" s="34"/>
      <c r="T7" s="24" t="s">
        <v>176</v>
      </c>
      <c r="U7" s="30"/>
      <c r="V7" s="24" t="str">
        <v>Cleveland Cavaliers</v>
      </c>
      <c r="W7" s="24" t="str">
        <v>Denver Nuggets</v>
      </c>
    </row>
    <row r="8" spans="2:23">
      <c r="B8" s="24" t="s">
        <v>142</v>
      </c>
      <c r="D8" s="23" t="s">
        <v>144</v>
      </c>
      <c r="F8" s="24" t="str">
        <v>A</v>
      </c>
      <c r="G8" s="23" t="str">
        <v>♦</v>
      </c>
      <c r="H8" s="34"/>
      <c r="J8" s="24" t="s">
        <v>155</v>
      </c>
      <c r="L8" s="24" t="s">
        <v>159</v>
      </c>
      <c r="M8" s="34"/>
      <c r="O8" s="24" t="s">
        <v>110</v>
      </c>
      <c r="Q8" s="24" t="s">
        <v>168</v>
      </c>
      <c r="R8" s="34"/>
      <c r="T8" s="24" t="s">
        <v>181</v>
      </c>
      <c r="U8" s="30"/>
      <c r="V8" s="24" t="str">
        <v>Cleveland Cavaliers</v>
      </c>
      <c r="W8" s="24" t="str">
        <v>Golden State Warriors</v>
      </c>
    </row>
    <row r="9" spans="2:23">
      <c r="B9" s="24" t="s">
        <v>143</v>
      </c>
      <c r="D9" s="24" t="s">
        <v>147</v>
      </c>
      <c r="F9" s="24" t="str">
        <v>A</v>
      </c>
      <c r="G9" s="22" t="str">
        <v>♣</v>
      </c>
      <c r="H9" s="34"/>
      <c r="J9" s="24" t="s">
        <v>156</v>
      </c>
      <c r="L9" s="24" t="s">
        <v>158</v>
      </c>
      <c r="M9" s="34"/>
      <c r="O9" s="24" t="s">
        <v>170</v>
      </c>
      <c r="R9" s="34"/>
      <c r="T9" s="24" t="s">
        <v>187</v>
      </c>
      <c r="U9" s="30"/>
      <c r="V9" s="24" t="str">
        <v>Cleveland Cavaliers</v>
      </c>
      <c r="W9" s="24" t="str">
        <v>Houston Rockets</v>
      </c>
    </row>
    <row r="10" spans="2:23">
      <c r="B10" s="24">
        <v>10</v>
      </c>
      <c r="F10" s="24" t="str">
        <v>K</v>
      </c>
      <c r="G10" s="22" t="str">
        <v>♠</v>
      </c>
      <c r="H10" s="34"/>
      <c r="J10" s="24" t="s">
        <v>162</v>
      </c>
      <c r="M10" s="34"/>
      <c r="R10" s="34"/>
      <c r="T10" s="24" t="s">
        <v>182</v>
      </c>
      <c r="U10" s="30"/>
      <c r="V10" s="24" t="str">
        <v>Cleveland Cavaliers</v>
      </c>
      <c r="W10" s="24" t="str">
        <v>Los Angeles Clippers</v>
      </c>
    </row>
    <row r="11" spans="2:23">
      <c r="B11" s="24">
        <v>9</v>
      </c>
      <c r="F11" s="24" t="str">
        <v>K</v>
      </c>
      <c r="G11" s="23" t="str">
        <v>♥</v>
      </c>
      <c r="H11" s="34"/>
      <c r="J11" s="24" t="s">
        <v>163</v>
      </c>
      <c r="M11" s="34"/>
      <c r="R11" s="34"/>
      <c r="T11" s="24" t="s">
        <v>183</v>
      </c>
      <c r="U11" s="30"/>
      <c r="V11" s="24" t="str">
        <v>Cleveland Cavaliers</v>
      </c>
      <c r="W11" s="24" t="str">
        <v>Los Angeles Lakers</v>
      </c>
    </row>
    <row r="12" spans="2:23">
      <c r="B12" s="24">
        <v>8</v>
      </c>
      <c r="F12" s="24" t="str">
        <v>K</v>
      </c>
      <c r="G12" s="23" t="str">
        <v>♦</v>
      </c>
      <c r="H12" s="34"/>
      <c r="J12" s="24" t="s">
        <v>164</v>
      </c>
      <c r="M12" s="34"/>
      <c r="R12" s="34"/>
      <c r="T12" s="24" t="s">
        <v>188</v>
      </c>
      <c r="U12" s="30"/>
      <c r="V12" s="24" t="str">
        <v>Cleveland Cavaliers</v>
      </c>
      <c r="W12" s="24" t="str">
        <v>Memphis Grizzlies</v>
      </c>
    </row>
    <row r="13" spans="2:23">
      <c r="B13" s="24">
        <v>7</v>
      </c>
      <c r="D13" s="5"/>
      <c r="F13" s="24" t="str">
        <v>K</v>
      </c>
      <c r="G13" s="22" t="str">
        <v>♣</v>
      </c>
      <c r="H13" s="34"/>
      <c r="M13" s="34"/>
      <c r="O13" s="28" t="s">
        <v>166</v>
      </c>
      <c r="P13" s="10"/>
      <c r="R13" s="34"/>
      <c r="T13" s="24" t="s">
        <v>177</v>
      </c>
      <c r="U13" s="30"/>
      <c r="V13" s="24" t="str">
        <v>Cleveland Cavaliers</v>
      </c>
      <c r="W13" s="24" t="str">
        <v>Minnesota Timberwolves</v>
      </c>
    </row>
    <row r="14" spans="2:23">
      <c r="B14" s="24">
        <v>6</v>
      </c>
      <c r="F14" s="24" t="str">
        <v>Q</v>
      </c>
      <c r="G14" s="22" t="str">
        <v>♠</v>
      </c>
      <c r="H14" s="35"/>
      <c r="J14" s="25" t="s">
        <v>165</v>
      </c>
      <c r="K14" s="14"/>
      <c r="M14" s="34"/>
      <c r="O14" s="25" t="s">
        <v>171</v>
      </c>
      <c r="P14" s="10"/>
      <c r="R14" s="34"/>
      <c r="T14" s="24" t="s">
        <v>189</v>
      </c>
      <c r="U14" s="30"/>
      <c r="V14" s="24" t="str">
        <v>Cleveland Cavaliers</v>
      </c>
      <c r="W14" s="24" t="str">
        <v>New Orleans Pelicans</v>
      </c>
    </row>
    <row r="15" spans="2:23">
      <c r="B15" s="24">
        <v>5</v>
      </c>
      <c r="F15" s="24" t="str">
        <v>Q</v>
      </c>
      <c r="G15" s="23" t="str">
        <v>♥</v>
      </c>
      <c r="H15" s="34"/>
      <c r="J15" s="24" t="str" cm="1">
        <f t="array" ref="J15:K42">Pairwiseλ(Flavors,Cones)</f>
        <v>Chocolate</v>
      </c>
      <c r="K15" s="24" t="str">
        <v>Waffle cone</v>
      </c>
      <c r="M15" s="34"/>
      <c r="O15" s="24" t="str" cm="1">
        <f t="array" ref="O15:P26">Pairwiseλ(GroupA,GroupB)</f>
        <v>Serena</v>
      </c>
      <c r="P15" s="24" t="str">
        <v>Andre</v>
      </c>
      <c r="R15" s="34"/>
      <c r="T15" s="24" t="s">
        <v>178</v>
      </c>
      <c r="U15" s="30"/>
      <c r="V15" s="24" t="str">
        <v>Cleveland Cavaliers</v>
      </c>
      <c r="W15" s="24" t="str">
        <v>Oklahoma City Thunder</v>
      </c>
    </row>
    <row r="16" spans="2:23">
      <c r="B16" s="24">
        <v>4</v>
      </c>
      <c r="F16" s="24" t="str">
        <v>Q</v>
      </c>
      <c r="G16" s="23" t="str">
        <v>♦</v>
      </c>
      <c r="H16" s="34"/>
      <c r="J16" s="24" t="str">
        <v>Chocolate</v>
      </c>
      <c r="K16" s="24" t="str">
        <v>Sugar cone</v>
      </c>
      <c r="M16" s="34"/>
      <c r="O16" s="24" t="str">
        <v>Serena</v>
      </c>
      <c r="P16" s="24" t="str">
        <v>John</v>
      </c>
      <c r="R16" s="34"/>
      <c r="T16" s="24" t="s">
        <v>184</v>
      </c>
      <c r="U16" s="30"/>
      <c r="V16" s="24" t="str">
        <v>Cleveland Cavaliers</v>
      </c>
      <c r="W16" s="24" t="str">
        <v>Phoenix Suns</v>
      </c>
    </row>
    <row r="17" spans="2:23">
      <c r="B17" s="24">
        <v>3</v>
      </c>
      <c r="F17" s="24" t="str">
        <v>Q</v>
      </c>
      <c r="G17" s="22" t="str">
        <v>♣</v>
      </c>
      <c r="H17" s="34"/>
      <c r="J17" s="24" t="str">
        <v>Chocolate</v>
      </c>
      <c r="K17" s="24" t="str">
        <v>Pretzel cone</v>
      </c>
      <c r="M17" s="34"/>
      <c r="O17" s="24" t="str">
        <v>Serena</v>
      </c>
      <c r="P17" s="24" t="str">
        <v>Martina</v>
      </c>
      <c r="R17" s="34"/>
      <c r="T17" s="24" t="s">
        <v>179</v>
      </c>
      <c r="U17" s="30"/>
      <c r="V17" s="24" t="str">
        <v>Cleveland Cavaliers</v>
      </c>
      <c r="W17" s="24" t="str">
        <v>Portland Trail Blazers</v>
      </c>
    </row>
    <row r="18" spans="2:23">
      <c r="B18" s="24">
        <v>2</v>
      </c>
      <c r="F18" s="24" t="str">
        <v>J</v>
      </c>
      <c r="G18" s="22" t="str">
        <v>♠</v>
      </c>
      <c r="H18" s="34"/>
      <c r="J18" s="24" t="str">
        <v>Chocolate</v>
      </c>
      <c r="K18" s="24" t="str">
        <v>Mini cone</v>
      </c>
      <c r="M18" s="34"/>
      <c r="O18" s="24" t="str">
        <v>Pete</v>
      </c>
      <c r="P18" s="24" t="str">
        <v>Andre</v>
      </c>
      <c r="R18" s="34"/>
      <c r="T18" s="24" t="s">
        <v>185</v>
      </c>
      <c r="U18" s="30"/>
      <c r="V18" s="24" t="str">
        <v>Cleveland Cavaliers</v>
      </c>
      <c r="W18" s="24" t="str">
        <v>Sacramento Kings</v>
      </c>
    </row>
    <row r="19" spans="2:23">
      <c r="F19" s="24" t="str">
        <v>J</v>
      </c>
      <c r="G19" s="23" t="str">
        <v>♥</v>
      </c>
      <c r="H19" s="34"/>
      <c r="J19" s="24" t="str">
        <v>Vanilla</v>
      </c>
      <c r="K19" s="24" t="str">
        <v>Waffle cone</v>
      </c>
      <c r="M19" s="34"/>
      <c r="O19" s="24" t="str">
        <v>Pete</v>
      </c>
      <c r="P19" s="24" t="str">
        <v>John</v>
      </c>
      <c r="R19" s="34"/>
      <c r="T19" s="24" t="s">
        <v>190</v>
      </c>
      <c r="U19" s="30"/>
      <c r="V19" s="24" t="str">
        <v>Cleveland Cavaliers</v>
      </c>
      <c r="W19" s="24" t="str">
        <v>San Antonio Spurs</v>
      </c>
    </row>
    <row r="20" spans="2:23">
      <c r="F20" s="24" t="str">
        <v>J</v>
      </c>
      <c r="G20" s="23" t="str">
        <v>♦</v>
      </c>
      <c r="H20" s="34"/>
      <c r="J20" s="24" t="str">
        <v>Vanilla</v>
      </c>
      <c r="K20" s="24" t="str">
        <v>Sugar cone</v>
      </c>
      <c r="M20" s="34"/>
      <c r="O20" s="24" t="str">
        <v>Pete</v>
      </c>
      <c r="P20" s="24" t="str">
        <v>Martina</v>
      </c>
      <c r="R20" s="34"/>
      <c r="T20" s="24" t="s">
        <v>180</v>
      </c>
      <c r="U20" s="30"/>
      <c r="V20" s="24" t="str">
        <v>Cleveland Cavaliers</v>
      </c>
      <c r="W20" s="24" t="str">
        <v>Utah Jazz</v>
      </c>
    </row>
    <row r="21" spans="2:23">
      <c r="F21" s="24" t="str">
        <v>J</v>
      </c>
      <c r="G21" s="22" t="str">
        <v>♣</v>
      </c>
      <c r="H21" s="34"/>
      <c r="J21" s="24" t="str">
        <v>Vanilla</v>
      </c>
      <c r="K21" s="24" t="str">
        <v>Pretzel cone</v>
      </c>
      <c r="M21" s="34"/>
      <c r="O21" s="24" t="str">
        <v>Bob</v>
      </c>
      <c r="P21" s="24" t="str">
        <v>Andre</v>
      </c>
      <c r="R21" s="34"/>
    </row>
    <row r="22" spans="2:23">
      <c r="F22" s="24">
        <v>10</v>
      </c>
      <c r="G22" s="22" t="str">
        <v>♠</v>
      </c>
      <c r="H22" s="34"/>
      <c r="J22" s="24" t="str">
        <v>Vanilla</v>
      </c>
      <c r="K22" s="24" t="str">
        <v>Mini cone</v>
      </c>
      <c r="M22" s="34"/>
      <c r="O22" s="24" t="str">
        <v>Bob</v>
      </c>
      <c r="P22" s="24" t="str">
        <v>John</v>
      </c>
      <c r="R22" s="34"/>
    </row>
    <row r="23" spans="2:23">
      <c r="F23" s="24">
        <v>10</v>
      </c>
      <c r="G23" s="23" t="str">
        <v>♥</v>
      </c>
      <c r="H23" s="34"/>
      <c r="J23" s="24" t="str">
        <v>Strawberry</v>
      </c>
      <c r="K23" s="24" t="str">
        <v>Waffle cone</v>
      </c>
      <c r="M23" s="34"/>
      <c r="O23" s="24" t="str">
        <v>Bob</v>
      </c>
      <c r="P23" s="24" t="str">
        <v>Martina</v>
      </c>
      <c r="R23" s="34"/>
    </row>
    <row r="24" spans="2:23">
      <c r="F24" s="24">
        <v>10</v>
      </c>
      <c r="G24" s="23" t="str">
        <v>♦</v>
      </c>
      <c r="H24" s="34"/>
      <c r="J24" s="24" t="str">
        <v>Strawberry</v>
      </c>
      <c r="K24" s="24" t="str">
        <v>Sugar cone</v>
      </c>
      <c r="M24" s="34"/>
      <c r="O24" s="24" t="str">
        <v>Lucy</v>
      </c>
      <c r="P24" s="24" t="str">
        <v>Andre</v>
      </c>
      <c r="R24" s="34"/>
    </row>
    <row r="25" spans="2:23">
      <c r="F25" s="24">
        <v>10</v>
      </c>
      <c r="G25" s="22" t="str">
        <v>♣</v>
      </c>
      <c r="H25" s="34"/>
      <c r="J25" s="24" t="str">
        <v>Strawberry</v>
      </c>
      <c r="K25" s="24" t="str">
        <v>Pretzel cone</v>
      </c>
      <c r="M25" s="34"/>
      <c r="O25" s="24" t="str">
        <v>Lucy</v>
      </c>
      <c r="P25" s="24" t="str">
        <v>John</v>
      </c>
      <c r="R25" s="34"/>
    </row>
    <row r="26" spans="2:23">
      <c r="F26" s="24">
        <v>9</v>
      </c>
      <c r="G26" s="22" t="str">
        <v>♠</v>
      </c>
      <c r="H26" s="34"/>
      <c r="J26" s="24" t="str">
        <v>Strawberry</v>
      </c>
      <c r="K26" s="24" t="str">
        <v>Mini cone</v>
      </c>
      <c r="M26" s="34"/>
      <c r="O26" s="24" t="str">
        <v>Lucy</v>
      </c>
      <c r="P26" s="24" t="str">
        <v>Martina</v>
      </c>
      <c r="R26" s="34"/>
    </row>
    <row r="27" spans="2:23">
      <c r="F27" s="24">
        <v>9</v>
      </c>
      <c r="G27" s="23" t="str">
        <v>♥</v>
      </c>
      <c r="H27" s="34"/>
      <c r="J27" s="24" t="str">
        <v>Butter Pecan</v>
      </c>
      <c r="K27" s="24" t="str">
        <v>Waffle cone</v>
      </c>
      <c r="M27" s="34"/>
      <c r="R27" s="34"/>
    </row>
    <row r="28" spans="2:23">
      <c r="F28" s="24">
        <v>9</v>
      </c>
      <c r="G28" s="23" t="str">
        <v>♦</v>
      </c>
      <c r="H28" s="34"/>
      <c r="J28" s="24" t="str">
        <v>Butter Pecan</v>
      </c>
      <c r="K28" s="24" t="str">
        <v>Sugar cone</v>
      </c>
      <c r="M28" s="34"/>
      <c r="R28" s="34"/>
    </row>
    <row r="29" spans="2:23">
      <c r="F29" s="24">
        <v>9</v>
      </c>
      <c r="G29" s="22" t="str">
        <v>♣</v>
      </c>
      <c r="H29" s="34"/>
      <c r="J29" s="24" t="str">
        <v>Butter Pecan</v>
      </c>
      <c r="K29" s="24" t="str">
        <v>Pretzel cone</v>
      </c>
      <c r="M29" s="34"/>
      <c r="R29" s="34"/>
    </row>
    <row r="30" spans="2:23">
      <c r="F30" s="24">
        <v>8</v>
      </c>
      <c r="G30" s="22" t="str">
        <v>♠</v>
      </c>
      <c r="H30" s="34"/>
      <c r="J30" s="24" t="str">
        <v>Butter Pecan</v>
      </c>
      <c r="K30" s="24" t="str">
        <v>Mini cone</v>
      </c>
      <c r="M30" s="34"/>
      <c r="R30" s="34"/>
    </row>
    <row r="31" spans="2:23">
      <c r="F31" s="24">
        <v>8</v>
      </c>
      <c r="G31" s="23" t="str">
        <v>♥</v>
      </c>
      <c r="H31" s="34"/>
      <c r="J31" s="24" t="str">
        <v>Butterscotch</v>
      </c>
      <c r="K31" s="24" t="str">
        <v>Waffle cone</v>
      </c>
      <c r="M31" s="34"/>
      <c r="R31" s="34"/>
    </row>
    <row r="32" spans="2:23">
      <c r="F32" s="24">
        <v>8</v>
      </c>
      <c r="G32" s="23" t="str">
        <v>♦</v>
      </c>
      <c r="H32" s="34"/>
      <c r="J32" s="24" t="str">
        <v>Butterscotch</v>
      </c>
      <c r="K32" s="24" t="str">
        <v>Sugar cone</v>
      </c>
      <c r="M32" s="34"/>
      <c r="R32" s="34"/>
    </row>
    <row r="33" spans="2:18">
      <c r="F33" s="24">
        <v>8</v>
      </c>
      <c r="G33" s="22" t="str">
        <v>♣</v>
      </c>
      <c r="H33" s="34"/>
      <c r="J33" s="24" t="str">
        <v>Butterscotch</v>
      </c>
      <c r="K33" s="24" t="str">
        <v>Pretzel cone</v>
      </c>
      <c r="M33" s="34"/>
      <c r="R33" s="34"/>
    </row>
    <row r="34" spans="2:18">
      <c r="B34" s="8"/>
      <c r="F34" s="24">
        <v>7</v>
      </c>
      <c r="G34" s="22" t="str">
        <v>♠</v>
      </c>
      <c r="H34" s="34"/>
      <c r="J34" s="24" t="str">
        <v>Butterscotch</v>
      </c>
      <c r="K34" s="24" t="str">
        <v>Mini cone</v>
      </c>
      <c r="M34" s="34"/>
      <c r="R34" s="34"/>
    </row>
    <row r="35" spans="2:18">
      <c r="B35" s="8"/>
      <c r="F35" s="24">
        <v>7</v>
      </c>
      <c r="G35" s="23" t="str">
        <v>♥</v>
      </c>
      <c r="H35" s="34"/>
      <c r="J35" s="24" t="str">
        <v>Mint Chocolate Chip</v>
      </c>
      <c r="K35" s="24" t="str">
        <v>Waffle cone</v>
      </c>
      <c r="M35" s="34"/>
      <c r="R35" s="34"/>
    </row>
    <row r="36" spans="2:18">
      <c r="B36" s="8"/>
      <c r="F36" s="24">
        <v>7</v>
      </c>
      <c r="G36" s="23" t="str">
        <v>♦</v>
      </c>
      <c r="H36" s="34"/>
      <c r="J36" s="24" t="str">
        <v>Mint Chocolate Chip</v>
      </c>
      <c r="K36" s="24" t="str">
        <v>Sugar cone</v>
      </c>
      <c r="M36" s="34"/>
      <c r="R36" s="34"/>
    </row>
    <row r="37" spans="2:18">
      <c r="B37" s="8"/>
      <c r="F37" s="24">
        <v>7</v>
      </c>
      <c r="G37" s="22" t="str">
        <v>♣</v>
      </c>
      <c r="H37" s="34"/>
      <c r="J37" s="24" t="str">
        <v>Mint Chocolate Chip</v>
      </c>
      <c r="K37" s="24" t="str">
        <v>Pretzel cone</v>
      </c>
      <c r="M37" s="34"/>
      <c r="R37" s="34"/>
    </row>
    <row r="38" spans="2:18">
      <c r="B38" s="8"/>
      <c r="F38" s="24">
        <v>6</v>
      </c>
      <c r="G38" s="22" t="str">
        <v>♠</v>
      </c>
      <c r="H38" s="34"/>
      <c r="J38" s="24" t="str">
        <v>Mint Chocolate Chip</v>
      </c>
      <c r="K38" s="24" t="str">
        <v>Mini cone</v>
      </c>
      <c r="M38" s="34"/>
      <c r="R38" s="34"/>
    </row>
    <row r="39" spans="2:18">
      <c r="B39" s="8"/>
      <c r="F39" s="24">
        <v>6</v>
      </c>
      <c r="G39" s="23" t="str">
        <v>♥</v>
      </c>
      <c r="H39" s="34"/>
      <c r="J39" s="24" t="str">
        <v>Neapolitan</v>
      </c>
      <c r="K39" s="24" t="str">
        <v>Waffle cone</v>
      </c>
      <c r="M39" s="34"/>
      <c r="R39" s="34"/>
    </row>
    <row r="40" spans="2:18">
      <c r="F40" s="24">
        <v>6</v>
      </c>
      <c r="G40" s="23" t="str">
        <v>♦</v>
      </c>
      <c r="H40" s="34"/>
      <c r="J40" s="24" t="str">
        <v>Neapolitan</v>
      </c>
      <c r="K40" s="24" t="str">
        <v>Sugar cone</v>
      </c>
      <c r="M40" s="34"/>
      <c r="R40" s="34"/>
    </row>
    <row r="41" spans="2:18">
      <c r="F41" s="24">
        <v>6</v>
      </c>
      <c r="G41" s="22" t="str">
        <v>♣</v>
      </c>
      <c r="H41" s="34"/>
      <c r="J41" s="24" t="str">
        <v>Neapolitan</v>
      </c>
      <c r="K41" s="24" t="str">
        <v>Pretzel cone</v>
      </c>
      <c r="M41" s="34"/>
      <c r="R41" s="34"/>
    </row>
    <row r="42" spans="2:18">
      <c r="F42" s="24">
        <v>5</v>
      </c>
      <c r="G42" s="22" t="str">
        <v>♠</v>
      </c>
      <c r="H42" s="34"/>
      <c r="J42" s="24" t="str">
        <v>Neapolitan</v>
      </c>
      <c r="K42" s="24" t="str">
        <v>Mini cone</v>
      </c>
      <c r="M42" s="34"/>
      <c r="R42" s="34"/>
    </row>
    <row r="43" spans="2:18">
      <c r="F43" s="24">
        <v>5</v>
      </c>
      <c r="G43" s="23" t="str">
        <v>♥</v>
      </c>
      <c r="H43" s="34"/>
      <c r="M43" s="34"/>
      <c r="R43" s="34"/>
    </row>
    <row r="44" spans="2:18">
      <c r="F44" s="24">
        <v>5</v>
      </c>
      <c r="G44" s="23" t="str">
        <v>♦</v>
      </c>
      <c r="H44" s="34"/>
      <c r="M44" s="34"/>
      <c r="R44" s="34"/>
    </row>
    <row r="45" spans="2:18">
      <c r="F45" s="24">
        <v>5</v>
      </c>
      <c r="G45" s="22" t="str">
        <v>♣</v>
      </c>
      <c r="H45" s="34"/>
      <c r="M45" s="34"/>
      <c r="R45" s="34"/>
    </row>
    <row r="46" spans="2:18">
      <c r="F46" s="24">
        <v>4</v>
      </c>
      <c r="G46" s="22" t="str">
        <v>♠</v>
      </c>
      <c r="H46" s="34"/>
      <c r="M46" s="34"/>
      <c r="R46" s="34"/>
    </row>
    <row r="47" spans="2:18">
      <c r="C47" s="8"/>
      <c r="F47" s="24">
        <v>4</v>
      </c>
      <c r="G47" s="23" t="str">
        <v>♥</v>
      </c>
      <c r="H47" s="34"/>
      <c r="M47" s="34"/>
      <c r="R47" s="34"/>
    </row>
    <row r="48" spans="2:18">
      <c r="C48" s="8"/>
      <c r="F48" s="24">
        <v>4</v>
      </c>
      <c r="G48" s="23" t="str">
        <v>♦</v>
      </c>
      <c r="H48" s="34"/>
      <c r="M48" s="34"/>
      <c r="R48" s="34"/>
    </row>
    <row r="49" spans="2:18">
      <c r="C49" s="8"/>
      <c r="F49" s="24">
        <v>4</v>
      </c>
      <c r="G49" s="22" t="str">
        <v>♣</v>
      </c>
      <c r="H49" s="34"/>
      <c r="M49" s="34"/>
      <c r="R49" s="34"/>
    </row>
    <row r="50" spans="2:18">
      <c r="C50" s="8"/>
      <c r="F50" s="24">
        <v>3</v>
      </c>
      <c r="G50" s="22" t="str">
        <v>♠</v>
      </c>
      <c r="H50" s="34"/>
      <c r="M50" s="34"/>
      <c r="R50" s="34"/>
    </row>
    <row r="51" spans="2:18">
      <c r="C51" s="8"/>
      <c r="F51" s="24">
        <v>3</v>
      </c>
      <c r="G51" s="23" t="str">
        <v>♥</v>
      </c>
      <c r="H51" s="34"/>
      <c r="M51" s="34"/>
      <c r="R51" s="34"/>
    </row>
    <row r="52" spans="2:18">
      <c r="C52" s="8"/>
      <c r="F52" s="24">
        <v>3</v>
      </c>
      <c r="G52" s="23" t="str">
        <v>♦</v>
      </c>
      <c r="H52" s="34"/>
      <c r="M52" s="34"/>
      <c r="R52" s="34"/>
    </row>
    <row r="53" spans="2:18">
      <c r="F53" s="24">
        <v>3</v>
      </c>
      <c r="G53" s="22" t="str">
        <v>♣</v>
      </c>
      <c r="H53" s="34"/>
      <c r="M53" s="34"/>
      <c r="R53" s="34"/>
    </row>
    <row r="54" spans="2:18">
      <c r="F54" s="24">
        <v>2</v>
      </c>
      <c r="G54" s="22" t="str">
        <v>♠</v>
      </c>
      <c r="H54" s="34"/>
      <c r="M54" s="34"/>
      <c r="R54" s="34"/>
    </row>
    <row r="55" spans="2:18">
      <c r="F55" s="24">
        <v>2</v>
      </c>
      <c r="G55" s="23" t="str">
        <v>♥</v>
      </c>
      <c r="H55" s="34"/>
      <c r="M55" s="34"/>
      <c r="R55" s="34"/>
    </row>
    <row r="56" spans="2:18">
      <c r="F56" s="24">
        <v>2</v>
      </c>
      <c r="G56" s="23" t="str">
        <v>♦</v>
      </c>
      <c r="H56" s="34"/>
      <c r="M56" s="34"/>
      <c r="R56" s="34"/>
    </row>
    <row r="57" spans="2:18">
      <c r="F57" s="24">
        <v>2</v>
      </c>
      <c r="G57" s="22" t="str">
        <v>♣</v>
      </c>
      <c r="H57" s="34"/>
      <c r="M57" s="34"/>
      <c r="R57" s="34"/>
    </row>
    <row r="58" spans="2:18">
      <c r="B58" s="8"/>
      <c r="H58" s="34"/>
      <c r="M58" s="34"/>
      <c r="R58" s="34"/>
    </row>
    <row r="59" spans="2:18">
      <c r="B59" s="8"/>
      <c r="H59" s="34"/>
      <c r="M59" s="34"/>
      <c r="R59" s="34"/>
    </row>
    <row r="60" spans="2:18">
      <c r="B60" s="8"/>
    </row>
    <row r="61" spans="2:18">
      <c r="B61" s="8"/>
    </row>
    <row r="62" spans="2:18">
      <c r="B62" s="8"/>
    </row>
    <row r="63" spans="2:18">
      <c r="B63" s="8"/>
    </row>
    <row r="70" spans="2:2">
      <c r="B70" s="8"/>
    </row>
    <row r="71" spans="2:2">
      <c r="B71" s="8"/>
    </row>
    <row r="72" spans="2:2">
      <c r="B72" s="8"/>
    </row>
    <row r="73" spans="2:2">
      <c r="B73" s="8"/>
    </row>
    <row r="74" spans="2:2">
      <c r="B74" s="8"/>
    </row>
    <row r="75" spans="2:2">
      <c r="B75" s="8"/>
    </row>
    <row r="82" spans="2:2">
      <c r="B82" s="8"/>
    </row>
    <row r="83" spans="2:2">
      <c r="B83" s="8"/>
    </row>
  </sheetData>
  <sortState xmlns:xlrd2="http://schemas.microsoft.com/office/spreadsheetml/2017/richdata2" ref="T6:T20">
    <sortCondition ref="T6:T20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527C-FBB3-43F0-BB5C-F49346CE221D}">
  <sheetPr>
    <tabColor rgb="FFC9DEF3"/>
  </sheetPr>
  <dimension ref="B2:P41"/>
  <sheetViews>
    <sheetView workbookViewId="0"/>
  </sheetViews>
  <sheetFormatPr defaultRowHeight="16.5"/>
  <cols>
    <col min="1" max="1" width="5" style="1" customWidth="1"/>
    <col min="2" max="2" width="12.25" style="4" bestFit="1" customWidth="1"/>
    <col min="3" max="4" width="10.75" style="4" bestFit="1" customWidth="1"/>
    <col min="5" max="5" width="9.25" style="4" bestFit="1" customWidth="1"/>
    <col min="6" max="7" width="8.75" style="4" customWidth="1"/>
    <col min="8" max="8" width="6.75" style="4" customWidth="1"/>
    <col min="9" max="9" width="12.5" style="1" bestFit="1" customWidth="1"/>
    <col min="10" max="10" width="17.58203125" style="1" bestFit="1" customWidth="1"/>
    <col min="11" max="11" width="8.6640625" style="1"/>
    <col min="12" max="12" width="5.5" style="1" customWidth="1"/>
    <col min="13" max="13" width="8.6640625" style="1"/>
    <col min="14" max="14" width="17.58203125" style="1" bestFit="1" customWidth="1"/>
    <col min="15" max="16384" width="8.6640625" style="1"/>
  </cols>
  <sheetData>
    <row r="2" spans="2:16">
      <c r="B2" s="9" t="s">
        <v>367</v>
      </c>
    </row>
    <row r="3" spans="2:16">
      <c r="B3" s="61"/>
      <c r="C3" s="36"/>
      <c r="D3" s="36"/>
      <c r="E3" s="36"/>
      <c r="F3" s="36"/>
      <c r="G3" s="36"/>
      <c r="H3" s="36"/>
      <c r="I3" s="43"/>
      <c r="J3" s="43"/>
      <c r="K3" s="43"/>
      <c r="L3" s="43"/>
      <c r="M3" s="43"/>
      <c r="N3" s="43"/>
      <c r="O3" s="43"/>
      <c r="P3" s="43"/>
    </row>
    <row r="4" spans="2:16">
      <c r="G4" s="34"/>
      <c r="I4" s="38" t="s">
        <v>382</v>
      </c>
      <c r="J4" s="38" t="s">
        <v>383</v>
      </c>
      <c r="K4" s="38" t="s">
        <v>371</v>
      </c>
      <c r="P4" s="44"/>
    </row>
    <row r="5" spans="2:16">
      <c r="E5" s="33" t="s">
        <v>356</v>
      </c>
      <c r="G5" s="34"/>
      <c r="I5" s="154">
        <v>1001</v>
      </c>
      <c r="J5" s="155" t="s">
        <v>372</v>
      </c>
      <c r="K5" s="154">
        <v>57</v>
      </c>
      <c r="P5" s="45"/>
    </row>
    <row r="6" spans="2:16">
      <c r="B6" s="33" t="s">
        <v>355</v>
      </c>
      <c r="D6" s="154" t="s">
        <v>361</v>
      </c>
      <c r="E6" s="154" t="s">
        <v>360</v>
      </c>
      <c r="F6" s="154" t="s">
        <v>362</v>
      </c>
      <c r="G6" s="42"/>
      <c r="I6" s="154">
        <v>1002</v>
      </c>
      <c r="J6" s="155" t="s">
        <v>373</v>
      </c>
      <c r="K6" s="154">
        <v>23</v>
      </c>
      <c r="P6" s="45"/>
    </row>
    <row r="7" spans="2:16">
      <c r="B7" s="154" t="s">
        <v>357</v>
      </c>
      <c r="D7" s="1"/>
      <c r="G7" s="34"/>
      <c r="I7" s="154">
        <v>1003</v>
      </c>
      <c r="J7" s="155" t="s">
        <v>374</v>
      </c>
      <c r="K7" s="154">
        <v>89</v>
      </c>
      <c r="P7" s="45"/>
    </row>
    <row r="8" spans="2:16">
      <c r="B8" s="154" t="s">
        <v>358</v>
      </c>
      <c r="D8" s="1"/>
      <c r="E8" s="33" t="s">
        <v>364</v>
      </c>
      <c r="G8" s="34"/>
      <c r="I8" s="154">
        <v>1004</v>
      </c>
      <c r="J8" s="155" t="s">
        <v>375</v>
      </c>
      <c r="K8" s="154">
        <v>12</v>
      </c>
      <c r="P8" s="45"/>
    </row>
    <row r="9" spans="2:16">
      <c r="B9" s="154" t="s">
        <v>359</v>
      </c>
      <c r="D9" s="154" t="s">
        <v>114</v>
      </c>
      <c r="E9" s="154" t="s">
        <v>365</v>
      </c>
      <c r="G9" s="34"/>
      <c r="I9" s="154">
        <v>1005</v>
      </c>
      <c r="J9" s="155" t="s">
        <v>376</v>
      </c>
      <c r="K9" s="154">
        <v>45</v>
      </c>
      <c r="P9" s="45"/>
    </row>
    <row r="10" spans="2:16">
      <c r="G10" s="34"/>
      <c r="I10" s="154">
        <v>1006</v>
      </c>
      <c r="J10" s="155" t="s">
        <v>377</v>
      </c>
      <c r="K10" s="154">
        <v>78</v>
      </c>
      <c r="P10" s="45"/>
    </row>
    <row r="11" spans="2:16">
      <c r="B11" s="15"/>
      <c r="C11" s="15"/>
      <c r="G11" s="34"/>
      <c r="I11" s="154">
        <v>1007</v>
      </c>
      <c r="J11" s="155" t="s">
        <v>378</v>
      </c>
      <c r="K11" s="154">
        <v>34</v>
      </c>
      <c r="P11" s="45"/>
    </row>
    <row r="12" spans="2:16">
      <c r="B12" s="40" t="s">
        <v>369</v>
      </c>
      <c r="C12" s="15"/>
      <c r="G12" s="34"/>
      <c r="I12" s="154">
        <v>1008</v>
      </c>
      <c r="J12" s="155" t="s">
        <v>379</v>
      </c>
      <c r="K12" s="154">
        <v>66</v>
      </c>
      <c r="P12" s="45"/>
    </row>
    <row r="13" spans="2:16">
      <c r="B13" s="26" t="s">
        <v>363</v>
      </c>
      <c r="G13" s="34"/>
      <c r="I13" s="154">
        <v>1009</v>
      </c>
      <c r="J13" s="155" t="s">
        <v>380</v>
      </c>
      <c r="K13" s="154">
        <v>29</v>
      </c>
      <c r="P13" s="45"/>
    </row>
    <row r="14" spans="2:16">
      <c r="B14" s="24" t="str" cm="1">
        <f t="array" ref="B14:C16">Zipλ(People,Places)</f>
        <v>Deb</v>
      </c>
      <c r="C14" s="24" t="str">
        <v>San Antonio</v>
      </c>
      <c r="G14" s="34"/>
      <c r="I14" s="154">
        <v>1010</v>
      </c>
      <c r="J14" s="155" t="s">
        <v>381</v>
      </c>
      <c r="K14" s="154">
        <v>91</v>
      </c>
      <c r="P14" s="45"/>
    </row>
    <row r="15" spans="2:16">
      <c r="B15" s="24" t="str">
        <v>Jon</v>
      </c>
      <c r="C15" s="24" t="str">
        <v>Cheyenne</v>
      </c>
      <c r="G15" s="34"/>
      <c r="I15" s="154">
        <v>1011</v>
      </c>
      <c r="J15" s="37"/>
      <c r="K15" s="154">
        <v>53</v>
      </c>
      <c r="P15" s="45"/>
    </row>
    <row r="16" spans="2:16">
      <c r="B16" s="24" t="str">
        <v>Fred</v>
      </c>
      <c r="C16" s="24" t="str">
        <v>Nashville</v>
      </c>
      <c r="G16" s="34"/>
      <c r="I16" s="154">
        <v>1012</v>
      </c>
      <c r="J16" s="37"/>
      <c r="K16" s="154">
        <v>18</v>
      </c>
      <c r="P16" s="45"/>
    </row>
    <row r="17" spans="2:16">
      <c r="G17" s="34"/>
      <c r="I17" s="154">
        <v>1013</v>
      </c>
      <c r="J17" s="37"/>
      <c r="K17" s="154">
        <v>72</v>
      </c>
      <c r="P17" s="45"/>
    </row>
    <row r="18" spans="2:16">
      <c r="G18" s="34"/>
      <c r="I18" s="154">
        <v>1014</v>
      </c>
      <c r="J18" s="37"/>
      <c r="K18" s="154">
        <v>37</v>
      </c>
      <c r="P18" s="45"/>
    </row>
    <row r="19" spans="2:16">
      <c r="B19" s="40" t="s">
        <v>368</v>
      </c>
      <c r="G19" s="34"/>
      <c r="I19" s="154">
        <v>1015</v>
      </c>
      <c r="J19" s="37"/>
      <c r="K19" s="154">
        <v>84</v>
      </c>
      <c r="P19" s="45"/>
    </row>
    <row r="20" spans="2:16">
      <c r="B20" s="26" t="s">
        <v>366</v>
      </c>
      <c r="G20" s="34"/>
      <c r="I20" s="154">
        <v>1016</v>
      </c>
      <c r="J20" s="37"/>
      <c r="K20" s="21"/>
      <c r="P20" s="45"/>
    </row>
    <row r="21" spans="2:16">
      <c r="B21" s="24" t="str" cm="1">
        <f t="array" ref="B21:D22">Zipλ(People,Places,Groups)</f>
        <v>Deb</v>
      </c>
      <c r="C21" s="24" t="str">
        <v>San Antonio</v>
      </c>
      <c r="D21" s="24" t="str">
        <v>A</v>
      </c>
      <c r="G21" s="34"/>
      <c r="I21" s="154">
        <v>1017</v>
      </c>
      <c r="J21" s="37"/>
      <c r="K21" s="21"/>
      <c r="P21" s="45"/>
    </row>
    <row r="22" spans="2:16">
      <c r="B22" s="24" t="str">
        <v>Jon</v>
      </c>
      <c r="C22" s="24" t="str">
        <v>Cheyenne</v>
      </c>
      <c r="D22" s="24" t="str">
        <v>B</v>
      </c>
      <c r="G22" s="34"/>
      <c r="I22" s="4"/>
      <c r="K22" s="4"/>
      <c r="P22" s="45"/>
    </row>
    <row r="23" spans="2:16">
      <c r="G23" s="34"/>
      <c r="I23" s="40" t="s">
        <v>387</v>
      </c>
      <c r="K23" s="4"/>
      <c r="M23" s="40" t="s">
        <v>370</v>
      </c>
      <c r="P23" s="45"/>
    </row>
    <row r="24" spans="2:16">
      <c r="G24" s="34"/>
      <c r="I24" s="26" t="s">
        <v>384</v>
      </c>
      <c r="K24" s="4"/>
      <c r="M24" s="26" t="s">
        <v>385</v>
      </c>
      <c r="P24" s="45"/>
    </row>
    <row r="25" spans="2:16">
      <c r="B25" s="40" t="s">
        <v>370</v>
      </c>
      <c r="C25" s="1"/>
      <c r="D25" s="1"/>
      <c r="G25" s="34"/>
      <c r="I25" s="24" cm="1">
        <f t="array" ref="I25:K34">Zipλ(ID,Items,In_Stock)</f>
        <v>1001</v>
      </c>
      <c r="J25" s="41" t="str">
        <v>Rubik's Cube</v>
      </c>
      <c r="K25" s="24">
        <v>57</v>
      </c>
      <c r="M25" s="24" cm="1">
        <f t="array" ref="M25:O41">Zipλ(ID,Items,In_Stock,,TRUE,"Missing")</f>
        <v>1001</v>
      </c>
      <c r="N25" s="41" t="str">
        <v>Rubik's Cube</v>
      </c>
      <c r="O25" s="24">
        <v>57</v>
      </c>
      <c r="P25" s="45"/>
    </row>
    <row r="26" spans="2:16">
      <c r="B26" s="26" t="s">
        <v>386</v>
      </c>
      <c r="G26" s="34"/>
      <c r="I26" s="24">
        <v>1002</v>
      </c>
      <c r="J26" s="41" t="str">
        <v>Tamagotchi</v>
      </c>
      <c r="K26" s="24">
        <v>23</v>
      </c>
      <c r="M26" s="24">
        <v>1002</v>
      </c>
      <c r="N26" s="41" t="str">
        <v>Tamagotchi</v>
      </c>
      <c r="O26" s="24">
        <v>23</v>
      </c>
      <c r="P26" s="45"/>
    </row>
    <row r="27" spans="2:16">
      <c r="B27" s="24" t="str" cm="1">
        <f t="array" ref="B27:D29">Zipλ(People,Places,Groups,,TRUE,"Unknown")</f>
        <v>Deb</v>
      </c>
      <c r="C27" s="24" t="str">
        <v>San Antonio</v>
      </c>
      <c r="D27" s="24" t="str">
        <v>A</v>
      </c>
      <c r="G27" s="34"/>
      <c r="I27" s="24">
        <v>1003</v>
      </c>
      <c r="J27" s="41" t="str">
        <v>Cabbage Patch Kids</v>
      </c>
      <c r="K27" s="24">
        <v>89</v>
      </c>
      <c r="M27" s="24">
        <v>1003</v>
      </c>
      <c r="N27" s="41" t="str">
        <v>Cabbage Patch Kids</v>
      </c>
      <c r="O27" s="24">
        <v>89</v>
      </c>
      <c r="P27" s="45"/>
    </row>
    <row r="28" spans="2:16">
      <c r="B28" s="24" t="str">
        <v>Jon</v>
      </c>
      <c r="C28" s="24" t="str">
        <v>Cheyenne</v>
      </c>
      <c r="D28" s="24" t="str">
        <v>B</v>
      </c>
      <c r="G28" s="34"/>
      <c r="I28" s="24">
        <v>1004</v>
      </c>
      <c r="J28" s="41" t="str">
        <v>G.I. Joe</v>
      </c>
      <c r="K28" s="24">
        <v>12</v>
      </c>
      <c r="M28" s="24">
        <v>1004</v>
      </c>
      <c r="N28" s="41" t="str">
        <v>G.I. Joe</v>
      </c>
      <c r="O28" s="24">
        <v>12</v>
      </c>
      <c r="P28" s="45"/>
    </row>
    <row r="29" spans="2:16">
      <c r="B29" s="24" t="str">
        <v>Fred</v>
      </c>
      <c r="C29" s="24" t="str">
        <v>Nashville</v>
      </c>
      <c r="D29" s="24" t="str">
        <v>Unknown</v>
      </c>
      <c r="G29" s="34"/>
      <c r="I29" s="24">
        <v>1005</v>
      </c>
      <c r="J29" s="41" t="str">
        <v>Lite-Brite</v>
      </c>
      <c r="K29" s="24">
        <v>45</v>
      </c>
      <c r="M29" s="24">
        <v>1005</v>
      </c>
      <c r="N29" s="41" t="str">
        <v>Lite-Brite</v>
      </c>
      <c r="O29" s="24">
        <v>45</v>
      </c>
      <c r="P29" s="45"/>
    </row>
    <row r="30" spans="2:16">
      <c r="G30" s="34"/>
      <c r="I30" s="24">
        <v>1006</v>
      </c>
      <c r="J30" s="41" t="str">
        <v>Beanie Babies</v>
      </c>
      <c r="K30" s="24">
        <v>78</v>
      </c>
      <c r="M30" s="24">
        <v>1006</v>
      </c>
      <c r="N30" s="41" t="str">
        <v>Beanie Babies</v>
      </c>
      <c r="O30" s="24">
        <v>78</v>
      </c>
      <c r="P30" s="45"/>
    </row>
    <row r="31" spans="2:16">
      <c r="G31" s="34"/>
      <c r="I31" s="24">
        <v>1007</v>
      </c>
      <c r="J31" s="41" t="str">
        <v>Pogs</v>
      </c>
      <c r="K31" s="24">
        <v>34</v>
      </c>
      <c r="M31" s="24">
        <v>1007</v>
      </c>
      <c r="N31" s="41" t="str">
        <v>Pogs</v>
      </c>
      <c r="O31" s="24">
        <v>34</v>
      </c>
      <c r="P31" s="45"/>
    </row>
    <row r="32" spans="2:16">
      <c r="G32" s="34"/>
      <c r="I32" s="24">
        <v>1008</v>
      </c>
      <c r="J32" s="41" t="str">
        <v>Transformers</v>
      </c>
      <c r="K32" s="24">
        <v>66</v>
      </c>
      <c r="M32" s="24">
        <v>1008</v>
      </c>
      <c r="N32" s="41" t="str">
        <v>Transformers</v>
      </c>
      <c r="O32" s="24">
        <v>66</v>
      </c>
      <c r="P32" s="45"/>
    </row>
    <row r="33" spans="7:16">
      <c r="G33" s="34"/>
      <c r="I33" s="24">
        <v>1009</v>
      </c>
      <c r="J33" s="41" t="str">
        <v>Polly Pocket</v>
      </c>
      <c r="K33" s="24">
        <v>29</v>
      </c>
      <c r="M33" s="24">
        <v>1009</v>
      </c>
      <c r="N33" s="41" t="str">
        <v>Polly Pocket</v>
      </c>
      <c r="O33" s="24">
        <v>29</v>
      </c>
      <c r="P33" s="45"/>
    </row>
    <row r="34" spans="7:16">
      <c r="G34" s="34"/>
      <c r="I34" s="24">
        <v>1010</v>
      </c>
      <c r="J34" s="41" t="str">
        <v>Furby</v>
      </c>
      <c r="K34" s="24">
        <v>91</v>
      </c>
      <c r="M34" s="24">
        <v>1010</v>
      </c>
      <c r="N34" s="41" t="str">
        <v>Furby</v>
      </c>
      <c r="O34" s="24">
        <v>91</v>
      </c>
      <c r="P34" s="45"/>
    </row>
    <row r="35" spans="7:16">
      <c r="G35" s="34"/>
      <c r="M35" s="24">
        <v>1011</v>
      </c>
      <c r="N35" s="41" t="str">
        <v>Missing</v>
      </c>
      <c r="O35" s="24">
        <v>53</v>
      </c>
      <c r="P35" s="45"/>
    </row>
    <row r="36" spans="7:16">
      <c r="G36" s="34"/>
      <c r="M36" s="24">
        <v>1012</v>
      </c>
      <c r="N36" s="41" t="str">
        <v>Missing</v>
      </c>
      <c r="O36" s="24">
        <v>18</v>
      </c>
      <c r="P36" s="45"/>
    </row>
    <row r="37" spans="7:16">
      <c r="G37" s="34"/>
      <c r="M37" s="24">
        <v>1013</v>
      </c>
      <c r="N37" s="41" t="str">
        <v>Missing</v>
      </c>
      <c r="O37" s="24">
        <v>72</v>
      </c>
      <c r="P37" s="45"/>
    </row>
    <row r="38" spans="7:16">
      <c r="G38" s="34"/>
      <c r="M38" s="24">
        <v>1014</v>
      </c>
      <c r="N38" s="41" t="str">
        <v>Missing</v>
      </c>
      <c r="O38" s="24">
        <v>37</v>
      </c>
      <c r="P38" s="45"/>
    </row>
    <row r="39" spans="7:16">
      <c r="G39" s="34"/>
      <c r="M39" s="24">
        <v>1015</v>
      </c>
      <c r="N39" s="41" t="str">
        <v>Missing</v>
      </c>
      <c r="O39" s="24">
        <v>84</v>
      </c>
      <c r="P39" s="45"/>
    </row>
    <row r="40" spans="7:16">
      <c r="G40" s="34"/>
      <c r="M40" s="24">
        <v>1016</v>
      </c>
      <c r="N40" s="41" t="str">
        <v>Missing</v>
      </c>
      <c r="O40" s="24" t="str">
        <v>Missing</v>
      </c>
      <c r="P40" s="45"/>
    </row>
    <row r="41" spans="7:16">
      <c r="G41" s="34"/>
      <c r="M41" s="24">
        <v>1017</v>
      </c>
      <c r="N41" s="41" t="str">
        <v>Missing</v>
      </c>
      <c r="O41" s="24" t="str">
        <v>Missing</v>
      </c>
      <c r="P41" s="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2D55-A3C8-4655-949C-028C7F6C087C}">
  <sheetPr codeName="Sheet5">
    <tabColor rgb="FFC1F1C7"/>
  </sheetPr>
  <dimension ref="B2:BG63"/>
  <sheetViews>
    <sheetView zoomScaleNormal="100" workbookViewId="0"/>
  </sheetViews>
  <sheetFormatPr defaultRowHeight="16.5"/>
  <cols>
    <col min="1" max="1" width="5" style="1" customWidth="1"/>
    <col min="2" max="2" width="5.08203125" style="1" customWidth="1"/>
    <col min="3" max="4" width="6.25" style="1" customWidth="1"/>
    <col min="5" max="5" width="5.58203125" style="1" customWidth="1"/>
    <col min="6" max="6" width="6.08203125" style="1" customWidth="1"/>
    <col min="7" max="7" width="5.08203125" style="1" customWidth="1"/>
    <col min="8" max="8" width="10.5" style="1" customWidth="1"/>
    <col min="9" max="9" width="17.75" style="1" bestFit="1" customWidth="1"/>
    <col min="10" max="10" width="22.5" style="1" bestFit="1" customWidth="1"/>
    <col min="11" max="11" width="7.33203125" style="1" bestFit="1" customWidth="1"/>
    <col min="12" max="12" width="12.25" style="1" bestFit="1" customWidth="1"/>
    <col min="13" max="13" width="15.08203125" style="1" bestFit="1" customWidth="1"/>
    <col min="14" max="14" width="7.33203125" style="1" bestFit="1" customWidth="1"/>
    <col min="15" max="15" width="15.08203125" style="1" bestFit="1" customWidth="1"/>
    <col min="16" max="16" width="14.75" style="1" bestFit="1" customWidth="1"/>
    <col min="17" max="17" width="7.33203125" style="1" bestFit="1" customWidth="1"/>
    <col min="18" max="18" width="14.75" style="1" bestFit="1" customWidth="1"/>
    <col min="19" max="19" width="16" style="1" bestFit="1" customWidth="1"/>
    <col min="20" max="20" width="7.33203125" style="1" bestFit="1" customWidth="1"/>
    <col min="21" max="21" width="16.08203125" style="1" bestFit="1" customWidth="1"/>
    <col min="22" max="22" width="19.75" style="1" bestFit="1" customWidth="1"/>
    <col min="23" max="23" width="7.33203125" style="1" bestFit="1" customWidth="1"/>
    <col min="24" max="24" width="17.75" style="1" bestFit="1" customWidth="1"/>
    <col min="25" max="25" width="18.08203125" style="1" bestFit="1" customWidth="1"/>
    <col min="26" max="26" width="7.33203125" style="1" bestFit="1" customWidth="1"/>
    <col min="27" max="27" width="14.83203125" style="1" bestFit="1" customWidth="1"/>
    <col min="28" max="28" width="20.83203125" style="1" bestFit="1" customWidth="1"/>
    <col min="29" max="29" width="7.33203125" style="1" bestFit="1" customWidth="1"/>
    <col min="30" max="30" width="12.75" style="1" bestFit="1" customWidth="1"/>
    <col min="31" max="31" width="15.25" style="1" bestFit="1" customWidth="1"/>
    <col min="32" max="32" width="7.33203125" style="1" bestFit="1" customWidth="1"/>
    <col min="33" max="33" width="11.5" style="1" bestFit="1" customWidth="1"/>
    <col min="34" max="34" width="17.58203125" style="1" bestFit="1" customWidth="1"/>
    <col min="35" max="35" width="7.33203125" style="1" bestFit="1" customWidth="1"/>
    <col min="36" max="36" width="14.33203125" style="1" bestFit="1" customWidth="1"/>
    <col min="37" max="37" width="18.75" style="1" bestFit="1" customWidth="1"/>
    <col min="38" max="38" width="7.33203125" style="1" bestFit="1" customWidth="1"/>
    <col min="39" max="39" width="11.83203125" style="1" bestFit="1" customWidth="1"/>
    <col min="40" max="40" width="9.83203125" style="1" bestFit="1" customWidth="1"/>
    <col min="41" max="41" width="7.33203125" style="1" bestFit="1" customWidth="1"/>
    <col min="42" max="43" width="15.83203125" style="1" bestFit="1" customWidth="1"/>
    <col min="44" max="44" width="7.33203125" style="1" bestFit="1" customWidth="1"/>
    <col min="45" max="45" width="12.58203125" style="1" bestFit="1" customWidth="1"/>
    <col min="46" max="46" width="19.58203125" style="1" bestFit="1" customWidth="1"/>
    <col min="47" max="47" width="7.33203125" style="1" bestFit="1" customWidth="1"/>
    <col min="48" max="48" width="14.25" style="1" bestFit="1" customWidth="1"/>
    <col min="49" max="49" width="19.75" style="1" bestFit="1" customWidth="1"/>
    <col min="50" max="50" width="7.33203125" style="1" bestFit="1" customWidth="1"/>
    <col min="51" max="51" width="14.83203125" style="1" bestFit="1" customWidth="1"/>
    <col min="52" max="52" width="15.83203125" style="1" bestFit="1" customWidth="1"/>
    <col min="53" max="53" width="7.33203125" style="1" bestFit="1" customWidth="1"/>
    <col min="54" max="54" width="14.33203125" style="1" bestFit="1" customWidth="1"/>
    <col min="55" max="55" width="22.5" style="1" bestFit="1" customWidth="1"/>
    <col min="56" max="56" width="7.33203125" style="1" bestFit="1" customWidth="1"/>
    <col min="57" max="57" width="13.08203125" style="1" bestFit="1" customWidth="1"/>
    <col min="58" max="58" width="14" style="1" bestFit="1" customWidth="1"/>
    <col min="59" max="59" width="7.33203125" style="1" bestFit="1" customWidth="1"/>
    <col min="60" max="16384" width="8.6640625" style="1"/>
  </cols>
  <sheetData>
    <row r="2" spans="2:59">
      <c r="B2" s="48" t="s">
        <v>351</v>
      </c>
      <c r="C2" s="6"/>
      <c r="D2" s="6"/>
      <c r="E2" s="6"/>
      <c r="F2" s="6"/>
      <c r="G2" s="6"/>
      <c r="H2" s="6"/>
    </row>
    <row r="5" spans="2:59">
      <c r="B5" s="52" t="s">
        <v>352</v>
      </c>
      <c r="I5" s="51" t="s">
        <v>353</v>
      </c>
    </row>
    <row r="6" spans="2:59">
      <c r="B6" s="55">
        <v>1</v>
      </c>
      <c r="C6" s="55">
        <v>2</v>
      </c>
      <c r="D6" s="55">
        <v>3</v>
      </c>
      <c r="E6" s="55">
        <v>7</v>
      </c>
      <c r="F6" s="55">
        <v>8</v>
      </c>
      <c r="G6" s="55">
        <v>9</v>
      </c>
      <c r="I6" s="57" t="s">
        <v>6</v>
      </c>
      <c r="J6" s="58" t="s">
        <v>7</v>
      </c>
      <c r="K6" s="59" t="s">
        <v>8</v>
      </c>
      <c r="L6" s="57" t="s">
        <v>9</v>
      </c>
      <c r="M6" s="58" t="s">
        <v>10</v>
      </c>
      <c r="N6" s="59" t="s">
        <v>11</v>
      </c>
      <c r="O6" s="57" t="s">
        <v>12</v>
      </c>
      <c r="P6" s="58" t="s">
        <v>13</v>
      </c>
      <c r="Q6" s="59" t="s">
        <v>8</v>
      </c>
      <c r="R6" s="57" t="s">
        <v>14</v>
      </c>
      <c r="S6" s="58" t="s">
        <v>15</v>
      </c>
      <c r="T6" s="59" t="s">
        <v>11</v>
      </c>
      <c r="U6" s="57" t="s">
        <v>16</v>
      </c>
      <c r="V6" s="58" t="s">
        <v>17</v>
      </c>
      <c r="W6" s="59" t="s">
        <v>8</v>
      </c>
      <c r="X6" s="57" t="s">
        <v>18</v>
      </c>
      <c r="Y6" s="58" t="s">
        <v>19</v>
      </c>
      <c r="Z6" s="59" t="s">
        <v>11</v>
      </c>
      <c r="AA6" s="57" t="s">
        <v>20</v>
      </c>
      <c r="AB6" s="58" t="s">
        <v>21</v>
      </c>
      <c r="AC6" s="59" t="s">
        <v>8</v>
      </c>
      <c r="AD6" s="57" t="s">
        <v>22</v>
      </c>
      <c r="AE6" s="58" t="s">
        <v>23</v>
      </c>
      <c r="AF6" s="59" t="s">
        <v>11</v>
      </c>
      <c r="AG6" s="57" t="s">
        <v>24</v>
      </c>
      <c r="AH6" s="58" t="s">
        <v>25</v>
      </c>
      <c r="AI6" s="59" t="s">
        <v>8</v>
      </c>
      <c r="AJ6" s="57" t="s">
        <v>26</v>
      </c>
      <c r="AK6" s="58" t="s">
        <v>27</v>
      </c>
      <c r="AL6" s="59" t="s">
        <v>11</v>
      </c>
      <c r="AM6" s="57" t="s">
        <v>28</v>
      </c>
      <c r="AN6" s="58" t="s">
        <v>29</v>
      </c>
      <c r="AO6" s="59" t="s">
        <v>8</v>
      </c>
      <c r="AP6" s="57" t="s">
        <v>30</v>
      </c>
      <c r="AQ6" s="58" t="s">
        <v>31</v>
      </c>
      <c r="AR6" s="59" t="s">
        <v>11</v>
      </c>
      <c r="AS6" s="57" t="s">
        <v>32</v>
      </c>
      <c r="AT6" s="58" t="s">
        <v>33</v>
      </c>
      <c r="AU6" s="59" t="s">
        <v>8</v>
      </c>
      <c r="AV6" s="57" t="s">
        <v>34</v>
      </c>
      <c r="AW6" s="58" t="s">
        <v>35</v>
      </c>
      <c r="AX6" s="59" t="s">
        <v>11</v>
      </c>
      <c r="AY6" s="57" t="s">
        <v>36</v>
      </c>
      <c r="AZ6" s="58" t="s">
        <v>37</v>
      </c>
      <c r="BA6" s="59" t="s">
        <v>8</v>
      </c>
      <c r="BB6" s="57" t="s">
        <v>38</v>
      </c>
      <c r="BC6" s="58" t="s">
        <v>39</v>
      </c>
      <c r="BD6" s="59" t="s">
        <v>11</v>
      </c>
      <c r="BE6" s="57" t="s">
        <v>40</v>
      </c>
      <c r="BF6" s="58" t="s">
        <v>41</v>
      </c>
      <c r="BG6" s="59" t="s">
        <v>8</v>
      </c>
    </row>
    <row r="7" spans="2:59">
      <c r="B7" s="56">
        <v>4</v>
      </c>
      <c r="C7" s="56">
        <v>5</v>
      </c>
      <c r="D7" s="56">
        <v>6</v>
      </c>
      <c r="E7" s="56">
        <v>10</v>
      </c>
      <c r="F7" s="56">
        <v>11</v>
      </c>
      <c r="G7" s="56">
        <v>12</v>
      </c>
      <c r="I7" s="57" t="s">
        <v>42</v>
      </c>
      <c r="J7" s="58" t="s">
        <v>43</v>
      </c>
      <c r="K7" s="59" t="s">
        <v>11</v>
      </c>
      <c r="L7" s="57" t="s">
        <v>44</v>
      </c>
      <c r="M7" s="58" t="s">
        <v>45</v>
      </c>
      <c r="N7" s="59" t="s">
        <v>8</v>
      </c>
      <c r="O7" s="57" t="s">
        <v>46</v>
      </c>
      <c r="P7" s="58" t="s">
        <v>47</v>
      </c>
      <c r="Q7" s="59" t="s">
        <v>11</v>
      </c>
      <c r="R7" s="57" t="s">
        <v>48</v>
      </c>
      <c r="S7" s="58" t="s">
        <v>49</v>
      </c>
      <c r="T7" s="59" t="s">
        <v>8</v>
      </c>
      <c r="U7" s="57" t="s">
        <v>50</v>
      </c>
      <c r="V7" s="58" t="s">
        <v>51</v>
      </c>
      <c r="W7" s="59" t="s">
        <v>11</v>
      </c>
      <c r="X7" s="57" t="s">
        <v>52</v>
      </c>
      <c r="Y7" s="58" t="s">
        <v>53</v>
      </c>
      <c r="Z7" s="59" t="s">
        <v>8</v>
      </c>
      <c r="AA7" s="57" t="s">
        <v>54</v>
      </c>
      <c r="AB7" s="58" t="s">
        <v>55</v>
      </c>
      <c r="AC7" s="59" t="s">
        <v>11</v>
      </c>
      <c r="AD7" s="57" t="s">
        <v>56</v>
      </c>
      <c r="AE7" s="58" t="s">
        <v>57</v>
      </c>
      <c r="AF7" s="59" t="s">
        <v>8</v>
      </c>
      <c r="AG7" s="57" t="s">
        <v>58</v>
      </c>
      <c r="AH7" s="58" t="s">
        <v>59</v>
      </c>
      <c r="AI7" s="59" t="s">
        <v>11</v>
      </c>
      <c r="AJ7" s="57" t="s">
        <v>60</v>
      </c>
      <c r="AK7" s="58" t="s">
        <v>61</v>
      </c>
      <c r="AL7" s="59" t="s">
        <v>8</v>
      </c>
      <c r="AM7" s="57" t="s">
        <v>62</v>
      </c>
      <c r="AN7" s="58" t="s">
        <v>63</v>
      </c>
      <c r="AO7" s="59" t="s">
        <v>11</v>
      </c>
      <c r="AP7" s="57" t="s">
        <v>64</v>
      </c>
      <c r="AQ7" s="58" t="s">
        <v>65</v>
      </c>
      <c r="AR7" s="59" t="s">
        <v>8</v>
      </c>
      <c r="AS7" s="57" t="s">
        <v>66</v>
      </c>
      <c r="AT7" s="58" t="s">
        <v>67</v>
      </c>
      <c r="AU7" s="59" t="s">
        <v>11</v>
      </c>
      <c r="AV7" s="57" t="s">
        <v>68</v>
      </c>
      <c r="AW7" s="58" t="s">
        <v>69</v>
      </c>
      <c r="AX7" s="59" t="s">
        <v>8</v>
      </c>
      <c r="AY7" s="57" t="s">
        <v>70</v>
      </c>
      <c r="AZ7" s="58" t="s">
        <v>71</v>
      </c>
      <c r="BA7" s="59" t="s">
        <v>11</v>
      </c>
      <c r="BB7" s="57" t="s">
        <v>72</v>
      </c>
      <c r="BC7" s="58" t="s">
        <v>73</v>
      </c>
      <c r="BD7" s="59" t="s">
        <v>8</v>
      </c>
      <c r="BE7" s="57" t="s">
        <v>74</v>
      </c>
      <c r="BF7" s="58" t="s">
        <v>75</v>
      </c>
      <c r="BG7" s="59" t="s">
        <v>11</v>
      </c>
    </row>
    <row r="8" spans="2:59">
      <c r="I8" s="57" t="s">
        <v>76</v>
      </c>
      <c r="J8" s="58" t="s">
        <v>77</v>
      </c>
      <c r="K8" s="59" t="s">
        <v>8</v>
      </c>
      <c r="L8" s="57" t="s">
        <v>78</v>
      </c>
      <c r="M8" s="58" t="s">
        <v>79</v>
      </c>
      <c r="N8" s="59" t="s">
        <v>11</v>
      </c>
      <c r="O8" s="57" t="s">
        <v>80</v>
      </c>
      <c r="P8" s="58" t="s">
        <v>81</v>
      </c>
      <c r="Q8" s="59" t="s">
        <v>8</v>
      </c>
      <c r="R8" s="57" t="s">
        <v>82</v>
      </c>
      <c r="S8" s="58" t="s">
        <v>83</v>
      </c>
      <c r="T8" s="59" t="s">
        <v>11</v>
      </c>
      <c r="U8" s="57" t="s">
        <v>84</v>
      </c>
      <c r="V8" s="58" t="s">
        <v>85</v>
      </c>
      <c r="W8" s="59" t="s">
        <v>8</v>
      </c>
      <c r="X8" s="57" t="s">
        <v>86</v>
      </c>
      <c r="Y8" s="58" t="s">
        <v>87</v>
      </c>
      <c r="Z8" s="59" t="s">
        <v>11</v>
      </c>
      <c r="AA8" s="57" t="s">
        <v>88</v>
      </c>
      <c r="AB8" s="58" t="s">
        <v>89</v>
      </c>
      <c r="AC8" s="59" t="s">
        <v>8</v>
      </c>
      <c r="AD8" s="57" t="s">
        <v>90</v>
      </c>
      <c r="AE8" s="58" t="s">
        <v>91</v>
      </c>
      <c r="AF8" s="59" t="s">
        <v>11</v>
      </c>
      <c r="AG8" s="57" t="s">
        <v>92</v>
      </c>
      <c r="AH8" s="58" t="s">
        <v>93</v>
      </c>
      <c r="AI8" s="59" t="s">
        <v>8</v>
      </c>
      <c r="AJ8" s="57" t="s">
        <v>94</v>
      </c>
      <c r="AK8" s="58" t="s">
        <v>95</v>
      </c>
      <c r="AL8" s="59" t="s">
        <v>11</v>
      </c>
      <c r="AM8" s="57" t="s">
        <v>96</v>
      </c>
      <c r="AN8" s="58" t="s">
        <v>97</v>
      </c>
      <c r="AO8" s="59" t="s">
        <v>8</v>
      </c>
      <c r="AP8" s="57" t="s">
        <v>98</v>
      </c>
      <c r="AQ8" s="58" t="s">
        <v>99</v>
      </c>
      <c r="AR8" s="59" t="s">
        <v>11</v>
      </c>
      <c r="AS8" s="57" t="s">
        <v>100</v>
      </c>
      <c r="AT8" s="58" t="s">
        <v>101</v>
      </c>
      <c r="AU8" s="59" t="s">
        <v>8</v>
      </c>
      <c r="AV8" s="57" t="s">
        <v>102</v>
      </c>
      <c r="AW8" s="58" t="s">
        <v>103</v>
      </c>
      <c r="AX8" s="59" t="s">
        <v>11</v>
      </c>
      <c r="AY8" s="57" t="s">
        <v>104</v>
      </c>
      <c r="AZ8" s="58" t="s">
        <v>105</v>
      </c>
      <c r="BA8" s="59" t="s">
        <v>8</v>
      </c>
      <c r="BB8" s="57" t="s">
        <v>106</v>
      </c>
      <c r="BC8" s="58" t="s">
        <v>107</v>
      </c>
      <c r="BD8" s="59" t="s">
        <v>11</v>
      </c>
      <c r="BE8" s="57" t="s">
        <v>108</v>
      </c>
      <c r="BF8" s="58" t="s">
        <v>109</v>
      </c>
      <c r="BG8" s="59" t="s">
        <v>8</v>
      </c>
    </row>
    <row r="9" spans="2:59">
      <c r="B9" s="53" t="s">
        <v>350</v>
      </c>
    </row>
    <row r="10" spans="2:59">
      <c r="B10" s="54" t="s">
        <v>345</v>
      </c>
    </row>
    <row r="11" spans="2:59">
      <c r="B11" s="55" cm="1">
        <f t="array" ref="B11:D14">WrapCols2Dλ(Numbers,3)</f>
        <v>1</v>
      </c>
      <c r="C11" s="55">
        <v>2</v>
      </c>
      <c r="D11" s="55">
        <v>3</v>
      </c>
      <c r="I11" s="47" t="s">
        <v>354</v>
      </c>
    </row>
    <row r="12" spans="2:59">
      <c r="B12" s="56">
        <v>4</v>
      </c>
      <c r="C12" s="56">
        <v>5</v>
      </c>
      <c r="D12" s="56">
        <v>6</v>
      </c>
      <c r="I12" s="50" t="s">
        <v>112</v>
      </c>
    </row>
    <row r="13" spans="2:59">
      <c r="B13" s="55">
        <v>7</v>
      </c>
      <c r="C13" s="55">
        <v>8</v>
      </c>
      <c r="D13" s="55">
        <v>9</v>
      </c>
      <c r="I13" s="57" t="str" cm="1">
        <f t="array" ref="I13:K63">WrapCols2Dλ(Occupations,3)</f>
        <v>Emma Johnson</v>
      </c>
      <c r="J13" s="58" t="str">
        <v>Software Engineer</v>
      </c>
      <c r="K13" s="59" t="str">
        <v>Remote</v>
      </c>
    </row>
    <row r="14" spans="2:59">
      <c r="B14" s="56">
        <v>10</v>
      </c>
      <c r="C14" s="56">
        <v>11</v>
      </c>
      <c r="D14" s="56">
        <v>12</v>
      </c>
      <c r="I14" s="57" t="str">
        <v>Liam Smith</v>
      </c>
      <c r="J14" s="58" t="str">
        <v>Marketing Manager</v>
      </c>
      <c r="K14" s="59" t="str">
        <v>Office</v>
      </c>
    </row>
    <row r="15" spans="2:59">
      <c r="I15" s="57" t="str">
        <v>Olivia Brown</v>
      </c>
      <c r="J15" s="58" t="str">
        <v>Graphic Designer</v>
      </c>
      <c r="K15" s="59" t="str">
        <v>Remote</v>
      </c>
    </row>
    <row r="16" spans="2:59">
      <c r="I16" s="57" t="str">
        <v>Noah Davis</v>
      </c>
      <c r="J16" s="58" t="str">
        <v>Data Analyst</v>
      </c>
      <c r="K16" s="59" t="str">
        <v>Office</v>
      </c>
    </row>
    <row r="17" spans="2:11">
      <c r="B17" s="53" t="s">
        <v>349</v>
      </c>
      <c r="I17" s="57" t="str">
        <v>Ava Wilson</v>
      </c>
      <c r="J17" s="58" t="str">
        <v>Product Manager</v>
      </c>
      <c r="K17" s="59" t="str">
        <v>Remote</v>
      </c>
    </row>
    <row r="18" spans="2:11">
      <c r="B18" s="54" t="s">
        <v>346</v>
      </c>
      <c r="I18" s="57" t="str">
        <v>Elijah Martinez</v>
      </c>
      <c r="J18" s="58" t="str">
        <v>Sales Executive</v>
      </c>
      <c r="K18" s="59" t="str">
        <v>Office</v>
      </c>
    </row>
    <row r="19" spans="2:11">
      <c r="B19" s="55" cm="1">
        <f t="array" ref="B19:F22">WrapCols2Dλ(Numbers,5,"X")</f>
        <v>1</v>
      </c>
      <c r="C19" s="55">
        <v>2</v>
      </c>
      <c r="D19" s="55">
        <v>3</v>
      </c>
      <c r="E19" s="55">
        <v>7</v>
      </c>
      <c r="F19" s="55">
        <v>8</v>
      </c>
      <c r="I19" s="57" t="str">
        <v>Sophia Anderson</v>
      </c>
      <c r="J19" s="58" t="str">
        <v>HR Specialist</v>
      </c>
      <c r="K19" s="59" t="str">
        <v>Remote</v>
      </c>
    </row>
    <row r="20" spans="2:11">
      <c r="B20" s="56">
        <v>4</v>
      </c>
      <c r="C20" s="56">
        <v>5</v>
      </c>
      <c r="D20" s="56">
        <v>6</v>
      </c>
      <c r="E20" s="56">
        <v>10</v>
      </c>
      <c r="F20" s="56">
        <v>11</v>
      </c>
      <c r="I20" s="57" t="str">
        <v>James Thomas</v>
      </c>
      <c r="J20" s="58" t="str">
        <v>Financial Analyst</v>
      </c>
      <c r="K20" s="59" t="str">
        <v>Office</v>
      </c>
    </row>
    <row r="21" spans="2:11">
      <c r="B21" s="55">
        <v>9</v>
      </c>
      <c r="C21" s="24" t="str">
        <v>X</v>
      </c>
      <c r="D21" s="24" t="str">
        <v>X</v>
      </c>
      <c r="E21" s="24" t="str">
        <v>X</v>
      </c>
      <c r="F21" s="24" t="str">
        <v>X</v>
      </c>
      <c r="I21" s="57" t="str">
        <v>Isabella Taylor</v>
      </c>
      <c r="J21" s="58" t="str">
        <v>Content Writer</v>
      </c>
      <c r="K21" s="59" t="str">
        <v>Remote</v>
      </c>
    </row>
    <row r="22" spans="2:11">
      <c r="B22" s="56">
        <v>12</v>
      </c>
      <c r="C22" s="24" t="str">
        <v>X</v>
      </c>
      <c r="D22" s="24" t="str">
        <v>X</v>
      </c>
      <c r="E22" s="24" t="str">
        <v>X</v>
      </c>
      <c r="F22" s="24" t="str">
        <v>X</v>
      </c>
      <c r="I22" s="57" t="str">
        <v>Benjamin Moore</v>
      </c>
      <c r="J22" s="58" t="str">
        <v>Customer Support</v>
      </c>
      <c r="K22" s="59" t="str">
        <v>Office</v>
      </c>
    </row>
    <row r="23" spans="2:11">
      <c r="I23" s="57" t="str">
        <v>Mia Jackson</v>
      </c>
      <c r="J23" s="58" t="str">
        <v>UX Designer</v>
      </c>
      <c r="K23" s="59" t="str">
        <v>Remote</v>
      </c>
    </row>
    <row r="24" spans="2:11">
      <c r="B24" s="53" t="s">
        <v>348</v>
      </c>
      <c r="I24" s="57" t="str">
        <v>Lucas White</v>
      </c>
      <c r="J24" s="58" t="str">
        <v>Business Analyst</v>
      </c>
      <c r="K24" s="59" t="str">
        <v>Office</v>
      </c>
    </row>
    <row r="25" spans="2:11">
      <c r="B25" s="54" t="s">
        <v>347</v>
      </c>
      <c r="I25" s="57" t="str">
        <v>Charlotte Harris</v>
      </c>
      <c r="J25" s="58" t="str">
        <v>Project Coordinator</v>
      </c>
      <c r="K25" s="59" t="str">
        <v>Remote</v>
      </c>
    </row>
    <row r="26" spans="2:11">
      <c r="B26" s="55" cm="1">
        <f t="array" ref="B26:F29">WrapCols2Dλ(Numbers,5)</f>
        <v>1</v>
      </c>
      <c r="C26" s="55">
        <v>2</v>
      </c>
      <c r="D26" s="55">
        <v>3</v>
      </c>
      <c r="E26" s="55">
        <v>7</v>
      </c>
      <c r="F26" s="55">
        <v>8</v>
      </c>
      <c r="I26" s="57" t="str">
        <v>Mason Martin</v>
      </c>
      <c r="J26" s="58" t="str">
        <v>Network Engineer</v>
      </c>
      <c r="K26" s="59" t="str">
        <v>Office</v>
      </c>
    </row>
    <row r="27" spans="2:11">
      <c r="B27" s="56">
        <v>4</v>
      </c>
      <c r="C27" s="56">
        <v>5</v>
      </c>
      <c r="D27" s="56">
        <v>6</v>
      </c>
      <c r="E27" s="56">
        <v>10</v>
      </c>
      <c r="F27" s="56">
        <v>11</v>
      </c>
      <c r="I27" s="57" t="str">
        <v>Amelia Thompson</v>
      </c>
      <c r="J27" s="58" t="str">
        <v>Social Media Manager</v>
      </c>
      <c r="K27" s="59" t="str">
        <v>Remote</v>
      </c>
    </row>
    <row r="28" spans="2:11">
      <c r="B28" s="55">
        <v>9</v>
      </c>
      <c r="C28" s="24" t="e">
        <v>#N/A</v>
      </c>
      <c r="D28" s="24" t="e">
        <v>#N/A</v>
      </c>
      <c r="E28" s="24" t="e">
        <v>#N/A</v>
      </c>
      <c r="F28" s="24" t="e">
        <v>#N/A</v>
      </c>
      <c r="I28" s="57" t="str">
        <v>Ethan Garcia</v>
      </c>
      <c r="J28" s="58" t="str">
        <v>Operations Manager</v>
      </c>
      <c r="K28" s="59" t="str">
        <v>Office</v>
      </c>
    </row>
    <row r="29" spans="2:11">
      <c r="B29" s="56">
        <v>12</v>
      </c>
      <c r="C29" s="24" t="e">
        <v>#N/A</v>
      </c>
      <c r="D29" s="24" t="e">
        <v>#N/A</v>
      </c>
      <c r="E29" s="24" t="e">
        <v>#N/A</v>
      </c>
      <c r="F29" s="24" t="e">
        <v>#N/A</v>
      </c>
      <c r="I29" s="57" t="str">
        <v>Harper Martinez</v>
      </c>
      <c r="J29" s="58" t="str">
        <v>Recruiter</v>
      </c>
      <c r="K29" s="59" t="str">
        <v>Remote</v>
      </c>
    </row>
    <row r="30" spans="2:11">
      <c r="I30" s="57" t="str">
        <v>Alexander Robinson</v>
      </c>
      <c r="J30" s="58" t="str">
        <v>Quality Assurance</v>
      </c>
      <c r="K30" s="59" t="str">
        <v>Office</v>
      </c>
    </row>
    <row r="31" spans="2:11">
      <c r="I31" s="57" t="str">
        <v>Evelyn Clark</v>
      </c>
      <c r="J31" s="58" t="str">
        <v>Technical Writer</v>
      </c>
      <c r="K31" s="59" t="str">
        <v>Remote</v>
      </c>
    </row>
    <row r="32" spans="2:11">
      <c r="I32" s="57" t="str">
        <v>Henry Rodriguez</v>
      </c>
      <c r="J32" s="58" t="str">
        <v>Database Administrator</v>
      </c>
      <c r="K32" s="59" t="str">
        <v>Office</v>
      </c>
    </row>
    <row r="33" spans="9:11">
      <c r="I33" s="57" t="str">
        <v>Abigail Lewis</v>
      </c>
      <c r="J33" s="58" t="str">
        <v>Event Planner</v>
      </c>
      <c r="K33" s="59" t="str">
        <v>Remote</v>
      </c>
    </row>
    <row r="34" spans="9:11">
      <c r="I34" s="57" t="str">
        <v>Jackson Lee</v>
      </c>
      <c r="J34" s="58" t="str">
        <v>IT Support</v>
      </c>
      <c r="K34" s="59" t="str">
        <v>Office</v>
      </c>
    </row>
    <row r="35" spans="9:11">
      <c r="I35" s="57" t="str">
        <v>Emily Walker</v>
      </c>
      <c r="J35" s="58" t="str">
        <v>Digital Marketer</v>
      </c>
      <c r="K35" s="59" t="str">
        <v>Remote</v>
      </c>
    </row>
    <row r="36" spans="9:11">
      <c r="I36" s="57" t="str">
        <v>Sebastian Hall</v>
      </c>
      <c r="J36" s="58" t="str">
        <v>Product Designer</v>
      </c>
      <c r="K36" s="59" t="str">
        <v>Office</v>
      </c>
    </row>
    <row r="37" spans="9:11">
      <c r="I37" s="57" t="str">
        <v>Ella Allen</v>
      </c>
      <c r="J37" s="58" t="str">
        <v>Accountant</v>
      </c>
      <c r="K37" s="59" t="str">
        <v>Remote</v>
      </c>
    </row>
    <row r="38" spans="9:11">
      <c r="I38" s="57" t="str">
        <v>Aiden Young</v>
      </c>
      <c r="J38" s="58" t="str">
        <v>Software Developer</v>
      </c>
      <c r="K38" s="59" t="str">
        <v>Office</v>
      </c>
    </row>
    <row r="39" spans="9:11">
      <c r="I39" s="57" t="str">
        <v>Scarlett King</v>
      </c>
      <c r="J39" s="58" t="str">
        <v>PR Specialist</v>
      </c>
      <c r="K39" s="59" t="str">
        <v>Remote</v>
      </c>
    </row>
    <row r="40" spans="9:11">
      <c r="I40" s="57" t="str">
        <v>Matthew Wright</v>
      </c>
      <c r="J40" s="58" t="str">
        <v>Logistics Coordinator</v>
      </c>
      <c r="K40" s="59" t="str">
        <v>Office</v>
      </c>
    </row>
    <row r="41" spans="9:11">
      <c r="I41" s="57" t="str">
        <v>Victoria Scott</v>
      </c>
      <c r="J41" s="58" t="str">
        <v>Research Analyst</v>
      </c>
      <c r="K41" s="59" t="str">
        <v>Remote</v>
      </c>
    </row>
    <row r="42" spans="9:11">
      <c r="I42" s="57" t="str">
        <v>Samuel Green</v>
      </c>
      <c r="J42" s="58" t="str">
        <v>Cybersecurity Analyst</v>
      </c>
      <c r="K42" s="59" t="str">
        <v>Office</v>
      </c>
    </row>
    <row r="43" spans="9:11">
      <c r="I43" s="57" t="str">
        <v>Grace Adams</v>
      </c>
      <c r="J43" s="58" t="str">
        <v>Translator</v>
      </c>
      <c r="K43" s="59" t="str">
        <v>Remote</v>
      </c>
    </row>
    <row r="44" spans="9:11">
      <c r="I44" s="57" t="str">
        <v>David Baker</v>
      </c>
      <c r="J44" s="58" t="str">
        <v>Consultant</v>
      </c>
      <c r="K44" s="59" t="str">
        <v>Office</v>
      </c>
    </row>
    <row r="45" spans="9:11">
      <c r="I45" s="57" t="str">
        <v>Chloe Nelson</v>
      </c>
      <c r="J45" s="58" t="str">
        <v>Copywriter</v>
      </c>
      <c r="K45" s="59" t="str">
        <v>Remote</v>
      </c>
    </row>
    <row r="46" spans="9:11">
      <c r="I46" s="57" t="str">
        <v>Joseph Carter</v>
      </c>
      <c r="J46" s="58" t="str">
        <v>Engineer</v>
      </c>
      <c r="K46" s="59" t="str">
        <v>Office</v>
      </c>
    </row>
    <row r="47" spans="9:11">
      <c r="I47" s="57" t="str">
        <v>Penelope Mitchell</v>
      </c>
      <c r="J47" s="58" t="str">
        <v>Customer Success</v>
      </c>
      <c r="K47" s="59" t="str">
        <v>Remote</v>
      </c>
    </row>
    <row r="48" spans="9:11">
      <c r="I48" s="57" t="str">
        <v>Owen Perez</v>
      </c>
      <c r="J48" s="58" t="str">
        <v>Technical Support</v>
      </c>
      <c r="K48" s="59" t="str">
        <v>Office</v>
      </c>
    </row>
    <row r="49" spans="9:11">
      <c r="I49" s="57" t="str">
        <v>Lily Roberts</v>
      </c>
      <c r="J49" s="58" t="str">
        <v>Marketing Analyst</v>
      </c>
      <c r="K49" s="59" t="str">
        <v>Remote</v>
      </c>
    </row>
    <row r="50" spans="9:11">
      <c r="I50" s="57" t="str">
        <v>Gabriel Turner</v>
      </c>
      <c r="J50" s="58" t="str">
        <v>Systems Administrator</v>
      </c>
      <c r="K50" s="59" t="str">
        <v>Office</v>
      </c>
    </row>
    <row r="51" spans="9:11">
      <c r="I51" s="57" t="str">
        <v>Zoe Phillips</v>
      </c>
      <c r="J51" s="58" t="str">
        <v>Creative Director</v>
      </c>
      <c r="K51" s="59" t="str">
        <v>Remote</v>
      </c>
    </row>
    <row r="52" spans="9:11">
      <c r="I52" s="57" t="str">
        <v>Caleb Campbell</v>
      </c>
      <c r="J52" s="58" t="str">
        <v>Data Scientist</v>
      </c>
      <c r="K52" s="59" t="str">
        <v>Office</v>
      </c>
    </row>
    <row r="53" spans="9:11">
      <c r="I53" s="57" t="str">
        <v>Nora Parker</v>
      </c>
      <c r="J53" s="58" t="str">
        <v>HR Manager</v>
      </c>
      <c r="K53" s="59" t="str">
        <v>Remote</v>
      </c>
    </row>
    <row r="54" spans="9:11">
      <c r="I54" s="57" t="str">
        <v>Ryan Evans</v>
      </c>
      <c r="J54" s="58" t="str">
        <v>Business Development</v>
      </c>
      <c r="K54" s="59" t="str">
        <v>Office</v>
      </c>
    </row>
    <row r="55" spans="9:11">
      <c r="I55" s="57" t="str">
        <v>Hannah Edwards</v>
      </c>
      <c r="J55" s="58" t="str">
        <v>Content Strategist</v>
      </c>
      <c r="K55" s="59" t="str">
        <v>Remote</v>
      </c>
    </row>
    <row r="56" spans="9:11">
      <c r="I56" s="57" t="str">
        <v>Nathan Collins</v>
      </c>
      <c r="J56" s="58" t="str">
        <v>Software Tester</v>
      </c>
      <c r="K56" s="59" t="str">
        <v>Office</v>
      </c>
    </row>
    <row r="57" spans="9:11">
      <c r="I57" s="57" t="str">
        <v>Addison Stewart</v>
      </c>
      <c r="J57" s="58" t="str">
        <v>Graphic Artist</v>
      </c>
      <c r="K57" s="59" t="str">
        <v>Remote</v>
      </c>
    </row>
    <row r="58" spans="9:11">
      <c r="I58" s="57" t="str">
        <v>Isaac Sanchez</v>
      </c>
      <c r="J58" s="58" t="str">
        <v>Financial Advisor</v>
      </c>
      <c r="K58" s="59" t="str">
        <v>Office</v>
      </c>
    </row>
    <row r="59" spans="9:11">
      <c r="I59" s="57" t="str">
        <v>Layla Morris</v>
      </c>
      <c r="J59" s="58" t="str">
        <v>Social Media Coordinator</v>
      </c>
      <c r="K59" s="59" t="str">
        <v>Remote</v>
      </c>
    </row>
    <row r="60" spans="9:11">
      <c r="I60" s="57" t="str">
        <v>Christian Rogers</v>
      </c>
      <c r="J60" s="58" t="str">
        <v>Project Manager</v>
      </c>
      <c r="K60" s="59" t="str">
        <v>Office</v>
      </c>
    </row>
    <row r="61" spans="9:11">
      <c r="I61" s="57" t="str">
        <v>Aria Reed</v>
      </c>
      <c r="J61" s="58" t="str">
        <v>Editor</v>
      </c>
      <c r="K61" s="59" t="str">
        <v>Remote</v>
      </c>
    </row>
    <row r="62" spans="9:11">
      <c r="I62" s="57" t="str">
        <v>Jonathan Cook</v>
      </c>
      <c r="J62" s="58" t="str">
        <v>Technical Lead</v>
      </c>
      <c r="K62" s="59" t="str">
        <v>Office</v>
      </c>
    </row>
    <row r="63" spans="9:11">
      <c r="I63" s="57" t="str">
        <v>Ella Morgan</v>
      </c>
      <c r="J63" s="58" t="str">
        <v>Web Developer</v>
      </c>
      <c r="K63" s="59" t="str">
        <v>Remote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9692-8DFC-4A04-824D-DE0C61A8BA26}">
  <sheetPr codeName="Sheet2">
    <tabColor rgb="FFC1F1C7"/>
  </sheetPr>
  <dimension ref="B2:AK32"/>
  <sheetViews>
    <sheetView zoomScaleNormal="100" workbookViewId="0"/>
  </sheetViews>
  <sheetFormatPr defaultRowHeight="16.5"/>
  <cols>
    <col min="1" max="1" width="5" style="60" customWidth="1"/>
    <col min="2" max="2" width="4.58203125" style="60" customWidth="1"/>
    <col min="3" max="5" width="4.58203125" style="14" customWidth="1"/>
    <col min="6" max="6" width="11.4140625" style="14" customWidth="1"/>
    <col min="7" max="12" width="4.58203125" style="14" customWidth="1"/>
    <col min="13" max="14" width="8.1640625" style="14" customWidth="1"/>
    <col min="15" max="15" width="4.58203125" style="60" customWidth="1"/>
    <col min="16" max="16" width="5" style="60" customWidth="1"/>
    <col min="17" max="18" width="4.58203125" style="60" customWidth="1"/>
    <col min="19" max="19" width="9" style="60" customWidth="1"/>
    <col min="20" max="20" width="4.58203125" style="60" customWidth="1"/>
    <col min="21" max="21" width="5.25" style="60" customWidth="1"/>
    <col min="22" max="23" width="4.58203125" style="60" customWidth="1"/>
    <col min="24" max="24" width="5.08203125" style="60" customWidth="1"/>
    <col min="25" max="36" width="4.58203125" style="60" customWidth="1"/>
    <col min="37" max="16384" width="8.6640625" style="60"/>
  </cols>
  <sheetData>
    <row r="2" spans="2:37">
      <c r="B2" s="46" t="s">
        <v>317</v>
      </c>
    </row>
    <row r="3" spans="2:37">
      <c r="B3" s="88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</row>
    <row r="4" spans="2:37">
      <c r="C4" s="65" t="s">
        <v>290</v>
      </c>
      <c r="G4" s="66" t="s">
        <v>292</v>
      </c>
      <c r="M4" s="86"/>
      <c r="O4" s="47" t="s">
        <v>293</v>
      </c>
      <c r="W4" s="87"/>
      <c r="Y4" s="47" t="s">
        <v>294</v>
      </c>
    </row>
    <row r="5" spans="2:37">
      <c r="C5" s="67">
        <v>1</v>
      </c>
      <c r="D5" s="67">
        <v>2</v>
      </c>
      <c r="E5" s="67">
        <v>3</v>
      </c>
      <c r="M5" s="86"/>
      <c r="W5" s="87"/>
    </row>
    <row r="6" spans="2:37">
      <c r="C6" s="68">
        <v>4</v>
      </c>
      <c r="D6" s="68">
        <v>5</v>
      </c>
      <c r="E6" s="68">
        <v>6</v>
      </c>
      <c r="G6" s="25" t="s">
        <v>289</v>
      </c>
      <c r="M6" s="86"/>
      <c r="O6" s="25" t="s">
        <v>291</v>
      </c>
      <c r="P6" s="14"/>
      <c r="Q6" s="14"/>
      <c r="T6" s="25" t="s">
        <v>318</v>
      </c>
      <c r="W6" s="87"/>
      <c r="Y6" s="25" t="s">
        <v>301</v>
      </c>
      <c r="Z6" s="14"/>
    </row>
    <row r="7" spans="2:37">
      <c r="C7" s="69">
        <v>7</v>
      </c>
      <c r="D7" s="69">
        <v>8</v>
      </c>
      <c r="E7" s="69">
        <v>9</v>
      </c>
      <c r="G7" s="67" cm="1">
        <f t="array" ref="G7:L15">Resizeλ(MiniGrid,3,2)</f>
        <v>1</v>
      </c>
      <c r="H7" s="67">
        <v>2</v>
      </c>
      <c r="I7" s="67">
        <v>3</v>
      </c>
      <c r="J7" s="67">
        <v>1</v>
      </c>
      <c r="K7" s="67">
        <v>2</v>
      </c>
      <c r="L7" s="67">
        <v>3</v>
      </c>
      <c r="M7" s="86"/>
      <c r="O7" s="67" cm="1">
        <f t="array" ref="O7:Q12">Resizeλ(MiniGrid,2)</f>
        <v>1</v>
      </c>
      <c r="P7" s="67">
        <v>2</v>
      </c>
      <c r="Q7" s="67">
        <v>3</v>
      </c>
      <c r="T7" s="70" t="str" cm="1">
        <f t="array" ref="T7:T30">Resizeλ(Months,2)</f>
        <v>Jan</v>
      </c>
      <c r="W7" s="87"/>
      <c r="Y7" s="67" cm="1">
        <f t="array" ref="Y7:AD9">Resizeλ(MiniGrid,,2)</f>
        <v>1</v>
      </c>
      <c r="Z7" s="67">
        <v>2</v>
      </c>
      <c r="AA7" s="67">
        <v>3</v>
      </c>
      <c r="AB7" s="67">
        <v>1</v>
      </c>
      <c r="AC7" s="67">
        <v>2</v>
      </c>
      <c r="AD7" s="67">
        <v>3</v>
      </c>
    </row>
    <row r="8" spans="2:37">
      <c r="G8" s="68">
        <v>4</v>
      </c>
      <c r="H8" s="68">
        <v>5</v>
      </c>
      <c r="I8" s="68">
        <v>6</v>
      </c>
      <c r="J8" s="68">
        <v>4</v>
      </c>
      <c r="K8" s="68">
        <v>5</v>
      </c>
      <c r="L8" s="68">
        <v>6</v>
      </c>
      <c r="M8" s="86"/>
      <c r="O8" s="68">
        <v>4</v>
      </c>
      <c r="P8" s="68">
        <v>5</v>
      </c>
      <c r="Q8" s="68">
        <v>6</v>
      </c>
      <c r="T8" s="71" t="str">
        <v>Feb</v>
      </c>
      <c r="W8" s="87"/>
      <c r="Y8" s="68">
        <v>4</v>
      </c>
      <c r="Z8" s="68">
        <v>5</v>
      </c>
      <c r="AA8" s="68">
        <v>6</v>
      </c>
      <c r="AB8" s="68">
        <v>4</v>
      </c>
      <c r="AC8" s="68">
        <v>5</v>
      </c>
      <c r="AD8" s="68">
        <v>6</v>
      </c>
    </row>
    <row r="9" spans="2:37">
      <c r="G9" s="69">
        <v>7</v>
      </c>
      <c r="H9" s="69">
        <v>8</v>
      </c>
      <c r="I9" s="69">
        <v>9</v>
      </c>
      <c r="J9" s="69">
        <v>7</v>
      </c>
      <c r="K9" s="69">
        <v>8</v>
      </c>
      <c r="L9" s="69">
        <v>9</v>
      </c>
      <c r="M9" s="86"/>
      <c r="O9" s="69">
        <v>7</v>
      </c>
      <c r="P9" s="69">
        <v>8</v>
      </c>
      <c r="Q9" s="69">
        <v>9</v>
      </c>
      <c r="T9" s="72" t="str">
        <v>Mar</v>
      </c>
      <c r="W9" s="87"/>
      <c r="Y9" s="69">
        <v>7</v>
      </c>
      <c r="Z9" s="69">
        <v>8</v>
      </c>
      <c r="AA9" s="69">
        <v>9</v>
      </c>
      <c r="AB9" s="69">
        <v>7</v>
      </c>
      <c r="AC9" s="69">
        <v>8</v>
      </c>
      <c r="AD9" s="69">
        <v>9</v>
      </c>
    </row>
    <row r="10" spans="2:37">
      <c r="C10" s="65" t="s">
        <v>299</v>
      </c>
      <c r="G10" s="67">
        <v>1</v>
      </c>
      <c r="H10" s="67">
        <v>2</v>
      </c>
      <c r="I10" s="67">
        <v>3</v>
      </c>
      <c r="J10" s="67">
        <v>1</v>
      </c>
      <c r="K10" s="67">
        <v>2</v>
      </c>
      <c r="L10" s="67">
        <v>3</v>
      </c>
      <c r="M10" s="86"/>
      <c r="O10" s="67">
        <v>1</v>
      </c>
      <c r="P10" s="67">
        <v>2</v>
      </c>
      <c r="Q10" s="67">
        <v>3</v>
      </c>
      <c r="T10" s="73" t="str">
        <v>Apr</v>
      </c>
      <c r="W10" s="87"/>
    </row>
    <row r="11" spans="2:37">
      <c r="B11" s="83" t="s">
        <v>295</v>
      </c>
      <c r="C11" s="84" t="s">
        <v>296</v>
      </c>
      <c r="D11" s="85" t="s">
        <v>297</v>
      </c>
      <c r="E11" s="85" t="s">
        <v>298</v>
      </c>
      <c r="G11" s="68">
        <v>4</v>
      </c>
      <c r="H11" s="68">
        <v>5</v>
      </c>
      <c r="I11" s="68">
        <v>6</v>
      </c>
      <c r="J11" s="68">
        <v>4</v>
      </c>
      <c r="K11" s="68">
        <v>5</v>
      </c>
      <c r="L11" s="68">
        <v>6</v>
      </c>
      <c r="M11" s="86"/>
      <c r="O11" s="68">
        <v>4</v>
      </c>
      <c r="P11" s="68">
        <v>5</v>
      </c>
      <c r="Q11" s="68">
        <v>6</v>
      </c>
      <c r="T11" s="74" t="str">
        <v>May</v>
      </c>
      <c r="W11" s="87"/>
    </row>
    <row r="12" spans="2:37">
      <c r="G12" s="69">
        <v>7</v>
      </c>
      <c r="H12" s="69">
        <v>8</v>
      </c>
      <c r="I12" s="69">
        <v>9</v>
      </c>
      <c r="J12" s="69">
        <v>7</v>
      </c>
      <c r="K12" s="69">
        <v>8</v>
      </c>
      <c r="L12" s="69">
        <v>9</v>
      </c>
      <c r="M12" s="86"/>
      <c r="O12" s="69">
        <v>7</v>
      </c>
      <c r="P12" s="69">
        <v>8</v>
      </c>
      <c r="Q12" s="69">
        <v>9</v>
      </c>
      <c r="T12" s="75" t="str">
        <v>Jun</v>
      </c>
      <c r="W12" s="87"/>
      <c r="Y12" s="25" t="s">
        <v>300</v>
      </c>
    </row>
    <row r="13" spans="2:37">
      <c r="G13" s="67">
        <v>1</v>
      </c>
      <c r="H13" s="67">
        <v>2</v>
      </c>
      <c r="I13" s="67">
        <v>3</v>
      </c>
      <c r="J13" s="67">
        <v>1</v>
      </c>
      <c r="K13" s="67">
        <v>2</v>
      </c>
      <c r="L13" s="67">
        <v>3</v>
      </c>
      <c r="M13" s="86"/>
      <c r="T13" s="76" t="str">
        <v>Jul</v>
      </c>
      <c r="W13" s="87"/>
      <c r="Y13" s="83" t="str" cm="1">
        <f t="array" ref="Y13:AJ13">Resizeλ(Quarters,,3)</f>
        <v>Q1</v>
      </c>
      <c r="Z13" s="84" t="str">
        <v>Q2</v>
      </c>
      <c r="AA13" s="85" t="str">
        <v>Q3</v>
      </c>
      <c r="AB13" s="85" t="str">
        <v>Q4</v>
      </c>
      <c r="AC13" s="83" t="str">
        <v>Q1</v>
      </c>
      <c r="AD13" s="84" t="str">
        <v>Q2</v>
      </c>
      <c r="AE13" s="85" t="str">
        <v>Q3</v>
      </c>
      <c r="AF13" s="85" t="str">
        <v>Q4</v>
      </c>
      <c r="AG13" s="83" t="str">
        <v>Q1</v>
      </c>
      <c r="AH13" s="84" t="str">
        <v>Q2</v>
      </c>
      <c r="AI13" s="85" t="str">
        <v>Q3</v>
      </c>
      <c r="AJ13" s="85" t="str">
        <v>Q4</v>
      </c>
    </row>
    <row r="14" spans="2:37">
      <c r="C14" s="65" t="s">
        <v>315</v>
      </c>
      <c r="G14" s="68">
        <v>4</v>
      </c>
      <c r="H14" s="68">
        <v>5</v>
      </c>
      <c r="I14" s="68">
        <v>6</v>
      </c>
      <c r="J14" s="68">
        <v>4</v>
      </c>
      <c r="K14" s="68">
        <v>5</v>
      </c>
      <c r="L14" s="68">
        <v>6</v>
      </c>
      <c r="M14" s="86"/>
      <c r="T14" s="77" t="str">
        <v>Aug</v>
      </c>
      <c r="W14" s="87"/>
    </row>
    <row r="15" spans="2:37">
      <c r="C15" s="70" t="s">
        <v>303</v>
      </c>
      <c r="G15" s="69">
        <v>7</v>
      </c>
      <c r="H15" s="69">
        <v>8</v>
      </c>
      <c r="I15" s="69">
        <v>9</v>
      </c>
      <c r="J15" s="69">
        <v>7</v>
      </c>
      <c r="K15" s="69">
        <v>8</v>
      </c>
      <c r="L15" s="69">
        <v>9</v>
      </c>
      <c r="M15" s="86"/>
      <c r="O15" s="25" t="s">
        <v>302</v>
      </c>
      <c r="T15" s="78" t="str">
        <v>Sep</v>
      </c>
      <c r="W15" s="87"/>
      <c r="Y15" s="25" t="s">
        <v>316</v>
      </c>
    </row>
    <row r="16" spans="2:37">
      <c r="C16" s="71" t="s">
        <v>304</v>
      </c>
      <c r="M16" s="86"/>
      <c r="O16" s="83" t="str" cm="1">
        <f t="array" ref="O16:R19">Resizeλ(Quarters,4)</f>
        <v>Q1</v>
      </c>
      <c r="P16" s="84" t="str">
        <v>Q2</v>
      </c>
      <c r="Q16" s="85" t="str">
        <v>Q3</v>
      </c>
      <c r="R16" s="85" t="str">
        <v>Q4</v>
      </c>
      <c r="T16" s="79" t="str">
        <v>Oct</v>
      </c>
      <c r="W16" s="87"/>
      <c r="Y16" s="70" t="str" cm="1">
        <f t="array" ref="Y16:AC27">Resizeλ(Months,,5)</f>
        <v>Jan</v>
      </c>
      <c r="Z16" s="70" t="str">
        <v>Jan</v>
      </c>
      <c r="AA16" s="70" t="str">
        <v>Jan</v>
      </c>
      <c r="AB16" s="70" t="str">
        <v>Jan</v>
      </c>
      <c r="AC16" s="70" t="str">
        <v>Jan</v>
      </c>
    </row>
    <row r="17" spans="3:29">
      <c r="C17" s="72" t="s">
        <v>305</v>
      </c>
      <c r="G17" s="63"/>
      <c r="M17" s="86"/>
      <c r="O17" s="83" t="str">
        <v>Q1</v>
      </c>
      <c r="P17" s="84" t="str">
        <v>Q2</v>
      </c>
      <c r="Q17" s="85" t="str">
        <v>Q3</v>
      </c>
      <c r="R17" s="85" t="str">
        <v>Q4</v>
      </c>
      <c r="T17" s="80" t="str">
        <v>Nov</v>
      </c>
      <c r="W17" s="87"/>
      <c r="Y17" s="71" t="str">
        <v>Feb</v>
      </c>
      <c r="Z17" s="71" t="str">
        <v>Feb</v>
      </c>
      <c r="AA17" s="71" t="str">
        <v>Feb</v>
      </c>
      <c r="AB17" s="71" t="str">
        <v>Feb</v>
      </c>
      <c r="AC17" s="71" t="str">
        <v>Feb</v>
      </c>
    </row>
    <row r="18" spans="3:29">
      <c r="C18" s="73" t="s">
        <v>306</v>
      </c>
      <c r="G18" s="25" t="s">
        <v>319</v>
      </c>
      <c r="M18" s="86"/>
      <c r="O18" s="83" t="str">
        <v>Q1</v>
      </c>
      <c r="P18" s="84" t="str">
        <v>Q2</v>
      </c>
      <c r="Q18" s="85" t="str">
        <v>Q3</v>
      </c>
      <c r="R18" s="85" t="str">
        <v>Q4</v>
      </c>
      <c r="T18" s="81" t="str">
        <v>Dec</v>
      </c>
      <c r="W18" s="87"/>
      <c r="Y18" s="72" t="str">
        <v>Mar</v>
      </c>
      <c r="Z18" s="72" t="str">
        <v>Mar</v>
      </c>
      <c r="AA18" s="72" t="str">
        <v>Mar</v>
      </c>
      <c r="AB18" s="72" t="str">
        <v>Mar</v>
      </c>
      <c r="AC18" s="72" t="str">
        <v>Mar</v>
      </c>
    </row>
    <row r="19" spans="3:29">
      <c r="C19" s="74" t="s">
        <v>307</v>
      </c>
      <c r="G19" s="82" cm="1">
        <f t="array" ref="G19:J23">Resizeλ(7,5,4)</f>
        <v>7</v>
      </c>
      <c r="H19" s="82">
        <v>7</v>
      </c>
      <c r="I19" s="82">
        <v>7</v>
      </c>
      <c r="J19" s="82">
        <v>7</v>
      </c>
      <c r="M19" s="86"/>
      <c r="O19" s="83" t="str">
        <v>Q1</v>
      </c>
      <c r="P19" s="84" t="str">
        <v>Q2</v>
      </c>
      <c r="Q19" s="85" t="str">
        <v>Q3</v>
      </c>
      <c r="R19" s="85" t="str">
        <v>Q4</v>
      </c>
      <c r="T19" s="70" t="str">
        <v>Jan</v>
      </c>
      <c r="W19" s="87"/>
      <c r="Y19" s="73" t="str">
        <v>Apr</v>
      </c>
      <c r="Z19" s="73" t="str">
        <v>Apr</v>
      </c>
      <c r="AA19" s="73" t="str">
        <v>Apr</v>
      </c>
      <c r="AB19" s="73" t="str">
        <v>Apr</v>
      </c>
      <c r="AC19" s="73" t="str">
        <v>Apr</v>
      </c>
    </row>
    <row r="20" spans="3:29">
      <c r="C20" s="75" t="s">
        <v>308</v>
      </c>
      <c r="G20" s="82">
        <v>7</v>
      </c>
      <c r="H20" s="82">
        <v>7</v>
      </c>
      <c r="I20" s="82">
        <v>7</v>
      </c>
      <c r="J20" s="82">
        <v>7</v>
      </c>
      <c r="M20" s="86"/>
      <c r="T20" s="71" t="str">
        <v>Feb</v>
      </c>
      <c r="W20" s="87"/>
      <c r="Y20" s="74" t="str">
        <v>May</v>
      </c>
      <c r="Z20" s="74" t="str">
        <v>May</v>
      </c>
      <c r="AA20" s="74" t="str">
        <v>May</v>
      </c>
      <c r="AB20" s="74" t="str">
        <v>May</v>
      </c>
      <c r="AC20" s="74" t="str">
        <v>May</v>
      </c>
    </row>
    <row r="21" spans="3:29">
      <c r="C21" s="76" t="s">
        <v>309</v>
      </c>
      <c r="G21" s="82">
        <v>7</v>
      </c>
      <c r="H21" s="82">
        <v>7</v>
      </c>
      <c r="I21" s="82">
        <v>7</v>
      </c>
      <c r="J21" s="82">
        <v>7</v>
      </c>
      <c r="M21" s="86"/>
      <c r="T21" s="72" t="str">
        <v>Mar</v>
      </c>
      <c r="W21" s="87"/>
      <c r="Y21" s="75" t="str">
        <v>Jun</v>
      </c>
      <c r="Z21" s="75" t="str">
        <v>Jun</v>
      </c>
      <c r="AA21" s="75" t="str">
        <v>Jun</v>
      </c>
      <c r="AB21" s="75" t="str">
        <v>Jun</v>
      </c>
      <c r="AC21" s="75" t="str">
        <v>Jun</v>
      </c>
    </row>
    <row r="22" spans="3:29">
      <c r="C22" s="77" t="s">
        <v>310</v>
      </c>
      <c r="G22" s="82">
        <v>7</v>
      </c>
      <c r="H22" s="82">
        <v>7</v>
      </c>
      <c r="I22" s="82">
        <v>7</v>
      </c>
      <c r="J22" s="82">
        <v>7</v>
      </c>
      <c r="M22" s="86"/>
      <c r="T22" s="73" t="str">
        <v>Apr</v>
      </c>
      <c r="W22" s="87"/>
      <c r="Y22" s="76" t="str">
        <v>Jul</v>
      </c>
      <c r="Z22" s="76" t="str">
        <v>Jul</v>
      </c>
      <c r="AA22" s="76" t="str">
        <v>Jul</v>
      </c>
      <c r="AB22" s="76" t="str">
        <v>Jul</v>
      </c>
      <c r="AC22" s="76" t="str">
        <v>Jul</v>
      </c>
    </row>
    <row r="23" spans="3:29">
      <c r="C23" s="78" t="s">
        <v>311</v>
      </c>
      <c r="G23" s="82">
        <v>7</v>
      </c>
      <c r="H23" s="82">
        <v>7</v>
      </c>
      <c r="I23" s="82">
        <v>7</v>
      </c>
      <c r="J23" s="82">
        <v>7</v>
      </c>
      <c r="M23" s="86"/>
      <c r="T23" s="74" t="str">
        <v>May</v>
      </c>
      <c r="W23" s="87"/>
      <c r="Y23" s="77" t="str">
        <v>Aug</v>
      </c>
      <c r="Z23" s="77" t="str">
        <v>Aug</v>
      </c>
      <c r="AA23" s="77" t="str">
        <v>Aug</v>
      </c>
      <c r="AB23" s="77" t="str">
        <v>Aug</v>
      </c>
      <c r="AC23" s="77" t="str">
        <v>Aug</v>
      </c>
    </row>
    <row r="24" spans="3:29">
      <c r="C24" s="79" t="s">
        <v>312</v>
      </c>
      <c r="G24" s="39"/>
      <c r="M24" s="86"/>
      <c r="T24" s="75" t="str">
        <v>Jun</v>
      </c>
      <c r="W24" s="87"/>
      <c r="Y24" s="78" t="str">
        <v>Sep</v>
      </c>
      <c r="Z24" s="78" t="str">
        <v>Sep</v>
      </c>
      <c r="AA24" s="78" t="str">
        <v>Sep</v>
      </c>
      <c r="AB24" s="78" t="str">
        <v>Sep</v>
      </c>
      <c r="AC24" s="78" t="str">
        <v>Sep</v>
      </c>
    </row>
    <row r="25" spans="3:29">
      <c r="C25" s="80" t="s">
        <v>313</v>
      </c>
      <c r="M25" s="86"/>
      <c r="T25" s="76" t="str">
        <v>Jul</v>
      </c>
      <c r="W25" s="87"/>
      <c r="Y25" s="79" t="str">
        <v>Oct</v>
      </c>
      <c r="Z25" s="79" t="str">
        <v>Oct</v>
      </c>
      <c r="AA25" s="79" t="str">
        <v>Oct</v>
      </c>
      <c r="AB25" s="79" t="str">
        <v>Oct</v>
      </c>
      <c r="AC25" s="79" t="str">
        <v>Oct</v>
      </c>
    </row>
    <row r="26" spans="3:29">
      <c r="C26" s="81" t="s">
        <v>314</v>
      </c>
      <c r="M26" s="86"/>
      <c r="T26" s="77" t="str">
        <v>Aug</v>
      </c>
      <c r="W26" s="87"/>
      <c r="Y26" s="80" t="str">
        <v>Nov</v>
      </c>
      <c r="Z26" s="80" t="str">
        <v>Nov</v>
      </c>
      <c r="AA26" s="80" t="str">
        <v>Nov</v>
      </c>
      <c r="AB26" s="80" t="str">
        <v>Nov</v>
      </c>
      <c r="AC26" s="80" t="str">
        <v>Nov</v>
      </c>
    </row>
    <row r="27" spans="3:29">
      <c r="M27" s="86"/>
      <c r="T27" s="78" t="str">
        <v>Sep</v>
      </c>
      <c r="W27" s="87"/>
      <c r="Y27" s="81" t="str">
        <v>Dec</v>
      </c>
      <c r="Z27" s="81" t="str">
        <v>Dec</v>
      </c>
      <c r="AA27" s="81" t="str">
        <v>Dec</v>
      </c>
      <c r="AB27" s="81" t="str">
        <v>Dec</v>
      </c>
      <c r="AC27" s="81" t="str">
        <v>Dec</v>
      </c>
    </row>
    <row r="28" spans="3:29">
      <c r="M28" s="86"/>
      <c r="T28" s="79" t="str">
        <v>Oct</v>
      </c>
      <c r="W28" s="87"/>
    </row>
    <row r="29" spans="3:29">
      <c r="M29" s="86"/>
      <c r="T29" s="80" t="str">
        <v>Nov</v>
      </c>
      <c r="W29" s="87"/>
    </row>
    <row r="30" spans="3:29">
      <c r="M30" s="86"/>
      <c r="T30" s="81" t="str">
        <v>Dec</v>
      </c>
      <c r="W30" s="87"/>
    </row>
    <row r="31" spans="3:29">
      <c r="M31" s="86"/>
      <c r="W31" s="87"/>
    </row>
    <row r="32" spans="3:29">
      <c r="M32" s="86"/>
      <c r="W32" s="87"/>
    </row>
  </sheetData>
  <phoneticPr fontId="1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4E5B-351C-4393-9E06-509923D5381E}">
  <sheetPr codeName="Sheet8">
    <tabColor rgb="FFC1F1C7"/>
  </sheetPr>
  <dimension ref="B2:AD29"/>
  <sheetViews>
    <sheetView zoomScaleNormal="100" workbookViewId="0"/>
  </sheetViews>
  <sheetFormatPr defaultRowHeight="16.5"/>
  <cols>
    <col min="1" max="1" width="5" style="60" customWidth="1"/>
    <col min="2" max="10" width="4.58203125" style="60" customWidth="1"/>
    <col min="11" max="12" width="4.58203125" style="14" customWidth="1"/>
    <col min="13" max="26" width="4.58203125" style="60" customWidth="1"/>
    <col min="27" max="27" width="6.08203125" style="60" customWidth="1"/>
    <col min="28" max="28" width="10.25" style="60" customWidth="1"/>
    <col min="29" max="29" width="4.58203125" style="60" customWidth="1"/>
    <col min="30" max="30" width="11.6640625" style="60" customWidth="1"/>
    <col min="31" max="16384" width="8.6640625" style="60"/>
  </cols>
  <sheetData>
    <row r="2" spans="2:30">
      <c r="B2" s="46" t="s">
        <v>333</v>
      </c>
    </row>
    <row r="3" spans="2:30">
      <c r="B3" s="88"/>
      <c r="C3" s="88"/>
      <c r="D3" s="88"/>
      <c r="E3" s="88"/>
      <c r="F3" s="88"/>
      <c r="G3" s="88"/>
      <c r="H3" s="88"/>
      <c r="I3" s="88"/>
      <c r="J3" s="88"/>
      <c r="K3" s="93"/>
      <c r="L3" s="89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</row>
    <row r="4" spans="2:30">
      <c r="L4" s="60"/>
      <c r="P4" s="90"/>
      <c r="Q4" s="90"/>
      <c r="R4" s="51" t="s">
        <v>322</v>
      </c>
      <c r="T4" s="51" t="s">
        <v>342</v>
      </c>
      <c r="AD4" s="94"/>
    </row>
    <row r="5" spans="2:30">
      <c r="L5" s="51" t="s">
        <v>323</v>
      </c>
      <c r="P5" s="14"/>
      <c r="Q5" s="14"/>
      <c r="R5" s="144">
        <v>0</v>
      </c>
      <c r="T5" s="143" t="s">
        <v>335</v>
      </c>
      <c r="U5" s="143" t="s">
        <v>336</v>
      </c>
      <c r="V5" s="143" t="s">
        <v>337</v>
      </c>
      <c r="W5" s="143" t="s">
        <v>338</v>
      </c>
      <c r="X5" s="143" t="s">
        <v>339</v>
      </c>
      <c r="Y5" s="143" t="s">
        <v>340</v>
      </c>
      <c r="Z5" s="143" t="s">
        <v>341</v>
      </c>
      <c r="AD5" s="87"/>
    </row>
    <row r="6" spans="2:30">
      <c r="L6" s="143">
        <v>0</v>
      </c>
      <c r="M6" s="143">
        <v>1</v>
      </c>
      <c r="N6" s="143">
        <v>2</v>
      </c>
      <c r="O6" s="143">
        <v>3</v>
      </c>
      <c r="P6" s="143">
        <v>4</v>
      </c>
      <c r="Q6" s="14"/>
      <c r="R6" s="145">
        <v>1</v>
      </c>
      <c r="AD6" s="87"/>
    </row>
    <row r="7" spans="2:30">
      <c r="L7" s="60"/>
      <c r="P7" s="14"/>
      <c r="Q7" s="14"/>
      <c r="R7" s="145">
        <v>2</v>
      </c>
      <c r="S7" s="14"/>
      <c r="T7" s="14"/>
      <c r="AD7" s="87"/>
    </row>
    <row r="8" spans="2:30">
      <c r="L8" s="60"/>
      <c r="P8" s="14"/>
      <c r="Q8" s="14"/>
      <c r="R8" s="145">
        <v>3</v>
      </c>
      <c r="AD8" s="87"/>
    </row>
    <row r="9" spans="2:30">
      <c r="L9" s="60"/>
      <c r="P9" s="14"/>
      <c r="Q9" s="14"/>
      <c r="R9" s="146">
        <v>4</v>
      </c>
      <c r="AD9" s="87"/>
    </row>
    <row r="10" spans="2:30"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95"/>
    </row>
    <row r="11" spans="2:30">
      <c r="B11" s="47" t="s">
        <v>330</v>
      </c>
      <c r="J11" s="94"/>
      <c r="L11" s="66" t="s">
        <v>328</v>
      </c>
      <c r="Y11" s="94"/>
      <c r="AA11" s="47" t="s">
        <v>329</v>
      </c>
      <c r="AD11" s="87"/>
    </row>
    <row r="12" spans="2:30">
      <c r="J12" s="87"/>
      <c r="Y12" s="87"/>
      <c r="AD12" s="87"/>
    </row>
    <row r="13" spans="2:30">
      <c r="C13" s="50" t="s">
        <v>320</v>
      </c>
      <c r="J13" s="87"/>
      <c r="L13" s="25" t="s">
        <v>324</v>
      </c>
      <c r="M13" s="14"/>
      <c r="R13" s="50" t="s">
        <v>343</v>
      </c>
      <c r="Y13" s="87"/>
      <c r="AA13" s="50" t="s">
        <v>326</v>
      </c>
      <c r="AC13" s="50" t="s">
        <v>327</v>
      </c>
      <c r="AD13" s="87"/>
    </row>
    <row r="14" spans="2:30">
      <c r="C14" s="91" t="str" cm="1">
        <f t="array" ref="C14:C17">Shiftλ("ABCD",2)</f>
        <v>C</v>
      </c>
      <c r="J14" s="87"/>
      <c r="L14" s="91" cm="1">
        <f t="array" ref="L14:P14">Shiftλ(H_array,3)</f>
        <v>3</v>
      </c>
      <c r="M14" s="91">
        <v>4</v>
      </c>
      <c r="N14" s="91">
        <v>0</v>
      </c>
      <c r="O14" s="91">
        <v>1</v>
      </c>
      <c r="P14" s="91">
        <v>2</v>
      </c>
      <c r="R14" s="91" t="str" cm="1">
        <f t="array" ref="R14:X14">Shiftλ(Days_array,2)</f>
        <v>Wed</v>
      </c>
      <c r="S14" s="91" t="str">
        <v>Thu</v>
      </c>
      <c r="T14" s="91" t="str">
        <v>Fri</v>
      </c>
      <c r="U14" s="91" t="str">
        <v>Sat</v>
      </c>
      <c r="V14" s="91" t="str">
        <v>Sun</v>
      </c>
      <c r="W14" s="91" t="str">
        <v>Mon</v>
      </c>
      <c r="X14" s="91" t="str">
        <v>Tue</v>
      </c>
      <c r="Y14" s="87"/>
      <c r="AA14" s="91" cm="1">
        <f t="array" ref="AA14:AA18">Shiftλ(V_array,1)</f>
        <v>1</v>
      </c>
      <c r="AC14" s="91" cm="1">
        <f t="array" ref="AC14:AC18">Shiftλ(V_array,-2)</f>
        <v>3</v>
      </c>
      <c r="AD14" s="87"/>
    </row>
    <row r="15" spans="2:30">
      <c r="C15" s="91" t="str">
        <v>D</v>
      </c>
      <c r="J15" s="87"/>
      <c r="M15" s="14"/>
      <c r="Y15" s="87"/>
      <c r="AA15" s="91">
        <v>2</v>
      </c>
      <c r="AC15" s="91">
        <v>4</v>
      </c>
      <c r="AD15" s="87"/>
    </row>
    <row r="16" spans="2:30">
      <c r="C16" s="91" t="str">
        <v>A</v>
      </c>
      <c r="J16" s="87"/>
      <c r="L16" s="25" t="s">
        <v>325</v>
      </c>
      <c r="M16" s="14"/>
      <c r="R16" s="50" t="s">
        <v>344</v>
      </c>
      <c r="Y16" s="87"/>
      <c r="AA16" s="91">
        <v>3</v>
      </c>
      <c r="AC16" s="91">
        <v>0</v>
      </c>
      <c r="AD16" s="87"/>
    </row>
    <row r="17" spans="3:30">
      <c r="C17" s="91" t="str">
        <v>B</v>
      </c>
      <c r="J17" s="87"/>
      <c r="L17" s="91" cm="1">
        <f t="array" ref="L17:P17">Shiftλ(H_array,-3)</f>
        <v>2</v>
      </c>
      <c r="M17" s="91">
        <v>3</v>
      </c>
      <c r="N17" s="91">
        <v>4</v>
      </c>
      <c r="O17" s="91">
        <v>0</v>
      </c>
      <c r="P17" s="91">
        <v>1</v>
      </c>
      <c r="R17" s="91" t="str" cm="1">
        <f t="array" ref="R17:X17">Shiftλ(Days_array,-2)</f>
        <v>Sat</v>
      </c>
      <c r="S17" s="91" t="str">
        <v>Sun</v>
      </c>
      <c r="T17" s="91" t="str">
        <v>Mon</v>
      </c>
      <c r="U17" s="91" t="str">
        <v>Tue</v>
      </c>
      <c r="V17" s="91" t="str">
        <v>Wed</v>
      </c>
      <c r="W17" s="91" t="str">
        <v>Thu</v>
      </c>
      <c r="X17" s="91" t="str">
        <v>Fri</v>
      </c>
      <c r="Y17" s="87"/>
      <c r="AA17" s="91">
        <v>4</v>
      </c>
      <c r="AC17" s="91">
        <v>1</v>
      </c>
      <c r="AD17" s="87"/>
    </row>
    <row r="18" spans="3:30">
      <c r="J18" s="87"/>
      <c r="Y18" s="87"/>
      <c r="AA18" s="91">
        <v>0</v>
      </c>
      <c r="AC18" s="91">
        <v>2</v>
      </c>
      <c r="AD18" s="87"/>
    </row>
    <row r="19" spans="3:30">
      <c r="C19" s="50" t="s">
        <v>321</v>
      </c>
      <c r="J19" s="87"/>
      <c r="Y19" s="87"/>
      <c r="AD19" s="87"/>
    </row>
    <row r="20" spans="3:30">
      <c r="C20" s="91" t="str" cm="1">
        <f t="array" ref="C20:C23">Shiftλ("ABCD",-2)</f>
        <v>C</v>
      </c>
      <c r="J20" s="87"/>
      <c r="Y20" s="87"/>
      <c r="AD20" s="87"/>
    </row>
    <row r="21" spans="3:30">
      <c r="C21" s="91" t="str">
        <v>D</v>
      </c>
      <c r="J21" s="87"/>
      <c r="L21" s="66" t="s">
        <v>334</v>
      </c>
      <c r="Y21" s="87"/>
      <c r="AD21" s="87"/>
    </row>
    <row r="22" spans="3:30">
      <c r="C22" s="91" t="str">
        <v>A</v>
      </c>
      <c r="J22" s="87"/>
      <c r="Y22" s="87"/>
      <c r="AD22" s="87"/>
    </row>
    <row r="23" spans="3:30">
      <c r="C23" s="91" t="str">
        <v>B</v>
      </c>
      <c r="J23" s="87"/>
      <c r="L23" s="25" t="s">
        <v>331</v>
      </c>
      <c r="Y23" s="87"/>
      <c r="AD23" s="87"/>
    </row>
    <row r="24" spans="3:30">
      <c r="J24" s="87"/>
      <c r="L24" s="91" cm="1">
        <f t="array" ref="L24:P27">Shiftλ(H_array,_xlfn.SEQUENCE(4))</f>
        <v>1</v>
      </c>
      <c r="M24" s="91">
        <v>2</v>
      </c>
      <c r="N24" s="91">
        <v>3</v>
      </c>
      <c r="O24" s="91">
        <v>4</v>
      </c>
      <c r="P24" s="91">
        <v>0</v>
      </c>
      <c r="Y24" s="87"/>
      <c r="AD24" s="87"/>
    </row>
    <row r="25" spans="3:30">
      <c r="J25" s="87"/>
      <c r="L25" s="91">
        <v>2</v>
      </c>
      <c r="M25" s="91">
        <v>3</v>
      </c>
      <c r="N25" s="91">
        <v>4</v>
      </c>
      <c r="O25" s="91">
        <v>0</v>
      </c>
      <c r="P25" s="91">
        <v>1</v>
      </c>
      <c r="Y25" s="87"/>
      <c r="AD25" s="87"/>
    </row>
    <row r="26" spans="3:30">
      <c r="J26" s="87"/>
      <c r="L26" s="91">
        <v>3</v>
      </c>
      <c r="M26" s="91">
        <v>4</v>
      </c>
      <c r="N26" s="91">
        <v>0</v>
      </c>
      <c r="O26" s="91">
        <v>1</v>
      </c>
      <c r="P26" s="91">
        <v>2</v>
      </c>
      <c r="Y26" s="87"/>
      <c r="AD26" s="87"/>
    </row>
    <row r="27" spans="3:30">
      <c r="J27" s="87"/>
      <c r="L27" s="91">
        <v>4</v>
      </c>
      <c r="M27" s="91">
        <v>0</v>
      </c>
      <c r="N27" s="91">
        <v>1</v>
      </c>
      <c r="O27" s="91">
        <v>2</v>
      </c>
      <c r="P27" s="91">
        <v>3</v>
      </c>
      <c r="Y27" s="87"/>
      <c r="AD27" s="87"/>
    </row>
    <row r="28" spans="3:30">
      <c r="J28" s="87"/>
      <c r="Y28" s="87"/>
      <c r="AD28" s="87"/>
    </row>
    <row r="29" spans="3:30">
      <c r="J29" s="87"/>
      <c r="Y29" s="87"/>
      <c r="AD29" s="87"/>
    </row>
  </sheetData>
  <phoneticPr fontId="1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3C3FD-0D34-4C53-8665-6C42F3F66874}">
  <sheetPr codeName="Sheet6">
    <tabColor rgb="FFC1F1C7"/>
  </sheetPr>
  <dimension ref="A2:Q36"/>
  <sheetViews>
    <sheetView workbookViewId="0"/>
  </sheetViews>
  <sheetFormatPr defaultRowHeight="16.5"/>
  <cols>
    <col min="1" max="1" width="5" style="4" customWidth="1"/>
    <col min="2" max="2" width="56.08203125" style="3" bestFit="1" customWidth="1"/>
    <col min="3" max="3" width="12.08203125" style="3" customWidth="1"/>
    <col min="4" max="4" width="17.75" style="4" bestFit="1" customWidth="1"/>
    <col min="5" max="5" width="19" style="4" customWidth="1"/>
    <col min="6" max="6" width="12.75" style="4" bestFit="1" customWidth="1"/>
    <col min="7" max="7" width="12.1640625" style="4" customWidth="1"/>
    <col min="8" max="8" width="5.83203125" style="4" bestFit="1" customWidth="1"/>
    <col min="9" max="9" width="3.4140625" style="4" customWidth="1"/>
    <col min="10" max="10" width="21.33203125" style="4" bestFit="1" customWidth="1"/>
    <col min="11" max="11" width="6.4140625" style="4" customWidth="1"/>
    <col min="12" max="12" width="9.25" style="4" bestFit="1" customWidth="1"/>
    <col min="13" max="13" width="8.5" style="4" bestFit="1" customWidth="1"/>
    <col min="14" max="16384" width="8.6640625" style="4"/>
  </cols>
  <sheetData>
    <row r="2" spans="1:17">
      <c r="B2" s="62" t="s">
        <v>392</v>
      </c>
      <c r="C2" s="62"/>
    </row>
    <row r="3" spans="1:17">
      <c r="B3" s="7"/>
      <c r="C3" s="118"/>
      <c r="D3" s="119"/>
      <c r="E3" s="120" t="s">
        <v>286</v>
      </c>
      <c r="F3" s="119"/>
      <c r="G3" s="119"/>
      <c r="H3" s="121"/>
      <c r="I3" s="16"/>
      <c r="J3" s="120" t="s">
        <v>287</v>
      </c>
      <c r="K3" s="120"/>
      <c r="L3" s="119"/>
      <c r="M3" s="119"/>
      <c r="N3" s="119"/>
      <c r="O3" s="119"/>
      <c r="P3" s="119"/>
      <c r="Q3" s="121"/>
    </row>
    <row r="4" spans="1:17">
      <c r="B4" s="7"/>
      <c r="C4" s="122" t="s">
        <v>274</v>
      </c>
      <c r="E4" s="29" t="s">
        <v>279</v>
      </c>
      <c r="H4" s="34"/>
      <c r="I4" s="125"/>
      <c r="J4" s="31" t="s">
        <v>283</v>
      </c>
      <c r="K4" s="31"/>
      <c r="L4" s="64" t="s">
        <v>285</v>
      </c>
      <c r="Q4" s="34"/>
    </row>
    <row r="5" spans="1:17">
      <c r="C5" s="143" t="s">
        <v>276</v>
      </c>
      <c r="E5" s="91" t="str" cm="1">
        <f t="array" ref="E5:G8">Splitλ(Letters,",")</f>
        <v>A</v>
      </c>
      <c r="F5" s="91" t="str">
        <v>B</v>
      </c>
      <c r="G5" s="91" t="str">
        <v>C</v>
      </c>
      <c r="H5" s="34"/>
      <c r="I5" s="125"/>
      <c r="J5" s="149" t="s">
        <v>284</v>
      </c>
      <c r="K5" s="100"/>
      <c r="L5" s="91" t="str" cm="1">
        <f t="array" ref="L5:P7">Splitλ(Names,";",,1)</f>
        <v>Bob</v>
      </c>
      <c r="M5" s="91" t="str">
        <v>Deb</v>
      </c>
      <c r="N5" s="91" t="str">
        <v>Sue</v>
      </c>
      <c r="O5" s="91" t="str">
        <v>Wes</v>
      </c>
      <c r="P5" s="91" t="str">
        <v>Rita</v>
      </c>
      <c r="Q5" s="34"/>
    </row>
    <row r="6" spans="1:17">
      <c r="C6" s="143" t="s">
        <v>277</v>
      </c>
      <c r="E6" s="91" t="str">
        <v>D</v>
      </c>
      <c r="F6" s="91" t="str">
        <v>E</v>
      </c>
      <c r="G6" s="91" t="str">
        <v>F</v>
      </c>
      <c r="H6" s="34"/>
      <c r="I6" s="125"/>
      <c r="J6" s="149" t="s">
        <v>281</v>
      </c>
      <c r="K6" s="100"/>
      <c r="L6" s="91" t="str">
        <v>Lev</v>
      </c>
      <c r="M6" s="91" t="str">
        <v>Tom</v>
      </c>
      <c r="N6" s="91" t="str">
        <v>Rick</v>
      </c>
      <c r="O6" s="91" t="str">
        <v>Gus</v>
      </c>
      <c r="P6" s="91" t="str">
        <v>Quinn</v>
      </c>
      <c r="Q6" s="34"/>
    </row>
    <row r="7" spans="1:17">
      <c r="C7" s="143" t="s">
        <v>278</v>
      </c>
      <c r="E7" s="91" t="str">
        <v>G</v>
      </c>
      <c r="F7" s="91" t="str">
        <v>H</v>
      </c>
      <c r="G7" s="91" t="str">
        <v>I</v>
      </c>
      <c r="H7" s="34"/>
      <c r="I7" s="125"/>
      <c r="J7" s="149" t="s">
        <v>282</v>
      </c>
      <c r="K7" s="100"/>
      <c r="L7" s="91" t="str">
        <v>Lisa</v>
      </c>
      <c r="M7" s="91" t="str">
        <v>Pablo</v>
      </c>
      <c r="N7" s="91" t="str">
        <v>Hal</v>
      </c>
      <c r="O7" s="91" t="str">
        <v>Peg</v>
      </c>
      <c r="P7" s="91" t="str">
        <v/>
      </c>
      <c r="Q7" s="34"/>
    </row>
    <row r="8" spans="1:17">
      <c r="A8" s="2"/>
      <c r="C8" s="143" t="s">
        <v>280</v>
      </c>
      <c r="E8" s="91" t="str">
        <v>J</v>
      </c>
      <c r="F8" s="91" t="str">
        <v>K</v>
      </c>
      <c r="G8" s="91" t="str">
        <v/>
      </c>
      <c r="H8" s="34"/>
      <c r="I8" s="125"/>
      <c r="Q8" s="34"/>
    </row>
    <row r="9" spans="1:17">
      <c r="A9" s="2"/>
      <c r="B9" s="147"/>
      <c r="C9" s="127"/>
      <c r="D9" s="123"/>
      <c r="E9" s="36"/>
      <c r="F9" s="36"/>
      <c r="G9" s="36"/>
      <c r="H9" s="124"/>
      <c r="I9" s="126"/>
      <c r="J9" s="36"/>
      <c r="K9" s="36"/>
      <c r="L9" s="36"/>
      <c r="M9" s="36"/>
      <c r="N9" s="36"/>
      <c r="O9" s="36"/>
      <c r="P9" s="36"/>
      <c r="Q9" s="124"/>
    </row>
    <row r="10" spans="1:17">
      <c r="A10" s="2"/>
      <c r="D10" s="101" t="s">
        <v>394</v>
      </c>
    </row>
    <row r="11" spans="1:17">
      <c r="A11" s="2"/>
      <c r="B11" s="97" t="s">
        <v>393</v>
      </c>
      <c r="D11" s="64" t="s">
        <v>275</v>
      </c>
    </row>
    <row r="12" spans="1:17">
      <c r="B12" s="148" t="s">
        <v>409</v>
      </c>
      <c r="C12" s="96"/>
      <c r="D12" s="99" t="str" cm="1">
        <f t="array" ref="D12:H36">Splitλ(Addresses,"|")</f>
        <v>Name</v>
      </c>
      <c r="E12" s="99" t="str">
        <v>Street</v>
      </c>
      <c r="F12" s="99" t="str">
        <v>City</v>
      </c>
      <c r="G12" s="91" t="str">
        <v>State</v>
      </c>
      <c r="H12" s="91" t="str">
        <v>Zip</v>
      </c>
    </row>
    <row r="13" spans="1:17">
      <c r="B13" s="148" t="s">
        <v>115</v>
      </c>
      <c r="C13" s="96"/>
      <c r="D13" s="99" t="str">
        <v>Jane Smith</v>
      </c>
      <c r="E13" s="99" t="str">
        <v>456 Oak Ave</v>
      </c>
      <c r="F13" s="99" t="str">
        <v>Madison</v>
      </c>
      <c r="G13" s="91" t="str">
        <v>WI</v>
      </c>
      <c r="H13" s="91" t="str">
        <v>53703</v>
      </c>
    </row>
    <row r="14" spans="1:17">
      <c r="B14" s="148" t="s">
        <v>116</v>
      </c>
      <c r="C14" s="96"/>
      <c r="D14" s="99" t="str">
        <v>Michael Johnson</v>
      </c>
      <c r="E14" s="99" t="str">
        <v>789 Pine Rd</v>
      </c>
      <c r="F14" s="99" t="str">
        <v>Columbus</v>
      </c>
      <c r="G14" s="91" t="str">
        <v>OH</v>
      </c>
      <c r="H14" s="91" t="str">
        <v>43215</v>
      </c>
    </row>
    <row r="15" spans="1:17">
      <c r="B15" s="148" t="s">
        <v>117</v>
      </c>
      <c r="C15" s="96"/>
      <c r="D15" s="99" t="str">
        <v>Emily Davis</v>
      </c>
      <c r="E15" s="99" t="str">
        <v>101 Elm St</v>
      </c>
      <c r="F15" s="99" t="str">
        <v>Austin</v>
      </c>
      <c r="G15" s="91" t="str">
        <v>TX</v>
      </c>
      <c r="H15" s="91" t="str">
        <v>78701</v>
      </c>
    </row>
    <row r="16" spans="1:17">
      <c r="B16" s="148" t="s">
        <v>118</v>
      </c>
      <c r="C16" s="96"/>
      <c r="D16" s="99" t="str">
        <v>David Wilson</v>
      </c>
      <c r="E16" s="99" t="str">
        <v>202 Birch Blvd</v>
      </c>
      <c r="F16" s="99" t="str">
        <v>Denver</v>
      </c>
      <c r="G16" s="91" t="str">
        <v>CO</v>
      </c>
      <c r="H16" s="91" t="str">
        <v>80203</v>
      </c>
    </row>
    <row r="17" spans="1:8">
      <c r="B17" s="148" t="s">
        <v>119</v>
      </c>
      <c r="C17" s="96"/>
      <c r="D17" s="99" t="str">
        <v>Sarah Brown</v>
      </c>
      <c r="E17" s="99" t="str">
        <v>303 Cedar Ln</v>
      </c>
      <c r="F17" s="99" t="str">
        <v>Seattle</v>
      </c>
      <c r="G17" s="91" t="str">
        <v>WA</v>
      </c>
      <c r="H17" s="91" t="str">
        <v>98101</v>
      </c>
    </row>
    <row r="18" spans="1:8">
      <c r="B18" s="148" t="s">
        <v>120</v>
      </c>
      <c r="C18" s="96"/>
      <c r="D18" s="99" t="str">
        <v>James Taylor</v>
      </c>
      <c r="E18" s="99" t="str">
        <v>404 Spruce Dr</v>
      </c>
      <c r="F18" s="99" t="str">
        <v>Portland</v>
      </c>
      <c r="G18" s="91" t="str">
        <v>OR</v>
      </c>
      <c r="H18" s="91" t="str">
        <v>97205</v>
      </c>
    </row>
    <row r="19" spans="1:8">
      <c r="B19" s="148" t="s">
        <v>121</v>
      </c>
      <c r="C19" s="96"/>
      <c r="D19" s="99" t="str">
        <v>Jessica Martinez</v>
      </c>
      <c r="E19" s="99" t="str">
        <v>505 Walnut St</v>
      </c>
      <c r="F19" s="99" t="str">
        <v>Boston</v>
      </c>
      <c r="G19" s="91" t="str">
        <v>MA</v>
      </c>
      <c r="H19" s="91" t="str">
        <v>02108</v>
      </c>
    </row>
    <row r="20" spans="1:8">
      <c r="B20" s="148" t="s">
        <v>122</v>
      </c>
      <c r="C20" s="96"/>
      <c r="D20" s="99" t="str">
        <v>Robert Anderson</v>
      </c>
      <c r="E20" s="99" t="str">
        <v>606 Chestnut Ave</v>
      </c>
      <c r="F20" s="99" t="str">
        <v>Atlanta</v>
      </c>
      <c r="G20" s="91" t="str">
        <v>GA</v>
      </c>
      <c r="H20" s="91" t="str">
        <v>30303</v>
      </c>
    </row>
    <row r="21" spans="1:8">
      <c r="A21" s="2"/>
      <c r="B21" s="148" t="s">
        <v>123</v>
      </c>
      <c r="C21" s="96"/>
      <c r="D21" s="99" t="str">
        <v>Linda Thomas</v>
      </c>
      <c r="E21" s="99" t="str">
        <v>707 Hickory Ct</v>
      </c>
      <c r="F21" s="99" t="str">
        <v>Miami</v>
      </c>
      <c r="G21" s="91" t="str">
        <v>FL</v>
      </c>
      <c r="H21" s="91" t="str">
        <v>33101</v>
      </c>
    </row>
    <row r="22" spans="1:8">
      <c r="B22" s="148" t="s">
        <v>124</v>
      </c>
      <c r="C22" s="96"/>
      <c r="D22" s="99" t="str">
        <v>William Jackson</v>
      </c>
      <c r="E22" s="99" t="str">
        <v>808 Aspen Rd</v>
      </c>
      <c r="F22" s="99" t="str">
        <v>Chicago</v>
      </c>
      <c r="G22" s="91" t="str">
        <v>IL</v>
      </c>
      <c r="H22" s="91" t="str">
        <v>60601</v>
      </c>
    </row>
    <row r="23" spans="1:8">
      <c r="B23" s="148" t="s">
        <v>125</v>
      </c>
      <c r="C23" s="96"/>
      <c r="D23" s="99" t="str">
        <v>Barbara White</v>
      </c>
      <c r="E23" s="99" t="str">
        <v>909 Fir St</v>
      </c>
      <c r="F23" s="99" t="str">
        <v>Phoenix</v>
      </c>
      <c r="G23" s="91" t="str">
        <v>AZ</v>
      </c>
      <c r="H23" s="91" t="str">
        <v>85001</v>
      </c>
    </row>
    <row r="24" spans="1:8">
      <c r="B24" s="148" t="s">
        <v>126</v>
      </c>
      <c r="C24" s="96"/>
      <c r="D24" s="99" t="str">
        <v>Charles Harris</v>
      </c>
      <c r="E24" s="99" t="str">
        <v>111 Redwood Blvd</v>
      </c>
      <c r="F24" s="99" t="str">
        <v>San Diego</v>
      </c>
      <c r="G24" s="91" t="str">
        <v>CA</v>
      </c>
      <c r="H24" s="91" t="str">
        <v>92101</v>
      </c>
    </row>
    <row r="25" spans="1:8">
      <c r="B25" s="148" t="s">
        <v>127</v>
      </c>
      <c r="C25" s="96"/>
      <c r="D25" s="142" t="str">
        <v>Susan Martin</v>
      </c>
      <c r="E25" s="99" t="str">
        <v>222 Cypress Ln</v>
      </c>
      <c r="F25" s="99" t="str">
        <v>Dallas</v>
      </c>
      <c r="G25" s="91" t="str">
        <v>TX</v>
      </c>
      <c r="H25" s="91" t="str">
        <v>75201</v>
      </c>
    </row>
    <row r="26" spans="1:8">
      <c r="B26" s="148" t="s">
        <v>128</v>
      </c>
      <c r="C26" s="96"/>
      <c r="D26" s="99" t="str">
        <v>Joseph Thompson</v>
      </c>
      <c r="E26" s="99" t="str">
        <v>333 Magnolia Dr</v>
      </c>
      <c r="F26" s="99" t="str">
        <v>Detroit</v>
      </c>
      <c r="G26" s="91" t="str">
        <v>MI</v>
      </c>
      <c r="H26" s="91" t="str">
        <v>48201</v>
      </c>
    </row>
    <row r="27" spans="1:8">
      <c r="B27" s="148" t="s">
        <v>129</v>
      </c>
      <c r="C27" s="96"/>
      <c r="D27" s="99" t="str">
        <v>Karen Garcia</v>
      </c>
      <c r="E27" s="99" t="str">
        <v>444 Palm St</v>
      </c>
      <c r="F27" s="99" t="str">
        <v>Las Vegas</v>
      </c>
      <c r="G27" s="91" t="str">
        <v>NV</v>
      </c>
      <c r="H27" s="91" t="str">
        <v>89101</v>
      </c>
    </row>
    <row r="28" spans="1:8">
      <c r="B28" s="148" t="s">
        <v>130</v>
      </c>
      <c r="C28" s="96"/>
      <c r="D28" s="99" t="str">
        <v>Thomas Martinez</v>
      </c>
      <c r="E28" s="99" t="str">
        <v>555 Willow Ave</v>
      </c>
      <c r="F28" s="99" t="str">
        <v>Minneapolis</v>
      </c>
      <c r="G28" s="91" t="str">
        <v>MN</v>
      </c>
      <c r="H28" s="91" t="str">
        <v>55401</v>
      </c>
    </row>
    <row r="29" spans="1:8">
      <c r="B29" s="148" t="s">
        <v>131</v>
      </c>
      <c r="C29" s="96"/>
      <c r="D29" s="99" t="str">
        <v>Nancy Robinson</v>
      </c>
      <c r="E29" s="99" t="str">
        <v>666 Poplar Rd</v>
      </c>
      <c r="F29" s="99" t="str">
        <v>Philadelphia</v>
      </c>
      <c r="G29" s="91" t="str">
        <v>PA</v>
      </c>
      <c r="H29" s="91" t="str">
        <v>19101</v>
      </c>
    </row>
    <row r="30" spans="1:8">
      <c r="B30" s="148" t="s">
        <v>132</v>
      </c>
      <c r="C30" s="96"/>
      <c r="D30" s="99" t="str">
        <v>Christopher Clark</v>
      </c>
      <c r="E30" s="99" t="str">
        <v>777 Sycamore St</v>
      </c>
      <c r="F30" s="99" t="str">
        <v>Houston</v>
      </c>
      <c r="G30" s="91" t="str">
        <v>TX</v>
      </c>
      <c r="H30" s="91" t="str">
        <v>77001</v>
      </c>
    </row>
    <row r="31" spans="1:8">
      <c r="B31" s="148" t="s">
        <v>133</v>
      </c>
      <c r="C31" s="96"/>
      <c r="D31" s="99" t="str">
        <v>Margaret Rodriguez</v>
      </c>
      <c r="E31" s="99" t="str">
        <v>888 Cottonwood Blvd</v>
      </c>
      <c r="F31" s="99" t="str">
        <v>San Francisco</v>
      </c>
      <c r="G31" s="91" t="str">
        <v>CA</v>
      </c>
      <c r="H31" s="91" t="str">
        <v>94101</v>
      </c>
    </row>
    <row r="32" spans="1:8">
      <c r="B32" s="148" t="s">
        <v>134</v>
      </c>
      <c r="C32" s="96"/>
      <c r="D32" s="99" t="str">
        <v>Daniel Lewis</v>
      </c>
      <c r="E32" s="99" t="str">
        <v>999 Alder Ln</v>
      </c>
      <c r="F32" s="99" t="str">
        <v>Charlotte</v>
      </c>
      <c r="G32" s="91" t="str">
        <v>NC</v>
      </c>
      <c r="H32" s="91" t="str">
        <v>28201</v>
      </c>
    </row>
    <row r="33" spans="2:8">
      <c r="B33" s="148" t="s">
        <v>135</v>
      </c>
      <c r="C33" s="96"/>
      <c r="D33" s="99" t="str">
        <v>Patricia Lee</v>
      </c>
      <c r="E33" s="99" t="str">
        <v>1212 Beech St</v>
      </c>
      <c r="F33" s="99" t="str">
        <v>Indianapolis</v>
      </c>
      <c r="G33" s="91" t="str">
        <v>IN</v>
      </c>
      <c r="H33" s="91" t="str">
        <v>46201</v>
      </c>
    </row>
    <row r="34" spans="2:8">
      <c r="B34" s="148" t="s">
        <v>136</v>
      </c>
      <c r="C34" s="96"/>
      <c r="D34" s="99" t="str">
        <v>Matthew Walker</v>
      </c>
      <c r="E34" s="99" t="str">
        <v>1313 Dogwood Dr</v>
      </c>
      <c r="F34" s="99" t="str">
        <v>Columbus</v>
      </c>
      <c r="G34" s="91" t="str">
        <v>GA</v>
      </c>
      <c r="H34" s="91" t="str">
        <v>31901</v>
      </c>
    </row>
    <row r="35" spans="2:8">
      <c r="B35" s="148" t="s">
        <v>137</v>
      </c>
      <c r="C35" s="96"/>
      <c r="D35" s="99" t="str">
        <v>Elizabeth Hall</v>
      </c>
      <c r="E35" s="99" t="str">
        <v>1414 Juniper Ave</v>
      </c>
      <c r="F35" s="99" t="str">
        <v>Nashville</v>
      </c>
      <c r="G35" s="91" t="str">
        <v>TN</v>
      </c>
      <c r="H35" s="91" t="str">
        <v>37201</v>
      </c>
    </row>
    <row r="36" spans="2:8">
      <c r="B36" s="148" t="s">
        <v>138</v>
      </c>
      <c r="C36" s="96"/>
      <c r="D36" s="99" t="str">
        <v>Andrew Allen</v>
      </c>
      <c r="E36" s="99" t="str">
        <v>1515 Maplewood Rd</v>
      </c>
      <c r="F36" s="99" t="str">
        <v>Baltimore</v>
      </c>
      <c r="G36" s="91" t="str">
        <v>MD</v>
      </c>
      <c r="H36" s="91" t="str">
        <v>21201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A7A49-CD35-4E4E-8B30-BD45171FEDD7}">
  <sheetPr codeName="Sheet3">
    <tabColor rgb="FFFFE389"/>
  </sheetPr>
  <dimension ref="B2:M40"/>
  <sheetViews>
    <sheetView workbookViewId="0"/>
  </sheetViews>
  <sheetFormatPr defaultRowHeight="16.5"/>
  <cols>
    <col min="1" max="1" width="5" style="103" customWidth="1"/>
    <col min="2" max="3" width="8.6640625" style="103"/>
    <col min="4" max="4" width="8.6640625" style="104"/>
    <col min="5" max="5" width="10.83203125" style="103" customWidth="1"/>
    <col min="6" max="6" width="5.6640625" style="104" customWidth="1"/>
    <col min="7" max="7" width="9.6640625" style="103" customWidth="1"/>
    <col min="8" max="11" width="8.6640625" style="103"/>
    <col min="12" max="12" width="9.4140625" style="103" customWidth="1"/>
    <col min="13" max="13" width="10.33203125" style="103" customWidth="1"/>
    <col min="14" max="16384" width="8.6640625" style="103"/>
  </cols>
  <sheetData>
    <row r="2" spans="2:13">
      <c r="B2" s="102" t="s">
        <v>270</v>
      </c>
    </row>
    <row r="4" spans="2:13">
      <c r="B4" s="116"/>
      <c r="C4" s="116"/>
      <c r="D4" s="117"/>
      <c r="E4" s="116"/>
      <c r="F4" s="117"/>
      <c r="G4" s="116"/>
      <c r="H4" s="116"/>
      <c r="I4" s="116"/>
      <c r="J4" s="116"/>
      <c r="K4" s="116"/>
      <c r="L4" s="116"/>
      <c r="M4" s="116"/>
    </row>
    <row r="5" spans="2:13">
      <c r="E5" s="104"/>
      <c r="F5" s="103"/>
      <c r="H5" s="115"/>
    </row>
    <row r="6" spans="2:13">
      <c r="B6" s="110" t="s">
        <v>255</v>
      </c>
      <c r="C6" s="106"/>
      <c r="E6" s="114" t="s">
        <v>266</v>
      </c>
      <c r="F6" s="103"/>
      <c r="H6" s="115"/>
      <c r="J6" s="108" t="s">
        <v>267</v>
      </c>
    </row>
    <row r="7" spans="2:13">
      <c r="B7" s="150" t="s">
        <v>252</v>
      </c>
      <c r="C7" s="104"/>
      <c r="E7" s="105"/>
      <c r="F7" s="103"/>
      <c r="H7" s="115"/>
      <c r="J7" s="102"/>
    </row>
    <row r="8" spans="2:13">
      <c r="B8" s="150" t="s">
        <v>253</v>
      </c>
      <c r="C8" s="104"/>
      <c r="E8" s="112" t="s">
        <v>256</v>
      </c>
      <c r="F8" s="109"/>
      <c r="G8" s="113" t="s">
        <v>268</v>
      </c>
      <c r="H8" s="115"/>
      <c r="J8" s="107" t="s">
        <v>271</v>
      </c>
    </row>
    <row r="9" spans="2:13">
      <c r="B9" s="150" t="s">
        <v>254</v>
      </c>
      <c r="C9" s="104"/>
      <c r="E9" s="91" t="str" cm="1">
        <f t="array" ref="E9:E17">Echoλ(Colors,3)</f>
        <v>Red</v>
      </c>
      <c r="F9" s="103"/>
      <c r="G9" s="92" t="str" cm="1">
        <f t="array" ref="G9:G32">Echoλ(Produce,4)</f>
        <v>Apple</v>
      </c>
      <c r="H9" s="115"/>
      <c r="J9" s="107" t="s">
        <v>272</v>
      </c>
    </row>
    <row r="10" spans="2:13">
      <c r="C10" s="104"/>
      <c r="E10" s="91" t="str">
        <v>Red</v>
      </c>
      <c r="F10" s="103"/>
      <c r="G10" s="92" t="str">
        <v>Apple</v>
      </c>
      <c r="H10" s="115"/>
      <c r="J10" s="107" t="s">
        <v>273</v>
      </c>
    </row>
    <row r="11" spans="2:13">
      <c r="C11" s="104"/>
      <c r="E11" s="91" t="str">
        <v>Red</v>
      </c>
      <c r="F11" s="103"/>
      <c r="G11" s="92" t="str">
        <v>Apple</v>
      </c>
      <c r="H11" s="115"/>
    </row>
    <row r="12" spans="2:13">
      <c r="B12" s="110" t="s">
        <v>257</v>
      </c>
      <c r="C12" s="111" t="s">
        <v>264</v>
      </c>
      <c r="E12" s="91" t="str">
        <v>Green</v>
      </c>
      <c r="F12" s="103"/>
      <c r="G12" s="92" t="str">
        <v>Apple</v>
      </c>
      <c r="H12" s="115"/>
      <c r="J12" s="113" t="s">
        <v>269</v>
      </c>
      <c r="L12" s="113" t="s">
        <v>265</v>
      </c>
    </row>
    <row r="13" spans="2:13">
      <c r="B13" s="150" t="s">
        <v>258</v>
      </c>
      <c r="C13" s="151">
        <v>5</v>
      </c>
      <c r="E13" s="91" t="str">
        <v>Green</v>
      </c>
      <c r="F13" s="103"/>
      <c r="G13" s="92" t="str">
        <v>Banana</v>
      </c>
      <c r="H13" s="115"/>
      <c r="J13" s="92" t="str" cm="1">
        <f t="array" ref="J13:J25">Echoλ(Colors,{5,4})</f>
        <v>Red</v>
      </c>
      <c r="L13" s="92" t="str" cm="1">
        <f t="array" ref="L13:L40">Echoλ(Produce,Ordered)</f>
        <v>Apple</v>
      </c>
    </row>
    <row r="14" spans="2:13">
      <c r="B14" s="150" t="s">
        <v>259</v>
      </c>
      <c r="C14" s="151">
        <v>8</v>
      </c>
      <c r="E14" s="91" t="str">
        <v>Green</v>
      </c>
      <c r="F14" s="103"/>
      <c r="G14" s="92" t="str">
        <v>Banana</v>
      </c>
      <c r="H14" s="115"/>
      <c r="J14" s="92" t="str">
        <v>Red</v>
      </c>
      <c r="L14" s="92" t="str">
        <v>Apple</v>
      </c>
    </row>
    <row r="15" spans="2:13">
      <c r="B15" s="150" t="s">
        <v>260</v>
      </c>
      <c r="C15" s="151">
        <v>3</v>
      </c>
      <c r="E15" s="91" t="str">
        <v>Blue</v>
      </c>
      <c r="F15" s="103"/>
      <c r="G15" s="92" t="str">
        <v>Banana</v>
      </c>
      <c r="H15" s="115"/>
      <c r="J15" s="92" t="str">
        <v>Red</v>
      </c>
      <c r="L15" s="92" t="str">
        <v>Apple</v>
      </c>
    </row>
    <row r="16" spans="2:13">
      <c r="B16" s="150" t="s">
        <v>261</v>
      </c>
      <c r="C16" s="151">
        <v>1</v>
      </c>
      <c r="E16" s="91" t="str">
        <v>Blue</v>
      </c>
      <c r="F16" s="103"/>
      <c r="G16" s="92" t="str">
        <v>Banana</v>
      </c>
      <c r="H16" s="115"/>
      <c r="J16" s="92" t="str">
        <v>Red</v>
      </c>
      <c r="L16" s="92" t="str">
        <v>Apple</v>
      </c>
    </row>
    <row r="17" spans="2:12">
      <c r="B17" s="150" t="s">
        <v>262</v>
      </c>
      <c r="C17" s="151">
        <v>9</v>
      </c>
      <c r="E17" s="91" t="str">
        <v>Blue</v>
      </c>
      <c r="F17" s="103"/>
      <c r="G17" s="92" t="str">
        <v>Mango</v>
      </c>
      <c r="H17" s="115"/>
      <c r="J17" s="92" t="str">
        <v>Red</v>
      </c>
      <c r="L17" s="92" t="str">
        <v>Apple</v>
      </c>
    </row>
    <row r="18" spans="2:12">
      <c r="B18" s="150" t="s">
        <v>263</v>
      </c>
      <c r="C18" s="151">
        <v>2</v>
      </c>
      <c r="E18" s="104"/>
      <c r="F18" s="103"/>
      <c r="G18" s="92" t="str">
        <v>Mango</v>
      </c>
      <c r="H18" s="115"/>
      <c r="J18" s="92" t="str">
        <v>Green</v>
      </c>
      <c r="L18" s="92" t="str">
        <v>Banana</v>
      </c>
    </row>
    <row r="19" spans="2:12">
      <c r="E19" s="104"/>
      <c r="F19" s="103"/>
      <c r="G19" s="92" t="str">
        <v>Mango</v>
      </c>
      <c r="H19" s="115"/>
      <c r="J19" s="92" t="str">
        <v>Green</v>
      </c>
      <c r="L19" s="92" t="str">
        <v>Banana</v>
      </c>
    </row>
    <row r="20" spans="2:12">
      <c r="E20" s="104"/>
      <c r="F20" s="103"/>
      <c r="G20" s="92" t="str">
        <v>Mango</v>
      </c>
      <c r="H20" s="115"/>
      <c r="J20" s="92" t="str">
        <v>Green</v>
      </c>
      <c r="L20" s="92" t="str">
        <v>Banana</v>
      </c>
    </row>
    <row r="21" spans="2:12">
      <c r="E21" s="104"/>
      <c r="F21" s="103"/>
      <c r="G21" s="92" t="str">
        <v>Lemon</v>
      </c>
      <c r="H21" s="115"/>
      <c r="J21" s="92" t="str">
        <v>Green</v>
      </c>
      <c r="L21" s="92" t="str">
        <v>Banana</v>
      </c>
    </row>
    <row r="22" spans="2:12">
      <c r="E22" s="104"/>
      <c r="F22" s="103"/>
      <c r="G22" s="92" t="str">
        <v>Lemon</v>
      </c>
      <c r="H22" s="115"/>
      <c r="J22" s="92" t="str">
        <v>Blue</v>
      </c>
      <c r="L22" s="92" t="str">
        <v>Banana</v>
      </c>
    </row>
    <row r="23" spans="2:12">
      <c r="E23" s="104"/>
      <c r="F23" s="103"/>
      <c r="G23" s="92" t="str">
        <v>Lemon</v>
      </c>
      <c r="H23" s="115"/>
      <c r="J23" s="92" t="str">
        <v>Blue</v>
      </c>
      <c r="L23" s="92" t="str">
        <v>Banana</v>
      </c>
    </row>
    <row r="24" spans="2:12">
      <c r="E24" s="104"/>
      <c r="F24" s="103"/>
      <c r="G24" s="92" t="str">
        <v>Lemon</v>
      </c>
      <c r="H24" s="115"/>
      <c r="J24" s="92" t="str">
        <v>Blue</v>
      </c>
      <c r="L24" s="92" t="str">
        <v>Banana</v>
      </c>
    </row>
    <row r="25" spans="2:12">
      <c r="E25" s="104"/>
      <c r="F25" s="103"/>
      <c r="G25" s="92" t="str">
        <v>Squash</v>
      </c>
      <c r="H25" s="115"/>
      <c r="J25" s="92" t="str">
        <v>Blue</v>
      </c>
      <c r="L25" s="92" t="str">
        <v>Banana</v>
      </c>
    </row>
    <row r="26" spans="2:12">
      <c r="E26" s="104"/>
      <c r="F26" s="103"/>
      <c r="G26" s="92" t="str">
        <v>Squash</v>
      </c>
      <c r="H26" s="115"/>
      <c r="L26" s="92" t="str">
        <v>Mango</v>
      </c>
    </row>
    <row r="27" spans="2:12">
      <c r="E27" s="104"/>
      <c r="F27" s="103"/>
      <c r="G27" s="92" t="str">
        <v>Squash</v>
      </c>
      <c r="H27" s="115"/>
      <c r="L27" s="92" t="str">
        <v>Mango</v>
      </c>
    </row>
    <row r="28" spans="2:12">
      <c r="E28" s="104"/>
      <c r="F28" s="103"/>
      <c r="G28" s="92" t="str">
        <v>Squash</v>
      </c>
      <c r="H28" s="115"/>
      <c r="L28" s="92" t="str">
        <v>Mango</v>
      </c>
    </row>
    <row r="29" spans="2:12">
      <c r="E29" s="104"/>
      <c r="F29" s="103"/>
      <c r="G29" s="92" t="str">
        <v>Lime</v>
      </c>
      <c r="H29" s="115"/>
      <c r="L29" s="92" t="str">
        <v>Lemon</v>
      </c>
    </row>
    <row r="30" spans="2:12">
      <c r="E30" s="104"/>
      <c r="F30" s="103"/>
      <c r="G30" s="92" t="str">
        <v>Lime</v>
      </c>
      <c r="H30" s="115"/>
      <c r="L30" s="92" t="str">
        <v>Squash</v>
      </c>
    </row>
    <row r="31" spans="2:12">
      <c r="E31" s="104"/>
      <c r="F31" s="103"/>
      <c r="G31" s="92" t="str">
        <v>Lime</v>
      </c>
      <c r="H31" s="115"/>
      <c r="L31" s="92" t="str">
        <v>Squash</v>
      </c>
    </row>
    <row r="32" spans="2:12">
      <c r="E32" s="104"/>
      <c r="F32" s="103"/>
      <c r="G32" s="92" t="str">
        <v>Lime</v>
      </c>
      <c r="H32" s="115"/>
      <c r="L32" s="92" t="str">
        <v>Squash</v>
      </c>
    </row>
    <row r="33" spans="8:12">
      <c r="H33" s="115"/>
      <c r="L33" s="92" t="str">
        <v>Squash</v>
      </c>
    </row>
    <row r="34" spans="8:12">
      <c r="H34" s="115"/>
      <c r="L34" s="92" t="str">
        <v>Squash</v>
      </c>
    </row>
    <row r="35" spans="8:12">
      <c r="H35" s="115"/>
      <c r="L35" s="92" t="str">
        <v>Squash</v>
      </c>
    </row>
    <row r="36" spans="8:12">
      <c r="H36" s="115"/>
      <c r="L36" s="92" t="str">
        <v>Squash</v>
      </c>
    </row>
    <row r="37" spans="8:12">
      <c r="H37" s="115"/>
      <c r="L37" s="92" t="str">
        <v>Squash</v>
      </c>
    </row>
    <row r="38" spans="8:12">
      <c r="L38" s="92" t="str">
        <v>Squash</v>
      </c>
    </row>
    <row r="39" spans="8:12">
      <c r="L39" s="92" t="str">
        <v>Lime</v>
      </c>
    </row>
    <row r="40" spans="8:12">
      <c r="L40" s="92" t="str">
        <v>Lime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D4972-4ADD-4FC8-80B8-D6CA58270C93}">
  <sheetPr codeName="Sheet7">
    <tabColor rgb="FFFFE389"/>
  </sheetPr>
  <dimension ref="B2:Y52"/>
  <sheetViews>
    <sheetView workbookViewId="0"/>
  </sheetViews>
  <sheetFormatPr defaultRowHeight="16.5"/>
  <cols>
    <col min="1" max="1" width="6.6640625" style="1" customWidth="1"/>
    <col min="2" max="2" width="20.33203125" style="4" bestFit="1" customWidth="1"/>
    <col min="3" max="4" width="3.5" style="4" bestFit="1" customWidth="1"/>
    <col min="5" max="6" width="3.5" style="1" bestFit="1" customWidth="1"/>
    <col min="7" max="7" width="5.25" style="1" bestFit="1" customWidth="1"/>
    <col min="8" max="9" width="8.6640625" style="1"/>
    <col min="10" max="10" width="6.83203125" style="1" customWidth="1"/>
    <col min="11" max="11" width="4.1640625" style="1" customWidth="1"/>
    <col min="12" max="12" width="8.6640625" style="1"/>
    <col min="13" max="13" width="11.9140625" style="1" customWidth="1"/>
    <col min="14" max="14" width="9.33203125" style="1" customWidth="1"/>
    <col min="15" max="16" width="6.4140625" style="1" customWidth="1"/>
    <col min="17" max="19" width="8.6640625" style="1"/>
    <col min="20" max="21" width="7.4140625" style="1" customWidth="1"/>
    <col min="22" max="24" width="8.6640625" style="1"/>
    <col min="25" max="25" width="12.25" style="1" bestFit="1" customWidth="1"/>
    <col min="26" max="16384" width="8.6640625" style="1"/>
  </cols>
  <sheetData>
    <row r="2" spans="2:25" s="60" customFormat="1">
      <c r="B2" s="48" t="s">
        <v>245</v>
      </c>
      <c r="C2" s="14"/>
      <c r="D2" s="14"/>
    </row>
    <row r="3" spans="2:25" s="60" customFormat="1">
      <c r="B3" s="49"/>
      <c r="C3" s="14"/>
      <c r="D3" s="14"/>
    </row>
    <row r="4" spans="2:25" s="60" customFormat="1">
      <c r="B4" s="14"/>
      <c r="C4" s="14"/>
      <c r="D4" s="14"/>
    </row>
    <row r="5" spans="2:25" s="60" customFormat="1">
      <c r="B5" s="128" t="s">
        <v>395</v>
      </c>
      <c r="C5" s="14"/>
      <c r="D5" s="14"/>
      <c r="I5" s="128" t="s">
        <v>396</v>
      </c>
      <c r="J5" s="87"/>
      <c r="L5" s="47" t="s">
        <v>248</v>
      </c>
      <c r="O5" s="87"/>
      <c r="Q5" s="47" t="s">
        <v>249</v>
      </c>
      <c r="T5" s="87"/>
      <c r="V5" s="47" t="s">
        <v>251</v>
      </c>
    </row>
    <row r="6" spans="2:25" s="60" customFormat="1">
      <c r="B6" s="152" t="s">
        <v>238</v>
      </c>
      <c r="C6" s="153" t="s">
        <v>239</v>
      </c>
      <c r="D6" s="153" t="s">
        <v>240</v>
      </c>
      <c r="E6" s="153" t="s">
        <v>241</v>
      </c>
      <c r="F6" s="153" t="s">
        <v>242</v>
      </c>
      <c r="G6" s="153" t="s">
        <v>243</v>
      </c>
      <c r="I6" s="130">
        <v>69</v>
      </c>
      <c r="J6" s="87"/>
      <c r="O6" s="87"/>
      <c r="T6" s="87"/>
    </row>
    <row r="7" spans="2:25" s="60" customFormat="1">
      <c r="B7" s="129" t="s">
        <v>192</v>
      </c>
      <c r="C7" s="130">
        <v>70</v>
      </c>
      <c r="D7" s="130">
        <v>66</v>
      </c>
      <c r="E7" s="130">
        <v>65</v>
      </c>
      <c r="F7" s="130">
        <v>69</v>
      </c>
      <c r="G7" s="130">
        <v>270</v>
      </c>
      <c r="I7" s="130">
        <v>97</v>
      </c>
      <c r="J7" s="87"/>
      <c r="L7" s="50" t="s">
        <v>244</v>
      </c>
      <c r="O7" s="87"/>
      <c r="Q7" s="50" t="s">
        <v>247</v>
      </c>
      <c r="T7" s="87"/>
      <c r="V7" s="50" t="s">
        <v>250</v>
      </c>
    </row>
    <row r="8" spans="2:25" s="60" customFormat="1">
      <c r="B8" s="129" t="s">
        <v>193</v>
      </c>
      <c r="C8" s="130">
        <v>77</v>
      </c>
      <c r="D8" s="130">
        <v>69</v>
      </c>
      <c r="E8" s="130">
        <v>66</v>
      </c>
      <c r="F8" s="130">
        <v>70</v>
      </c>
      <c r="G8" s="130">
        <v>282</v>
      </c>
      <c r="H8" s="14"/>
      <c r="I8" s="130">
        <v>71</v>
      </c>
      <c r="J8" s="87"/>
      <c r="L8" s="130" t="str" cm="1">
        <f t="array" ref="L8:N12">Histogramλ(MastersResults)</f>
        <v>Start</v>
      </c>
      <c r="M8" s="130" t="str">
        <v>End</v>
      </c>
      <c r="N8" s="130" t="str">
        <v>Total</v>
      </c>
      <c r="O8" s="87"/>
      <c r="Q8" s="91" t="str" cm="1">
        <f t="array" ref="Q8:S13">Histogramλ(MastersResults,5)</f>
        <v>Start</v>
      </c>
      <c r="R8" s="91" t="str">
        <v>End</v>
      </c>
      <c r="S8" s="91" t="str">
        <v>Total</v>
      </c>
      <c r="T8" s="87"/>
      <c r="V8" s="135" t="str" cm="1">
        <f t="array" ref="V8:Y12">Histogramλ(MastersResults,,1)</f>
        <v>Start</v>
      </c>
      <c r="W8" s="135" t="str">
        <v>End</v>
      </c>
      <c r="X8" s="135" t="str">
        <v>Total</v>
      </c>
      <c r="Y8" s="135" t="str">
        <v>Cumulative %</v>
      </c>
    </row>
    <row r="9" spans="2:25" s="60" customFormat="1">
      <c r="B9" s="129" t="s">
        <v>194</v>
      </c>
      <c r="C9" s="130">
        <v>72</v>
      </c>
      <c r="D9" s="130">
        <v>72</v>
      </c>
      <c r="E9" s="130">
        <v>72</v>
      </c>
      <c r="F9" s="130">
        <v>67</v>
      </c>
      <c r="G9" s="130">
        <v>283</v>
      </c>
      <c r="H9" s="13"/>
      <c r="I9" s="130">
        <v>95</v>
      </c>
      <c r="J9" s="87"/>
      <c r="L9" s="130" t="str">
        <v>&lt;</v>
      </c>
      <c r="M9" s="130">
        <v>64</v>
      </c>
      <c r="N9" s="130">
        <v>0</v>
      </c>
      <c r="O9" s="86"/>
      <c r="P9" s="14"/>
      <c r="Q9" s="91" t="str">
        <v>&lt;</v>
      </c>
      <c r="R9" s="91">
        <v>65</v>
      </c>
      <c r="S9" s="91">
        <v>1</v>
      </c>
      <c r="T9" s="87"/>
      <c r="V9" s="91">
        <v>72</v>
      </c>
      <c r="W9" s="91">
        <v>80</v>
      </c>
      <c r="X9" s="91">
        <v>95</v>
      </c>
      <c r="Y9" s="134">
        <v>0.51630434782608692</v>
      </c>
    </row>
    <row r="10" spans="2:25" s="60" customFormat="1">
      <c r="B10" s="129" t="s">
        <v>195</v>
      </c>
      <c r="C10" s="130">
        <v>75</v>
      </c>
      <c r="D10" s="130">
        <v>68</v>
      </c>
      <c r="E10" s="130">
        <v>69</v>
      </c>
      <c r="F10" s="130">
        <v>72</v>
      </c>
      <c r="G10" s="130">
        <v>284</v>
      </c>
      <c r="H10" s="14"/>
      <c r="I10" s="130">
        <v>67</v>
      </c>
      <c r="J10" s="87"/>
      <c r="L10" s="130">
        <v>64</v>
      </c>
      <c r="M10" s="130">
        <v>72</v>
      </c>
      <c r="N10" s="130">
        <v>87</v>
      </c>
      <c r="O10" s="86"/>
      <c r="P10" s="14"/>
      <c r="Q10" s="91">
        <v>65</v>
      </c>
      <c r="R10" s="91">
        <v>70</v>
      </c>
      <c r="S10" s="91">
        <v>41</v>
      </c>
      <c r="T10" s="87"/>
      <c r="V10" s="91">
        <v>64</v>
      </c>
      <c r="W10" s="91">
        <v>72</v>
      </c>
      <c r="X10" s="91">
        <v>87</v>
      </c>
      <c r="Y10" s="134">
        <v>0.47282608695652173</v>
      </c>
    </row>
    <row r="11" spans="2:25" s="60" customFormat="1">
      <c r="B11" s="129" t="s">
        <v>196</v>
      </c>
      <c r="C11" s="130">
        <v>68</v>
      </c>
      <c r="D11" s="130">
        <v>74</v>
      </c>
      <c r="E11" s="130">
        <v>69</v>
      </c>
      <c r="F11" s="130">
        <v>74</v>
      </c>
      <c r="G11" s="130">
        <v>285</v>
      </c>
      <c r="H11" s="14"/>
      <c r="I11" s="130">
        <v>75</v>
      </c>
      <c r="J11" s="87"/>
      <c r="L11" s="130">
        <v>72</v>
      </c>
      <c r="M11" s="130">
        <v>80</v>
      </c>
      <c r="N11" s="130">
        <v>95</v>
      </c>
      <c r="O11" s="86"/>
      <c r="P11" s="14"/>
      <c r="Q11" s="91">
        <v>70</v>
      </c>
      <c r="R11" s="91">
        <v>75</v>
      </c>
      <c r="S11" s="91">
        <v>114</v>
      </c>
      <c r="T11" s="87"/>
      <c r="V11" s="91">
        <v>80</v>
      </c>
      <c r="W11" s="91">
        <v>88</v>
      </c>
      <c r="X11" s="91">
        <v>2</v>
      </c>
      <c r="Y11" s="134">
        <v>1.0869565217391304E-2</v>
      </c>
    </row>
    <row r="12" spans="2:25" s="60" customFormat="1">
      <c r="B12" s="129" t="s">
        <v>197</v>
      </c>
      <c r="C12" s="130">
        <v>71</v>
      </c>
      <c r="D12" s="130">
        <v>69</v>
      </c>
      <c r="E12" s="130">
        <v>70</v>
      </c>
      <c r="F12" s="130">
        <v>75</v>
      </c>
      <c r="G12" s="130">
        <v>285</v>
      </c>
      <c r="H12" s="14"/>
      <c r="I12" s="130">
        <v>76</v>
      </c>
      <c r="J12" s="87"/>
      <c r="L12" s="130">
        <v>80</v>
      </c>
      <c r="M12" s="130">
        <v>88</v>
      </c>
      <c r="N12" s="130">
        <v>2</v>
      </c>
      <c r="O12" s="86"/>
      <c r="P12" s="14"/>
      <c r="Q12" s="91">
        <v>75</v>
      </c>
      <c r="R12" s="91">
        <v>80</v>
      </c>
      <c r="S12" s="91">
        <v>26</v>
      </c>
      <c r="T12" s="87"/>
      <c r="V12" s="91" t="str">
        <v>&lt;</v>
      </c>
      <c r="W12" s="91">
        <v>64</v>
      </c>
      <c r="X12" s="91">
        <v>0</v>
      </c>
      <c r="Y12" s="91">
        <v>0</v>
      </c>
    </row>
    <row r="13" spans="2:25" s="60" customFormat="1">
      <c r="B13" s="129" t="s">
        <v>198</v>
      </c>
      <c r="C13" s="130">
        <v>72</v>
      </c>
      <c r="D13" s="130">
        <v>72</v>
      </c>
      <c r="E13" s="130">
        <v>74</v>
      </c>
      <c r="F13" s="130">
        <v>68</v>
      </c>
      <c r="G13" s="130">
        <v>286</v>
      </c>
      <c r="H13" s="14"/>
      <c r="I13" s="130">
        <v>94</v>
      </c>
      <c r="J13" s="87"/>
      <c r="M13" s="14"/>
      <c r="N13" s="14"/>
      <c r="O13" s="86"/>
      <c r="P13" s="14"/>
      <c r="Q13" s="91">
        <v>80</v>
      </c>
      <c r="R13" s="91">
        <v>85</v>
      </c>
      <c r="S13" s="91">
        <v>2</v>
      </c>
      <c r="T13" s="87"/>
    </row>
    <row r="14" spans="2:25" s="60" customFormat="1">
      <c r="B14" s="129" t="s">
        <v>199</v>
      </c>
      <c r="C14" s="130">
        <v>76</v>
      </c>
      <c r="D14" s="130">
        <v>69</v>
      </c>
      <c r="E14" s="130">
        <v>71</v>
      </c>
      <c r="F14" s="130">
        <v>70</v>
      </c>
      <c r="G14" s="130">
        <v>286</v>
      </c>
      <c r="I14" s="130">
        <v>91</v>
      </c>
      <c r="J14" s="87"/>
      <c r="O14" s="87"/>
      <c r="T14" s="87"/>
    </row>
    <row r="15" spans="2:25" s="60" customFormat="1">
      <c r="B15" s="129" t="s">
        <v>200</v>
      </c>
      <c r="C15" s="130">
        <v>72</v>
      </c>
      <c r="D15" s="130">
        <v>69</v>
      </c>
      <c r="E15" s="130">
        <v>73</v>
      </c>
      <c r="F15" s="130">
        <v>72</v>
      </c>
      <c r="G15" s="130">
        <v>286</v>
      </c>
      <c r="I15" s="130">
        <v>73</v>
      </c>
      <c r="J15" s="87"/>
      <c r="L15" s="50" t="s">
        <v>246</v>
      </c>
      <c r="O15" s="87"/>
      <c r="Q15" s="50" t="s">
        <v>139</v>
      </c>
      <c r="T15" s="87"/>
      <c r="V15" s="50" t="s">
        <v>140</v>
      </c>
    </row>
    <row r="16" spans="2:25" s="60" customFormat="1">
      <c r="B16" s="129" t="s">
        <v>201</v>
      </c>
      <c r="C16" s="130">
        <v>72</v>
      </c>
      <c r="D16" s="130">
        <v>71</v>
      </c>
      <c r="E16" s="130">
        <v>72</v>
      </c>
      <c r="F16" s="130">
        <v>71</v>
      </c>
      <c r="G16" s="130">
        <v>286</v>
      </c>
      <c r="H16" s="14"/>
      <c r="I16" s="130">
        <v>83</v>
      </c>
      <c r="J16" s="87"/>
      <c r="L16" s="91" t="str" cm="1">
        <f t="array" ref="L16:N25">Histogramλ(TestScores)</f>
        <v>Start</v>
      </c>
      <c r="M16" s="91" t="str">
        <v>End</v>
      </c>
      <c r="N16" s="91" t="str">
        <v>Total</v>
      </c>
      <c r="O16" s="87"/>
      <c r="Q16" s="98" t="str" cm="1">
        <f t="array" ref="Q16:S22">Histogramλ(TestScores,10)</f>
        <v>Start</v>
      </c>
      <c r="R16" s="98" t="str">
        <v>End</v>
      </c>
      <c r="S16" s="98" t="str">
        <v>Total</v>
      </c>
      <c r="T16" s="87"/>
      <c r="V16" s="135" t="str" cm="1">
        <f t="array" ref="V16:Y22">Histogramλ(TestScores,10,1)</f>
        <v>Start</v>
      </c>
      <c r="W16" s="135" t="str">
        <v>End</v>
      </c>
      <c r="X16" s="135" t="str">
        <v>Total</v>
      </c>
      <c r="Y16" s="135" t="str">
        <v>Cumulative %</v>
      </c>
    </row>
    <row r="17" spans="2:25" s="60" customFormat="1">
      <c r="B17" s="129" t="s">
        <v>202</v>
      </c>
      <c r="C17" s="130">
        <v>74</v>
      </c>
      <c r="D17" s="130">
        <v>67</v>
      </c>
      <c r="E17" s="130">
        <v>72</v>
      </c>
      <c r="F17" s="130">
        <v>73</v>
      </c>
      <c r="G17" s="130">
        <v>286</v>
      </c>
      <c r="H17" s="14"/>
      <c r="I17" s="130">
        <v>79</v>
      </c>
      <c r="J17" s="87"/>
      <c r="L17" s="91" t="str">
        <v>&lt;</v>
      </c>
      <c r="M17" s="91">
        <v>47</v>
      </c>
      <c r="N17" s="91">
        <v>0</v>
      </c>
      <c r="O17" s="87"/>
      <c r="Q17" s="91" t="str">
        <v>&lt;</v>
      </c>
      <c r="R17" s="91">
        <v>50</v>
      </c>
      <c r="S17" s="91">
        <v>0</v>
      </c>
      <c r="T17" s="87"/>
      <c r="V17" s="91">
        <v>70</v>
      </c>
      <c r="W17" s="91">
        <v>80</v>
      </c>
      <c r="X17" s="91">
        <v>10</v>
      </c>
      <c r="Y17" s="134">
        <v>0.33333333333333331</v>
      </c>
    </row>
    <row r="18" spans="2:25" s="60" customFormat="1">
      <c r="B18" s="129" t="s">
        <v>203</v>
      </c>
      <c r="C18" s="130">
        <v>76</v>
      </c>
      <c r="D18" s="130">
        <v>72</v>
      </c>
      <c r="E18" s="130">
        <v>72</v>
      </c>
      <c r="F18" s="130">
        <v>67</v>
      </c>
      <c r="G18" s="130">
        <v>287</v>
      </c>
      <c r="H18" s="14"/>
      <c r="I18" s="130">
        <v>77</v>
      </c>
      <c r="J18" s="87"/>
      <c r="L18" s="133">
        <v>47</v>
      </c>
      <c r="M18" s="133">
        <v>53.714285714285715</v>
      </c>
      <c r="N18" s="91">
        <v>2</v>
      </c>
      <c r="O18" s="87"/>
      <c r="Q18" s="91">
        <v>50</v>
      </c>
      <c r="R18" s="91">
        <v>60</v>
      </c>
      <c r="S18" s="91">
        <v>3</v>
      </c>
      <c r="T18" s="87"/>
      <c r="V18" s="91">
        <v>90</v>
      </c>
      <c r="W18" s="91">
        <v>100</v>
      </c>
      <c r="X18" s="91">
        <v>10</v>
      </c>
      <c r="Y18" s="134">
        <v>0.33333333333333331</v>
      </c>
    </row>
    <row r="19" spans="2:25" s="60" customFormat="1">
      <c r="B19" s="129" t="s">
        <v>204</v>
      </c>
      <c r="C19" s="130">
        <v>72</v>
      </c>
      <c r="D19" s="130">
        <v>76</v>
      </c>
      <c r="E19" s="130">
        <v>71</v>
      </c>
      <c r="F19" s="130">
        <v>68</v>
      </c>
      <c r="G19" s="130">
        <v>287</v>
      </c>
      <c r="H19" s="14"/>
      <c r="I19" s="130">
        <v>74</v>
      </c>
      <c r="J19" s="87"/>
      <c r="L19" s="133">
        <v>53.714285714285715</v>
      </c>
      <c r="M19" s="133">
        <v>60.428571428571431</v>
      </c>
      <c r="N19" s="91">
        <v>1</v>
      </c>
      <c r="O19" s="87"/>
      <c r="Q19" s="91">
        <v>60</v>
      </c>
      <c r="R19" s="91">
        <v>70</v>
      </c>
      <c r="S19" s="91">
        <v>3</v>
      </c>
      <c r="T19" s="87"/>
      <c r="V19" s="91">
        <v>80</v>
      </c>
      <c r="W19" s="91">
        <v>90</v>
      </c>
      <c r="X19" s="91">
        <v>4</v>
      </c>
      <c r="Y19" s="134">
        <v>0.13333333333333333</v>
      </c>
    </row>
    <row r="20" spans="2:25" s="60" customFormat="1">
      <c r="B20" s="129" t="s">
        <v>205</v>
      </c>
      <c r="C20" s="130">
        <v>72</v>
      </c>
      <c r="D20" s="130">
        <v>73</v>
      </c>
      <c r="E20" s="130">
        <v>73</v>
      </c>
      <c r="F20" s="130">
        <v>69</v>
      </c>
      <c r="G20" s="130">
        <v>287</v>
      </c>
      <c r="H20" s="14"/>
      <c r="I20" s="130">
        <v>95</v>
      </c>
      <c r="J20" s="87"/>
      <c r="L20" s="133">
        <v>60.428571428571431</v>
      </c>
      <c r="M20" s="133">
        <v>67.142857142857139</v>
      </c>
      <c r="N20" s="91">
        <v>2</v>
      </c>
      <c r="O20" s="87"/>
      <c r="Q20" s="91">
        <v>70</v>
      </c>
      <c r="R20" s="91">
        <v>80</v>
      </c>
      <c r="S20" s="91">
        <v>10</v>
      </c>
      <c r="T20" s="87"/>
      <c r="V20" s="91">
        <v>50</v>
      </c>
      <c r="W20" s="91">
        <v>60</v>
      </c>
      <c r="X20" s="91">
        <v>3</v>
      </c>
      <c r="Y20" s="134">
        <v>0.1</v>
      </c>
    </row>
    <row r="21" spans="2:25" s="60" customFormat="1">
      <c r="B21" s="129" t="s">
        <v>206</v>
      </c>
      <c r="C21" s="130">
        <v>73</v>
      </c>
      <c r="D21" s="130">
        <v>76</v>
      </c>
      <c r="E21" s="130">
        <v>69</v>
      </c>
      <c r="F21" s="130">
        <v>69</v>
      </c>
      <c r="G21" s="130">
        <v>287</v>
      </c>
      <c r="H21" s="14"/>
      <c r="I21" s="130">
        <v>56</v>
      </c>
      <c r="J21" s="87"/>
      <c r="L21" s="133">
        <v>67.142857142857139</v>
      </c>
      <c r="M21" s="133">
        <v>73.857142857142847</v>
      </c>
      <c r="N21" s="91">
        <v>4</v>
      </c>
      <c r="O21" s="87"/>
      <c r="Q21" s="91">
        <v>80</v>
      </c>
      <c r="R21" s="91">
        <v>90</v>
      </c>
      <c r="S21" s="91">
        <v>4</v>
      </c>
      <c r="T21" s="87"/>
      <c r="V21" s="91">
        <v>60</v>
      </c>
      <c r="W21" s="91">
        <v>70</v>
      </c>
      <c r="X21" s="91">
        <v>3</v>
      </c>
      <c r="Y21" s="134">
        <v>0.1</v>
      </c>
    </row>
    <row r="22" spans="2:25" s="60" customFormat="1">
      <c r="B22" s="129" t="s">
        <v>207</v>
      </c>
      <c r="C22" s="130">
        <v>71</v>
      </c>
      <c r="D22" s="130">
        <v>70</v>
      </c>
      <c r="E22" s="130">
        <v>74</v>
      </c>
      <c r="F22" s="130">
        <v>72</v>
      </c>
      <c r="G22" s="130">
        <v>287</v>
      </c>
      <c r="H22" s="14"/>
      <c r="I22" s="130">
        <v>72</v>
      </c>
      <c r="J22" s="87"/>
      <c r="L22" s="133">
        <v>73.857142857142847</v>
      </c>
      <c r="M22" s="133">
        <v>80.571428571428555</v>
      </c>
      <c r="N22" s="91">
        <v>7</v>
      </c>
      <c r="O22" s="87"/>
      <c r="Q22" s="91">
        <v>90</v>
      </c>
      <c r="R22" s="91">
        <v>100</v>
      </c>
      <c r="S22" s="91">
        <v>10</v>
      </c>
      <c r="T22" s="87"/>
      <c r="V22" s="91" t="str">
        <v>&lt;</v>
      </c>
      <c r="W22" s="91">
        <v>50</v>
      </c>
      <c r="X22" s="91">
        <v>0</v>
      </c>
      <c r="Y22" s="91">
        <v>0</v>
      </c>
    </row>
    <row r="23" spans="2:25" s="60" customFormat="1">
      <c r="B23" s="129" t="s">
        <v>208</v>
      </c>
      <c r="C23" s="130">
        <v>74</v>
      </c>
      <c r="D23" s="130">
        <v>73</v>
      </c>
      <c r="E23" s="130">
        <v>72</v>
      </c>
      <c r="F23" s="130">
        <v>69</v>
      </c>
      <c r="G23" s="130">
        <v>288</v>
      </c>
      <c r="H23" s="14"/>
      <c r="I23" s="130">
        <v>93</v>
      </c>
      <c r="J23" s="87"/>
      <c r="L23" s="133">
        <v>80.571428571428555</v>
      </c>
      <c r="M23" s="133">
        <v>87.285714285714263</v>
      </c>
      <c r="N23" s="91">
        <v>3</v>
      </c>
      <c r="O23" s="87"/>
      <c r="T23" s="87"/>
    </row>
    <row r="24" spans="2:25" s="60" customFormat="1">
      <c r="B24" s="129" t="s">
        <v>209</v>
      </c>
      <c r="C24" s="130">
        <v>75</v>
      </c>
      <c r="D24" s="130">
        <v>74</v>
      </c>
      <c r="E24" s="130">
        <v>69</v>
      </c>
      <c r="F24" s="130">
        <v>70</v>
      </c>
      <c r="G24" s="130">
        <v>288</v>
      </c>
      <c r="H24" s="14"/>
      <c r="I24" s="130">
        <v>85</v>
      </c>
      <c r="J24" s="87"/>
      <c r="L24" s="133">
        <v>87.285714285714263</v>
      </c>
      <c r="M24" s="133">
        <v>93.999999999999972</v>
      </c>
      <c r="N24" s="91">
        <v>3</v>
      </c>
      <c r="O24" s="87"/>
      <c r="T24" s="87"/>
    </row>
    <row r="25" spans="2:25" s="60" customFormat="1">
      <c r="B25" s="129" t="s">
        <v>210</v>
      </c>
      <c r="C25" s="130">
        <v>73</v>
      </c>
      <c r="D25" s="130">
        <v>74</v>
      </c>
      <c r="E25" s="130">
        <v>69</v>
      </c>
      <c r="F25" s="130">
        <v>72</v>
      </c>
      <c r="G25" s="130">
        <v>288</v>
      </c>
      <c r="H25" s="14"/>
      <c r="I25" s="130">
        <v>89</v>
      </c>
      <c r="J25" s="87"/>
      <c r="L25" s="133">
        <v>93.999999999999972</v>
      </c>
      <c r="M25" s="133">
        <v>100.71428571428568</v>
      </c>
      <c r="N25" s="91">
        <v>8</v>
      </c>
      <c r="O25" s="87"/>
      <c r="T25" s="87"/>
    </row>
    <row r="26" spans="2:25" s="60" customFormat="1">
      <c r="B26" s="129" t="s">
        <v>211</v>
      </c>
      <c r="C26" s="130">
        <v>73</v>
      </c>
      <c r="D26" s="130">
        <v>70</v>
      </c>
      <c r="E26" s="130">
        <v>71</v>
      </c>
      <c r="F26" s="130">
        <v>74</v>
      </c>
      <c r="G26" s="130">
        <v>288</v>
      </c>
      <c r="H26" s="14"/>
      <c r="I26" s="130">
        <v>77</v>
      </c>
      <c r="J26" s="87"/>
      <c r="O26" s="87"/>
      <c r="T26" s="87"/>
    </row>
    <row r="27" spans="2:25">
      <c r="B27" s="131" t="s">
        <v>212</v>
      </c>
      <c r="C27" s="132">
        <v>67</v>
      </c>
      <c r="D27" s="132">
        <v>77</v>
      </c>
      <c r="E27" s="132">
        <v>75</v>
      </c>
      <c r="F27" s="132">
        <v>70</v>
      </c>
      <c r="G27" s="132">
        <v>289</v>
      </c>
      <c r="I27" s="130">
        <v>96</v>
      </c>
      <c r="J27" s="45"/>
      <c r="O27" s="45"/>
      <c r="T27" s="45"/>
    </row>
    <row r="28" spans="2:25">
      <c r="B28" s="131" t="s">
        <v>213</v>
      </c>
      <c r="C28" s="132">
        <v>72</v>
      </c>
      <c r="D28" s="132">
        <v>76</v>
      </c>
      <c r="E28" s="132">
        <v>70</v>
      </c>
      <c r="F28" s="132">
        <v>71</v>
      </c>
      <c r="G28" s="132">
        <v>289</v>
      </c>
      <c r="I28" s="130">
        <v>53</v>
      </c>
    </row>
    <row r="29" spans="2:25">
      <c r="B29" s="131" t="s">
        <v>214</v>
      </c>
      <c r="C29" s="132">
        <v>73</v>
      </c>
      <c r="D29" s="132">
        <v>72</v>
      </c>
      <c r="E29" s="132">
        <v>71</v>
      </c>
      <c r="F29" s="132">
        <v>73</v>
      </c>
      <c r="G29" s="132">
        <v>289</v>
      </c>
      <c r="I29" s="130">
        <v>96</v>
      </c>
    </row>
    <row r="30" spans="2:25">
      <c r="B30" s="131" t="s">
        <v>215</v>
      </c>
      <c r="C30" s="132">
        <v>77</v>
      </c>
      <c r="D30" s="132">
        <v>71</v>
      </c>
      <c r="E30" s="132">
        <v>73</v>
      </c>
      <c r="F30" s="132">
        <v>70</v>
      </c>
      <c r="G30" s="132">
        <v>291</v>
      </c>
      <c r="I30" s="130">
        <v>51</v>
      </c>
    </row>
    <row r="31" spans="2:25">
      <c r="B31" s="131" t="s">
        <v>216</v>
      </c>
      <c r="C31" s="132">
        <v>71</v>
      </c>
      <c r="D31" s="132">
        <v>71</v>
      </c>
      <c r="E31" s="132">
        <v>75</v>
      </c>
      <c r="F31" s="132">
        <v>74</v>
      </c>
      <c r="G31" s="132">
        <v>291</v>
      </c>
      <c r="I31" s="130">
        <v>95</v>
      </c>
    </row>
    <row r="32" spans="2:25">
      <c r="B32" s="131" t="s">
        <v>217</v>
      </c>
      <c r="C32" s="132">
        <v>77</v>
      </c>
      <c r="D32" s="132">
        <v>72</v>
      </c>
      <c r="E32" s="132">
        <v>71</v>
      </c>
      <c r="F32" s="132">
        <v>72</v>
      </c>
      <c r="G32" s="132">
        <v>292</v>
      </c>
      <c r="I32" s="130">
        <v>83</v>
      </c>
    </row>
    <row r="33" spans="2:9">
      <c r="B33" s="131" t="s">
        <v>218</v>
      </c>
      <c r="C33" s="132">
        <v>72</v>
      </c>
      <c r="D33" s="132">
        <v>73</v>
      </c>
      <c r="E33" s="132">
        <v>74</v>
      </c>
      <c r="F33" s="132">
        <v>73</v>
      </c>
      <c r="G33" s="132">
        <v>292</v>
      </c>
      <c r="I33" s="130">
        <v>80</v>
      </c>
    </row>
    <row r="34" spans="2:9">
      <c r="B34" s="131" t="s">
        <v>219</v>
      </c>
      <c r="C34" s="132">
        <v>74</v>
      </c>
      <c r="D34" s="132">
        <v>75</v>
      </c>
      <c r="E34" s="132">
        <v>72</v>
      </c>
      <c r="F34" s="132">
        <v>72</v>
      </c>
      <c r="G34" s="132">
        <v>293</v>
      </c>
      <c r="I34" s="130">
        <v>98</v>
      </c>
    </row>
    <row r="35" spans="2:9">
      <c r="B35" s="131" t="s">
        <v>220</v>
      </c>
      <c r="C35" s="132">
        <v>69</v>
      </c>
      <c r="D35" s="132">
        <v>73</v>
      </c>
      <c r="E35" s="132">
        <v>77</v>
      </c>
      <c r="F35" s="132">
        <v>74</v>
      </c>
      <c r="G35" s="132">
        <v>293</v>
      </c>
      <c r="I35" s="130">
        <v>66</v>
      </c>
    </row>
    <row r="36" spans="2:9">
      <c r="B36" s="131" t="s">
        <v>221</v>
      </c>
      <c r="C36" s="132">
        <v>79</v>
      </c>
      <c r="D36" s="132">
        <v>69</v>
      </c>
      <c r="E36" s="132">
        <v>74</v>
      </c>
      <c r="F36" s="132">
        <v>72</v>
      </c>
      <c r="G36" s="132">
        <v>294</v>
      </c>
    </row>
    <row r="37" spans="2:9">
      <c r="B37" s="131" t="s">
        <v>222</v>
      </c>
      <c r="C37" s="132">
        <v>77</v>
      </c>
      <c r="D37" s="132">
        <v>71</v>
      </c>
      <c r="E37" s="132">
        <v>72</v>
      </c>
      <c r="F37" s="132">
        <v>74</v>
      </c>
      <c r="G37" s="132">
        <v>294</v>
      </c>
    </row>
    <row r="38" spans="2:9">
      <c r="B38" s="131" t="s">
        <v>223</v>
      </c>
      <c r="C38" s="132">
        <v>75</v>
      </c>
      <c r="D38" s="132">
        <v>74</v>
      </c>
      <c r="E38" s="132">
        <v>70</v>
      </c>
      <c r="F38" s="132">
        <v>75</v>
      </c>
      <c r="G38" s="132">
        <v>294</v>
      </c>
    </row>
    <row r="39" spans="2:9">
      <c r="B39" s="131" t="s">
        <v>224</v>
      </c>
      <c r="C39" s="132">
        <v>72</v>
      </c>
      <c r="D39" s="132">
        <v>67</v>
      </c>
      <c r="E39" s="132">
        <v>74</v>
      </c>
      <c r="F39" s="132">
        <v>81</v>
      </c>
      <c r="G39" s="132">
        <v>294</v>
      </c>
    </row>
    <row r="40" spans="2:9">
      <c r="B40" s="131" t="s">
        <v>225</v>
      </c>
      <c r="C40" s="132">
        <v>73</v>
      </c>
      <c r="D40" s="132">
        <v>73</v>
      </c>
      <c r="E40" s="132">
        <v>74</v>
      </c>
      <c r="F40" s="132">
        <v>75</v>
      </c>
      <c r="G40" s="132">
        <v>295</v>
      </c>
    </row>
    <row r="41" spans="2:9">
      <c r="B41" s="131" t="s">
        <v>226</v>
      </c>
      <c r="C41" s="132">
        <v>75</v>
      </c>
      <c r="D41" s="132">
        <v>73</v>
      </c>
      <c r="E41" s="132">
        <v>69</v>
      </c>
      <c r="F41" s="132">
        <v>78</v>
      </c>
      <c r="G41" s="132">
        <v>295</v>
      </c>
    </row>
    <row r="42" spans="2:9">
      <c r="B42" s="131" t="s">
        <v>227</v>
      </c>
      <c r="C42" s="132">
        <v>74</v>
      </c>
      <c r="D42" s="132">
        <v>75</v>
      </c>
      <c r="E42" s="132">
        <v>72</v>
      </c>
      <c r="F42" s="132">
        <v>75</v>
      </c>
      <c r="G42" s="132">
        <v>296</v>
      </c>
    </row>
    <row r="43" spans="2:9">
      <c r="B43" s="131" t="s">
        <v>228</v>
      </c>
      <c r="C43" s="132">
        <v>74</v>
      </c>
      <c r="D43" s="132">
        <v>71</v>
      </c>
      <c r="E43" s="132">
        <v>73</v>
      </c>
      <c r="F43" s="132">
        <v>79</v>
      </c>
      <c r="G43" s="132">
        <v>297</v>
      </c>
    </row>
    <row r="44" spans="2:9">
      <c r="B44" s="131" t="s">
        <v>229</v>
      </c>
      <c r="C44" s="132">
        <v>79</v>
      </c>
      <c r="D44" s="132">
        <v>68</v>
      </c>
      <c r="E44" s="132">
        <v>73</v>
      </c>
      <c r="F44" s="132">
        <v>78</v>
      </c>
      <c r="G44" s="132">
        <v>298</v>
      </c>
    </row>
    <row r="45" spans="2:9">
      <c r="B45" s="131" t="s">
        <v>230</v>
      </c>
      <c r="C45" s="132">
        <v>77</v>
      </c>
      <c r="D45" s="132">
        <v>70</v>
      </c>
      <c r="E45" s="132">
        <v>74</v>
      </c>
      <c r="F45" s="132">
        <v>78</v>
      </c>
      <c r="G45" s="132">
        <v>299</v>
      </c>
    </row>
    <row r="46" spans="2:9">
      <c r="B46" s="131" t="s">
        <v>231</v>
      </c>
      <c r="C46" s="132">
        <v>75</v>
      </c>
      <c r="D46" s="132">
        <v>73</v>
      </c>
      <c r="E46" s="132">
        <v>73</v>
      </c>
      <c r="F46" s="132">
        <v>78</v>
      </c>
      <c r="G46" s="132">
        <v>299</v>
      </c>
    </row>
    <row r="47" spans="2:9">
      <c r="B47" s="131" t="s">
        <v>232</v>
      </c>
      <c r="C47" s="132">
        <v>77</v>
      </c>
      <c r="D47" s="132">
        <v>68</v>
      </c>
      <c r="E47" s="132">
        <v>75</v>
      </c>
      <c r="F47" s="132">
        <v>79</v>
      </c>
      <c r="G47" s="132">
        <v>299</v>
      </c>
    </row>
    <row r="48" spans="2:9">
      <c r="B48" s="131" t="s">
        <v>233</v>
      </c>
      <c r="C48" s="132">
        <v>74</v>
      </c>
      <c r="D48" s="132">
        <v>74</v>
      </c>
      <c r="E48" s="132">
        <v>74</v>
      </c>
      <c r="F48" s="132">
        <v>78</v>
      </c>
      <c r="G48" s="132">
        <v>300</v>
      </c>
    </row>
    <row r="49" spans="2:7">
      <c r="B49" s="131" t="s">
        <v>234</v>
      </c>
      <c r="C49" s="132">
        <v>75</v>
      </c>
      <c r="D49" s="132">
        <v>74</v>
      </c>
      <c r="E49" s="132">
        <v>78</v>
      </c>
      <c r="F49" s="132">
        <v>74</v>
      </c>
      <c r="G49" s="132">
        <v>301</v>
      </c>
    </row>
    <row r="50" spans="2:7">
      <c r="B50" s="131" t="s">
        <v>235</v>
      </c>
      <c r="C50" s="132">
        <v>73</v>
      </c>
      <c r="D50" s="132">
        <v>75</v>
      </c>
      <c r="E50" s="132">
        <v>79</v>
      </c>
      <c r="F50" s="132">
        <v>74</v>
      </c>
      <c r="G50" s="132">
        <v>301</v>
      </c>
    </row>
    <row r="51" spans="2:7">
      <c r="B51" s="131" t="s">
        <v>236</v>
      </c>
      <c r="C51" s="132">
        <v>75</v>
      </c>
      <c r="D51" s="132">
        <v>73</v>
      </c>
      <c r="E51" s="132">
        <v>74</v>
      </c>
      <c r="F51" s="132">
        <v>80</v>
      </c>
      <c r="G51" s="132">
        <v>302</v>
      </c>
    </row>
    <row r="52" spans="2:7">
      <c r="B52" s="131" t="s">
        <v>237</v>
      </c>
      <c r="C52" s="132">
        <v>76</v>
      </c>
      <c r="D52" s="132">
        <v>72</v>
      </c>
      <c r="E52" s="132">
        <v>74</v>
      </c>
      <c r="F52" s="132">
        <v>81</v>
      </c>
      <c r="G52" s="132">
        <v>303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EB9EC7BF-979B-4F3F-88AB-5BC9F13CB755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29</vt:i4>
      </vt:variant>
    </vt:vector>
  </HeadingPairs>
  <TitlesOfParts>
    <vt:vector size="38" baseType="lpstr">
      <vt:lpstr>Starters</vt:lpstr>
      <vt:lpstr>Pairwiseλ</vt:lpstr>
      <vt:lpstr>Zipλ</vt:lpstr>
      <vt:lpstr>WrapCols2Dλ</vt:lpstr>
      <vt:lpstr>Resizeλ</vt:lpstr>
      <vt:lpstr>Shiftλ</vt:lpstr>
      <vt:lpstr>Splitλ</vt:lpstr>
      <vt:lpstr>Echoλ</vt:lpstr>
      <vt:lpstr>Histogramλ</vt:lpstr>
      <vt:lpstr>Addresses</vt:lpstr>
      <vt:lpstr>Colors</vt:lpstr>
      <vt:lpstr>Cones</vt:lpstr>
      <vt:lpstr>Days_array</vt:lpstr>
      <vt:lpstr>Flavors</vt:lpstr>
      <vt:lpstr>GroupA</vt:lpstr>
      <vt:lpstr>GroupB</vt:lpstr>
      <vt:lpstr>Groups</vt:lpstr>
      <vt:lpstr>H_array</vt:lpstr>
      <vt:lpstr>ID</vt:lpstr>
      <vt:lpstr>In_Stock</vt:lpstr>
      <vt:lpstr>Items</vt:lpstr>
      <vt:lpstr>Letters</vt:lpstr>
      <vt:lpstr>MastersResults</vt:lpstr>
      <vt:lpstr>MiniGrid</vt:lpstr>
      <vt:lpstr>Months</vt:lpstr>
      <vt:lpstr>Names</vt:lpstr>
      <vt:lpstr>Numbers</vt:lpstr>
      <vt:lpstr>Occupations</vt:lpstr>
      <vt:lpstr>Ordered</vt:lpstr>
      <vt:lpstr>People</vt:lpstr>
      <vt:lpstr>Places</vt:lpstr>
      <vt:lpstr>Produce</vt:lpstr>
      <vt:lpstr>Quarters</vt:lpstr>
      <vt:lpstr>Rank</vt:lpstr>
      <vt:lpstr>Suit</vt:lpstr>
      <vt:lpstr>TestScores</vt:lpstr>
      <vt:lpstr>V_array</vt:lpstr>
      <vt:lpstr>West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Starters</dc:title>
  <dc:creator>BigSpill Project</dc:creator>
  <dc:description>Demonstration workbook for BigSpill - Starters</dc:description>
  <dcterms:created xsi:type="dcterms:W3CDTF">2026-07-07T14:06:09Z</dcterms:created>
  <dcterms:modified xsi:type="dcterms:W3CDTF">2026-07-07T14:06:38Z</dcterms:modified>
</cp:coreProperties>
</file>