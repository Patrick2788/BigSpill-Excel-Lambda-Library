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D5D38656-E7C1-4845-B596-01183D14EAE8}" xr6:coauthVersionLast="47" xr6:coauthVersionMax="47" xr10:uidLastSave="{00000000-0000-0000-0000-000000000000}"/>
  <bookViews>
    <workbookView xWindow="28680" yWindow="-120" windowWidth="29040" windowHeight="15720" xr2:uid="{DC51E23B-0A7B-48A2-94F9-79121C6422FB}"/>
  </bookViews>
  <sheets>
    <sheet name="Introduction" sheetId="1" r:id="rId1"/>
    <sheet name="Gridwork" sheetId="2" r:id="rId2"/>
    <sheet name="GridGeometry" sheetId="3" r:id="rId3"/>
    <sheet name="Extras" sheetId="5" r:id="rId4"/>
  </sheets>
  <definedNames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_xlfn.LAMBDA(_xlpm.matrix,_xlpm.depth,_xlpm.width,_xlop.re_shape_by_column?,_xlop.transpose_anchors?, ValidateBlockMapλ(_xlpm.matrix, _xlpm.depth, _xlpm.width, _xlpm.re_shape_by_column?, _xlfn.LET(_xlpm.x, ROUNDUP(ROWS(_xlpm.matrix) / _xlpm.depth, 0), _xlpm.y, ROUNDUP(COLUMNS(_xlpm.matrix)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INDEX(_xlpm.matrix,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eoGrid">GridGeometry!$B$6:$P$20</definedName>
    <definedName name="Grainλ">_xlfn.LAMBDA(_xlpm.matrix,_xlpm.depth,_xlpm.width,_xlpm.function, IF(NOT(TYPE(_xlpm.matrix) = 64), "#MATRIX!", IF(OR(_xlpm.depth &gt; ROWS(_xlpm.matrix), _xlpm.width &gt; COLUMNS(_xlpm.matrix), ISTEXT(_xlpm.depth), ISTEXT(_xlpm.width)), "#DIMENSIONS!", IF(TYPE(_xlpm.function) &lt;&gt; 128, "#ETA FUNCTION!", _xlfn.LET(_xlpm.h, ROWS(_xlpm.matrix), _xlpm.w, COLUMNS(_xlpm.matrix),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_xlfn.TOCOL(INDEX(_xlpm.matrix,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putGrid">Gridwork!$B$5:$K$14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_xlfn.LAMBDA(_xlpm.Matrix,_xlpm.function,_xlop.IsvonNeumann?,_xlop.omit_center, IF(TYPE(_xlpm.Matrix) &lt;&gt; 64, "#MATRIX!", IF(TYPE(_xlpm.function) &lt;&gt; 128, "#ETA FUNCTION!", _xlfn.LET(_xlpm.IsvonNeumann?, NOT(_xlfn.ISOMITTED(_xlpm.IsvonNeumann?)), _xlpm.omit_center, NOT(_xlfn.ISOMITTED(_xlpm.omit_center)), _xlpm.height, ROWS(_xlpm.Matrix), _xlpm.width, COLUMNS(_xlpm.Matrix), _xlpm.M, _xlfn.VSTACK("omit", _xlfn.HSTACK("omit", _xlpm.Matrix,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_xlfn.LAMBDA(_xlpm.matrix,_xlpm.neighbor, IF(TYPE(_xlpm.matrix) &lt;&gt; 64, "#MATRIX!", IF(NOT(AND(_xlpm.neighbor &gt;= 1, _xlpm.neighbor &lt;= 9, NOT(ISTEXT(_xlpm.neighbor)))), "#NEIGHBOR!", _xlfn.LET(_xlpm.height, ROWS(_xlpm.matrix), _xlpm.width, COLUMNS(_xlpm.matrix), _xlpm.hpad, _xlfn.EXPAND(0, , _xlpm.width + 2, 0), _xlpm.vpad, _xlfn.EXPAND(0, _xlpm.height, , 0), _xlpm.M, _xlfn.VSTACK(_xlpm.hpad, _xlfn.HSTACK(_xlpm.vpad, _xlpm.matrix,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eqGrid">Extras!$B$6:$K$15</definedName>
    <definedName name="ShiftColsλ">_xlfn.LAMBDA(_xlpm.matrix,_xlop.shift_by, _xlfn.LET(_xlpm.h, ROWS(_xlpm.matrix), _xlpm.w, COLUMNS(_xlpm.matrix), _xlpm.Is1D?, OR(_xlpm.h = 1, _xlpm.w = 1), IF(_xlpm.Is1D?, Shiftλ(_xlpm.matrix, _xlpm.shift_by), _xlfn.LET(_xlpm.i, Resizeλ(Shiftλ(_xlfn.SEQUENCE(_xlpm.h), _xlpm.shift_by), , _xlpm.w), _xlpm.j, MGridλ(_xlpm.matrix, 1), _xlpm.result, INDEX(_xlpm.matrix, _xlpm.i, _xlpm.j), _xlpm.result))))</definedName>
    <definedName name="ShiftRowsλ">_xlfn.LAMBDA(_xlpm.matrix,_xlop.shift_by, _xlfn.LET(_xlpm.h, ROWS(_xlpm.matrix), _xlpm.w, COLUMNS(_xlpm.matrix), _xlpm.Is1D?, OR(_xlpm.h = 1, _xlpm.w = 1), IF(_xlpm.Is1D?, Shiftλ(_xlpm.matrix, _xlpm.shift_by), _xlfn.LET(_xlpm.i, MGridλ(_xlpm.matrix), _xlpm.j, Resizeλ(Shiftλ(_xlfn.SEQUENCE(, _xlpm.w), _xlpm.shift_by), _xlpm.h), _xlpm.result, INDEX(_xlpm.matrix,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_xlpm.Is1D?, _xlfn.XOR(_xlpm.h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IF(_xlpm.Is1D?, "#1D-ARRAY!",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_xlfn.LAMBDA(_xlpm.matrix,_xlpm.depth,_xlpm.width,_xlpm.re_shape_by_column?,_xlpm.on_valid, IF(NOT(TYPE(_xlpm.matrix) = 64), "#MATRIX!", IF((_xlpm.re_shape_by_column?) * (ROWS(_xlpm.matrix) * COLUMNS(_xlpm.matrix) / (_xlpm.width * _xlpm.depth) ^ 2 &gt; 16384), "#SPILL-RISK!", IF((MOD(ROWS(_xlpm.matrix), _xlpm.depth) &lt;&gt; 0) + (MOD(COLUMNS(_xlpm.matrix), _xlpm.width) &lt;&gt; 0), "#BLOCK MISMATCH!", IF(OR(AND(_xlpm.width = 1, _xlpm.depth = 1), _xlpm.depth &gt; ROWS(_xlpm.matrix), _xlpm.width &gt; COLUMNS(_xlpm.matrix),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30" i="5" l="1" a="1"/>
  <c r="B30" i="5" s="1"/>
  <c r="Z31" i="5" a="1"/>
  <c r="Z31" i="5" s="1"/>
  <c r="O31" i="5" a="1"/>
  <c r="O31" i="5" s="1"/>
  <c r="B19" i="5" a="1"/>
  <c r="B19" i="5" s="1"/>
  <c r="Z18" i="5" a="1"/>
  <c r="Z18" i="5" s="1"/>
  <c r="O18" i="5" a="1"/>
  <c r="O18" i="5" s="1"/>
  <c r="Z6" i="5" a="1"/>
  <c r="Z6" i="5" s="1"/>
  <c r="O6" i="5" a="1"/>
  <c r="O6" i="5" s="1"/>
  <c r="AF32" i="3" a="1"/>
  <c r="AF32" i="3" s="1"/>
  <c r="AJ6" i="3" a="1"/>
  <c r="AJ6" i="3" s="1"/>
  <c r="S6" i="3" a="1"/>
  <c r="S6" i="3" s="1"/>
  <c r="B24" i="3" a="1"/>
  <c r="B24" i="3" s="1"/>
  <c r="AJ24" i="3" a="1"/>
  <c r="AJ24" i="3" s="1"/>
  <c r="S24" i="3" a="1"/>
  <c r="S24" i="3" s="1"/>
  <c r="AT32" i="3" a="1"/>
  <c r="AT32" i="3" s="1"/>
  <c r="R32" i="3" a="1"/>
  <c r="R32" i="3" s="1"/>
  <c r="M31" i="2" a="1"/>
  <c r="M31" i="2" s="1"/>
  <c r="B31" i="2" a="1"/>
  <c r="B31" i="2" s="1"/>
  <c r="AI18" i="2" a="1"/>
  <c r="AI18" i="2" s="1"/>
  <c r="X18" i="2" a="1"/>
  <c r="X18" i="2" s="1"/>
  <c r="M18" i="2" a="1"/>
  <c r="M18" i="2" s="1"/>
  <c r="B18" i="2" a="1"/>
  <c r="B18" i="2" s="1"/>
  <c r="AI5" i="2" a="1"/>
  <c r="AI5" i="2" s="1"/>
  <c r="X5" i="2" a="1"/>
  <c r="X5" i="2" s="1"/>
  <c r="M5" i="2" a="1"/>
  <c r="M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<sst xmlns="http://schemas.openxmlformats.org/spreadsheetml/2006/main" count="84" uniqueCount="82">
  <si>
    <t>Gridwork</t>
  </si>
  <si>
    <t>DGridλ</t>
  </si>
  <si>
    <t>CGridλ</t>
  </si>
  <si>
    <t>MGridλ</t>
  </si>
  <si>
    <t>TGridλ</t>
  </si>
  <si>
    <t>PolarGridλ</t>
  </si>
  <si>
    <t>Grid Geometry</t>
  </si>
  <si>
    <t>Circleλ</t>
  </si>
  <si>
    <t>Diamondλ</t>
  </si>
  <si>
    <t>Plusλ</t>
  </si>
  <si>
    <t>Pyramidλ</t>
  </si>
  <si>
    <t>Ringλ</t>
  </si>
  <si>
    <t>Squareλ</t>
  </si>
  <si>
    <t>Triangleλ</t>
  </si>
  <si>
    <t>InputGrid</t>
  </si>
  <si>
    <t>=CGridλ(InputGrid,1) - Cartesian column indices</t>
  </si>
  <si>
    <t>=PolarGridλ(InputGrid) - 'r' - radial distance from the center</t>
  </si>
  <si>
    <t>=PolarGridλ(InputGrid,1) - phi - angle in radians (Using ATAN(y, x) )</t>
  </si>
  <si>
    <t>Number formatting applied where needed for readability</t>
  </si>
  <si>
    <t xml:space="preserve">=DGridλ(InputGrid) </t>
  </si>
  <si>
    <t>Degrees grid  0°–360°</t>
  </si>
  <si>
    <t>=CGridλ(InputGrid) - row</t>
  </si>
  <si>
    <t>Cartesian row and column coordinates</t>
  </si>
  <si>
    <t>Mesh grid indices</t>
  </si>
  <si>
    <t>=MGridλ(InputGrid) - row indices</t>
  </si>
  <si>
    <t>=MGridλ(InputGrid,1)  - column indices</t>
  </si>
  <si>
    <t>Threshold grid indices</t>
  </si>
  <si>
    <t>=TGridλ(InputGrid,5) - row indices, threshold = 5</t>
  </si>
  <si>
    <t>'=TGridλ(InputGrid,5) - column indices, threshold = 5</t>
  </si>
  <si>
    <t>Polar coordinates</t>
  </si>
  <si>
    <t>This sheet shows how each Gridwork function transforms the InputGrid. Each block displays the spill output of the formula shown above it.</t>
  </si>
  <si>
    <t>GeoGrid</t>
  </si>
  <si>
    <t>=Circleλ(GeoGrid,98,6,"") - Target: 98, Extend: 6, Fill_value: ""</t>
  </si>
  <si>
    <t>=Squareλ(GeoGrid,95,3) - Target: 95, Extend: 3</t>
  </si>
  <si>
    <t>=Triangleλ(GeoGrid,113,4,,"-") - Target: 113, Radius: 4, Fill_value: "-"</t>
  </si>
  <si>
    <t>=Triangleλ(GeoGrid,113,4,1,"-") - Target: 113, Radius: 4, Below: 1 (TRUE), Fill_value: "-"</t>
  </si>
  <si>
    <t>=Plusλ(GeoGrid,158,6,"") - Target: 158, Extend: 6, Fill_value: ""</t>
  </si>
  <si>
    <t>=Pyramidλ(GeoGrid) - Top right piece</t>
  </si>
  <si>
    <t>=Ringλ(GeoGrid,1) - Ring: 1 (Outer ring)</t>
  </si>
  <si>
    <t>Circle</t>
  </si>
  <si>
    <t>Diamond</t>
  </si>
  <si>
    <t>Square</t>
  </si>
  <si>
    <t>Plus</t>
  </si>
  <si>
    <t>Pyramid</t>
  </si>
  <si>
    <t>Ring</t>
  </si>
  <si>
    <t>Triangle (Above)</t>
  </si>
  <si>
    <t>Triangle (Below)</t>
  </si>
  <si>
    <t>Each Grid Geometry function returns a region of the grid defined by a specific shape, preserving the geometry of the extracted area.</t>
  </si>
  <si>
    <t>=Diamondλ(GeoGrid,98,6) - Target: 98, Fill_value: ""</t>
  </si>
  <si>
    <t>Direction grid (0°-360°) using centered Cartesian axes</t>
  </si>
  <si>
    <t>Cartesian grid (row or column coordinates, centered)</t>
  </si>
  <si>
    <t>Mesh grid (1‑based row or column indices)</t>
  </si>
  <si>
    <t>Thresholded mesh grid (indices wrap after a limit)</t>
  </si>
  <si>
    <t>Circular region by target or {row, col} center.</t>
  </si>
  <si>
    <t>Manhattan‑radius diamond.</t>
  </si>
  <si>
    <t>Cross‑shaped region (von Neumann neighborhood).</t>
  </si>
  <si>
    <t>Directional half‑diamond (four pieces).</t>
  </si>
  <si>
    <t>Layer‑based perimeter extraction.</t>
  </si>
  <si>
    <t>Chebyshev‑radius square.</t>
  </si>
  <si>
    <t>Directional triangular region (above or below).</t>
  </si>
  <si>
    <t>#THRESHOLD!</t>
  </si>
  <si>
    <t>The provided threshold is text or &lt;= 0.</t>
  </si>
  <si>
    <t>All 4 Pyramid pieces extracted</t>
  </si>
  <si>
    <t>Row/Column coordinates may be supplied in lieu of target.</t>
  </si>
  <si>
    <t>=Plusλ(SeqGrid,{3,3},3,"")</t>
  </si>
  <si>
    <t>=Diamondλ(SeqGrid,{4,5},3,"")</t>
  </si>
  <si>
    <t>Description</t>
  </si>
  <si>
    <t>Function</t>
  </si>
  <si>
    <t>How to use this workbook</t>
  </si>
  <si>
    <t>Gridwork &amp; Grid Geometry</t>
  </si>
  <si>
    <t>Each sheet demonstrates a family of functions using a sample grid.</t>
  </si>
  <si>
    <t>Polar coordinates: radial distance and angle (ATAN2)</t>
  </si>
  <si>
    <t>Foundational coordinate systems and geometric regions used throughout BigSpill.</t>
  </si>
  <si>
    <t>Formula cells appear above each spill. Function listings and descriptions appear below.</t>
  </si>
  <si>
    <t>=Ringλ(SeqGrid,2,"-")</t>
  </si>
  <si>
    <t>SeqGrid</t>
  </si>
  <si>
    <t>=Pyramidλ(SeqGrid,1)</t>
  </si>
  <si>
    <t>=Pyramidλ(SeqGrid,2)</t>
  </si>
  <si>
    <t>=Pyramidλ(SeqGrid,3)</t>
  </si>
  <si>
    <t>=Pyramidλ(SeqGrid,4)</t>
  </si>
  <si>
    <t>=Ringλ(SeqGrid,4,"-")</t>
  </si>
  <si>
    <t>Additional examples and variants not shown on the main GridGeometry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</si>
</sst>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7">
    <font>
      <sz val="11"/>
      <color theme="1"/>
      <name val="segoe ui"/>
      <family val="2"/>
    </font>
    <font>
      <sz val="11"/>
      <color theme="1"/>
      <name val="Segoe UI Variable Display"/>
    </font>
    <font>
      <i/>
      <sz val="11"/>
      <color theme="1"/>
      <name val="Segoe UI Variable Display"/>
    </font>
    <font>
      <sz val="10"/>
      <color theme="1"/>
      <name val="Segoe UI Variable Display"/>
    </font>
    <font>
      <i/>
      <sz val="10"/>
      <color theme="1"/>
      <name val="Segoe UI Variable Display"/>
    </font>
    <font>
      <b/>
      <sz val="11"/>
      <color theme="1"/>
      <name val="Segoe UI Variable Display"/>
    </font>
    <font>
      <b/>
      <sz val="11"/>
      <color rgb="FF333333"/>
      <name val="Segoe UI Variable Display"/>
    </font>
    <font>
      <sz val="10"/>
      <color rgb="FF333333"/>
      <name val="Segoe UI Variable Display"/>
    </font>
    <font>
      <i/>
      <sz val="10"/>
      <color rgb="FF333333"/>
      <name val="Segoe UI Variable Display"/>
    </font>
    <font>
      <b/>
      <sz val="10"/>
      <color rgb="FF333333"/>
      <name val="Segoe UI Variable Display"/>
    </font>
    <font>
      <sz val="11"/>
      <color theme="1"/>
      <name val="Banschrift"/>
    </font>
    <font>
      <sz val="10"/>
      <color theme="1"/>
      <name val="Banschrift"/>
    </font>
    <font>
      <sz val="10"/>
      <color theme="1"/>
      <name val="Segoe U variable"/>
    </font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Bahnschrift"/>
      <family val="2"/>
    </font>
    <font>
      <b/>
      <sz val="10"/>
      <color theme="1"/>
      <name val="Segoe UI Variable Display"/>
    </font>
  </fonts>
  <fills count="9">
    <fill>
      <patternFill patternType="none"/>
    </fill>
    <fill>
      <patternFill patternType="gray125"/>
    </fill>
    <fill>
      <patternFill patternType="solid">
        <fgColor rgb="FFE1E1E1"/>
        <bgColor indexed="64"/>
      </patternFill>
    </fill>
    <fill>
      <patternFill patternType="solid">
        <fgColor rgb="FFBCD4E6"/>
        <bgColor indexed="64"/>
      </patternFill>
    </fill>
    <fill>
      <patternFill patternType="solid">
        <fgColor rgb="FFD0F0C0"/>
        <bgColor indexed="64"/>
      </patternFill>
    </fill>
    <fill>
      <patternFill patternType="solid">
        <fgColor rgb="FFFED8B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ECACD"/>
        <bgColor indexed="64"/>
      </patternFill>
    </fill>
  </fills>
  <borders count="1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/>
      <right style="thin">
        <color rgb="FFC0C0C0"/>
      </right>
      <top/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/>
      <top/>
      <bottom style="thin">
        <color rgb="FFC0C0C0"/>
      </bottom>
      <diagonal/>
    </border>
    <border>
      <left style="thin">
        <color rgb="FFC0C0C0"/>
      </left>
      <right/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/>
    <xf numFmtId="0" fontId="3" fillId="0" borderId="0" xfId="0" quotePrefix="1" applyFont="1"/>
    <xf numFmtId="0" fontId="4" fillId="0" borderId="0" xfId="0" applyFont="1"/>
    <xf numFmtId="0" fontId="5" fillId="0" borderId="0" xfId="0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4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6" fillId="0" borderId="0" xfId="0" applyFont="1"/>
    <xf numFmtId="1" fontId="6" fillId="0" borderId="0" xfId="0" applyNumberFormat="1" applyFont="1"/>
    <xf numFmtId="0" fontId="7" fillId="0" borderId="0" xfId="0" quotePrefix="1" applyFont="1"/>
    <xf numFmtId="0" fontId="8" fillId="0" borderId="0" xfId="0" applyFont="1"/>
    <xf numFmtId="0" fontId="6" fillId="0" borderId="0" xfId="0" quotePrefix="1" applyFont="1" applyAlignment="1">
      <alignment horizontal="left"/>
    </xf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3" fillId="0" borderId="0" xfId="0" applyFont="1"/>
    <xf numFmtId="0" fontId="9" fillId="0" borderId="0" xfId="0" applyFont="1"/>
    <xf numFmtId="0" fontId="11" fillId="0" borderId="8" xfId="0" applyFont="1" applyBorder="1"/>
    <xf numFmtId="0" fontId="11" fillId="0" borderId="2" xfId="0" applyFont="1" applyBorder="1"/>
    <xf numFmtId="0" fontId="9" fillId="0" borderId="2" xfId="0" applyFont="1" applyBorder="1"/>
    <xf numFmtId="0" fontId="11" fillId="0" borderId="2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7" fillId="0" borderId="9" xfId="0" applyFont="1" applyBorder="1"/>
    <xf numFmtId="0" fontId="11" fillId="0" borderId="4" xfId="0" applyFont="1" applyBorder="1" applyAlignment="1">
      <alignment horizontal="center"/>
    </xf>
    <xf numFmtId="0" fontId="11" fillId="0" borderId="9" xfId="0" applyFont="1" applyBorder="1"/>
    <xf numFmtId="0" fontId="11" fillId="0" borderId="7" xfId="0" applyFont="1" applyBorder="1"/>
    <xf numFmtId="0" fontId="11" fillId="0" borderId="6" xfId="0" applyFont="1" applyBorder="1"/>
    <xf numFmtId="0" fontId="11" fillId="0" borderId="6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5" xfId="0" applyFont="1" applyBorder="1"/>
    <xf numFmtId="0" fontId="11" fillId="0" borderId="9" xfId="0" quotePrefix="1" applyFont="1" applyBorder="1" applyAlignment="1">
      <alignment horizontal="left"/>
    </xf>
    <xf numFmtId="0" fontId="7" fillId="0" borderId="0" xfId="0" applyFont="1"/>
    <xf numFmtId="0" fontId="11" fillId="0" borderId="4" xfId="0" applyFont="1" applyBorder="1"/>
    <xf numFmtId="0" fontId="11" fillId="0" borderId="9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3" xfId="0" applyFont="1" applyBorder="1"/>
    <xf numFmtId="0" fontId="9" fillId="0" borderId="9" xfId="0" applyFont="1" applyBorder="1"/>
    <xf numFmtId="0" fontId="11" fillId="0" borderId="0" xfId="0" quotePrefix="1" applyFont="1" applyAlignment="1">
      <alignment horizontal="left"/>
    </xf>
    <xf numFmtId="0" fontId="1" fillId="0" borderId="9" xfId="0" applyFont="1" applyBorder="1"/>
    <xf numFmtId="1" fontId="7" fillId="0" borderId="8" xfId="0" applyNumberFormat="1" applyFont="1" applyBorder="1"/>
    <xf numFmtId="0" fontId="7" fillId="0" borderId="2" xfId="0" quotePrefix="1" applyFont="1" applyBorder="1"/>
    <xf numFmtId="0" fontId="7" fillId="0" borderId="2" xfId="0" quotePrefix="1" applyFont="1" applyBorder="1" applyAlignment="1">
      <alignment horizontal="left"/>
    </xf>
    <xf numFmtId="0" fontId="7" fillId="0" borderId="8" xfId="0" quotePrefix="1" applyFont="1" applyBorder="1"/>
    <xf numFmtId="0" fontId="7" fillId="0" borderId="9" xfId="0" quotePrefix="1" applyFont="1" applyBorder="1"/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wrapText="1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2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5" fillId="4" borderId="0" xfId="0" applyFont="1" applyFill="1" applyAlignment="1">
      <alignment horizontal="center" wrapText="1"/>
    </xf>
    <xf numFmtId="0" fontId="5" fillId="5" borderId="0" xfId="0" applyFont="1" applyFill="1" applyAlignment="1">
      <alignment horizontal="center" wrapText="1"/>
    </xf>
    <xf numFmtId="0" fontId="12" fillId="0" borderId="8" xfId="0" applyFont="1" applyBorder="1"/>
    <xf numFmtId="0" fontId="12" fillId="0" borderId="2" xfId="0" applyFont="1" applyBorder="1"/>
    <xf numFmtId="0" fontId="12" fillId="0" borderId="0" xfId="0" applyFont="1"/>
    <xf numFmtId="0" fontId="4" fillId="0" borderId="8" xfId="0" applyFont="1" applyBorder="1"/>
    <xf numFmtId="0" fontId="1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6" borderId="0" xfId="0" applyFont="1" applyFill="1"/>
    <xf numFmtId="0" fontId="13" fillId="6" borderId="0" xfId="0" applyFont="1" applyFill="1" applyAlignment="1">
      <alignment horizontal="center"/>
    </xf>
    <xf numFmtId="0" fontId="13" fillId="0" borderId="1" xfId="0" applyFont="1" applyBorder="1"/>
    <xf numFmtId="0" fontId="13" fillId="5" borderId="0" xfId="0" applyFont="1" applyFill="1"/>
    <xf numFmtId="0" fontId="13" fillId="4" borderId="9" xfId="0" applyFont="1" applyFill="1" applyBorder="1"/>
    <xf numFmtId="0" fontId="13" fillId="4" borderId="0" xfId="0" applyFont="1" applyFill="1"/>
    <xf numFmtId="0" fontId="14" fillId="4" borderId="0" xfId="0" applyFont="1" applyFill="1"/>
    <xf numFmtId="0" fontId="13" fillId="3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13" fillId="2" borderId="9" xfId="0" applyFont="1" applyFill="1" applyBorder="1"/>
    <xf numFmtId="0" fontId="13" fillId="2" borderId="0" xfId="0" applyFont="1" applyFill="1"/>
    <xf numFmtId="0" fontId="14" fillId="2" borderId="0" xfId="0" applyFont="1" applyFill="1"/>
    <xf numFmtId="0" fontId="13" fillId="8" borderId="9" xfId="0" applyFont="1" applyFill="1" applyBorder="1" applyAlignment="1">
      <alignment horizontal="center"/>
    </xf>
    <xf numFmtId="0" fontId="13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/>
    </xf>
    <xf numFmtId="0" fontId="13" fillId="7" borderId="9" xfId="0" applyFont="1" applyFill="1" applyBorder="1"/>
    <xf numFmtId="0" fontId="13" fillId="7" borderId="0" xfId="0" applyFont="1" applyFill="1"/>
    <xf numFmtId="0" fontId="14" fillId="7" borderId="0" xfId="0" applyFont="1" applyFill="1"/>
    <xf numFmtId="0" fontId="15" fillId="0" borderId="1" xfId="0" applyFont="1" applyBorder="1" applyAlignment="1">
      <alignment horizontal="center"/>
    </xf>
    <xf numFmtId="0" fontId="15" fillId="6" borderId="9" xfId="0" applyFont="1" applyFill="1" applyBorder="1" applyAlignment="1">
      <alignment horizontal="center"/>
    </xf>
    <xf numFmtId="0" fontId="15" fillId="6" borderId="0" xfId="0" applyFont="1" applyFill="1" applyAlignment="1">
      <alignment horizontal="center"/>
    </xf>
    <xf numFmtId="0" fontId="15" fillId="6" borderId="4" xfId="0" applyFont="1" applyFill="1" applyBorder="1" applyAlignment="1">
      <alignment horizontal="center"/>
    </xf>
    <xf numFmtId="0" fontId="15" fillId="8" borderId="9" xfId="0" applyFont="1" applyFill="1" applyBorder="1" applyAlignment="1">
      <alignment horizontal="center"/>
    </xf>
    <xf numFmtId="0" fontId="15" fillId="8" borderId="0" xfId="0" applyFont="1" applyFill="1" applyAlignment="1">
      <alignment horizontal="center"/>
    </xf>
    <xf numFmtId="0" fontId="15" fillId="4" borderId="9" xfId="0" applyFont="1" applyFill="1" applyBorder="1" applyAlignment="1">
      <alignment horizontal="center"/>
    </xf>
    <xf numFmtId="0" fontId="15" fillId="4" borderId="0" xfId="0" applyFont="1" applyFill="1" applyAlignment="1">
      <alignment horizontal="center"/>
    </xf>
    <xf numFmtId="0" fontId="15" fillId="5" borderId="9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5" fillId="5" borderId="4" xfId="0" applyFont="1" applyFill="1" applyBorder="1" applyAlignment="1">
      <alignment horizontal="center"/>
    </xf>
    <xf numFmtId="0" fontId="1" fillId="0" borderId="1" xfId="0" applyFont="1" applyBorder="1"/>
    <xf numFmtId="0" fontId="9" fillId="0" borderId="0" xfId="0" quotePrefix="1" applyFont="1"/>
    <xf numFmtId="1" fontId="13" fillId="2" borderId="1" xfId="0" applyNumberFormat="1" applyFont="1" applyFill="1" applyBorder="1" applyAlignment="1">
      <alignment horizontal="center"/>
    </xf>
    <xf numFmtId="0" fontId="13" fillId="6" borderId="1" xfId="0" applyFont="1" applyFill="1" applyBorder="1"/>
    <xf numFmtId="0" fontId="13" fillId="6" borderId="1" xfId="0" applyFont="1" applyFill="1" applyBorder="1" applyAlignment="1">
      <alignment horizontal="center"/>
    </xf>
    <xf numFmtId="0" fontId="13" fillId="5" borderId="1" xfId="0" applyFont="1" applyFill="1" applyBorder="1" applyAlignment="1">
      <alignment horizontal="center"/>
    </xf>
    <xf numFmtId="0" fontId="13" fillId="4" borderId="1" xfId="0" quotePrefix="1" applyFont="1" applyFill="1" applyBorder="1" applyAlignment="1">
      <alignment horizontal="center"/>
    </xf>
    <xf numFmtId="1" fontId="13" fillId="3" borderId="1" xfId="0" applyNumberFormat="1" applyFont="1" applyFill="1" applyBorder="1" applyAlignment="1">
      <alignment horizontal="center"/>
    </xf>
    <xf numFmtId="1" fontId="13" fillId="3" borderId="1" xfId="0" applyNumberFormat="1" applyFont="1" applyFill="1" applyBorder="1"/>
    <xf numFmtId="0" fontId="16" fillId="0" borderId="0" xfId="0" applyFon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885B10D6-C204-406A-8D85-E25815DACDE7}"/>
  </tableStyles>
  <colors>
    <mruColors>
      <color rgb="FFC0C0C0"/>
      <color rgb="FFD0F0C0"/>
      <color rgb="FFFED8B1"/>
      <color rgb="FFEECACD"/>
      <color rgb="FFFFFF9F"/>
      <color rgb="FFE8BABD"/>
      <color rgb="FFE1E1E1"/>
      <color rgb="FFBCD4E6"/>
      <color rgb="FF333333"/>
      <color rgb="FFA1CA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644525</xdr:colOff>
      <xdr:row>0</xdr:row>
      <xdr:rowOff>76200</xdr:rowOff>
    </xdr:from>
    <xdr:to>
      <xdr:col>4</xdr:col>
      <xdr:colOff>1440390</xdr:colOff>
      <xdr:row>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DD1DDF00-1E2B-B695-B4A5-4878B9B6353D}"/>
            </a:ext>
          </a:extLst>
        </xdr:cNvPr>
        <xdr:cNvSpPr>
          <a:spLocks noChangeAspect="1"/>
        </xdr:cNvSpPr>
      </xdr:nvSpPr>
      <xdr:spPr>
        <a:xfrm>
          <a:off x="1958975" y="76200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67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31112BB-A04B-4A61-99C7-D7D3D7DC7F03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8ED985DE-20B0-41CD-95B5-436DC514212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863C0-84AB-413A-8878-41E8E2A541E8}">
  <dimension ref="A6:G31"/>
  <sheetViews>
    <sheetView showGridLines="0" showRowColHeaders="0" tabSelected="1" zoomScaleNormal="100" workbookViewId="0"/>
  </sheetViews>
  <sheetFormatPr defaultColWidth="0" defaultRowHeight="16.5"/>
  <cols>
    <col min="1" max="3" width="8.6640625" style="1" customWidth="1"/>
    <col min="4" max="4" width="15.25" style="1" customWidth="1"/>
    <col min="5" max="5" width="52" style="56" customWidth="1"/>
    <col min="6" max="6" width="8.6640625" style="1" customWidth="1"/>
    <col min="7" max="7" width="22.83203125" style="1" bestFit="1" customWidth="1"/>
    <col min="8" max="16384" width="8.6640625" style="1" hidden="1"/>
  </cols>
  <sheetData>
    <row r="6" spans="3:5">
      <c r="D6" s="6" t="s">
        <v>69</v>
      </c>
    </row>
    <row r="7" spans="3:5">
      <c r="D7" s="1" t="s">
        <v>72</v>
      </c>
    </row>
    <row r="9" spans="3:5">
      <c r="D9" s="6" t="s">
        <v>68</v>
      </c>
      <c r="E9" s="1"/>
    </row>
    <row r="10" spans="3:5">
      <c r="D10" s="1" t="s">
        <v>70</v>
      </c>
      <c r="E10" s="1"/>
    </row>
    <row r="11" spans="3:5">
      <c r="D11" s="1" t="s">
        <v>73</v>
      </c>
    </row>
    <row r="14" spans="3:5">
      <c r="D14" s="60" t="s">
        <v>0</v>
      </c>
      <c r="E14" s="59"/>
    </row>
    <row r="15" spans="3:5">
      <c r="C15" s="2"/>
      <c r="D15" s="57" t="s">
        <v>67</v>
      </c>
      <c r="E15" s="61" t="s">
        <v>66</v>
      </c>
    </row>
    <row r="16" spans="3:5">
      <c r="D16" s="67" t="s">
        <v>1</v>
      </c>
      <c r="E16" s="98" t="s">
        <v>49</v>
      </c>
    </row>
    <row r="17" spans="3:5">
      <c r="D17" s="67" t="s">
        <v>2</v>
      </c>
      <c r="E17" s="98" t="s">
        <v>50</v>
      </c>
    </row>
    <row r="18" spans="3:5">
      <c r="D18" s="67" t="s">
        <v>3</v>
      </c>
      <c r="E18" s="98" t="s">
        <v>51</v>
      </c>
    </row>
    <row r="19" spans="3:5">
      <c r="D19" s="67" t="s">
        <v>4</v>
      </c>
      <c r="E19" s="98" t="s">
        <v>52</v>
      </c>
    </row>
    <row r="20" spans="3:5">
      <c r="D20" s="67" t="s">
        <v>5</v>
      </c>
      <c r="E20" s="98" t="s">
        <v>71</v>
      </c>
    </row>
    <row r="21" spans="3:5">
      <c r="D21" s="2"/>
    </row>
    <row r="22" spans="3:5">
      <c r="D22" s="2"/>
    </row>
    <row r="23" spans="3:5">
      <c r="D23" s="60" t="s">
        <v>6</v>
      </c>
      <c r="E23" s="59"/>
    </row>
    <row r="24" spans="3:5">
      <c r="C24" s="2"/>
      <c r="D24" s="58" t="s">
        <v>67</v>
      </c>
      <c r="E24" s="62" t="s">
        <v>66</v>
      </c>
    </row>
    <row r="25" spans="3:5">
      <c r="D25" s="67" t="s">
        <v>7</v>
      </c>
      <c r="E25" s="98" t="s">
        <v>53</v>
      </c>
    </row>
    <row r="26" spans="3:5">
      <c r="D26" s="67" t="s">
        <v>8</v>
      </c>
      <c r="E26" s="98" t="s">
        <v>54</v>
      </c>
    </row>
    <row r="27" spans="3:5">
      <c r="D27" s="67" t="s">
        <v>9</v>
      </c>
      <c r="E27" s="98" t="s">
        <v>55</v>
      </c>
    </row>
    <row r="28" spans="3:5">
      <c r="D28" s="67" t="s">
        <v>10</v>
      </c>
      <c r="E28" s="98" t="s">
        <v>56</v>
      </c>
    </row>
    <row r="29" spans="3:5">
      <c r="D29" s="67" t="s">
        <v>11</v>
      </c>
      <c r="E29" s="98" t="s">
        <v>57</v>
      </c>
    </row>
    <row r="30" spans="3:5">
      <c r="D30" s="67" t="s">
        <v>12</v>
      </c>
      <c r="E30" s="98" t="s">
        <v>58</v>
      </c>
    </row>
    <row r="31" spans="3:5">
      <c r="D31" s="67" t="s">
        <v>13</v>
      </c>
      <c r="E31" s="98" t="s">
        <v>59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39E4C-890D-4DEB-9267-00516552D802}">
  <sheetPr>
    <tabColor rgb="FFD0F0C0"/>
  </sheetPr>
  <dimension ref="B2:BE56"/>
  <sheetViews>
    <sheetView zoomScaleNormal="100" workbookViewId="0"/>
  </sheetViews>
  <sheetFormatPr defaultRowHeight="16.5"/>
  <cols>
    <col min="1" max="1" width="5" style="1" customWidth="1"/>
    <col min="2" max="25" width="4.58203125" style="1" customWidth="1"/>
    <col min="26" max="46" width="4" style="1" customWidth="1"/>
    <col min="47" max="16384" width="8.6640625" style="1"/>
  </cols>
  <sheetData>
    <row r="2" spans="2:44">
      <c r="B2" s="99" t="s">
        <v>30</v>
      </c>
    </row>
    <row r="4" spans="2:44">
      <c r="M4" s="47" t="s">
        <v>19</v>
      </c>
      <c r="N4" s="7"/>
      <c r="O4" s="7"/>
      <c r="P4" s="7"/>
      <c r="Q4" s="7"/>
      <c r="R4" s="7"/>
      <c r="S4" s="7"/>
      <c r="T4" s="7"/>
      <c r="U4" s="7"/>
      <c r="V4" s="7"/>
      <c r="W4" s="7"/>
      <c r="X4" s="48" t="s">
        <v>21</v>
      </c>
      <c r="Y4" s="7"/>
      <c r="Z4" s="7"/>
      <c r="AA4" s="7"/>
      <c r="AB4" s="7"/>
      <c r="AC4" s="7"/>
      <c r="AD4" s="7"/>
      <c r="AE4" s="7"/>
      <c r="AF4" s="7"/>
      <c r="AG4" s="7"/>
      <c r="AH4" s="7"/>
      <c r="AI4" s="49" t="s">
        <v>15</v>
      </c>
      <c r="AJ4" s="7"/>
      <c r="AK4" s="7"/>
      <c r="AL4" s="7"/>
      <c r="AM4" s="7"/>
      <c r="AN4" s="7"/>
      <c r="AO4" s="7"/>
      <c r="AP4" s="7"/>
      <c r="AQ4" s="7"/>
      <c r="AR4" s="11"/>
    </row>
    <row r="5" spans="2:44">
      <c r="B5" s="68">
        <v>1</v>
      </c>
      <c r="C5" s="68">
        <v>2</v>
      </c>
      <c r="D5" s="68">
        <v>3</v>
      </c>
      <c r="E5" s="68">
        <v>4</v>
      </c>
      <c r="F5" s="68">
        <v>5</v>
      </c>
      <c r="G5" s="68">
        <v>6</v>
      </c>
      <c r="H5" s="68">
        <v>7</v>
      </c>
      <c r="I5" s="68">
        <v>8</v>
      </c>
      <c r="J5" s="68">
        <v>9</v>
      </c>
      <c r="K5" s="68">
        <v>10</v>
      </c>
      <c r="M5" s="100" cm="1">
        <f t="array" ref="M5:V14">DGridλ(InputGrid)</f>
        <v>225</v>
      </c>
      <c r="N5" s="100">
        <v>217.8749836510982</v>
      </c>
      <c r="O5" s="100">
        <v>209.05460409907715</v>
      </c>
      <c r="P5" s="100">
        <v>198.434948822922</v>
      </c>
      <c r="Q5" s="100">
        <v>186.34019174590989</v>
      </c>
      <c r="R5" s="100">
        <v>173.65980825409008</v>
      </c>
      <c r="S5" s="100">
        <v>161.56505117707798</v>
      </c>
      <c r="T5" s="100">
        <v>150.94539590092285</v>
      </c>
      <c r="U5" s="100">
        <v>142.1250163489018</v>
      </c>
      <c r="V5" s="100">
        <v>135</v>
      </c>
      <c r="W5" s="9"/>
      <c r="X5" s="101" cm="1">
        <f t="array" ref="X5:AG14">CGridλ(InputGrid)</f>
        <v>-4.5</v>
      </c>
      <c r="Y5" s="101">
        <v>-4.5</v>
      </c>
      <c r="Z5" s="101">
        <v>-4.5</v>
      </c>
      <c r="AA5" s="101">
        <v>-4.5</v>
      </c>
      <c r="AB5" s="101">
        <v>-4.5</v>
      </c>
      <c r="AC5" s="101">
        <v>-4.5</v>
      </c>
      <c r="AD5" s="101">
        <v>-4.5</v>
      </c>
      <c r="AE5" s="101">
        <v>-4.5</v>
      </c>
      <c r="AF5" s="101">
        <v>-4.5</v>
      </c>
      <c r="AG5" s="101">
        <v>-4.5</v>
      </c>
      <c r="AI5" s="102" cm="1">
        <f t="array" ref="AI5:AR14">CGridλ(InputGrid,1)</f>
        <v>-4.5</v>
      </c>
      <c r="AJ5" s="102">
        <v>-3.5</v>
      </c>
      <c r="AK5" s="102">
        <v>-2.5</v>
      </c>
      <c r="AL5" s="102">
        <v>-1.5</v>
      </c>
      <c r="AM5" s="102">
        <v>-0.5</v>
      </c>
      <c r="AN5" s="102">
        <v>0.5</v>
      </c>
      <c r="AO5" s="102">
        <v>1.5</v>
      </c>
      <c r="AP5" s="102">
        <v>2.5</v>
      </c>
      <c r="AQ5" s="102">
        <v>3.5</v>
      </c>
      <c r="AR5" s="102">
        <v>4.5</v>
      </c>
    </row>
    <row r="6" spans="2:44">
      <c r="B6" s="68">
        <v>11</v>
      </c>
      <c r="C6" s="68">
        <v>12</v>
      </c>
      <c r="D6" s="68">
        <v>13</v>
      </c>
      <c r="E6" s="68">
        <v>14</v>
      </c>
      <c r="F6" s="68">
        <v>15</v>
      </c>
      <c r="G6" s="68">
        <v>16</v>
      </c>
      <c r="H6" s="68">
        <v>17</v>
      </c>
      <c r="I6" s="68">
        <v>18</v>
      </c>
      <c r="J6" s="68">
        <v>19</v>
      </c>
      <c r="K6" s="68">
        <v>20</v>
      </c>
      <c r="M6" s="100">
        <v>232.1250163489018</v>
      </c>
      <c r="N6" s="100">
        <v>225</v>
      </c>
      <c r="O6" s="100">
        <v>215.53767779197437</v>
      </c>
      <c r="P6" s="100">
        <v>203.19859051364818</v>
      </c>
      <c r="Q6" s="100">
        <v>188.13010235415598</v>
      </c>
      <c r="R6" s="100">
        <v>171.86989764584405</v>
      </c>
      <c r="S6" s="100">
        <v>156.80140948635176</v>
      </c>
      <c r="T6" s="100">
        <v>144.46232220802563</v>
      </c>
      <c r="U6" s="100">
        <v>135</v>
      </c>
      <c r="V6" s="100">
        <v>127.8749836510982</v>
      </c>
      <c r="W6" s="9"/>
      <c r="X6" s="101">
        <v>-3.5</v>
      </c>
      <c r="Y6" s="101">
        <v>-3.5</v>
      </c>
      <c r="Z6" s="101">
        <v>-3.5</v>
      </c>
      <c r="AA6" s="101">
        <v>-3.5</v>
      </c>
      <c r="AB6" s="101">
        <v>-3.5</v>
      </c>
      <c r="AC6" s="101">
        <v>-3.5</v>
      </c>
      <c r="AD6" s="101">
        <v>-3.5</v>
      </c>
      <c r="AE6" s="101">
        <v>-3.5</v>
      </c>
      <c r="AF6" s="101">
        <v>-3.5</v>
      </c>
      <c r="AG6" s="101">
        <v>-3.5</v>
      </c>
      <c r="AI6" s="102">
        <v>-4.5</v>
      </c>
      <c r="AJ6" s="102">
        <v>-3.5</v>
      </c>
      <c r="AK6" s="102">
        <v>-2.5</v>
      </c>
      <c r="AL6" s="102">
        <v>-1.5</v>
      </c>
      <c r="AM6" s="102">
        <v>-0.5</v>
      </c>
      <c r="AN6" s="102">
        <v>0.5</v>
      </c>
      <c r="AO6" s="102">
        <v>1.5</v>
      </c>
      <c r="AP6" s="102">
        <v>2.5</v>
      </c>
      <c r="AQ6" s="102">
        <v>3.5</v>
      </c>
      <c r="AR6" s="102">
        <v>4.5</v>
      </c>
    </row>
    <row r="7" spans="2:44">
      <c r="B7" s="68">
        <v>21</v>
      </c>
      <c r="C7" s="68">
        <v>22</v>
      </c>
      <c r="D7" s="68">
        <v>23</v>
      </c>
      <c r="E7" s="68">
        <v>24</v>
      </c>
      <c r="F7" s="68">
        <v>25</v>
      </c>
      <c r="G7" s="68">
        <v>26</v>
      </c>
      <c r="H7" s="68">
        <v>27</v>
      </c>
      <c r="I7" s="68">
        <v>28</v>
      </c>
      <c r="J7" s="68">
        <v>29</v>
      </c>
      <c r="K7" s="68">
        <v>30</v>
      </c>
      <c r="M7" s="100">
        <v>240.94539590092285</v>
      </c>
      <c r="N7" s="100">
        <v>234.46232220802563</v>
      </c>
      <c r="O7" s="100">
        <v>225</v>
      </c>
      <c r="P7" s="100">
        <v>210.96375653207352</v>
      </c>
      <c r="Q7" s="100">
        <v>191.30993247402023</v>
      </c>
      <c r="R7" s="100">
        <v>168.69006752597977</v>
      </c>
      <c r="S7" s="100">
        <v>149.03624346792651</v>
      </c>
      <c r="T7" s="100">
        <v>135</v>
      </c>
      <c r="U7" s="100">
        <v>125.53767779197437</v>
      </c>
      <c r="V7" s="100">
        <v>119.05460409907715</v>
      </c>
      <c r="W7" s="9"/>
      <c r="X7" s="101">
        <v>-2.5</v>
      </c>
      <c r="Y7" s="101">
        <v>-2.5</v>
      </c>
      <c r="Z7" s="101">
        <v>-2.5</v>
      </c>
      <c r="AA7" s="101">
        <v>-2.5</v>
      </c>
      <c r="AB7" s="101">
        <v>-2.5</v>
      </c>
      <c r="AC7" s="101">
        <v>-2.5</v>
      </c>
      <c r="AD7" s="101">
        <v>-2.5</v>
      </c>
      <c r="AE7" s="101">
        <v>-2.5</v>
      </c>
      <c r="AF7" s="101">
        <v>-2.5</v>
      </c>
      <c r="AG7" s="101">
        <v>-2.5</v>
      </c>
      <c r="AI7" s="102">
        <v>-4.5</v>
      </c>
      <c r="AJ7" s="102">
        <v>-3.5</v>
      </c>
      <c r="AK7" s="102">
        <v>-2.5</v>
      </c>
      <c r="AL7" s="102">
        <v>-1.5</v>
      </c>
      <c r="AM7" s="102">
        <v>-0.5</v>
      </c>
      <c r="AN7" s="102">
        <v>0.5</v>
      </c>
      <c r="AO7" s="102">
        <v>1.5</v>
      </c>
      <c r="AP7" s="102">
        <v>2.5</v>
      </c>
      <c r="AQ7" s="102">
        <v>3.5</v>
      </c>
      <c r="AR7" s="102">
        <v>4.5</v>
      </c>
    </row>
    <row r="8" spans="2:44">
      <c r="B8" s="68">
        <v>31</v>
      </c>
      <c r="C8" s="68">
        <v>32</v>
      </c>
      <c r="D8" s="68">
        <v>33</v>
      </c>
      <c r="E8" s="68">
        <v>34</v>
      </c>
      <c r="F8" s="68">
        <v>35</v>
      </c>
      <c r="G8" s="68">
        <v>36</v>
      </c>
      <c r="H8" s="68">
        <v>37</v>
      </c>
      <c r="I8" s="68">
        <v>38</v>
      </c>
      <c r="J8" s="68">
        <v>39</v>
      </c>
      <c r="K8" s="68">
        <v>40</v>
      </c>
      <c r="M8" s="100">
        <v>251.56505117707798</v>
      </c>
      <c r="N8" s="100">
        <v>246.80140948635182</v>
      </c>
      <c r="O8" s="100">
        <v>239.03624346792648</v>
      </c>
      <c r="P8" s="100">
        <v>225</v>
      </c>
      <c r="Q8" s="100">
        <v>198.434948822922</v>
      </c>
      <c r="R8" s="100">
        <v>161.56505117707798</v>
      </c>
      <c r="S8" s="100">
        <v>135</v>
      </c>
      <c r="T8" s="100">
        <v>120.96375653207349</v>
      </c>
      <c r="U8" s="100">
        <v>113.19859051364818</v>
      </c>
      <c r="V8" s="100">
        <v>108.43494882292202</v>
      </c>
      <c r="W8" s="9"/>
      <c r="X8" s="101">
        <v>-1.5</v>
      </c>
      <c r="Y8" s="101">
        <v>-1.5</v>
      </c>
      <c r="Z8" s="101">
        <v>-1.5</v>
      </c>
      <c r="AA8" s="101">
        <v>-1.5</v>
      </c>
      <c r="AB8" s="101">
        <v>-1.5</v>
      </c>
      <c r="AC8" s="101">
        <v>-1.5</v>
      </c>
      <c r="AD8" s="101">
        <v>-1.5</v>
      </c>
      <c r="AE8" s="101">
        <v>-1.5</v>
      </c>
      <c r="AF8" s="101">
        <v>-1.5</v>
      </c>
      <c r="AG8" s="101">
        <v>-1.5</v>
      </c>
      <c r="AI8" s="102">
        <v>-4.5</v>
      </c>
      <c r="AJ8" s="102">
        <v>-3.5</v>
      </c>
      <c r="AK8" s="102">
        <v>-2.5</v>
      </c>
      <c r="AL8" s="102">
        <v>-1.5</v>
      </c>
      <c r="AM8" s="102">
        <v>-0.5</v>
      </c>
      <c r="AN8" s="102">
        <v>0.5</v>
      </c>
      <c r="AO8" s="102">
        <v>1.5</v>
      </c>
      <c r="AP8" s="102">
        <v>2.5</v>
      </c>
      <c r="AQ8" s="102">
        <v>3.5</v>
      </c>
      <c r="AR8" s="102">
        <v>4.5</v>
      </c>
    </row>
    <row r="9" spans="2:44">
      <c r="B9" s="68">
        <v>41</v>
      </c>
      <c r="C9" s="68">
        <v>42</v>
      </c>
      <c r="D9" s="68">
        <v>43</v>
      </c>
      <c r="E9" s="68">
        <v>44</v>
      </c>
      <c r="F9" s="68">
        <v>45</v>
      </c>
      <c r="G9" s="68">
        <v>46</v>
      </c>
      <c r="H9" s="68">
        <v>47</v>
      </c>
      <c r="I9" s="68">
        <v>48</v>
      </c>
      <c r="J9" s="68">
        <v>49</v>
      </c>
      <c r="K9" s="68">
        <v>50</v>
      </c>
      <c r="M9" s="100">
        <v>263.65980825409008</v>
      </c>
      <c r="N9" s="100">
        <v>261.86989764584405</v>
      </c>
      <c r="O9" s="100">
        <v>258.69006752597977</v>
      </c>
      <c r="P9" s="100">
        <v>251.56505117707798</v>
      </c>
      <c r="Q9" s="100">
        <v>225</v>
      </c>
      <c r="R9" s="100">
        <v>135</v>
      </c>
      <c r="S9" s="100">
        <v>108.43494882292202</v>
      </c>
      <c r="T9" s="100">
        <v>101.30993247402023</v>
      </c>
      <c r="U9" s="100">
        <v>98.130102354155952</v>
      </c>
      <c r="V9" s="100">
        <v>96.34019174590992</v>
      </c>
      <c r="W9" s="9"/>
      <c r="X9" s="101">
        <v>-0.5</v>
      </c>
      <c r="Y9" s="101">
        <v>-0.5</v>
      </c>
      <c r="Z9" s="101">
        <v>-0.5</v>
      </c>
      <c r="AA9" s="101">
        <v>-0.5</v>
      </c>
      <c r="AB9" s="101">
        <v>-0.5</v>
      </c>
      <c r="AC9" s="101">
        <v>-0.5</v>
      </c>
      <c r="AD9" s="101">
        <v>-0.5</v>
      </c>
      <c r="AE9" s="101">
        <v>-0.5</v>
      </c>
      <c r="AF9" s="101">
        <v>-0.5</v>
      </c>
      <c r="AG9" s="101">
        <v>-0.5</v>
      </c>
      <c r="AI9" s="102">
        <v>-4.5</v>
      </c>
      <c r="AJ9" s="102">
        <v>-3.5</v>
      </c>
      <c r="AK9" s="102">
        <v>-2.5</v>
      </c>
      <c r="AL9" s="102">
        <v>-1.5</v>
      </c>
      <c r="AM9" s="102">
        <v>-0.5</v>
      </c>
      <c r="AN9" s="102">
        <v>0.5</v>
      </c>
      <c r="AO9" s="102">
        <v>1.5</v>
      </c>
      <c r="AP9" s="102">
        <v>2.5</v>
      </c>
      <c r="AQ9" s="102">
        <v>3.5</v>
      </c>
      <c r="AR9" s="102">
        <v>4.5</v>
      </c>
    </row>
    <row r="10" spans="2:44">
      <c r="B10" s="68">
        <v>51</v>
      </c>
      <c r="C10" s="68">
        <v>52</v>
      </c>
      <c r="D10" s="68">
        <v>53</v>
      </c>
      <c r="E10" s="68">
        <v>54</v>
      </c>
      <c r="F10" s="68">
        <v>55</v>
      </c>
      <c r="G10" s="68">
        <v>56</v>
      </c>
      <c r="H10" s="68">
        <v>57</v>
      </c>
      <c r="I10" s="68">
        <v>58</v>
      </c>
      <c r="J10" s="68">
        <v>59</v>
      </c>
      <c r="K10" s="68">
        <v>60</v>
      </c>
      <c r="M10" s="100">
        <v>276.34019174590992</v>
      </c>
      <c r="N10" s="100">
        <v>278.13010235415595</v>
      </c>
      <c r="O10" s="100">
        <v>281.30993247402023</v>
      </c>
      <c r="P10" s="100">
        <v>288.43494882292202</v>
      </c>
      <c r="Q10" s="100">
        <v>315</v>
      </c>
      <c r="R10" s="100">
        <v>45</v>
      </c>
      <c r="S10" s="100">
        <v>71.565051177077976</v>
      </c>
      <c r="T10" s="100">
        <v>78.690067525979771</v>
      </c>
      <c r="U10" s="100">
        <v>81.869897645844048</v>
      </c>
      <c r="V10" s="100">
        <v>83.65980825409008</v>
      </c>
      <c r="W10" s="9"/>
      <c r="X10" s="101">
        <v>0.5</v>
      </c>
      <c r="Y10" s="101">
        <v>0.5</v>
      </c>
      <c r="Z10" s="101">
        <v>0.5</v>
      </c>
      <c r="AA10" s="101">
        <v>0.5</v>
      </c>
      <c r="AB10" s="101">
        <v>0.5</v>
      </c>
      <c r="AC10" s="101">
        <v>0.5</v>
      </c>
      <c r="AD10" s="101">
        <v>0.5</v>
      </c>
      <c r="AE10" s="101">
        <v>0.5</v>
      </c>
      <c r="AF10" s="101">
        <v>0.5</v>
      </c>
      <c r="AG10" s="101">
        <v>0.5</v>
      </c>
      <c r="AI10" s="102">
        <v>-4.5</v>
      </c>
      <c r="AJ10" s="102">
        <v>-3.5</v>
      </c>
      <c r="AK10" s="102">
        <v>-2.5</v>
      </c>
      <c r="AL10" s="102">
        <v>-1.5</v>
      </c>
      <c r="AM10" s="102">
        <v>-0.5</v>
      </c>
      <c r="AN10" s="102">
        <v>0.5</v>
      </c>
      <c r="AO10" s="102">
        <v>1.5</v>
      </c>
      <c r="AP10" s="102">
        <v>2.5</v>
      </c>
      <c r="AQ10" s="102">
        <v>3.5</v>
      </c>
      <c r="AR10" s="102">
        <v>4.5</v>
      </c>
    </row>
    <row r="11" spans="2:44">
      <c r="B11" s="68">
        <v>61</v>
      </c>
      <c r="C11" s="68">
        <v>62</v>
      </c>
      <c r="D11" s="68">
        <v>63</v>
      </c>
      <c r="E11" s="68">
        <v>64</v>
      </c>
      <c r="F11" s="68">
        <v>65</v>
      </c>
      <c r="G11" s="68">
        <v>66</v>
      </c>
      <c r="H11" s="68">
        <v>67</v>
      </c>
      <c r="I11" s="68">
        <v>68</v>
      </c>
      <c r="J11" s="68">
        <v>69</v>
      </c>
      <c r="K11" s="68">
        <v>70</v>
      </c>
      <c r="M11" s="100">
        <v>288.43494882292202</v>
      </c>
      <c r="N11" s="100">
        <v>293.19859051364818</v>
      </c>
      <c r="O11" s="100">
        <v>300.96375653207349</v>
      </c>
      <c r="P11" s="100">
        <v>315</v>
      </c>
      <c r="Q11" s="100">
        <v>341.56505117707798</v>
      </c>
      <c r="R11" s="100">
        <v>18.434948822922024</v>
      </c>
      <c r="S11" s="100">
        <v>45</v>
      </c>
      <c r="T11" s="100">
        <v>59.036243467926511</v>
      </c>
      <c r="U11" s="100">
        <v>66.801409486351815</v>
      </c>
      <c r="V11" s="100">
        <v>71.565051177077976</v>
      </c>
      <c r="W11" s="9"/>
      <c r="X11" s="101">
        <v>1.5</v>
      </c>
      <c r="Y11" s="101">
        <v>1.5</v>
      </c>
      <c r="Z11" s="101">
        <v>1.5</v>
      </c>
      <c r="AA11" s="101">
        <v>1.5</v>
      </c>
      <c r="AB11" s="101">
        <v>1.5</v>
      </c>
      <c r="AC11" s="101">
        <v>1.5</v>
      </c>
      <c r="AD11" s="101">
        <v>1.5</v>
      </c>
      <c r="AE11" s="101">
        <v>1.5</v>
      </c>
      <c r="AF11" s="101">
        <v>1.5</v>
      </c>
      <c r="AG11" s="101">
        <v>1.5</v>
      </c>
      <c r="AI11" s="102">
        <v>-4.5</v>
      </c>
      <c r="AJ11" s="102">
        <v>-3.5</v>
      </c>
      <c r="AK11" s="102">
        <v>-2.5</v>
      </c>
      <c r="AL11" s="102">
        <v>-1.5</v>
      </c>
      <c r="AM11" s="102">
        <v>-0.5</v>
      </c>
      <c r="AN11" s="102">
        <v>0.5</v>
      </c>
      <c r="AO11" s="102">
        <v>1.5</v>
      </c>
      <c r="AP11" s="102">
        <v>2.5</v>
      </c>
      <c r="AQ11" s="102">
        <v>3.5</v>
      </c>
      <c r="AR11" s="102">
        <v>4.5</v>
      </c>
    </row>
    <row r="12" spans="2:44">
      <c r="B12" s="68">
        <v>71</v>
      </c>
      <c r="C12" s="68">
        <v>72</v>
      </c>
      <c r="D12" s="68">
        <v>73</v>
      </c>
      <c r="E12" s="68">
        <v>74</v>
      </c>
      <c r="F12" s="68">
        <v>75</v>
      </c>
      <c r="G12" s="68">
        <v>76</v>
      </c>
      <c r="H12" s="68">
        <v>77</v>
      </c>
      <c r="I12" s="68">
        <v>78</v>
      </c>
      <c r="J12" s="68">
        <v>79</v>
      </c>
      <c r="K12" s="68">
        <v>80</v>
      </c>
      <c r="M12" s="100">
        <v>299.05460409907715</v>
      </c>
      <c r="N12" s="100">
        <v>305.53767779197437</v>
      </c>
      <c r="O12" s="100">
        <v>315</v>
      </c>
      <c r="P12" s="100">
        <v>329.03624346792645</v>
      </c>
      <c r="Q12" s="100">
        <v>348.69006752597977</v>
      </c>
      <c r="R12" s="100">
        <v>11.309932474020229</v>
      </c>
      <c r="S12" s="100">
        <v>30.963756532073546</v>
      </c>
      <c r="T12" s="100">
        <v>45</v>
      </c>
      <c r="U12" s="100">
        <v>54.462322208025626</v>
      </c>
      <c r="V12" s="100">
        <v>60.945395900922847</v>
      </c>
      <c r="W12" s="9"/>
      <c r="X12" s="101">
        <v>2.5</v>
      </c>
      <c r="Y12" s="101">
        <v>2.5</v>
      </c>
      <c r="Z12" s="101">
        <v>2.5</v>
      </c>
      <c r="AA12" s="101">
        <v>2.5</v>
      </c>
      <c r="AB12" s="101">
        <v>2.5</v>
      </c>
      <c r="AC12" s="101">
        <v>2.5</v>
      </c>
      <c r="AD12" s="101">
        <v>2.5</v>
      </c>
      <c r="AE12" s="101">
        <v>2.5</v>
      </c>
      <c r="AF12" s="101">
        <v>2.5</v>
      </c>
      <c r="AG12" s="101">
        <v>2.5</v>
      </c>
      <c r="AI12" s="102">
        <v>-4.5</v>
      </c>
      <c r="AJ12" s="102">
        <v>-3.5</v>
      </c>
      <c r="AK12" s="102">
        <v>-2.5</v>
      </c>
      <c r="AL12" s="102">
        <v>-1.5</v>
      </c>
      <c r="AM12" s="102">
        <v>-0.5</v>
      </c>
      <c r="AN12" s="102">
        <v>0.5</v>
      </c>
      <c r="AO12" s="102">
        <v>1.5</v>
      </c>
      <c r="AP12" s="102">
        <v>2.5</v>
      </c>
      <c r="AQ12" s="102">
        <v>3.5</v>
      </c>
      <c r="AR12" s="102">
        <v>4.5</v>
      </c>
    </row>
    <row r="13" spans="2:44">
      <c r="B13" s="68">
        <v>81</v>
      </c>
      <c r="C13" s="68">
        <v>82</v>
      </c>
      <c r="D13" s="68">
        <v>83</v>
      </c>
      <c r="E13" s="68">
        <v>84</v>
      </c>
      <c r="F13" s="68">
        <v>85</v>
      </c>
      <c r="G13" s="68">
        <v>86</v>
      </c>
      <c r="H13" s="68">
        <v>87</v>
      </c>
      <c r="I13" s="68">
        <v>88</v>
      </c>
      <c r="J13" s="68">
        <v>89</v>
      </c>
      <c r="K13" s="68">
        <v>90</v>
      </c>
      <c r="M13" s="100">
        <v>307.8749836510982</v>
      </c>
      <c r="N13" s="100">
        <v>315</v>
      </c>
      <c r="O13" s="100">
        <v>324.46232220802563</v>
      </c>
      <c r="P13" s="100">
        <v>336.80140948635182</v>
      </c>
      <c r="Q13" s="100">
        <v>351.86989764584405</v>
      </c>
      <c r="R13" s="100">
        <v>8.1301023541559516</v>
      </c>
      <c r="S13" s="100">
        <v>23.198590513648185</v>
      </c>
      <c r="T13" s="100">
        <v>35.537677791974374</v>
      </c>
      <c r="U13" s="100">
        <v>45</v>
      </c>
      <c r="V13" s="100">
        <v>52.125016348901795</v>
      </c>
      <c r="W13" s="9"/>
      <c r="X13" s="101">
        <v>3.5</v>
      </c>
      <c r="Y13" s="101">
        <v>3.5</v>
      </c>
      <c r="Z13" s="101">
        <v>3.5</v>
      </c>
      <c r="AA13" s="101">
        <v>3.5</v>
      </c>
      <c r="AB13" s="101">
        <v>3.5</v>
      </c>
      <c r="AC13" s="101">
        <v>3.5</v>
      </c>
      <c r="AD13" s="101">
        <v>3.5</v>
      </c>
      <c r="AE13" s="101">
        <v>3.5</v>
      </c>
      <c r="AF13" s="101">
        <v>3.5</v>
      </c>
      <c r="AG13" s="101">
        <v>3.5</v>
      </c>
      <c r="AI13" s="102">
        <v>-4.5</v>
      </c>
      <c r="AJ13" s="102">
        <v>-3.5</v>
      </c>
      <c r="AK13" s="102">
        <v>-2.5</v>
      </c>
      <c r="AL13" s="102">
        <v>-1.5</v>
      </c>
      <c r="AM13" s="102">
        <v>-0.5</v>
      </c>
      <c r="AN13" s="102">
        <v>0.5</v>
      </c>
      <c r="AO13" s="102">
        <v>1.5</v>
      </c>
      <c r="AP13" s="102">
        <v>2.5</v>
      </c>
      <c r="AQ13" s="102">
        <v>3.5</v>
      </c>
      <c r="AR13" s="102">
        <v>4.5</v>
      </c>
    </row>
    <row r="14" spans="2:44">
      <c r="B14" s="68">
        <v>91</v>
      </c>
      <c r="C14" s="68">
        <v>92</v>
      </c>
      <c r="D14" s="68">
        <v>93</v>
      </c>
      <c r="E14" s="68">
        <v>94</v>
      </c>
      <c r="F14" s="68">
        <v>95</v>
      </c>
      <c r="G14" s="68">
        <v>96</v>
      </c>
      <c r="H14" s="68">
        <v>97</v>
      </c>
      <c r="I14" s="68">
        <v>98</v>
      </c>
      <c r="J14" s="68">
        <v>99</v>
      </c>
      <c r="K14" s="68">
        <v>100</v>
      </c>
      <c r="M14" s="100">
        <v>315</v>
      </c>
      <c r="N14" s="100">
        <v>322.1250163489018</v>
      </c>
      <c r="O14" s="100">
        <v>330.94539590092285</v>
      </c>
      <c r="P14" s="100">
        <v>341.56505117707798</v>
      </c>
      <c r="Q14" s="100">
        <v>353.65980825409008</v>
      </c>
      <c r="R14" s="100">
        <v>6.3401917459099195</v>
      </c>
      <c r="S14" s="100">
        <v>18.434948822922024</v>
      </c>
      <c r="T14" s="100">
        <v>29.054604099077153</v>
      </c>
      <c r="U14" s="100">
        <v>37.874983651098205</v>
      </c>
      <c r="V14" s="100">
        <v>45</v>
      </c>
      <c r="W14" s="9"/>
      <c r="X14" s="101">
        <v>4.5</v>
      </c>
      <c r="Y14" s="101">
        <v>4.5</v>
      </c>
      <c r="Z14" s="101">
        <v>4.5</v>
      </c>
      <c r="AA14" s="101">
        <v>4.5</v>
      </c>
      <c r="AB14" s="101">
        <v>4.5</v>
      </c>
      <c r="AC14" s="101">
        <v>4.5</v>
      </c>
      <c r="AD14" s="101">
        <v>4.5</v>
      </c>
      <c r="AE14" s="101">
        <v>4.5</v>
      </c>
      <c r="AF14" s="101">
        <v>4.5</v>
      </c>
      <c r="AG14" s="101">
        <v>4.5</v>
      </c>
      <c r="AI14" s="102">
        <v>-4.5</v>
      </c>
      <c r="AJ14" s="102">
        <v>-3.5</v>
      </c>
      <c r="AK14" s="102">
        <v>-2.5</v>
      </c>
      <c r="AL14" s="102">
        <v>-1.5</v>
      </c>
      <c r="AM14" s="102">
        <v>-0.5</v>
      </c>
      <c r="AN14" s="102">
        <v>0.5</v>
      </c>
      <c r="AO14" s="102">
        <v>1.5</v>
      </c>
      <c r="AP14" s="102">
        <v>2.5</v>
      </c>
      <c r="AQ14" s="102">
        <v>3.5</v>
      </c>
      <c r="AR14" s="102">
        <v>4.5</v>
      </c>
    </row>
    <row r="15" spans="2:44">
      <c r="B15" s="14" t="s">
        <v>14</v>
      </c>
      <c r="M15" s="46"/>
      <c r="P15" s="15" t="s">
        <v>20</v>
      </c>
      <c r="W15" s="9"/>
      <c r="AD15" s="14" t="s">
        <v>22</v>
      </c>
      <c r="AR15" s="9"/>
    </row>
    <row r="16" spans="2:44">
      <c r="B16" s="12"/>
      <c r="M16" s="13"/>
      <c r="X16" s="13"/>
      <c r="AI16" s="12"/>
      <c r="AR16" s="9"/>
    </row>
    <row r="17" spans="2:44">
      <c r="B17" s="50" t="s">
        <v>24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16" t="s">
        <v>25</v>
      </c>
      <c r="N17" s="7"/>
      <c r="O17" s="7"/>
      <c r="P17" s="7"/>
      <c r="Q17" s="7"/>
      <c r="R17" s="7"/>
      <c r="S17" s="7"/>
      <c r="T17" s="7"/>
      <c r="U17" s="7"/>
      <c r="V17" s="7"/>
      <c r="W17" s="11"/>
      <c r="X17" s="4" t="s">
        <v>27</v>
      </c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4" t="s">
        <v>28</v>
      </c>
      <c r="AJ17" s="7"/>
      <c r="AK17" s="7"/>
      <c r="AL17" s="7"/>
      <c r="AM17" s="7"/>
      <c r="AN17" s="7"/>
      <c r="AO17" s="7"/>
      <c r="AP17" s="7"/>
      <c r="AQ17" s="7"/>
      <c r="AR17" s="11"/>
    </row>
    <row r="18" spans="2:44">
      <c r="B18" s="104" cm="1">
        <f t="array" ref="B18:K27">MGridλ(InputGrid)</f>
        <v>1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2"/>
      <c r="M18" s="104" cm="1">
        <f t="array" ref="M18:V27">MGridλ(InputGrid,1)</f>
        <v>1</v>
      </c>
      <c r="N18" s="104">
        <v>2</v>
      </c>
      <c r="O18" s="104">
        <v>3</v>
      </c>
      <c r="P18" s="104">
        <v>4</v>
      </c>
      <c r="Q18" s="104">
        <v>5</v>
      </c>
      <c r="R18" s="104">
        <v>6</v>
      </c>
      <c r="S18" s="104">
        <v>7</v>
      </c>
      <c r="T18" s="104">
        <v>8</v>
      </c>
      <c r="U18" s="104">
        <v>9</v>
      </c>
      <c r="V18" s="104">
        <v>10</v>
      </c>
      <c r="W18" s="9"/>
      <c r="X18" s="103" cm="1">
        <f t="array" ref="X18:AG27">TGridλ(InputGrid,5)</f>
        <v>1</v>
      </c>
      <c r="Y18" s="103">
        <v>1</v>
      </c>
      <c r="Z18" s="103">
        <v>1</v>
      </c>
      <c r="AA18" s="103">
        <v>1</v>
      </c>
      <c r="AB18" s="103">
        <v>1</v>
      </c>
      <c r="AC18" s="103">
        <v>1</v>
      </c>
      <c r="AD18" s="103">
        <v>1</v>
      </c>
      <c r="AE18" s="103">
        <v>1</v>
      </c>
      <c r="AF18" s="103">
        <v>1</v>
      </c>
      <c r="AG18" s="103">
        <v>1</v>
      </c>
      <c r="AH18" s="2"/>
      <c r="AI18" s="103" cm="1">
        <f t="array" ref="AI18:AR27">TGridλ(InputGrid,5,1)</f>
        <v>1</v>
      </c>
      <c r="AJ18" s="103">
        <v>2</v>
      </c>
      <c r="AK18" s="103">
        <v>3</v>
      </c>
      <c r="AL18" s="103">
        <v>4</v>
      </c>
      <c r="AM18" s="103">
        <v>5</v>
      </c>
      <c r="AN18" s="103">
        <v>1</v>
      </c>
      <c r="AO18" s="103">
        <v>2</v>
      </c>
      <c r="AP18" s="103">
        <v>3</v>
      </c>
      <c r="AQ18" s="103">
        <v>4</v>
      </c>
      <c r="AR18" s="103">
        <v>5</v>
      </c>
    </row>
    <row r="19" spans="2:44">
      <c r="B19" s="104">
        <v>2</v>
      </c>
      <c r="C19" s="104">
        <v>2</v>
      </c>
      <c r="D19" s="104">
        <v>2</v>
      </c>
      <c r="E19" s="104">
        <v>2</v>
      </c>
      <c r="F19" s="104">
        <v>2</v>
      </c>
      <c r="G19" s="104">
        <v>2</v>
      </c>
      <c r="H19" s="104">
        <v>2</v>
      </c>
      <c r="I19" s="104">
        <v>2</v>
      </c>
      <c r="J19" s="104">
        <v>2</v>
      </c>
      <c r="K19" s="104">
        <v>2</v>
      </c>
      <c r="L19" s="2"/>
      <c r="M19" s="104">
        <v>1</v>
      </c>
      <c r="N19" s="104">
        <v>2</v>
      </c>
      <c r="O19" s="104">
        <v>3</v>
      </c>
      <c r="P19" s="104">
        <v>4</v>
      </c>
      <c r="Q19" s="104">
        <v>5</v>
      </c>
      <c r="R19" s="104">
        <v>6</v>
      </c>
      <c r="S19" s="104">
        <v>7</v>
      </c>
      <c r="T19" s="104">
        <v>8</v>
      </c>
      <c r="U19" s="104">
        <v>9</v>
      </c>
      <c r="V19" s="104">
        <v>10</v>
      </c>
      <c r="W19" s="9"/>
      <c r="X19" s="103">
        <v>2</v>
      </c>
      <c r="Y19" s="103">
        <v>2</v>
      </c>
      <c r="Z19" s="103">
        <v>2</v>
      </c>
      <c r="AA19" s="103">
        <v>2</v>
      </c>
      <c r="AB19" s="103">
        <v>2</v>
      </c>
      <c r="AC19" s="103">
        <v>2</v>
      </c>
      <c r="AD19" s="103">
        <v>2</v>
      </c>
      <c r="AE19" s="103">
        <v>2</v>
      </c>
      <c r="AF19" s="103">
        <v>2</v>
      </c>
      <c r="AG19" s="103">
        <v>2</v>
      </c>
      <c r="AH19" s="2"/>
      <c r="AI19" s="103">
        <v>1</v>
      </c>
      <c r="AJ19" s="103">
        <v>2</v>
      </c>
      <c r="AK19" s="103">
        <v>3</v>
      </c>
      <c r="AL19" s="103">
        <v>4</v>
      </c>
      <c r="AM19" s="103">
        <v>5</v>
      </c>
      <c r="AN19" s="103">
        <v>1</v>
      </c>
      <c r="AO19" s="103">
        <v>2</v>
      </c>
      <c r="AP19" s="103">
        <v>3</v>
      </c>
      <c r="AQ19" s="103">
        <v>4</v>
      </c>
      <c r="AR19" s="103">
        <v>5</v>
      </c>
    </row>
    <row r="20" spans="2:44">
      <c r="B20" s="104">
        <v>3</v>
      </c>
      <c r="C20" s="104">
        <v>3</v>
      </c>
      <c r="D20" s="104">
        <v>3</v>
      </c>
      <c r="E20" s="104">
        <v>3</v>
      </c>
      <c r="F20" s="104">
        <v>3</v>
      </c>
      <c r="G20" s="104">
        <v>3</v>
      </c>
      <c r="H20" s="104">
        <v>3</v>
      </c>
      <c r="I20" s="104">
        <v>3</v>
      </c>
      <c r="J20" s="104">
        <v>3</v>
      </c>
      <c r="K20" s="104">
        <v>3</v>
      </c>
      <c r="L20" s="2"/>
      <c r="M20" s="104">
        <v>1</v>
      </c>
      <c r="N20" s="104">
        <v>2</v>
      </c>
      <c r="O20" s="104">
        <v>3</v>
      </c>
      <c r="P20" s="104">
        <v>4</v>
      </c>
      <c r="Q20" s="104">
        <v>5</v>
      </c>
      <c r="R20" s="104">
        <v>6</v>
      </c>
      <c r="S20" s="104">
        <v>7</v>
      </c>
      <c r="T20" s="104">
        <v>8</v>
      </c>
      <c r="U20" s="104">
        <v>9</v>
      </c>
      <c r="V20" s="104">
        <v>10</v>
      </c>
      <c r="W20" s="9"/>
      <c r="X20" s="103">
        <v>3</v>
      </c>
      <c r="Y20" s="103">
        <v>3</v>
      </c>
      <c r="Z20" s="103">
        <v>3</v>
      </c>
      <c r="AA20" s="103">
        <v>3</v>
      </c>
      <c r="AB20" s="103">
        <v>3</v>
      </c>
      <c r="AC20" s="103">
        <v>3</v>
      </c>
      <c r="AD20" s="103">
        <v>3</v>
      </c>
      <c r="AE20" s="103">
        <v>3</v>
      </c>
      <c r="AF20" s="103">
        <v>3</v>
      </c>
      <c r="AG20" s="103">
        <v>3</v>
      </c>
      <c r="AH20" s="2"/>
      <c r="AI20" s="103">
        <v>1</v>
      </c>
      <c r="AJ20" s="103">
        <v>2</v>
      </c>
      <c r="AK20" s="103">
        <v>3</v>
      </c>
      <c r="AL20" s="103">
        <v>4</v>
      </c>
      <c r="AM20" s="103">
        <v>5</v>
      </c>
      <c r="AN20" s="103">
        <v>1</v>
      </c>
      <c r="AO20" s="103">
        <v>2</v>
      </c>
      <c r="AP20" s="103">
        <v>3</v>
      </c>
      <c r="AQ20" s="103">
        <v>4</v>
      </c>
      <c r="AR20" s="103">
        <v>5</v>
      </c>
    </row>
    <row r="21" spans="2:44">
      <c r="B21" s="104">
        <v>4</v>
      </c>
      <c r="C21" s="104">
        <v>4</v>
      </c>
      <c r="D21" s="104">
        <v>4</v>
      </c>
      <c r="E21" s="104">
        <v>4</v>
      </c>
      <c r="F21" s="104">
        <v>4</v>
      </c>
      <c r="G21" s="104">
        <v>4</v>
      </c>
      <c r="H21" s="104">
        <v>4</v>
      </c>
      <c r="I21" s="104">
        <v>4</v>
      </c>
      <c r="J21" s="104">
        <v>4</v>
      </c>
      <c r="K21" s="104">
        <v>4</v>
      </c>
      <c r="L21" s="2"/>
      <c r="M21" s="104">
        <v>1</v>
      </c>
      <c r="N21" s="104">
        <v>2</v>
      </c>
      <c r="O21" s="104">
        <v>3</v>
      </c>
      <c r="P21" s="104">
        <v>4</v>
      </c>
      <c r="Q21" s="104">
        <v>5</v>
      </c>
      <c r="R21" s="104">
        <v>6</v>
      </c>
      <c r="S21" s="104">
        <v>7</v>
      </c>
      <c r="T21" s="104">
        <v>8</v>
      </c>
      <c r="U21" s="104">
        <v>9</v>
      </c>
      <c r="V21" s="104">
        <v>10</v>
      </c>
      <c r="W21" s="9"/>
      <c r="X21" s="103">
        <v>4</v>
      </c>
      <c r="Y21" s="103">
        <v>4</v>
      </c>
      <c r="Z21" s="103">
        <v>4</v>
      </c>
      <c r="AA21" s="103">
        <v>4</v>
      </c>
      <c r="AB21" s="103">
        <v>4</v>
      </c>
      <c r="AC21" s="103">
        <v>4</v>
      </c>
      <c r="AD21" s="103">
        <v>4</v>
      </c>
      <c r="AE21" s="103">
        <v>4</v>
      </c>
      <c r="AF21" s="103">
        <v>4</v>
      </c>
      <c r="AG21" s="103">
        <v>4</v>
      </c>
      <c r="AH21" s="2"/>
      <c r="AI21" s="103">
        <v>1</v>
      </c>
      <c r="AJ21" s="103">
        <v>2</v>
      </c>
      <c r="AK21" s="103">
        <v>3</v>
      </c>
      <c r="AL21" s="103">
        <v>4</v>
      </c>
      <c r="AM21" s="103">
        <v>5</v>
      </c>
      <c r="AN21" s="103">
        <v>1</v>
      </c>
      <c r="AO21" s="103">
        <v>2</v>
      </c>
      <c r="AP21" s="103">
        <v>3</v>
      </c>
      <c r="AQ21" s="103">
        <v>4</v>
      </c>
      <c r="AR21" s="103">
        <v>5</v>
      </c>
    </row>
    <row r="22" spans="2:44">
      <c r="B22" s="104">
        <v>5</v>
      </c>
      <c r="C22" s="104">
        <v>5</v>
      </c>
      <c r="D22" s="104">
        <v>5</v>
      </c>
      <c r="E22" s="104">
        <v>5</v>
      </c>
      <c r="F22" s="104">
        <v>5</v>
      </c>
      <c r="G22" s="104">
        <v>5</v>
      </c>
      <c r="H22" s="104">
        <v>5</v>
      </c>
      <c r="I22" s="104">
        <v>5</v>
      </c>
      <c r="J22" s="104">
        <v>5</v>
      </c>
      <c r="K22" s="104">
        <v>5</v>
      </c>
      <c r="L22" s="2"/>
      <c r="M22" s="104">
        <v>1</v>
      </c>
      <c r="N22" s="104">
        <v>2</v>
      </c>
      <c r="O22" s="104">
        <v>3</v>
      </c>
      <c r="P22" s="104">
        <v>4</v>
      </c>
      <c r="Q22" s="104">
        <v>5</v>
      </c>
      <c r="R22" s="104">
        <v>6</v>
      </c>
      <c r="S22" s="104">
        <v>7</v>
      </c>
      <c r="T22" s="104">
        <v>8</v>
      </c>
      <c r="U22" s="104">
        <v>9</v>
      </c>
      <c r="V22" s="104">
        <v>10</v>
      </c>
      <c r="W22" s="9"/>
      <c r="X22" s="103">
        <v>5</v>
      </c>
      <c r="Y22" s="103">
        <v>5</v>
      </c>
      <c r="Z22" s="103">
        <v>5</v>
      </c>
      <c r="AA22" s="103">
        <v>5</v>
      </c>
      <c r="AB22" s="103">
        <v>5</v>
      </c>
      <c r="AC22" s="103">
        <v>5</v>
      </c>
      <c r="AD22" s="103">
        <v>5</v>
      </c>
      <c r="AE22" s="103">
        <v>5</v>
      </c>
      <c r="AF22" s="103">
        <v>5</v>
      </c>
      <c r="AG22" s="103">
        <v>5</v>
      </c>
      <c r="AH22" s="2"/>
      <c r="AI22" s="103">
        <v>1</v>
      </c>
      <c r="AJ22" s="103">
        <v>2</v>
      </c>
      <c r="AK22" s="103">
        <v>3</v>
      </c>
      <c r="AL22" s="103">
        <v>4</v>
      </c>
      <c r="AM22" s="103">
        <v>5</v>
      </c>
      <c r="AN22" s="103">
        <v>1</v>
      </c>
      <c r="AO22" s="103">
        <v>2</v>
      </c>
      <c r="AP22" s="103">
        <v>3</v>
      </c>
      <c r="AQ22" s="103">
        <v>4</v>
      </c>
      <c r="AR22" s="103">
        <v>5</v>
      </c>
    </row>
    <row r="23" spans="2:44">
      <c r="B23" s="104">
        <v>6</v>
      </c>
      <c r="C23" s="104">
        <v>6</v>
      </c>
      <c r="D23" s="104">
        <v>6</v>
      </c>
      <c r="E23" s="104">
        <v>6</v>
      </c>
      <c r="F23" s="104">
        <v>6</v>
      </c>
      <c r="G23" s="104">
        <v>6</v>
      </c>
      <c r="H23" s="104">
        <v>6</v>
      </c>
      <c r="I23" s="104">
        <v>6</v>
      </c>
      <c r="J23" s="104">
        <v>6</v>
      </c>
      <c r="K23" s="104">
        <v>6</v>
      </c>
      <c r="L23" s="2"/>
      <c r="M23" s="104">
        <v>1</v>
      </c>
      <c r="N23" s="104">
        <v>2</v>
      </c>
      <c r="O23" s="104">
        <v>3</v>
      </c>
      <c r="P23" s="104">
        <v>4</v>
      </c>
      <c r="Q23" s="104">
        <v>5</v>
      </c>
      <c r="R23" s="104">
        <v>6</v>
      </c>
      <c r="S23" s="104">
        <v>7</v>
      </c>
      <c r="T23" s="104">
        <v>8</v>
      </c>
      <c r="U23" s="104">
        <v>9</v>
      </c>
      <c r="V23" s="104">
        <v>10</v>
      </c>
      <c r="W23" s="9"/>
      <c r="X23" s="103">
        <v>1</v>
      </c>
      <c r="Y23" s="103">
        <v>1</v>
      </c>
      <c r="Z23" s="103">
        <v>1</v>
      </c>
      <c r="AA23" s="103">
        <v>1</v>
      </c>
      <c r="AB23" s="103">
        <v>1</v>
      </c>
      <c r="AC23" s="103">
        <v>1</v>
      </c>
      <c r="AD23" s="103">
        <v>1</v>
      </c>
      <c r="AE23" s="103">
        <v>1</v>
      </c>
      <c r="AF23" s="103">
        <v>1</v>
      </c>
      <c r="AG23" s="103">
        <v>1</v>
      </c>
      <c r="AH23" s="2"/>
      <c r="AI23" s="103">
        <v>1</v>
      </c>
      <c r="AJ23" s="103">
        <v>2</v>
      </c>
      <c r="AK23" s="103">
        <v>3</v>
      </c>
      <c r="AL23" s="103">
        <v>4</v>
      </c>
      <c r="AM23" s="103">
        <v>5</v>
      </c>
      <c r="AN23" s="103">
        <v>1</v>
      </c>
      <c r="AO23" s="103">
        <v>2</v>
      </c>
      <c r="AP23" s="103">
        <v>3</v>
      </c>
      <c r="AQ23" s="103">
        <v>4</v>
      </c>
      <c r="AR23" s="103">
        <v>5</v>
      </c>
    </row>
    <row r="24" spans="2:44">
      <c r="B24" s="104">
        <v>7</v>
      </c>
      <c r="C24" s="104">
        <v>7</v>
      </c>
      <c r="D24" s="104">
        <v>7</v>
      </c>
      <c r="E24" s="104">
        <v>7</v>
      </c>
      <c r="F24" s="104">
        <v>7</v>
      </c>
      <c r="G24" s="104">
        <v>7</v>
      </c>
      <c r="H24" s="104">
        <v>7</v>
      </c>
      <c r="I24" s="104">
        <v>7</v>
      </c>
      <c r="J24" s="104">
        <v>7</v>
      </c>
      <c r="K24" s="104">
        <v>7</v>
      </c>
      <c r="L24" s="2"/>
      <c r="M24" s="104">
        <v>1</v>
      </c>
      <c r="N24" s="104">
        <v>2</v>
      </c>
      <c r="O24" s="104">
        <v>3</v>
      </c>
      <c r="P24" s="104">
        <v>4</v>
      </c>
      <c r="Q24" s="104">
        <v>5</v>
      </c>
      <c r="R24" s="104">
        <v>6</v>
      </c>
      <c r="S24" s="104">
        <v>7</v>
      </c>
      <c r="T24" s="104">
        <v>8</v>
      </c>
      <c r="U24" s="104">
        <v>9</v>
      </c>
      <c r="V24" s="104">
        <v>10</v>
      </c>
      <c r="W24" s="9"/>
      <c r="X24" s="103">
        <v>2</v>
      </c>
      <c r="Y24" s="103">
        <v>2</v>
      </c>
      <c r="Z24" s="103">
        <v>2</v>
      </c>
      <c r="AA24" s="103">
        <v>2</v>
      </c>
      <c r="AB24" s="103">
        <v>2</v>
      </c>
      <c r="AC24" s="103">
        <v>2</v>
      </c>
      <c r="AD24" s="103">
        <v>2</v>
      </c>
      <c r="AE24" s="103">
        <v>2</v>
      </c>
      <c r="AF24" s="103">
        <v>2</v>
      </c>
      <c r="AG24" s="103">
        <v>2</v>
      </c>
      <c r="AH24" s="2"/>
      <c r="AI24" s="103">
        <v>1</v>
      </c>
      <c r="AJ24" s="103">
        <v>2</v>
      </c>
      <c r="AK24" s="103">
        <v>3</v>
      </c>
      <c r="AL24" s="103">
        <v>4</v>
      </c>
      <c r="AM24" s="103">
        <v>5</v>
      </c>
      <c r="AN24" s="103">
        <v>1</v>
      </c>
      <c r="AO24" s="103">
        <v>2</v>
      </c>
      <c r="AP24" s="103">
        <v>3</v>
      </c>
      <c r="AQ24" s="103">
        <v>4</v>
      </c>
      <c r="AR24" s="103">
        <v>5</v>
      </c>
    </row>
    <row r="25" spans="2:44">
      <c r="B25" s="104">
        <v>8</v>
      </c>
      <c r="C25" s="104">
        <v>8</v>
      </c>
      <c r="D25" s="104">
        <v>8</v>
      </c>
      <c r="E25" s="104">
        <v>8</v>
      </c>
      <c r="F25" s="104">
        <v>8</v>
      </c>
      <c r="G25" s="104">
        <v>8</v>
      </c>
      <c r="H25" s="104">
        <v>8</v>
      </c>
      <c r="I25" s="104">
        <v>8</v>
      </c>
      <c r="J25" s="104">
        <v>8</v>
      </c>
      <c r="K25" s="104">
        <v>8</v>
      </c>
      <c r="L25" s="2"/>
      <c r="M25" s="104">
        <v>1</v>
      </c>
      <c r="N25" s="104">
        <v>2</v>
      </c>
      <c r="O25" s="104">
        <v>3</v>
      </c>
      <c r="P25" s="104">
        <v>4</v>
      </c>
      <c r="Q25" s="104">
        <v>5</v>
      </c>
      <c r="R25" s="104">
        <v>6</v>
      </c>
      <c r="S25" s="104">
        <v>7</v>
      </c>
      <c r="T25" s="104">
        <v>8</v>
      </c>
      <c r="U25" s="104">
        <v>9</v>
      </c>
      <c r="V25" s="104">
        <v>10</v>
      </c>
      <c r="W25" s="9"/>
      <c r="X25" s="103">
        <v>3</v>
      </c>
      <c r="Y25" s="103">
        <v>3</v>
      </c>
      <c r="Z25" s="103">
        <v>3</v>
      </c>
      <c r="AA25" s="103">
        <v>3</v>
      </c>
      <c r="AB25" s="103">
        <v>3</v>
      </c>
      <c r="AC25" s="103">
        <v>3</v>
      </c>
      <c r="AD25" s="103">
        <v>3</v>
      </c>
      <c r="AE25" s="103">
        <v>3</v>
      </c>
      <c r="AF25" s="103">
        <v>3</v>
      </c>
      <c r="AG25" s="103">
        <v>3</v>
      </c>
      <c r="AH25" s="2"/>
      <c r="AI25" s="103">
        <v>1</v>
      </c>
      <c r="AJ25" s="103">
        <v>2</v>
      </c>
      <c r="AK25" s="103">
        <v>3</v>
      </c>
      <c r="AL25" s="103">
        <v>4</v>
      </c>
      <c r="AM25" s="103">
        <v>5</v>
      </c>
      <c r="AN25" s="103">
        <v>1</v>
      </c>
      <c r="AO25" s="103">
        <v>2</v>
      </c>
      <c r="AP25" s="103">
        <v>3</v>
      </c>
      <c r="AQ25" s="103">
        <v>4</v>
      </c>
      <c r="AR25" s="103">
        <v>5</v>
      </c>
    </row>
    <row r="26" spans="2:44">
      <c r="B26" s="104">
        <v>9</v>
      </c>
      <c r="C26" s="104">
        <v>9</v>
      </c>
      <c r="D26" s="104">
        <v>9</v>
      </c>
      <c r="E26" s="104">
        <v>9</v>
      </c>
      <c r="F26" s="104">
        <v>9</v>
      </c>
      <c r="G26" s="104">
        <v>9</v>
      </c>
      <c r="H26" s="104">
        <v>9</v>
      </c>
      <c r="I26" s="104">
        <v>9</v>
      </c>
      <c r="J26" s="104">
        <v>9</v>
      </c>
      <c r="K26" s="104">
        <v>9</v>
      </c>
      <c r="L26" s="2"/>
      <c r="M26" s="104">
        <v>1</v>
      </c>
      <c r="N26" s="104">
        <v>2</v>
      </c>
      <c r="O26" s="104">
        <v>3</v>
      </c>
      <c r="P26" s="104">
        <v>4</v>
      </c>
      <c r="Q26" s="104">
        <v>5</v>
      </c>
      <c r="R26" s="104">
        <v>6</v>
      </c>
      <c r="S26" s="104">
        <v>7</v>
      </c>
      <c r="T26" s="104">
        <v>8</v>
      </c>
      <c r="U26" s="104">
        <v>9</v>
      </c>
      <c r="V26" s="104">
        <v>10</v>
      </c>
      <c r="W26" s="9"/>
      <c r="X26" s="103">
        <v>4</v>
      </c>
      <c r="Y26" s="103">
        <v>4</v>
      </c>
      <c r="Z26" s="103">
        <v>4</v>
      </c>
      <c r="AA26" s="103">
        <v>4</v>
      </c>
      <c r="AB26" s="103">
        <v>4</v>
      </c>
      <c r="AC26" s="103">
        <v>4</v>
      </c>
      <c r="AD26" s="103">
        <v>4</v>
      </c>
      <c r="AE26" s="103">
        <v>4</v>
      </c>
      <c r="AF26" s="103">
        <v>4</v>
      </c>
      <c r="AG26" s="103">
        <v>4</v>
      </c>
      <c r="AH26" s="2"/>
      <c r="AI26" s="103">
        <v>1</v>
      </c>
      <c r="AJ26" s="103">
        <v>2</v>
      </c>
      <c r="AK26" s="103">
        <v>3</v>
      </c>
      <c r="AL26" s="103">
        <v>4</v>
      </c>
      <c r="AM26" s="103">
        <v>5</v>
      </c>
      <c r="AN26" s="103">
        <v>1</v>
      </c>
      <c r="AO26" s="103">
        <v>2</v>
      </c>
      <c r="AP26" s="103">
        <v>3</v>
      </c>
      <c r="AQ26" s="103">
        <v>4</v>
      </c>
      <c r="AR26" s="103">
        <v>5</v>
      </c>
    </row>
    <row r="27" spans="2:44">
      <c r="B27" s="104">
        <v>10</v>
      </c>
      <c r="C27" s="104">
        <v>10</v>
      </c>
      <c r="D27" s="104">
        <v>10</v>
      </c>
      <c r="E27" s="104">
        <v>10</v>
      </c>
      <c r="F27" s="104">
        <v>10</v>
      </c>
      <c r="G27" s="104">
        <v>10</v>
      </c>
      <c r="H27" s="104">
        <v>10</v>
      </c>
      <c r="I27" s="104">
        <v>10</v>
      </c>
      <c r="J27" s="104">
        <v>10</v>
      </c>
      <c r="K27" s="104">
        <v>10</v>
      </c>
      <c r="L27" s="2"/>
      <c r="M27" s="104">
        <v>1</v>
      </c>
      <c r="N27" s="104">
        <v>2</v>
      </c>
      <c r="O27" s="104">
        <v>3</v>
      </c>
      <c r="P27" s="104">
        <v>4</v>
      </c>
      <c r="Q27" s="104">
        <v>5</v>
      </c>
      <c r="R27" s="104">
        <v>6</v>
      </c>
      <c r="S27" s="104">
        <v>7</v>
      </c>
      <c r="T27" s="104">
        <v>8</v>
      </c>
      <c r="U27" s="104">
        <v>9</v>
      </c>
      <c r="V27" s="104">
        <v>10</v>
      </c>
      <c r="W27" s="9"/>
      <c r="X27" s="103">
        <v>5</v>
      </c>
      <c r="Y27" s="103">
        <v>5</v>
      </c>
      <c r="Z27" s="103">
        <v>5</v>
      </c>
      <c r="AA27" s="103">
        <v>5</v>
      </c>
      <c r="AB27" s="103">
        <v>5</v>
      </c>
      <c r="AC27" s="103">
        <v>5</v>
      </c>
      <c r="AD27" s="103">
        <v>5</v>
      </c>
      <c r="AE27" s="103">
        <v>5</v>
      </c>
      <c r="AF27" s="103">
        <v>5</v>
      </c>
      <c r="AG27" s="103">
        <v>5</v>
      </c>
      <c r="AH27" s="2"/>
      <c r="AI27" s="103">
        <v>1</v>
      </c>
      <c r="AJ27" s="103">
        <v>2</v>
      </c>
      <c r="AK27" s="103">
        <v>3</v>
      </c>
      <c r="AL27" s="103">
        <v>4</v>
      </c>
      <c r="AM27" s="103">
        <v>5</v>
      </c>
      <c r="AN27" s="103">
        <v>1</v>
      </c>
      <c r="AO27" s="103">
        <v>2</v>
      </c>
      <c r="AP27" s="103">
        <v>3</v>
      </c>
      <c r="AQ27" s="103">
        <v>4</v>
      </c>
      <c r="AR27" s="103">
        <v>5</v>
      </c>
    </row>
    <row r="28" spans="2:44">
      <c r="B28" s="46"/>
      <c r="K28" s="18" t="s">
        <v>23</v>
      </c>
      <c r="W28" s="9"/>
      <c r="AD28" s="14" t="s">
        <v>26</v>
      </c>
      <c r="AR28" s="9"/>
    </row>
    <row r="29" spans="2:44">
      <c r="B29" s="46"/>
      <c r="M29" s="12"/>
      <c r="W29" s="10"/>
      <c r="Z29" s="22" t="s">
        <v>60</v>
      </c>
      <c r="AA29" s="22"/>
      <c r="AB29" s="22"/>
      <c r="AC29" s="5" t="s">
        <v>61</v>
      </c>
      <c r="AR29" s="10"/>
    </row>
    <row r="30" spans="2:44">
      <c r="B30" s="51" t="s">
        <v>16</v>
      </c>
      <c r="C30" s="8"/>
      <c r="D30" s="8"/>
      <c r="E30" s="8"/>
      <c r="F30" s="8"/>
      <c r="G30" s="8"/>
      <c r="H30" s="8"/>
      <c r="I30" s="8"/>
      <c r="J30" s="8"/>
      <c r="K30" s="8"/>
      <c r="L30" s="7"/>
      <c r="M30" s="16" t="s">
        <v>17</v>
      </c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11"/>
    </row>
    <row r="31" spans="2:44">
      <c r="B31" s="105" cm="1">
        <f t="array" ref="B31:K40">PolarGridλ(InputGrid)</f>
        <v>6.3639610306789276</v>
      </c>
      <c r="C31" s="105">
        <v>5.7008771254956896</v>
      </c>
      <c r="D31" s="105">
        <v>5.1478150704935004</v>
      </c>
      <c r="E31" s="105">
        <v>4.7434164902525691</v>
      </c>
      <c r="F31" s="105">
        <v>4.5276925690687087</v>
      </c>
      <c r="G31" s="105">
        <v>4.5276925690687087</v>
      </c>
      <c r="H31" s="105">
        <v>4.7434164902525691</v>
      </c>
      <c r="I31" s="105">
        <v>5.1478150704935004</v>
      </c>
      <c r="J31" s="105">
        <v>5.7008771254956896</v>
      </c>
      <c r="K31" s="105">
        <v>6.3639610306789276</v>
      </c>
      <c r="M31" s="106" cm="1">
        <f t="array" ref="M31:V40">PolarGridλ(InputGrid,1)</f>
        <v>-2.3561944901923448</v>
      </c>
      <c r="N31" s="106">
        <v>-2.2318394956455831</v>
      </c>
      <c r="O31" s="106">
        <v>-2.0778948311872334</v>
      </c>
      <c r="P31" s="106">
        <v>-1.8925468811915387</v>
      </c>
      <c r="Q31" s="106">
        <v>-1.6814535479687922</v>
      </c>
      <c r="R31" s="106">
        <v>-1.4601391056210009</v>
      </c>
      <c r="S31" s="106">
        <v>-1.2490457723982544</v>
      </c>
      <c r="T31" s="106">
        <v>-1.0636978224025597</v>
      </c>
      <c r="U31" s="106">
        <v>-0.90975315794420974</v>
      </c>
      <c r="V31" s="106">
        <v>-0.78539816339744828</v>
      </c>
      <c r="Y31" s="17" t="s">
        <v>18</v>
      </c>
      <c r="AR31" s="9"/>
    </row>
    <row r="32" spans="2:44">
      <c r="B32" s="105">
        <v>5.7008771254956896</v>
      </c>
      <c r="C32" s="105">
        <v>4.9497474683058327</v>
      </c>
      <c r="D32" s="105">
        <v>4.3011626335213133</v>
      </c>
      <c r="E32" s="105">
        <v>3.8078865529319543</v>
      </c>
      <c r="F32" s="105">
        <v>3.5355339059327378</v>
      </c>
      <c r="G32" s="105">
        <v>3.5355339059327378</v>
      </c>
      <c r="H32" s="105">
        <v>3.8078865529319543</v>
      </c>
      <c r="I32" s="105">
        <v>4.3011626335213133</v>
      </c>
      <c r="J32" s="105">
        <v>4.9497474683058327</v>
      </c>
      <c r="K32" s="105">
        <v>5.7008771254956896</v>
      </c>
      <c r="M32" s="106">
        <v>-2.4805494847391061</v>
      </c>
      <c r="N32" s="106">
        <v>-2.3561944901923448</v>
      </c>
      <c r="O32" s="106">
        <v>-2.1910458127777179</v>
      </c>
      <c r="P32" s="106">
        <v>-1.9756881130799799</v>
      </c>
      <c r="Q32" s="106">
        <v>-1.7126933813990604</v>
      </c>
      <c r="R32" s="106">
        <v>-1.4288992721907328</v>
      </c>
      <c r="S32" s="106">
        <v>-1.1659045405098132</v>
      </c>
      <c r="T32" s="106">
        <v>-0.95054684081207508</v>
      </c>
      <c r="U32" s="106">
        <v>-0.78539816339744828</v>
      </c>
      <c r="V32" s="106">
        <v>-0.66104316885068692</v>
      </c>
      <c r="AR32" s="9"/>
    </row>
    <row r="33" spans="2:57">
      <c r="B33" s="105">
        <v>5.1478150704935004</v>
      </c>
      <c r="C33" s="105">
        <v>4.3011626335213133</v>
      </c>
      <c r="D33" s="105">
        <v>3.5355339059327378</v>
      </c>
      <c r="E33" s="105">
        <v>2.9154759474226504</v>
      </c>
      <c r="F33" s="105">
        <v>2.5495097567963922</v>
      </c>
      <c r="G33" s="105">
        <v>2.5495097567963922</v>
      </c>
      <c r="H33" s="105">
        <v>2.9154759474226504</v>
      </c>
      <c r="I33" s="105">
        <v>3.5355339059327378</v>
      </c>
      <c r="J33" s="105">
        <v>4.3011626335213133</v>
      </c>
      <c r="K33" s="105">
        <v>5.1478150704935004</v>
      </c>
      <c r="M33" s="106">
        <v>-2.6344941491974563</v>
      </c>
      <c r="N33" s="106">
        <v>-2.5213431676069717</v>
      </c>
      <c r="O33" s="106">
        <v>-2.3561944901923448</v>
      </c>
      <c r="P33" s="106">
        <v>-2.1112158270654806</v>
      </c>
      <c r="Q33" s="106">
        <v>-1.7681918866447772</v>
      </c>
      <c r="R33" s="106">
        <v>-1.3734007669450159</v>
      </c>
      <c r="S33" s="106">
        <v>-1.0303768265243125</v>
      </c>
      <c r="T33" s="106">
        <v>-0.78539816339744828</v>
      </c>
      <c r="U33" s="106">
        <v>-0.62024948598282148</v>
      </c>
      <c r="V33" s="106">
        <v>-0.50709850439233695</v>
      </c>
      <c r="AR33" s="9"/>
    </row>
    <row r="34" spans="2:57" s="2" customFormat="1">
      <c r="B34" s="105">
        <v>4.7434164902525691</v>
      </c>
      <c r="C34" s="105">
        <v>3.8078865529319543</v>
      </c>
      <c r="D34" s="105">
        <v>2.9154759474226504</v>
      </c>
      <c r="E34" s="105">
        <v>2.1213203435596424</v>
      </c>
      <c r="F34" s="105">
        <v>1.5811388300841898</v>
      </c>
      <c r="G34" s="105">
        <v>1.5811388300841898</v>
      </c>
      <c r="H34" s="105">
        <v>2.1213203435596424</v>
      </c>
      <c r="I34" s="105">
        <v>2.9154759474226504</v>
      </c>
      <c r="J34" s="105">
        <v>3.8078865529319543</v>
      </c>
      <c r="K34" s="105">
        <v>4.7434164902525691</v>
      </c>
      <c r="M34" s="106">
        <v>-2.819842099193151</v>
      </c>
      <c r="N34" s="106">
        <v>-2.7367008673047097</v>
      </c>
      <c r="O34" s="106">
        <v>-2.6011731533192091</v>
      </c>
      <c r="P34" s="106">
        <v>-2.3561944901923448</v>
      </c>
      <c r="Q34" s="106">
        <v>-1.8925468811915387</v>
      </c>
      <c r="R34" s="106">
        <v>-1.2490457723982544</v>
      </c>
      <c r="S34" s="106">
        <v>-0.78539816339744828</v>
      </c>
      <c r="T34" s="106">
        <v>-0.54041950027058416</v>
      </c>
      <c r="U34" s="106">
        <v>-0.40489178628508338</v>
      </c>
      <c r="V34" s="106">
        <v>-0.32175055439664219</v>
      </c>
      <c r="AR34" s="54"/>
    </row>
    <row r="35" spans="2:57" s="2" customFormat="1">
      <c r="B35" s="105">
        <v>4.5276925690687087</v>
      </c>
      <c r="C35" s="105">
        <v>3.5355339059327378</v>
      </c>
      <c r="D35" s="105">
        <v>2.5495097567963922</v>
      </c>
      <c r="E35" s="105">
        <v>1.5811388300841898</v>
      </c>
      <c r="F35" s="105">
        <v>0.70710678118654757</v>
      </c>
      <c r="G35" s="105">
        <v>0.70710678118654757</v>
      </c>
      <c r="H35" s="105">
        <v>1.5811388300841898</v>
      </c>
      <c r="I35" s="105">
        <v>2.5495097567963922</v>
      </c>
      <c r="J35" s="105">
        <v>3.5355339059327378</v>
      </c>
      <c r="K35" s="105">
        <v>4.5276925690687087</v>
      </c>
      <c r="M35" s="106">
        <v>-3.0309354324158977</v>
      </c>
      <c r="N35" s="106">
        <v>-2.9996955989856291</v>
      </c>
      <c r="O35" s="106">
        <v>-2.9441970937399122</v>
      </c>
      <c r="P35" s="106">
        <v>-2.819842099193151</v>
      </c>
      <c r="Q35" s="106">
        <v>-2.3561944901923448</v>
      </c>
      <c r="R35" s="106">
        <v>-0.78539816339744828</v>
      </c>
      <c r="S35" s="106">
        <v>-0.32175055439664219</v>
      </c>
      <c r="T35" s="106">
        <v>-0.19739555984988078</v>
      </c>
      <c r="U35" s="106">
        <v>-0.14189705460416391</v>
      </c>
      <c r="V35" s="106">
        <v>-0.11065722117389563</v>
      </c>
      <c r="AR35" s="54"/>
    </row>
    <row r="36" spans="2:57" s="2" customFormat="1">
      <c r="B36" s="105">
        <v>4.5276925690687087</v>
      </c>
      <c r="C36" s="105">
        <v>3.5355339059327378</v>
      </c>
      <c r="D36" s="105">
        <v>2.5495097567963922</v>
      </c>
      <c r="E36" s="105">
        <v>1.5811388300841898</v>
      </c>
      <c r="F36" s="105">
        <v>0.70710678118654757</v>
      </c>
      <c r="G36" s="105">
        <v>0.70710678118654757</v>
      </c>
      <c r="H36" s="105">
        <v>1.5811388300841898</v>
      </c>
      <c r="I36" s="105">
        <v>2.5495097567963922</v>
      </c>
      <c r="J36" s="105">
        <v>3.5355339059327378</v>
      </c>
      <c r="K36" s="105">
        <v>4.5276925690687087</v>
      </c>
      <c r="M36" s="106">
        <v>3.0309354324158977</v>
      </c>
      <c r="N36" s="106">
        <v>2.9996955989856291</v>
      </c>
      <c r="O36" s="106">
        <v>2.9441970937399122</v>
      </c>
      <c r="P36" s="106">
        <v>2.819842099193151</v>
      </c>
      <c r="Q36" s="106">
        <v>2.3561944901923448</v>
      </c>
      <c r="R36" s="106">
        <v>0.78539816339744828</v>
      </c>
      <c r="S36" s="106">
        <v>0.32175055439664219</v>
      </c>
      <c r="T36" s="106">
        <v>0.19739555984988078</v>
      </c>
      <c r="U36" s="106">
        <v>0.14189705460416391</v>
      </c>
      <c r="V36" s="106">
        <v>0.11065722117389563</v>
      </c>
      <c r="AR36" s="54"/>
    </row>
    <row r="37" spans="2:57" s="2" customFormat="1">
      <c r="B37" s="105">
        <v>4.7434164902525691</v>
      </c>
      <c r="C37" s="105">
        <v>3.8078865529319543</v>
      </c>
      <c r="D37" s="105">
        <v>2.9154759474226504</v>
      </c>
      <c r="E37" s="105">
        <v>2.1213203435596424</v>
      </c>
      <c r="F37" s="105">
        <v>1.5811388300841898</v>
      </c>
      <c r="G37" s="105">
        <v>1.5811388300841898</v>
      </c>
      <c r="H37" s="105">
        <v>2.1213203435596424</v>
      </c>
      <c r="I37" s="105">
        <v>2.9154759474226504</v>
      </c>
      <c r="J37" s="105">
        <v>3.8078865529319543</v>
      </c>
      <c r="K37" s="105">
        <v>4.7434164902525691</v>
      </c>
      <c r="M37" s="106">
        <v>2.819842099193151</v>
      </c>
      <c r="N37" s="106">
        <v>2.7367008673047097</v>
      </c>
      <c r="O37" s="106">
        <v>2.6011731533192091</v>
      </c>
      <c r="P37" s="106">
        <v>2.3561944901923448</v>
      </c>
      <c r="Q37" s="106">
        <v>1.8925468811915387</v>
      </c>
      <c r="R37" s="106">
        <v>1.2490457723982544</v>
      </c>
      <c r="S37" s="106">
        <v>0.78539816339744828</v>
      </c>
      <c r="T37" s="106">
        <v>0.54041950027058416</v>
      </c>
      <c r="U37" s="106">
        <v>0.40489178628508338</v>
      </c>
      <c r="V37" s="106">
        <v>0.32175055439664219</v>
      </c>
      <c r="AR37" s="54"/>
    </row>
    <row r="38" spans="2:57" s="2" customFormat="1">
      <c r="B38" s="105">
        <v>5.1478150704935004</v>
      </c>
      <c r="C38" s="105">
        <v>4.3011626335213133</v>
      </c>
      <c r="D38" s="105">
        <v>3.5355339059327378</v>
      </c>
      <c r="E38" s="105">
        <v>2.9154759474226504</v>
      </c>
      <c r="F38" s="105">
        <v>2.5495097567963922</v>
      </c>
      <c r="G38" s="105">
        <v>2.5495097567963922</v>
      </c>
      <c r="H38" s="105">
        <v>2.9154759474226504</v>
      </c>
      <c r="I38" s="105">
        <v>3.5355339059327378</v>
      </c>
      <c r="J38" s="105">
        <v>4.3011626335213133</v>
      </c>
      <c r="K38" s="105">
        <v>5.1478150704935004</v>
      </c>
      <c r="M38" s="106">
        <v>2.6344941491974563</v>
      </c>
      <c r="N38" s="106">
        <v>2.5213431676069717</v>
      </c>
      <c r="O38" s="106">
        <v>2.3561944901923448</v>
      </c>
      <c r="P38" s="106">
        <v>2.1112158270654806</v>
      </c>
      <c r="Q38" s="106">
        <v>1.7681918866447772</v>
      </c>
      <c r="R38" s="106">
        <v>1.3734007669450159</v>
      </c>
      <c r="S38" s="106">
        <v>1.0303768265243125</v>
      </c>
      <c r="T38" s="106">
        <v>0.78539816339744828</v>
      </c>
      <c r="U38" s="106">
        <v>0.62024948598282148</v>
      </c>
      <c r="V38" s="106">
        <v>0.50709850439233695</v>
      </c>
      <c r="AR38" s="54"/>
    </row>
    <row r="39" spans="2:57" s="2" customFormat="1">
      <c r="B39" s="105">
        <v>5.7008771254956896</v>
      </c>
      <c r="C39" s="105">
        <v>4.9497474683058327</v>
      </c>
      <c r="D39" s="105">
        <v>4.3011626335213133</v>
      </c>
      <c r="E39" s="105">
        <v>3.8078865529319543</v>
      </c>
      <c r="F39" s="105">
        <v>3.5355339059327378</v>
      </c>
      <c r="G39" s="105">
        <v>3.5355339059327378</v>
      </c>
      <c r="H39" s="105">
        <v>3.8078865529319543</v>
      </c>
      <c r="I39" s="105">
        <v>4.3011626335213133</v>
      </c>
      <c r="J39" s="105">
        <v>4.9497474683058327</v>
      </c>
      <c r="K39" s="105">
        <v>5.7008771254956896</v>
      </c>
      <c r="M39" s="106">
        <v>2.4805494847391061</v>
      </c>
      <c r="N39" s="106">
        <v>2.3561944901923448</v>
      </c>
      <c r="O39" s="106">
        <v>2.1910458127777179</v>
      </c>
      <c r="P39" s="106">
        <v>1.9756881130799799</v>
      </c>
      <c r="Q39" s="106">
        <v>1.7126933813990604</v>
      </c>
      <c r="R39" s="106">
        <v>1.4288992721907328</v>
      </c>
      <c r="S39" s="106">
        <v>1.1659045405098132</v>
      </c>
      <c r="T39" s="106">
        <v>0.95054684081207508</v>
      </c>
      <c r="U39" s="106">
        <v>0.78539816339744828</v>
      </c>
      <c r="V39" s="106">
        <v>0.66104316885068692</v>
      </c>
      <c r="AR39" s="54"/>
    </row>
    <row r="40" spans="2:57" s="2" customFormat="1">
      <c r="B40" s="105">
        <v>6.3639610306789276</v>
      </c>
      <c r="C40" s="105">
        <v>5.7008771254956896</v>
      </c>
      <c r="D40" s="105">
        <v>5.1478150704935004</v>
      </c>
      <c r="E40" s="105">
        <v>4.7434164902525691</v>
      </c>
      <c r="F40" s="105">
        <v>4.5276925690687087</v>
      </c>
      <c r="G40" s="105">
        <v>4.5276925690687087</v>
      </c>
      <c r="H40" s="105">
        <v>4.7434164902525691</v>
      </c>
      <c r="I40" s="105">
        <v>5.1478150704935004</v>
      </c>
      <c r="J40" s="105">
        <v>5.7008771254956896</v>
      </c>
      <c r="K40" s="105">
        <v>6.3639610306789276</v>
      </c>
      <c r="M40" s="106">
        <v>2.3561944901923448</v>
      </c>
      <c r="N40" s="106">
        <v>2.2318394956455831</v>
      </c>
      <c r="O40" s="106">
        <v>2.0778948311872334</v>
      </c>
      <c r="P40" s="106">
        <v>1.8925468811915387</v>
      </c>
      <c r="Q40" s="106">
        <v>1.6814535479687922</v>
      </c>
      <c r="R40" s="106">
        <v>1.4601391056210009</v>
      </c>
      <c r="S40" s="106">
        <v>1.2490457723982544</v>
      </c>
      <c r="T40" s="106">
        <v>1.0636978224025597</v>
      </c>
      <c r="U40" s="106">
        <v>0.90975315794420974</v>
      </c>
      <c r="V40" s="106">
        <v>0.78539816339744828</v>
      </c>
      <c r="AR40" s="54"/>
    </row>
    <row r="41" spans="2:57" s="2" customFormat="1">
      <c r="B41" s="52"/>
      <c r="K41" s="14" t="s">
        <v>29</v>
      </c>
      <c r="AR41" s="54"/>
    </row>
    <row r="42" spans="2:57" s="2" customFormat="1">
      <c r="B42" s="53"/>
      <c r="AR42" s="55"/>
    </row>
    <row r="43" spans="2:57" s="2" customForma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</row>
    <row r="47" spans="2:57">
      <c r="AU47" s="2"/>
      <c r="AW47" s="3"/>
      <c r="AX47" s="3"/>
      <c r="AY47" s="3"/>
      <c r="AZ47" s="3"/>
      <c r="BA47" s="3"/>
      <c r="BB47" s="3"/>
      <c r="BC47" s="3"/>
      <c r="BD47" s="3"/>
      <c r="BE47" s="3"/>
    </row>
    <row r="48" spans="2:57">
      <c r="AU48" s="2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47:57">
      <c r="AU49" s="2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47:57">
      <c r="AU50" s="2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47:57">
      <c r="AU51" s="2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47:57">
      <c r="AU52" s="2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47:57">
      <c r="AU53" s="2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47:57">
      <c r="AU54" s="2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47:57">
      <c r="AU55" s="2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47:57">
      <c r="AU56" s="2"/>
      <c r="AV56" s="3"/>
      <c r="AW56" s="3"/>
      <c r="AX56" s="3"/>
      <c r="AY56" s="3"/>
      <c r="AZ56" s="3"/>
      <c r="BA56" s="3"/>
      <c r="BB56" s="3"/>
      <c r="BC56" s="3"/>
      <c r="BD56" s="3"/>
      <c r="BE56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4BF80-0AD7-4D74-A525-4F6EAF0BADD6}">
  <sheetPr>
    <tabColor rgb="FFFED8B1"/>
  </sheetPr>
  <dimension ref="B2:CC45"/>
  <sheetViews>
    <sheetView zoomScaleNormal="100" workbookViewId="0"/>
  </sheetViews>
  <sheetFormatPr defaultRowHeight="12.5"/>
  <cols>
    <col min="1" max="1" width="5.5" style="20" customWidth="1"/>
    <col min="2" max="32" width="4.5" style="20" customWidth="1"/>
    <col min="33" max="45" width="4.5" style="21" customWidth="1"/>
    <col min="46" max="54" width="4.5" style="20" customWidth="1"/>
    <col min="55" max="65" width="3.5" style="20" customWidth="1"/>
    <col min="66" max="77" width="3.83203125" style="20" customWidth="1"/>
    <col min="78" max="16384" width="8.6640625" style="20"/>
  </cols>
  <sheetData>
    <row r="2" spans="2:81" ht="15">
      <c r="B2" s="23" t="s">
        <v>47</v>
      </c>
    </row>
    <row r="4" spans="2:81" ht="15">
      <c r="R4" s="24"/>
      <c r="S4" s="25"/>
      <c r="T4" s="25"/>
      <c r="U4" s="25"/>
      <c r="V4" s="26" t="s">
        <v>43</v>
      </c>
      <c r="W4" s="25"/>
      <c r="X4" s="25"/>
      <c r="Y4" s="25"/>
      <c r="Z4" s="25"/>
      <c r="AA4" s="25"/>
      <c r="AB4" s="25"/>
      <c r="AC4" s="25"/>
      <c r="AD4" s="25"/>
      <c r="AE4" s="25"/>
      <c r="AF4" s="25"/>
      <c r="AG4" s="27"/>
      <c r="AH4" s="28"/>
      <c r="AI4" s="36"/>
      <c r="AJ4" s="27"/>
      <c r="AK4" s="27"/>
      <c r="AL4" s="27"/>
      <c r="AM4" s="27"/>
      <c r="AN4" s="26" t="s">
        <v>44</v>
      </c>
      <c r="AO4" s="27"/>
      <c r="AP4" s="27"/>
      <c r="AQ4" s="27"/>
      <c r="AR4" s="27"/>
      <c r="AS4" s="27"/>
      <c r="AT4" s="25"/>
      <c r="AU4" s="25"/>
      <c r="AV4" s="25"/>
      <c r="AW4" s="25"/>
      <c r="AX4" s="25"/>
      <c r="AY4" s="25"/>
      <c r="AZ4" s="25"/>
      <c r="BA4" s="25"/>
      <c r="BB4" s="37"/>
    </row>
    <row r="5" spans="2:81" ht="15">
      <c r="B5" s="23" t="s">
        <v>31</v>
      </c>
      <c r="R5" s="31"/>
      <c r="S5" s="39" t="s">
        <v>37</v>
      </c>
      <c r="AH5" s="30"/>
      <c r="AI5" s="38"/>
      <c r="AJ5" s="39" t="s">
        <v>38</v>
      </c>
      <c r="AK5" s="20"/>
      <c r="AL5" s="20"/>
      <c r="AM5" s="20"/>
      <c r="AN5" s="20"/>
      <c r="AO5" s="20"/>
      <c r="AP5" s="20"/>
      <c r="AQ5" s="20"/>
      <c r="AR5" s="20"/>
      <c r="AS5" s="20"/>
      <c r="BB5" s="40"/>
      <c r="BZ5" s="21"/>
      <c r="CA5" s="21"/>
      <c r="CB5" s="21"/>
      <c r="CC5" s="21"/>
    </row>
    <row r="6" spans="2:81" ht="14">
      <c r="B6" s="71">
        <v>1</v>
      </c>
      <c r="C6" s="71">
        <v>2</v>
      </c>
      <c r="D6" s="71">
        <v>3</v>
      </c>
      <c r="E6" s="71">
        <v>4</v>
      </c>
      <c r="F6" s="71">
        <v>5</v>
      </c>
      <c r="G6" s="71">
        <v>6</v>
      </c>
      <c r="H6" s="71">
        <v>7</v>
      </c>
      <c r="I6" s="71">
        <v>8</v>
      </c>
      <c r="J6" s="71">
        <v>9</v>
      </c>
      <c r="K6" s="71">
        <v>10</v>
      </c>
      <c r="L6" s="71">
        <v>11</v>
      </c>
      <c r="M6" s="71">
        <v>12</v>
      </c>
      <c r="N6" s="71">
        <v>13</v>
      </c>
      <c r="O6" s="71">
        <v>14</v>
      </c>
      <c r="P6" s="71">
        <v>15</v>
      </c>
      <c r="R6" s="31"/>
      <c r="S6" s="69" cm="1">
        <f t="array" ref="S6:AG20">Pyramidλ(GeoGrid)</f>
        <v>1</v>
      </c>
      <c r="T6" s="69">
        <v>2</v>
      </c>
      <c r="U6" s="69">
        <v>3</v>
      </c>
      <c r="V6" s="69">
        <v>4</v>
      </c>
      <c r="W6" s="69">
        <v>5</v>
      </c>
      <c r="X6" s="69">
        <v>6</v>
      </c>
      <c r="Y6" s="69">
        <v>7</v>
      </c>
      <c r="Z6" s="69">
        <v>8</v>
      </c>
      <c r="AA6" s="69">
        <v>9</v>
      </c>
      <c r="AB6" s="69">
        <v>10</v>
      </c>
      <c r="AC6" s="69">
        <v>11</v>
      </c>
      <c r="AD6" s="69">
        <v>12</v>
      </c>
      <c r="AE6" s="69">
        <v>13</v>
      </c>
      <c r="AF6" s="69">
        <v>14</v>
      </c>
      <c r="AG6" s="70">
        <v>15</v>
      </c>
      <c r="AH6" s="30"/>
      <c r="AI6" s="41"/>
      <c r="AJ6" s="72" cm="1">
        <f t="array" ref="AJ6:AX20">Ringλ(GeoGrid,1)</f>
        <v>1</v>
      </c>
      <c r="AK6" s="72">
        <v>2</v>
      </c>
      <c r="AL6" s="72">
        <v>3</v>
      </c>
      <c r="AM6" s="72">
        <v>4</v>
      </c>
      <c r="AN6" s="72">
        <v>5</v>
      </c>
      <c r="AO6" s="72">
        <v>6</v>
      </c>
      <c r="AP6" s="72">
        <v>7</v>
      </c>
      <c r="AQ6" s="72">
        <v>8</v>
      </c>
      <c r="AR6" s="72">
        <v>9</v>
      </c>
      <c r="AS6" s="72">
        <v>10</v>
      </c>
      <c r="AT6" s="72">
        <v>11</v>
      </c>
      <c r="AU6" s="72">
        <v>12</v>
      </c>
      <c r="AV6" s="72">
        <v>13</v>
      </c>
      <c r="AW6" s="72">
        <v>14</v>
      </c>
      <c r="AX6" s="72">
        <v>15</v>
      </c>
      <c r="BB6" s="40"/>
      <c r="BZ6" s="21"/>
      <c r="CA6" s="21"/>
      <c r="CB6" s="21"/>
      <c r="CC6" s="21"/>
    </row>
    <row r="7" spans="2:81" ht="14">
      <c r="B7" s="71">
        <v>16</v>
      </c>
      <c r="C7" s="71">
        <v>17</v>
      </c>
      <c r="D7" s="71">
        <v>18</v>
      </c>
      <c r="E7" s="71">
        <v>19</v>
      </c>
      <c r="F7" s="71">
        <v>20</v>
      </c>
      <c r="G7" s="71">
        <v>21</v>
      </c>
      <c r="H7" s="71">
        <v>22</v>
      </c>
      <c r="I7" s="71">
        <v>23</v>
      </c>
      <c r="J7" s="71">
        <v>24</v>
      </c>
      <c r="K7" s="71">
        <v>25</v>
      </c>
      <c r="L7" s="71">
        <v>26</v>
      </c>
      <c r="M7" s="71">
        <v>27</v>
      </c>
      <c r="N7" s="71">
        <v>28</v>
      </c>
      <c r="O7" s="71">
        <v>29</v>
      </c>
      <c r="P7" s="71">
        <v>30</v>
      </c>
      <c r="R7" s="31"/>
      <c r="S7" s="69" t="str">
        <v/>
      </c>
      <c r="T7" s="69">
        <v>17</v>
      </c>
      <c r="U7" s="69">
        <v>18</v>
      </c>
      <c r="V7" s="69">
        <v>19</v>
      </c>
      <c r="W7" s="69">
        <v>20</v>
      </c>
      <c r="X7" s="69">
        <v>21</v>
      </c>
      <c r="Y7" s="69">
        <v>22</v>
      </c>
      <c r="Z7" s="69">
        <v>23</v>
      </c>
      <c r="AA7" s="69">
        <v>24</v>
      </c>
      <c r="AB7" s="69">
        <v>25</v>
      </c>
      <c r="AC7" s="69">
        <v>26</v>
      </c>
      <c r="AD7" s="69">
        <v>27</v>
      </c>
      <c r="AE7" s="69">
        <v>28</v>
      </c>
      <c r="AF7" s="69">
        <v>29</v>
      </c>
      <c r="AG7" s="70">
        <v>30</v>
      </c>
      <c r="AH7" s="30"/>
      <c r="AI7" s="41"/>
      <c r="AJ7" s="72">
        <v>16</v>
      </c>
      <c r="AK7" s="72">
        <v>0</v>
      </c>
      <c r="AL7" s="72">
        <v>0</v>
      </c>
      <c r="AM7" s="72">
        <v>0</v>
      </c>
      <c r="AN7" s="72">
        <v>0</v>
      </c>
      <c r="AO7" s="72">
        <v>0</v>
      </c>
      <c r="AP7" s="72">
        <v>0</v>
      </c>
      <c r="AQ7" s="72">
        <v>0</v>
      </c>
      <c r="AR7" s="72">
        <v>0</v>
      </c>
      <c r="AS7" s="72">
        <v>0</v>
      </c>
      <c r="AT7" s="72">
        <v>0</v>
      </c>
      <c r="AU7" s="72">
        <v>0</v>
      </c>
      <c r="AV7" s="72">
        <v>0</v>
      </c>
      <c r="AW7" s="72">
        <v>0</v>
      </c>
      <c r="AX7" s="72">
        <v>30</v>
      </c>
      <c r="BB7" s="40"/>
      <c r="BZ7" s="21"/>
      <c r="CA7" s="21"/>
      <c r="CB7" s="21"/>
      <c r="CC7" s="21"/>
    </row>
    <row r="8" spans="2:81" ht="14">
      <c r="B8" s="71">
        <v>31</v>
      </c>
      <c r="C8" s="71">
        <v>32</v>
      </c>
      <c r="D8" s="71">
        <v>33</v>
      </c>
      <c r="E8" s="71">
        <v>34</v>
      </c>
      <c r="F8" s="71">
        <v>35</v>
      </c>
      <c r="G8" s="71">
        <v>36</v>
      </c>
      <c r="H8" s="71">
        <v>37</v>
      </c>
      <c r="I8" s="71">
        <v>38</v>
      </c>
      <c r="J8" s="71">
        <v>39</v>
      </c>
      <c r="K8" s="71">
        <v>40</v>
      </c>
      <c r="L8" s="71">
        <v>41</v>
      </c>
      <c r="M8" s="71">
        <v>42</v>
      </c>
      <c r="N8" s="71">
        <v>43</v>
      </c>
      <c r="O8" s="71">
        <v>44</v>
      </c>
      <c r="P8" s="71">
        <v>45</v>
      </c>
      <c r="R8" s="31"/>
      <c r="S8" s="69" t="str">
        <v/>
      </c>
      <c r="T8" s="69" t="str">
        <v/>
      </c>
      <c r="U8" s="69">
        <v>33</v>
      </c>
      <c r="V8" s="69">
        <v>34</v>
      </c>
      <c r="W8" s="69">
        <v>35</v>
      </c>
      <c r="X8" s="69">
        <v>36</v>
      </c>
      <c r="Y8" s="69">
        <v>37</v>
      </c>
      <c r="Z8" s="69">
        <v>38</v>
      </c>
      <c r="AA8" s="69">
        <v>39</v>
      </c>
      <c r="AB8" s="69">
        <v>40</v>
      </c>
      <c r="AC8" s="69">
        <v>41</v>
      </c>
      <c r="AD8" s="69">
        <v>42</v>
      </c>
      <c r="AE8" s="69">
        <v>43</v>
      </c>
      <c r="AF8" s="69">
        <v>44</v>
      </c>
      <c r="AG8" s="70">
        <v>45</v>
      </c>
      <c r="AH8" s="30"/>
      <c r="AI8" s="41"/>
      <c r="AJ8" s="72">
        <v>31</v>
      </c>
      <c r="AK8" s="72">
        <v>0</v>
      </c>
      <c r="AL8" s="72">
        <v>0</v>
      </c>
      <c r="AM8" s="72">
        <v>0</v>
      </c>
      <c r="AN8" s="72">
        <v>0</v>
      </c>
      <c r="AO8" s="72">
        <v>0</v>
      </c>
      <c r="AP8" s="72">
        <v>0</v>
      </c>
      <c r="AQ8" s="72">
        <v>0</v>
      </c>
      <c r="AR8" s="72">
        <v>0</v>
      </c>
      <c r="AS8" s="72">
        <v>0</v>
      </c>
      <c r="AT8" s="72">
        <v>0</v>
      </c>
      <c r="AU8" s="72">
        <v>0</v>
      </c>
      <c r="AV8" s="72">
        <v>0</v>
      </c>
      <c r="AW8" s="72">
        <v>0</v>
      </c>
      <c r="AX8" s="72">
        <v>45</v>
      </c>
      <c r="BB8" s="40"/>
      <c r="BZ8" s="21"/>
      <c r="CA8" s="21"/>
      <c r="CB8" s="21"/>
      <c r="CC8" s="21"/>
    </row>
    <row r="9" spans="2:81" ht="14">
      <c r="B9" s="71">
        <v>46</v>
      </c>
      <c r="C9" s="71">
        <v>47</v>
      </c>
      <c r="D9" s="71">
        <v>48</v>
      </c>
      <c r="E9" s="71">
        <v>49</v>
      </c>
      <c r="F9" s="71">
        <v>50</v>
      </c>
      <c r="G9" s="71">
        <v>51</v>
      </c>
      <c r="H9" s="71">
        <v>52</v>
      </c>
      <c r="I9" s="71">
        <v>53</v>
      </c>
      <c r="J9" s="71">
        <v>54</v>
      </c>
      <c r="K9" s="71">
        <v>55</v>
      </c>
      <c r="L9" s="71">
        <v>56</v>
      </c>
      <c r="M9" s="71">
        <v>57</v>
      </c>
      <c r="N9" s="71">
        <v>58</v>
      </c>
      <c r="O9" s="71">
        <v>59</v>
      </c>
      <c r="P9" s="71">
        <v>60</v>
      </c>
      <c r="R9" s="31"/>
      <c r="S9" s="69" t="str">
        <v/>
      </c>
      <c r="T9" s="69" t="str">
        <v/>
      </c>
      <c r="U9" s="69" t="str">
        <v/>
      </c>
      <c r="V9" s="69">
        <v>49</v>
      </c>
      <c r="W9" s="69">
        <v>50</v>
      </c>
      <c r="X9" s="69">
        <v>51</v>
      </c>
      <c r="Y9" s="69">
        <v>52</v>
      </c>
      <c r="Z9" s="69">
        <v>53</v>
      </c>
      <c r="AA9" s="69">
        <v>54</v>
      </c>
      <c r="AB9" s="69">
        <v>55</v>
      </c>
      <c r="AC9" s="69">
        <v>56</v>
      </c>
      <c r="AD9" s="69">
        <v>57</v>
      </c>
      <c r="AE9" s="69">
        <v>58</v>
      </c>
      <c r="AF9" s="69">
        <v>59</v>
      </c>
      <c r="AG9" s="70">
        <v>60</v>
      </c>
      <c r="AH9" s="30"/>
      <c r="AI9" s="41"/>
      <c r="AJ9" s="72">
        <v>46</v>
      </c>
      <c r="AK9" s="72">
        <v>0</v>
      </c>
      <c r="AL9" s="72">
        <v>0</v>
      </c>
      <c r="AM9" s="72">
        <v>0</v>
      </c>
      <c r="AN9" s="72">
        <v>0</v>
      </c>
      <c r="AO9" s="72">
        <v>0</v>
      </c>
      <c r="AP9" s="72">
        <v>0</v>
      </c>
      <c r="AQ9" s="72">
        <v>0</v>
      </c>
      <c r="AR9" s="72">
        <v>0</v>
      </c>
      <c r="AS9" s="72">
        <v>0</v>
      </c>
      <c r="AT9" s="72">
        <v>0</v>
      </c>
      <c r="AU9" s="72">
        <v>0</v>
      </c>
      <c r="AV9" s="72">
        <v>0</v>
      </c>
      <c r="AW9" s="72">
        <v>0</v>
      </c>
      <c r="AX9" s="72">
        <v>60</v>
      </c>
      <c r="BB9" s="40"/>
      <c r="BZ9" s="21"/>
      <c r="CA9" s="21"/>
      <c r="CB9" s="21"/>
      <c r="CC9" s="21"/>
    </row>
    <row r="10" spans="2:81" ht="14">
      <c r="B10" s="71">
        <v>61</v>
      </c>
      <c r="C10" s="71">
        <v>62</v>
      </c>
      <c r="D10" s="71">
        <v>63</v>
      </c>
      <c r="E10" s="71">
        <v>64</v>
      </c>
      <c r="F10" s="71">
        <v>65</v>
      </c>
      <c r="G10" s="71">
        <v>66</v>
      </c>
      <c r="H10" s="71">
        <v>67</v>
      </c>
      <c r="I10" s="71">
        <v>68</v>
      </c>
      <c r="J10" s="71">
        <v>69</v>
      </c>
      <c r="K10" s="71">
        <v>70</v>
      </c>
      <c r="L10" s="71">
        <v>71</v>
      </c>
      <c r="M10" s="71">
        <v>72</v>
      </c>
      <c r="N10" s="71">
        <v>73</v>
      </c>
      <c r="O10" s="71">
        <v>74</v>
      </c>
      <c r="P10" s="71">
        <v>75</v>
      </c>
      <c r="R10" s="31"/>
      <c r="S10" s="69" t="str">
        <v/>
      </c>
      <c r="T10" s="69" t="str">
        <v/>
      </c>
      <c r="U10" s="69" t="str">
        <v/>
      </c>
      <c r="V10" s="69" t="str">
        <v/>
      </c>
      <c r="W10" s="69">
        <v>65</v>
      </c>
      <c r="X10" s="69">
        <v>66</v>
      </c>
      <c r="Y10" s="69">
        <v>67</v>
      </c>
      <c r="Z10" s="69">
        <v>68</v>
      </c>
      <c r="AA10" s="69">
        <v>69</v>
      </c>
      <c r="AB10" s="69">
        <v>70</v>
      </c>
      <c r="AC10" s="69">
        <v>71</v>
      </c>
      <c r="AD10" s="69">
        <v>72</v>
      </c>
      <c r="AE10" s="69">
        <v>73</v>
      </c>
      <c r="AF10" s="69">
        <v>74</v>
      </c>
      <c r="AG10" s="70">
        <v>75</v>
      </c>
      <c r="AH10" s="30"/>
      <c r="AI10" s="41"/>
      <c r="AJ10" s="72">
        <v>61</v>
      </c>
      <c r="AK10" s="72">
        <v>0</v>
      </c>
      <c r="AL10" s="72">
        <v>0</v>
      </c>
      <c r="AM10" s="72">
        <v>0</v>
      </c>
      <c r="AN10" s="72">
        <v>0</v>
      </c>
      <c r="AO10" s="72">
        <v>0</v>
      </c>
      <c r="AP10" s="72">
        <v>0</v>
      </c>
      <c r="AQ10" s="72">
        <v>0</v>
      </c>
      <c r="AR10" s="72">
        <v>0</v>
      </c>
      <c r="AS10" s="72">
        <v>0</v>
      </c>
      <c r="AT10" s="72">
        <v>0</v>
      </c>
      <c r="AU10" s="72">
        <v>0</v>
      </c>
      <c r="AV10" s="72">
        <v>0</v>
      </c>
      <c r="AW10" s="72">
        <v>0</v>
      </c>
      <c r="AX10" s="72">
        <v>75</v>
      </c>
      <c r="BB10" s="40"/>
      <c r="BZ10" s="21"/>
      <c r="CA10" s="21"/>
      <c r="CB10" s="21"/>
      <c r="CC10" s="21"/>
    </row>
    <row r="11" spans="2:81" ht="14">
      <c r="B11" s="71">
        <v>76</v>
      </c>
      <c r="C11" s="71">
        <v>77</v>
      </c>
      <c r="D11" s="71">
        <v>78</v>
      </c>
      <c r="E11" s="71">
        <v>79</v>
      </c>
      <c r="F11" s="71">
        <v>80</v>
      </c>
      <c r="G11" s="71">
        <v>81</v>
      </c>
      <c r="H11" s="71">
        <v>82</v>
      </c>
      <c r="I11" s="71">
        <v>83</v>
      </c>
      <c r="J11" s="71">
        <v>84</v>
      </c>
      <c r="K11" s="71">
        <v>85</v>
      </c>
      <c r="L11" s="71">
        <v>86</v>
      </c>
      <c r="M11" s="71">
        <v>87</v>
      </c>
      <c r="N11" s="71">
        <v>88</v>
      </c>
      <c r="O11" s="71">
        <v>89</v>
      </c>
      <c r="P11" s="71">
        <v>90</v>
      </c>
      <c r="R11" s="31"/>
      <c r="S11" s="69" t="str">
        <v/>
      </c>
      <c r="T11" s="69" t="str">
        <v/>
      </c>
      <c r="U11" s="69" t="str">
        <v/>
      </c>
      <c r="V11" s="69" t="str">
        <v/>
      </c>
      <c r="W11" s="69" t="str">
        <v/>
      </c>
      <c r="X11" s="69">
        <v>81</v>
      </c>
      <c r="Y11" s="69">
        <v>82</v>
      </c>
      <c r="Z11" s="69">
        <v>83</v>
      </c>
      <c r="AA11" s="69">
        <v>84</v>
      </c>
      <c r="AB11" s="69">
        <v>85</v>
      </c>
      <c r="AC11" s="69">
        <v>86</v>
      </c>
      <c r="AD11" s="69">
        <v>87</v>
      </c>
      <c r="AE11" s="69">
        <v>88</v>
      </c>
      <c r="AF11" s="69">
        <v>89</v>
      </c>
      <c r="AG11" s="70">
        <v>90</v>
      </c>
      <c r="AH11" s="30"/>
      <c r="AI11" s="41"/>
      <c r="AJ11" s="72">
        <v>76</v>
      </c>
      <c r="AK11" s="72">
        <v>0</v>
      </c>
      <c r="AL11" s="72">
        <v>0</v>
      </c>
      <c r="AM11" s="72">
        <v>0</v>
      </c>
      <c r="AN11" s="72">
        <v>0</v>
      </c>
      <c r="AO11" s="72">
        <v>0</v>
      </c>
      <c r="AP11" s="72">
        <v>0</v>
      </c>
      <c r="AQ11" s="72">
        <v>0</v>
      </c>
      <c r="AR11" s="72">
        <v>0</v>
      </c>
      <c r="AS11" s="72">
        <v>0</v>
      </c>
      <c r="AT11" s="72">
        <v>0</v>
      </c>
      <c r="AU11" s="72">
        <v>0</v>
      </c>
      <c r="AV11" s="72">
        <v>0</v>
      </c>
      <c r="AW11" s="72">
        <v>0</v>
      </c>
      <c r="AX11" s="72">
        <v>90</v>
      </c>
      <c r="BB11" s="40"/>
    </row>
    <row r="12" spans="2:81" ht="14">
      <c r="B12" s="71">
        <v>91</v>
      </c>
      <c r="C12" s="71">
        <v>92</v>
      </c>
      <c r="D12" s="71">
        <v>93</v>
      </c>
      <c r="E12" s="71">
        <v>94</v>
      </c>
      <c r="F12" s="71">
        <v>95</v>
      </c>
      <c r="G12" s="71">
        <v>96</v>
      </c>
      <c r="H12" s="71">
        <v>97</v>
      </c>
      <c r="I12" s="71">
        <v>98</v>
      </c>
      <c r="J12" s="71">
        <v>99</v>
      </c>
      <c r="K12" s="71">
        <v>100</v>
      </c>
      <c r="L12" s="71">
        <v>101</v>
      </c>
      <c r="M12" s="71">
        <v>102</v>
      </c>
      <c r="N12" s="71">
        <v>103</v>
      </c>
      <c r="O12" s="71">
        <v>104</v>
      </c>
      <c r="P12" s="71">
        <v>105</v>
      </c>
      <c r="R12" s="31"/>
      <c r="S12" s="69" t="str">
        <v/>
      </c>
      <c r="T12" s="69" t="str">
        <v/>
      </c>
      <c r="U12" s="69" t="str">
        <v/>
      </c>
      <c r="V12" s="69" t="str">
        <v/>
      </c>
      <c r="W12" s="69" t="str">
        <v/>
      </c>
      <c r="X12" s="69" t="str">
        <v/>
      </c>
      <c r="Y12" s="69">
        <v>97</v>
      </c>
      <c r="Z12" s="69">
        <v>98</v>
      </c>
      <c r="AA12" s="69">
        <v>99</v>
      </c>
      <c r="AB12" s="69">
        <v>100</v>
      </c>
      <c r="AC12" s="69">
        <v>101</v>
      </c>
      <c r="AD12" s="69">
        <v>102</v>
      </c>
      <c r="AE12" s="69">
        <v>103</v>
      </c>
      <c r="AF12" s="69">
        <v>104</v>
      </c>
      <c r="AG12" s="70">
        <v>105</v>
      </c>
      <c r="AH12" s="30"/>
      <c r="AI12" s="41"/>
      <c r="AJ12" s="72">
        <v>91</v>
      </c>
      <c r="AK12" s="72">
        <v>0</v>
      </c>
      <c r="AL12" s="72">
        <v>0</v>
      </c>
      <c r="AM12" s="72">
        <v>0</v>
      </c>
      <c r="AN12" s="72">
        <v>0</v>
      </c>
      <c r="AO12" s="72">
        <v>0</v>
      </c>
      <c r="AP12" s="72">
        <v>0</v>
      </c>
      <c r="AQ12" s="72">
        <v>0</v>
      </c>
      <c r="AR12" s="72">
        <v>0</v>
      </c>
      <c r="AS12" s="72">
        <v>0</v>
      </c>
      <c r="AT12" s="72">
        <v>0</v>
      </c>
      <c r="AU12" s="72">
        <v>0</v>
      </c>
      <c r="AV12" s="72">
        <v>0</v>
      </c>
      <c r="AW12" s="72">
        <v>0</v>
      </c>
      <c r="AX12" s="72">
        <v>105</v>
      </c>
      <c r="BB12" s="40"/>
    </row>
    <row r="13" spans="2:81" ht="14">
      <c r="B13" s="71">
        <v>106</v>
      </c>
      <c r="C13" s="71">
        <v>107</v>
      </c>
      <c r="D13" s="71">
        <v>108</v>
      </c>
      <c r="E13" s="71">
        <v>109</v>
      </c>
      <c r="F13" s="71">
        <v>110</v>
      </c>
      <c r="G13" s="71">
        <v>111</v>
      </c>
      <c r="H13" s="71">
        <v>112</v>
      </c>
      <c r="I13" s="71">
        <v>113</v>
      </c>
      <c r="J13" s="71">
        <v>114</v>
      </c>
      <c r="K13" s="71">
        <v>115</v>
      </c>
      <c r="L13" s="71">
        <v>116</v>
      </c>
      <c r="M13" s="71">
        <v>117</v>
      </c>
      <c r="N13" s="71">
        <v>118</v>
      </c>
      <c r="O13" s="71">
        <v>119</v>
      </c>
      <c r="P13" s="71">
        <v>120</v>
      </c>
      <c r="R13" s="31"/>
      <c r="S13" s="69" t="str">
        <v/>
      </c>
      <c r="T13" s="69" t="str">
        <v/>
      </c>
      <c r="U13" s="69" t="str">
        <v/>
      </c>
      <c r="V13" s="69" t="str">
        <v/>
      </c>
      <c r="W13" s="69" t="str">
        <v/>
      </c>
      <c r="X13" s="69" t="str">
        <v/>
      </c>
      <c r="Y13" s="69" t="str">
        <v/>
      </c>
      <c r="Z13" s="69">
        <v>113</v>
      </c>
      <c r="AA13" s="69">
        <v>114</v>
      </c>
      <c r="AB13" s="69">
        <v>115</v>
      </c>
      <c r="AC13" s="69">
        <v>116</v>
      </c>
      <c r="AD13" s="69">
        <v>117</v>
      </c>
      <c r="AE13" s="69">
        <v>118</v>
      </c>
      <c r="AF13" s="69">
        <v>119</v>
      </c>
      <c r="AG13" s="70">
        <v>120</v>
      </c>
      <c r="AH13" s="30"/>
      <c r="AI13" s="41"/>
      <c r="AJ13" s="72">
        <v>106</v>
      </c>
      <c r="AK13" s="72">
        <v>0</v>
      </c>
      <c r="AL13" s="72">
        <v>0</v>
      </c>
      <c r="AM13" s="72">
        <v>0</v>
      </c>
      <c r="AN13" s="72">
        <v>0</v>
      </c>
      <c r="AO13" s="72">
        <v>0</v>
      </c>
      <c r="AP13" s="72">
        <v>0</v>
      </c>
      <c r="AQ13" s="72">
        <v>0</v>
      </c>
      <c r="AR13" s="72">
        <v>0</v>
      </c>
      <c r="AS13" s="72">
        <v>0</v>
      </c>
      <c r="AT13" s="72">
        <v>0</v>
      </c>
      <c r="AU13" s="72">
        <v>0</v>
      </c>
      <c r="AV13" s="72">
        <v>0</v>
      </c>
      <c r="AW13" s="72">
        <v>0</v>
      </c>
      <c r="AX13" s="72">
        <v>120</v>
      </c>
      <c r="BB13" s="40"/>
    </row>
    <row r="14" spans="2:81" ht="14">
      <c r="B14" s="71">
        <v>121</v>
      </c>
      <c r="C14" s="71">
        <v>122</v>
      </c>
      <c r="D14" s="71">
        <v>123</v>
      </c>
      <c r="E14" s="71">
        <v>124</v>
      </c>
      <c r="F14" s="71">
        <v>125</v>
      </c>
      <c r="G14" s="71">
        <v>126</v>
      </c>
      <c r="H14" s="71">
        <v>127</v>
      </c>
      <c r="I14" s="71">
        <v>128</v>
      </c>
      <c r="J14" s="71">
        <v>129</v>
      </c>
      <c r="K14" s="71">
        <v>130</v>
      </c>
      <c r="L14" s="71">
        <v>131</v>
      </c>
      <c r="M14" s="71">
        <v>132</v>
      </c>
      <c r="N14" s="71">
        <v>133</v>
      </c>
      <c r="O14" s="71">
        <v>134</v>
      </c>
      <c r="P14" s="71">
        <v>135</v>
      </c>
      <c r="R14" s="31"/>
      <c r="S14" s="69" t="str">
        <v/>
      </c>
      <c r="T14" s="69" t="str">
        <v/>
      </c>
      <c r="U14" s="69" t="str">
        <v/>
      </c>
      <c r="V14" s="69" t="str">
        <v/>
      </c>
      <c r="W14" s="69" t="str">
        <v/>
      </c>
      <c r="X14" s="69" t="str">
        <v/>
      </c>
      <c r="Y14" s="69" t="str">
        <v/>
      </c>
      <c r="Z14" s="69" t="str">
        <v/>
      </c>
      <c r="AA14" s="69">
        <v>129</v>
      </c>
      <c r="AB14" s="69">
        <v>130</v>
      </c>
      <c r="AC14" s="69">
        <v>131</v>
      </c>
      <c r="AD14" s="69">
        <v>132</v>
      </c>
      <c r="AE14" s="69">
        <v>133</v>
      </c>
      <c r="AF14" s="69">
        <v>134</v>
      </c>
      <c r="AG14" s="70">
        <v>135</v>
      </c>
      <c r="AH14" s="30"/>
      <c r="AI14" s="41"/>
      <c r="AJ14" s="72">
        <v>121</v>
      </c>
      <c r="AK14" s="72">
        <v>0</v>
      </c>
      <c r="AL14" s="72">
        <v>0</v>
      </c>
      <c r="AM14" s="72">
        <v>0</v>
      </c>
      <c r="AN14" s="72">
        <v>0</v>
      </c>
      <c r="AO14" s="72">
        <v>0</v>
      </c>
      <c r="AP14" s="72">
        <v>0</v>
      </c>
      <c r="AQ14" s="72">
        <v>0</v>
      </c>
      <c r="AR14" s="72">
        <v>0</v>
      </c>
      <c r="AS14" s="72">
        <v>0</v>
      </c>
      <c r="AT14" s="72">
        <v>0</v>
      </c>
      <c r="AU14" s="72">
        <v>0</v>
      </c>
      <c r="AV14" s="72">
        <v>0</v>
      </c>
      <c r="AW14" s="72">
        <v>0</v>
      </c>
      <c r="AX14" s="72">
        <v>135</v>
      </c>
      <c r="BB14" s="40"/>
    </row>
    <row r="15" spans="2:81" ht="14">
      <c r="B15" s="71">
        <v>136</v>
      </c>
      <c r="C15" s="71">
        <v>137</v>
      </c>
      <c r="D15" s="71">
        <v>138</v>
      </c>
      <c r="E15" s="71">
        <v>139</v>
      </c>
      <c r="F15" s="71">
        <v>140</v>
      </c>
      <c r="G15" s="71">
        <v>141</v>
      </c>
      <c r="H15" s="71">
        <v>142</v>
      </c>
      <c r="I15" s="71">
        <v>143</v>
      </c>
      <c r="J15" s="71">
        <v>144</v>
      </c>
      <c r="K15" s="71">
        <v>145</v>
      </c>
      <c r="L15" s="71">
        <v>146</v>
      </c>
      <c r="M15" s="71">
        <v>147</v>
      </c>
      <c r="N15" s="71">
        <v>148</v>
      </c>
      <c r="O15" s="71">
        <v>149</v>
      </c>
      <c r="P15" s="71">
        <v>150</v>
      </c>
      <c r="R15" s="31"/>
      <c r="S15" s="69" t="str">
        <v/>
      </c>
      <c r="T15" s="69" t="str">
        <v/>
      </c>
      <c r="U15" s="69" t="str">
        <v/>
      </c>
      <c r="V15" s="69" t="str">
        <v/>
      </c>
      <c r="W15" s="69" t="str">
        <v/>
      </c>
      <c r="X15" s="69" t="str">
        <v/>
      </c>
      <c r="Y15" s="69" t="str">
        <v/>
      </c>
      <c r="Z15" s="69" t="str">
        <v/>
      </c>
      <c r="AA15" s="69" t="str">
        <v/>
      </c>
      <c r="AB15" s="69">
        <v>145</v>
      </c>
      <c r="AC15" s="69">
        <v>146</v>
      </c>
      <c r="AD15" s="69">
        <v>147</v>
      </c>
      <c r="AE15" s="69">
        <v>148</v>
      </c>
      <c r="AF15" s="69">
        <v>149</v>
      </c>
      <c r="AG15" s="70">
        <v>150</v>
      </c>
      <c r="AH15" s="30"/>
      <c r="AI15" s="41"/>
      <c r="AJ15" s="72">
        <v>136</v>
      </c>
      <c r="AK15" s="72">
        <v>0</v>
      </c>
      <c r="AL15" s="72">
        <v>0</v>
      </c>
      <c r="AM15" s="72">
        <v>0</v>
      </c>
      <c r="AN15" s="72">
        <v>0</v>
      </c>
      <c r="AO15" s="72">
        <v>0</v>
      </c>
      <c r="AP15" s="72">
        <v>0</v>
      </c>
      <c r="AQ15" s="72">
        <v>0</v>
      </c>
      <c r="AR15" s="72">
        <v>0</v>
      </c>
      <c r="AS15" s="72">
        <v>0</v>
      </c>
      <c r="AT15" s="72">
        <v>0</v>
      </c>
      <c r="AU15" s="72">
        <v>0</v>
      </c>
      <c r="AV15" s="72">
        <v>0</v>
      </c>
      <c r="AW15" s="72">
        <v>0</v>
      </c>
      <c r="AX15" s="72">
        <v>150</v>
      </c>
      <c r="BB15" s="40"/>
    </row>
    <row r="16" spans="2:81" ht="14">
      <c r="B16" s="71">
        <v>151</v>
      </c>
      <c r="C16" s="71">
        <v>152</v>
      </c>
      <c r="D16" s="71">
        <v>153</v>
      </c>
      <c r="E16" s="71">
        <v>154</v>
      </c>
      <c r="F16" s="71">
        <v>155</v>
      </c>
      <c r="G16" s="71">
        <v>156</v>
      </c>
      <c r="H16" s="71">
        <v>157</v>
      </c>
      <c r="I16" s="71">
        <v>158</v>
      </c>
      <c r="J16" s="71">
        <v>159</v>
      </c>
      <c r="K16" s="71">
        <v>160</v>
      </c>
      <c r="L16" s="71">
        <v>161</v>
      </c>
      <c r="M16" s="71">
        <v>162</v>
      </c>
      <c r="N16" s="71">
        <v>163</v>
      </c>
      <c r="O16" s="71">
        <v>164</v>
      </c>
      <c r="P16" s="71">
        <v>165</v>
      </c>
      <c r="R16" s="31"/>
      <c r="S16" s="69" t="str">
        <v/>
      </c>
      <c r="T16" s="69" t="str">
        <v/>
      </c>
      <c r="U16" s="69" t="str">
        <v/>
      </c>
      <c r="V16" s="69" t="str">
        <v/>
      </c>
      <c r="W16" s="69" t="str">
        <v/>
      </c>
      <c r="X16" s="69" t="str">
        <v/>
      </c>
      <c r="Y16" s="69" t="str">
        <v/>
      </c>
      <c r="Z16" s="69" t="str">
        <v/>
      </c>
      <c r="AA16" s="69" t="str">
        <v/>
      </c>
      <c r="AB16" s="69" t="str">
        <v/>
      </c>
      <c r="AC16" s="69">
        <v>161</v>
      </c>
      <c r="AD16" s="69">
        <v>162</v>
      </c>
      <c r="AE16" s="69">
        <v>163</v>
      </c>
      <c r="AF16" s="69">
        <v>164</v>
      </c>
      <c r="AG16" s="70">
        <v>165</v>
      </c>
      <c r="AH16" s="30"/>
      <c r="AI16" s="41"/>
      <c r="AJ16" s="72">
        <v>151</v>
      </c>
      <c r="AK16" s="72">
        <v>0</v>
      </c>
      <c r="AL16" s="72">
        <v>0</v>
      </c>
      <c r="AM16" s="72">
        <v>0</v>
      </c>
      <c r="AN16" s="72">
        <v>0</v>
      </c>
      <c r="AO16" s="72">
        <v>0</v>
      </c>
      <c r="AP16" s="72">
        <v>0</v>
      </c>
      <c r="AQ16" s="72">
        <v>0</v>
      </c>
      <c r="AR16" s="72">
        <v>0</v>
      </c>
      <c r="AS16" s="72">
        <v>0</v>
      </c>
      <c r="AT16" s="72">
        <v>0</v>
      </c>
      <c r="AU16" s="72">
        <v>0</v>
      </c>
      <c r="AV16" s="72">
        <v>0</v>
      </c>
      <c r="AW16" s="72">
        <v>0</v>
      </c>
      <c r="AX16" s="72">
        <v>165</v>
      </c>
      <c r="BB16" s="40"/>
    </row>
    <row r="17" spans="2:54" ht="14">
      <c r="B17" s="71">
        <v>166</v>
      </c>
      <c r="C17" s="71">
        <v>167</v>
      </c>
      <c r="D17" s="71">
        <v>168</v>
      </c>
      <c r="E17" s="71">
        <v>169</v>
      </c>
      <c r="F17" s="71">
        <v>170</v>
      </c>
      <c r="G17" s="71">
        <v>171</v>
      </c>
      <c r="H17" s="71">
        <v>172</v>
      </c>
      <c r="I17" s="71">
        <v>173</v>
      </c>
      <c r="J17" s="71">
        <v>174</v>
      </c>
      <c r="K17" s="71">
        <v>175</v>
      </c>
      <c r="L17" s="71">
        <v>176</v>
      </c>
      <c r="M17" s="71">
        <v>177</v>
      </c>
      <c r="N17" s="71">
        <v>178</v>
      </c>
      <c r="O17" s="71">
        <v>179</v>
      </c>
      <c r="P17" s="71">
        <v>180</v>
      </c>
      <c r="R17" s="31"/>
      <c r="S17" s="69" t="str">
        <v/>
      </c>
      <c r="T17" s="69" t="str">
        <v/>
      </c>
      <c r="U17" s="69" t="str">
        <v/>
      </c>
      <c r="V17" s="69" t="str">
        <v/>
      </c>
      <c r="W17" s="69" t="str">
        <v/>
      </c>
      <c r="X17" s="69" t="str">
        <v/>
      </c>
      <c r="Y17" s="69" t="str">
        <v/>
      </c>
      <c r="Z17" s="69" t="str">
        <v/>
      </c>
      <c r="AA17" s="69" t="str">
        <v/>
      </c>
      <c r="AB17" s="69" t="str">
        <v/>
      </c>
      <c r="AC17" s="69" t="str">
        <v/>
      </c>
      <c r="AD17" s="69">
        <v>177</v>
      </c>
      <c r="AE17" s="69">
        <v>178</v>
      </c>
      <c r="AF17" s="69">
        <v>179</v>
      </c>
      <c r="AG17" s="70">
        <v>180</v>
      </c>
      <c r="AH17" s="30"/>
      <c r="AI17" s="41"/>
      <c r="AJ17" s="72">
        <v>166</v>
      </c>
      <c r="AK17" s="72">
        <v>0</v>
      </c>
      <c r="AL17" s="72">
        <v>0</v>
      </c>
      <c r="AM17" s="72">
        <v>0</v>
      </c>
      <c r="AN17" s="72">
        <v>0</v>
      </c>
      <c r="AO17" s="72">
        <v>0</v>
      </c>
      <c r="AP17" s="72">
        <v>0</v>
      </c>
      <c r="AQ17" s="72">
        <v>0</v>
      </c>
      <c r="AR17" s="72">
        <v>0</v>
      </c>
      <c r="AS17" s="72">
        <v>0</v>
      </c>
      <c r="AT17" s="72">
        <v>0</v>
      </c>
      <c r="AU17" s="72">
        <v>0</v>
      </c>
      <c r="AV17" s="72">
        <v>0</v>
      </c>
      <c r="AW17" s="72">
        <v>0</v>
      </c>
      <c r="AX17" s="72">
        <v>180</v>
      </c>
      <c r="BB17" s="40"/>
    </row>
    <row r="18" spans="2:54" ht="14">
      <c r="B18" s="71">
        <v>181</v>
      </c>
      <c r="C18" s="71">
        <v>182</v>
      </c>
      <c r="D18" s="71">
        <v>183</v>
      </c>
      <c r="E18" s="71">
        <v>184</v>
      </c>
      <c r="F18" s="71">
        <v>185</v>
      </c>
      <c r="G18" s="71">
        <v>186</v>
      </c>
      <c r="H18" s="71">
        <v>187</v>
      </c>
      <c r="I18" s="71">
        <v>188</v>
      </c>
      <c r="J18" s="71">
        <v>189</v>
      </c>
      <c r="K18" s="71">
        <v>190</v>
      </c>
      <c r="L18" s="71">
        <v>191</v>
      </c>
      <c r="M18" s="71">
        <v>192</v>
      </c>
      <c r="N18" s="71">
        <v>193</v>
      </c>
      <c r="O18" s="71">
        <v>194</v>
      </c>
      <c r="P18" s="71">
        <v>195</v>
      </c>
      <c r="R18" s="31"/>
      <c r="S18" s="69" t="str">
        <v/>
      </c>
      <c r="T18" s="69" t="str">
        <v/>
      </c>
      <c r="U18" s="69" t="str">
        <v/>
      </c>
      <c r="V18" s="69" t="str">
        <v/>
      </c>
      <c r="W18" s="69" t="str">
        <v/>
      </c>
      <c r="X18" s="69" t="str">
        <v/>
      </c>
      <c r="Y18" s="69" t="str">
        <v/>
      </c>
      <c r="Z18" s="69" t="str">
        <v/>
      </c>
      <c r="AA18" s="69" t="str">
        <v/>
      </c>
      <c r="AB18" s="69" t="str">
        <v/>
      </c>
      <c r="AC18" s="69" t="str">
        <v/>
      </c>
      <c r="AD18" s="69" t="str">
        <v/>
      </c>
      <c r="AE18" s="69">
        <v>193</v>
      </c>
      <c r="AF18" s="69">
        <v>194</v>
      </c>
      <c r="AG18" s="70">
        <v>195</v>
      </c>
      <c r="AH18" s="30"/>
      <c r="AI18" s="41"/>
      <c r="AJ18" s="72">
        <v>181</v>
      </c>
      <c r="AK18" s="72">
        <v>0</v>
      </c>
      <c r="AL18" s="72">
        <v>0</v>
      </c>
      <c r="AM18" s="72">
        <v>0</v>
      </c>
      <c r="AN18" s="72">
        <v>0</v>
      </c>
      <c r="AO18" s="72">
        <v>0</v>
      </c>
      <c r="AP18" s="72">
        <v>0</v>
      </c>
      <c r="AQ18" s="72">
        <v>0</v>
      </c>
      <c r="AR18" s="72">
        <v>0</v>
      </c>
      <c r="AS18" s="72">
        <v>0</v>
      </c>
      <c r="AT18" s="72">
        <v>0</v>
      </c>
      <c r="AU18" s="72">
        <v>0</v>
      </c>
      <c r="AV18" s="72">
        <v>0</v>
      </c>
      <c r="AW18" s="72">
        <v>0</v>
      </c>
      <c r="AX18" s="72">
        <v>195</v>
      </c>
      <c r="BB18" s="40"/>
    </row>
    <row r="19" spans="2:54" ht="14">
      <c r="B19" s="71">
        <v>196</v>
      </c>
      <c r="C19" s="71">
        <v>197</v>
      </c>
      <c r="D19" s="71">
        <v>198</v>
      </c>
      <c r="E19" s="71">
        <v>199</v>
      </c>
      <c r="F19" s="71">
        <v>200</v>
      </c>
      <c r="G19" s="71">
        <v>201</v>
      </c>
      <c r="H19" s="71">
        <v>202</v>
      </c>
      <c r="I19" s="71">
        <v>203</v>
      </c>
      <c r="J19" s="71">
        <v>204</v>
      </c>
      <c r="K19" s="71">
        <v>205</v>
      </c>
      <c r="L19" s="71">
        <v>206</v>
      </c>
      <c r="M19" s="71">
        <v>207</v>
      </c>
      <c r="N19" s="71">
        <v>208</v>
      </c>
      <c r="O19" s="71">
        <v>209</v>
      </c>
      <c r="P19" s="71">
        <v>210</v>
      </c>
      <c r="R19" s="31"/>
      <c r="S19" s="69" t="str">
        <v/>
      </c>
      <c r="T19" s="69" t="str">
        <v/>
      </c>
      <c r="U19" s="69" t="str">
        <v/>
      </c>
      <c r="V19" s="69" t="str">
        <v/>
      </c>
      <c r="W19" s="69" t="str">
        <v/>
      </c>
      <c r="X19" s="69" t="str">
        <v/>
      </c>
      <c r="Y19" s="69" t="str">
        <v/>
      </c>
      <c r="Z19" s="69" t="str">
        <v/>
      </c>
      <c r="AA19" s="69" t="str">
        <v/>
      </c>
      <c r="AB19" s="69" t="str">
        <v/>
      </c>
      <c r="AC19" s="69" t="str">
        <v/>
      </c>
      <c r="AD19" s="69" t="str">
        <v/>
      </c>
      <c r="AE19" s="69" t="str">
        <v/>
      </c>
      <c r="AF19" s="69">
        <v>209</v>
      </c>
      <c r="AG19" s="70">
        <v>210</v>
      </c>
      <c r="AH19" s="30"/>
      <c r="AI19" s="41"/>
      <c r="AJ19" s="72">
        <v>196</v>
      </c>
      <c r="AK19" s="72">
        <v>0</v>
      </c>
      <c r="AL19" s="72">
        <v>0</v>
      </c>
      <c r="AM19" s="72">
        <v>0</v>
      </c>
      <c r="AN19" s="72">
        <v>0</v>
      </c>
      <c r="AO19" s="72">
        <v>0</v>
      </c>
      <c r="AP19" s="72">
        <v>0</v>
      </c>
      <c r="AQ19" s="72">
        <v>0</v>
      </c>
      <c r="AR19" s="72">
        <v>0</v>
      </c>
      <c r="AS19" s="72">
        <v>0</v>
      </c>
      <c r="AT19" s="72">
        <v>0</v>
      </c>
      <c r="AU19" s="72">
        <v>0</v>
      </c>
      <c r="AV19" s="72">
        <v>0</v>
      </c>
      <c r="AW19" s="72">
        <v>0</v>
      </c>
      <c r="AX19" s="72">
        <v>210</v>
      </c>
      <c r="BB19" s="40"/>
    </row>
    <row r="20" spans="2:54" ht="14">
      <c r="B20" s="71">
        <v>211</v>
      </c>
      <c r="C20" s="71">
        <v>212</v>
      </c>
      <c r="D20" s="71">
        <v>213</v>
      </c>
      <c r="E20" s="71">
        <v>214</v>
      </c>
      <c r="F20" s="71">
        <v>215</v>
      </c>
      <c r="G20" s="71">
        <v>216</v>
      </c>
      <c r="H20" s="71">
        <v>217</v>
      </c>
      <c r="I20" s="71">
        <v>218</v>
      </c>
      <c r="J20" s="71">
        <v>219</v>
      </c>
      <c r="K20" s="71">
        <v>220</v>
      </c>
      <c r="L20" s="71">
        <v>221</v>
      </c>
      <c r="M20" s="71">
        <v>222</v>
      </c>
      <c r="N20" s="71">
        <v>223</v>
      </c>
      <c r="O20" s="71">
        <v>224</v>
      </c>
      <c r="P20" s="71">
        <v>225</v>
      </c>
      <c r="R20" s="31"/>
      <c r="S20" s="69" t="str">
        <v/>
      </c>
      <c r="T20" s="69" t="str">
        <v/>
      </c>
      <c r="U20" s="69" t="str">
        <v/>
      </c>
      <c r="V20" s="69" t="str">
        <v/>
      </c>
      <c r="W20" s="69" t="str">
        <v/>
      </c>
      <c r="X20" s="69" t="str">
        <v/>
      </c>
      <c r="Y20" s="69" t="str">
        <v/>
      </c>
      <c r="Z20" s="69" t="str">
        <v/>
      </c>
      <c r="AA20" s="69" t="str">
        <v/>
      </c>
      <c r="AB20" s="69" t="str">
        <v/>
      </c>
      <c r="AC20" s="69" t="str">
        <v/>
      </c>
      <c r="AD20" s="69" t="str">
        <v/>
      </c>
      <c r="AE20" s="69" t="str">
        <v/>
      </c>
      <c r="AF20" s="69" t="str">
        <v/>
      </c>
      <c r="AG20" s="70">
        <v>225</v>
      </c>
      <c r="AH20" s="30"/>
      <c r="AI20" s="41"/>
      <c r="AJ20" s="72">
        <v>211</v>
      </c>
      <c r="AK20" s="72">
        <v>212</v>
      </c>
      <c r="AL20" s="72">
        <v>213</v>
      </c>
      <c r="AM20" s="72">
        <v>214</v>
      </c>
      <c r="AN20" s="72">
        <v>215</v>
      </c>
      <c r="AO20" s="72">
        <v>216</v>
      </c>
      <c r="AP20" s="72">
        <v>217</v>
      </c>
      <c r="AQ20" s="72">
        <v>218</v>
      </c>
      <c r="AR20" s="72">
        <v>219</v>
      </c>
      <c r="AS20" s="72">
        <v>220</v>
      </c>
      <c r="AT20" s="72">
        <v>221</v>
      </c>
      <c r="AU20" s="72">
        <v>222</v>
      </c>
      <c r="AV20" s="72">
        <v>223</v>
      </c>
      <c r="AW20" s="72">
        <v>224</v>
      </c>
      <c r="AX20" s="72">
        <v>225</v>
      </c>
      <c r="BB20" s="40"/>
    </row>
    <row r="21" spans="2:54">
      <c r="R21" s="32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5"/>
      <c r="AI21" s="42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43"/>
    </row>
    <row r="22" spans="2:54" ht="15">
      <c r="B22" s="24"/>
      <c r="C22" s="25"/>
      <c r="D22" s="26" t="s">
        <v>42</v>
      </c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37"/>
      <c r="R22" s="24"/>
      <c r="S22" s="25"/>
      <c r="T22" s="25"/>
      <c r="U22" s="25"/>
      <c r="V22" s="26" t="s">
        <v>45</v>
      </c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7"/>
      <c r="AH22" s="27"/>
      <c r="AI22" s="27"/>
      <c r="AJ22" s="25"/>
      <c r="AK22" s="25"/>
      <c r="AL22" s="25"/>
      <c r="AM22" s="26" t="s">
        <v>46</v>
      </c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37"/>
    </row>
    <row r="23" spans="2:54" ht="15">
      <c r="B23" s="29" t="s">
        <v>36</v>
      </c>
      <c r="P23" s="40"/>
      <c r="R23" s="31"/>
      <c r="S23" s="39" t="s">
        <v>34</v>
      </c>
      <c r="AG23" s="20"/>
      <c r="AI23" s="45"/>
      <c r="AJ23" s="39" t="s">
        <v>35</v>
      </c>
      <c r="AK23" s="20"/>
      <c r="AL23" s="20"/>
      <c r="AM23" s="20"/>
      <c r="AN23" s="20"/>
      <c r="AO23" s="20"/>
      <c r="AP23" s="20"/>
      <c r="AQ23" s="20"/>
      <c r="AR23" s="20"/>
      <c r="AS23" s="20"/>
      <c r="BB23" s="40"/>
    </row>
    <row r="24" spans="2:54" ht="14">
      <c r="B24" s="73" t="str" cm="1">
        <f t="array" ref="B24:N34">Plusλ(GeoGrid,158,6,"")</f>
        <v/>
      </c>
      <c r="C24" s="74" t="str">
        <v/>
      </c>
      <c r="D24" s="74" t="str">
        <v/>
      </c>
      <c r="E24" s="74" t="str">
        <v/>
      </c>
      <c r="F24" s="74" t="str">
        <v/>
      </c>
      <c r="G24" s="74" t="str">
        <v/>
      </c>
      <c r="H24" s="74">
        <v>68</v>
      </c>
      <c r="I24" s="74" t="str">
        <v/>
      </c>
      <c r="J24" s="74" t="str">
        <v/>
      </c>
      <c r="K24" s="74" t="str">
        <v/>
      </c>
      <c r="L24" s="74" t="str">
        <v/>
      </c>
      <c r="M24" s="74" t="str">
        <v/>
      </c>
      <c r="N24" s="74" t="str">
        <v/>
      </c>
      <c r="P24" s="40"/>
      <c r="R24" s="31"/>
      <c r="S24" s="76" t="str" cm="1">
        <f t="array" ref="S24:AA28">Triangleλ(GeoGrid,113,4,,"-")</f>
        <v>-</v>
      </c>
      <c r="T24" s="76" t="str">
        <v>-</v>
      </c>
      <c r="U24" s="76" t="str">
        <v>-</v>
      </c>
      <c r="V24" s="76" t="str">
        <v>-</v>
      </c>
      <c r="W24" s="76">
        <v>53</v>
      </c>
      <c r="X24" s="76" t="str">
        <v>-</v>
      </c>
      <c r="Y24" s="76" t="str">
        <v>-</v>
      </c>
      <c r="Z24" s="76" t="str">
        <v>-</v>
      </c>
      <c r="AA24" s="76" t="str">
        <v>-</v>
      </c>
      <c r="AG24" s="20"/>
      <c r="AJ24" s="76" cm="1">
        <f t="array" ref="AJ24:AR28">Triangleλ(GeoGrid,113,4,1,"-")</f>
        <v>109</v>
      </c>
      <c r="AK24" s="76">
        <v>110</v>
      </c>
      <c r="AL24" s="76">
        <v>111</v>
      </c>
      <c r="AM24" s="76">
        <v>112</v>
      </c>
      <c r="AN24" s="77">
        <v>113</v>
      </c>
      <c r="AO24" s="76">
        <v>114</v>
      </c>
      <c r="AP24" s="76">
        <v>115</v>
      </c>
      <c r="AQ24" s="76">
        <v>116</v>
      </c>
      <c r="AR24" s="76">
        <v>117</v>
      </c>
      <c r="AS24" s="20"/>
      <c r="BB24" s="40"/>
    </row>
    <row r="25" spans="2:54" ht="14">
      <c r="B25" s="73" t="str">
        <v/>
      </c>
      <c r="C25" s="74" t="str">
        <v/>
      </c>
      <c r="D25" s="74" t="str">
        <v/>
      </c>
      <c r="E25" s="74" t="str">
        <v/>
      </c>
      <c r="F25" s="74" t="str">
        <v/>
      </c>
      <c r="G25" s="74" t="str">
        <v/>
      </c>
      <c r="H25" s="74">
        <v>83</v>
      </c>
      <c r="I25" s="74" t="str">
        <v/>
      </c>
      <c r="J25" s="74" t="str">
        <v/>
      </c>
      <c r="K25" s="74" t="str">
        <v/>
      </c>
      <c r="L25" s="74" t="str">
        <v/>
      </c>
      <c r="M25" s="74" t="str">
        <v/>
      </c>
      <c r="N25" s="74" t="str">
        <v/>
      </c>
      <c r="P25" s="40"/>
      <c r="R25" s="31"/>
      <c r="S25" s="76" t="str">
        <v>-</v>
      </c>
      <c r="T25" s="76" t="str">
        <v>-</v>
      </c>
      <c r="U25" s="76" t="str">
        <v>-</v>
      </c>
      <c r="V25" s="76">
        <v>67</v>
      </c>
      <c r="W25" s="76">
        <v>68</v>
      </c>
      <c r="X25" s="76">
        <v>69</v>
      </c>
      <c r="Y25" s="76" t="str">
        <v>-</v>
      </c>
      <c r="Z25" s="76" t="str">
        <v>-</v>
      </c>
      <c r="AA25" s="76" t="str">
        <v>-</v>
      </c>
      <c r="AG25" s="20"/>
      <c r="AJ25" s="76" t="str">
        <v>-</v>
      </c>
      <c r="AK25" s="76">
        <v>125</v>
      </c>
      <c r="AL25" s="76">
        <v>126</v>
      </c>
      <c r="AM25" s="76">
        <v>127</v>
      </c>
      <c r="AN25" s="76">
        <v>128</v>
      </c>
      <c r="AO25" s="76">
        <v>129</v>
      </c>
      <c r="AP25" s="76">
        <v>130</v>
      </c>
      <c r="AQ25" s="76">
        <v>131</v>
      </c>
      <c r="AR25" s="76" t="str">
        <v>-</v>
      </c>
      <c r="AS25" s="20"/>
      <c r="BB25" s="40"/>
    </row>
    <row r="26" spans="2:54" ht="14">
      <c r="B26" s="73" t="str">
        <v/>
      </c>
      <c r="C26" s="74" t="str">
        <v/>
      </c>
      <c r="D26" s="74" t="str">
        <v/>
      </c>
      <c r="E26" s="74" t="str">
        <v/>
      </c>
      <c r="F26" s="74" t="str">
        <v/>
      </c>
      <c r="G26" s="74" t="str">
        <v/>
      </c>
      <c r="H26" s="74">
        <v>98</v>
      </c>
      <c r="I26" s="74" t="str">
        <v/>
      </c>
      <c r="J26" s="74" t="str">
        <v/>
      </c>
      <c r="K26" s="74" t="str">
        <v/>
      </c>
      <c r="L26" s="74" t="str">
        <v/>
      </c>
      <c r="M26" s="74" t="str">
        <v/>
      </c>
      <c r="N26" s="74" t="str">
        <v/>
      </c>
      <c r="P26" s="40"/>
      <c r="R26" s="31"/>
      <c r="S26" s="76" t="str">
        <v>-</v>
      </c>
      <c r="T26" s="76" t="str">
        <v>-</v>
      </c>
      <c r="U26" s="76">
        <v>81</v>
      </c>
      <c r="V26" s="76">
        <v>82</v>
      </c>
      <c r="W26" s="76">
        <v>83</v>
      </c>
      <c r="X26" s="76">
        <v>84</v>
      </c>
      <c r="Y26" s="76">
        <v>85</v>
      </c>
      <c r="Z26" s="76" t="str">
        <v>-</v>
      </c>
      <c r="AA26" s="76" t="str">
        <v>-</v>
      </c>
      <c r="AG26" s="20"/>
      <c r="AJ26" s="76" t="str">
        <v>-</v>
      </c>
      <c r="AK26" s="76" t="str">
        <v>-</v>
      </c>
      <c r="AL26" s="76">
        <v>141</v>
      </c>
      <c r="AM26" s="76">
        <v>142</v>
      </c>
      <c r="AN26" s="76">
        <v>143</v>
      </c>
      <c r="AO26" s="76">
        <v>144</v>
      </c>
      <c r="AP26" s="76">
        <v>145</v>
      </c>
      <c r="AQ26" s="76" t="str">
        <v>-</v>
      </c>
      <c r="AR26" s="76" t="str">
        <v>-</v>
      </c>
      <c r="AS26" s="20"/>
      <c r="BB26" s="40"/>
    </row>
    <row r="27" spans="2:54" ht="14">
      <c r="B27" s="73" t="str">
        <v/>
      </c>
      <c r="C27" s="74" t="str">
        <v/>
      </c>
      <c r="D27" s="74" t="str">
        <v/>
      </c>
      <c r="E27" s="74" t="str">
        <v/>
      </c>
      <c r="F27" s="74" t="str">
        <v/>
      </c>
      <c r="G27" s="74" t="str">
        <v/>
      </c>
      <c r="H27" s="74">
        <v>113</v>
      </c>
      <c r="I27" s="74" t="str">
        <v/>
      </c>
      <c r="J27" s="74" t="str">
        <v/>
      </c>
      <c r="K27" s="74" t="str">
        <v/>
      </c>
      <c r="L27" s="74" t="str">
        <v/>
      </c>
      <c r="M27" s="74" t="str">
        <v/>
      </c>
      <c r="N27" s="74" t="str">
        <v/>
      </c>
      <c r="P27" s="40"/>
      <c r="R27" s="31"/>
      <c r="S27" s="76" t="str">
        <v>-</v>
      </c>
      <c r="T27" s="76">
        <v>95</v>
      </c>
      <c r="U27" s="76">
        <v>96</v>
      </c>
      <c r="V27" s="76">
        <v>97</v>
      </c>
      <c r="W27" s="76">
        <v>98</v>
      </c>
      <c r="X27" s="76">
        <v>99</v>
      </c>
      <c r="Y27" s="76">
        <v>100</v>
      </c>
      <c r="Z27" s="76">
        <v>101</v>
      </c>
      <c r="AA27" s="76" t="str">
        <v>-</v>
      </c>
      <c r="AG27" s="20"/>
      <c r="AJ27" s="76" t="str">
        <v>-</v>
      </c>
      <c r="AK27" s="76" t="str">
        <v>-</v>
      </c>
      <c r="AL27" s="76" t="str">
        <v>-</v>
      </c>
      <c r="AM27" s="76">
        <v>157</v>
      </c>
      <c r="AN27" s="76">
        <v>158</v>
      </c>
      <c r="AO27" s="76">
        <v>159</v>
      </c>
      <c r="AP27" s="76" t="str">
        <v>-</v>
      </c>
      <c r="AQ27" s="76" t="str">
        <v>-</v>
      </c>
      <c r="AR27" s="76" t="str">
        <v>-</v>
      </c>
      <c r="AS27" s="20"/>
      <c r="BB27" s="40"/>
    </row>
    <row r="28" spans="2:54" ht="14">
      <c r="B28" s="73" t="str">
        <v/>
      </c>
      <c r="C28" s="74" t="str">
        <v/>
      </c>
      <c r="D28" s="74" t="str">
        <v/>
      </c>
      <c r="E28" s="74" t="str">
        <v/>
      </c>
      <c r="F28" s="74" t="str">
        <v/>
      </c>
      <c r="G28" s="74" t="str">
        <v/>
      </c>
      <c r="H28" s="74">
        <v>128</v>
      </c>
      <c r="I28" s="74" t="str">
        <v/>
      </c>
      <c r="J28" s="74" t="str">
        <v/>
      </c>
      <c r="K28" s="74" t="str">
        <v/>
      </c>
      <c r="L28" s="74" t="str">
        <v/>
      </c>
      <c r="M28" s="74" t="str">
        <v/>
      </c>
      <c r="N28" s="74" t="str">
        <v/>
      </c>
      <c r="P28" s="40"/>
      <c r="R28" s="31"/>
      <c r="S28" s="76">
        <v>109</v>
      </c>
      <c r="T28" s="76">
        <v>110</v>
      </c>
      <c r="U28" s="76">
        <v>111</v>
      </c>
      <c r="V28" s="76">
        <v>112</v>
      </c>
      <c r="W28" s="77">
        <v>113</v>
      </c>
      <c r="X28" s="76">
        <v>114</v>
      </c>
      <c r="Y28" s="76">
        <v>115</v>
      </c>
      <c r="Z28" s="76">
        <v>116</v>
      </c>
      <c r="AA28" s="76">
        <v>117</v>
      </c>
      <c r="AG28" s="20"/>
      <c r="AJ28" s="76" t="str">
        <v>-</v>
      </c>
      <c r="AK28" s="76" t="str">
        <v>-</v>
      </c>
      <c r="AL28" s="76" t="str">
        <v>-</v>
      </c>
      <c r="AM28" s="76" t="str">
        <v>-</v>
      </c>
      <c r="AN28" s="76">
        <v>173</v>
      </c>
      <c r="AO28" s="76" t="str">
        <v>-</v>
      </c>
      <c r="AP28" s="76" t="str">
        <v>-</v>
      </c>
      <c r="AQ28" s="76" t="str">
        <v>-</v>
      </c>
      <c r="AR28" s="76" t="str">
        <v>-</v>
      </c>
      <c r="AS28" s="20"/>
      <c r="BB28" s="40"/>
    </row>
    <row r="29" spans="2:54" ht="14">
      <c r="B29" s="73" t="str">
        <v/>
      </c>
      <c r="C29" s="74" t="str">
        <v/>
      </c>
      <c r="D29" s="74" t="str">
        <v/>
      </c>
      <c r="E29" s="74" t="str">
        <v/>
      </c>
      <c r="F29" s="74" t="str">
        <v/>
      </c>
      <c r="G29" s="74" t="str">
        <v/>
      </c>
      <c r="H29" s="74">
        <v>143</v>
      </c>
      <c r="I29" s="74" t="str">
        <v/>
      </c>
      <c r="J29" s="74" t="str">
        <v/>
      </c>
      <c r="K29" s="74" t="str">
        <v/>
      </c>
      <c r="L29" s="74" t="str">
        <v/>
      </c>
      <c r="M29" s="74" t="str">
        <v/>
      </c>
      <c r="N29" s="74" t="str">
        <v/>
      </c>
      <c r="P29" s="40"/>
      <c r="R29" s="32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  <c r="AI29" s="34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43"/>
    </row>
    <row r="30" spans="2:54" ht="15">
      <c r="B30" s="73">
        <v>152</v>
      </c>
      <c r="C30" s="74">
        <v>153</v>
      </c>
      <c r="D30" s="74">
        <v>154</v>
      </c>
      <c r="E30" s="74">
        <v>155</v>
      </c>
      <c r="F30" s="74">
        <v>156</v>
      </c>
      <c r="G30" s="74">
        <v>157</v>
      </c>
      <c r="H30" s="75">
        <v>158</v>
      </c>
      <c r="I30" s="74">
        <v>159</v>
      </c>
      <c r="J30" s="74">
        <v>160</v>
      </c>
      <c r="K30" s="74">
        <v>161</v>
      </c>
      <c r="L30" s="74">
        <v>162</v>
      </c>
      <c r="M30" s="74">
        <v>163</v>
      </c>
      <c r="N30" s="74">
        <v>164</v>
      </c>
      <c r="P30" s="40"/>
      <c r="R30" s="24"/>
      <c r="S30" s="25"/>
      <c r="T30" s="25"/>
      <c r="U30" s="26" t="s">
        <v>39</v>
      </c>
      <c r="V30" s="25"/>
      <c r="W30" s="25"/>
      <c r="X30" s="25"/>
      <c r="Y30" s="25"/>
      <c r="Z30" s="25"/>
      <c r="AA30" s="25"/>
      <c r="AB30" s="25"/>
      <c r="AC30" s="25"/>
      <c r="AD30" s="25"/>
      <c r="AE30" s="37"/>
      <c r="AF30" s="24"/>
      <c r="AG30" s="27"/>
      <c r="AH30" s="27"/>
      <c r="AI30" s="26" t="s">
        <v>40</v>
      </c>
      <c r="AJ30" s="25"/>
      <c r="AK30" s="25"/>
      <c r="AL30" s="25"/>
      <c r="AM30" s="25"/>
      <c r="AN30" s="25"/>
      <c r="AO30" s="25"/>
      <c r="AP30" s="25"/>
      <c r="AQ30" s="25"/>
      <c r="AR30" s="25"/>
      <c r="AS30" s="37"/>
      <c r="AT30" s="24"/>
      <c r="AU30" s="25"/>
      <c r="AV30" s="26" t="s">
        <v>41</v>
      </c>
      <c r="AW30" s="25"/>
      <c r="AX30" s="25"/>
      <c r="AY30" s="25"/>
      <c r="AZ30" s="25"/>
      <c r="BA30" s="25"/>
      <c r="BB30" s="37"/>
    </row>
    <row r="31" spans="2:54" ht="15">
      <c r="B31" s="73" t="str">
        <v/>
      </c>
      <c r="C31" s="74" t="str">
        <v/>
      </c>
      <c r="D31" s="74" t="str">
        <v/>
      </c>
      <c r="E31" s="74" t="str">
        <v/>
      </c>
      <c r="F31" s="74" t="str">
        <v/>
      </c>
      <c r="G31" s="74" t="str">
        <v/>
      </c>
      <c r="H31" s="74">
        <v>173</v>
      </c>
      <c r="I31" s="74" t="str">
        <v/>
      </c>
      <c r="J31" s="74" t="str">
        <v/>
      </c>
      <c r="K31" s="74" t="str">
        <v/>
      </c>
      <c r="L31" s="74" t="str">
        <v/>
      </c>
      <c r="M31" s="74" t="str">
        <v/>
      </c>
      <c r="N31" s="74" t="str">
        <v/>
      </c>
      <c r="P31" s="40"/>
      <c r="R31" s="29" t="s">
        <v>32</v>
      </c>
      <c r="AE31" s="40"/>
      <c r="AF31" s="51" t="s">
        <v>48</v>
      </c>
      <c r="AS31" s="40"/>
      <c r="AT31" s="29" t="s">
        <v>33</v>
      </c>
      <c r="BB31" s="40"/>
    </row>
    <row r="32" spans="2:54" ht="14">
      <c r="B32" s="73" t="str">
        <v/>
      </c>
      <c r="C32" s="74" t="str">
        <v/>
      </c>
      <c r="D32" s="74" t="str">
        <v/>
      </c>
      <c r="E32" s="74" t="str">
        <v/>
      </c>
      <c r="F32" s="74" t="str">
        <v/>
      </c>
      <c r="G32" s="74" t="str">
        <v/>
      </c>
      <c r="H32" s="74">
        <v>188</v>
      </c>
      <c r="I32" s="74" t="str">
        <v/>
      </c>
      <c r="J32" s="74" t="str">
        <v/>
      </c>
      <c r="K32" s="74" t="str">
        <v/>
      </c>
      <c r="L32" s="74" t="str">
        <v/>
      </c>
      <c r="M32" s="74" t="str">
        <v/>
      </c>
      <c r="N32" s="74" t="str">
        <v/>
      </c>
      <c r="P32" s="40"/>
      <c r="R32" s="78" t="str" cm="1">
        <f t="array" ref="R32:AD44">Circleλ(GeoGrid,98,6,"")</f>
        <v/>
      </c>
      <c r="S32" s="79" t="str">
        <v/>
      </c>
      <c r="T32" s="79" t="str">
        <v/>
      </c>
      <c r="U32" s="79" t="str">
        <v/>
      </c>
      <c r="V32" s="79" t="str">
        <v/>
      </c>
      <c r="W32" s="79" t="str">
        <v/>
      </c>
      <c r="X32" s="79">
        <v>8</v>
      </c>
      <c r="Y32" s="79" t="str">
        <v/>
      </c>
      <c r="Z32" s="79" t="str">
        <v/>
      </c>
      <c r="AA32" s="79" t="str">
        <v/>
      </c>
      <c r="AB32" s="79" t="str">
        <v/>
      </c>
      <c r="AC32" s="79" t="str">
        <v/>
      </c>
      <c r="AD32" s="79" t="str">
        <v/>
      </c>
      <c r="AE32" s="40"/>
      <c r="AF32" s="81" t="str" cm="1">
        <f t="array" ref="AF32:AR44">Diamondλ(GeoGrid,98,6,"")</f>
        <v/>
      </c>
      <c r="AG32" s="82" t="str">
        <v/>
      </c>
      <c r="AH32" s="82" t="str">
        <v/>
      </c>
      <c r="AI32" s="82" t="str">
        <v/>
      </c>
      <c r="AJ32" s="82" t="str">
        <v/>
      </c>
      <c r="AK32" s="82" t="str">
        <v/>
      </c>
      <c r="AL32" s="82">
        <v>8</v>
      </c>
      <c r="AM32" s="82" t="str">
        <v/>
      </c>
      <c r="AN32" s="82" t="str">
        <v/>
      </c>
      <c r="AO32" s="82" t="str">
        <v/>
      </c>
      <c r="AP32" s="82" t="str">
        <v/>
      </c>
      <c r="AQ32" s="82" t="str">
        <v/>
      </c>
      <c r="AR32" s="82" t="str">
        <v/>
      </c>
      <c r="AS32" s="40"/>
      <c r="AT32" s="84" cm="1">
        <f t="array" ref="AT32:AZ38">Squareλ(GeoGrid,95,3)</f>
        <v>47</v>
      </c>
      <c r="AU32" s="85">
        <v>48</v>
      </c>
      <c r="AV32" s="85">
        <v>49</v>
      </c>
      <c r="AW32" s="85">
        <v>50</v>
      </c>
      <c r="AX32" s="85">
        <v>51</v>
      </c>
      <c r="AY32" s="85">
        <v>52</v>
      </c>
      <c r="AZ32" s="85">
        <v>53</v>
      </c>
      <c r="BB32" s="40"/>
    </row>
    <row r="33" spans="2:54" ht="14">
      <c r="B33" s="73" t="str">
        <v/>
      </c>
      <c r="C33" s="74" t="str">
        <v/>
      </c>
      <c r="D33" s="74" t="str">
        <v/>
      </c>
      <c r="E33" s="74" t="str">
        <v/>
      </c>
      <c r="F33" s="74" t="str">
        <v/>
      </c>
      <c r="G33" s="74" t="str">
        <v/>
      </c>
      <c r="H33" s="74">
        <v>203</v>
      </c>
      <c r="I33" s="74" t="str">
        <v/>
      </c>
      <c r="J33" s="74" t="str">
        <v/>
      </c>
      <c r="K33" s="74" t="str">
        <v/>
      </c>
      <c r="L33" s="74" t="str">
        <v/>
      </c>
      <c r="M33" s="74" t="str">
        <v/>
      </c>
      <c r="N33" s="74" t="str">
        <v/>
      </c>
      <c r="P33" s="40"/>
      <c r="R33" s="78" t="str">
        <v/>
      </c>
      <c r="S33" s="79" t="str">
        <v/>
      </c>
      <c r="T33" s="79" t="str">
        <v/>
      </c>
      <c r="U33" s="79">
        <v>20</v>
      </c>
      <c r="V33" s="79">
        <v>21</v>
      </c>
      <c r="W33" s="79">
        <v>22</v>
      </c>
      <c r="X33" s="79">
        <v>23</v>
      </c>
      <c r="Y33" s="79">
        <v>24</v>
      </c>
      <c r="Z33" s="79">
        <v>25</v>
      </c>
      <c r="AA33" s="79">
        <v>26</v>
      </c>
      <c r="AB33" s="79" t="str">
        <v/>
      </c>
      <c r="AC33" s="79" t="str">
        <v/>
      </c>
      <c r="AD33" s="79" t="str">
        <v/>
      </c>
      <c r="AE33" s="40"/>
      <c r="AF33" s="81" t="str">
        <v/>
      </c>
      <c r="AG33" s="82" t="str">
        <v/>
      </c>
      <c r="AH33" s="82" t="str">
        <v/>
      </c>
      <c r="AI33" s="82" t="str">
        <v/>
      </c>
      <c r="AJ33" s="82" t="str">
        <v/>
      </c>
      <c r="AK33" s="82">
        <v>22</v>
      </c>
      <c r="AL33" s="82">
        <v>23</v>
      </c>
      <c r="AM33" s="82">
        <v>24</v>
      </c>
      <c r="AN33" s="82" t="str">
        <v/>
      </c>
      <c r="AO33" s="82" t="str">
        <v/>
      </c>
      <c r="AP33" s="82" t="str">
        <v/>
      </c>
      <c r="AQ33" s="82" t="str">
        <v/>
      </c>
      <c r="AR33" s="82" t="str">
        <v/>
      </c>
      <c r="AS33" s="40"/>
      <c r="AT33" s="84">
        <v>62</v>
      </c>
      <c r="AU33" s="85">
        <v>63</v>
      </c>
      <c r="AV33" s="85">
        <v>64</v>
      </c>
      <c r="AW33" s="85">
        <v>65</v>
      </c>
      <c r="AX33" s="85">
        <v>66</v>
      </c>
      <c r="AY33" s="85">
        <v>67</v>
      </c>
      <c r="AZ33" s="85">
        <v>68</v>
      </c>
      <c r="BB33" s="40"/>
    </row>
    <row r="34" spans="2:54" ht="14">
      <c r="B34" s="73" t="str">
        <v/>
      </c>
      <c r="C34" s="74" t="str">
        <v/>
      </c>
      <c r="D34" s="74" t="str">
        <v/>
      </c>
      <c r="E34" s="74" t="str">
        <v/>
      </c>
      <c r="F34" s="74" t="str">
        <v/>
      </c>
      <c r="G34" s="74" t="str">
        <v/>
      </c>
      <c r="H34" s="74">
        <v>218</v>
      </c>
      <c r="I34" s="74" t="str">
        <v/>
      </c>
      <c r="J34" s="74" t="str">
        <v/>
      </c>
      <c r="K34" s="74" t="str">
        <v/>
      </c>
      <c r="L34" s="74" t="str">
        <v/>
      </c>
      <c r="M34" s="74" t="str">
        <v/>
      </c>
      <c r="N34" s="74" t="str">
        <v/>
      </c>
      <c r="P34" s="40"/>
      <c r="R34" s="78" t="str">
        <v/>
      </c>
      <c r="S34" s="79" t="str">
        <v/>
      </c>
      <c r="T34" s="79">
        <v>34</v>
      </c>
      <c r="U34" s="79">
        <v>35</v>
      </c>
      <c r="V34" s="79">
        <v>36</v>
      </c>
      <c r="W34" s="79">
        <v>37</v>
      </c>
      <c r="X34" s="79">
        <v>38</v>
      </c>
      <c r="Y34" s="79">
        <v>39</v>
      </c>
      <c r="Z34" s="79">
        <v>40</v>
      </c>
      <c r="AA34" s="79">
        <v>41</v>
      </c>
      <c r="AB34" s="79">
        <v>42</v>
      </c>
      <c r="AC34" s="79" t="str">
        <v/>
      </c>
      <c r="AD34" s="79" t="str">
        <v/>
      </c>
      <c r="AE34" s="40"/>
      <c r="AF34" s="81" t="str">
        <v/>
      </c>
      <c r="AG34" s="82" t="str">
        <v/>
      </c>
      <c r="AH34" s="82" t="str">
        <v/>
      </c>
      <c r="AI34" s="82" t="str">
        <v/>
      </c>
      <c r="AJ34" s="82">
        <v>36</v>
      </c>
      <c r="AK34" s="82">
        <v>37</v>
      </c>
      <c r="AL34" s="82">
        <v>38</v>
      </c>
      <c r="AM34" s="82">
        <v>39</v>
      </c>
      <c r="AN34" s="82">
        <v>40</v>
      </c>
      <c r="AO34" s="82" t="str">
        <v/>
      </c>
      <c r="AP34" s="82" t="str">
        <v/>
      </c>
      <c r="AQ34" s="82" t="str">
        <v/>
      </c>
      <c r="AR34" s="82" t="str">
        <v/>
      </c>
      <c r="AS34" s="40"/>
      <c r="AT34" s="84">
        <v>77</v>
      </c>
      <c r="AU34" s="85">
        <v>78</v>
      </c>
      <c r="AV34" s="85">
        <v>79</v>
      </c>
      <c r="AW34" s="85">
        <v>80</v>
      </c>
      <c r="AX34" s="85">
        <v>81</v>
      </c>
      <c r="AY34" s="85">
        <v>82</v>
      </c>
      <c r="AZ34" s="85">
        <v>83</v>
      </c>
      <c r="BB34" s="40"/>
    </row>
    <row r="35" spans="2:54" ht="14">
      <c r="B35" s="32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43"/>
      <c r="R35" s="78" t="str">
        <v/>
      </c>
      <c r="S35" s="79">
        <v>48</v>
      </c>
      <c r="T35" s="79">
        <v>49</v>
      </c>
      <c r="U35" s="79">
        <v>50</v>
      </c>
      <c r="V35" s="79">
        <v>51</v>
      </c>
      <c r="W35" s="79">
        <v>52</v>
      </c>
      <c r="X35" s="79">
        <v>53</v>
      </c>
      <c r="Y35" s="79">
        <v>54</v>
      </c>
      <c r="Z35" s="79">
        <v>55</v>
      </c>
      <c r="AA35" s="79">
        <v>56</v>
      </c>
      <c r="AB35" s="79">
        <v>57</v>
      </c>
      <c r="AC35" s="79">
        <v>58</v>
      </c>
      <c r="AD35" s="79" t="str">
        <v/>
      </c>
      <c r="AE35" s="40"/>
      <c r="AF35" s="81" t="str">
        <v/>
      </c>
      <c r="AG35" s="82" t="str">
        <v/>
      </c>
      <c r="AH35" s="82" t="str">
        <v/>
      </c>
      <c r="AI35" s="82">
        <v>50</v>
      </c>
      <c r="AJ35" s="82">
        <v>51</v>
      </c>
      <c r="AK35" s="82">
        <v>52</v>
      </c>
      <c r="AL35" s="82">
        <v>53</v>
      </c>
      <c r="AM35" s="82">
        <v>54</v>
      </c>
      <c r="AN35" s="82">
        <v>55</v>
      </c>
      <c r="AO35" s="82">
        <v>56</v>
      </c>
      <c r="AP35" s="82" t="str">
        <v/>
      </c>
      <c r="AQ35" s="82" t="str">
        <v/>
      </c>
      <c r="AR35" s="82" t="str">
        <v/>
      </c>
      <c r="AS35" s="40"/>
      <c r="AT35" s="84">
        <v>92</v>
      </c>
      <c r="AU35" s="85">
        <v>93</v>
      </c>
      <c r="AV35" s="85">
        <v>94</v>
      </c>
      <c r="AW35" s="86">
        <v>95</v>
      </c>
      <c r="AX35" s="85">
        <v>96</v>
      </c>
      <c r="AY35" s="85">
        <v>97</v>
      </c>
      <c r="AZ35" s="85">
        <v>98</v>
      </c>
      <c r="BB35" s="40"/>
    </row>
    <row r="36" spans="2:54" ht="14">
      <c r="R36" s="78" t="str">
        <v/>
      </c>
      <c r="S36" s="79">
        <v>63</v>
      </c>
      <c r="T36" s="79">
        <v>64</v>
      </c>
      <c r="U36" s="79">
        <v>65</v>
      </c>
      <c r="V36" s="79">
        <v>66</v>
      </c>
      <c r="W36" s="79">
        <v>67</v>
      </c>
      <c r="X36" s="79">
        <v>68</v>
      </c>
      <c r="Y36" s="79">
        <v>69</v>
      </c>
      <c r="Z36" s="79">
        <v>70</v>
      </c>
      <c r="AA36" s="79">
        <v>71</v>
      </c>
      <c r="AB36" s="79">
        <v>72</v>
      </c>
      <c r="AC36" s="79">
        <v>73</v>
      </c>
      <c r="AD36" s="79" t="str">
        <v/>
      </c>
      <c r="AE36" s="40"/>
      <c r="AF36" s="81" t="str">
        <v/>
      </c>
      <c r="AG36" s="82" t="str">
        <v/>
      </c>
      <c r="AH36" s="82">
        <v>64</v>
      </c>
      <c r="AI36" s="82">
        <v>65</v>
      </c>
      <c r="AJ36" s="82">
        <v>66</v>
      </c>
      <c r="AK36" s="82">
        <v>67</v>
      </c>
      <c r="AL36" s="82">
        <v>68</v>
      </c>
      <c r="AM36" s="82">
        <v>69</v>
      </c>
      <c r="AN36" s="82">
        <v>70</v>
      </c>
      <c r="AO36" s="82">
        <v>71</v>
      </c>
      <c r="AP36" s="82">
        <v>72</v>
      </c>
      <c r="AQ36" s="82" t="str">
        <v/>
      </c>
      <c r="AR36" s="82" t="str">
        <v/>
      </c>
      <c r="AS36" s="40"/>
      <c r="AT36" s="84">
        <v>107</v>
      </c>
      <c r="AU36" s="85">
        <v>108</v>
      </c>
      <c r="AV36" s="85">
        <v>109</v>
      </c>
      <c r="AW36" s="85">
        <v>110</v>
      </c>
      <c r="AX36" s="85">
        <v>111</v>
      </c>
      <c r="AY36" s="85">
        <v>112</v>
      </c>
      <c r="AZ36" s="85">
        <v>113</v>
      </c>
      <c r="BB36" s="40"/>
    </row>
    <row r="37" spans="2:54" ht="14">
      <c r="R37" s="78" t="str">
        <v/>
      </c>
      <c r="S37" s="79">
        <v>78</v>
      </c>
      <c r="T37" s="79">
        <v>79</v>
      </c>
      <c r="U37" s="79">
        <v>80</v>
      </c>
      <c r="V37" s="79">
        <v>81</v>
      </c>
      <c r="W37" s="79">
        <v>82</v>
      </c>
      <c r="X37" s="79">
        <v>83</v>
      </c>
      <c r="Y37" s="79">
        <v>84</v>
      </c>
      <c r="Z37" s="79">
        <v>85</v>
      </c>
      <c r="AA37" s="79">
        <v>86</v>
      </c>
      <c r="AB37" s="79">
        <v>87</v>
      </c>
      <c r="AC37" s="79">
        <v>88</v>
      </c>
      <c r="AD37" s="79" t="str">
        <v/>
      </c>
      <c r="AE37" s="40"/>
      <c r="AF37" s="81" t="str">
        <v/>
      </c>
      <c r="AG37" s="82">
        <v>78</v>
      </c>
      <c r="AH37" s="82">
        <v>79</v>
      </c>
      <c r="AI37" s="82">
        <v>80</v>
      </c>
      <c r="AJ37" s="82">
        <v>81</v>
      </c>
      <c r="AK37" s="82">
        <v>82</v>
      </c>
      <c r="AL37" s="82">
        <v>83</v>
      </c>
      <c r="AM37" s="82">
        <v>84</v>
      </c>
      <c r="AN37" s="82">
        <v>85</v>
      </c>
      <c r="AO37" s="82">
        <v>86</v>
      </c>
      <c r="AP37" s="82">
        <v>87</v>
      </c>
      <c r="AQ37" s="82">
        <v>88</v>
      </c>
      <c r="AR37" s="82" t="str">
        <v/>
      </c>
      <c r="AS37" s="40"/>
      <c r="AT37" s="84">
        <v>122</v>
      </c>
      <c r="AU37" s="85">
        <v>123</v>
      </c>
      <c r="AV37" s="85">
        <v>124</v>
      </c>
      <c r="AW37" s="85">
        <v>125</v>
      </c>
      <c r="AX37" s="85">
        <v>126</v>
      </c>
      <c r="AY37" s="85">
        <v>127</v>
      </c>
      <c r="AZ37" s="85">
        <v>128</v>
      </c>
      <c r="BB37" s="40"/>
    </row>
    <row r="38" spans="2:54" ht="14">
      <c r="R38" s="78">
        <v>92</v>
      </c>
      <c r="S38" s="79">
        <v>93</v>
      </c>
      <c r="T38" s="79">
        <v>94</v>
      </c>
      <c r="U38" s="79">
        <v>95</v>
      </c>
      <c r="V38" s="79">
        <v>96</v>
      </c>
      <c r="W38" s="79">
        <v>97</v>
      </c>
      <c r="X38" s="80">
        <v>98</v>
      </c>
      <c r="Y38" s="79">
        <v>99</v>
      </c>
      <c r="Z38" s="79">
        <v>100</v>
      </c>
      <c r="AA38" s="79">
        <v>101</v>
      </c>
      <c r="AB38" s="79">
        <v>102</v>
      </c>
      <c r="AC38" s="79">
        <v>103</v>
      </c>
      <c r="AD38" s="79">
        <v>104</v>
      </c>
      <c r="AE38" s="40"/>
      <c r="AF38" s="81">
        <v>92</v>
      </c>
      <c r="AG38" s="82">
        <v>93</v>
      </c>
      <c r="AH38" s="82">
        <v>94</v>
      </c>
      <c r="AI38" s="82">
        <v>95</v>
      </c>
      <c r="AJ38" s="82">
        <v>96</v>
      </c>
      <c r="AK38" s="82">
        <v>97</v>
      </c>
      <c r="AL38" s="83">
        <v>98</v>
      </c>
      <c r="AM38" s="82">
        <v>99</v>
      </c>
      <c r="AN38" s="82">
        <v>100</v>
      </c>
      <c r="AO38" s="82">
        <v>101</v>
      </c>
      <c r="AP38" s="82">
        <v>102</v>
      </c>
      <c r="AQ38" s="82">
        <v>103</v>
      </c>
      <c r="AR38" s="82">
        <v>104</v>
      </c>
      <c r="AS38" s="40"/>
      <c r="AT38" s="84">
        <v>137</v>
      </c>
      <c r="AU38" s="85">
        <v>138</v>
      </c>
      <c r="AV38" s="85">
        <v>139</v>
      </c>
      <c r="AW38" s="85">
        <v>140</v>
      </c>
      <c r="AX38" s="85">
        <v>141</v>
      </c>
      <c r="AY38" s="85">
        <v>142</v>
      </c>
      <c r="AZ38" s="85">
        <v>143</v>
      </c>
      <c r="BB38" s="40"/>
    </row>
    <row r="39" spans="2:54" ht="14">
      <c r="R39" s="78" t="str">
        <v/>
      </c>
      <c r="S39" s="79">
        <v>108</v>
      </c>
      <c r="T39" s="79">
        <v>109</v>
      </c>
      <c r="U39" s="79">
        <v>110</v>
      </c>
      <c r="V39" s="79">
        <v>111</v>
      </c>
      <c r="W39" s="79">
        <v>112</v>
      </c>
      <c r="X39" s="79">
        <v>113</v>
      </c>
      <c r="Y39" s="79">
        <v>114</v>
      </c>
      <c r="Z39" s="79">
        <v>115</v>
      </c>
      <c r="AA39" s="79">
        <v>116</v>
      </c>
      <c r="AB39" s="79">
        <v>117</v>
      </c>
      <c r="AC39" s="79">
        <v>118</v>
      </c>
      <c r="AD39" s="79" t="str">
        <v/>
      </c>
      <c r="AE39" s="40"/>
      <c r="AF39" s="81" t="str">
        <v/>
      </c>
      <c r="AG39" s="82">
        <v>108</v>
      </c>
      <c r="AH39" s="82">
        <v>109</v>
      </c>
      <c r="AI39" s="82">
        <v>110</v>
      </c>
      <c r="AJ39" s="82">
        <v>111</v>
      </c>
      <c r="AK39" s="82">
        <v>112</v>
      </c>
      <c r="AL39" s="82">
        <v>113</v>
      </c>
      <c r="AM39" s="82">
        <v>114</v>
      </c>
      <c r="AN39" s="82">
        <v>115</v>
      </c>
      <c r="AO39" s="82">
        <v>116</v>
      </c>
      <c r="AP39" s="82">
        <v>117</v>
      </c>
      <c r="AQ39" s="82">
        <v>118</v>
      </c>
      <c r="AR39" s="82" t="str">
        <v/>
      </c>
      <c r="AS39" s="40"/>
      <c r="AT39" s="31"/>
      <c r="BB39" s="40"/>
    </row>
    <row r="40" spans="2:54" ht="14">
      <c r="R40" s="78" t="str">
        <v/>
      </c>
      <c r="S40" s="79">
        <v>123</v>
      </c>
      <c r="T40" s="79">
        <v>124</v>
      </c>
      <c r="U40" s="79">
        <v>125</v>
      </c>
      <c r="V40" s="79">
        <v>126</v>
      </c>
      <c r="W40" s="79">
        <v>127</v>
      </c>
      <c r="X40" s="79">
        <v>128</v>
      </c>
      <c r="Y40" s="79">
        <v>129</v>
      </c>
      <c r="Z40" s="79">
        <v>130</v>
      </c>
      <c r="AA40" s="79">
        <v>131</v>
      </c>
      <c r="AB40" s="79">
        <v>132</v>
      </c>
      <c r="AC40" s="79">
        <v>133</v>
      </c>
      <c r="AD40" s="79" t="str">
        <v/>
      </c>
      <c r="AE40" s="40"/>
      <c r="AF40" s="81" t="str">
        <v/>
      </c>
      <c r="AG40" s="82" t="str">
        <v/>
      </c>
      <c r="AH40" s="82">
        <v>124</v>
      </c>
      <c r="AI40" s="82">
        <v>125</v>
      </c>
      <c r="AJ40" s="82">
        <v>126</v>
      </c>
      <c r="AK40" s="82">
        <v>127</v>
      </c>
      <c r="AL40" s="82">
        <v>128</v>
      </c>
      <c r="AM40" s="82">
        <v>129</v>
      </c>
      <c r="AN40" s="82">
        <v>130</v>
      </c>
      <c r="AO40" s="82">
        <v>131</v>
      </c>
      <c r="AP40" s="82">
        <v>132</v>
      </c>
      <c r="AQ40" s="82" t="str">
        <v/>
      </c>
      <c r="AR40" s="82" t="str">
        <v/>
      </c>
      <c r="AS40" s="40"/>
      <c r="AT40" s="31"/>
      <c r="BB40" s="40"/>
    </row>
    <row r="41" spans="2:54" ht="14">
      <c r="R41" s="78" t="str">
        <v/>
      </c>
      <c r="S41" s="79">
        <v>138</v>
      </c>
      <c r="T41" s="79">
        <v>139</v>
      </c>
      <c r="U41" s="79">
        <v>140</v>
      </c>
      <c r="V41" s="79">
        <v>141</v>
      </c>
      <c r="W41" s="79">
        <v>142</v>
      </c>
      <c r="X41" s="79">
        <v>143</v>
      </c>
      <c r="Y41" s="79">
        <v>144</v>
      </c>
      <c r="Z41" s="79">
        <v>145</v>
      </c>
      <c r="AA41" s="79">
        <v>146</v>
      </c>
      <c r="AB41" s="79">
        <v>147</v>
      </c>
      <c r="AC41" s="79">
        <v>148</v>
      </c>
      <c r="AD41" s="79" t="str">
        <v/>
      </c>
      <c r="AE41" s="40"/>
      <c r="AF41" s="81" t="str">
        <v/>
      </c>
      <c r="AG41" s="82" t="str">
        <v/>
      </c>
      <c r="AH41" s="82" t="str">
        <v/>
      </c>
      <c r="AI41" s="82">
        <v>140</v>
      </c>
      <c r="AJ41" s="82">
        <v>141</v>
      </c>
      <c r="AK41" s="82">
        <v>142</v>
      </c>
      <c r="AL41" s="82">
        <v>143</v>
      </c>
      <c r="AM41" s="82">
        <v>144</v>
      </c>
      <c r="AN41" s="82">
        <v>145</v>
      </c>
      <c r="AO41" s="82">
        <v>146</v>
      </c>
      <c r="AP41" s="82" t="str">
        <v/>
      </c>
      <c r="AQ41" s="82" t="str">
        <v/>
      </c>
      <c r="AR41" s="82" t="str">
        <v/>
      </c>
      <c r="AS41" s="40"/>
      <c r="AT41" s="31"/>
      <c r="BB41" s="40"/>
    </row>
    <row r="42" spans="2:54" ht="14">
      <c r="R42" s="78" t="str">
        <v/>
      </c>
      <c r="S42" s="79" t="str">
        <v/>
      </c>
      <c r="T42" s="79">
        <v>154</v>
      </c>
      <c r="U42" s="79">
        <v>155</v>
      </c>
      <c r="V42" s="79">
        <v>156</v>
      </c>
      <c r="W42" s="79">
        <v>157</v>
      </c>
      <c r="X42" s="79">
        <v>158</v>
      </c>
      <c r="Y42" s="79">
        <v>159</v>
      </c>
      <c r="Z42" s="79">
        <v>160</v>
      </c>
      <c r="AA42" s="79">
        <v>161</v>
      </c>
      <c r="AB42" s="79">
        <v>162</v>
      </c>
      <c r="AC42" s="79" t="str">
        <v/>
      </c>
      <c r="AD42" s="79" t="str">
        <v/>
      </c>
      <c r="AE42" s="40"/>
      <c r="AF42" s="81" t="str">
        <v/>
      </c>
      <c r="AG42" s="82" t="str">
        <v/>
      </c>
      <c r="AH42" s="82" t="str">
        <v/>
      </c>
      <c r="AI42" s="82" t="str">
        <v/>
      </c>
      <c r="AJ42" s="82">
        <v>156</v>
      </c>
      <c r="AK42" s="82">
        <v>157</v>
      </c>
      <c r="AL42" s="82">
        <v>158</v>
      </c>
      <c r="AM42" s="82">
        <v>159</v>
      </c>
      <c r="AN42" s="82">
        <v>160</v>
      </c>
      <c r="AO42" s="82" t="str">
        <v/>
      </c>
      <c r="AP42" s="82" t="str">
        <v/>
      </c>
      <c r="AQ42" s="82" t="str">
        <v/>
      </c>
      <c r="AR42" s="82" t="str">
        <v/>
      </c>
      <c r="AS42" s="40"/>
      <c r="AT42" s="31"/>
      <c r="BB42" s="40"/>
    </row>
    <row r="43" spans="2:54" ht="14">
      <c r="R43" s="78" t="str">
        <v/>
      </c>
      <c r="S43" s="79" t="str">
        <v/>
      </c>
      <c r="T43" s="79" t="str">
        <v/>
      </c>
      <c r="U43" s="79">
        <v>170</v>
      </c>
      <c r="V43" s="79">
        <v>171</v>
      </c>
      <c r="W43" s="79">
        <v>172</v>
      </c>
      <c r="X43" s="79">
        <v>173</v>
      </c>
      <c r="Y43" s="79">
        <v>174</v>
      </c>
      <c r="Z43" s="79">
        <v>175</v>
      </c>
      <c r="AA43" s="79">
        <v>176</v>
      </c>
      <c r="AB43" s="79" t="str">
        <v/>
      </c>
      <c r="AC43" s="79" t="str">
        <v/>
      </c>
      <c r="AD43" s="79" t="str">
        <v/>
      </c>
      <c r="AE43" s="40"/>
      <c r="AF43" s="81" t="str">
        <v/>
      </c>
      <c r="AG43" s="82" t="str">
        <v/>
      </c>
      <c r="AH43" s="82" t="str">
        <v/>
      </c>
      <c r="AI43" s="82" t="str">
        <v/>
      </c>
      <c r="AJ43" s="82" t="str">
        <v/>
      </c>
      <c r="AK43" s="82">
        <v>172</v>
      </c>
      <c r="AL43" s="82">
        <v>173</v>
      </c>
      <c r="AM43" s="82">
        <v>174</v>
      </c>
      <c r="AN43" s="82" t="str">
        <v/>
      </c>
      <c r="AO43" s="82" t="str">
        <v/>
      </c>
      <c r="AP43" s="82" t="str">
        <v/>
      </c>
      <c r="AQ43" s="82" t="str">
        <v/>
      </c>
      <c r="AR43" s="82" t="str">
        <v/>
      </c>
      <c r="AS43" s="40"/>
      <c r="AT43" s="31"/>
      <c r="BB43" s="40"/>
    </row>
    <row r="44" spans="2:54" ht="14">
      <c r="R44" s="78" t="str">
        <v/>
      </c>
      <c r="S44" s="79" t="str">
        <v/>
      </c>
      <c r="T44" s="79" t="str">
        <v/>
      </c>
      <c r="U44" s="79" t="str">
        <v/>
      </c>
      <c r="V44" s="79" t="str">
        <v/>
      </c>
      <c r="W44" s="79" t="str">
        <v/>
      </c>
      <c r="X44" s="79">
        <v>188</v>
      </c>
      <c r="Y44" s="79" t="str">
        <v/>
      </c>
      <c r="Z44" s="79" t="str">
        <v/>
      </c>
      <c r="AA44" s="79" t="str">
        <v/>
      </c>
      <c r="AB44" s="79" t="str">
        <v/>
      </c>
      <c r="AC44" s="79" t="str">
        <v/>
      </c>
      <c r="AD44" s="79" t="str">
        <v/>
      </c>
      <c r="AE44" s="40"/>
      <c r="AF44" s="81" t="str">
        <v/>
      </c>
      <c r="AG44" s="82" t="str">
        <v/>
      </c>
      <c r="AH44" s="82" t="str">
        <v/>
      </c>
      <c r="AI44" s="82" t="str">
        <v/>
      </c>
      <c r="AJ44" s="82" t="str">
        <v/>
      </c>
      <c r="AK44" s="82" t="str">
        <v/>
      </c>
      <c r="AL44" s="82">
        <v>188</v>
      </c>
      <c r="AM44" s="82" t="str">
        <v/>
      </c>
      <c r="AN44" s="82" t="str">
        <v/>
      </c>
      <c r="AO44" s="82" t="str">
        <v/>
      </c>
      <c r="AP44" s="82" t="str">
        <v/>
      </c>
      <c r="AQ44" s="82" t="str">
        <v/>
      </c>
      <c r="AR44" s="82" t="str">
        <v/>
      </c>
      <c r="AS44" s="40"/>
      <c r="AT44" s="31"/>
      <c r="BB44" s="40"/>
    </row>
    <row r="45" spans="2:54">
      <c r="R45" s="32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43"/>
      <c r="AF45" s="32"/>
      <c r="AG45" s="34"/>
      <c r="AH45" s="34"/>
      <c r="AI45" s="34"/>
      <c r="AJ45" s="34"/>
      <c r="AK45" s="34"/>
      <c r="AL45" s="34"/>
      <c r="AM45" s="34"/>
      <c r="AN45" s="34"/>
      <c r="AO45" s="34"/>
      <c r="AP45" s="34"/>
      <c r="AQ45" s="34"/>
      <c r="AR45" s="34"/>
      <c r="AS45" s="35"/>
      <c r="AT45" s="32"/>
      <c r="AU45" s="33"/>
      <c r="AV45" s="33"/>
      <c r="AW45" s="33"/>
      <c r="AX45" s="33"/>
      <c r="AY45" s="33"/>
      <c r="AZ45" s="33"/>
      <c r="BA45" s="33"/>
      <c r="BB45" s="4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E112F-03EA-4D6D-A9DD-C8E923741759}">
  <sheetPr>
    <tabColor theme="3" tint="0.89999084444715716"/>
  </sheetPr>
  <dimension ref="B2:AI42"/>
  <sheetViews>
    <sheetView workbookViewId="0"/>
  </sheetViews>
  <sheetFormatPr defaultRowHeight="12.5"/>
  <cols>
    <col min="1" max="1" width="5" style="20" customWidth="1"/>
    <col min="2" max="2" width="3.5" style="20" customWidth="1"/>
    <col min="3" max="12" width="3.5" style="20" bestFit="1" customWidth="1"/>
    <col min="13" max="13" width="4.6640625" style="20" customWidth="1"/>
    <col min="14" max="14" width="8.6640625" style="20"/>
    <col min="15" max="15" width="4.25" style="20" customWidth="1"/>
    <col min="16" max="29" width="3.5" style="20" bestFit="1" customWidth="1"/>
    <col min="30" max="30" width="3.9140625" style="20" customWidth="1"/>
    <col min="31" max="45" width="3.5" style="20" bestFit="1" customWidth="1"/>
    <col min="46" max="16384" width="8.6640625" style="20"/>
  </cols>
  <sheetData>
    <row r="2" spans="2:35" ht="15">
      <c r="B2" s="107" t="s">
        <v>81</v>
      </c>
    </row>
    <row r="4" spans="2:35" ht="15">
      <c r="O4" s="63"/>
      <c r="P4" s="64"/>
      <c r="Q4" s="26" t="s">
        <v>62</v>
      </c>
      <c r="R4" s="64"/>
      <c r="S4" s="64"/>
      <c r="T4" s="64"/>
      <c r="U4" s="64"/>
      <c r="V4" s="64"/>
      <c r="W4" s="64"/>
      <c r="X4" s="64"/>
      <c r="Y4" s="64"/>
      <c r="Z4" s="64"/>
      <c r="AA4" s="25"/>
      <c r="AB4" s="25"/>
      <c r="AC4" s="25"/>
      <c r="AD4" s="25"/>
      <c r="AE4" s="25"/>
      <c r="AF4" s="25"/>
      <c r="AG4" s="25"/>
      <c r="AH4" s="25"/>
      <c r="AI4" s="37"/>
    </row>
    <row r="5" spans="2:35" ht="15">
      <c r="B5" s="23" t="s">
        <v>75</v>
      </c>
      <c r="O5" s="44" t="s">
        <v>76</v>
      </c>
      <c r="P5" s="65"/>
      <c r="Q5" s="65"/>
      <c r="R5" s="65"/>
      <c r="S5" s="65"/>
      <c r="T5" s="65"/>
      <c r="U5" s="65"/>
      <c r="V5" s="65"/>
      <c r="W5" s="65"/>
      <c r="X5" s="65"/>
      <c r="Y5" s="65"/>
      <c r="Z5" s="23" t="s">
        <v>77</v>
      </c>
      <c r="AI5" s="40"/>
    </row>
    <row r="6" spans="2:35" ht="14">
      <c r="B6" s="87">
        <v>1</v>
      </c>
      <c r="C6" s="87">
        <v>2</v>
      </c>
      <c r="D6" s="87">
        <v>3</v>
      </c>
      <c r="E6" s="87">
        <v>4</v>
      </c>
      <c r="F6" s="87">
        <v>5</v>
      </c>
      <c r="G6" s="87">
        <v>6</v>
      </c>
      <c r="H6" s="87">
        <v>7</v>
      </c>
      <c r="I6" s="87">
        <v>8</v>
      </c>
      <c r="J6" s="87">
        <v>9</v>
      </c>
      <c r="K6" s="87">
        <v>10</v>
      </c>
      <c r="L6" s="19"/>
      <c r="M6" s="19"/>
      <c r="O6" s="88" cm="1">
        <f t="array" ref="O6:X15">Pyramidλ(SeqGrid,1)</f>
        <v>1</v>
      </c>
      <c r="P6" s="89">
        <v>2</v>
      </c>
      <c r="Q6" s="89">
        <v>3</v>
      </c>
      <c r="R6" s="89">
        <v>4</v>
      </c>
      <c r="S6" s="89">
        <v>5</v>
      </c>
      <c r="T6" s="89">
        <v>6</v>
      </c>
      <c r="U6" s="89">
        <v>7</v>
      </c>
      <c r="V6" s="89">
        <v>8</v>
      </c>
      <c r="W6" s="89">
        <v>9</v>
      </c>
      <c r="X6" s="89">
        <v>10</v>
      </c>
      <c r="Y6" s="21"/>
      <c r="Z6" s="89" t="str" cm="1">
        <f t="array" ref="Z6:AI15">Pyramidλ(SeqGrid,2)</f>
        <v/>
      </c>
      <c r="AA6" s="89" t="str">
        <v/>
      </c>
      <c r="AB6" s="89" t="str">
        <v/>
      </c>
      <c r="AC6" s="89" t="str">
        <v/>
      </c>
      <c r="AD6" s="89" t="str">
        <v/>
      </c>
      <c r="AE6" s="89" t="str">
        <v/>
      </c>
      <c r="AF6" s="89" t="str">
        <v/>
      </c>
      <c r="AG6" s="89" t="str">
        <v/>
      </c>
      <c r="AH6" s="89" t="str">
        <v/>
      </c>
      <c r="AI6" s="90">
        <v>10</v>
      </c>
    </row>
    <row r="7" spans="2:35" ht="14">
      <c r="B7" s="87">
        <v>16</v>
      </c>
      <c r="C7" s="87">
        <v>17</v>
      </c>
      <c r="D7" s="87">
        <v>18</v>
      </c>
      <c r="E7" s="87">
        <v>19</v>
      </c>
      <c r="F7" s="87">
        <v>20</v>
      </c>
      <c r="G7" s="87">
        <v>21</v>
      </c>
      <c r="H7" s="87">
        <v>22</v>
      </c>
      <c r="I7" s="87">
        <v>23</v>
      </c>
      <c r="J7" s="87">
        <v>24</v>
      </c>
      <c r="K7" s="87">
        <v>25</v>
      </c>
      <c r="L7" s="19"/>
      <c r="M7" s="19"/>
      <c r="O7" s="88" t="str">
        <v/>
      </c>
      <c r="P7" s="89">
        <v>17</v>
      </c>
      <c r="Q7" s="89">
        <v>18</v>
      </c>
      <c r="R7" s="89">
        <v>19</v>
      </c>
      <c r="S7" s="89">
        <v>20</v>
      </c>
      <c r="T7" s="89">
        <v>21</v>
      </c>
      <c r="U7" s="89">
        <v>22</v>
      </c>
      <c r="V7" s="89">
        <v>23</v>
      </c>
      <c r="W7" s="89">
        <v>24</v>
      </c>
      <c r="X7" s="89">
        <v>25</v>
      </c>
      <c r="Y7" s="21"/>
      <c r="Z7" s="89" t="str">
        <v/>
      </c>
      <c r="AA7" s="89" t="str">
        <v/>
      </c>
      <c r="AB7" s="89" t="str">
        <v/>
      </c>
      <c r="AC7" s="89" t="str">
        <v/>
      </c>
      <c r="AD7" s="89" t="str">
        <v/>
      </c>
      <c r="AE7" s="89" t="str">
        <v/>
      </c>
      <c r="AF7" s="89" t="str">
        <v/>
      </c>
      <c r="AG7" s="89" t="str">
        <v/>
      </c>
      <c r="AH7" s="89">
        <v>24</v>
      </c>
      <c r="AI7" s="90">
        <v>25</v>
      </c>
    </row>
    <row r="8" spans="2:35" ht="14">
      <c r="B8" s="87">
        <v>31</v>
      </c>
      <c r="C8" s="87">
        <v>32</v>
      </c>
      <c r="D8" s="87">
        <v>33</v>
      </c>
      <c r="E8" s="87">
        <v>34</v>
      </c>
      <c r="F8" s="87">
        <v>35</v>
      </c>
      <c r="G8" s="87">
        <v>36</v>
      </c>
      <c r="H8" s="87">
        <v>37</v>
      </c>
      <c r="I8" s="87">
        <v>38</v>
      </c>
      <c r="J8" s="87">
        <v>39</v>
      </c>
      <c r="K8" s="87">
        <v>40</v>
      </c>
      <c r="L8" s="19"/>
      <c r="M8" s="19"/>
      <c r="O8" s="88" t="str">
        <v/>
      </c>
      <c r="P8" s="89" t="str">
        <v/>
      </c>
      <c r="Q8" s="89">
        <v>33</v>
      </c>
      <c r="R8" s="89">
        <v>34</v>
      </c>
      <c r="S8" s="89">
        <v>35</v>
      </c>
      <c r="T8" s="89">
        <v>36</v>
      </c>
      <c r="U8" s="89">
        <v>37</v>
      </c>
      <c r="V8" s="89">
        <v>38</v>
      </c>
      <c r="W8" s="89">
        <v>39</v>
      </c>
      <c r="X8" s="89">
        <v>40</v>
      </c>
      <c r="Y8" s="21"/>
      <c r="Z8" s="89" t="str">
        <v/>
      </c>
      <c r="AA8" s="89" t="str">
        <v/>
      </c>
      <c r="AB8" s="89" t="str">
        <v/>
      </c>
      <c r="AC8" s="89" t="str">
        <v/>
      </c>
      <c r="AD8" s="89" t="str">
        <v/>
      </c>
      <c r="AE8" s="89" t="str">
        <v/>
      </c>
      <c r="AF8" s="89" t="str">
        <v/>
      </c>
      <c r="AG8" s="89">
        <v>38</v>
      </c>
      <c r="AH8" s="89">
        <v>39</v>
      </c>
      <c r="AI8" s="90">
        <v>40</v>
      </c>
    </row>
    <row r="9" spans="2:35" ht="14">
      <c r="B9" s="87">
        <v>46</v>
      </c>
      <c r="C9" s="87">
        <v>47</v>
      </c>
      <c r="D9" s="87">
        <v>48</v>
      </c>
      <c r="E9" s="87">
        <v>49</v>
      </c>
      <c r="F9" s="87">
        <v>50</v>
      </c>
      <c r="G9" s="87">
        <v>51</v>
      </c>
      <c r="H9" s="87">
        <v>52</v>
      </c>
      <c r="I9" s="87">
        <v>53</v>
      </c>
      <c r="J9" s="87">
        <v>54</v>
      </c>
      <c r="K9" s="87">
        <v>55</v>
      </c>
      <c r="L9" s="19"/>
      <c r="M9" s="19"/>
      <c r="O9" s="88" t="str">
        <v/>
      </c>
      <c r="P9" s="89" t="str">
        <v/>
      </c>
      <c r="Q9" s="89" t="str">
        <v/>
      </c>
      <c r="R9" s="89">
        <v>49</v>
      </c>
      <c r="S9" s="89">
        <v>50</v>
      </c>
      <c r="T9" s="89">
        <v>51</v>
      </c>
      <c r="U9" s="89">
        <v>52</v>
      </c>
      <c r="V9" s="89">
        <v>53</v>
      </c>
      <c r="W9" s="89">
        <v>54</v>
      </c>
      <c r="X9" s="89">
        <v>55</v>
      </c>
      <c r="Y9" s="21"/>
      <c r="Z9" s="89" t="str">
        <v/>
      </c>
      <c r="AA9" s="89" t="str">
        <v/>
      </c>
      <c r="AB9" s="89" t="str">
        <v/>
      </c>
      <c r="AC9" s="89" t="str">
        <v/>
      </c>
      <c r="AD9" s="89" t="str">
        <v/>
      </c>
      <c r="AE9" s="89" t="str">
        <v/>
      </c>
      <c r="AF9" s="89">
        <v>52</v>
      </c>
      <c r="AG9" s="89">
        <v>53</v>
      </c>
      <c r="AH9" s="89">
        <v>54</v>
      </c>
      <c r="AI9" s="90">
        <v>55</v>
      </c>
    </row>
    <row r="10" spans="2:35" ht="14">
      <c r="B10" s="87">
        <v>61</v>
      </c>
      <c r="C10" s="87">
        <v>62</v>
      </c>
      <c r="D10" s="87">
        <v>63</v>
      </c>
      <c r="E10" s="87">
        <v>64</v>
      </c>
      <c r="F10" s="87">
        <v>65</v>
      </c>
      <c r="G10" s="87">
        <v>66</v>
      </c>
      <c r="H10" s="87">
        <v>67</v>
      </c>
      <c r="I10" s="87">
        <v>68</v>
      </c>
      <c r="J10" s="87">
        <v>69</v>
      </c>
      <c r="K10" s="87">
        <v>70</v>
      </c>
      <c r="L10" s="19"/>
      <c r="M10" s="19"/>
      <c r="O10" s="88" t="str">
        <v/>
      </c>
      <c r="P10" s="89" t="str">
        <v/>
      </c>
      <c r="Q10" s="89" t="str">
        <v/>
      </c>
      <c r="R10" s="89" t="str">
        <v/>
      </c>
      <c r="S10" s="89">
        <v>65</v>
      </c>
      <c r="T10" s="89">
        <v>66</v>
      </c>
      <c r="U10" s="89">
        <v>67</v>
      </c>
      <c r="V10" s="89">
        <v>68</v>
      </c>
      <c r="W10" s="89">
        <v>69</v>
      </c>
      <c r="X10" s="89">
        <v>70</v>
      </c>
      <c r="Y10" s="21"/>
      <c r="Z10" s="89" t="str">
        <v/>
      </c>
      <c r="AA10" s="89" t="str">
        <v/>
      </c>
      <c r="AB10" s="89" t="str">
        <v/>
      </c>
      <c r="AC10" s="89" t="str">
        <v/>
      </c>
      <c r="AD10" s="89" t="str">
        <v/>
      </c>
      <c r="AE10" s="89">
        <v>66</v>
      </c>
      <c r="AF10" s="89">
        <v>67</v>
      </c>
      <c r="AG10" s="89">
        <v>68</v>
      </c>
      <c r="AH10" s="89">
        <v>69</v>
      </c>
      <c r="AI10" s="90">
        <v>70</v>
      </c>
    </row>
    <row r="11" spans="2:35" ht="14">
      <c r="B11" s="87">
        <v>76</v>
      </c>
      <c r="C11" s="87">
        <v>77</v>
      </c>
      <c r="D11" s="87">
        <v>78</v>
      </c>
      <c r="E11" s="87">
        <v>79</v>
      </c>
      <c r="F11" s="87">
        <v>80</v>
      </c>
      <c r="G11" s="87">
        <v>81</v>
      </c>
      <c r="H11" s="87">
        <v>82</v>
      </c>
      <c r="I11" s="87">
        <v>83</v>
      </c>
      <c r="J11" s="87">
        <v>84</v>
      </c>
      <c r="K11" s="87">
        <v>85</v>
      </c>
      <c r="L11" s="19"/>
      <c r="M11" s="19"/>
      <c r="O11" s="88" t="str">
        <v/>
      </c>
      <c r="P11" s="89" t="str">
        <v/>
      </c>
      <c r="Q11" s="89" t="str">
        <v/>
      </c>
      <c r="R11" s="89" t="str">
        <v/>
      </c>
      <c r="S11" s="89" t="str">
        <v/>
      </c>
      <c r="T11" s="89">
        <v>81</v>
      </c>
      <c r="U11" s="89">
        <v>82</v>
      </c>
      <c r="V11" s="89">
        <v>83</v>
      </c>
      <c r="W11" s="89">
        <v>84</v>
      </c>
      <c r="X11" s="89">
        <v>85</v>
      </c>
      <c r="Y11" s="21"/>
      <c r="Z11" s="89" t="str">
        <v/>
      </c>
      <c r="AA11" s="89" t="str">
        <v/>
      </c>
      <c r="AB11" s="89" t="str">
        <v/>
      </c>
      <c r="AC11" s="89" t="str">
        <v/>
      </c>
      <c r="AD11" s="89">
        <v>80</v>
      </c>
      <c r="AE11" s="89">
        <v>81</v>
      </c>
      <c r="AF11" s="89">
        <v>82</v>
      </c>
      <c r="AG11" s="89">
        <v>83</v>
      </c>
      <c r="AH11" s="89">
        <v>84</v>
      </c>
      <c r="AI11" s="90">
        <v>85</v>
      </c>
    </row>
    <row r="12" spans="2:35" ht="14">
      <c r="B12" s="87">
        <v>91</v>
      </c>
      <c r="C12" s="87">
        <v>92</v>
      </c>
      <c r="D12" s="87">
        <v>93</v>
      </c>
      <c r="E12" s="87">
        <v>94</v>
      </c>
      <c r="F12" s="87">
        <v>95</v>
      </c>
      <c r="G12" s="87">
        <v>96</v>
      </c>
      <c r="H12" s="87">
        <v>97</v>
      </c>
      <c r="I12" s="87">
        <v>98</v>
      </c>
      <c r="J12" s="87">
        <v>99</v>
      </c>
      <c r="K12" s="87">
        <v>100</v>
      </c>
      <c r="L12" s="19"/>
      <c r="M12" s="19"/>
      <c r="O12" s="88" t="str">
        <v/>
      </c>
      <c r="P12" s="89" t="str">
        <v/>
      </c>
      <c r="Q12" s="89" t="str">
        <v/>
      </c>
      <c r="R12" s="89" t="str">
        <v/>
      </c>
      <c r="S12" s="89" t="str">
        <v/>
      </c>
      <c r="T12" s="89" t="str">
        <v/>
      </c>
      <c r="U12" s="89">
        <v>97</v>
      </c>
      <c r="V12" s="89">
        <v>98</v>
      </c>
      <c r="W12" s="89">
        <v>99</v>
      </c>
      <c r="X12" s="89">
        <v>100</v>
      </c>
      <c r="Y12" s="21"/>
      <c r="Z12" s="89" t="str">
        <v/>
      </c>
      <c r="AA12" s="89" t="str">
        <v/>
      </c>
      <c r="AB12" s="89" t="str">
        <v/>
      </c>
      <c r="AC12" s="89">
        <v>94</v>
      </c>
      <c r="AD12" s="89">
        <v>95</v>
      </c>
      <c r="AE12" s="89">
        <v>96</v>
      </c>
      <c r="AF12" s="89">
        <v>97</v>
      </c>
      <c r="AG12" s="89">
        <v>98</v>
      </c>
      <c r="AH12" s="89">
        <v>99</v>
      </c>
      <c r="AI12" s="90">
        <v>100</v>
      </c>
    </row>
    <row r="13" spans="2:35" ht="14">
      <c r="B13" s="87">
        <v>106</v>
      </c>
      <c r="C13" s="87">
        <v>107</v>
      </c>
      <c r="D13" s="87">
        <v>108</v>
      </c>
      <c r="E13" s="87">
        <v>109</v>
      </c>
      <c r="F13" s="87">
        <v>110</v>
      </c>
      <c r="G13" s="87">
        <v>111</v>
      </c>
      <c r="H13" s="87">
        <v>112</v>
      </c>
      <c r="I13" s="87">
        <v>113</v>
      </c>
      <c r="J13" s="87">
        <v>114</v>
      </c>
      <c r="K13" s="87">
        <v>115</v>
      </c>
      <c r="L13" s="19"/>
      <c r="M13" s="19"/>
      <c r="O13" s="88" t="str">
        <v/>
      </c>
      <c r="P13" s="89" t="str">
        <v/>
      </c>
      <c r="Q13" s="89" t="str">
        <v/>
      </c>
      <c r="R13" s="89" t="str">
        <v/>
      </c>
      <c r="S13" s="89" t="str">
        <v/>
      </c>
      <c r="T13" s="89" t="str">
        <v/>
      </c>
      <c r="U13" s="89" t="str">
        <v/>
      </c>
      <c r="V13" s="89">
        <v>113</v>
      </c>
      <c r="W13" s="89">
        <v>114</v>
      </c>
      <c r="X13" s="89">
        <v>115</v>
      </c>
      <c r="Y13" s="21"/>
      <c r="Z13" s="89" t="str">
        <v/>
      </c>
      <c r="AA13" s="89" t="str">
        <v/>
      </c>
      <c r="AB13" s="89">
        <v>108</v>
      </c>
      <c r="AC13" s="89">
        <v>109</v>
      </c>
      <c r="AD13" s="89">
        <v>110</v>
      </c>
      <c r="AE13" s="89">
        <v>111</v>
      </c>
      <c r="AF13" s="89">
        <v>112</v>
      </c>
      <c r="AG13" s="89">
        <v>113</v>
      </c>
      <c r="AH13" s="89">
        <v>114</v>
      </c>
      <c r="AI13" s="90">
        <v>115</v>
      </c>
    </row>
    <row r="14" spans="2:35" ht="14">
      <c r="B14" s="87">
        <v>121</v>
      </c>
      <c r="C14" s="87">
        <v>122</v>
      </c>
      <c r="D14" s="87">
        <v>123</v>
      </c>
      <c r="E14" s="87">
        <v>124</v>
      </c>
      <c r="F14" s="87">
        <v>125</v>
      </c>
      <c r="G14" s="87">
        <v>126</v>
      </c>
      <c r="H14" s="87">
        <v>127</v>
      </c>
      <c r="I14" s="87">
        <v>128</v>
      </c>
      <c r="J14" s="87">
        <v>129</v>
      </c>
      <c r="K14" s="87">
        <v>130</v>
      </c>
      <c r="L14" s="19"/>
      <c r="M14" s="19"/>
      <c r="O14" s="88" t="str">
        <v/>
      </c>
      <c r="P14" s="89" t="str">
        <v/>
      </c>
      <c r="Q14" s="89" t="str">
        <v/>
      </c>
      <c r="R14" s="89" t="str">
        <v/>
      </c>
      <c r="S14" s="89" t="str">
        <v/>
      </c>
      <c r="T14" s="89" t="str">
        <v/>
      </c>
      <c r="U14" s="89" t="str">
        <v/>
      </c>
      <c r="V14" s="89" t="str">
        <v/>
      </c>
      <c r="W14" s="89">
        <v>129</v>
      </c>
      <c r="X14" s="89">
        <v>130</v>
      </c>
      <c r="Y14" s="21"/>
      <c r="Z14" s="89" t="str">
        <v/>
      </c>
      <c r="AA14" s="89">
        <v>122</v>
      </c>
      <c r="AB14" s="89">
        <v>123</v>
      </c>
      <c r="AC14" s="89">
        <v>124</v>
      </c>
      <c r="AD14" s="89">
        <v>125</v>
      </c>
      <c r="AE14" s="89">
        <v>126</v>
      </c>
      <c r="AF14" s="89">
        <v>127</v>
      </c>
      <c r="AG14" s="89">
        <v>128</v>
      </c>
      <c r="AH14" s="89">
        <v>129</v>
      </c>
      <c r="AI14" s="90">
        <v>130</v>
      </c>
    </row>
    <row r="15" spans="2:35" ht="14">
      <c r="B15" s="87">
        <v>136</v>
      </c>
      <c r="C15" s="87">
        <v>137</v>
      </c>
      <c r="D15" s="87">
        <v>138</v>
      </c>
      <c r="E15" s="87">
        <v>139</v>
      </c>
      <c r="F15" s="87">
        <v>140</v>
      </c>
      <c r="G15" s="87">
        <v>141</v>
      </c>
      <c r="H15" s="87">
        <v>142</v>
      </c>
      <c r="I15" s="87">
        <v>143</v>
      </c>
      <c r="J15" s="87">
        <v>144</v>
      </c>
      <c r="K15" s="87">
        <v>145</v>
      </c>
      <c r="L15" s="19"/>
      <c r="M15" s="19"/>
      <c r="O15" s="88" t="str">
        <v/>
      </c>
      <c r="P15" s="89" t="str">
        <v/>
      </c>
      <c r="Q15" s="89" t="str">
        <v/>
      </c>
      <c r="R15" s="89" t="str">
        <v/>
      </c>
      <c r="S15" s="89" t="str">
        <v/>
      </c>
      <c r="T15" s="89" t="str">
        <v/>
      </c>
      <c r="U15" s="89" t="str">
        <v/>
      </c>
      <c r="V15" s="89" t="str">
        <v/>
      </c>
      <c r="W15" s="89" t="str">
        <v/>
      </c>
      <c r="X15" s="89">
        <v>145</v>
      </c>
      <c r="Y15" s="21"/>
      <c r="Z15" s="89">
        <v>136</v>
      </c>
      <c r="AA15" s="89">
        <v>137</v>
      </c>
      <c r="AB15" s="89">
        <v>138</v>
      </c>
      <c r="AC15" s="89">
        <v>139</v>
      </c>
      <c r="AD15" s="89">
        <v>140</v>
      </c>
      <c r="AE15" s="89">
        <v>141</v>
      </c>
      <c r="AF15" s="89">
        <v>142</v>
      </c>
      <c r="AG15" s="89">
        <v>143</v>
      </c>
      <c r="AH15" s="89">
        <v>144</v>
      </c>
      <c r="AI15" s="90">
        <v>145</v>
      </c>
    </row>
    <row r="16" spans="2:35" ht="14"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O16" s="4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30"/>
    </row>
    <row r="17" spans="2:35" ht="15">
      <c r="B17" s="66" t="s">
        <v>63</v>
      </c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37"/>
      <c r="O17" s="23" t="s">
        <v>78</v>
      </c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3" t="s">
        <v>79</v>
      </c>
      <c r="AA17" s="21"/>
      <c r="AB17" s="21"/>
      <c r="AC17" s="21"/>
      <c r="AD17" s="21"/>
      <c r="AE17" s="21"/>
      <c r="AF17" s="21"/>
      <c r="AG17" s="21"/>
      <c r="AH17" s="21"/>
      <c r="AI17" s="30"/>
    </row>
    <row r="18" spans="2:35" ht="15">
      <c r="B18" s="44" t="s">
        <v>65</v>
      </c>
      <c r="M18" s="40"/>
      <c r="O18" s="88" cm="1">
        <f t="array" ref="O18:X27">Pyramidλ(SeqGrid,3)</f>
        <v>1</v>
      </c>
      <c r="P18" s="89" t="str">
        <v/>
      </c>
      <c r="Q18" s="89" t="str">
        <v/>
      </c>
      <c r="R18" s="89" t="str">
        <v/>
      </c>
      <c r="S18" s="89" t="str">
        <v/>
      </c>
      <c r="T18" s="89" t="str">
        <v/>
      </c>
      <c r="U18" s="89" t="str">
        <v/>
      </c>
      <c r="V18" s="89" t="str">
        <v/>
      </c>
      <c r="W18" s="89" t="str">
        <v/>
      </c>
      <c r="X18" s="89" t="str">
        <v/>
      </c>
      <c r="Y18" s="21"/>
      <c r="Z18" s="89" cm="1">
        <f t="array" ref="Z18:AI27">Pyramidλ(SeqGrid,4)</f>
        <v>1</v>
      </c>
      <c r="AA18" s="89">
        <v>2</v>
      </c>
      <c r="AB18" s="89">
        <v>3</v>
      </c>
      <c r="AC18" s="89">
        <v>4</v>
      </c>
      <c r="AD18" s="89">
        <v>5</v>
      </c>
      <c r="AE18" s="89">
        <v>6</v>
      </c>
      <c r="AF18" s="89">
        <v>7</v>
      </c>
      <c r="AG18" s="89">
        <v>8</v>
      </c>
      <c r="AH18" s="89">
        <v>9</v>
      </c>
      <c r="AI18" s="90">
        <v>10</v>
      </c>
    </row>
    <row r="19" spans="2:35">
      <c r="B19" s="91" t="str" cm="1">
        <f t="array" ref="B19:H25">Diamondλ(SeqGrid,{4,5},3,"")</f>
        <v/>
      </c>
      <c r="C19" s="92" t="str">
        <v/>
      </c>
      <c r="D19" s="92" t="str">
        <v/>
      </c>
      <c r="E19" s="92">
        <v>5</v>
      </c>
      <c r="F19" s="92" t="str">
        <v/>
      </c>
      <c r="G19" s="92" t="str">
        <v/>
      </c>
      <c r="H19" s="92" t="str">
        <v/>
      </c>
      <c r="M19" s="40"/>
      <c r="O19" s="88">
        <v>16</v>
      </c>
      <c r="P19" s="89">
        <v>17</v>
      </c>
      <c r="Q19" s="89" t="str">
        <v/>
      </c>
      <c r="R19" s="89" t="str">
        <v/>
      </c>
      <c r="S19" s="89" t="str">
        <v/>
      </c>
      <c r="T19" s="89" t="str">
        <v/>
      </c>
      <c r="U19" s="89" t="str">
        <v/>
      </c>
      <c r="V19" s="89" t="str">
        <v/>
      </c>
      <c r="W19" s="89" t="str">
        <v/>
      </c>
      <c r="X19" s="89" t="str">
        <v/>
      </c>
      <c r="Y19" s="21"/>
      <c r="Z19" s="89">
        <v>16</v>
      </c>
      <c r="AA19" s="89">
        <v>17</v>
      </c>
      <c r="AB19" s="89">
        <v>18</v>
      </c>
      <c r="AC19" s="89">
        <v>19</v>
      </c>
      <c r="AD19" s="89">
        <v>20</v>
      </c>
      <c r="AE19" s="89">
        <v>21</v>
      </c>
      <c r="AF19" s="89">
        <v>22</v>
      </c>
      <c r="AG19" s="89">
        <v>23</v>
      </c>
      <c r="AH19" s="89">
        <v>24</v>
      </c>
      <c r="AI19" s="90" t="str">
        <v/>
      </c>
    </row>
    <row r="20" spans="2:35">
      <c r="B20" s="91" t="str">
        <v/>
      </c>
      <c r="C20" s="92" t="str">
        <v/>
      </c>
      <c r="D20" s="92">
        <v>19</v>
      </c>
      <c r="E20" s="92">
        <v>20</v>
      </c>
      <c r="F20" s="92">
        <v>21</v>
      </c>
      <c r="G20" s="92" t="str">
        <v/>
      </c>
      <c r="H20" s="92" t="str">
        <v/>
      </c>
      <c r="M20" s="40"/>
      <c r="O20" s="88">
        <v>31</v>
      </c>
      <c r="P20" s="89">
        <v>32</v>
      </c>
      <c r="Q20" s="89">
        <v>33</v>
      </c>
      <c r="R20" s="89" t="str">
        <v/>
      </c>
      <c r="S20" s="89" t="str">
        <v/>
      </c>
      <c r="T20" s="89" t="str">
        <v/>
      </c>
      <c r="U20" s="89" t="str">
        <v/>
      </c>
      <c r="V20" s="89" t="str">
        <v/>
      </c>
      <c r="W20" s="89" t="str">
        <v/>
      </c>
      <c r="X20" s="89" t="str">
        <v/>
      </c>
      <c r="Y20" s="21"/>
      <c r="Z20" s="89">
        <v>31</v>
      </c>
      <c r="AA20" s="89">
        <v>32</v>
      </c>
      <c r="AB20" s="89">
        <v>33</v>
      </c>
      <c r="AC20" s="89">
        <v>34</v>
      </c>
      <c r="AD20" s="89">
        <v>35</v>
      </c>
      <c r="AE20" s="89">
        <v>36</v>
      </c>
      <c r="AF20" s="89">
        <v>37</v>
      </c>
      <c r="AG20" s="89">
        <v>38</v>
      </c>
      <c r="AH20" s="89" t="str">
        <v/>
      </c>
      <c r="AI20" s="90" t="str">
        <v/>
      </c>
    </row>
    <row r="21" spans="2:35">
      <c r="B21" s="91" t="str">
        <v/>
      </c>
      <c r="C21" s="92">
        <v>33</v>
      </c>
      <c r="D21" s="92">
        <v>34</v>
      </c>
      <c r="E21" s="92">
        <v>35</v>
      </c>
      <c r="F21" s="92">
        <v>36</v>
      </c>
      <c r="G21" s="92">
        <v>37</v>
      </c>
      <c r="H21" s="92" t="str">
        <v/>
      </c>
      <c r="M21" s="40"/>
      <c r="O21" s="88">
        <v>46</v>
      </c>
      <c r="P21" s="89">
        <v>47</v>
      </c>
      <c r="Q21" s="89">
        <v>48</v>
      </c>
      <c r="R21" s="89">
        <v>49</v>
      </c>
      <c r="S21" s="89" t="str">
        <v/>
      </c>
      <c r="T21" s="89" t="str">
        <v/>
      </c>
      <c r="U21" s="89" t="str">
        <v/>
      </c>
      <c r="V21" s="89" t="str">
        <v/>
      </c>
      <c r="W21" s="89" t="str">
        <v/>
      </c>
      <c r="X21" s="89" t="str">
        <v/>
      </c>
      <c r="Y21" s="21"/>
      <c r="Z21" s="89">
        <v>46</v>
      </c>
      <c r="AA21" s="89">
        <v>47</v>
      </c>
      <c r="AB21" s="89">
        <v>48</v>
      </c>
      <c r="AC21" s="89">
        <v>49</v>
      </c>
      <c r="AD21" s="89">
        <v>50</v>
      </c>
      <c r="AE21" s="89">
        <v>51</v>
      </c>
      <c r="AF21" s="89">
        <v>52</v>
      </c>
      <c r="AG21" s="89" t="str">
        <v/>
      </c>
      <c r="AH21" s="89" t="str">
        <v/>
      </c>
      <c r="AI21" s="90" t="str">
        <v/>
      </c>
    </row>
    <row r="22" spans="2:35">
      <c r="B22" s="91">
        <v>47</v>
      </c>
      <c r="C22" s="92">
        <v>48</v>
      </c>
      <c r="D22" s="92">
        <v>49</v>
      </c>
      <c r="E22" s="92">
        <v>50</v>
      </c>
      <c r="F22" s="92">
        <v>51</v>
      </c>
      <c r="G22" s="92">
        <v>52</v>
      </c>
      <c r="H22" s="92">
        <v>53</v>
      </c>
      <c r="M22" s="40"/>
      <c r="O22" s="88">
        <v>61</v>
      </c>
      <c r="P22" s="89">
        <v>62</v>
      </c>
      <c r="Q22" s="89">
        <v>63</v>
      </c>
      <c r="R22" s="89">
        <v>64</v>
      </c>
      <c r="S22" s="89">
        <v>65</v>
      </c>
      <c r="T22" s="89" t="str">
        <v/>
      </c>
      <c r="U22" s="89" t="str">
        <v/>
      </c>
      <c r="V22" s="89" t="str">
        <v/>
      </c>
      <c r="W22" s="89" t="str">
        <v/>
      </c>
      <c r="X22" s="89" t="str">
        <v/>
      </c>
      <c r="Y22" s="21"/>
      <c r="Z22" s="89">
        <v>61</v>
      </c>
      <c r="AA22" s="89">
        <v>62</v>
      </c>
      <c r="AB22" s="89">
        <v>63</v>
      </c>
      <c r="AC22" s="89">
        <v>64</v>
      </c>
      <c r="AD22" s="89">
        <v>65</v>
      </c>
      <c r="AE22" s="89">
        <v>66</v>
      </c>
      <c r="AF22" s="89" t="str">
        <v/>
      </c>
      <c r="AG22" s="89" t="str">
        <v/>
      </c>
      <c r="AH22" s="89" t="str">
        <v/>
      </c>
      <c r="AI22" s="90" t="str">
        <v/>
      </c>
    </row>
    <row r="23" spans="2:35">
      <c r="B23" s="91" t="str">
        <v/>
      </c>
      <c r="C23" s="92">
        <v>63</v>
      </c>
      <c r="D23" s="92">
        <v>64</v>
      </c>
      <c r="E23" s="92">
        <v>65</v>
      </c>
      <c r="F23" s="92">
        <v>66</v>
      </c>
      <c r="G23" s="92">
        <v>67</v>
      </c>
      <c r="H23" s="92" t="str">
        <v/>
      </c>
      <c r="M23" s="40"/>
      <c r="O23" s="88">
        <v>76</v>
      </c>
      <c r="P23" s="89">
        <v>77</v>
      </c>
      <c r="Q23" s="89">
        <v>78</v>
      </c>
      <c r="R23" s="89">
        <v>79</v>
      </c>
      <c r="S23" s="89">
        <v>80</v>
      </c>
      <c r="T23" s="89">
        <v>81</v>
      </c>
      <c r="U23" s="89" t="str">
        <v/>
      </c>
      <c r="V23" s="89" t="str">
        <v/>
      </c>
      <c r="W23" s="89" t="str">
        <v/>
      </c>
      <c r="X23" s="89" t="str">
        <v/>
      </c>
      <c r="Y23" s="21"/>
      <c r="Z23" s="89">
        <v>76</v>
      </c>
      <c r="AA23" s="89">
        <v>77</v>
      </c>
      <c r="AB23" s="89">
        <v>78</v>
      </c>
      <c r="AC23" s="89">
        <v>79</v>
      </c>
      <c r="AD23" s="89">
        <v>80</v>
      </c>
      <c r="AE23" s="89" t="str">
        <v/>
      </c>
      <c r="AF23" s="89" t="str">
        <v/>
      </c>
      <c r="AG23" s="89" t="str">
        <v/>
      </c>
      <c r="AH23" s="89" t="str">
        <v/>
      </c>
      <c r="AI23" s="90" t="str">
        <v/>
      </c>
    </row>
    <row r="24" spans="2:35">
      <c r="B24" s="91" t="str">
        <v/>
      </c>
      <c r="C24" s="92" t="str">
        <v/>
      </c>
      <c r="D24" s="92">
        <v>79</v>
      </c>
      <c r="E24" s="92">
        <v>80</v>
      </c>
      <c r="F24" s="92">
        <v>81</v>
      </c>
      <c r="G24" s="92" t="str">
        <v/>
      </c>
      <c r="H24" s="92" t="str">
        <v/>
      </c>
      <c r="M24" s="40"/>
      <c r="O24" s="88">
        <v>91</v>
      </c>
      <c r="P24" s="89">
        <v>92</v>
      </c>
      <c r="Q24" s="89">
        <v>93</v>
      </c>
      <c r="R24" s="89">
        <v>94</v>
      </c>
      <c r="S24" s="89">
        <v>95</v>
      </c>
      <c r="T24" s="89">
        <v>96</v>
      </c>
      <c r="U24" s="89">
        <v>97</v>
      </c>
      <c r="V24" s="89" t="str">
        <v/>
      </c>
      <c r="W24" s="89" t="str">
        <v/>
      </c>
      <c r="X24" s="89" t="str">
        <v/>
      </c>
      <c r="Y24" s="21"/>
      <c r="Z24" s="89">
        <v>91</v>
      </c>
      <c r="AA24" s="89">
        <v>92</v>
      </c>
      <c r="AB24" s="89">
        <v>93</v>
      </c>
      <c r="AC24" s="89">
        <v>94</v>
      </c>
      <c r="AD24" s="89" t="str">
        <v/>
      </c>
      <c r="AE24" s="89" t="str">
        <v/>
      </c>
      <c r="AF24" s="89" t="str">
        <v/>
      </c>
      <c r="AG24" s="89" t="str">
        <v/>
      </c>
      <c r="AH24" s="89" t="str">
        <v/>
      </c>
      <c r="AI24" s="90" t="str">
        <v/>
      </c>
    </row>
    <row r="25" spans="2:35">
      <c r="B25" s="91" t="str">
        <v/>
      </c>
      <c r="C25" s="92" t="str">
        <v/>
      </c>
      <c r="D25" s="92" t="str">
        <v/>
      </c>
      <c r="E25" s="92">
        <v>95</v>
      </c>
      <c r="F25" s="92" t="str">
        <v/>
      </c>
      <c r="G25" s="92" t="str">
        <v/>
      </c>
      <c r="H25" s="92" t="str">
        <v/>
      </c>
      <c r="M25" s="40"/>
      <c r="O25" s="88">
        <v>106</v>
      </c>
      <c r="P25" s="89">
        <v>107</v>
      </c>
      <c r="Q25" s="89">
        <v>108</v>
      </c>
      <c r="R25" s="89">
        <v>109</v>
      </c>
      <c r="S25" s="89">
        <v>110</v>
      </c>
      <c r="T25" s="89">
        <v>111</v>
      </c>
      <c r="U25" s="89">
        <v>112</v>
      </c>
      <c r="V25" s="89">
        <v>113</v>
      </c>
      <c r="W25" s="89" t="str">
        <v/>
      </c>
      <c r="X25" s="89" t="str">
        <v/>
      </c>
      <c r="Y25" s="21"/>
      <c r="Z25" s="89">
        <v>106</v>
      </c>
      <c r="AA25" s="89">
        <v>107</v>
      </c>
      <c r="AB25" s="89">
        <v>108</v>
      </c>
      <c r="AC25" s="89" t="str">
        <v/>
      </c>
      <c r="AD25" s="89" t="str">
        <v/>
      </c>
      <c r="AE25" s="89" t="str">
        <v/>
      </c>
      <c r="AF25" s="89" t="str">
        <v/>
      </c>
      <c r="AG25" s="89" t="str">
        <v/>
      </c>
      <c r="AH25" s="89" t="str">
        <v/>
      </c>
      <c r="AI25" s="90" t="str">
        <v/>
      </c>
    </row>
    <row r="26" spans="2:35">
      <c r="B26" s="31"/>
      <c r="M26" s="40"/>
      <c r="O26" s="88">
        <v>121</v>
      </c>
      <c r="P26" s="89">
        <v>122</v>
      </c>
      <c r="Q26" s="89">
        <v>123</v>
      </c>
      <c r="R26" s="89">
        <v>124</v>
      </c>
      <c r="S26" s="89">
        <v>125</v>
      </c>
      <c r="T26" s="89">
        <v>126</v>
      </c>
      <c r="U26" s="89">
        <v>127</v>
      </c>
      <c r="V26" s="89">
        <v>128</v>
      </c>
      <c r="W26" s="89">
        <v>129</v>
      </c>
      <c r="X26" s="89" t="str">
        <v/>
      </c>
      <c r="Y26" s="21"/>
      <c r="Z26" s="89">
        <v>121</v>
      </c>
      <c r="AA26" s="89">
        <v>122</v>
      </c>
      <c r="AB26" s="89" t="str">
        <v/>
      </c>
      <c r="AC26" s="89" t="str">
        <v/>
      </c>
      <c r="AD26" s="89" t="str">
        <v/>
      </c>
      <c r="AE26" s="89" t="str">
        <v/>
      </c>
      <c r="AF26" s="89" t="str">
        <v/>
      </c>
      <c r="AG26" s="89" t="str">
        <v/>
      </c>
      <c r="AH26" s="89" t="str">
        <v/>
      </c>
      <c r="AI26" s="90" t="str">
        <v/>
      </c>
    </row>
    <row r="27" spans="2:35">
      <c r="B27" s="31"/>
      <c r="M27" s="40"/>
      <c r="O27" s="88">
        <v>136</v>
      </c>
      <c r="P27" s="89">
        <v>137</v>
      </c>
      <c r="Q27" s="89">
        <v>138</v>
      </c>
      <c r="R27" s="89">
        <v>139</v>
      </c>
      <c r="S27" s="89">
        <v>140</v>
      </c>
      <c r="T27" s="89">
        <v>141</v>
      </c>
      <c r="U27" s="89">
        <v>142</v>
      </c>
      <c r="V27" s="89">
        <v>143</v>
      </c>
      <c r="W27" s="89">
        <v>144</v>
      </c>
      <c r="X27" s="89">
        <v>145</v>
      </c>
      <c r="Y27" s="21"/>
      <c r="Z27" s="89">
        <v>136</v>
      </c>
      <c r="AA27" s="89" t="str">
        <v/>
      </c>
      <c r="AB27" s="89" t="str">
        <v/>
      </c>
      <c r="AC27" s="89" t="str">
        <v/>
      </c>
      <c r="AD27" s="89" t="str">
        <v/>
      </c>
      <c r="AE27" s="89" t="str">
        <v/>
      </c>
      <c r="AF27" s="89" t="str">
        <v/>
      </c>
      <c r="AG27" s="89" t="str">
        <v/>
      </c>
      <c r="AH27" s="89" t="str">
        <v/>
      </c>
      <c r="AI27" s="90" t="str">
        <v/>
      </c>
    </row>
    <row r="28" spans="2:35">
      <c r="B28" s="31"/>
      <c r="M28" s="40"/>
      <c r="O28" s="32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43"/>
    </row>
    <row r="29" spans="2:35" ht="15">
      <c r="B29" s="44" t="s">
        <v>64</v>
      </c>
      <c r="M29" s="40"/>
      <c r="O29" s="24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37"/>
    </row>
    <row r="30" spans="2:35" ht="15">
      <c r="B30" s="93" t="str" cm="1">
        <f t="array" ref="B30:J38">Plusλ(SeqGrid,{3,3},6,"")</f>
        <v/>
      </c>
      <c r="C30" s="94" t="str">
        <v/>
      </c>
      <c r="D30" s="94">
        <v>3</v>
      </c>
      <c r="E30" s="94" t="str">
        <v/>
      </c>
      <c r="F30" s="94" t="str">
        <v/>
      </c>
      <c r="G30" s="94" t="str">
        <v/>
      </c>
      <c r="H30" s="94" t="str">
        <v/>
      </c>
      <c r="I30" s="94" t="str">
        <v/>
      </c>
      <c r="J30" s="94" t="str">
        <v/>
      </c>
      <c r="M30" s="40"/>
      <c r="O30" s="44" t="s">
        <v>74</v>
      </c>
      <c r="Z30" s="23" t="s">
        <v>80</v>
      </c>
      <c r="AI30" s="40"/>
    </row>
    <row r="31" spans="2:35">
      <c r="B31" s="93" t="str">
        <v/>
      </c>
      <c r="C31" s="94" t="str">
        <v/>
      </c>
      <c r="D31" s="94">
        <v>18</v>
      </c>
      <c r="E31" s="94" t="str">
        <v/>
      </c>
      <c r="F31" s="94" t="str">
        <v/>
      </c>
      <c r="G31" s="94" t="str">
        <v/>
      </c>
      <c r="H31" s="94" t="str">
        <v/>
      </c>
      <c r="I31" s="94" t="str">
        <v/>
      </c>
      <c r="J31" s="94" t="str">
        <v/>
      </c>
      <c r="M31" s="40"/>
      <c r="O31" s="95" t="str" cm="1">
        <f t="array" ref="O31:X40">Ringλ(SeqGrid,2,"-")</f>
        <v>-</v>
      </c>
      <c r="P31" s="96" t="str">
        <v>-</v>
      </c>
      <c r="Q31" s="96" t="str">
        <v>-</v>
      </c>
      <c r="R31" s="96" t="str">
        <v>-</v>
      </c>
      <c r="S31" s="96" t="str">
        <v>-</v>
      </c>
      <c r="T31" s="96" t="str">
        <v>-</v>
      </c>
      <c r="U31" s="96" t="str">
        <v>-</v>
      </c>
      <c r="V31" s="96" t="str">
        <v>-</v>
      </c>
      <c r="W31" s="96" t="str">
        <v>-</v>
      </c>
      <c r="X31" s="96" t="str">
        <v>-</v>
      </c>
      <c r="Z31" s="96" t="str" cm="1">
        <f t="array" ref="Z31:AI40">Ringλ(SeqGrid,4,"-")</f>
        <v>-</v>
      </c>
      <c r="AA31" s="96" t="str">
        <v>-</v>
      </c>
      <c r="AB31" s="96" t="str">
        <v>-</v>
      </c>
      <c r="AC31" s="96" t="str">
        <v>-</v>
      </c>
      <c r="AD31" s="96" t="str">
        <v>-</v>
      </c>
      <c r="AE31" s="96" t="str">
        <v>-</v>
      </c>
      <c r="AF31" s="96" t="str">
        <v>-</v>
      </c>
      <c r="AG31" s="96" t="str">
        <v>-</v>
      </c>
      <c r="AH31" s="96" t="str">
        <v>-</v>
      </c>
      <c r="AI31" s="97" t="str">
        <v>-</v>
      </c>
    </row>
    <row r="32" spans="2:35">
      <c r="B32" s="93">
        <v>31</v>
      </c>
      <c r="C32" s="94">
        <v>32</v>
      </c>
      <c r="D32" s="94">
        <v>33</v>
      </c>
      <c r="E32" s="94">
        <v>34</v>
      </c>
      <c r="F32" s="94">
        <v>35</v>
      </c>
      <c r="G32" s="94">
        <v>36</v>
      </c>
      <c r="H32" s="94">
        <v>37</v>
      </c>
      <c r="I32" s="94">
        <v>38</v>
      </c>
      <c r="J32" s="94">
        <v>39</v>
      </c>
      <c r="M32" s="40"/>
      <c r="O32" s="95" t="str">
        <v>-</v>
      </c>
      <c r="P32" s="96">
        <v>17</v>
      </c>
      <c r="Q32" s="96">
        <v>18</v>
      </c>
      <c r="R32" s="96">
        <v>19</v>
      </c>
      <c r="S32" s="96">
        <v>20</v>
      </c>
      <c r="T32" s="96">
        <v>21</v>
      </c>
      <c r="U32" s="96">
        <v>22</v>
      </c>
      <c r="V32" s="96">
        <v>23</v>
      </c>
      <c r="W32" s="96">
        <v>24</v>
      </c>
      <c r="X32" s="96" t="str">
        <v>-</v>
      </c>
      <c r="Z32" s="96" t="str">
        <v>-</v>
      </c>
      <c r="AA32" s="96" t="str">
        <v>-</v>
      </c>
      <c r="AB32" s="96" t="str">
        <v>-</v>
      </c>
      <c r="AC32" s="96" t="str">
        <v>-</v>
      </c>
      <c r="AD32" s="96" t="str">
        <v>-</v>
      </c>
      <c r="AE32" s="96" t="str">
        <v>-</v>
      </c>
      <c r="AF32" s="96" t="str">
        <v>-</v>
      </c>
      <c r="AG32" s="96" t="str">
        <v>-</v>
      </c>
      <c r="AH32" s="96" t="str">
        <v>-</v>
      </c>
      <c r="AI32" s="97" t="str">
        <v>-</v>
      </c>
    </row>
    <row r="33" spans="2:35">
      <c r="B33" s="93" t="str">
        <v/>
      </c>
      <c r="C33" s="94" t="str">
        <v/>
      </c>
      <c r="D33" s="94">
        <v>48</v>
      </c>
      <c r="E33" s="94" t="str">
        <v/>
      </c>
      <c r="F33" s="94" t="str">
        <v/>
      </c>
      <c r="G33" s="94" t="str">
        <v/>
      </c>
      <c r="H33" s="94" t="str">
        <v/>
      </c>
      <c r="I33" s="94" t="str">
        <v/>
      </c>
      <c r="J33" s="94" t="str">
        <v/>
      </c>
      <c r="M33" s="40"/>
      <c r="O33" s="95" t="str">
        <v>-</v>
      </c>
      <c r="P33" s="96">
        <v>32</v>
      </c>
      <c r="Q33" s="96" t="str">
        <v>-</v>
      </c>
      <c r="R33" s="96" t="str">
        <v>-</v>
      </c>
      <c r="S33" s="96" t="str">
        <v>-</v>
      </c>
      <c r="T33" s="96" t="str">
        <v>-</v>
      </c>
      <c r="U33" s="96" t="str">
        <v>-</v>
      </c>
      <c r="V33" s="96" t="str">
        <v>-</v>
      </c>
      <c r="W33" s="96">
        <v>39</v>
      </c>
      <c r="X33" s="96" t="str">
        <v>-</v>
      </c>
      <c r="Z33" s="96" t="str">
        <v>-</v>
      </c>
      <c r="AA33" s="96" t="str">
        <v>-</v>
      </c>
      <c r="AB33" s="96" t="str">
        <v>-</v>
      </c>
      <c r="AC33" s="96" t="str">
        <v>-</v>
      </c>
      <c r="AD33" s="96" t="str">
        <v>-</v>
      </c>
      <c r="AE33" s="96" t="str">
        <v>-</v>
      </c>
      <c r="AF33" s="96" t="str">
        <v>-</v>
      </c>
      <c r="AG33" s="96" t="str">
        <v>-</v>
      </c>
      <c r="AH33" s="96" t="str">
        <v>-</v>
      </c>
      <c r="AI33" s="97" t="str">
        <v>-</v>
      </c>
    </row>
    <row r="34" spans="2:35">
      <c r="B34" s="93" t="str">
        <v/>
      </c>
      <c r="C34" s="94" t="str">
        <v/>
      </c>
      <c r="D34" s="94">
        <v>63</v>
      </c>
      <c r="E34" s="94" t="str">
        <v/>
      </c>
      <c r="F34" s="94" t="str">
        <v/>
      </c>
      <c r="G34" s="94" t="str">
        <v/>
      </c>
      <c r="H34" s="94" t="str">
        <v/>
      </c>
      <c r="I34" s="94" t="str">
        <v/>
      </c>
      <c r="J34" s="94" t="str">
        <v/>
      </c>
      <c r="M34" s="40"/>
      <c r="O34" s="95" t="str">
        <v>-</v>
      </c>
      <c r="P34" s="96">
        <v>47</v>
      </c>
      <c r="Q34" s="96" t="str">
        <v>-</v>
      </c>
      <c r="R34" s="96" t="str">
        <v>-</v>
      </c>
      <c r="S34" s="96" t="str">
        <v>-</v>
      </c>
      <c r="T34" s="96" t="str">
        <v>-</v>
      </c>
      <c r="U34" s="96" t="str">
        <v>-</v>
      </c>
      <c r="V34" s="96" t="str">
        <v>-</v>
      </c>
      <c r="W34" s="96">
        <v>54</v>
      </c>
      <c r="X34" s="96" t="str">
        <v>-</v>
      </c>
      <c r="Z34" s="96" t="str">
        <v>-</v>
      </c>
      <c r="AA34" s="96" t="str">
        <v>-</v>
      </c>
      <c r="AB34" s="96" t="str">
        <v>-</v>
      </c>
      <c r="AC34" s="96">
        <v>49</v>
      </c>
      <c r="AD34" s="96">
        <v>50</v>
      </c>
      <c r="AE34" s="96">
        <v>51</v>
      </c>
      <c r="AF34" s="96">
        <v>52</v>
      </c>
      <c r="AG34" s="96" t="str">
        <v>-</v>
      </c>
      <c r="AH34" s="96" t="str">
        <v>-</v>
      </c>
      <c r="AI34" s="97" t="str">
        <v>-</v>
      </c>
    </row>
    <row r="35" spans="2:35">
      <c r="B35" s="93" t="str">
        <v/>
      </c>
      <c r="C35" s="94" t="str">
        <v/>
      </c>
      <c r="D35" s="94">
        <v>78</v>
      </c>
      <c r="E35" s="94" t="str">
        <v/>
      </c>
      <c r="F35" s="94" t="str">
        <v/>
      </c>
      <c r="G35" s="94" t="str">
        <v/>
      </c>
      <c r="H35" s="94" t="str">
        <v/>
      </c>
      <c r="I35" s="94" t="str">
        <v/>
      </c>
      <c r="J35" s="94" t="str">
        <v/>
      </c>
      <c r="M35" s="40"/>
      <c r="O35" s="95" t="str">
        <v>-</v>
      </c>
      <c r="P35" s="96">
        <v>62</v>
      </c>
      <c r="Q35" s="96" t="str">
        <v>-</v>
      </c>
      <c r="R35" s="96" t="str">
        <v>-</v>
      </c>
      <c r="S35" s="96" t="str">
        <v>-</v>
      </c>
      <c r="T35" s="96" t="str">
        <v>-</v>
      </c>
      <c r="U35" s="96" t="str">
        <v>-</v>
      </c>
      <c r="V35" s="96" t="str">
        <v>-</v>
      </c>
      <c r="W35" s="96">
        <v>69</v>
      </c>
      <c r="X35" s="96" t="str">
        <v>-</v>
      </c>
      <c r="Z35" s="96" t="str">
        <v>-</v>
      </c>
      <c r="AA35" s="96" t="str">
        <v>-</v>
      </c>
      <c r="AB35" s="96" t="str">
        <v>-</v>
      </c>
      <c r="AC35" s="96">
        <v>64</v>
      </c>
      <c r="AD35" s="96" t="str">
        <v>-</v>
      </c>
      <c r="AE35" s="96" t="str">
        <v>-</v>
      </c>
      <c r="AF35" s="96">
        <v>67</v>
      </c>
      <c r="AG35" s="96" t="str">
        <v>-</v>
      </c>
      <c r="AH35" s="96" t="str">
        <v>-</v>
      </c>
      <c r="AI35" s="97" t="str">
        <v>-</v>
      </c>
    </row>
    <row r="36" spans="2:35">
      <c r="B36" s="93" t="str">
        <v/>
      </c>
      <c r="C36" s="94" t="str">
        <v/>
      </c>
      <c r="D36" s="94">
        <v>93</v>
      </c>
      <c r="E36" s="94" t="str">
        <v/>
      </c>
      <c r="F36" s="94" t="str">
        <v/>
      </c>
      <c r="G36" s="94" t="str">
        <v/>
      </c>
      <c r="H36" s="94" t="str">
        <v/>
      </c>
      <c r="I36" s="94" t="str">
        <v/>
      </c>
      <c r="J36" s="94" t="str">
        <v/>
      </c>
      <c r="M36" s="40"/>
      <c r="O36" s="95" t="str">
        <v>-</v>
      </c>
      <c r="P36" s="96">
        <v>77</v>
      </c>
      <c r="Q36" s="96" t="str">
        <v>-</v>
      </c>
      <c r="R36" s="96" t="str">
        <v>-</v>
      </c>
      <c r="S36" s="96" t="str">
        <v>-</v>
      </c>
      <c r="T36" s="96" t="str">
        <v>-</v>
      </c>
      <c r="U36" s="96" t="str">
        <v>-</v>
      </c>
      <c r="V36" s="96" t="str">
        <v>-</v>
      </c>
      <c r="W36" s="96">
        <v>84</v>
      </c>
      <c r="X36" s="96" t="str">
        <v>-</v>
      </c>
      <c r="Z36" s="96" t="str">
        <v>-</v>
      </c>
      <c r="AA36" s="96" t="str">
        <v>-</v>
      </c>
      <c r="AB36" s="96" t="str">
        <v>-</v>
      </c>
      <c r="AC36" s="96">
        <v>79</v>
      </c>
      <c r="AD36" s="96" t="str">
        <v>-</v>
      </c>
      <c r="AE36" s="96" t="str">
        <v>-</v>
      </c>
      <c r="AF36" s="96">
        <v>82</v>
      </c>
      <c r="AG36" s="96" t="str">
        <v>-</v>
      </c>
      <c r="AH36" s="96" t="str">
        <v>-</v>
      </c>
      <c r="AI36" s="97" t="str">
        <v>-</v>
      </c>
    </row>
    <row r="37" spans="2:35">
      <c r="B37" s="93" t="str">
        <v/>
      </c>
      <c r="C37" s="94" t="str">
        <v/>
      </c>
      <c r="D37" s="94">
        <v>108</v>
      </c>
      <c r="E37" s="94" t="str">
        <v/>
      </c>
      <c r="F37" s="94" t="str">
        <v/>
      </c>
      <c r="G37" s="94" t="str">
        <v/>
      </c>
      <c r="H37" s="94" t="str">
        <v/>
      </c>
      <c r="I37" s="94" t="str">
        <v/>
      </c>
      <c r="J37" s="94" t="str">
        <v/>
      </c>
      <c r="M37" s="40"/>
      <c r="O37" s="95" t="str">
        <v>-</v>
      </c>
      <c r="P37" s="96">
        <v>92</v>
      </c>
      <c r="Q37" s="96" t="str">
        <v>-</v>
      </c>
      <c r="R37" s="96" t="str">
        <v>-</v>
      </c>
      <c r="S37" s="96" t="str">
        <v>-</v>
      </c>
      <c r="T37" s="96" t="str">
        <v>-</v>
      </c>
      <c r="U37" s="96" t="str">
        <v>-</v>
      </c>
      <c r="V37" s="96" t="str">
        <v>-</v>
      </c>
      <c r="W37" s="96">
        <v>99</v>
      </c>
      <c r="X37" s="96" t="str">
        <v>-</v>
      </c>
      <c r="Z37" s="96" t="str">
        <v>-</v>
      </c>
      <c r="AA37" s="96" t="str">
        <v>-</v>
      </c>
      <c r="AB37" s="96" t="str">
        <v>-</v>
      </c>
      <c r="AC37" s="96">
        <v>94</v>
      </c>
      <c r="AD37" s="96">
        <v>95</v>
      </c>
      <c r="AE37" s="96">
        <v>96</v>
      </c>
      <c r="AF37" s="96">
        <v>97</v>
      </c>
      <c r="AG37" s="96" t="str">
        <v>-</v>
      </c>
      <c r="AH37" s="96" t="str">
        <v>-</v>
      </c>
      <c r="AI37" s="97" t="str">
        <v>-</v>
      </c>
    </row>
    <row r="38" spans="2:35">
      <c r="B38" s="93" t="str">
        <v/>
      </c>
      <c r="C38" s="94" t="str">
        <v/>
      </c>
      <c r="D38" s="94">
        <v>123</v>
      </c>
      <c r="E38" s="94" t="str">
        <v/>
      </c>
      <c r="F38" s="94" t="str">
        <v/>
      </c>
      <c r="G38" s="94" t="str">
        <v/>
      </c>
      <c r="H38" s="94" t="str">
        <v/>
      </c>
      <c r="I38" s="94" t="str">
        <v/>
      </c>
      <c r="J38" s="94" t="str">
        <v/>
      </c>
      <c r="M38" s="40"/>
      <c r="O38" s="95" t="str">
        <v>-</v>
      </c>
      <c r="P38" s="96">
        <v>107</v>
      </c>
      <c r="Q38" s="96" t="str">
        <v>-</v>
      </c>
      <c r="R38" s="96" t="str">
        <v>-</v>
      </c>
      <c r="S38" s="96" t="str">
        <v>-</v>
      </c>
      <c r="T38" s="96" t="str">
        <v>-</v>
      </c>
      <c r="U38" s="96" t="str">
        <v>-</v>
      </c>
      <c r="V38" s="96" t="str">
        <v>-</v>
      </c>
      <c r="W38" s="96">
        <v>114</v>
      </c>
      <c r="X38" s="96" t="str">
        <v>-</v>
      </c>
      <c r="Z38" s="96" t="str">
        <v>-</v>
      </c>
      <c r="AA38" s="96" t="str">
        <v>-</v>
      </c>
      <c r="AB38" s="96" t="str">
        <v>-</v>
      </c>
      <c r="AC38" s="96" t="str">
        <v>-</v>
      </c>
      <c r="AD38" s="96" t="str">
        <v>-</v>
      </c>
      <c r="AE38" s="96" t="str">
        <v>-</v>
      </c>
      <c r="AF38" s="96" t="str">
        <v>-</v>
      </c>
      <c r="AG38" s="96" t="str">
        <v>-</v>
      </c>
      <c r="AH38" s="96" t="str">
        <v>-</v>
      </c>
      <c r="AI38" s="97" t="str">
        <v>-</v>
      </c>
    </row>
    <row r="39" spans="2:35">
      <c r="B39" s="31"/>
      <c r="M39" s="40"/>
      <c r="O39" s="95" t="str">
        <v>-</v>
      </c>
      <c r="P39" s="96">
        <v>122</v>
      </c>
      <c r="Q39" s="96">
        <v>123</v>
      </c>
      <c r="R39" s="96">
        <v>124</v>
      </c>
      <c r="S39" s="96">
        <v>125</v>
      </c>
      <c r="T39" s="96">
        <v>126</v>
      </c>
      <c r="U39" s="96">
        <v>127</v>
      </c>
      <c r="V39" s="96">
        <v>128</v>
      </c>
      <c r="W39" s="96">
        <v>129</v>
      </c>
      <c r="X39" s="96" t="str">
        <v>-</v>
      </c>
      <c r="Z39" s="96" t="str">
        <v>-</v>
      </c>
      <c r="AA39" s="96" t="str">
        <v>-</v>
      </c>
      <c r="AB39" s="96" t="str">
        <v>-</v>
      </c>
      <c r="AC39" s="96" t="str">
        <v>-</v>
      </c>
      <c r="AD39" s="96" t="str">
        <v>-</v>
      </c>
      <c r="AE39" s="96" t="str">
        <v>-</v>
      </c>
      <c r="AF39" s="96" t="str">
        <v>-</v>
      </c>
      <c r="AG39" s="96" t="str">
        <v>-</v>
      </c>
      <c r="AH39" s="96" t="str">
        <v>-</v>
      </c>
      <c r="AI39" s="97" t="str">
        <v>-</v>
      </c>
    </row>
    <row r="40" spans="2:35">
      <c r="B40" s="31"/>
      <c r="M40" s="40"/>
      <c r="O40" s="95" t="str">
        <v>-</v>
      </c>
      <c r="P40" s="96" t="str">
        <v>-</v>
      </c>
      <c r="Q40" s="96" t="str">
        <v>-</v>
      </c>
      <c r="R40" s="96" t="str">
        <v>-</v>
      </c>
      <c r="S40" s="96" t="str">
        <v>-</v>
      </c>
      <c r="T40" s="96" t="str">
        <v>-</v>
      </c>
      <c r="U40" s="96" t="str">
        <v>-</v>
      </c>
      <c r="V40" s="96" t="str">
        <v>-</v>
      </c>
      <c r="W40" s="96" t="str">
        <v>-</v>
      </c>
      <c r="X40" s="96" t="str">
        <v>-</v>
      </c>
      <c r="Z40" s="96" t="str">
        <v>-</v>
      </c>
      <c r="AA40" s="96" t="str">
        <v>-</v>
      </c>
      <c r="AB40" s="96" t="str">
        <v>-</v>
      </c>
      <c r="AC40" s="96" t="str">
        <v>-</v>
      </c>
      <c r="AD40" s="96" t="str">
        <v>-</v>
      </c>
      <c r="AE40" s="96" t="str">
        <v>-</v>
      </c>
      <c r="AF40" s="96" t="str">
        <v>-</v>
      </c>
      <c r="AG40" s="96" t="str">
        <v>-</v>
      </c>
      <c r="AH40" s="96" t="str">
        <v>-</v>
      </c>
      <c r="AI40" s="97" t="str">
        <v>-</v>
      </c>
    </row>
    <row r="41" spans="2:35">
      <c r="B41" s="31"/>
      <c r="M41" s="40"/>
    </row>
    <row r="42" spans="2:35">
      <c r="B42" s="32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43"/>
      <c r="O42" s="32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43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IAAgACAAIAAgACAAIAAgACAAIABcAG4ATQBvAGQAdQBsAGUAOgAgACAAQgBpAGcAUwBwAGkAbABsAFwAbgBMAGkAYwBlAG4AcwBlADoAIABNAEkAVAAgACgAcwBlAGUAIABMAEkAQwBFAE4AUwBFACAAZgBpAGwAZQApAFwAbgBBAHUAdABoAG8AcgA6ACAAIABQAGEAdAByAGkAYwBrACAASAAuAFwAbgBEAGEAdABlADoAIAAgACAAIAA3AC8ANgAvADIAMAAyADYAXABuAFwAbgBEAGUAcwBjAHIAaQBwAHQAaQBvAG4AOgBcAG4AQwBvAHIAZQAgAG0AbwBkAHUAbABlACAAYQBnAGcAcgBlAGcAYQB0AG8AcgAgAGYAbwByACAAYQBsAGwAIABCAGkAZwBTAHAAaQBsAGwAIABmAHUAbgBjAHQAaQBvAG4AcwA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bQBhAHQAcgBpAHgAIABpAG4AdABvACAAYQAgAGYAbABhAHQAdABlAG4AZQBkACAAcgBvAHcAESB3AGkAcwBlACAAdABhAGIAbABlACAAYgB5ACAAcAByAG8AdgBpAGQAaQBuAGcAIAByAG8AdwAgAGwAYQBiAGUAbABzACwAXABuACAAIAAgACAAYwBvAGwAdQBtAG4AIABsAGEAYgBlAGwAcwAsACAAYQBuAGQAIABhACAAdgBhAGwAdQBlACAAbQBhAHQAcgBpAHg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TQBhAHQAcgBpAHg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bQBhAHQAcgBpAHgAIABvAGYAIABzAGgAaQBmAHQAZQBkACAAdAB1AHAAbABlAHMALgBcAG4AXABuAE4AbwB0AGUAcwA6AFwAbgAgACAAIAAgACIgIABPAHUAdABwAHUAdAAgAG8AcgBpAGUAbgB0AGEAdABpAG8AbgAgAG0AYQB0AGMAaABlAHMAIABpAG4AcAB1AHQAOgBcAG4AIAAgACAAIAAgACAAIAAgACAAIAAtACAAUwBjAGEAbABhAHIAcwAgAJIhIAB2AGUAcgB0AGkAYwBhAGwAXABuACAAIAAgACAAIAAgACAAIAAgACAALQAgAFYAZQByAHQAaQBjAGEAbAAgAGEAcgByAGEAeQBzACAAkiEgAHYAZQByAHQAaQBjAGEAbABcAG4AIAAgACAAIAAgACAAIAAgACAAIAAtACAASABvAHIAaQB6AG8AbgB0AGEAbAAgAGEAcgByAGEAeQBzACAAkiEgAGgAbwByAGkAegBvAG4AdABhAGwAXABuACAAIAAgACAAIiAgAE0AdQBsAHQAaQARIHMAaABpAGYAdAAgAGkAbgBwAHUAdABzACAAcgBlAHQAdQByAG4AIABhACAAcwB0AGEAYwBrAGUAZAAgAG0AYQB0AHIAaQB4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bQBhAHQAcgBpAHgALABcAG4AIAAgACAAIABbAHMAaABpAGYAdABfAGIAeQBdACwAXABuAEwARQBUACgAXABuACAAIAAgACAALwAvACAARABpAG0AZQBuAHMAaQBvAG4AcwBcAG4AIAAgACAAIABoACwAIAAgACAAIAAgACAAIAAgAFIATwBXAFMAKABtAGEAdAByAGkAeAApACwAXABuACAAIAAgACAAdwAsACAAIAAgACAAIAAgACAAIABDAE8ATABVAE0ATgBTACgAbQBhAHQAcgBpAHg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0AYQB0AHIAaQB4ACwAIABzAGgAaQBmAHQAXwBiAHkAKQAsAFwAbgBcAG4ATABFAFQAKABcAG4AIAAgACAAIAAvAC8AIABSAG8AdwAgAGkAbgBkAGkAYwBlAHMAIAByAGUAbQBhAGkAbgAgAGYAaQB4AGUAZABcAG4AIAAgACAAIABpACwAIAAgACAAIAAgACAAIAAgAE0ARwByAGkAZAC7AygAbQBhAHQAcgBpAHgAKQAsAFwAbgBcAG4AIAAgACAAIAAvAC8AIABDAG8AbAB1AG0AbgAgAGkAbgBkAGkAYwBlAHMAIABhAHIAZQAgAGMAaQByAGMAdQBsAGEAcgBsAHkAIABzAGgAaQBmAHQAZQBkAFwAbgAgACAAIAAgAGoALAAgACAAIAAgACAAIAAgACAAUgBlAHMAaQB6AGUAuwMoAFMAaABpAGYAdAC7AygAUwBFAFEAVQBFAE4AQwBFACgALAAgAHcAKQAsACAAcwBoAGkAZgB0AF8AYgB5ACkALABoACkALABcAG4AXABuACAAIAAgACAAcgBlAHMAdQBsAHQALAAgACAAIABJAE4ARABFAFgAKABtAGEAdAByAGkAe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bQBhAHQAcgBpAHgALABcAG4AIAAgACAAIABbAHMAaABpAGYAdABfAGIAeQBdACwAXABuAEwARQBUACgAXABuACAAIAAgACAALwAvACAARABpAG0AZQBuAHMAaQBvAG4AcwBcAG4AIAAgACAAIABoACwAIAAgACAAIAAgACAAIAAgACAAIAAgAFIATwBXAFMAKABtAGEAdAByAGkAeAApACwAXABuACAAIAAgACAAdwAsACAAIAAgACAAIAAgACAAIAAgACAAIABDAE8ATABVAE0ATgBTACgAbQBhAHQAcgBpAHg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0AYQB0AHIAaQB4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tAGEAdAByAGkAeAAsACAAMQApACwAXABuAFwAbgAgACAAIAAgAHIAZQBzAHUAbAB0ACwAIAAgACAAIAAgACAASQBOAEQARQBYACgAbQBhAHQAcgBpAHg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bQBhAHQAcgBpAHg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bQBhAHQAcgBpAHgAIAAgACAAIAAgACAAIAAgACAAIAAgACAAIAAgACAALQAgAEkAbgBwAHUAdAAgAG0AYQB0AHIAaQB4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tAGEAdAByAGkAe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tAGEAdAByAGkAeAAsACAAZABlAHAAdABoACwAIAB3AGkAZAB0AGgALAAgAHIAZQBfAHMAaABhAHAAZQBfAGIAeQBfAGMAbwBsAHUAbQBuAD8ALABcAG4AXABuAEwARQBUACgAXABuACAAIAAgACAALwAvACAAQgBsAG8AYwBrACAAZwByAGkAZAAgAGQAaQBtAGUAbgBzAGkAbwBuAHMAXABuACAAIAAgACAAeAAsACAAIAAgACAAIAAgACAAIAAgACAAIAAgACAAUgBPAFUATgBEAFUAUAAoAFIATwBXAFMAKABtAGEAdAByAGkAeAApACAALwAgAGQAZQBwAHQAaAAsACAAMAApACwAIAAgACAAIAAgAC8ALwAgAGIAbABvAGMAawAgAHIAbwB3AHMAXABuACAAIAAgACAAeQAsACAAIAAgACAAIAAgACAAIAAgACAAIAAgACAAUgBPAFUATgBEAFUAUAAoAEMATwBMAFUATQBOAFMAKABtAGEAdAByAGkAe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tAGEAdAByAGkAeAAsACAAcgBvAHcAXwBpAG4AZABpAGMAZQBzACwAIABjAG8AbABfAGkAbgBkAGkAYwBlAHMAKQAsAFwAbgBcAG4AIAAgACAAIAAvAC8AIABPAHAAdABpAG8AbgBhAGwAIABjAG8AbAB1AG0AbgARIHcAaQBzAGUAIAByAGUAcwBoAGEAcABlAFwAbgAgACAAIAAgAHIAZQBzAHUAbAB0ACwAIAAgACAAIAAgACAAIAAgAEkARgAoAHIAZQBfAHMAaABhAHAAZQBfAGIAeQBfAGMAbwBsAHUAbQBuAD8ALAAgAFQAUgBBAE4AUwBQAE8AUwBFACgAcgBlAHMAaABhAHAAZQBkACkALAAgAHIAZQBzAGgAYQBwAGUAZAApACwAXABuAFwAbgAgACAAIAAgAHIAZQBzAHUAbAB0AFwAbgApACkAKQA7AFwAbgBcAG4AXABuAFwAbgAvACoAIABbAEcAQQARIEMATwBSAEUAXQAgAC0ALQAtAC0ALQAtAC0ALQAtAC0ALQAtAC0ALQAtAC0ALQAtAC0ALQAtAC0ALQAtAC0ALQAtAC0ALQAtAC0ALQAtAC0ALQAtAC0ALQAtAC0ALQAtAC0ALQAtAC0ALQAtAC0ALQAtAC0ALQAtAC0ALQAtAC0ALQAtAC0ALQAtAC0ALQAtAC0ALQAtAC0AXABuAEYAdQBuAGMAdABpAG8AbgA6ACAAIAAgACAAIABWAGEAbABpAGQAYQB0AGUAQgBsAG8AYwBrAE0AYQBwALsDXABuAEMAYQB0AGUAZwBvAHIAeQA6ACAAIAAgACAAIABHAHIAaQBkACAAQQBsAGcAZQBiAHIAYQ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bABvAGMAawBNAGEAcAC7Ay4AIABFAG4AcwB1AHIAZQBzACAAdABoAGUAIABtAGEAdAByAGkAe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bQBhAHQAcgBpAHgAIABjAGwAZQBhAG4AbAB5AC4AXABuAFwAbgBQAGEAcgBhAG0AZQB0AGUAcgBzADoAXABuACAAIAAgACAAbQBhAHQAcgBpAHgAIAAgACAAIAAgACAAIAAgACAAIAAgACAAIAAgACAALQAgAEkAbgBwAHUAdAAgAG0AYQB0AHIAaQB4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0AYQB0AHIAaQB4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bQBhAHQAcgBpAHgALABcAG4AIAAgACAAIABkAGUAcAB0AGgALABcAG4AIAAgACAAIAB3AGkAZAB0AGgALABcAG4AIAAgACAAIAByAGUAXwBzAGgAYQBwAGUAXwBiAHkAXwBjAG8AbAB1AG0AbgA/ACwAXABuACAAIAAgACAAbwBuAF8AdgBhAGwAaQBkACwAXABuAFwAbgAgACAAIAAgAC8ALwAgAE0AdQBzAHQAIABiAGUAIABhAG4AIABhAHIAcgBhAHkAXABuACAAIAAgACAASQBGACgATgBPAFQAKABUAFkAUABFACgAbQBhAHQAcgBpAHgAKQAgAD0AIAA2ADQAKQAsAFwAIgAjAE0AQQBUAFIASQBYACEAXAAiACwAXABuAFwAbgAgACAAIAAgAC8ALwAgAFMAcABpAGwAbAARIHIAaQBzAGsAIAB3AGgAZQBuACAAcgBlAHMAaABhAHAAaQBuAGcAIABiAHkAIABjAG8AbAB1AG0AbgBcAG4AIAAgACAAIABJAEYAKAAoAHIAZQBfAHMAaABhAHAAZQBfAGIAeQBfAGMAbwBsAHUAbQBuAD8AKQAgACoAIABcAG4AIAAgACAAIAAgACAAIAAoAFIATwBXAFMAKABtAGEAdAByAGkAeAApACAAKgAgAEMATwBMAFUATQBOAFMAKABtAGEAdAByAGkAeAApACAALwAgACgAdwBpAGQAdABoACAAKgAgAGQAZQBwAHQAaAApAF4AMgAgAD4AIAAxADYAMwA4ADQAKQAsAFwAIgAjAFMAUABJAEwATAAtAFIASQBTAEsAIQBcACIALABcAG4AXABuACAAIAAgACAALwAvACAATQB1AHMAdAAgAHQAaQBsAGUAIABjAGwAZQBhAG4AbAB5AFwAbgAgACAAIAAgAEkARgAoACgATQBPAEQAKABSAE8AVwBTACgAbQBhAHQAcgBpAHgAKQAsACAAZABlAHAAdABoACkAIAA8AD4AIAAwACkAIAArACgATQBPAEQAKABDAE8ATABVAE0ATgBTACgAbQBhAHQAcgBpAHgAKQAsACAAdwBpAGQAdABoACkAIAA8AD4AIAAwACkALABcACIAIwBCAEwATwBDAEsAIABNAEkAUwBNAEEAVABDAEgAIQBcACIALABcAG4AXABuACAAIAAgACAALwAvACAAQgBsAG8AYwBrACAAcwBpAHoAZQAgAG0AdQBzAHQAIABiAGUAIAB2AGEAbABpAGQAXABuACAAIAAgACAASQBGACgATwBSACgAQQBOAEQAKAB3AGkAZAB0AGgAIAA9ACAAMQAsACAAZABlAHAAdABoACAAPQAgADEAKQAsAGQAZQBwAHQAaAAgAD4AIABSAE8AVwBTACgAbQBhAHQAcgBpAHgAKQAsAFwAbgAgACAAIAAgACAAIAAgACAAIAAgACAAIAAgACAAdwBpAGQAdABoACAAPgAgAEMATwBMAFUATQBOAFMAKABtAGEAdAByAGkAe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cwBjAGEAbABhAHIAcwAgAGEAbgBkACAAMQBEACAAYQByAHIAYQB5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YQBuAGQAIAAxAEQAIABpAG4AcAB1AHQAcwAgAHQAbwAgAGUAbgBmAG8AcgBjAGUAIABzAHQAcgBpAGMAdAAgADIARAAgAGcAZQBvAG0AZQB0AHIAeQAuAFwAbgAtAC0ALQAtAC0ALQAtAC0ALQAtAC0ALQAtAC0ALQAtAC0ALQAtAC0ALQAtAC0ALQAtAC0ALQAtAC0ALQAtAC0ALQAtAC0ALQAtAC0ALQAtAC0ALQAtAC0ALQAtAC0ALQAtAC0ALQAtAC0ALQAtAC0ALQAtAC0ALQAtAC0ALQAtAC0ALQAtAC0ALQAtAC0ALQAtAC0ALQAtAC0ALQAqAC8AXABuAFwAbgBUAGUAcwBzAGUAbABsAGEAdABlALsDIAA9AFwAbgBMAEEATQBCAEQAQQAoAFwAbgAgACAAIAAgAHAAYQB0AHQAZQByAG4ALABcAG4AIAAgACAAIABuAGUAdwBfAGgAZQBpAGcAaAB0ACwAXABuACAAIAAgACAAbgBlAHcAXwB3AGkAZAB0AGgALABcAG4ATABFAFQAKABcAG4AIAAgACAAIAAvAC8AIABQAGEAdAB0AGUAcgBuACAAZABpAG0AZQBuAHMAaQBvAG4AcwBcAG4AIAAgACAAIABoACwAIAAgACAAIAAgACAAIAAgACAAIAAgACAAIAAgAFIATwBXAFMAKABwAGEAdAB0AGUAcgBuACkALABcAG4AIAAgACAAIAB3ACwAIAAgACAAIAAgACAAIAAgACAAIAAgACAAIAAgAEMATwBMAFUATQBOAFMAKABwAGEAdAB0AGUAcgBuACkALABcAG4AXABuACAAIAAgACAALwAvACAASQBuAHYAYQBsAGkAZAAgAHMAaABhAHAAZQBzAFwAbgAgACAAIAAgAEkAcwBTAGMAYQBsAGEAcgA/ACwAIAAgACAAIAAgACAAQQBOAEQAKABoACAAPQAgADEALAAgAHcAIAA9ACAAMQApACwAXABuACAAIAAgACAASQBzADEARAA/ACwAIAAgACAAIAAgACAAIAAgACAAIABYAE8AUg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SQBGACgASQBzADEARAA/ACwAIABcACIAIwAxAEQALQBBAFIAUgBBAFkAIQBcACIALABcAG4AXABuACAAIAAgACAAIAAgACAAIAAgACAAIAAgAEkARgAoAE4AbwBDAGgAYQBuAGcAZQA/ACwAIABwAGEAdAB0AGUAcgBuACwAXABuAFwAbgAgACAAIAAgACAAIAAgACAAIAAgACAAIAAgACAAIAAgAEkARgAoAEkAbgB2AGEAbABpAGQASABXAD8ALAAgAFwAIgAjAE4ARQBXAC0ASABFAEkARwBIAFQALwBXAEkARABUAEgAIQBcACIALABcAG4AXABuAEwARQBUACgAXABuACAAIAAgACAALwAvACAATwB1AHQAcAB1AHQAIABnAGUAbwBtAGUAdAByAHkAIABwAGwAYQBjAGUAaABvAGwAZABlAHIAXABuACAAIAAgACAAZQB4AHAAXwBzAGgAYQBwAGUALAAgACAAIAAgAEUAWABQAEEATgBEACgAMAAsACAAbgBlAHcAXwBoAGUAaQBnAGgAdAAsACAAbgBlAHcAXwB3AGkAZAB0AGgAKQAsAFwAbgBcAG4AIAAgACAAIAAvAC8AIABNAG8AZAB1AGwAYQByACAAcgBvAHcALwBjAG8AbAB1AG0AbgAgAGkAbgBkAGkAYwBlAHMAXABuACAAIAAgACAAaQAsACAAIAAgACAAIAAgACAAIAAgACAAIAAgAFQARwByAGkAZAC7AygAZQB4AHAAXwBzAGgAYQBwAGUALAAgAGgAKQAsAFwAbgAgACAAIAAgAGoALAAgACAAIAAgACAAIAAgACAAIAAgACAAIABUAEcAcgBpAGQAuwMoAGUAeABwAF8AcwBoAGEAcABlACwAIAB3ACwAIAAxACkALABcAG4AXABuACAAIAAgACAALwAvACAAVABlAHMAcwBlAGwAbABhAHQAZQBkACAAbwB1AHQAcAB1AHQAXABuACAAIAAgACAAdABlAHMAcwAsACAAIAAgACAAIAAgACAAIAAgAEkATgBEAEUAWAAoAHAAYQB0AHQAZQByAG4ALAAgAGkALAAgAGoAKQAsAFwAbgBcAG4AIAAgACAAIAB0AGUAcwBzAFwAbgApACkAKQApACkAKQApADsAXABuAFwAbgBcAG4AXABuAC8AKgAgAFsARwBSAF0AIAAtAC0ALQAtAC0ALQAtAC0ALQAtAC0ALQAtAC0ALQAtAC0ALQAtAC0ALQAtAC0ALQAtAC0ALQAtAC0ALQAtAC0ALQAtAC0ALQAtAC0ALQAtAC0ALQAtAC0ALQAtAC0ALQAtAC0ALQAtAC0ALQAtAC0ALQAtAC0ALQAtAC0ALQAtAC0ALQAtAC0ALQAtAC0ALQAtAC0ALQBcAG4AIwAjACAAMAA2ACAAFCAgAEcAcgBpAGQAIABBAG4AYQBsAHkAdABpAGMAcw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RwByAGkAZAAgAEEAbgBhAGwAeQB0AGkAYwBzACAAaQBzACAAYQAgAGMAbwBsAGwAZQBjAHQAaQBvAG4AIABvAGYAIABmAHUAbgBjAHQAaQBvAG4AcwAgAGYAbwByACAAZQBsAGUAZwBhAG4AdAAgAHMAZQBxAHUAZQBuAGMAaQBuAGcALABcAG4AIAAgACAAIABjAGEAdABlAGcAbwByAGkAYwBhAGwAIABhAG4AYQBsAHkAcwBpAHMALAAgAG4AZQBpAGcAaABiAG8AcgBoAG8AbwBkABEgYgBhAHMAZQBkACAAYQBnAGcAcgBlAGcAYQB0AGkAbwBuACwAIABhAG4AZAAgAHMAdABhAHQAaQBzAHQAaQBjAHMALgBcAG4AIAAgACAAIABUAGgAaQBzACAAbQBvAGQAdQBsAGUAIABlAHgAdABlAG4AZABzACAAdABoAGUAIABjAGEAcABhAGIAaQBsAGkAdABpAGUAcwAgAG8AZgAgAG4AYQB0AGkAdgBlACAARQB4AGMAZQBsACAAZgB1AG4AYwB0AGkAbwBuAHMAXABuACAAIAAgACAAKABlAC4AZwAuACwAIABNAG8AZABlALsDIABjAGEAbgAgAHIAZQB0AHUAcgBuACAAdABoAGUAIABtAG8AcwB0ACAAZgByAGUAcQB1AGUAbgB0ACAAbgB1AG0AZQByAGkAYwBhAGwAIABvAHIAIAB0AGUAeAB0ACAAdgBhAGwAdQBlAHMAKQAuAFwAbgBcAG4AIAAgACAAIABTAHUAYgARIGMAYQB0AGUAZwBvAHIAaQBlAHMAOgBcAG4AXABuACAAIAAgACAAIAAgACAAIAAiICAAUwBlAHEAdQBlAG4AYwBpAG4AZwBcAG4AIAAgACAAIAAgACAAIAAgACAAIAAgACAAIAAgAFMAdAByAGUAYQBrALsDLAAgAEMAbwB1AG4AdABkAG8AdwBuALsDXABuAFwAbgAgACAAIAAgACAAIAAgACAAIiAgAEMAYQB0AGUAZwBvAHIAaQBjAGEAbAAgAEEAbgBhAGwAeQBzAGkAcwBcAG4AIAAgACAAIAAgACAAIAAgACAAIAAgACAAIAAgAEIAeQBEAGkAYQBnALsDLAAgAEQAaQBhAGcATQBhAHAAuwMsACAARABpAGEAZwBJAG4AZABlAHgAuwMsACAAUABhAGkAcgB3AGkAcwBlALsDLAAgAEcAcgBvAHUAcABiAHkAQgBpAG4AuwMsACAARwByAG8AdQBwAGIAeQBEAGEAdABlALsDLAAgAFAAaQB2AG8AdABiAHkAQwBhAHQ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0AYQB0AHIAaQB4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tAGEAdAByAGkAeAAgAGIAeQAgAGEAZwBnAHIAZQBnAGEAdABpAG4AZwAgAG8AdgBlAHIAIABuAG8AbgARIG8AdgBlAHIAbABhAHAAcABpAG4AZwAgAHMAcABhAHQAaQBhAGwAIABiAGwAbwBjAGsAcwBcAG4AIAAgACAAIABvAGYAIABzAGkAegBlACAAZABlAHAAdABoACAA1wAgAHcAaQBkAHQAaAAuACAAUABhAHIAdABpAGEAbAAgAGIAbABvAGMAawBzACAAYQB0ACAAdABoAGUAIABlAGQAZwBlAHMAIABhAHIAZQAgAGkAbgBjAGwAdQBkAGUAZAAuACAAVABoAGUAXABuACAAIAAgACAAYQBnAGcAcgBlAGcAYQB0AGkAbwBuACAAaQBzACAAcABlAHIAZgBvAHIAbQBlAGQAIAB1AHMAaQBuAGcAIABhAG4AIABFAFQAQQARIGMAbwBtAHAAYQB0AGkAYgBsAGUAIABmAHUAbgBjAHQAaQBvAG4AIAAoAGUALgBnAC4ALAAgAFMAVQBNACwAXABuACAAIAAgACAAQQBWAEUAUgBBAEcARQAsACAATQBBAFgALAAgAE0ASQBOACwAIABNAEUARABJAEEATgAsACAAbwByACAAYQAgAGMAdQBzAHQAbwBtACAATABBAE0AQgBEAEEAKQAuAFwAbgBcAG4AUABhAHIAYQBtAGUAdABlAHIAcwA6AFwAbgAgACAAIAAgAG0AYQB0AHIAaQB4ACAAIAAgACAAIAAgAC0AIAAyAEQAIABpAG4AcAB1AHQAIABtAGEAdAByAGkAe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tAGEAdAByAGkAeAAgAGkAbgBwAHUAdABzAC4AXABuACAAIAAgACAAIiAgAFIAZQBqAGUAYwB0AHMAIABpAG4AdgBhAGwAaQBkACAAYgBsAG8AYwBrACAAcwBpAHoAZQBzACAAbwByACAAdABlAHgAdAAgAGQAaQBtAGUAbgBzAGkAbwBuAHMALgBcAG4AIAAgACAAIAAiICAAUABhAHIAdABpAGEAbAAgAGIAbABvAGMAawBzACAAYQByAGUAIABoAGEAbgBkAGwAZQBkACAAYQB1AHQAbwBtAGEAdABpAGMAYQBsAGwAeQAgAHYAaQBhACAASQBOAEQARQBYACAAKwAgAFQATwBDAE8ATAAuAFwAbgAtAC0ALQAtAC0ALQAtAC0ALQAtAC0ALQAtAC0ALQAtAC0ALQAtAC0ALQAtAC0ALQAtAC0ALQAtAC0ALQAtAC0ALQAtAC0ALQAtAC0ALQAtAC0ALQAtAC0ALQAtAC0ALQAtAC0ALQAtAC0ALQAtAC0ALQAtAC0ALQAtAC0ALQAtAC0ALQAtAC0ALQAtAC0ALQAtAC0ALQAtAC0ALQAqAC8AXABuAFwAbgBHAHIAYQBpAG4AuwMgAD0AXABuAEwAQQBNAEIARABBACgAXABuACAAIAAgACAAbQBhAHQAcgBpAHgALABcAG4AIAAgACAAIABkAGUAcAB0AGgALABcAG4AIAAgACAAIAB3AGkAZAB0AGgALABcAG4AIAAgACAAIABmAHUAbgBjAHQAaQBvAG4ALABcAG4AXABuAEkARgAoAE4ATwBUACgAVABZAFAARQAoAG0AYQB0AHIAaQB4ACkAIAA9ACAANgA0ACkALABcACIAIwBNAEEAVABSAEkAWAAhAFwAIgAsAFwAbgBcAG4AIAAgACAAIABJAEYAKABPAFIAKABkAGUAcAB0AGgAIAA+ACAAUgBPAFcAUwAoAG0AYQB0AHIAaQB4ACkALAAgAHcAaQBkAHQAaAAgACAAPgAgAEMATwBMAFUATQBOAFMAKABtAGEAdAByAGkAe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bQBhAHQAcgBpAHgAKQAsAFwAbgAgACAAIAAgAHcALAAgACAAIAAgACAAIAAgACAAIAAgACAAIAAgACAAQwBPAEwAVQBNAE4AUwAoAG0AYQB0AHIAaQB4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bQBhAHQAcgBpAHg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NAGEAdAByAGkAeAAgACAAIAAgACAAIAAgACAAIAAgAC0AIAAyAEQAIABpAG4AcAB1AHQAIABtAGEAdAByAGkAe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NAGEAdAByAGkAeAAsAFwAbgAgACAAIAAgAGYAdQBuAGMAdABpAG8AbgAsAFwAbgAgACAAIAAgAFsASQBzAHYAbwBuAE4AZQB1AG0AYQBuAG4APwBdACwAXABuACAAIAAgACAAWwBvAG0AaQB0AF8AYwBlAG4AdABlAHIAXQAsAFwAbgBcAG4ASQBGACgAVABZAFAARQAoAE0AYQB0AHIAaQB4ACkAIAA8AD4AIAA2ADQALABcACIAIwBNAEEAVABSAEkAW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NAGEAdAByAGkAeAApACwAXABuACAAIAAgACAAdwBpAGQAdABoACwAIAAgACAAIAAgACAAIAAgACAAIAAgACAAIAAgAEMATwBMAFUATQBOAFMAKABNAGEAdAByAGkAeAApACwAXABuAFwAbgAgACAAIAAgAC8ALwAgAFAAYQBkACAAbQBhAHQAcgBpAHg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NAGEAdAByAGkAe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0AYQB0AHIAaQB4AFwAbgAgACAAIAAgAGQAZQBsAGkAdgBlAHIALAAgACAAIAAgACAAIAAgACAAIAAgACAAIAAgACAAIABJAEYARQBSAFIATwBSACgAVwBSAEEAUABSAE8AVwBTACgAYQBnAGcALAAgAHcAaQBkAHQAaAApACwAIAAwACkALABcAG4AXABuACAAIAAgACAAZABlAGwAaQB2AGUAcgBcAG4AKQApACkAKQA7AFwAbgBcAG4AXABuAFwAbgAvACoAIABbAEcAUgAxADIAXQAgAC0ALQAtAC0ALQAtAC0ALQAtAC0ALQAtAC0ALQAtAC0ALQAtAC0ALQAtAC0ALQAtAC0ALQAtAC0ALQAtAC0ALQAtAC0ALQAtAC0ALQAtAC0ALQAtAC0ALQAtAC0ALQAtAC0ALQAtAC0ALQAtAC0ALQAtAC0ALQAtAC0ALQAtAC0ALQAtAC0ALQAtAC0ALQAtAC0AXABuAEYAdQBuAGMAdABpAG8AbgA6ACAAIAAgACAAIABNAG8AbwByAGUAUwBlAGwAZQBjAHQ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wBlAGwAZQBjAHQAcwAgAGEAIABzAHAAZQBjAGkAZgBpAGMAIABuAGUAaQBnAGgAYgBvAHIAIAAoADEAEyA5ACkAIABmAHIAbwBtACAAdABoAGUAIABNAG8AbwByAGUAIABuAGUAaQBnAGgAYgBvAHIAaABvAG8AZAAgAGYAbwByACAAZQBhAGMAaABcAG4AIAAgACAAIABlAGwAZQBtAGUAbgB0ACAAaQBuACAAYQAgAG0AYQB0AHIAaQB4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E0AYQB0AHIAaQB4ACAAIAAgACAAIAAgAC0AIAAyAEQAIABpAG4AcAB1AHQAIABtAGEAdAByAGkAeAAuAFwAbgAgACAAIAAgAG4AZQBpAGcAaABiAG8AcgAgACAAIAAgAC0AIABJAG4AdABlAGcAZQByACAAMQATIDkAIABpAG4AZABpAGMAYQB0AGkAbgBnACAAdwBoAGkAYwBoACAAbgBlAGkAZwBoAGIAbwByACAAdABvACAAcgBlAHQAdQByAG4ALgBcAG4ALQAtAC0ALQAtAC0ALQAtAC0ALQAtAC0ALQAtAC0ALQAtAC0ALQAtAC0ALQAtAC0ALQAtAC0ALQAtAC0ALQAtAC0ALQAtAC0ALQAtAC0ALQAtAC0ALQAtAC0ALQAtAC0ALQAtAC0ALQAtAC0ALQAtAC0ALQAtAC0ALQAtAC0ALQAtAC0ALQAtAC0ALQAtAC0ALQAtAC0ALQAtAC0AKgAvAFwAbgBcAG4ATQBvAG8AcgBlAFMAZQBsAGUAYwB0ALsDIAA9AFwAbgBMAEEATQBCAEQAQQAoAFwAbgAgACAAIAAgAG0AYQB0AHIAaQB4ACwAXABuACAAIAAgACAAbgBlAGkAZwBoAGIAbwByACwAXABuAFwAbgBJAEYAKABUAFkAUABFACgAbQBhAHQAcgBpAHgAKQAgADwAPgAgADYANAAsAFwAIgAjAE0AQQBUAFIASQBYACEAXAAiACwAXABuAFwAbgAgACAAIAAgAEkARgAoAE4ATwBUACgAQQBOAEQAKABuAGUAaQBnAGgAYgBvAHIAIAA+AD0AIAAxACwAIABuAGUAaQBnAGgAYgBvAHIAIAA8AD0AIAA5ACwAIABOAE8AVAAoAEkAUwBUAEUAWABUACgAbgBlAGkAZwBoAGIAbwByACkAKQApACkALABcACIAIwBOAEUASQBHAEgAQgBPAFIAIQBcACIALABcAG4AXABuAEwARQBUACgAXABuACAAIAAgACAALwAvACAARABpAG0AZQBuAHMAaQBvAG4AcwBcAG4AIAAgACAAIABoAGUAaQBnAGgAdAAsACAAIAAgACAAIAAgACAAIAAgACAAIAAgACAAUgBPAFcAUwAoAG0AYQB0AHIAaQB4ACkALABcAG4AIAAgACAAIAB3AGkAZAB0AGgALAAgACAAIAAgACAAIAAgACAAIAAgACAAIAAgACAAQwBPAEwAVQBNAE4AUwAoAG0AYQB0AHIAaQB4ACkALABcAG4AXABuACAAIAAgACAALwAvACAAUABhAGQAIABtAGEAdAByAGkAeAAgAHcAaQB0AGgAIAB6AGUAcgBvAHMAIAAoAG4AbwAgAGEAZwBnAHIAZQBnAGEAdABpAG8AbgAgAG4AZQBlAGQAZQBkACkAXABuACAAIAAgACAAaABwAGEAZAAsACAAIAAgACAAIAAgACAAIAAgACAAIAAgACAAIAAgAEUAWABQAEEATgBEACgAMAAsACAALAAgAHcAaQBkAHQAaAAgACsAIAAyACwAIAAwACkALABcAG4AIAAgACAAIAB2AHAAYQBkACwAIAAgACAAIAAgACAAIAAgACAAIAAgACAAIAAgACAARQBYAFAAQQBOAEQAKAAwACwAIABoAGUAaQBnAGgAdAAsACAALAAgADAAKQAsAFwAbgAgACAAIAAgAE0ALAAgACAAIAAgACAAIAAgACAAIAAgACAAIAAgACAAIAAgACAAIABWAFMAVABBAEMASwAoAGgAcABhAGQALAAgAEgAUwBUAEEAQwBLACgAdgBwAGEAZAAsACAAbQBhAHQAcgBpAHg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tAGEAdAByAGkAe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tAGEAdAByAGkAeABcAG4AIAAgACAAIABiAGkAdABzACwAIAAgACAAIAAgACAAIAAgACAARABlAGMAMgBCAGkAbgC7AygAbgAsACAAMQApACwAXABuAFwAbgAgACAAIAAgAC8ALwAgAEMAbwB1AG4AdAAgAGIAaQB0AHMAXABuACAAIAAgACAAYwBvAHUAbgB0AHMALAAgACAAIAAgACAAIAAgAEkARgAoAEkAcwBTAGMAYQBsAGEAcgA/ACwAIABTAFUATQAoAGIAaQB0AHMAKQAsAGYAbgC7AygAYgBpAHQAcwAsAFMAVQBNACkAKQAsAFwAbgBcAG4AIAAgACAAIABmAGkAbgBhAGwALAAgACAAIAAgACAAIAAgACAASQBGACgASQBzADEARAA/ACwAYwBvAHUAbgB0AHMALABXAFIAQQBQAFIATwBXAFMAKABjAG8AdQBuAHQAcwAsAHcAKQApACwAXABuAFwAbgAgACAAIAAgAGYAaQBuAGEAbABcAG4AKQApADsAXABuAFwAbgBcAG4AXABuAC8AKgAgAFsARQBOADAANABdACAALQAtAC0ALQAtAC0ALQAtAC0ALQAtAC0ALQAtAC0ALQAtAC0ALQAtAC0ALQAtAC0ALQAtAC0ALQAtAC0ALQAtAC0ALQAtAC0ALQAtAC0ALQAtAC0ALQAtAC0ALQAtAC0ALQAtAC0ALQAtAC0ALQAtAC0ALQAtAC0ALQAtAC0ALQAtAC0ALQAtAC0ALQAtAC0ALQBcAG4ARgB1AG4AYwB0AGkAbwBuADoAIAAgACAAIAAgACAAIAAgAEQAZQBjADIAQgBpAG4AuwNcAG4AQwBhAHQAZQBnAG8AcgB5ADoAIAAgACAAIAAgACAAIAAgAEUAbgBnAGkAbgBlAGUAcgBpAG4AZwBcAG4AQQB1AHQAaABvAHIAOgAgACAAIAAgACAAIAAgACAAIAAgAFAAYQB0AHIAaQBjAGsAIABIAC4AXABuAFYAZQByAHMAaQBvAG4AOgAgACAAIAAgACAAIAAgACAAIAAxAC4AMQBcAG4AXABuAEQAZQBzAGMAcgBpAHAAdABpAG8AbgA6AFwAbgAgACAAIAAgAEMAbwBuAHYAZQByAHQAcwAgAG4AbwBuABEgbgBlAGcAYQB0AGkAdgBlACAAaQBuAHQAZQBnAGUAcgBzACAAaQBuAHQAbwAgAGIAaQBuAGEAcgB5AC4AIABTAHUAcABwAG8AcgB0AHMAIABzAGMAYQBsAGEAcgAsACAAMQBEACwAIABhAG4AZAAgADIARABcAG4AIAAgACAAIABpAG4AcAB1AHQAcwAgAHcAaQB0AGgAIABmAHUAbABsACAAcwBoAGEAcABlACAAcAByAGUAcwBlAHIAdgBhAHQAaQBvAG4ALgAgAFIAZQB0AHUAcgBuAHMAIABlAGkAdABoAGUAcgAgAGMAbwBuAGMAaQBzAGUAIABiAGkAbgBhAHIAeQAgAHMAdAByAGkAbgBnAHMAXABuACAAIAAgACAAbwByACAAZQB4AHAAbABvAGQAZQBkACAAMgBEACAAYgBpAHQAESBhAHIAcgBhAHkAcwAuAFwAbgBcAG4AUABhAHIAYQBtAGUAdABlAHIAcwA6AFwAbgAgACAAIAAgAG4AdQBtAGIAZQByAHMAXABuACAAIAAgACAAIAAgACAAIABTAGMAYQBsAGEAcgAsACAAMQBEACAAYQByAHIAYQB5ACwAIABvAHIAIAAyAEQAIABhAHIAcgBhAHkAIABvAGYAIABuAG8AbgARIG4AZQBnAGEAdABpAHYAZQAgAGkAbgB0AGUAZwBlAHIAcwAuAFwAbgBcAG4AIAAgACAAIABbAEEAcgByAGEAeQBfAEYAbwByAG0AXwAyAEQAXQBcAG4AIAAgACAAIAAgACAAIAAgAE8AcAB0AGkAbwBuAGEAbAAuACAAVABSAFUARQAgAJIhIAByAGUAdAB1AHIAbgAgAGUAeABwAGwAbwBkAGUAZAAgADIARAAgAGIAaQB0ABEgYQByAHIAYQB5AHMALgBcAG4AIAAgACAAIAAgACAAIAAgAE8AbQBpAHQAdABlAGQAIACSISAAcgBlAHQAdQByAG4AIABjAG8AbgBjAGkAcwBlACAAYgBpAG4AYQByAHkAIABzAHQAcgBpAG4AZwBzAC4AXABuAFwAbgBOAG8AdABlAHMAOgBcAG4AIAAgACAAIAAiICAAUwB1AHAAcABvAHIAdABzACAAYQByAGIAaQB0AHIAYQByAGkAbAB5ACAAbABhAHIAZwBlACAAaQBuAHQAZQBnAGUAcgBzACAAKABiAGUAeQBvAG4AZAAgAEUAeABjAGUAbAAZIHMAIABuAGEAdABpAHYAZQAgAEIASQBOADIARABFAEMAIABsAGkAbQBpAHQAcwApAC4AXABuACAAIAAgACAAIiAgAEMAbwBuAGMAaQBzAGUAIABvAHUAdABwAHUAdAAgAGEAdgBvAGkAZABzACAAcwBjAGkAZQBuAHQAaQBmAGkAYwAgAG4AbwB0AGEAdABpAG8AbgAgAGEAbgBkACAAMQA2ABEgZABpAGcAaQB0ACAAcAByAGUAYwBpAHMAaQBvAG4AIABpAHMAcwB1AGUAcwAuAFwAbgAgACAAIAAgACIgIAAyAEQAIABpAG4AcAB1AHQAcwAgAHAAcgBlAHMAZQByAHYAZQAgAHQAaABlAGkAcgAgAG8AcgBpAGcAaQBuAGEAbAAgAHMAaABhAHAAZQAgAHcAaABlAG4AIABjAG8AbgBjAGkAcwBlACAAbwB1AHQAcAB1AHQAIABpAHMAIABzAGUAbABlAGMAdABlAGQALgBcAG4ALQAtAC0ALQAtAC0ALQAtAC0ALQAtAC0ALQAtAC0ALQAtAC0ALQAtAC0ALQAtAC0ALQAtAC0ALQAtAC0ALQAtAC0ALQAtAC0ALQAtAC0ALQAtAC0ALQAtAC0ALQAtAC0ALQAtAC0ALQAtAC0ALQAtAC0ALQAtAC0ALQAtAC0ALQAtAC0ALQAtAC0ALQAtAC0ALQAtAC0ALQAtAC0AKgAvAFwAbgBcAG4ARABlAGMAMgBCAGkAbgC7Az0AXABuAEwAQQBNAEIARABBACgAXABuACAAIAAgACAAbgB1AG0AYgBlAHIAcwAsAFwAbgAgACAAIAAgAFsAQQByAHIAYQB5AF8ARgBvAHIAbQBfADIARABdACwAXABuAFwAbgAvAC8AQwBoAGUAYwBrACAAbgB1AG0AYgBlAHIAcwBcAG4ASQBGACgATwBSACgASQBTAFQARQBYAFQAKABuAHUAbQBiAGUAcgBzACkALAAgAEkAUwBFAFIAUgBPAFIAKAAtAC0AbgB1AG0AYgBlAHIAcwApACwAbgB1AG0AYgBlAHIAcwAgADwAIAAwACkALAAgACMAVgBBAEwAVQBFACEALABcAG4AXABuAEwARQBUACgAXABuACAAIAAgACAALwAvACAASQBuAHAAdQB0ACAAcwBoAGEAcABlAFwAbgAgACAAIAAgAGgALAAgACAAIAAgACAAIAAgACAAIAAgACAAIAAgAFIATwBXAFMAKABuAHUAbQBiAGUAcgBzACkALABcAG4AIAAgACAAIAB3ACwAIAAgACAAIAAgACAAIAAgACAAIAAgACAAIABDAE8ATABVAE0ATgBTACgAbgB1AG0AYgBlAHIAcwApACwAXABuAFwAbgAgACAAIAAgAEkAcwBTAGMAYQBsAGEAcgA/ACwAIAAgACAAIAAgAEEATgBEACgAaAAgAD0AIAAxACwAIAB3ACAAPQAgADEAKQAsAFwAbgAgACAAIAAgAEkAcwBWAGUAcgB0AGkAYwBhAGwAPwAsACAAIAAgAGgAIAA+ACAAdwAsAFwAbgAgACAAIAAgAEkAcwAyAEQAPwAsACAAIAAgACAAIAAgACAAIAAgAEEATgBEACgAaAAgAD4AIAAxACwAdwAgAD4AIAAxACkALABcAG4AXABuACAAIAAgACAALwAvACAARgBsAGEAdAB0AGUAbgAgAGkAbgBwAHUAdABcAG4AIAAgACAAIABuAHUAbQBiAGUAcgBzACwAIAAgACAAIAAgACAAIABUAE8AQwBPAEwAKABuAHUAbQBiAGUAcgBzACkALABcAG4AXABuACAAIAAgACAALwAvACAARgBvAHIAbQBcAG4AIAAgACAAIABJAHMAVgBlAGMAdABvAHIAPwAsACAAIAAgACAAIABJAFMATwBNAEkAVABUAEUARAAoAEEAcgByAGEAeQBfAEYAbwByAG0AXwAyAEQAKQAsAFwAbgBcAG4AIAAgACAAIAAvAC8AIABNAGEAeAAgAGIAaQB0AHMAIABuAGUAZQBkAGUAZAAgAHQAbwAgAGUAeABwAHIAZQBzAHMAIAByAGUAcwB1AGwAdABzACAAYQBzACAAYQByAHIAYQB5AFwAbgAgACAAIAAgAGIAaQB0AHMALAAgACAAIAAgACAAIAAgACAAIAAgAE0AQQBYACgASQBGAEUAUgBSAE8AUgAoAEkATgBUACgATABPAEcAKABuAHUAbQBiAGUAcgBzACwAMgApACkAIAArACAAMQAsADEAKQApACwAXABuAFwAbgAgACAAIAAgAC8ALwAgAEYAbwByAG0AcwAgAC0AIAAyAEQAIABhAHIAcgBhAHkALAAgAGIAaQBuACAAdgBlAGMAdABvAHIAIAAtACAAZQBhAGcAZQByACAAZQB2AGEAbAB1AGEAdABpAG8AbgAgAGQAZQBmAGUAcgByAGUAZABcAG4AIAAgACAAIABiAGkAbgBfAGEAcgByACwAIAAgACAAIAAgACAAIABMAEEATQBCAEQAQQAoAE0ATwBEACgAQgBJAFQAUgBTAEgASQBGAFQAKABuAHUAbQBiAGUAcgBzACwAUwBFAFEAVQBFAE4AQwBFACgALABiAGkAdABzACwAYgBpAHQAcwAgAC0AIAAxACwALQAxACkAKQAsADIAKQApACwAXABuACAAIAAgACAAYgBpAG4AXwB2AGUAYwB0AG8AcgAsACAAIAAgACAATABBAE0AQgBEAEEAKABCAFkAUgBPAFcAKABiAGkAbgBfAGEAcgByACgAKQAsAEMATwBOAEMAQQBUACkAKQAsAFwAbgAgACAAIAAgAGIAaQBuAF8AcgBlAHMAdQBsAHQALAAgACAAIAAgAEwAQQBNAEIARABBACgASQBGACgASQBzAFYAZQBjAHQAbwByAD8ALABiAGkAbgBfAHYAZQBjAHQAbwByACgAKQAsAGIAaQBuAF8AYQByAHIAKAApACkAKQAsAFwAbgBcAG4AIAAgACAAIAAvAC8AIABSAGUALQBzAGgAYQBwAGkAbgBnACAAJgAgAGQAZQBsAGkAdgBlAHIAeQBcAG4AIAAgACAAIABkAGUAbABpAHYAZQByACwAIAAgACAAIAAgACAAIABJAEYAKABJAHMAMgBEAD8ALABXAFIAQQBQAFIATwBXAFMAKABiAGkAbgBfAHYAZQBjAHQAbwByACgAKQAsAHcAKQAsAFwAbgAgACAAIAAgACAAIAAgACAAIAAgACAAIAAgACAAIAAgACAAIAAgACAAIAAgACAAIABJAEYAKABPAFIAKABJAHMAUwBjAGEAbABhAHIAPwAsAEkAcwBWAGUAcgB0AGkAYwBhAGwAPwApACwAYgBpAG4AXwByAGUAcwB1AGwAdAAoACkALABcAG4AIAAgACAAIAAgACAAIAAgACAAIAAgACAAIAAgACAAIAAgACAAIAAgACAAIAAgACAAIAAgACAAIABUAFIAQQBOAFMAUABPAFMARQAoAGIAaQBuAF8AcgBlAHMAdQBsAHQAKAApACkAKQApACwAXABuACAAIAAgACAAZABlAGwAaQB2AGUAcgBcAG4AKQApACkAOwBcAG4AXABuAFwAbgBcAG4ALwAqACAAWwBFAE4AMAA1AF0AIAAtAC0ALQAtAC0ALQAtAC0ALQAtAC0ALQAtAC0ALQAtAC0ALQAtAC0ALQAtAC0ALQAtAC0ALQAtAC0ALQAtAC0ALQAtAC0ALQAtAC0ALQAtAC0ALQAtAC0ALQAtAC0ALQAtAC0ALQAtAC0ALQAtAC0ALQAtAC0ALQAtAC0ALQAtAC0ALQAtAC0ALQAtAC0ALQAtAFwAbgBGAHUAbgBjAHQAaQBvAG4AOgAgACAAIAAgACAAIAAgACAARABlAGM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LAAgAEIAaQBuADIARwByAGEAeQC7A1wAbgBcAG4ARABlAHMAYwByAGkAcAB0AGkAbwBuADoAXABuACAAIAAgACAAQwBvAG4AdgBlAHIAdABzACAAbgBvAG4AESBuAGUAZwBhAHQAaQB2AGUAIABpAG4AdABlAGcAZQByAHMAIABpAG4AdABvACAARwByAGEAeQARIGMAbwBkAGUAIAB2AGEAbAB1AGUAcwAuACAAUwB1AHAAcABvAHIAdABzACAAcwBjAGEAbABhAHIALAAgADEARAAsAFwAbgAgACAAIAAgAGEAbgBkACAAMgBEACAAaQBuAHAAdQB0AHMAIAB3AGkAdABoACAAZgB1AGwAbAAgAHMAaABhAHAAZQAgAHAAcgBlAHMAZQByAHYAYQB0AGkAbwBuAC4AIABPAHUAdABwAHUAdAAgAGMAYQBuACAAYgBlACAAcgBlAHQAdQByAG4AZQBkACAAZQBpAHQAaABlAHIAXABuACAAIAAgACAAYQBzACAAYwBvAG4AYwBpAHMAZQAgAEcAcgBhAHkAESBjAG8AZABlACAAcwB0AHIAaQBuAGcAcwAgAG8AcgAgAGEAcwAgAGUAeABwAGwAbwBkAGUAZAAgADIARAAgAGIAaQB0ABEgYQByAHIAYQB5AHMALgBcAG4AXABuAFAAYQByAGEAbQBlAHQAZQByAHMAOgBcAG4AIAAgACAAIABuAHUAbQBiAGUAcgBcAG4AIAAgACAAIAAgACAAIAAgAFMAYwBhAGwAYQByACwAIAAxAEQAIABhAHIAcgBhAHkALAAgAG8AcgAgADIARAAgAGEAcgByAGEAeQAgAG8AZgAgAG4AbwBuABEgbgBlAGcAYQB0AGkAdgBlACAAaQBuAHQAZQBnAGUAcgBz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BlAHgAcABsAG8AZABlAGQAIAAyAEQAIABHAHIAYQB5ABEgYwBvAGQAZQAgAGIAaQB0ACAAYQByAHIAYQB5AHMALgBcAG4AXABuAE4AbwB0AGUAcwA6AFwAbgAgACAAIAAgACIgIABVAHMAZQBzACAARABlAGMAMgBCAGkAbgC7AyAAdABvACAAbwBiAHQAYQBpAG4AIABiAGkAbgBhAHIAeQAsACAAdABoAGUAbgAgAEIAaQBuADIARwByAGEAeQC7AyAAdABvACAAYwBvAG4AdgBlAHIAdAAgAHQAbwAgAEcAcgBhAHkAIABjAG8AZABl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EAGUAYwAyAEcAcgBhAHkAuwMgAD0AXABuAEwAQQBNAEIARABBACgAXABuACAAIAAgACAAbgB1AG0AYgBlAHIALABcAG4AIAAgACAAIABbAGMAbwBuAGMAaQBzAGUAXQAsAFwAbgAgACAAIAAgAEIAaQBuADIARwByAGEAeQC7AygARABlAGMAMgBCAGkAbgC7AygAbgB1AG0AYgBlAHIAKQAsACAAYwBvAG4AYwBpAHMAZQApAFwAbgApADsAXABuAFwAbgBcAG4AXABuAC8ALwAgAFsAQwBCAF0AIAAtAC0ALQAtAC0ALQAtAC0ALQAtAC0ALQAtAC0ALQAtAC0ALQAtAC0ALQAtAC0ALQAtAC0ALQAtAC0ALQAtAC0ALQAtAC0ALQAtAC0ALQAtAC0ALQAtAC0ALQAtAC0ALQAtAC0ALQAtAC0ALQAtAC0ALQAtAC0ALQAtAC0ALQAtAC0ALQAtAC0ALQAtAC0ALQAtAC0ALQAtAC0AXABuAC8ALwAgAC0ALQAtACMAIwAgADAAOQAgABQgIABDAG8AbQBiAGkAbgBhAHQAbwByAGkAYwBz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QwBvAG0AYgBpAG4AYQB0AG8AcgBpAGMAcwAgAGMAYQB0AGUAZwBvAHIAeQAgAHAAcgBvAHYAaQBkAGUAcwAgAGgAaQBnAGgAESBwAGUAcgBmAG8AcgBtAGEAbgBjAGUAIABnAGUAbgBlAHIAYQB0AG8AcgBzACAAZgBvAHIAXABuACAAIAAgACAAcABlAHIAbQB1AHQAYQB0AGkAbwBuAHMALAAgAGMAbwBtAGIAaQBuAGEAdABpAG8AbgBzACwAIABzAHUAYgBzAGUAdABzACwAIABhAG4AZAAgAHIAZQBsAGEAdABlAGQAIABzAHQAcgB1AGMAdAB1AHIAZQBzAC4AXABuAFwAbgBGAHUAbgBjAHQAaQBvAG4AcwA6AFwAbgAgACAAIAAgACIgIABQAGUAcgBtAFIAuwNcAG4AIAAgACAAIAAgACAAIAAgAEcAZQBuAGUAcgBhAHQAZQBzACAAcABlAHIAbQB1AHQAYQB0AGkAbwBuAHMAIAB3AGkAdABoACAAcgBlAHAAbABhAGMAZQBtAGUAbgB0ACAAKABrABEgdAB1AHAAbABlAHMAIABkAHIAYQB3AG4AIABmAHIAbwBtACAAbgAgAGkAdABlAG0AcwApAC4AXABuAFwAbgAgACAAIAAgACIgIABQAGUAcgBtALsDXABuACAAIAAgACAAIAAgACAAIABHAGUAbgBlAHIAYQB0AGUAcwAgAHAAZQByAG0AdQB0AGEAdABpAG8AbgBzACAAdwBpAHQAaABvAHUAdAAgAHIAZQBwAGwAYQBjAGUAbQBlAG4AdAAuAFwAbgBcAG4AIAAgACAAIAAiICAAQwBvAG0AYgBpAG4AYQB0AGkAbwBuAHMAUgC7A1wAbgAgACAAIAAgACAAIAAgACAARwBlAG4AZQByAGEAdABlAHMAIABjAG8AbQBiAGkAbgBhAHQAaQBvAG4AcwAgAHcAaQB0AGgAIAByAGUAcABsAGEAYwBlAG0AZQBuAHQALgBcAG4AXABuACAAIAAgACAAIiAgAEMAbwBtAGIAaQBuAGEAdABpAG8AbgBzALsDXABuACAAIAAgACAAIAAgACAAIABHAGUAbgBlAHIAYQB0AGUAcwAgAGMAbwBtAGIAaQBuAGEAdABpAG8AbgBzACAAdwBpAHQAaABvAHUAdAAgAHIAZQBwAGwAYQBjAGUAbQBlAG4AdAAuAFwAbgBcAG4AIAAgACAAIAAiICAARABlAHIAYQBuAGcAZQBtAGUAbgB0AHMAuwNcAG4AIAAgACAAIAAgACAAIAAgAEcAZQBuAGUAcgBhAHQAZQBzACAAcABlAHIAbQB1AHQAYQB0AGkAbwBuAHMAIAB3AGgAZQByAGUAIABuAG8AIABlAGwAZQBtAGUAbgB0ACAAcgBlAG0AYQBpAG4AcwAgAGkAbgAgAGkAdABzACAAbwByAGkAZwBpAG4AYQBsACAAcABvAHMAaQB0AGkAbwBuAC4AXABuAFwAbgAgACAAIAAgACIgIABLAG4AYQBwAFMAYQBjAGsAuwNcAG4AIAAgACAAIAAgACAAIAAgAFMAbwBsAHYAZQBzACAAdABoAGUAIABzAHUAYgBzAGUAdAARIHMAdQBtACAALwAgAGsAbgBhAHAAcwBhAGMAawAgAGYAZQBhAHMAaQBiAGkAbABpAHQAeQAgAHAAcgBvAGIAbABlAG0AIAB1AHMAaQBuAGcAIAB2AGUAYwB0AG8AcgBpAHoAZQBkAFwAbgAgACAAIAAgACAAIAAgACAAZQBuAHUAbQBlAHIAYQB0AGkAbwBuACAAYQBuAGQAIABmAGkAbAB0AGUAcgBpAG4AZwAuAFwAbgBcAG4AIAAgACAAIAAiICAAUwB1AGIAcwBlAHQARwBlAG4AuwNcAG4AIAAgACAAIAAgACAAIAAgAEcAZQBuAGUAcgBhAHQAZQBzACAAYQBsAGwAIABzAHUAYgBzAGUAdABzACAAbwBmACAAYQAgAHMAZQB0ACAAKAB0AGgAZQAgAHAAbwB3AGUAcgAgAHMAZQB0ACkALAAgAHIAZQB0AHUAcgBuAGUAZAAgAGkAbgAgAGIAaQBuAGEAcgB5ABEgbQBhAHMAawBcAG4AIAAgACAAIAAgACAAIAAgAG8AcgBkAGUAcgAuAFwAbgBcAG4AIAAgACAAIAAiICAAUwB1AGIAcwBlAHQAUwB1AG0AuwNcAG4AIAAgACAAIAAgACAAIAAgAFIAZQB0AHUAcgBuAHMAIABhAGwAbAAgAHMAdQBiAHMAZQB0AHMAIAB3AGgAbwBzAGUAIABlAGwAZQBtAGUAbgB0AHMAIABzAHUAbQAgAHQAbwAgAGEAIAB0AGEAcgBnAGUAdAAgAHYAYQBsAHUAZQAuAFwAbgBcAG4ATgBvAHQAZQBzADoAXABuACAAIAAgACAAIiAgAEEAbABsACAAZwBlAG4AZQByAGEAdABvAHIAcwAgAGEAcgBlACAAcwBoAGEAcABlABEgcAByAGUAcwBlAHIAdgBpAG4AZwAgAGEAbgBkACAAcgBlAHQAdQByAG4AIAAyAEQAIABhAHIAcgBhAHkAcwAgAHcAaABlAHIAZQAgAGUAYQBjAGgAIAByAG8AdwBcAG4AIAAgACAAIAAgACAAcgBlAHAAcgBlAHMAZQBuAHQAcwAgAG8AbgBlACAAYwBvAG0AYgBpAG4AYQB0AG8AcgBpAGEAbAAgAG8AYgBqAGUAYwB0AC4AXABuACAAIAAgACAAIiAgAEEAbABsACAAZgB1AG4AYwB0AGkAbwBuAHMAIABvAHAAZQByAGEAdABlACAAbwBuACAAYQByAHIAYQB5AHMAIABvAGYAIABpAHQAZQBtAHMALAAgAG4AbwB0ACAAagB1AHMAdAAgAGkAbgB0AGUAZwBlAHIAcwAuAFwAbgAgACAAIAAgACIgIABUAGgAZQAgAHUAbgBkAGUAcgBsAHkAaQBuAGcAIABhAHIAYwBoAGkAdABlAGMAdAB1AHIAZQAgAHUAcwBlAHMAIABhACAAZgB1AG4AbgBlAGwAIABtAG8AZABlAGwAOgAgAGwAYQByAGcAZQAgAGUAbgB1AG0AZQByAGEAdABpAG8AbgBzACAAYQByAGUAXABuACAAIAAgACAAIAAgAGcAZQBuAGUAcgBhAHQAZQBkACAAbwBuAGMAZQAgAGEAbgBkACAAZgBpAGwAdABlAHIAZQBkACAAYgB5ACAAbwByAGQAZQByACwAIAB1AG4AaQBxAHUAZQBuAGUAcwBzACwAIABvAHIAIABwAG8AcwBpAHQAaQBvAG4AYQBsACAAcAByAGUAZABpAGMAYQB0AGUAcwAuAFwAbgBcAG4ARQBuAHUAbQBlAHIAYQB0AGUAuwNcAG4AIAAgACAAIAAgACAAIAAgACAAIAAgACAAIAAgACAAIAAgACAAIAAgACAAIAAgACAAIAAgACAAIAAgACAAIAAgACgARwBlAG4AZQByAGEAdABpAG4AZwAgAGYAdQBuAGMAdABpAG8AbgApAFwAbgAgACAAIAAgACAAIAAgACAAIAAgACAAIAAgACAAIAAgACAAIAAgACAAIAAgACAAIAAgACAAIAAgACAAIAAgACAAIAAgACAAIAAgACAAIAAgAHwAXABuACAAIAAgACAAIAAgACAAIAAgACAAIAAgACAAIAAgACAAIAAgACAAIAAgACAAIAAgACAAIAAgACAAIAAgACAAIAAgACAAIAAgACAAIABQAGUAcgBtAFIAuwNcAG4AIAAgACAAIAAgACAAIAAgACAAIAAgACAAIAAgACAAIAAgACAAIAAgACgAZgB1AGwAbAAgAHAAZQByAG0AdQB0AGEAdABpAG8AbgBzACAAdwBpAHQAaAAgAHIAZQBwAGwAYQBjAGUAbQBlAG4AdAApAFwAbgAgACAAIAAgACAAIAAgACAAIAAgACAAIAAgACAAIAAgACAAIAAgACAAIAAgACAAIAAgACAAIAAgACAAIAAgACAAIAAgACAAIAAgACAAIAAgAHwAXABuACAAIAAgACAAIAAgACAAIAAgACAAIAAgACAAIAAgACAALQAtAC0ALQAtAC0ALQAtAC0ALQAtAC0ALQAtAC0ALQAtAC0ALQAtAC0ALQAtAC0ALQAtAC0ALQAtAC0ALQAtAC0ALQAtAC0ALQAtAC0ALQAtAC0ALQAtAC0ALQAtAC0ALQBcAG4AIAAgACAAIAAgACAAIAAgACAAIAAgACAAIAAgACAAIAB8ACAAIAAgACAAIAAgACAAIAAgACAAIAAgACAAIAAgACAAIAAgACAAIAAgACAAIAB8ACAAIAAgACAAIAAgACAAIAAgACAAIAAgACAAIAAgACAAIAAgACAAIAAgACAAIAB8AFwAbgAgACAAIAAgACAAIAAgACAAQwBvAG0AYgBpAG4AYQB0AGkAbwBuAHMAUgC7AyAAIAAgACAAIAAgACAAIAAgACAAIAAgACAAIAAgACAAUABlAHIAbQC7AyAAIAAgACAAIAAgACAAIAAgACAAIAAgACAAIABEAGUAcgBhAG4AZwBlAG0AZQBuAHQAcwC7A1wAbgAgACAAIAAgACAAIAAgACAAKABmAGkAbAB0AGUAcgAgAHIAZQBwAGUAYQB0AHMAKQAgACAAIAAgACAAIAAgACAAKABmAGkAbAB0AGUAcgAgAGIAeQAgAG8AcgBkAGUAcgApACAAIAAgACAAIAAoAGYAaQBsAHQAZQByACAAYgB5ACAAcABvAHMAaQB0AGkAbwBuACkAXABuACAAIAAgACAAIAAgACAAIAAgACAAIAAgACAAIAAgACAAfABcAG4AIAAgACAAIAAgACAAIAAgACAAIABDAG8AbQBiAGkAbgBhAHQAaQBvAG4AcwC7A1wAbgAgACAAIAAgACAAKABmAGkAbAB0AGUAcgAgAHIAZQBwAGUAYQB0AHMAIAArACAAbwByAGQAZQByACkAXABuAFwAbgBcAG4AKgAvAFwAbgBcAG4AXABuAFwAbgAvACoAIABbAEMAQgARIEMATwBSAEUAXQAgAC0ALQAtAC0ALQAtAC0ALQAtAC0ALQAtAC0ALQAtAC0ALQAtAC0ALQAtAC0ALQAtAC0ALQAtAC0ALQAtAC0ALQAtAC0ALQAtAC0ALQAtAC0ALQAtAC0ALQAtAC0ALQAtAC0ALQAtAC0ALQAtAC0ALQAtAC0ALQAtAC0ALQAtAC0ALQAtAC0ALQAtAC0ALQBcAG4ARgB1AG4AYwB0AGkAbwBuADoAIAAgACAAIAAgACAAIAAgAEUAbgB1AG0AZQByAGEAdABlALsDXABuAEMAYQB0AGUAZwBvAHIAeQA6ACAAIAAgACAAIAAgACAAIABDAG8AbQBiAGkAbgBhAHQAbwByAGkAYwBzAFwAbgBBAHUAdABoAG8AcgA6ACAAIAAgACAAIAAgACAAIAAgACAAUABhAHQAcgBpAGMAawAgAEgALgBcAG4AVgBlAHIAcwBpAG8AbgA6ACAAIAAgACAAIAAgACAAIAAgADEALgAxAFwAbgBcAG4ARABlAHMAYwByAGkAcAB0AGkAbwBuADoAXABuACAAIAAgACAAQwBvAHIAZQAgAGcAZQBuAGUAcgBhAHQAaQBuAGcAIABmAHUAbgBjAHQAaQBvAG4AIABmAG8AcgAgAGEAbABsACAAYwBvAG0AYgBpAG4AYQB0AG8AcgBpAGEAbAAgAG8AcABlAHIAYQB0AG8AcgBzACAAaQBuACAAdABoAGUAIABDAG8AbQBiAGkAbgBhAHQAbwByAGkAYwBzAFwAbgAgACAAIAAgAGMAYQB0AGUAZwBvAHIAeQAuACAAUAByAG8AZAB1AGMAZQBzACAAaQBuAGQAZQB4ACAAbQBhAHQAcgBpAGMAZQBzACAAZgBvAHIAIABwAGUAcgBtAHUAdABhAHQAaQBvAG4AcwAsACAAYwBvAG0AYgBpAG4AYQB0AGkAbwBuAHMALAAgAG0AdQBsAHQAaQBzAGUAdABzACwAXABuACAAIAAgACAAYQBuAGQAIABkAGUAcgBhAG4AZwBlAG0AZQBuAHQAcwAgAHUAcwBpAG4AZwAgAGEAIAB2AGUAYwB0AG8AcgBpAHoAZQBkACAAZgB1AG4AbgBlAGwAIABhAHIAYwBoAGkAdABlAGMAdAB1AHIAZQAuACAASABpAGcAaABlAHIAESBsAGUAdgBlAGwAXABuACAAIAAgACAAZgB1AG4AYwB0AGkAbwBuAHMAIAAoAFAAZQByAG0AUgC7AywAIABQAGUAcgBtALsDLAAgAEMAbwBtAGIAaQBuAGEAdABpAG8AbgBzAFIAuwMsACAAQwBvAG0AYgBpAG4AYQB0AGkAbwBuAHMAuwMsACAARABlAHIAYQBuAGcAZQBtAGUAbgB0AHMAuwMpAFwAbgAgACAAIAAgAGEAcgBlACAAdABoAGkAbgAgAHcAcgBhAHAAcABlAHIAcwAgAGEAcgBvAHUAbgBkACAAdABoAGkAcwAgAGcAZQBuAGUAcgBhAHQAbwBy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sAXABuACAAIAAgACAAIAAgACAAIABMAGUAbgBnAHQAaAAgAG8AZgAgAGUAYQBjAGgAIAB0AHUAcABsAGUAIAAoAGsAIABlIiAAMAApAC4AIABNAHUAcwB0ACAAYgBlACAAYQAgAHMAYwBhAGwAYQByAC4AXABuAFwAbgAgACAAIAAgAHQAeQBwAGUAXABuACAAIAAgACAAIAAgACAAIABTAGUAbABlAGMAdABvAHIAIABmAG8AcgAgAHQAaABlACAAYwBvAG0AYgBpAG4AYQB0AG8AcgBpAGEAbAAgAG0AbwBkAGUAOgBcAG4AIAAgACAAIAAgACAAIAAgACAAIAAgACAAMQAgAJIhIABQAGUAcgBtAHUAdABhAHQAaQBvAG4AcwAgAHcAaQB0AGgAIAByAGUAcABsAGEAYwBlAG0AZQBuAHQAXABuACAAIAAgACAAIAAgACAAIAAgACAAIAAgADIAIACSISAAUABlAHIAbQB1AHQAYQB0AGkAbwBuAHMAIAB3AGkAdABoAG8AdQB0ACAAcgBlAHAAbABhAGMAZQBtAGUAbgB0AFwAbgAgACAAIAAgACAAIAAgACAAIAAgACAAIAAzACAAkiEgAEMAbwBtAGIAaQBuAGEAdABpAG8AbgBzACAAdwBpAHQAaAAgAHIAZQBwAGwAYQBjAGUAbQBlAG4AdABcAG4AIAAgACAAIAAgACAAIAAgACAAIAAgACAANAAgAJIhIABDAG8AbQBiAGkAbgBhAHQAaQBvAG4AcwAgAHcAaQB0AGgAbwB1AHQAIAByAGUAcABsAGEAYwBlAG0AZQBuAHQAXABuACAAIAAgACAAIAAgACAAIAAgACAAIAAgADUAIACSISAARABlAHIAYQBuAGcAZQBtAGUAbgB0AHMAXABuAFwAbgBOAG8AdABlAHMAOgBcAG4AIAAgACAAIAAiICAAQQBsAGwAIAByAGUAcwB1AGwAdABzACAAYQByAGUAIAByAGUAdAB1AHIAbgBlAGQAIABhAHMAIAAyAEQAIABhAHIAcgBhAHkAcwAgAHcAaABlAHIAZQAgAGUAYQBjAGgAIAByAG8AdwAgAGkAcwAgAG8AbgBlACAAdAB1AHAAbABlAC4AXABuACAAIAAgACAAIiAgAEkAZgAgAGkAdABlAG0AcwAgAGEAcgBlACAAbgB1AG0AZQByAGkAYwAgAGEAbgBkACAAZQBxAHUAYQBsACAAdABvACAAUwBFAFEAVQBFAE4AQwBFACgAbgApACwAIAByAGEAdwAgAGkAbgBkAGkAYwBlAHMAIABhAHIAZQAgAHIAZQB0AHUAcgBuAGUAZAAuAFwAbgAgACAAIAAgACAAIABPAHQAaABlAHIAdwBpAHMAZQAsACAAaQB0AGUAbQBzACAAYQByAGUAIABzAHUAYgBzAHQAaQB0AHUAdABlAGQAIABpAG4AdABvACAAdABoAGUAIABpAG4AZABlAHgAIABtAGEAdAByAGkAe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bQBhAHQAcgBpAHg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0AYQB0AHIAaQB4ACAAbwBmACAAZABhAHQAYQAgAGEAbgBkACAAcgBlAHQAdQByAG4AcwAgAGUAaQB0AGgAZQByADoAXABuACAAIAAgACAAIAAgACAAIAAiICAAQQAgAHQAbwBwAC0AbABlAHYAZQBsACAAcwB1AG0AbQBhAHIAeQAgAG8AZgAgAHMAZQBtAGEAbgB0AGkAYwAgAG0AZQB0AHIAaQBjAHMAIAAoAE4AdQBtAGIAZQByAHMALAAgAFQAZQB4AHQAcwAsACAARQByAHIAbwByAHMALAAgAGUAdABjAC4AKQBcAG4AIAAgACAAIAAgACAAIAAgACIgIABBACAAdgBlAHIAYgBvAHMAZQAsACAAYwBlAGwAbAAtAGIAeQAtAGMAZQBsAGwAIABuAGEAcgByAGEAdABpAG8AbgAgAG8AZgAgAHQAYQBnAHMAIABwAGUAcgAgAGMAZQBsAGwAXABuACAAIAAgACAAUwB1AHAAcABvAHIAdABzACAAbwBwAHQAaQBvAG4AYQBsACAAZABlAGwAaQBtAGkAdABlAHIAIABjAG8AbgB0AHIAbwBsACAAYQBuAGQAIABiAGwAYQBuAGsALQBhAHcAYQByAGUAIABvAHAAdABpAG0AaQB6AGEAdABpAG8AbgAuAFwAbgBcAG4AUABhAHIAYQBtAGUAdABlAHIAcwA6AFwAbgAgACAAIAAgAGQAYQB0AGEAXABuACAAIAAgACAAIAAgACAAIABEAGEAdABhACAAdABvACAAYgBlACAAaQBuAHMAcABlAGMAdABlAGQAIAAoAGEAbgB5ACAAcwBjAGEAbABhAHIALAAgAHYAZQBjAHQAbwByACwAIABvAHIAIAAyAEQAIABhAHIAcgBhAHkAKQAuAFwAbgBcAG4AIAAgACAAIABJAHMAVgBlAHIAYgBvAHMAZQA/ACAAIABbAG8AcAB0AGkAbwBuAGEAbABdAFwAbgAgACAAIAAgACAAIAAgACAASQBmACAAVABSAFUARQAsACAAcgBlAHQAdQByAG4AcwAgAGEAIABtAGEAdAByAGkAe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QgB5AEQAaQBhAGcAuwMiACwAIgBEAGkAYQBnAE0AYQBwALsDIgAsACIARABpAGEAZwBJAG4AZABlAHgAuwMiACwAIgBWAGEAbABpAGQAYQB0AGUARABpAGEAZwC7AyIALAAiAFAAYQBpAHI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8ED985DE-20B0-41CD-95B5-436DC514212B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Introduction</vt:lpstr>
      <vt:lpstr>Gridwork</vt:lpstr>
      <vt:lpstr>GridGeometry</vt:lpstr>
      <vt:lpstr>Extras</vt:lpstr>
      <vt:lpstr>GeoGrid</vt:lpstr>
      <vt:lpstr>InputGrid</vt:lpstr>
      <vt:lpstr>SeqGrid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Gridwork and Grid Geometry</dc:title>
  <dc:creator>BigSpill Project</dc:creator>
  <dc:description>Demonstration workbook for Gridwork and Grid Geometry.</dc:description>
  <dcterms:created xsi:type="dcterms:W3CDTF">2026-07-07T12:45:44Z</dcterms:created>
  <dcterms:modified xsi:type="dcterms:W3CDTF">2026-07-07T13:05:49Z</dcterms:modified>
</cp:coreProperties>
</file>