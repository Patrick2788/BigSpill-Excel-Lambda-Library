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13_ncr:1_{2DAEEDF4-A0E3-45DB-BD19-C0B97163146B}" xr6:coauthVersionLast="47" xr6:coauthVersionMax="47" xr10:uidLastSave="{00000000-0000-0000-0000-000000000000}"/>
  <bookViews>
    <workbookView xWindow="-96" yWindow="-96" windowWidth="23232" windowHeight="12432" xr2:uid="{DC51E23B-0A7B-48A2-94F9-79121C6422FB}"/>
  </bookViews>
  <sheets>
    <sheet name="Introduction" sheetId="1" r:id="rId1"/>
    <sheet name="Gridwork" sheetId="2" r:id="rId2"/>
    <sheet name="GridGeometry" sheetId="3" r:id="rId3"/>
    <sheet name="Extras" sheetId="5" r:id="rId4"/>
  </sheets>
  <definedNames>
    <definedName name="AlignDistinctλ">_xlfn.LAMBDA(_xlpm.array,_xlop.by_col, _xlfn.LET(_xlpm.SortByCol?, NOT(_xlfn.ISOMITTED(_xlpm.by_col)), _xlpm.aligned, Alignλ(_xlpm.array, _xlpm.by_col), _xlpm.u, _xlfn.UNIQUE(_xlpm.aligned, _xlpm.SortByCol?, TRUE), _xlpm.u))</definedName>
    <definedName name="AlignUniqueλ">_xlfn.LAMBDA(_xlpm.array,_xlop.by_col, _xlfn.LET(_xlpm.SortByCol?, NOT(_xlfn.ISOMITTED(_xlpm.by_col)), _xlpm.aligned, Alignλ(_xlpm.array, _xlpm.by_col), _xlpm.u, _xlfn.UNIQUE(_xlpm.aligned, _xlpm.SortByCol?), _xlpm.u))</definedName>
    <definedName name="Alignλ">_xlfn.LAMBDA(_xlpm.array,_xlop.by_col, _xlfn.LET(_xlpm.IsRowSort?, _xlfn.ISOMITTED(_xlpm.by_col), _xlpm.array, IF(_xlpm.IsRowSort?, _xlpm.array, TRANSPOSE(_xlpm.array)), _xlpm.invis, _xlfn.UNICHAR(8291), _xlpm.RowSortλ, _xlfn.LAMBDA(_xlpm.v, _xlfn.TEXTJOIN(_xlpm.invis, , _xlfn._xlws.SORT(_xlpm.v, , , 1))), _xlpm.joined, _xlfn.BYROW(_xlpm.array, _xlpm.RowSortλ), _xlpm.ex, Splitλ(_xlpm.joined, _xlpm.invis), _xlpm.final, IF(_xlpm.IsRowSort?, _xlpm.ex, TRANSPOSE(_xlpm.ex)), _xlpm.final))</definedName>
    <definedName name="Bin2Decλ">_xlfn.LAMBDA(_xlpm.binary, _xlfn.LET(_xlpm.h, ROWS(_xlpm.binary), _xlpm.w, COLUMNS(_xlpm.binary), _xlpm.IsScalar?, AND(_xlpm.h = 1, _xlpm.w = 1), _xlpm.IsVertical?, AND(_xlpm.h &gt; 1, _xlpm.w = 1), _xlpm.IsHorizontal?, AND(_xlpm.w &gt; 1, _xlpm.h = 1), _xlpm.bits, MAX(LEN(_xlpm.binary)), _xlpm.arr, TEXT(_xlpm.binary, REPT("0", _xlpm.bits)), _xlpm.binary, IF(_xlpm.IsScalar?, Explodeλ(_xlpm.binary), Explodeλ(_xlfn.TOCOL(_xlpm.arr))), _xlpm.powers, _xlfn.SEQUENCE(, _xlpm.bits, _xlpm.bits - 1, -1), _xlpm.p, POWER(2, _xlpm.powers), _xlpm.result, _xlfn.BYROW(_xlpm.binary * _xlpm.p, _xleta.SUM), _xlpm.final, IF(OR(_xlpm.IsScalar?, _xlpm.IsVertical?), _xlpm.result, IF(_xlpm.IsHorizontal?, TRANSPOSE(_xlpm.result), _xlfn.WRAPROWS(_xlpm.result, _xlpm.w))), _xlpm.final))</definedName>
    <definedName name="Bin2Grayλ">_xlfn.LAMBDA(_xlpm.binary,_xlop.concise, _xlfn.LET(_xlpm.Is2DGray?, _xlfn.ISOMITTED(_xlpm.concise), _xlpm.h, ROWS(_xlpm.binary), _xlpm.w, COLUMNS(_xlpm.binary), _xlpm.IsScalar?, AND(_xlpm.h = 1, _xlpm.w = 1), _xlpm.IsVertical?, AND(_xlpm.h &gt; 1, _xlpm.w = 1), _xlpm.IsHorizontal?, AND(_xlpm.w &gt; 1, _xlpm.h = 1), _xlpm.Is1D?, _xlfn.XOR(_xlpm.h = 1, _xlpm.w = 1), _xlpm.bits, MAX(LEN(_xlpm.binary)), _xlpm.arr, TEXT(_xlpm.binary, REPT("0", _xlpm.bits)), _xlpm.binary, IF(_xlpm.IsScalar?, Explodeλ(_xlpm.binary), Explodeλ(_xlfn.TOCOL(_xlpm.arr))), _xlpm.msb, _xlfn.TAKE(_xlpm.binary, , 1), _xlpm.x, _xlfn.BITXOR(_xlfn.DROP(_xlpm.binary, , 1), _xlfn.DROP(_xlpm.binary, , -1)), _xlpm.gray, _xlfn.HSTACK(_xlpm.msb, _xlpm.x), _xlpm.result, IF(AND(_xlpm.Is2DGray?, _xlpm.Is1D?), _xlpm.gray, _xlfn.BYROW(_xlpm.gray, _xleta.CONCAT)), _xlpm.final, IF(OR(_xlpm.IsScalar?, _xlpm.IsVertical?), _xlpm.result, IF(_xlpm.IsHorizontal?, TRANSPOSE(_xlpm.result), _xlfn.WRAPROWS(_xlpm.result, _xlpm.w))), _xlpm.final))</definedName>
    <definedName name="BitCountλ">_xlfn.LAMBDA(_xlpm.n, _xlfn.LET(_xlpm.h, ROWS(_xlpm.n), _xlpm.w, COLUMNS(_xlpm.n), _xlpm.IsScalar?, AND(_xlpm.h = 1, _xlpm.w = 1), _xlpm.IsVertical?, AND(_xlpm.h &gt; 1, _xlpm.w = 1), _xlpm.Is1D?, _xlfn.XOR(_xlpm.h = 1, _xlpm.w = 1), _xlpm.Is2D?, AND(_xlpm.h &gt; 1, _xlpm.w &gt; 1), _xlpm.n, IF(_xlpm.Is1D?, _xlpm.n, _xlfn.TOCOL(_xlpm.n)), _xlpm.fnλ, IF(OR(_xlpm.IsVertical?, _xlpm.Is2D?), _xleta.BYROW, _xleta.BYCOL), _xlpm.bits, Dec2Binλ(_xlpm.n, 1), _xlpm.counts, IF(_xlpm.IsScalar?, SUM(_xlpm.bits), _xlpm.fnλ(_xlpm.bits, _xleta.SUM)), _xlpm.final, IF(_xlpm.Is1D?, _xlpm.counts, _xlfn.WRAPROWS(_xlpm.counts, _xlpm.w)), _xlpm.final))</definedName>
    <definedName name="BlockMapλ">_xlfn.LAMBDA(_xlpm.array_2D,_xlpm.depth,_xlpm.width,_xlop.re_shape_by_column?,_xlop.transpose_anchors?, ValidateBlockMapλ(_xlpm.array_2D, _xlpm.depth, _xlpm.width, _xlpm.re_shape_by_column?, _xlfn.LET(_xlpm.x, ROUNDUP(ROWS(_xlpm.array_2D) / _xlpm.depth, 0), _xlpm.y, ROUNDUP(COLUMNS(_xlpm.array_2D) / _xlpm.width, 0), _xlpm.i, _xlfn.SEQUENCE(_xlpm.x, , 1, _xlpm.depth) * _xlfn.SEQUENCE(, _xlpm.y, 1, 0), _xlpm.j, _xlfn.SEQUENCE(, _xlpm.y, 1, _xlpm.width) * _xlfn.SEQUENCE(_xlpm.x, , 1, 0), _xlpm.row_anchor, IF(_xlfn.ISOMITTED(_xlpm.transpose_anchors?), _xlpm.i, TRANSPOSE(_xlpm.i)), _xlpm.col_anchor, IF(_xlfn.ISOMITTED(_xlpm.transpose_anchors?), _xlpm.j, TRANSPOSE(_xlpm.j)), _xlpm.row_indices, _xlfn.TOCOL(_xlpm.row_anchor) + INT(_xlfn.SEQUENCE(, _xlpm.depth * _xlpm.width, 0, 1 / _xlpm.width)), _xlpm.col_indices, _xlfn.TOCOL(_xlpm.col_anchor) + _xlfn.TOROW(_xlfn.IFS(_xlfn.SEQUENCE(_xlpm.depth), _xlfn.SEQUENCE(, _xlpm.width, 0, 1))), _xlpm.reshaped, INDEX(_xlpm.array_2D, _xlpm.row_indices, _xlpm.col_indices), _xlpm.result, IF(_xlpm.re_shape_by_column?, TRANSPOSE(_xlpm.reshaped), _xlpm.reshaped), _xlpm.result)))</definedName>
    <definedName name="ByDiagλ">_xlfn.LAMBDA(_xlpm.array,_xlop.function,_xlop.row_wise_stack?, ValidateDiagλ(_xlpm.array, , _xlpm.function, _xlpm.row_wise_stack?, _xlfn.LET(_xlpm.No_Function, _xlfn.ISOMITTED(_xlpm.function), _xlpm.No_RowStack, _xlfn.ISOMITTED(_xlpm.row_wise_stack?), _xlpm.h, ROWS(_xlpm.array), _xlpm.w, COLUMNS(_xlpm.array), _xlpm.k, MIN(_xlpm.h, _xlpm.w), _xlpm.r, _xlfn.LAMBDA(_xlfn.SEQUENCE(_xlpm.k) * _xlfn.SEQUENCE(, _xlpm.w, 1, 0)), _xlpm.y, _xlfn.LAMBDA(_xlfn.SEQUENCE(_xlpm.k) + _xlfn.SEQUENCE(, _xlpm.w, 0, 1)), _xlpm.c, _xlfn.LAMBDA(IF(_xlpm.y() &gt; _xlpm.w, NA(), _xlpm.y())), _xlpm.result, _xlfn.IFNA(INDEX(_xlpm.array, _xlpm.r(), _xlpm.c()), ""), _xlpm.shaped, IF(_xlpm.No_RowStack, _xlpm.result, TRANSPOSE(_xlpm.result)), _xlpm.final, IF(_xlpm.No_Function, _xlpm.shaped, IF(_xlpm.No_RowStack, _xlfn.BYCOL(_xlpm.shaped, _xlpm.function), _xlfn.BYROW(_xlpm.shaped, _xlpm.function))), _xlpm.final)))</definedName>
    <definedName name="CGridλ">_xlfn.LAMBDA(_xlpm.grid,_xlop.col_index, _xlfn.LET(_xlpm.RowIdx?, _xlfn.ISOMITTED(_xlpm.col_index), _xlpm.h, ROWS(_xlpm.grid), _xlpm.w, COLUMNS(_xlpm.grid), _xlpm.i_start, -(_xlpm.h - 1) / 2, _xlpm.j_start, -(_xlpm.w - 1) / 2, _xlpm.i, _xlfn.LAMBDA(Resizeλ(_xlfn.SEQUENCE(_xlpm.h, , _xlpm.i_start), , _xlpm.w)), _xlpm.j, _xlfn.LAMBDA(Resizeλ(_xlfn.SEQUENCE(, _xlpm.w, _xlpm.j_start), _xlpm.h)), _xlpm.result, IF(_xlpm.RowIdx?, _xlpm.i(), _xlpm.j()), _xlpm.result))</definedName>
    <definedName name="Circl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- _xlpm.x) ^ 2 + (_xlpm.j - _xlpm.y) ^ 2 &lt;= _xlpm.extend ^ 2, _xlpm.result, Squeezeλ(IF(_xlpm.mask, _xlpm.grid, _xlpm.fill_value), _xlpm.fill_value), _xlpm.result)))))))</definedName>
    <definedName name="Coalesceλ">_xlfn.LAMBDA(_xlpm.array_1,_xlpm.array_2,_xlop.array_3,_xlop.array_4,_xlop.ignore,_xlop.fill_value, _xlfn.LET(_xlpm.Include3, NOT(_xlfn.ISOMITTED(_xlpm.array_3)), _xlpm.Include4, NOT(_xlfn.ISOMITTED(_xlpm.array_4)), _xlpm.array_3, IF(_xlfn.ISOMITTED(_xlpm.array_3), FALSE, _xlpm.array_3), _xlpm.array_4, IF(_xlfn.ISOMITTED(_xlpm.array_4), FALSE, _xlpm.array_4), _xlpm.ignore, IF(_xlfn.ISOMITTED(_xlpm.ignore), "", _xlpm.ignore), _xlpm.fill_value, IF(_xlfn.ISOMITTED(_xlpm.fill_value), "", _xlpm.fill_value),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 * OR(_xlpm.h &lt;&gt; _xlpm.h₃, _xlpm.w &lt;&gt; _xlpm.w₃), _xlpm.S_4, _xlpm.Include4 * OR(_xlpm.h &lt;&gt; _xlpm.h₄, _xlpm.w &lt;&gt; _xlpm.w₄), _xlpm.ShapeMismatch?, OR(_xlpm.S_2, _xlpm.S_3, _xlpm.S_4), IF(_xlpm.ShapeMismatch?, "#DIMENSIONS!", _xlfn.LET(_xlpm.Occupiedλ, _xlfn.LAMBDA(_xlpm.arr, _xlfn.LAMBDA((_xlpm.arr &lt;&gt; FALSE) * (LEN(_xlpm.arr) &lt;&gt; 0) * (_xlpm.arr &lt;&gt; _xlpm.ignore))), _xlpm.m_1, _xlpm.Occupiedλ(_xlpm.array_1), _xlpm.m_2, _xlpm.Occupiedλ(_xlpm.array_2), _xlpm.m_3, _xlpm.Occupiedλ(_xlpm.array_3), _xlpm.m_4, _xlpm.Occupiedλ(_xlpm.array_4), _xlpm.final, IF(_xlpm.m_1(), _xlpm.array_1, IF(_xlpm.m_2(), _xlpm.array_2, IF(_xlpm.m_3(), _xlpm.array_3, IF(_xlpm.m_4(), _xlpm.array_4, _xlpm.fill_value)))), _xlpm.final))))</definedName>
    <definedName name="CombinationsRλ">_xlfn.LAMBDA(_xlpm.items,_xlpm.items_chosen, Enumerateλ(_xlpm.items, _xlpm.items_chosen, 3))</definedName>
    <definedName name="Combinationsλ">_xlfn.LAMBDA(_xlpm.items,_xlpm.items_chosen, Enumerateλ(_xlpm.items, _xlpm.items_chosen, 4))</definedName>
    <definedName name="Convolveλ">_xlfn.LAMBDA(_xlpm.array,_xlpm.kernel,_xlop.function, _xlfn.LET(_xlpm.h, ROWS(_xlpm.array), _xlpm.w, COLUMNS(_xlpm.array), _xlpm.h_, ROWS(_xlpm.kernel), _xlpm.w_, COLUMNS(_xlpm.kernel), _xlpm.InvalidKernel?, OR(_xlpm.h_ &gt; _xlpm.h, _xlpm.w_ &gt; _xlpm.w), _xlpm.IsScalar?, AND(_xlpm.h = 1, _xlpm.w = 1), _xlpm.IsScalarKernel?, AND(_xlpm.h_ = 1, _xlpm.w_ = 1), _xlpm.function, IF(_xlfn.ISOMITTED(_xlpm.function), _xlfn.LAMBDA(_xlpm.v, SUM(_xlpm.v * _xlpm.kernel)), _xlpm.function), _xlpm.InvalidFn?, TYPE(_xlpm.function) &lt;&gt; 128, _xlpm.StandardMap, _xlfn.LAMBDA(_xlfn.MAP(_xlpm.array, _xlpm.function)), IF(_xlpm.InvalidKernel?, "#KERNEL!", IF(_xlpm.InvalidFn?, "#FUNCTION!", IF((_xlpm.IsScalar?) + (_xlpm.IsScalarKernel?), _xlpm.StandardMap(), _xlfn.LET(_xlpm.anch_r, _xlpm.h - _xlpm.h_ + 1, _xlpm.anch_c, _xlpm.w - _xlpm.w_ + 1, _xlpm.i, _xlfn.LAMBDA(Resizeλ(IF(_xlpm.anch_r = 1, 1, _xlfn.SEQUENCE(_xlpm.anch_r)), , _xlpm.anch_c)), _xlpm.j, _xlfn.LAMBDA(Resizeλ(IF(_xlpm.anch_c = 1, 1, _xlfn.SEQUENCE(, _xlpm.anch_c)), _xlpm.anch_r)), _xlpm.BlockAggλ, _xlfn.LAMBDA(_xlpm.i_,_xlpm.j_, _xlfn.LET(_xlpm.block, _xlfn.TAKE(_xlfn.DROP(_xlpm.array, _xlpm.i_ - 1, _xlpm.j_ - 1), _xlpm.h_, _xlpm.w_), _xlpm.total, _xlpm.function(_xlpm.block), _xlpm.total)), _xlpm.result, _xlfn.MAP(_xlpm.i(), _xlpm.j(), _xlpm.BlockAggλ), _xlpm.result))))))</definedName>
    <definedName name="Countdownλ">_xlfn.LAMBDA(_xlpm.array,_xlop.Horizontal?,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_xlpm.cg, _xlfn.SCAN(0, NOT(_xlpm.bool), _xleta.SUM), _xlpm.sorted, _xlfn.SORTBY(_xlpm.acc, _xlpm.cg, 1, _xlpm.acc, -1), _xlpm.deliver, IF(_xlpm.Is2D?, _xlfn.WRAPROWS(_xlpm.sorted, _xlpm.w), _xlpm.sorted), _xlpm.deliver)))</definedName>
    <definedName name="Dec2Binλ">_xlfn.LAMBDA(_xlpm.numbers,_xlop.Array_Form_2D, IF(OR(ISTEXT(_xlpm.numbers), ISERROR(--_xlpm.numbers), _xlpm.numbers &lt; 0), #VALUE!, _xlfn.LET(_xlpm.h, ROWS(_xlpm.numbers), _xlpm.w, COLUMNS(_xlpm.numbers), _xlpm.IsScalar?, AND(_xlpm.h = 1, _xlpm.w = 1), _xlpm.IsVertical?, _xlpm.h &gt; _xlpm.w, _xlpm.Is2D?, AND(_xlpm.h &gt; 1, _xlpm.w &gt; 1), _xlpm.numbers, _xlfn.TOCOL(_xlpm.numbers), _xlpm.IsVector?, _xlfn.ISOMITTED(_xlpm.Array_Form_2D), _xlpm.bits, MAX(IFERROR(INT(LOG(_xlpm.numbers, 2)) + 1, 1)), _xlpm.bin_arr, _xlfn.LAMBDA(MOD(_xlfn.BITRSHIFT(_xlpm.numbers, _xlfn.SEQUENCE(, _xlpm.bits, _xlpm.bits - 1, -1)), 2)), _xlpm.bin_vector, _xlfn.LAMBDA(_xlfn.BYROW(_xlpm.bin_arr(), _xleta.CONCAT)), _xlpm.bin_result, _xlfn.LAMBDA(IF(_xlpm.IsVector?, _xlpm.bin_vector(), _xlpm.bin_arr())), _xlpm.deliver, IF(_xlpm.Is2D?, _xlfn.WRAPROWS(_xlpm.bin_vector(), _xlpm.w), IF(OR(_xlpm.IsScalar?, _xlpm.IsVertical?), _xlpm.bin_result(), TRANSPOSE(_xlpm.bin_result()))), _xlpm.deliver)))</definedName>
    <definedName name="Dec2Grayλ">_xlfn.LAMBDA(_xlpm.number,_xlop.concise, Bin2Grayλ(Dec2Binλ(_xlpm.number), _xlpm.concise))</definedName>
    <definedName name="DeleteColsλ">_xlfn.LAMBDA(_xlpm.array,_xlpm.delete,_xlpm.at_each_change, _xlfn.LET(_xlpm.OneSubGroup?, COUNTA(_xlfn.UNIQUE(_xlpm.at_each_change, 1)) = 1, _xlpm.Discard, _xlfn.DROP(_xlpm.array, , _xlfn.SINGLE(_xlpm.delete)), _xlpm.ShapeMismatch?, COLUMNS(_xlpm.array) &lt;&gt; COLUMNS(_xlpm.at_each_change),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Streakλ(_xlpm.at_each_change, TRUE), _xlpm.descend, Countdownλ(_xlpm.at_each_change, TRUE), _xlpm.delete, ABS(_xlpm.delete), _xlpm.idx, IF(_xlpm.s = -1, _xlpm.descend, _xlpm.ascend), _xlpm.keep?, NOT(_xlpm.idx &lt;= _xlpm.delete), _xlpm.result, _xlfn._xlws.FILTER(_xlpm.array, _xlpm.keep?), _xlpm.result)))))</definedName>
    <definedName name="DeleteRowsλ">_xlfn.LAMBDA(_xlpm.array,_xlpm.delete,_xlpm.at_each_change, _xlfn.LET(_xlpm.OneSubGroup?, COUNTA(_xlfn.UNIQUE(_xlpm.at_each_change)) = 1, _xlpm.Discard, _xlfn.DROP(_xlpm.array, _xlfn.SINGLE(_xlpm.delete)), _xlpm.ShapeMismatch?, ROWS(_xlpm.array) &lt;&gt; ROWS(_xlpm.at_each_change), _xlpm.IsText?, ISTEXT(_xlpm.delete), _xlpm.NotScalar?, AND(NOT(_xlpm.IsText?), COUNTA(_xlpm.delete)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SIGN(_xlpm.delete), _xlpm.ascend, Streakλ(_xlpm.at_each_change), _xlpm.descend, Countdownλ(_xlpm.at_each_change), _xlpm.delete, ABS(_xlpm.delete), _xlpm.idx, IF(_xlpm.s = -1, _xlpm.descend, _xlpm.ascend), _xlpm.keep?, NOT(_xlpm.idx &lt;= _xlpm.delete), _xlpm.result, _xlfn._xlws.FILTER(_xlpm.array, _xlpm.keep?), _xlpm.result)))))</definedName>
    <definedName name="DeleteWhereλ">_xlfn.LAMBDA(_xlpm.array,_xlpm.function, _xlfn.LET(_xlpm.i, _xlfn.SEQUENCE(ROWS(_xlpm.array)), _xlpm.j, _xlfn.SEQUENCE(, COLUMNS(_xlpm.array)), _xlpm.fn, _xlfn.LAMBDA(_xlpm.v, NOT(_xlpm.function(_xlpm.v))),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IF(_xlpm.IsEmpty?, "#EMPTY-ARRAY!", INDEX(_xlpm.array, _xlpm.r, _xlpm.c)), _xlpm.result))</definedName>
    <definedName name="Derangementsλ">_xlfn.LAMBDA(_xlpm.items,_xlpm.items_chosen, Enumerateλ(_xlpm.items, _xlpm.items_chosen, 5))</definedName>
    <definedName name="DGridλ">_xlfn.LAMBDA(_xlpm.grid, _xlfn.LET(_xlpm.theta, IFERROR(DEGREES(ATAN2(CGridλ(_xlpm.grid), CGridλ(_xlpm.grid, 1))), 0), _xlpm.angle, MOD(_xlpm.theta + 360, 360), _xlpm.angle))</definedName>
    <definedName name="DiagIndexλ">_xlfn.LAMBDA(_xlpm.array,_xlpm.col_index, ValidateDiagλ(_xlpm.array, _xlpm.col_index, , , _xlfn.LET(_xlpm.h, ROWS(_xlpm.array), _xlpm.w, COLUMNS(_xlpm.array), _xlpm.s, SIGN(_xlpm.col_index), _xlpm.k, IF(_xlpm.s &gt; 0, MIN(_xlpm.h, _xlpm.w + 1 - _xlpm.col_index), MIN(_xlpm.h, ABS(_xlpm.col_index))), _xlpm.start, IF(_xlpm.s &lt; 0, ABS(_xlpm.col_index), _xlpm.col_index), _xlpm.x, _xlfn.LAMBDA(_xlfn.SEQUENCE(_xlpm.k)), _xlpm.y, _xlfn.LAMBDA(_xlfn.SEQUENCE(_xlpm.k, , _xlpm.start, _xlpm.s)), _xlpm.deliver, INDEX(_xlpm.array, _xlpm.x(), _xlpm.y()), _xlpm.deliver)))</definedName>
    <definedName name="DiagMapλ">_xlfn.LAMBDA(_xlpm.array,_xlop.row_wise_stack?, ByDiagλ(_xlpm.array, , _xlpm.row_wise_stack?))</definedName>
    <definedName name="Diamondλ">_xlfn.LAMBDA(_xlpm.grid,_xlpm.target,_xlpm.distance,_xlop.fill_value,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_xlpm.InvalidDistance?, OR(ISTEXT(_xlpm.distance), _xlpm.distance &lt; 1), _xlpm.NoTarget?, IF(_xlpm.IsI_J?, FALSE, NOT(OR(_xlpm.bool))), _xlpm.fill_value, IF(_xlfn.ISOMITTED(_xlpm.fill_value), 0, _xlpm.fill_value), IF(_xlpm.IsScalar?, _xlpm.grid, IF(_xlpm.Is1D?, "#1D-ARRAY!", IF(_xlpm.InvalidDistance?, "#DISTANCE!",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ABS(_xlpm.i - _xlpm.x) + ABS(_xlpm.j - _xlpm.y) &lt;= _xlpm.distance, _xlpm.result, Squeezeλ(IF(_xlpm.mask, _xlpm.grid, _xlpm.fill_value), _xlpm.fill_value), _xlpm.result)))))))</definedName>
    <definedName name="DStackλ">_xlfn.LAMBDA(_xlpm.array_1,_xlop.array_2,_xlop.array_3,_xlop.array_4,_xlop.pad_with, _xlfn.LET(_xlpm.a, COUNTA(_xlpm.array_1), _xlpm.b, IF(_xlfn.ISOMITTED(_xlpm.array_2), 0, COUNTA(_xlpm.array_2)), _xlpm.c, IF(_xlfn.ISOMITTED(_xlpm.array_3), 0, COUNTA(_xlpm.array_3)), _xlpm.d, IF(_xlfn.ISOMITTED(_xlpm.array_4), 0, COUNTA(_xlpm.array_4)), _xlpm.req, AND(_xlpm.c = 0, _xlpm.d = 0), _xlpm.C_only, AND(_xlpm.c &lt;&gt; 0, _xlpm.d = 0), _xlpm.D_only, AND(_xlpm.c = 0, _xlpm.d &lt;&gt; 0), _xlpm.All, AND(_xlpm.c &lt;&gt; 0, _xlpm.d &lt;&gt; 0), _xlpm.EmptyArr?, OR(_xlpm.a = 0, _xlpm.b = 0), _xlpm.Clampλ, _xlfn.LAMBDA(_xlpm.param, AND(_xlpm.param = 1, ISERROR(_xlpm.param))), _xlpm.ScalarErr?, OR(_xlpm.Clampλ(_xlpm.a), _xlpm.Clampλ(_xlpm.b), _xlpm.Clampλ(_xlpm.c), _xlpm.Clampλ(_xlpm.d)), IF(_xlpm.EmptyArr?, "#EMPTY-ARRAY!", IF(_xlpm.ScalarErr?, "#SCALAR-ERROR!", _xlfn.LET(_xlpm.pad_with, IF(_xlfn.ISOMITTED(_xlpm.pad_with), NA(), _xlpm.pad_with), _xlpm.aᵀ, TRANSPOSE(_xlpm.array_1), _xlpm.bᵀ, TRANSPOSE(_xlpm.array_2), _xlpm.cᵀ, IF(_xlpm.c, TRANSPOSE(_xlpm.array_3), 0), _xlpm.dᵀ, IF(_xlpm.d, TRANSPOSE(_xlpm.array_4), 0), _xlpm.req_stack, _xlfn.HSTACK(_xlpm.aᵀ, _xlpm.bᵀ), _xlpm.C_only_stack, _xlfn.HSTACK(_xlpm.aᵀ, _xlpm.bᵀ, _xlpm.cᵀ), _xlpm.D_only_stack, _xlfn.HSTACK(_xlpm.aᵀ, _xlpm.bᵀ, _xlpm.dᵀ), _xlpm.all_stack, _xlfn.HSTACK(_xlpm.aᵀ, _xlpm.bᵀ, _xlpm.cᵀ, _xlpm.dᵀ), _xlpm.result, IFERROR(IF(_xlpm.req, _xlpm.req_stack, IF(_xlpm.C_only, _xlpm.C_only_stack, IF(_xlpm.D_only, _xlpm.D_only_stack, IF(_xlpm.All, _xlpm.all_stack, FALSE)))), _xlpm.pad_with), _xlpm.result)))))</definedName>
    <definedName name="Echoλ">_xlfn.LAMBDA(_xlpm.vector,_xlpm.repeat, IF(OR(ISTEXT(_xlpm.repeat), _xlpm.repeat &lt;= 0), "#VALUE!", _xlfn.LET(_xlpm.vector, _xlfn.TOCOL(_xlpm.vector), _xlpm.repeat, _xlfn.TOCOL(_xlpm.repeat), _xlpm.Vh, ROWS(_xlpm.vector), _xlpm.Rh, ROWS(_xlpm.repeat), _xlpm.r, IF(_xlpm.Vh &lt;&gt; _xlpm.Rh, _xlfn.EXPAND(_xlpm.repeat, _xlpm.Vh, , _xlfn.SINGLE(_xlfn.TAKE(_xlpm.repeat, -1))), _xlpm.repeat), _xlpm.i, _xlfn.SEQUENCE(ROWS(_xlpm.r)), _xlpm.m, MAX(_xlpm.r), _xlpm.idx, _xlfn.LAMBDA(_xlfn.TOCOL(IF(SIGN(_xlpm.r - _xlfn.SEQUENCE(, _xlpm.m, 0, )) = 1, _xlpm.i, NA()), 2)), _xlpm.deliver, INDEX(_xlpm.vector, _xlpm.idx()), _xlpm.deliver)))</definedName>
    <definedName name="Embedλ">_xlfn.LAMBDA(_xlpm.array,_xlpm.embed_array,_xlop.row_index,_xlop.col_index, _xlfn.LET(_xlpm.h, ROWS(_xlpm.array), _xlpm.w, COLUMNS(_xlpm.array), _xlpm.h₂, ROWS(_xlpm.embed_array), _xlpm.w₂, COLUMNS(_xlpm.embed_array), _xlpm.RowEmbed?, NOT(_xlfn.ISOMITTED(_xlpm.row_index)), _xlpm.ColEmbed?, NOT(_xlfn.ISOMITTED(_xlpm.col_index)), _xlpm.RCEmbed?, AND(_xlpm.RowEmbed?, _xlpm.ColEmbed?), _xlpm.InvalidEmbed?, IF(AND(_xlpm.RowEmbed?, _xlpm.w₂ &gt; _xlpm.w), TRUE, IF(AND(_xlpm.ColEmbed?, _xlpm.h₂ &gt; _xlpm.h), TRUE, IF(AND(_xlpm.RCEmbed?, OR(_xlpm.h₂ &gt; _xlpm.h, _xlpm.w₂ &gt; _xlpm.w)), TRUE, FALSE))), _xlpm.InvalidIdx?, OR(ISTEXT(_xlpm.row_index), ISTEXT(_xlpm.col_index), AND(NOT(_xlfn.ISOMITTED(_xlpm.row_index)), OR(_xlpm.row_index &lt; 1, _xlpm.row_index &gt; _xlpm.h)), AND(NOT(_xlfn.ISOMITTED(_xlpm.col_index)), OR(_xlpm.col_index &lt; 1, _xlpm.col_index &gt; _xlpm.w))), _xlpm.IsScalar?, AND(_xlpm.h = 1, _xlpm.w = 1), IF(_xlpm.InvalidIdx?, "#ROW/COL-INDEX", IF(_xlpm.InvalidEmbed?, "#EMBED!", IF(_xlpm.IsScalar?, "#SCALAR!", _xlfn.LET(_xlpm.IsVertical?, OR(NOT(_xlfn.ISOMITTED(_xlpm.row_index)), _xlfn.ISOMITTED(_xlpm.col_index)), _xlpm.Stackλ, IF(_xlpm.IsVertical?, _xleta.VSTACK, _xleta.HSTACK), _xlpm.IsIncScalar?, AND(_xlpm.h₂ = 1, _xlpm.w₂ = 1), _xlpm.idx, IF(_xlpm.IsVertical?, _xlpm.row_index, _xlpm.col_index), _xlpm.max_dim, 1 + IF(_xlpm.IsVertical?, _xlpm.h, _xlpm.w), _xlpm.block_a, IF(_xlpm.IsVertical?, _xlfn.TAKE(_xlpm.array, _xlpm.idx - 1), _xlfn.TAKE(_xlpm.array, , _xlpm.idx - 1)), _xlpm.block_b, IF(_xlpm.IsVertical?, _xlfn.TAKE(_xlpm.array, -(1 + _xlpm.h - _xlpm.idx)), _xlfn.TAKE(_xlpm.array, , -(1 + _xlpm.w - _xlpm.idx))), _xlpm.IsStandard?, OR(_xlpm.idx = 1, _xlpm.idx = _xlpm.max_dim), _xlpm.exp_scalar_width, _xlfn.EXPAND(_xlpm.embed_array, , _xlpm.w, _xlpm.embed_array), _xlpm.exp_width, _xlfn.EXPAND(_xlpm.embed_array, , _xlpm.w, ""), _xlpm.exp_scalar_height, _xlfn.EXPAND(_xlpm.embed_array, _xlpm.h, , _xlpm.embed_array), _xlpm.exp_height, _xlfn.EXPAND(_xlpm.embed_array, _xlpm.h, , ""), _xlpm.embed_array, IF(_xlpm.IsVertical? * _xlpm.IsIncScalar?, _xlpm.exp_scalar_width, IF(_xlpm.IsVertical?, _xlpm.exp_width, IF(_xlpm.IsIncScalar?, _xlpm.exp_scalar_height, _xlpm.exp_height))), _xlpm.standard, IF(_xlpm.idx = 1, _xlpm.Stackλ(_xlpm.embed_array, _xlpm.array), _xlpm.Stackλ(_xlpm.array, _xlpm.embed_array)), _xlpm.stack, _xlpm.Stackλ(_xlpm.block_a, _xlpm.embed_array, _xlpm.block_b), _xlpm.result, IF(_xlpm.IsStandard?, _xlpm.standard, _xlpm.stack), _xlpm.result))))))</definedName>
    <definedName name="Enumerateλ">_xlfn.LAMBDA(_xlpm.items,_xlpm.k,_xlpm.type, IF(OR(ISTEXT(_xlpm.k), _xlpm.k &lt; 0, _xlpm.k &gt; COUNTA(_xlpm.items)), #VALUE!, IF(COUNTA(_xlpm.k) &lt;&gt; 1, #VALUE!, IF(COUNTA(_xlpm.items) ^ _xlpm.k &gt; 1048576, #NUM!, _xlfn.LET(_xlpm.list, _xlfn.TOCOL(_xlpm.items), _xlpm.n, COUNTA(_xlpm.list), _xlpm.i, _xlpm.n ^ _xlpm.k, _xlpm.P_r, _xlfn.LAMBDA(1 + MOD(QUOTIENT(_xlfn.SEQUENCE(_xlpm.i), _xlpm.n ^ _xlfn.SEQUENCE(, _xlpm.k, _xlpm.k - 1, -1)), _xlpm.n)), _xlpm.P, _xlfn.LAMBDA(_xlfn._xlws.FILTER(_xlpm.P_r(), ISNA(_xlfn.BYROW(_xlpm.P_r(), _xleta.MODE)))), _xlpm.C_r, _xlfn.LAMBDA(_xlfn._xlws.FILTER(_xlpm.P_r(), _xlfn.BYROW(_xlpm.P_r(), _xlfn.LAMBDA(_xlpm.row, AND(_xlpm.row = _xlfn._xlws.SORT(_xlpm.row, , , 1)))))), _xlpm.C, _xlfn.LAMBDA(_xlfn._xlws.FILTER(_xlpm.C_r(), ISNA(_xlfn.BYROW(_xlpm.C_r(), _xleta.MODE)))), _xlpm.D, _xlfn.LAMBDA(_xlfn._xlws.FILTER(_xlpm.P_r(), _xlfn.BYROW(_xlpm.P_r(), _xlfn.LAMBDA(_xlpm.row, NOT(OR(_xlfn.SEQUENCE(, _xlpm.k) = _xlpm.row)))))), _xlpm.idx, _xlfn.LAMBDA(CHOOSE(_xlpm.type, _xlpm.P_r(), _xlpm.P(), _xlpm.C_r(), _xlpm.C(), _xlpm.D())), _xlpm.NotInt?, NOT(AND(_xlfn.SEQUENCE(_xlpm.n) = _xlpm.list)), _xlpm.deliver, IF(_xlpm.NotInt?, INDEX(_xlpm.list, _xlpm.idx()), _xlpm.idx()), _xlpm.deliver)))))</definedName>
    <definedName name="Excludeλ">_xlfn.LAMBDA(_xlpm.array,_xlpm.exclude,_xlop.if_empty, IF(AND(ROWS(_xlpm.exclude) &gt; 1, COLUMNS(_xlpm.exclude) &gt; 1), "#2D-EXCLUDE!", _xlfn.LET(_xlpm.if_empty, IF(_xlfn.ISOMITTED(_xlpm.if_empty), 0, _xlpm.if_empty), _xlpm.keep?, NOT(_xlfn.BYROW(_xlfn.IFNA(_xlfn.XMATCH(_xlpm.array, _xlpm.exclude), 0), _xleta.OR)), _xlpm.result, _xlfn._xlws.FILTER(_xlpm.array, _xlpm.keep?, _xlpm.if_empty), _xlpm.result)))</definedName>
    <definedName name="Explodeλ">_xlfn.LAMBDA(_xlpm.array,_xlop.explode_2D_bycol, _xlfn.LET(_xlpm.h, ROWS(_xlpm.array), _xlpm.w, COLUMNS(_xlpm.array), _xlpm.IsVertical?, _xlpm.h &gt; _xlpm.w, _xlpm.IsHorizontal?, _xlpm.w &gt; _xlpm.h, _xlpm.IsScalar?, AND(_xlpm.h = 1, _xlpm.w = 1), _xlpm.Is1D?, _xlfn.XOR(_xlpm.h &gt; 1, _xlpm.w &gt; 1), _xlpm.Is2D?, AND(_xlpm.h &gt; 1, _xlpm.w &gt; 1), _xlpm.DirOmitted?, _xlfn.ISOMITTED(_xlpm.explode_2D_bycol), _xlpm.ExplodeScalar, _xlfn.REGEXEXTRACT(_xlpm.array, ".", 1), IF(_xlpm.IsScalar?, _xlpm.ExplodeScalar, _xlfn.LET(_xlpm.m, MAX(LEN(_xlpm.array)), _xlpm.idx, _xlfn.LAMBDA(IF(_xlpm.IsVertical?, _xlfn.SEQUENCE(, _xlpm.m), _xlfn.SEQUENCE(_xlpm.m))), _xlpm.i_, _xlfn.LAMBDA(Resizeλ(INT(_xlfn.SEQUENCE(_xlpm.m * _xlpm.h, , , 1 / _xlpm.m)), , _xlpm.w)), _xlpm.j_, _xlfn.LAMBDA(Resizeλ(MGridλ(_xlpm.array, 1), _xlpm.m)), _xlpm.start_at_, _xlfn.LAMBDA(Resizeλ(_xlfn.SEQUENCE(_xlpm.m), _xlpm.h, _xlpm.w)), _xlpm.i, _xlfn.LAMBDA(Resizeλ(MGridλ(_xlpm.array), , _xlpm.m)), _xlpm.j, _xlfn.LAMBDA(Resizeλ(INT(_xlfn.SEQUENCE(, _xlpm.m * _xlpm.w, , 1 / _xlpm.m)), _xlpm.h)), _xlpm.start_at, _xlfn.LAMBDA(Resizeλ(_xlfn.SEQUENCE(, _xlpm.m), _xlpm.h, _xlpm.w)), _xlpm.ex1D, _xlfn.LAMBDA(MID(_xlpm.array, _xlpm.idx(), 1)), _xlpm.ex2D_V, _xlfn.LAMBDA(MID(INDEX(_xlpm.array, _xlpm.i_(), _xlpm.j_()), _xlpm.start_at_(), 1)), _xlpm.ex2D_H, _xlfn.LAMBDA(MID(INDEX(_xlpm.array, _xlpm.i(), _xlpm.j()), _xlpm.start_at(), 1)), _xlpm.ex2D, _xlfn.LAMBDA(IF(_xlpm.DirOmitted?, _xlpm.ex2D_V(), _xlpm.ex2D_H())), _xlpm.final, IF(_xlpm.Is1D?, _xlpm.ex1D(), _xlpm.ex2D()), _xlpm.final))))</definedName>
    <definedName name="Foldλ">_xlfn.LAMBDA(_xlpm.array,_xlop.values_array,_xlop.function, _xlfn.LET(_xlpm.values_array, IF(_xlfn.ISOMITTED(_xlpm.values_array), _xlfn.TAKE(_xlpm.array, , 1), _xlpm.values_array), _xlpm.function, IF(OR(_xlfn.ISOMITTED(_xlpm.function), _xlfn.ISOMITTED(_xlpm.values_array)), _xleta.COUNTA, _xlpm.function), IF(AND(NOT(_xlfn.ISOMITTED(_xlpm.values_array)), ROWS(_xlpm.array) &lt;&gt; ROWS(_xlpm.values_array)), "#VALUE!", IF(TYPE(_xlpm.function) &lt;&gt; 128, "#FUNCTION!", _xlfn.LET(_xlpm.aligned, Alignλ(_xlpm.array), _xlpm.agg, _xlfn.GROUPBY(_xlpm.aligned, _xlpm.values_array, _xlpm.function, , 0), _xlpm.agg)))))</definedName>
    <definedName name="GeoGrid">GridGeometry!$B$6:$P$20</definedName>
    <definedName name="Grainλ">_xlfn.LAMBDA(_xlpm.array_2D,_xlpm.depth,_xlpm.width,_xlpm.function, IF(NOT(TYPE(_xlpm.array_2D) = 64), "#array_2D!", IF(OR(_xlpm.depth &gt; ROWS(_xlpm.array_2D), _xlpm.width &gt; COLUMNS(_xlpm.array_2D), ISTEXT(_xlpm.depth), ISTEXT(_xlpm.width)), "#DIMENSIONS!", IF(TYPE(_xlpm.function) &lt;&gt; 128, "#ETA FUNCTION!", _xlfn.LET(_xlpm.h, ROWS(_xlpm.array_2D), _xlpm.w, COLUMNS(_xlpm.array_2D), _xlpm.x, ROUNDUP(_xlpm.h / _xlpm.depth, 0), _xlpm.y, ROUNDUP(_xlpm.w / _xlpm.width, 0), _xlpm.down, _xlfn.LAMBDA(_xlfn.SEQUENCE(_xlpm.x, , 1, _xlpm.depth) * _xlfn.SEQUENCE(, _xlpm.y, 1, 0)), _xlpm.across, _xlfn.LAMBDA(_xlfn.SEQUENCE(, _xlpm.y, 1, _xlpm.width) * _xlfn.SEQUENCE(_xlpm.x, , 1, 0)), _xlpm.Blocksλ, _xlfn.LAMBDA(_xlpm.r,_xlpm.c, _xlfn.LET(_xlpm.i, _xlfn.LAMBDA(_xlfn.SEQUENCE(_xlpm.depth, , _xlpm.r) * _xlfn.SEQUENCE(, _xlpm.width, 1, 0)), _xlpm.j, _xlfn.LAMBDA(_xlfn.SEQUENCE(, _xlpm.width, _xlpm.c) * _xlfn.SEQUENCE(_xlpm.depth, , 1, 0)), _xlpm.block, _xlfn.TOCOL(INDEX(_xlpm.array_2D, _xlpm.i(), _xlpm.j()), 2), _xlpm.result, _xlpm.function(_xlpm.block), _xlpm.result)), _xlpm.deliver, _xlfn.MAP(_xlpm.down(), _xlpm.across(), _xlpm.Blocksλ), _xlpm.deliver)))))</definedName>
    <definedName name="GroupbyBinλ">_xlfn.LAMBDA(_xlpm.array,_xlpm.values,_xlpm.bin_width,_xlpm.function,_xlop.field_header,_xlop.chart_prep, _xlfn.LET(_xlpm.i, ROWS(_xlpm.array), _xlpm.j, COLUMNS(_xlpm.array), _xlpm.i_, ROWS(_xlpm.values), _xlpm.j_, COLUMNS(_xlpm.values), _xlpm.Headers?, NOT(_xlfn.ISOMITTED(_xlpm.field_header)), _xlpm.Is2D?, AND(_xlpm.i &gt; 1, _xlpm.j &gt; 1), _xlpm.ShapeMismatch?, _xlpm.i &lt;&gt; _xlpm.i_, _xlpm.InvalidBin?, OR(ISTEXT(_xlpm.bin_width), _xlpm.bin_width &lt; 1), _xlpm.InvalidFn?, TYPE(_xlpm.function) &lt;&gt; 128, _xlpm.NonNumeric?, NOT(AND(ISNUMBER(IF(_xlpm.Headers?, _xlfn.DROP(_xlpm.array, 1), _xlpm.array)))), IF(_xlpm.Is2D?, "#1D-ARRAY!", IF(_xlpm.ShapeMismatch?, "#DIMENSIONS!", IF(_xlpm.NonNumeric?, "#NUM!", IF(_xlpm.InvalidBin?, "#BIN-WIDTH!", IF(_xlpm.InvalidFn?, "#INVALID-FUNCTION!", _xlfn.LET(_xlpm.NoChart?, _xlfn.ISOMITTED(_xlpm.chart_prep), _xlpm.arr, IF(_xlpm.Headers?, _xlfn.DROP(_xlpm.array, 1), _xlpm.array), _xlpm.val, IF(_xlpm.Headers?, _xlfn.DROP(_xlpm.values, 1), _xlpm.values), _xlpm.row_header, _xlfn.HSTACK("Bin Start " &amp; IF(_xlpm.Headers?, _xlfn.TAKE(_xlpm.array, 1), "") &amp; " Value", "Bin End"), _xlpm.val_header, _xlfn.EXPAND(IF(_xlpm.Headers?, _xlfn.TAKE(_xlpm.values, 1), "Total"), , _xlpm.j_, ""), _xlpm.header, _xlfn.HSTACK(_xlpm.row_header, _xlpm.val_header), _xlpm.min, MIN(_xlpm.arr), _xlpm.start, FLOOR(_xlpm.min, _xlpm.bin_width), _xlpm.max, MAX(_xlpm.arr), _xlpm.end, CEILING(_xlpm.max, _xlpm.bin_width), _xlpm.k, (_xlpm.end - _xlpm.start) / _xlpm.bin_width, _xlpm.bin, _xlfn.SEQUENCE(_xlpm.k + 1, , _xlpm.start, _xlpm.bin_width), _xlpm.bin_start, _xlfn.DROP(_xlpm.bin, -1), _xlpm.bin_end, _xlfn.DROP(_xlpm.bin, 1), _xlpm.idx, _xlfn.XMATCH(_xlpm.arr, _xlpm.bin_start, -1), _xlpm.row_start, INDEX(_xlpm.bin_start, _xlpm.idx), _xlpm.row_end, INDEX(_xlpm.bin_end, _xlpm.idx), _xlpm.row_fields, _xlfn.HSTACK(_xlpm.row_start, _xlpm.row_end), _xlpm.agg, _xlfn.GROUPBY(_xlpm.row_fields, _xlpm.val, _xlpm.function, _xlpm.Headers?, 0), _xlpm.a, _xlfn.CHOOSECOLS(_xlpm.agg, 1) &amp; " - &lt;" &amp; _xlfn.CHOOSECOLS(_xlpm.agg, 2), _xlpm.b, _xlfn.DROP(_xlpm.agg, , 2), _xlpm.chart_labels, {"Bin","Aggregate"}, _xlpm.data, _xlfn.VSTACK(_xlpm.header, _xlpm.agg), _xlpm.chart, _xlfn.VSTACK(_xlpm.chart_labels, _xlfn.HSTACK(_xlpm.a, _xlpm.b)), _xlpm.delivery, IF(_xlpm.NoChart?, _xlpm.data, _xlpm.chart), _xlpm.delivery))))))))</definedName>
    <definedName name="GroupbyDateλ">_xlfn.LAMBDA(_xlpm.row_fields,_xlpm.values,_xlpm.interval,_xlpm.function,_xlop.format,_xlop.field_headers,_xlop.filter_array, ValidateGDλ(_xlpm.row_fields, _xlpm.values, _xlpm.interval, _xlpm.function, _xlpm.field_headers, _xlpm.filter_array, _xlfn.LET(_xlpm.NumInterval?, NOT(ISTEXT(_xlpm.interval)), _xlpm.const, {"minute";"hour";"day";"week";"fortnight";"month";"quarter";"year"}, _xlpm.interval, IF(_xlpm.NumInterval?, _xlpm.interval, _xlfn.XMATCH(LOWER(_xlpm.interval) &amp; "*", _xlpm.const, 2)), _xlpm.Includes_end?, (_xlpm.interval = 4) + (_xlpm.interval = 5), _xlpm.unit, CHOOSE(_xlpm.interval, 1440, 24, 1, 1, 1, 1, 1, 1), _xlpm.NoFormat?, _xlfn.ISOMITTED(_xlpm.format), _xlpm.Header?, NOT(_xlfn.ISOMITTED(_xlpm.field_headers)), _xlpm.Filter?, NOT(_xlfn.ISOMITTED(_xlpm.filter_array)), _xlpm.date_col, IF(_xlpm.Header?, _xlfn.DROP(_xlfn.TAKE(_xlpm.row_fields, , 1), 1), _xlfn.TAKE(_xlpm.row_fields, , 1)), _xlpm.dates, IF(_xlpm.interval &lt; 3, ROUND(_xlpm.date_col * _xlpm.unit, 0) / _xlpm.unit, INT(_xlpm.date_col)), _xlpm.values_header, _xlfn.TAKE(_xlpm.values, 1), _xlpm.values, IF(_xlpm.Header?, _xlfn.DROP(_xlpm.values, 1), _xlpm.values), _xlpm.row_details, _xlfn.DROP(_xlfn.DROP(_xlpm.row_fields, , 1), _xlpm.Header?), _xlpm.filter_used, IF(_xlpm.Header? * _xlpm.Filter?, _xlfn.DROP(_xlpm.filter_array, 1), _xlpm.filter_array), _xlpm.w, COLUMNS(_xlpm.row_fields), _xlpm.w_, COLUMNS(_xlpm.values), _xlpm.j, _xlpm.w + _xlpm.w_, _xlpm.min, INT(MIN(_xlpm.dates)), _xlpm.max, INT(MAX(_xlpm.dates)), _xlpm.m, MONTH(_xlpm.min), _xlpm.d, DAY(_xlpm.min), _xlpm.y, YEAR(_xlpm.min), _xlpm.first, MIN(_xlpm.dates), _xlpm.last, MAX(_xlpm.dates), _xlpm.hr, HOUR(_xlpm.first), _xlpm.mm, MINUTE(_xlpm.first), _xlpm.seconds, (_xlpm.last - _xlpm.first) * 86400, _xlpm.minutes, CEILING(_xlpm.seconds / 60, 1), _xlpm.hours, _xlpm.minutes / 60, _xlpm.days, _xlpm.max - _xlpm.min, _xlpm.weeks, CEILING(_xlpm.days / 7, 1), _xlpm.fortnight, CEILING(_xlpm.days / 14, 1), _xlpm.months, DATEDIF(_xlpm.min, _xlpm.max, "m"), _xlpm.quarters, CEILING(_xlpm.months / 3, 1), _xlpm.years, CEILING(_xlpm.months / 12, 1), _xlpm.h_mm, IF(_xlpm.days &gt; 1, "m/d/yyy h:mm AM/PM", "h:mm AM/PM"), _xlpm.mmmm, "mmmm yyy", _xlpm.day, "m/d/yyy", _xlpm.yyy, "yyy", _xlpm.fmt, IF(_xlpm.NoFormat?, _xlfn.SWITCH(_xlpm.interval, 1, _xlpm.h_mm, 2, _xlpm.h_mm, 3, _xlpm.day, 4, _xlpm.day, 5, _xlpm.day, 6, _xlpm.mmmm, 7, _xlpm.mmmm, 8, _xlpm.yyy, _xlpm.mmmm), _xlpm.format), _xlpm.min_arr, _xlfn.LAMBDA(_xlfn.SEQUENCE(_xlfn.SINGLE(_xlpm.minutes) + 1, , _xlpm.first, 1 / 1440)), _xlpm.hrs_arr, _xlfn.LAMBDA(_xlfn.SEQUENCE(_xlfn.SINGLE(_xlpm.hours) + 1, , _xlpm.first, 1 / 24)), _xlpm.days_arr, _xlfn.LAMBDA(_xlfn.SEQUENCE(_xlpm.days + 1, , _xlpm.min, 1)), _xlpm.weeks_arr, _xlfn.LAMBDA(DATE(_xlpm.y, _xlpm.m, _xlfn.SEQUENCE(_xlpm.weeks + 1, , _xlpm.d, 7))), _xlpm.fort_arr, _xlfn.LAMBDA(DATE(_xlpm.y, _xlpm.m, _xlfn.SEQUENCE(_xlpm.fortnight + 1, , _xlpm.d, 14))), _xlpm.month_arr, _xlfn.LAMBDA(DATE(_xlpm.y, _xlpm.m + _xlfn.SEQUENCE(_xlpm.months + 1, , 0), _xlpm.d)), _xlpm.qtrs_arr, _xlfn.LAMBDA(DATE(_xlpm.y, _xlpm.m + _xlfn.SEQUENCE(_xlpm.quarters + 1, , 0, 3), _xlpm.d)), _xlpm.yrs_arr, _xlfn.LAMBDA(DATE(_xlpm.y + _xlfn.SEQUENCE(_xlfn.SINGLE(_xlpm.years) + 1, , 0), _xlpm.m, 1)), _xlpm.bin, _xlfn.LAMBDA(IF(_xlpm.interval &lt; 3, ROUND(CHOOSE(_xlpm.interval, _xlpm.min_arr(), _xlpm.hrs_arr()) * _xlpm.unit, 0) / _xlpm.unit, CHOOSE(_xlpm.interval - 2, _xlpm.days_arr(), _xlpm.weeks_arr(), _xlpm.fort_arr(), _xlpm.month_arr(), _xlpm.qtrs_arr(), _xlpm.yrs_arr()))), _xlpm.i, _xlfn.LAMBDA(IF(_xlpm.interval = 8, _xlfn.XMATCH(YEAR(_xlpm.dates), YEAR(_xlpm.bin())), _xlfn.XMATCH(_xlpm.dates, _xlpm.bin(), -1))), _xlpm.date_field, _xlfn.LAMBDA(INDEX(_xlpm.bin(), _xlpm.i())), _xlpm.row_labels, IF(_xlpm.w = 1, _xlpm.date_field(), _xlfn.HSTACK(_xlpm.date_field(), _xlpm.row_details)), _xlpm.total_label, _xlfn.SWITCH(_xlpm.interval, 1, "Totals by minute", 2, "Totals by hour", 3, "Totals by Day", 4, "Weekly Totals", 5, "Biweekly Totals", 6, "Monthly Totals", 7, "Totals by Quarter", 8, "Yearly Totals", ""), _xlpm.total_header, _xlfn.EXPAND(IF(OR(_xlpm.interval = 4, _xlpm.interval = 5), _xlfn.HSTACK(_xlpm.total_label, "Ending Date"), _xlpm.total_label), , _xlpm.w + _xlpm.Includes_end?, ""), _xlpm.agg_header, IF(_xlpm.Header?, _xlpm.values_header, _xlfn.EXPAND("", , _xlpm.w_, "")), _xlpm.no_filter, _xlfn.GROUPBY(_xlpm.row_labels, _xlpm.values, _xlpm.function, _xlpm.Header?), _xlpm.filter_inc, _xlfn.GROUPBY(_xlpm.row_labels, _xlpm.values, _xlpm.function, _xlpm.Header?, , , _xlpm.filter_used), _xlpm.agg, IF(_xlpm.Filter?, _xlpm.filter_inc, _xlpm.no_filter), _xlpm.row_label, _xlfn.LAMBDA(_xlfn.TAKE(_xlpm.agg, , 1)), _xlpm.a, _xlfn.LAMBDA(TEXT(_xlpm.row_label(), _xlpm.fmt)), _xlpm.bin_end, _xlfn.LAMBDA(IF(_xlpm.interval = 4, TEXT(_xlpm.a() + 6, _xlpm.fmt), IF(_xlpm.interval = 5, TEXT(_xlpm.a() + 13, _xlpm.fmt), 0))), _xlpm.b, _xlfn.LAMBDA(_xlfn.DROP(_xlpm.agg, , 1)), _xlpm.stack, _xlfn.VSTACK(_xlfn.HSTACK(_xlpm.total_header, _xlpm.agg_header), _xlfn.HSTACK(_xlpm.a(), _xlpm.b())), _xlpm.stack_end, IFERROR(_xlfn.VSTACK(_xlfn.HSTACK(_xlpm.total_header, _xlpm.agg_header), _xlfn.HSTACK(_xlpm.a(), _xlpm.bin_end(), _xlpm.b())), ""), _xlpm.delivery, IF(OR(_xlpm.interval = 4, _xlpm.interval = 5), _xlpm.stack_end, _xlpm.stack), _xlpm.delivery)))</definedName>
    <definedName name="GroupIndexλ">_xlfn.LAMBDA(_xlpm.vector,_xlop.Horizontal?, _xlfn.LET(_xlpm.vector, _xlfn.TOCOL(_xlpm.vector), _xlpm.height, ROWS(_xlpm.vector), _xlpm.width, COLUMNS(_xlpm.vector), _xlpm.IsVertical?, _xlfn.ISOMITTED(_xlpm.Horizontal?), _xlpm.IsScalar?, AND(_xlpm.height = 1, _xlpm.width = 1), _xlpm.SpillRisk?, IF(_xlpm.IsVertical?, _xlpm.height &gt; 1048576, _xlpm.height &gt; 16384), IF(_xlpm.IsScalar?, _xlpm.vector, IF(_xlpm.SpillRisk?, #NUM!, _xlfn.LET(_xlpm.idx, _xlfn.XMATCH(_xlpm.vector, _xlfn.UNIQUE(_xlpm.vector)), _xlpm.final, IF(_xlpm.IsVertical?, _xlpm.idx, _xlfn.TOROW(_xlpm.idx)), _xlpm.final)))))</definedName>
    <definedName name="Histogramλ">_xlfn.LAMBDA(_xlpm.array,_xlop.bin_width,_xlop.include_Pareto, IF(COUNT(_xlpm.array) &lt;= 1, #VALUE!, IF(AND(NOT(_xlfn.ISOMITTED(_xlpm.bin_width)), OR(_xlpm.bin_width &lt; 0, _xlpm.bin_width &gt; 1000)), "#BIN-WIDTH!", _xlfn.LET(_xlpm.n, COUNT(_xlpm.array), _xlpm.SmallData?, _xlpm.n &lt; 200, _xlpm.Add_Pareto?, NOT(_xlfn.ISOMITTED(_xlpm.include_Pareto)), _xlpm.min, MIN(_xlpm.array), _xlpm.max, MAX(_xlpm.array), _xlpm.range, _xlpm.max - _xlpm.min, _xlpm.iqr, QUARTILE(_xlpm.array, 3) - QUARTILE(_xlpm.array, 1), _xlpm.s, SKEW(_xlpm.array), _xlpm.IsSkewed?, IF(_xlpm.SmallData?, FALSE, ABS(_xlpm.s) &gt; 0.2), _xlpm.IsFixed?, NOT(_xlfn.ISOMITTED(_xlpm.bin_width)), _xlpm.Sturge, CEILING(LOG(_xlpm.n, 2) + 1, 1), _xlpm.SRR, CEILING(SQRT(_xlpm.n), 1), _xlpm.Rice, CEILING(2 * _xlpm.n ^ (1 / 3), 1), _xlpm.Scott, CEILING(3.5 * _xlfn.STDEV.P(_xlpm.array) / _xlpm.n ^ (1 / 3), 1), _xlpm.Freedman, CEILING(2 * _xlpm.iqr / _xlpm.n ^ (1 / 3), 1), _xlpm.fixed, CEILING(_xlpm.range / _xlpm.bin_width, 1 / _xlpm.bin_width), _xlpm.k, IF(_xlpm.IsFixed?, _xlpm.fixed, IF(_xlpm.n &lt;= 30, MAX(_xlpm.Sturge, _xlpm.Rice), IF(_xlpm.IsSkewed?, MIN(_xlpm.Freedman, 15), MIN(_xlpm.Scott, 15)))), _xlpm.k_, MIN(IF(_xlpm.k = 1, 5, _xlpm.k), 100), _xlpm.interval, IF(_xlpm.range = 0, 1, MAX(_xlpm.range / _xlpm.k_, 0.1)), _xlpm.bin_upper, CEILING(_xlpm.max, _xlpm.interval), _xlpm.bin_lower, FLOOR(_xlpm.min, _xlpm.interval), _xlpm.bin_arr, _xlfn.SEQUENCE(1 + (_xlpm.bin_upper - _xlpm.bin_lower) / _xlpm.interval, , _xlpm.bin_lower, _xlpm.interval), _xlpm.bin_start, _xlfn.DROP(_xlpm.bin_arr, -1), _xlpm.bin_end, _xlfn.DROP(_xlpm.bin_arr, 1), _xlpm.bin_header, {"Start","End","Total"}, _xlpm.bin_labels, _xlfn.HSTACK(_xlfn.VSTACK("&lt;", _xlpm.bin_start), _xlfn.VSTACK(_xlfn.TAKE(_xlpm.bin_start, 1), _xlpm.bin_end)), _xlpm.freq, _xlfn.DROP(FREQUENCY(_xlpm.array, _xlpm.bin_arr), -1), _xlpm.Pareto, _xlfn.BYROW(_xlpm.freq, _xlfn.LAMBDA(_xlpm.v, _xlfn.PERCENTOF(_xlpm.v, _xlpm.freq))), _xlpm.stack, _xlfn.VSTACK(_xlpm.bin_header, _xlfn.HSTACK(_xlpm.bin_labels, _xlpm.freq)), _xlpm.deliver, IF(_xlpm.Add_Pareto?, _xlfn._xlws.SORT(_xlfn.HSTACK(_xlpm.stack, _xlfn.VSTACK("Cumulative %", _xlpm.Pareto)), 3, -1), _xlpm.stack), _xlpm.deliver))))</definedName>
    <definedName name="InputGrid">Gridwork!$B$5:$K$14</definedName>
    <definedName name="Instanceλ">_xlfn.LAMBDA(_xlpm.vector,_xlop.Horizontal?,_xlop.Descend?, _xlfn.LET(_xlpm.vector, _xlfn.TOCOL(_xlpm.vector), _xlpm.height, ROWS(_xlpm.vector), _xlpm.width, COLUMNS(_xlpm.vector), _xlpm.IsVertical?, _xlfn.ISOMITTED(_xlpm.Horizontal?), _xlpm.IsDescend?, AND(NOT(_xlfn.ISOMITTED(_xlpm.Descend?)), _xlpm.Descend? = TRUE), _xlpm.IsScalar?, AND(_xlpm.height = 1, _xlpm.width = 1), _xlpm.SpillRisk?, IF(_xlpm.IsVertical?, _xlpm.height &gt; 1048576, _xlpm.height &gt; 16384), IF(_xlpm.IsScalar?, _xlpm.vector, IF(_xlpm.SpillRisk?, #NUM!, _xlfn.LET(_xlpm.idxλ, IF(_xlpm.IsDescend?, Countdownλ, Streakλ), _xlpm.i, MGridλ(_xlpm.vector), _xlpm.sorted, _xlfn._xlws.SORT(_xlfn.HSTACK(_xlpm.i, _xlpm.vector), 2), _xlpm.idx, _xlpm.idxλ(_xlfn.TAKE(_xlpm.sorted, , -1)), _xlpm.new_arr, _xlfn.HSTACK(_xlpm.sorted, _xlpm.idx), _xlpm.inst, _xlfn.TAKE(_xlfn._xlws.SORT(_xlpm.new_arr), , -1), _xlpm.final, IF(_xlpm.IsVertical?, _xlpm.inst, _xlfn.TOROW(_xlpm.inst)), _xlpm.final)))))</definedName>
    <definedName name="InsulateColsλ">_xlfn.LAMBDA(_xlpm.array,_xlpm.columns_before,_xlop.columns_after,_xlop.pad_with, _xlfn.LET(_xlpm.array_v, TRANSPOSE(_xlpm.array), _xlpm.padded_v, InsulateRowsλ(_xlpm.array_v, _xlpm.columns_before, _xlpm.columns_after, _xlpm.pad_with), _xlpm.result, TRANSPOSE(_xlpm.padded_v), _xlpm.result))</definedName>
    <definedName name="InsulateRowsλ">_xlfn.LAMBDA(_xlpm.array,_xlpm.rows_before,_xlop.rows_after,_xlop.pad_with, _xlfn.LET(_xlpm.h, ROWS(_xlpm.array), _xlpm.w, COLUMNS(_xlpm.array), _xlpm.rows_after, IF(_xlfn.ISOMITTED(_xlpm.rows_after), _xlpm.rows_before, _xlpm.rows_after), _xlpm.pad_with, INDEX(IF(_xlfn.ISOMITTED(_xlpm.pad_with), "", _xlpm.pad_with), 1, 1), _xlpm.InvalidPadCount?, OR(ISTEXT(_xlpm.rows_before), ISTEXT(_xlpm.rows_after), _xlpm.rows_before &lt; 0, _xlpm.rows_after &lt; 0), _xlpm.NoPadding?, AND(_xlpm.rows_before = 0, _xlpm.rows_after = 0), IF(_xlpm.InvalidPadCount?, "#ROWS-BEFORE/AFTER!", IF(_xlpm.NoPadding?, _xlpm.array, _xlfn.LET(_xlpm.pad_before, _xlfn.EXPAND(_xlpm.pad_with, _xlpm.rows_before, _xlpm.w, _xlpm.pad_with), _xlpm.pad_after, _xlfn.EXPAND(_xlpm.pad_with, _xlpm.rows_after, _xlpm.w, _xlpm.pad_with), _xlpm.before_only?, AND(_xlpm.rows_before &lt;&gt; 0, _xlpm.rows_after = 0), _xlpm.after_only?, AND(_xlpm.rows_before = 0, _xlpm.rows_after &lt;&gt; 0), _xlpm.fully_insulated?, AND(_xlpm.rows_before &lt;&gt; 0, _xlpm.rows_after &lt;&gt; 0), _xlpm.k, _xlpm.rows_after + _xlpm.h, _xlpm.expand_only, _xlfn.EXPAND(_xlpm.array, _xlpm.k, _xlpm.w, _xlpm.pad_with), _xlpm.insulate_before, _xlfn.VSTACK(_xlpm.pad_before, _xlpm.array), _xlpm.insulate_all, _xlfn.VSTACK(_xlpm.pad_before, _xlpm.array, _xlpm.pad_after), _xlpm.result, IF(_xlpm.fully_insulated?, _xlpm.insulate_all, IF(_xlpm.before_only?, _xlpm.insulate_before, _xlpm.expand_only)), _xlpm.result)))))</definedName>
    <definedName name="Join2Dλ">_xlfn.LAMBDA(_xlpm.array_1,_xlpm.array_2,_xlop.array_3,_xlop.array_4,_xlop.delimiter,_xlop.ignore, _xlfn.LET(_xlpm.Include3?, NOT(_xlfn.ISOMITTED(_xlpm.array_3)), _xlpm.Include4?, NOT(_xlfn.ISOMITTED(_xlpm.array_4)), _xlpm.array_3, IF(_xlfn.ISOMITTED(_xlpm.array_3), FALSE, _xlpm.array_3), _xlpm.array_4, IF(_xlfn.ISOMITTED(_xlpm.array_4), FALSE, _xlpm.array_4), _xlpm.delimiter, IF(_xlfn.ISOMITTED(_xlpm.delimiter), ", ", _xlpm.delimiter), _xlpm.ignore, IF(_xlfn.ISOMITTED(_xlpm.ignore), "", _xlpm.ignore), _xlpm.h, ROWS(_xlpm.array_1), _xlpm.w, COLUMNS(_xlpm.array_1), _xlpm.h₂, ROWS(_xlpm.array_2), _xlpm.w₂, COLUMNS(_xlpm.array_2), _xlpm.h₃, ROWS(_xlpm.array_3), _xlpm.w₃, COLUMNS(_xlpm.array_3), _xlpm.h₄, ROWS(_xlpm.array_4), _xlpm.w₄, COLUMNS(_xlpm.array_4), _xlpm.S_2, OR(_xlpm.h &lt;&gt; _xlpm.h₂, _xlpm.w &lt;&gt; _xlpm.w₂), _xlpm.S_3, _xlpm.Include3? * OR(_xlpm.h &lt;&gt; _xlpm.h₃, _xlpm.w &lt;&gt; _xlpm.w₃), _xlpm.S_4, _xlpm.Include4? * OR(_xlpm.h &lt;&gt; _xlpm.h₄, _xlpm.w &lt;&gt; _xlpm.w₄), _xlpm.ShapeMismatch?, OR(_xlpm.S_2, _xlpm.S_3, _xlpm.S_4), IF(_xlpm.ShapeMismatch?, "#DIMENSIONS!", _xlfn.LET(_xlpm.Occupiedλ, _xlfn.LAMBDA(_xlpm.a, (_xlpm.a &lt;&gt; FALSE) * (LEN(_xlpm.a) &lt;&gt; 0) * (_xlpm.a &lt;&gt; _xlpm.ignore)), _xlpm.m_1, _xlpm.Occupiedλ(_xlpm.array_1), _xlpm.m_2, _xlpm.Occupiedλ(_xlpm.array_2), _xlpm.m_3, _xlpm.Occupiedλ(_xlpm.array_3), _xlpm.m_4, _xlpm.Occupiedλ(_xlpm.array_4), _xlpm.joined, IF(_xlpm.m_1, _xlpm.array_1 &amp; _xlpm.delimiter, "") &amp; IF(_xlpm.m_2, _xlpm.array_2 &amp; _xlpm.delimiter, "") &amp; IF(_xlpm.m_3, _xlpm.array_3 &amp; _xlpm.delimiter, "") &amp; IF(_xlpm.m_4, _xlpm.array_4 &amp; _xlpm.delimiter, ""), _xlpm.final, _xlfn.TEXTBEFORE(_xlpm.joined, _xlpm.delimiter, -1, 1, , _xlpm.joined), _xlpm.final))))</definedName>
    <definedName name="KeepColsλ">_xlfn.LAMBDA(_xlpm.array,_xlpm.keep,_xlpm.at_each_change, _xlfn.LET(_xlpm.OneSubGroup?, COUNTA(_xlfn.UNIQUE(_xlpm.at_each_change, 1)) = 1, _xlpm.Discard, _xlfn.DROP(_xlpm.array, , _xlpm.keep), _xlpm.ShapeMismatch?, COLUMNS(_xlpm.array) &lt;&gt; COLUMNS(_xlpm.at_each_change),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Streakλ(_xlpm.at_each_change, TRUE), _xlpm.descend, Countdownλ(_xlpm.at_each_change, TRUE), _xlpm.keep, ABS(_xlpm.keep), _xlpm.idx, IF(_xlpm.s = -1, _xlpm.descend, _xlpm.ascend), _xlpm.keep?, _xlpm.idx &lt;= _xlpm.keep, _xlpm.result, _xlfn._xlws.FILTER(_xlpm.array, _xlpm.keep?), _xlpm.result)))))</definedName>
    <definedName name="KeepRowsλ">_xlfn.LAMBDA(_xlpm.array,_xlpm.keep,_xlpm.at_each_change, _xlfn.LET(_xlpm.OneSubGroup?, COUNTA(_xlfn.UNIQUE(_xlpm.at_each_change)) = 1, _xlpm.Discard, _xlfn.DROP(_xlpm.array, _xlpm.keep), _xlpm.ShapeMismatch?, ROWS(_xlpm.array) &lt;&gt; ROWS(_xlpm.at_each_change), _xlpm.IsText?, ISTEXT(_xlpm.keep), _xlpm.NotScalar?, AND(NOT(_xlpm.IsText?), COUNTA(_xlpm.keep) &gt; 1), _xlpm.scenarios, _xlfn.VSTACK(_xlpm.ShapeMismatch?, _xlpm.IsText?, _xlpm.NotScalar?), _xlpm.halt, OR(_xlpm.scenarios), _xlpm.errors, {"#DIMENSIONS!";"#TEXT!";"#SCALAR!"}, _xlpm.alert, _xlfn.ARRAYTOTEXT(_xlfn._xlws.FILTER(_xlpm.errors, _xlpm.scenarios, 0)), IF(_xlpm.OneSubGroup?, _xlpm.Discard, IF(_xlpm.halt, _xlpm.alert, _xlfn.LET(_xlpm.s, SIGN(_xlpm.keep), _xlpm.ascend, Streakλ(_xlpm.at_each_change), _xlpm.descend, Countdownλ(_xlpm.at_each_change), _xlpm.keep, ABS(_xlpm.keep), _xlpm.idx, IF(_xlpm.s = -1, _xlpm.descend, _xlpm.ascend), _xlpm.keep?, _xlpm.idx &lt;= _xlpm.keep, _xlpm.result, _xlfn._xlws.FILTER(_xlpm.array, _xlpm.keep?), _xlpm.result)))))</definedName>
    <definedName name="KnapSackλ">_xlfn.LAMBDA(_xlpm.items,_xlpm.value_of_items,_xlpm.weights,_xlpm.capacity, _xlfn.LET(_xlpm.TooManyItems?, ROWS(_xlpm.items) * COLUMNS(_xlpm.items) &gt; 20, _xlpm.TextItemVal?, OR(ISTEXT(_xlpm.value_of_items)), _xlpm.TextWeights?, OR(ISTEXT(_xlpm.weights)), _xlpm.TextCapacity?, OR(ISTEXT(_xlpm.capacity)), _xlpm.ShapeMisMatch?, OR(COUNTA(_xlpm.items) &lt;&gt; COUNTA(_xlpm.value_of_items), COUNTA(_xlpm.items) &lt;&gt; COUNTA(_xlpm.weights)), _xlpm.scenarios, _xlfn.VSTACK(_xlpm.TextItemVal?, _xlpm.TextWeights?, _xlpm.TextCapacity?, _xlpm.ShapeMisMatch?), _xlpm.exit, OR(_xlpm.scenarios), _xlpm.errors, {"#VALUE-ITEM!";"#VALUE-WEIGHTS!";"#VALUE-CAPACITY!";"#INPUT-MISMATCH!"}, _xlpm.alert, _xlfn.ARRAYTOTEXT(_xlfn._xlws.FILTER(_xlpm.errors, _xlpm.scenarios)), IF(_xlpm.TooManyItems?, "#TOO-MANY-ITEMS!", IF(_xlpm.exit, _xlpm.alert, _xlfn.LET(_xlpm.items, _xlfn.TOROW(_xlpm.items), _xlpm.value_of_items, _xlfn.TOROW(_xlpm.value_of_items), _xlpm.weights, _xlfn.TOROW(_xlpm.weights), _xlpm.capacity, INDEX(_xlpm.capacity, 1, 1), _xlpm.labels, {"Items";"Value";"Weight";"Pack"}, _xlpm.n, COUNTA(_xlpm.items), _xlpm.C, _xlfn.SEQUENCE(2 ^ _xlpm.n - 1), _xlpm.bin, Dec2Binλ(_xlpm.C, 1), _xlpm.w_arr, _xlpm.bin * _xlpm.weights, _xlpm.feasible?, _xlfn.BYROW(_xlpm.w_arr, _xleta.SUM) &lt;= _xlpm.capacity, _xlpm.val_arr, _xlfn._xlws.FILTER(_xlpm.bin * _xlpm.value_of_items, _xlpm.feasible?, 0), _xlpm.totals, _xlfn.BYROW(_xlpm.val_arr, _xleta.SUM), _xlpm.pack, SIGN(_xlfn._xlws.FILTER(_xlpm.val_arr, MAX(_xlpm.totals) = _xlpm.totals, 0)), _xlpm.final, _xlfn.IFNA(_xlfn.HSTACK(_xlpm.labels, _xlfn.VSTACK(_xlpm.items, _xlpm.value_of_items, _xlpm.weights, _xlpm.pack)), ""), _xlpm.final)))))</definedName>
    <definedName name="KroneckerProdλ">_xlfn.LAMBDA(_xlpm.array_1,_xlpm.array_2, _xlfn.LET(_xlpm.h, ROWS(_xlpm.array_1), _xlpm.w, COLUMNS(_xlpm.array_1), _xlpm.h₂, ROWS(_xlpm.array_2), _xlpm.w₂, COLUMNS(_xlpm.array_2), _xlpm.A, Magnifyλ(_xlpm.array_1, _xlpm.h₂, _xlpm.w₂), _xlpm.B, Resizeλ(_xlpm.array_2, _xlpm.h, _xlpm.w), _xlpm.result, _xlpm.A * _xlpm.B, _xlpm.result))</definedName>
    <definedName name="Magnifyλ">_xlfn.LAMBDA(_xlpm.array,_xlpm.height,_xlpm.width, IF(OR(COUNT(_xlpm.height) &lt;&gt; 1, COUNT(_xlpm.width) &lt;&gt; 1), "#VALUE!", IF(OR(ISTEXT(_xlpm.height), ISTEXT(_xlpm.width)), "#TEXT!", IF(OR(_xlpm.height &lt;= 0, _xlpm.width &lt;= 0), "#VALUE!",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INDEX(_xlpm.array, _xlpm.x(), _xlpm.y()), _xlpm.result)))))</definedName>
    <definedName name="MGridλ">_xlfn.LAMBDA(_xlpm.grid,_xlop.col_index, _xlfn.LET(_xlpm.RowIdx?, _xlfn.ISOMITTED(_xlpm.col_index), _xlpm.h, ROWS(_xlpm.grid), _xlpm.w, COLUMNS(_xlpm.grid), _xlpm.i, _xlfn.LAMBDA(Resizeλ(_xlfn.SEQUENCE(_xlpm.h), , _xlpm.w)), _xlpm.j, _xlfn.LAMBDA(Resizeλ(_xlfn.SEQUENCE(, _xlpm.w), _xlpm.h)), _xlpm.result, IF(_xlpm.RowIdx?, _xlpm.i(), _xlpm.j()), _xlpm.result))</definedName>
    <definedName name="Modeλ">_xlfn.LAMBDA(_xlpm.array,_xlop.include_totals, IF(COUNT(--ISTEXT(_xlpm.array)) = 0, _xlfn.MODE.MULT(_xlpm.array), _xlfn.LET(_xlpm.msg, "#NO-REPEATS!", _xlpm.V, _xlfn.TOCOL(_xlpm.array), _xlpm.i, _xlfn.MODE.MULT(_xlfn.XMATCH(_xlpm.V, _xlpm.V)), _xlpm.result, _xlfn._xlws.SORT(IFERROR(INDEX(_xlpm.V, _xlpm.i), _xlpm.msg)), _xlpm.keep, ISNUMBER(_xlfn.XMATCH(_xlpm.V, _xlpm.result)), _xlpm.totals, _xlfn.GROUPBY(_xlpm.V, _xlpm.V, _xleta.COUNTA, 0, 0, , _xlpm.keep), _xlpm.deliver, IF(AND(_xlpm.include_totals, _xlpm.result &lt;&gt; _xlpm.msg), _xlpm.totals, _xlpm.result), _xlpm.deliver)))</definedName>
    <definedName name="MooreAggλ">_xlfn.LAMBDA(_xlpm.array_2D,_xlpm.function,_xlop.IsvonNeumann?,_xlop.omit_center, IF(TYPE(_xlpm.array_2D) &lt;&gt; 64, "#array_2D!", IF(TYPE(_xlpm.function) &lt;&gt; 128, "#ETA FUNCTION!", _xlfn.LET(_xlpm.IsvonNeumann?, NOT(_xlfn.ISOMITTED(_xlpm.IsvonNeumann?)), _xlpm.omit_center, NOT(_xlfn.ISOMITTED(_xlpm.omit_center)), _xlpm.height, ROWS(_xlpm.array_2D), _xlpm.width, COLUMNS(_xlpm.array_2D), _xlpm.M, _xlfn.VSTACK("omit", _xlfn.HSTACK("omit", _xlpm.array_2D, "omit"), "omit"), _xlpm.a, _xlfn.TOCOL(_xlfn.DROP(_xlpm.M, -2, -2)), _xlpm.b, _xlfn.TOCOL(_xlfn.TAKE(_xlfn.DROP(_xlpm.M, , 1), _xlpm.height, _xlpm.width)), _xlpm.c, _xlfn.TOCOL(_xlfn.TAKE(_xlfn.DROP(_xlpm.M, , 2), _xlpm.height)), _xlpm.d, _xlfn.TOCOL(_xlfn.TAKE(_xlfn.DROP(_xlpm.M, 1, -1), _xlpm.height, _xlpm.width)), _xlpm.center, _xlfn.TOCOL(_xlfn.TAKE(_xlfn.DROP(_xlpm.M, 1, 1), _xlpm.height, _xlpm.width)), _xlpm.f, _xlfn.TOCOL(_xlfn.TAKE(_xlfn.DROP(_xlpm.M, 1, 1), _xlpm.height, -_xlpm.width)), _xlpm.g, _xlfn.TOCOL(_xlfn.TAKE(_xlfn.DROP(_xlpm.M, 1, -1), -_xlpm.height, _xlpm.width)), _xlpm.h, _xlfn.TOCOL(_xlfn.TAKE(_xlfn.DROP(_xlpm.M, 1, -1), -_xlpm.height, -_xlpm.width)), _xlpm.i, _xlfn.TOCOL(_xlfn.TAKE(_xlfn.DROP(_xlpm.M, 1, 1), -_xlpm.height, -_xlpm.width)), _xlpm.Moore_no_center, _xlfn.HSTACK(_xlpm.a, _xlpm.b, _xlpm.c, _xlpm.d, _xlpm.f, _xlpm.g, _xlpm.h, _xlpm.i), _xlpm.Moore_with_center, _xlfn.HSTACK(_xlpm.a, _xlpm.b, _xlpm.c, _xlpm.d, _xlpm.center, _xlpm.f, _xlpm.g, _xlpm.h, _xlpm.i), _xlpm.von_no_center, _xlfn.HSTACK(_xlpm.b, _xlpm.d, _xlpm.f, _xlpm.h), _xlpm.von_with_center, _xlfn.HSTACK(_xlpm.b, _xlpm.d, _xlpm.f, _xlpm.h, _xlpm.center), _xlpm.Aggregateλ, _xlfn.LAMBDA(_xlpm.v, _xlpm.function(_xlfn.TOCOL(_xlfn.IFS(_xlpm.v, _xlpm.v), 2))), _xlpm.agg, IF(_xlpm.IsvonNeumann?, IF(_xlpm.omit_center, _xlfn.BYROW(_xlpm.von_no_center, _xlpm.Aggregateλ), _xlfn.BYROW(_xlpm.von_with_center, _xlpm.Aggregateλ)), IF(_xlpm.omit_center, _xlfn.BYROW(_xlpm.Moore_no_center, _xlpm.Aggregateλ), _xlfn.BYROW(_xlpm.Moore_with_center, _xlpm.Aggregateλ))), _xlpm.deliver, IFERROR(_xlfn.WRAPROWS(_xlpm.agg, _xlpm.width), 0), _xlpm.deliver))))</definedName>
    <definedName name="MooreSelectλ">_xlfn.LAMBDA(_xlpm.array_2D,_xlpm.neighbor, IF(TYPE(_xlpm.array_2D) &lt;&gt; 64, "#array_2D!", IF(NOT(AND(_xlpm.neighbor &gt;= 1, _xlpm.neighbor &lt;= 9, NOT(ISTEXT(_xlpm.neighbor)))), "#NEIGHBOR!", _xlfn.LET(_xlpm.height, ROWS(_xlpm.array_2D), _xlpm.width, COLUMNS(_xlpm.array_2D), _xlpm.hpad, _xlfn.EXPAND(0, , _xlpm.width + 2, 0), _xlpm.vpad, _xlfn.EXPAND(0, _xlpm.height, , 0), _xlpm.M, _xlfn.VSTACK(_xlpm.hpad, _xlfn.HSTACK(_xlpm.vpad, _xlpm.array_2D, _xlpm.vpad), _xlpm.hpad), _xlpm.a, _xlfn.DROP(_xlpm.M, -2, -2), _xlpm.b, _xlfn.TAKE(_xlfn.DROP(_xlpm.M, , 1), _xlpm.height, _xlpm.width), _xlpm.c, _xlfn.TAKE(_xlfn.DROP(_xlpm.M, , 2), _xlpm.height), _xlpm.d, _xlfn.TAKE(_xlfn.DROP(_xlpm.M, 1, -1), _xlpm.height, _xlpm.width), _xlpm.center, _xlfn.TAKE(_xlfn.DROP(_xlpm.M, 1, 1), _xlpm.height, _xlpm.width), _xlpm.f, _xlfn.TAKE(_xlfn.DROP(_xlpm.M, 1, 1), _xlpm.height, -_xlpm.width), _xlpm.g, _xlfn.TAKE(_xlfn.DROP(_xlpm.M, 1, -1), -_xlpm.height, _xlpm.width), _xlpm.h, _xlfn.TAKE(_xlfn.DROP(_xlpm.M, 1, -1), -_xlpm.height, -_xlpm.width), _xlpm.i, _xlfn.TAKE(_xlfn.DROP(_xlpm.M, 1, 1), -_xlpm.height, -_xlpm.width), _xlpm.select_neighbor, CHOOSE(_xlpm.neighbor, _xlpm.a, _xlpm.b, _xlpm.c, _xlpm.d, _xlpm.center, _xlpm.f, _xlpm.g, _xlpm.h, _xlpm.i), _xlpm.select_neighbor))))</definedName>
    <definedName name="NumbersOnlyλ">_xlfn.LAMBDA(_xlpm.array, _xlfn.LET(_xlpm.array, IF(TYPE(_xlpm.array) &lt;&gt; 64, _xlpm.array, _xlfn.TOCOL(_xlpm.array)), _xlpm.ex, Explodeλ(_xlpm.array), _xlpm.Keep, IFERROR((CODE(_xlpm.ex) &gt;= 48) * (CODE(_xlpm.ex) &lt;= 57), FALSE), _xlpm.Result, IF(_xlpm.Keep, _xlpm.ex, ""), _xlpm.final, IFERROR(_xlfn.BYROW(_xlpm.Result, _xleta.CONCAT) + 0, ""), _xlpm.final))</definedName>
    <definedName name="OccurrenceRangeλ">_xlfn.LAMBDA(_xlpm.array,_xlpm.crit_vector,_xlpm.start_occurrence,_xlop.end_occurrence,_xlop.Horizontal?, _xlfn.LET(_xlpm.IsVertical?, NOT(AND(NOT(_xlfn.ISOMITTED(_xlpm.Horizontal?)), _xlpm.Horizontal? = TRUE)), _xlpm.array, IF(_xlpm.IsVertical?, _xlpm.array, TRANSPOSE(_xlpm.array)), _xlpm.crit_vector, IF(_xlpm.IsVertical?, _xlpm.crit_vector, TRANSPOSE(_xlpm.crit_vector)), _xlpm.IncludeEnd?, NOT(_xlfn.ISOMITTED(_xlpm.end_occurrence)), _xlpm.start_occurrence, INDEX(_xlpm.start_occurrence, 1, 1), _xlpm.end_occurrence, IF(_xlpm.IncludeEnd?, INDEX(_xlpm.end_occurrence, 1, 1), FALSE), _xlpm.height, ROWS(_xlpm.array), _xlpm.height_, ROWS(_xlpm.crit_vector), _xlpm.height_mismatch?, _xlpm.height &lt;&gt; _xlpm.height_, _xlpm.InvalidOccurrence?, OR(ISTEXT(_xlpm.start_occurrence), _xlpm.start_occurrence &lt; 1, AND(_xlpm.IncludeEnd?, ISTEXT(_xlpm.end_occurrence)), AND(_xlpm.IncludeEnd?, _xlpm.end_occurrence &lt; _xlpm.start_occurrence)), IF(_xlpm.height_mismatch?, #VALUE!, IF(_xlpm.InvalidOccurrence?, #VALUE!, _xlfn.LET(_xlpm.inst, Instanceλ(_xlpm.crit_vector), _xlpm.bool, IF(_xlpm.IncludeEnd?, (_xlpm.inst &gt;= _xlpm.start_occurrence) * (_xlpm.inst &lt;= _xlpm.end_occurrence), (_xlpm.inst &gt;= _xlpm.start_occurrence)), _xlpm.result, _xlfn._xlws.FILTER(_xlpm.array, _xlpm.bool, 0), _xlpm.final, IF(_xlpm.IsVertical?, _xlpm.result, TRANSPOSE(_xlpm.result)), _xlpm.final)))))</definedName>
    <definedName name="Occurrenceλ">_xlfn.LAMBDA(_xlpm.array,_xlpm.crit_vector,_xlpm.Nᵀᴴ_occurrence, _xlfn.LET(_xlpm.height, ROWS(_xlpm.array), _xlpm.height_, ROWS(_xlpm.crit_vector), _xlpm.height_mismatch?, _xlpm.height &lt;&gt; _xlpm.height_, _xlpm.InvalidOccurrence?, OR(ISTEXT(_xlpm.Nᵀᴴ_occurrence), _xlpm.Nᵀᴴ_occurrence = 0), IF(_xlpm.height_mismatch?, #VALUE!, IF(_xlpm.InvalidOccurrence?, #VALUE!, _xlfn.LET(_xlpm.Descend?, SIGN(_xlpm.Nᵀᴴ_occurrence) = -1, _xlpm.bool, Instanceλ(_xlpm.crit_vector, , _xlpm.Descend?) = ABS(_xlpm.Nᵀᴴ_occurrence), _xlpm.final, _xlfn._xlws.FILTER(_xlpm.array, _xlpm.bool, 0), _xlpm.final)))))</definedName>
    <definedName name="Padλ">_xlfn.LAMBDA(_xlpm.array,_xlpm.rows_before,_xlop.rows_after,_xlop.cols_before,_xlop.cols_after,_xlop.pad_with, _xlfn.LET(_xlpm.Iλ, _xlfn.LAMBDA(_xlpm.x, INDEX(_xlpm.x, 1, 1)), _xlpm.rows_before, _xlpm.Iλ(_xlpm.rows_before), _xlpm.rows_after, _xlpm.Iλ(IF(_xlfn.ISOMITTED(_xlpm.rows_after), _xlpm.rows_before, _xlpm.rows_after)), _xlpm.cols_before, _xlpm.Iλ(IF(_xlfn.ISOMITTED(_xlpm.cols_before), _xlpm.rows_before, _xlpm.cols_before)), _xlpm.cols_after, _xlpm.Iλ(IF(_xlfn.ISOMITTED(_xlpm.cols_after), _xlpm.rows_before, _xlpm.cols_after)), _xlpm.InvalidIns?, OR(ISTEXT(_xlpm.rows_before), ISTEXT(_xlpm.rows_after), ISTEXT(_xlpm.cols_before), ISTEXT(_xlpm.cols_after)), IF(_xlpm.InvalidIns?, "#TEXT-PAD!", _xlfn.LET(_xlpm.padded_rows, InsulateRowsλ(_xlpm.array, _xlpm.rows_before, _xlpm.rows_after, _xlpm.pad_with), _xlpm.padded_all, InsulateColsλ(_xlpm.padded_rows, _xlpm.cols_before, _xlpm.cols_after, _xlpm.pad_with), _xlpm.padded_all))))</definedName>
    <definedName name="Pairwiseλ">_xlfn.LAMBDA(_xlpm.vector_1,_xlpm.vector_2, _xlfn.LET(_xlpm.v, _xlfn.TOCOL(_xlpm.vector_1), _xlpm.v₂, _xlfn.TOCOL(_xlpm.vector_2), _xlpm.k, COUNTA(_xlpm.v), _xlpm.k₂, COUNTA(_xlpm.v₂), _xlpm.Is2DInput?, OR(AND(ROWS(_xlpm.vector_1) &gt; 1, COLUMNS(_xlpm.vector_1) &gt; 1), AND(ROWS(_xlpm.vector_2) &gt; 1, COLUMNS(_xlpm.vector_2) &gt; 1)), _xlpm.Is2Big?, _xlpm.k * _xlpm.k₂ &gt; 1000000, IF(_xlpm.Is2DInput?, #VALUE!, IF(_xlpm.Is2Big?, #NUM!, _xlfn.LET(_xlpm.x, Echoλ(_xlpm.v, _xlpm.k₂), _xlpm.y, Resizeλ(_xlpm.v₂, _xlpm.k), _xlpm.pairs, _xlfn.HSTACK(_xlpm.x, _xlpm.y), _xlpm.pairs)))))</definedName>
    <definedName name="PermRλ">_xlfn.LAMBDA(_xlpm.items,_xlpm.items_chosen, Enumerateλ(_xlpm.items, _xlpm.items_chosen, 1))</definedName>
    <definedName name="Permλ">_xlfn.LAMBDA(_xlpm.items,_xlpm.items_chosen, Enumerateλ(_xlpm.items, _xlpm.items_chosen, 2))</definedName>
    <definedName name="Pinchλ">_xlfn.LAMBDA(_xlpm.array, IF(COUNTA(_xlpm.array) = 0, 0, _xlfn.LET(_xlpm.bool, LEN(_xlpm.array) &lt;&gt; 0, _xlpm.ORλ, _xlfn.LAMBDA(_xlpm.v, IFERROR(OR(_xlfn.TOCOL(_xlpm.v, 2)), FALSE)), _xlpm.mark_rows, _xlfn.BYROW(_xlpm.bool, _xlpm.ORλ), _xlpm.mark_cols, _xlfn.BYCOL(_xlpm.bool, _xlpm.ORλ), _xlpm.first_pass, _xlfn._xlws.FILTER(_xlpm.array, _xlpm.mark_rows, 0), _xlpm.result, _xlfn._xlws.FILTER(_xlpm.first_pass, _xlpm.mark_cols, 0), _xlpm.result)))</definedName>
    <definedName name="PivotbyCatλ">_xlfn.LAMBDA(_xlpm.row_detail,_xlpm.row_dates,_xlpm.categories,_xlpm.values,_xlpm.delimiter,_xlop.date_format,_xlop.function, _xlfn.LET(_xlpm.r₁, ROWS(_xlpm.row_detail), _xlpm.r₂, ROWS(_xlpm.row_dates), _xlpm.r₃, ROWS(_xlpm.categories), _xlpm.r₄, ROWS(_xlpm.values), _xlpm.ShapeMismatch, OR(_xlpm.r₁ &lt;&gt; _xlpm.r₂, _xlpm.r₁ &lt;&gt; _xlpm.r₃, _xlpm.r₁ &lt;&gt; _xlpm.r₄), _xlpm.date_format, IF(_xlfn.ISOMITTED(_xlpm.date_format), "yyy", _xlpm.date_format), _xlpm.InvalidDates, OR(AND(ISERROR(DATEVALUE(TEXT(_xlpm.row_dates, _xlpm.date_format))), ISERROR(VALUE(TEXT(_xlpm.row_dates, _xlpm.date_format)))), NOT(AND(ISNUMBER(_xlpm.row_dates)))), _xlpm.InvalidFn, TYPE(_xlpm.function) &lt;&gt; 128, _xlpm.scenarios, _xlfn.VSTACK(_xlpm.ShapeMismatch, _xlpm.InvalidDates, _xlpm.InvalidFn), _xlpm.errors, {"#DIMENSIONS!";"#DATES!";"#INVALID-FUNCTION!"}, _xlfn._xlws.FILTER(_xlpm.errors, _xlpm.scenarios, _xlfn.LET(_xlpm.fnλ, IF(_xlfn.ISOMITTED(_xlpm.function), _xleta.SUM, _xlpm.function), _xlpm.CountCatλ, _xlfn.LAMBDA(_xlpm.row, COUNTA(_xlfn.TEXTSPLIT(_xlpm.row, _xlpm.delimiter))), _xlpm.Parseλ, _xlfn.LAMBDA(_xlpm.array,_xlpm.instance, _xlfn.TEXTBEFORE(_xlfn.TEXTAFTER(_xlpm.delimiter &amp; _xlpm.array &amp; _xlpm.delimiter, _xlpm.delimiter, _xlpm.instance, , , _xlpm.array), _xlpm.delimiter, , , , _xlpm.categories)), _xlpm.k, _xlfn.BYROW(_xlpm.categories, _xlpm.CountCatλ), _xlpm.i, RepeatRowsλ(_xlfn.SEQUENCE(_xlpm.r₁), _xlpm.k), _xlpm.j, Streakλ(_xlpm.i), _xlpm.a, RepeatRowsλ(_xlpm.row_detail, _xlpm.k), _xlpm.detail, IF(_xlpm.a = 0, "Unknown", _xlpm.a), _xlpm.dates, RepeatRowsλ(TEXT(_xlpm.row_dates, _xlpm.date_format), _xlpm.k), _xlpm.sort_key, IFERROR(DATEVALUE(_xlpm.dates), VALUE(_xlpm.dates)), _xlpm.row_fields, _xlfn.HSTACK(_xlpm.sort_key, _xlpm.detail, _xlpm.dates), _xlpm.unpack, RepeatRowsλ(_xlpm.categories, _xlpm.k), _xlpm.categories, _xlpm.Parseλ(_xlpm.unpack, _xlpm.j), _xlpm.values, RepeatRowsλ(_xlpm.values / _xlpm.k, _xlpm.k), _xlpm.agg, _xlfn.DROP(_xlfn.PIVOTBY(_xlpm.row_fields, _xlpm.categories, _xlpm.values, _xlpm.fnλ, , 0, , 0), , 1), _xlpm.agg))))</definedName>
    <definedName name="Plus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(_xlpm.i = _xlpm.x) * (ABS(_xlpm.j - _xlpm.y) &lt;= _xlpm.extend) + (_xlpm.j = _xlpm.y) * (ABS(_xlpm.i - _xlpm.x) &lt;= _xlpm.extend), _xlpm.result, Squeezeλ(IF(_xlpm.mask, _xlpm.grid, _xlpm.fill_value), _xlpm.fill_value), _xlpm.result)))))))</definedName>
    <definedName name="PolarGridλ">_xlfn.LAMBDA(_xlpm.grid,_xlop.phi_coordinate, _xlfn.LET(_xlpm.IsR?, _xlfn.ISOMITTED(_xlpm.phi_coordinate), _xlpm.x, CGridλ(_xlpm.grid), _xlpm.y, CGridλ(_xlpm.grid, 1), _xlpm.r, SQRT(_xlpm.x ^ 2 + _xlpm.y ^ 2), _xlpm.phi, IFERROR(ATAN2(_xlpm.y, _xlpm.x), 0), _xlpm.result, IF(_xlpm.IsR?, _xlpm.r, _xlpm.phi), _xlpm.result))</definedName>
    <definedName name="Pyramidλ">_xlfn.LAMBDA(_xlpm.array,_xlop.piece,_xlop.fill_value, _xlfn.LET(_xlpm.piece, IF(_xlfn.ISOMITTED(_xlpm.piece), 1, _xlpm.piece), _xlpm.InvalidPiece?, OR(_xlpm.piece &lt; 1, _xlpm.piece &gt; 4, ISTEXT(_xlpm.piece)), _xlpm.fill_value, IF(_xlfn.ISOMITTED(_xlpm.fill_value), "", _xlpm.fill_value), IF(_xlpm.InvalidPiece?, "#PIECE!", _xlfn.LET(_xlpm.h, ROWS(_xlpm.array), _xlpm.w, COLUMNS(_xlpm.array), _xlpm.i, MGridλ(_xlpm.array), _xlpm.j, MGridλ(_xlpm.array, 1), _xlpm.upper_right, _xlpm.i &lt;= _xlpm.j, _xlpm.lower_right, _xlpm.i + _xlpm.j &gt;= _xlpm.h + 1, _xlpm.lower_left, _xlpm.i &gt;= _xlpm.j, _xlpm.upper_left, _xlpm.i + _xlpm.j &lt;= _xlpm.h + 1, _xlpm.mask, IF(_xlpm.piece = 1, _xlpm.upper_right, IF(_xlpm.piece = 2, _xlpm.lower_right, IF(_xlpm.piece = 3, _xlpm.lower_left, _xlpm.upper_left))), _xlpm.result, IF(_xlpm.mask, _xlpm.array, _xlpm.fill_value), _xlpm.result))))</definedName>
    <definedName name="Quadwiseλ">_xlfn.LAMBDA(_xlpm.set_1,_xlpm.set_2,_xlpm.set_3,_xlpm.set_4, _xlfn.LET(_xlpm.set_1, _xlfn.TOCOL(_xlpm.set_1), _xlpm.set_2, _xlfn.TOCOL(_xlpm.set_2), _xlpm.set_3, _xlfn.TOCOL(_xlpm.set_3), _xlpm.set_4, _xlfn.TOCOL(_xlpm.set_4), _xlpm.k, ROWS(_xlpm.set_4), _xlpm.d, IF(_xlpm.k &lt;&gt; 1, _xlpm.set_4, INDEX(_xlpm.set_4, 1)), _xlpm.thrice, Triplewiseλ(_xlpm.set_1, _xlpm.set_2, _xlpm.set_3), _xlpm.thrice_, RepeatRowsλ(_xlpm.thrice, _xlpm.k), _xlpm.k₂, ROWS(_xlpm.thrice_), _xlpm.four, Resizeλ(_xlpm.d, _xlpm.k₂ / _xlpm.k), _xlpm.final, _xlfn.HSTACK(_xlpm.thrice_, _xlpm.four), _xlpm.final))</definedName>
    <definedName name="RegexSafeλ">_xlfn.LAMBDA(_xlpm.delimiters, _xlfn.LET(_xlpm.meta, {"\","+","*","?","^","$","(",")","[","|"}, _xlpm.chars, _xlfn.REGEXEXTRACT(_xlpm.delimiters, ".", 1), _xlpm.IsMeta?, ISNUMBER(_xlfn.XMATCH(_xlpm.chars, _xlpm.meta)), _xlpm.pattern, _xlfn.CONCAT(IF(_xlpm.IsMeta?, "\" &amp; _xlpm.chars, _xlpm.chars)), _xlpm.pattern))</definedName>
    <definedName name="Removeλ">_xlfn.LAMBDA(_xlpm.array,_xlop.rows,_xlop.cols, _xlfn.LET(_xlpm.h, ROWS(_xlpm.array), _xlpm.w, COLUMNS(_xlpm.array), _xlpm.rows_inc, NOT(_xlfn.ISOMITTED(_xlpm.rows)), _xlpm.cols_inc, NOT(_xlfn.ISOMITTED(_xlpm.cols)), _xlpm.RemoveRows?, AND(_xlpm.rows_inc, NOT(_xlpm.cols_inc)), _xlpm.RemoveCols?, AND(_xlpm.cols_inc, NOT(_xlpm.rows_inc)), _xlpm.RemoveRC?, AND(_xlpm.rows_inc, _xlpm.cols_inc), _xlpm.IsScalar?, AND(_xlpm.h = 1, _xlpm.w = 1), _xlpm.TextRows?, OR(ISTEXT(_xlpm.rows)), _xlpm.TextCols?, OR(ISTEXT(_xlpm.cols)), _xlpm.InvalidRow?, IF(_xlpm.TextRows?, TRUE, AND(_xlpm.rows_inc, OR(MIN(_xlpm.rows) &lt; 1, MAX(_xlpm.rows) &gt; _xlpm.h))), _xlpm.InvalidCol?, IF(_xlpm.TextCols?, TRUE, AND(_xlpm.cols_inc, OR(MIN(_xlpm.cols) &lt; 1, MAX(_xlpm.cols) &gt; _xlpm.w))), IF(_xlpm.IsScalar?, _xlpm.array, IF(_xlpm.InvalidRow?, "#INVALID-ROW!", IF(_xlpm.InvalidCol?, "#INVALID-COL!", _xlfn.LET(_xlpm.r, _xlfn.SEQUENCE(_xlpm.h), _xlpm.c, _xlfn.SEQUENCE(, _xlpm.w), _xlpm.rmask, _xlfn.LAMBDA(ISNA(_xlfn.XMATCH(_xlpm.r, _xlfn.TOCOL(_xlpm.rows)))), _xlpm.cmask, _xlfn.LAMBDA(ISNA(_xlfn.XMATCH(_xlpm.c, _xlfn.TOCOL(_xlpm.cols)))), _xlpm.rows_only, _xlfn.LAMBDA(_xlfn._xlws.FILTER(_xlpm.array, _xlpm.rmask(), 0)), _xlpm.cols_only, _xlfn.LAMBDA(_xlfn._xlws.FILTER(_xlpm.array, _xlpm.cmask(), 0)), _xlpm.RC_r, _xlfn.LAMBDA(_xlfn._xlws.FILTER(_xlpm.array, _xlpm.rmask(), 0)), _xlpm.RC, _xlfn.LAMBDA(_xlfn._xlws.FILTER(_xlpm.RC_r(), _xlpm.cmask(), 0)), _xlpm.result, IF(_xlpm.RemoveRows?, _xlpm.rows_only(), IF(_xlpm.RemoveCols?, _xlpm.cols_only(), _xlpm.RC())), _xlpm.result))))))</definedName>
    <definedName name="RepeatColsλ">_xlfn.LAMBDA(_xlpm.array,_xlpm.repeat, IF(OR(ISTEXT(_xlpm.repeat), _xlpm.repeat &lt;= 0), "#VALUE!", _xlfn.LET(_xlpm.repeat, _xlfn.TOCOL(_xlpm.repeat), _xlpm.Aw, COLUMNS(_xlpm.array), _xlpm.Rh, ROWS(_xlpm.repeat), _xlpm.c, IF(_xlpm.Aw &lt;&gt; _xlpm.Rh, _xlfn.EXPAND(_xlpm.repeat, _xlpm.Aw, , _xlfn.SINGLE(_xlfn.TAKE(_xlpm.repeat, -1))), _xlpm.repeat), _xlpm.i, _xlfn.SEQUENCE(ROWS(_xlpm.c)), _xlpm.m, MAX(_xlpm.c), _xlpm.idx, _xlfn.LAMBDA(_xlfn.TOCOL(IF(SIGN(_xlpm.c - _xlfn.SEQUENCE(, _xlpm.m, 0)) = 1, _xlpm.i, NA()), 2)), _xlpm.deliver, _xlfn.CHOOSECOLS(_xlpm.array, _xlpm.idx()), _xlpm.deliver)))</definedName>
    <definedName name="RepeatRowsλ">_xlfn.LAMBDA(_xlpm.array,_xlpm.repeat, IF(OR(ISTEXT(_xlpm.repeat), _xlpm.repeat &lt;= 0), "#VALUE!", _xlfn.LET(_xlpm.repeat, _xlfn.TOCOL(_xlpm.repeat), _xlpm.Ah, ROWS(_xlpm.array), _xlpm.Rh, ROWS(_xlpm.repeat), _xlpm.r, IF(_xlpm.Ah &lt;&gt; _xlpm.Rh, _xlfn.EXPAND(_xlpm.repeat, _xlpm.Ah, , _xlfn.SINGLE(_xlfn.TAKE(_xlpm.repeat, -1))), _xlpm.repeat), _xlpm.i, _xlfn.SEQUENCE(ROWS(_xlpm.r)), _xlpm.m, MAX(_xlpm.r), _xlpm.idx, _xlfn.LAMBDA(_xlfn.TOCOL(IF(SIGN(_xlpm.r - _xlfn.SEQUENCE(, _xlpm.m, 0)) = 1, _xlpm.i, NA()), 2)), _xlpm.deliver, _xlfn.CHOOSEROWS(_xlpm.array, _xlpm.idx()), _xlpm.deliver)))</definedName>
    <definedName name="ReShape2Dλ">_xlfn.LAMBDA(_xlpm.array,_xlpm.new_width,_xlop.pad_with, _xlfn.LET(_xlpm.h, ROWS(_xlpm.array), _xlpm.w, COLUMNS(_xlpm.array), _xlpm.new_height, CEILING(COUNTA(_xlpm.array) / _xlpm.new_width, 1), _xlpm.pad_with, IF(_xlfn.ISOMITTED(_xlpm.pad_with), NA(), _xlpm.pad_with), _xlpm.InvalidWidth, _xlpm.new_width &gt; _xlpm.w, _xlpm.IsScalar?, AND(_xlpm.h = 1, _xlpm.w = 1), _xlpm.Is1D?, _xlfn.XOR(_xlpm.h = 1, _xlpm.w = 1), _xlpm.IsVertical?, _xlpm.h &gt; _xlpm.w, IF(_xlpm.IsScalar?, _xlpm.array, IF(_xlpm.Is1D?, "#VALUE!", IF(_xlpm.InvalidWidth, "#WIDTH!", _xlfn.LET(_xlpm.i, _xlfn.LAMBDA(CEILING(_xlfn.SEQUENCE(_xlpm.new_height, _xlpm.new_width) / _xlpm.w, 1)), _xlpm.modulo, _xlfn.LAMBDA(MOD(_xlfn.SEQUENCE(_xlpm.new_height, _xlpm.new_width), _xlpm.w)), _xlpm.j, _xlfn.LAMBDA(IF(_xlpm.modulo() = 0, _xlpm.w, _xlpm.modulo())), _xlpm.reshaped, IFERROR(INDEX(_xlpm.array, _xlpm.i(), _xlpm.j()), _xlpm.pad_with), _xlpm.reshaped))))))</definedName>
    <definedName name="Resizeλ">_xlfn.LAMBDA(_xlpm.array,_xlop.height,_xlop.width, _xlfn.LET(_xlpm.h, ROWS(_xlpm.array), _xlpm.w, COLUMNS(_xlpm.array), _xlpm.HeightOmitted?, _xlfn.ISOMITTED(_xlpm.height), _xlpm.WidthOmitted?, _xlfn.ISOMITTED(_xlpm.width), _xlpm.NoHWInput?, _xlpm.HeightOmitted? + _xlpm.WidthOmitted? = 2, _xlpm.height, IF(OR(_xlpm.NoHWInput?, _xlpm.HeightOmitted?), 1, _xlpm.height), _xlpm.width, IF(OR(_xlpm.NoHWInput?, _xlpm.WidthOmitted?), 1, _xlpm.width), _xlpm.NoRepeat?, AND(_xlpm.height = 1, _xlpm.width = 1), _xlpm.IsScalar?, AND(_xlpm.h = 1, _xlpm.w = 1), _xlpm.ExpandScalar, _xlfn.EXPAND(_xlpm.array, _xlpm.height, _xlpm.width, _xlpm.array), _xlpm.InvalidRepeat?, OR(ISTEXT(_xlpm.height), ISTEXT(_xlpm.width), OR(AND(ISNUMBER(_xlpm.height), _xlpm.height &lt;= 0), AND(ISNUMBER(_xlpm.width), _xlpm.width &lt;= 0))), IF(_xlpm.NoRepeat?, _xlpm.array, IF(_xlpm.IsScalar?, _xlpm.ExpandScalar, IF(_xlpm.InvalidRepeat?, _xlpm.array, _xlfn.LET(_xlpm.k, _xlpm.h * _xlpm.height, _xlpm.k₂, _xlpm.w * _xlpm.width, _xlpm.i, _xlfn.LAMBDA(1 + MOD(_xlfn.SEQUENCE(_xlpm.k, , 0, ), _xlpm.h) * _xlfn.SEQUENCE(, _xlpm.k₂, 1, 0)), _xlpm.j, _xlfn.LAMBDA(1 + MOD(_xlfn.SEQUENCE(, _xlpm.k₂, 0), _xlpm.w) * _xlfn.SEQUENCE(_xlpm.k, , 1, 0)), _xlpm.result, INDEX(_xlpm.array, _xlpm.i(), _xlpm.j()), _xlpm.result))))))</definedName>
    <definedName name="Revealλ">_xlfn.LAMBDA(_xlpm.data,_xlop.IsVerbose?,_xlop.delimiter, _xlfn.LET(_xlpm.width, COLUMNS(_xlpm.data), _xlpm.metrics, {"Number";"Text";"Number-stored-as-text";"Error";"Contains spaces";"Contains special characters";"Formula";"Blank";"Logical"}, _xlpm.Binλ, _xlfn.LAMBDA(_xlpm.v, _xlfn.TOCOL(IFERROR(_xlpm.v, 0))), _xlpm.RemoveNAλ, _xlfn.LAMBDA(_xlpm.v, _xlfn.IFNA(_xlpm.v, 0)), _xlpm.delimiter, IF(_xlfn.ISOMITTED(_xlpm.delimiter), ", ", _xlpm.delimiter), _xlpm.GetDetailsλ, _xlfn.LAMBDA(_xlpm.a,_xlpm.b,_xlpm.c,_xlpm.d,_xlpm.e,_xlpm.f,_xlpm.g,_xlpm.h,_xlpm.i, _xlfn.LET(_xlpm.m, _xlfn.VSTACK(_xlpm.a, _xlpm.b, _xlpm.c, _xlpm.d, _xlpm.RemoveNAλ(_xlpm.e), _xlpm.RemoveNAλ(_xlpm.f), _xlpm.g, _xlpm.h, _xlpm.i), _xlpm.detail, IF(_xlpm.h, "Blank", _xlfn.TOCOL(_xlfn.IFS(_xlpm.m, _xlpm.metrics), 2)), _xlpm.joined, _xlfn.TEXTJOIN(_xlpm.delimiter, 1, _xlpm.detail), _xlpm.joined)), _xlpm.Numbers, --_xlfn.TOCOL(ISNUMBER(_xlpm.data)), _xlpm.Texts, --_xlfn.TOCOL(ISTEXT(_xlpm.data)), _xlpm.Numbers_stored_as_text, _xlfn.TOCOL(ISNUMBER(IFERROR(_xlpm.data + 0, "")) * ISTEXT(_xlpm.data)), _xlpm.Cells_with_errors, --_xlfn.TOCOL(ISERROR(_xlpm.data)), _xlpm.Spaces, --_xlpm.Binλ(LEN(TRIM(_xlpm.data)) &lt;&gt; LEN(_xlpm.data)), _xlpm.pattern, "[^A-Za-z0-9 .]|[\x{00A0}\x{200B}-\x{200D}]|[\t\n\r]|[\x{1F600}-\x{1F64F}]", _xlpm.Special_characters, --_xlpm.Binλ(_xlfn.REGEXTEST(_xlpm.data, _xlpm.pattern)), _xlpm.Formulas, --_xlfn.TOCOL(_xlfn.ISFORMULA(_xlpm.data)), _xlpm.Blanks, --_xlfn.TOCOL(ISBLANK(_xlpm.data)), _xlpm.Logical, --_xlfn.TOCOL(ISLOGICAL(_xlpm.data)), _xlpm.metric_stack, _xlfn.HSTACK(_xlpm.Numbers, _xlpm.Texts, _xlpm.Numbers_stored_as_text, _xlpm.Cells_with_errors, _xlpm.Spaces, _xlpm.Special_characters, _xlpm.Formulas, _xlpm.Blanks, _xlpm.Logical), _xlpm.totals, _xlfn.TOCOL(_xlfn.BYCOL(_xlpm.metric_stack, _xleta.SUM)), _xlpm.Summary, _xlfn.LAMBDA(_xlfn._xlws.SORT(_xlfn.HSTACK(_xlpm.metrics, _xlpm.totals), 2, -1)), _xlpm.Verbose, _xlfn.WRAPROWS(_xlfn.MAP(_xlpm.Numbers, _xlpm.Texts, _xlpm.Numbers_stored_as_text, _xlpm.Cells_with_errors, _xlpm.Spaces, _xlpm.Special_characters, _xlpm.Formulas, _xlpm.Blanks, _xlpm.Logical, _xlpm.GetDetailsλ), _xlpm.width), _xlpm.Report, IF(_xlfn.ISOMITTED(_xlpm.IsVerbose?), _xlpm.Summary(), _xlpm.Verbose), _xlpm.Report))</definedName>
    <definedName name="Ringλ">_xlfn.LAMBDA(_xlpm.grid,_xlpm.layer,_xlop.fill_value, _xlfn.LET(_xlpm.h, ROWS(_xlpm.grid), _xlpm.w, COLUMNS(_xlpm.grid), _xlpm.IsScalar?, AND(_xlpm.h = 1, _xlpm.w = 1), _xlpm.Is1D?, OR(_xlpm.h = 1, _xlpm.w = 1), _xlpm.InvalidLayer?, OR(ISTEXT(_xlpm.layer), _xlpm.layer &lt;= 0), _xlpm.MaxLayer, INT((MIN(_xlpm.h, _xlpm.w) + 1) / 2), IF(_xlpm.IsScalar?, _xlpm.grid, IF(_xlpm.Is1D?, "#1D-ARRAY!", IF(_xlpm.InvalidLayer?, "#LAYER!", IF(_xlpm.layer &gt; _xlpm.MaxLayer, "#MAX-LAYER: " &amp; _xlpm.MaxLayer, _xlfn.LET(_xlpm.fill_value, IF(_xlfn.ISOMITTED(_xlpm.fill_value), 0, _xlpm.fill_value), _xlpm.i, MGridλ(_xlpm.grid), _xlpm.j, MGridλ(_xlpm.grid, 1), _xlpm.top, ((_xlpm.i = _xlpm.layer) + (_xlpm.i = 1 + _xlpm.h - _xlpm.layer)) * ((_xlpm.j &gt; _xlpm.layer - 1) * (_xlpm.j &lt;= 1 + _xlpm.w - _xlpm.layer)), _xlpm.side, ((_xlpm.j = _xlpm.layer) + (_xlpm.j = 1 + _xlpm.w - _xlpm.layer)) * ((_xlpm.i &gt; _xlpm.layer - 1) * (_xlpm.i &lt;= 1 + _xlpm.h - _xlpm.layer)), _xlpm.mask, SIGN(_xlpm.top + _xlpm.side), _xlpm.result, IF(_xlpm.mask, _xlpm.grid, _xlpm.fill_value), _xlpm.result)))))))</definedName>
    <definedName name="Scan2Dλ">_xlfn.LAMBDA(_xlpm.initial_value,_xlpm.array,_xlpm.function,_xlop.direction, _xlfn.LET(_xlpm.direction, IF(_xlfn.ISOMITTED(_xlpm.direction), 0, _xlpm.direction), _xlpm.h, ROWS(_xlpm.array), _xlpm.w, COLUMNS(_xlpm.array), _xlpm.IsScalar?, AND(_xlpm.h = 1, _xlpm.w = 1), _xlpm.Is1D?, _xlfn.XOR(_xlpm.h = 1, _xlpm.w = 1), _xlpm.Invalid1DDir?, AND(_xlpm.Is1D?, _xlpm.direction &lt;&gt; 0, _xlpm.direction &lt;&gt; -1), _xlpm.IsReverse?, _xlpm.direction = -1, _xlpm.IsVertical?, AND(_xlpm.Is1D?, _xlpm.h &gt; _xlpm.w), _xlpm.e, IF(_xlpm.IsVertical?, _xlpm.h, _xlpm.w), _xlpm.idx, _xlfn.SEQUENCE(_xlpm.e, , _xlpm.e, -1), _xlpm.rev_array, IF(_xlpm.IsVertical?, INDEX(_xlpm.array, _xlpm.idx), INDEX(_xlpm.array, , _xlpm.idx)), _xlpm.vector, IF(_xlpm.IsReverse?, _xlpm.rev_array, _xlpm.array), IF(_xlpm.IsScalar?, _xlfn.SCAN(_xlpm.initial_value, _xlpm.array, _xlpm.function), IF(_xlpm.Invalid1DDir?, "#direction!", IF(_xlpm.Is1D?, _xlfn.SCAN(_xlpm.initial_value, _xlpm.vector, _xlpm.function), IF(ISNA(_xlfn.XMATCH(_xlpm.direction, {-1;0;1;2;3;"NE";"SE";"SW"})), "#direction!", _xlfn.LET(_xlpm.standard, _xlfn.LAMBDA(_xlfn.SCAN(_xlpm.initial_value, _xlpm.array, _xlpm.function)), _xlpm.standard_bycol, _xlfn.LAMBDA(TRANSPOSE(_xlfn.SCAN(_xlpm.initial_value, TRANSPOSE(_xlpm.array), _xlpm.function))), _xlpm.traversal, _xlfn.LAMBDA(ReShape2Dλ(_xlfn.SCAN(_xlpm.initial_value, Traverseλ(_xlpm.array, _xlpm.direction), _xlpm.function), _xlpm.w)), _xlpm.result, IF(_xlpm.direction = 0, _xlpm.standard(), IF(_xlpm.direction = -1, _xlpm.standard_bycol(), _xlpm.traversal())), _xlpm.result)))))))</definedName>
    <definedName name="SeqGrid">Extras!$B$6:$K$15</definedName>
    <definedName name="ShiftColsλ">_xlfn.LAMBDA(_xlpm.array_2D,_xlop.shift_by, _xlfn.LET(_xlpm.h, ROWS(_xlpm.array_2D), _xlpm.w, COLUMNS(_xlpm.array_2D), _xlpm.Is1D?, OR(_xlpm.h = 1, _xlpm.w = 1), IF(_xlpm.Is1D?, Shiftλ(_xlpm.array_2D, _xlpm.shift_by), _xlfn.LET(_xlpm.i, Resizeλ(Shiftλ(_xlfn.SEQUENCE(_xlpm.h), _xlpm.shift_by), , _xlpm.w), _xlpm.j, MGridλ(_xlpm.array_2D, 1), _xlpm.result, INDEX(_xlpm.array_2D, _xlpm.i, _xlpm.j), _xlpm.result))))</definedName>
    <definedName name="ShiftRowsλ">_xlfn.LAMBDA(_xlpm.array_2D,_xlop.shift_by, _xlfn.LET(_xlpm.h, ROWS(_xlpm.array_2D), _xlpm.w, COLUMNS(_xlpm.array_2D), _xlpm.Is1D?, OR(_xlpm.h = 1, _xlpm.w = 1), IF(_xlpm.Is1D?, Shiftλ(_xlpm.array_2D, _xlpm.shift_by), _xlfn.LET(_xlpm.i, MGridλ(_xlpm.array_2D), _xlpm.j, Resizeλ(Shiftλ(_xlfn.SEQUENCE(, _xlpm.w), _xlpm.shift_by), _xlpm.h), _xlpm.result, INDEX(_xlpm.array_2D, _xlpm.i, _xlpm.j), _xlpm.result))))</definedName>
    <definedName name="Shiftλ">_xlfn.LAMBDA(_xlpm.tuple,_xlop.shift_by, _xlfn.LET(_xlpm.h, ROWS(_xlpm.tuple), _xlpm.w, COLUMNS(_xlpm.tuple), _xlpm.IsScalar?, AND(_xlpm.h = 1, _xlpm.w = 1), _xlpm.IsVertical?, AND(_xlpm.h &gt; 1, _xlpm.w = 1), _xlpm.tuple, _xlfn.TOCOL(IF(_xlpm.IsScalar?, Explodeλ(_xlpm.tuple), _xlpm.tuple)), _xlpm.shift_by, _xlfn.TOCOL(IF(_xlfn.ISOMITTED(_xlpm.shift_by), 1, _xlpm.shift_by)), _xlpm.IsMultiShift?, COUNTA(_xlpm.shift_by) &gt; 1, _xlpm.Is1Element?, COUNTA(_xlpm.tuple) = 1, _xlpm.IsTextShift?, OR(ISTEXT(_xlpm.shift_by)), IF(_xlpm.Is1Element?, _xlpm.tuple, IF(_xlpm.IsTextShift?, "#TEXT-SHIFT!", _xlfn.LET(_xlpm.n, COUNTA(_xlpm.tuple), _xlpm.i, _xlfn.SEQUENCE(, _xlpm.n, 0, 1), _xlpm.idx, MOD(_xlpm.i + _xlpm.shift_by, _xlpm.n) + 1, _xlpm.shifted, INDEX(_xlpm.tuple, _xlpm.idx), _xlpm.result, IF(_xlpm.IsMultiShift?, _xlpm.shifted, IF(OR(_xlpm.IsScalar?, _xlpm.IsVertical?), _xlfn.TOCOL(_xlpm.shifted), _xlfn.TOROW(_xlpm.shifted))), _xlpm.result)))))</definedName>
    <definedName name="SliceByDegλ">_xlfn.LAMBDA(_xlpm.grid,_xlpm.min_degree,_xlop.max_degree,_xlop.fill_value, _xlfn.LET(_xlpm.max_degree, IF(_xlfn.ISOMITTED(_xlpm.max_degree), 360, _xlpm.max_degree), _xlpm.fill_value, IF(_xlfn.ISOMITTED(_xlpm.fill_value), "", _xlpm.fill_value), _xlpm.InvalidDeg?, OR(ISTEXT(_xlpm.min_degree), ISTEXT(_xlpm.max_degree), _xlpm.min_degree &lt; 0, _xlpm.min_degree &gt; 360, _xlpm.max_degree &lt; 0, _xlpm.max_degree &gt; 360), IF(_xlpm.InvalidDeg?, "#DEGREE!", _xlfn.LET(_xlpm.d, DGridλ(_xlpm.grid), _xlpm.mask, IF(_xlpm.min_degree &lt;= _xlpm.max_degree, (_xlpm.d &gt;= _xlpm.min_degree) * (_xlpm.d &lt;= _xlpm.max_degree), (_xlpm.d &gt;= _xlpm.min_degree) + (_xlpm.d &lt;= _xlpm.max_degree)), _xlpm.masked, IF(_xlpm.mask, _xlpm.grid, NA()), _xlpm.cleaned, DeleteWhereλ(_xlpm.masked, _xlfn.LAMBDA(_xlpm.v, AND(ISNA(_xlpm.v)))), _xlpm.result, _xlfn.IFNA(_xlpm.cleaned, _xlpm.fill_value), _xlpm.result))))</definedName>
    <definedName name="Snapλ">_xlfn.LAMBDA(_xlpm.array,_xlpm.include,_xlop.if_empty, IF(AND(ROWS(_xlpm.include) &gt; 1, COLUMNS(_xlpm.include) &gt; 1), "#2D-INCLUDE!", _xlfn.LET(_xlpm.if_empty, IF(_xlfn.ISOMITTED(_xlpm.if_empty), 0, _xlpm.if_empty), _xlpm.keep?, _xlfn.BYROW(_xlfn.IFNA(_xlfn.XMATCH(_xlpm.array, _xlpm.include), 0), _xleta.OR), _xlpm.result, _xlfn._xlws.FILTER(_xlpm.array, _xlpm.keep?, _xlpm.if_empty), _xlpm.result)))</definedName>
    <definedName name="Splitλ">_xlfn.LAMBDA(_xlpm.array,_xlpm.delimiter,_xlop.if_not_found,_xlop.treat_consecutive_delimiters_as_one, _xlfn.LET(_xlpm.h, ROWS(_xlpm.array), _xlpm.w, COLUMNS(_xlpm.array), _xlpm.h₂, ROWS(_xlpm.delimiter), _xlpm.w₂, COLUMNS(_xlpm.delimiter), _xlpm.IsVertical?, _xlpm.h &gt; _xlpm.w, _xlpm.Is2D?, AND(_xlpm.h &gt; 1, _xlpm.w &gt; 1), _xlpm.IsScalar?, AND(_xlpm.h = 1, _xlpm.w = 1), _xlpm.if_not_found, IF(_xlfn.ISOMITTED(_xlpm.if_not_found), "", _xlpm.if_not_found), _xlpm.CollapseDelim?, NOT(_xlfn.ISOMITTED(_xlpm.treat_consecutive_delimiters_as_one)), _xlpm.MultipleDelim?, OR(_xlpm.h₂ &gt; 1, _xlpm.w₂ &gt; 1), IF(_xlpm.Is2D?, "#2D-INPUT!", IF(_xlpm.MultipleDelim?, "#DELIMITER-ARRAY!", _xlfn.LET(_xlpm.joined, _xlpm.delimiter &amp; _xlpm.array &amp; _xlpm.delimiter, _xlpm.delim_b, RegexSafeλ(_xlpm.delimiter), _xlpm.IsConsecDelim?, OR(_xlfn.REGEXTEST(_xlpm.joined, "(" &amp; _xlpm.delim_b &amp; "){2,}")), _xlpm.texts, IF(AND(_xlpm.CollapseDelim?, _xlpm.IsConsecDelim?), _xlfn.REGEXREPLACE(_xlpm.joined, "(" &amp; _xlpm.delim_b &amp; ")+", _xlpm.delim_b), _xlpm.joined), _xlpm.L, LEN(_xlpm.delimiter), _xlpm.token, MAX(LEN(_xlpm.texts) - LEN(SUBSTITUTE(_xlpm.texts, _xlpm.delimiter, ""))) / _xlpm.L - 1, _xlpm.idx, _xlfn.LAMBDA(IF((_xlpm.IsVertical?) + (_xlpm.IsScalar?), _xlfn.SEQUENCE(, _xlpm.token), _xlfn.SEQUENCE(_xlpm.token))), _xlpm.final, IFERROR(_xlfn.TEXTBEFORE(_xlfn.TEXTAFTER(_xlpm.texts, _xlpm.delimiter, _xlpm.idx(), , , _xlpm.if_not_found), _xlpm.delimiter, , , , _xlpm.if_not_found), _xlpm.if_not_found), _xlpm.final)))))</definedName>
    <definedName name="Squareλ">_xlfn.LAMBDA(_xlpm.grid,_xlpm.target,_xlpm.extend,_xlop.fill_value,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_xlpm.InvalidExtend?, OR(ISTEXT(_xlpm.extend), _xlpm.extend &lt; 1), _xlpm.NoTarget?, IF(_xlpm.IsI_J?, FALSE, NOT(OR(_xlpm.bool))), _xlpm.fill_value, IF(_xlfn.ISOMITTED(_xlpm.fill_value), 0, _xlpm.fill_value), IF(_xlpm.IsScalar?, _xlpm.grid, IF(_xlpm.Is1D?, "#1D-ARRAY!", IF(_xlpm.InvalidExtend?, "#EXTEND!",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_xlpm.mask, (ABS(_xlpm.i - _xlpm.x) &lt;= _xlpm.extend) * (ABS(_xlpm.j - _xlpm.y) &lt;= _xlpm.extend), _xlpm.result, Squeezeλ(IF(_xlpm.mask, _xlpm.grid, _xlpm.fill_value), _xlpm.fill_value), _xlpm.result)))))))</definedName>
    <definedName name="Squeezeλ">_xlfn.LAMBDA(_xlpm.array,_xlop.custom_criteria,_xlop.suppress_zeros, _xlfn.LET(_xlpm.HideZero?, NOT(_xlfn.ISOMITTED(_xlpm.suppress_zeros)), _xlpm.i, _xlfn.SEQUENCE(ROWS(_xlpm.array)), _xlpm.j, _xlfn.SEQUENCE(, COLUMNS(_xlpm.array)), _xlpm.Keepλ, _xlfn.LAMBDA(_xlpm.v, NOT(AND(_xlfn.TOCOL(_xlpm.v, 2) = 0))), _xlpm.Customλ, _xlfn.LAMBDA(_xlpm.v, NOT(AND(_xlfn.TOCOL(_xlpm.v, 2) = _xlpm.custom_criteria))), _xlpm.fn, IF(_xlfn.ISOMITTED(_xlpm.custom_criteria), _xlpm.Keepλ, _xlpm.Customλ), _xlpm.a, _xlfn.TOCOL(IF(_xlfn.BYROW(_xlpm.array, _xlpm.fn), _xlpm.i, NA()), 2), _xlpm.b, _xlfn.TOROW(IF(_xlfn.BYCOL(_xlpm.array, _xlpm.fn), _xlpm.j, NA()), 2), _xlpm.IsEmpty?, AND(ISERROR(_xlpm.a), ISERROR(_xlpm.b)), _xlpm.x, ROWS(_xlpm.a), _xlpm.y, COLUMNS(_xlpm.b), _xlpm.r, _xlpm.a * _xlfn.SEQUENCE(, _xlpm.y, 1, 0), _xlpm.c, _xlpm.b * _xlfn.SEQUENCE(_xlpm.x, , 1, 0), _xlpm.result, INDEX(_xlpm.array, _xlpm.r, _xlpm.c), _xlpm.result_b, IF(_xlpm.result = 0, "", _xlpm.result), _xlpm.output, IF(_xlpm.IsEmpty?, "#EMPTY-ARRAY!", IF(_xlpm.HideZero?, _xlpm.result_b, _xlpm.result)), _xlpm.output))</definedName>
    <definedName name="Staircaseλ">_xlfn.LAMBDA(_xlpm.array,_xlpm.block_size,_xlop.block_offset,_xlop.IsHorizontal?,_xlop.IsAntiDiag?, ValidateStaircaseλ(_xlpm.array, _xlpm.block_size, _xlpm.block_offset, _xlfn.LET(_xlpm.NoOffset?, _xlfn.ISOMITTED(_xlpm.block_offset), _xlpm.ZeroOffset?, _xlpm.block_offset = 0, _xlpm.col_offset, IF(_xlpm.NoOffset?, 0, _xlpm.block_offset), _xlpm.IsVertical?, _xlfn.ISOMITTED(_xlpm.IsHorizontal?), _xlpm.NoAntiDiag?, _xlfn.ISOMITTED(_xlpm.IsAntiDiag?), _xlpm.flat, _xlfn.TOCOL(_xlpm.array), _xlpm.k, COUNTA(_xlpm.flat), _xlpm.seq, _xlfn.LAMBDA(_xlfn.SEQUENCE(_xlpm.k)), _xlpm.V, _xlfn.TOROW(_xlfn.EXPAND(_xlfn.WRAPROWS(_xlpm.seq(), _xlpm.block_size), , _xlpm.block_size + _xlpm.block_offset, 0)), _xlpm.width, COLUMNS(_xlpm.V), _xlpm.i, _xlfn.LAMBDA(_xlfn.SEQUENCE(_xlpm.block_size) * _xlfn.SEQUENCE(, _xlpm.width, 1, 0)), _xlpm.col_arr, _xlfn.LAMBDA(IF(_xlpm.NoAntiDiag?, _xlfn.SEQUENCE(, _xlpm.width), _xlfn.SEQUENCE(, _xlpm.width, _xlpm.width, -1))), _xlpm.j, _xlfn.LAMBDA(MOD(_xlpm.col_arr(), _xlpm.block_size + _xlpm.block_offset)), _xlpm.j_, _xlfn.LAMBDA(IF(OR(_xlpm.NoOffset?, _xlpm.ZeroOffset?), IF(_xlpm.j() = 0, _xlpm.block_size, _xlpm.j()), _xlpm.j())), _xlpm.idx, _xlfn.LAMBDA(IF(_xlpm.i() = _xlpm.j_(), _xlpm.V, NA())), _xlpm.result, _xlfn.DROP(_xlfn.IFNA(INDEX(_xlpm.flat, _xlpm.idx()), ""), , -_xlpm.col_offset), _xlpm.final, IF(_xlpm.IsVertical?, TRANSPOSE(_xlpm.result), _xlpm.result), _xlpm.final)))</definedName>
    <definedName name="Streakλ">_xlfn.LAMBDA(_xlpm.array,_xlop.Horizontal?,_xlop.Include_Symbol?, IF(AND(ROWS(_xlpm.array) = 1, COLUMNS(_xlpm.array) = 1), _xlpm.array, _xlfn.LET(_xlpm.h, ROWS(_xlpm.array), _xlpm.w, COLUMNS(_xlpm.array), _xlpm.Is2D?, AND(_xlpm.h &gt; 1, _xlpm.w &gt; 1), _xlpm.array, IF(_xlpm.Is2D?, _xlfn.TOCOL(_xlpm.array), _xlpm.array), _xlpm.NoDir?, _xlfn.ISOMITTED(_xlpm.Horizontal?), _xlpm.fn, IF(_xlpm.NoDir?, _xleta.VSTACK, _xleta.HSTACK), _xlpm.kept, IF(_xlpm.NoDir?, _xlfn.DROP(_xlpm.array, -1), _xlfn.DROP(_xlpm.array, , -1)), _xlpm.bool, _xlpm.array = _xlpm.fn("omit", _xlpm.kept), _xlpm.acc, _xlfn.SCAN(0, _xlpm.bool, _xlfn.LAMBDA(_xlpm.a,_xlpm.v, IF(_xlpm.a = 0, 1, IF(_xlpm.v, _xlpm.a + 1, 1)))), _xlpm.result, IF(_xlfn.ISOMITTED(_xlpm.Include_Symbol?), _xlpm.acc, _xlpm.array &amp; _xlfn.UNICHAR(183) &amp; _xlpm.acc), _xlpm.deliver, IF(_xlpm.Is2D?, _xlfn.WRAPROWS(_xlpm.result, _xlpm.w), _xlpm.result), _xlpm.deliver)))</definedName>
    <definedName name="SubsetGenλ">_xlfn.LAMBDA(_xlpm.set, IF(ROWS(_xlpm.set) * COLUMNS(_xlpm.set) &gt; 20, "#TOO-MANY-ITEMS!", _xlfn.LET(_xlpm.set, _xlfn.TOROW(_xlpm.set), _xlpm.n, COUNTA(_xlpm.set), _xlpm.C, _xlfn.SEQUENCE(2 ^ _xlpm.n - 1), _xlpm.bin, Dec2Binλ(_xlpm.C, 1), _xlpm.masked, IF(_xlpm.bin, _xlpm.set, ""), _xlpm.final, _xlfn.BYROW(_xlpm.masked, _xlfn.LAMBDA(_xlpm.v, _xlfn.TEXTJOIN(", ", 1, _xlpm.v))), _xlpm.final)))</definedName>
    <definedName name="SubsetSumλ">_xlfn.LAMBDA(_xlpm.set,_xlpm.target, _xlfn.LET(_xlpm.target, INDEX(_xlpm.target, 1, 1), _xlpm.TooManyItems?, ROWS(_xlpm.set) * COLUMNS(_xlpm.set) &gt; 20, _xlpm.TextSet?, OR(ISERROR(--_xlpm.set)), _xlpm.TextTarget?, ISERROR(--_xlpm.target), IF(_xlpm.TooManyItems?, "#TOO-MANY-ITEMS!", IF(_xlpm.TextSet?, "#TEXT-SET!", IF(_xlpm.TextTarget?, "#TEXT-TARGET!", _xlfn.LET(_xlpm.set, _xlfn.TOROW(--_xlpm.set), _xlpm.n, COUNTA(_xlpm.set), _xlpm.C, _xlfn.SEQUENCE(2 ^ _xlpm.n - 1), _xlpm.bin, Dec2Binλ(_xlpm.C, 1), _xlpm.val_arr, IF(_xlpm.bin, _xlpm.set, 0), _xlpm.bool, _xlfn.BYROW(_xlpm.val_arr, _xleta.SUM) = _xlpm.target, _xlpm.found, _xlfn._xlws.FILTER(_xlpm.val_arr, _xlpm.bool, 0), _xlpm.Conciseλ, _xlfn.LAMBDA(_xlpm.v, _xlfn.TEXTJOIN(", ", 1, TEXT(_xlpm.v, "0;-0;;"))), _xlpm.result, _xlfn.BYROW(_xlpm.found, _xlpm.Conciseλ), _xlpm.final, IF(SUM(LEN(_xlpm.result)) = 0, "#NO-SOLUTION!", _xlpm.result), _xlpm.final))))))</definedName>
    <definedName name="TakeBlockλ">_xlfn.LAMBDA(_xlpm.array,_xlpm.start_at,_xlop.stop_when, _xlfn.LET(_xlpm.DoNotStop?, _xlfn.ISOMITTED(_xlpm.stop_when), _xlpm.h, ROWS(_xlpm.array), _xlpm.w, COLUMNS(_xlpm.array), _xlpm.i, MGridλ(_xlpm.array), _xlpm.j, MGridλ(_xlpm.array, 1), _xlpm.Anchorλ, _xlfn.LAMBDA(_xlpm.arr,_xlpm.condition,_xlpm.idx, N(_xlpm.arr = _xlpm.condition) * _xlpm.idx), _xlpm.IDXλ, _xlfn.LAMBDA(_xlpm.arr, MIN(IF(_xlpm.arr &lt;&gt; 0, _xlpm.arr))), _xlpm.row_start, _xlpm.Anchorλ(_xlpm.array, _xlpm.start_at, _xlpm.i), _xlpm.col_start, _xlpm.Anchorλ(_xlpm.array, _xlpm.start_at, _xlpm.j), _xlpm.r, _xlpm.IDXλ(_xlpm.row_start), _xlpm.c, _xlpm.IDXλ(_xlpm.col_start), _xlpm.row_stop, IF(_xlpm.DoNotStop?, 0, _xlpm.Anchorλ(_xlpm.array, _xlpm.stop_when, _xlpm.i)), _xlpm.no_r, SUM(_xlpm.row_stop) = 0, _xlpm.r_, IF(OR(_xlpm.DoNotStop?, _xlpm.no_r), _xlpm.h, _xlpm.IDXλ(_xlpm.row_stop)), _xlpm.WhereNotFound?, AND(_xlpm.r = 0, _xlpm.c = 0), _xlpm.NoSlice?, AND(NOT(_xlpm.no_r), _xlpm.r_ &lt;= _xlpm.r), IF(_xlpm.WhereNotFound?, "#NO-ANCHOR!", IF(_xlpm.NoSlice?, "#NO-SLICE!", _xlfn.LET(_xlpm.rows, IF(_xlpm.no_r, _xlpm.h - _xlpm.r + 1, _xlpm.r_ - _xlpm.r), _xlpm.cols, _xlpm.w - _xlpm.c + 1, _xlpm.x, IF(_xlpm.rows = 1, _xlpm.r * _xlfn.SEQUENCE(, _xlpm.cols, 1, 0), Resizeλ(_xlfn.SEQUENCE(_xlpm.rows, , _xlpm.r), , _xlpm.cols)), _xlpm.y, IF(_xlpm.cols = 1, _xlfn.SEQUENCE(_xlpm.rows, , _xlpm.c, 0), Resizeλ(_xlfn.SEQUENCE(, _xlpm.cols, _xlpm.c), _xlpm.rows)), _xlpm.result, INDEX(_xlpm.array, _xlpm.x, _xlpm.y), _xlpm.result)))))</definedName>
    <definedName name="Tessellateλ">_xlfn.LAMBDA(_xlpm.pattern,_xlpm.new_height,_xlpm.new_width, _xlfn.LET(_xlpm.h, ROWS(_xlpm.pattern), _xlpm.w, COLUMNS(_xlpm.pattern), _xlpm.IsScalar?, AND(_xlpm.h = 1, _xlpm.w = 1), _xlpm.new_height, INDEX(_xlpm.new_height, 1, 1), _xlpm.new_width, INDEX(_xlpm.new_width, 1, 1), _xlpm.NoChange?, AND(_xlpm.h = _xlpm.new_height, _xlpm.w = _xlpm.new_width), _xlpm.InvalidHW?, OR(_xlpm.new_height &lt;= 0, _xlpm.new_width &lt;= 0, ISTEXT(_xlpm.new_height), ISTEXT(_xlpm.new_width)), IF(_xlpm.IsScalar?, "#SCALAR!", IF(_xlpm.NoChange?, _xlpm.pattern, IF(_xlpm.InvalidHW?, "#NEW-HEIGHT/WIDTH!", _xlfn.LET(_xlpm.exp_shape, _xlfn.EXPAND(0, _xlpm.new_height, _xlpm.new_width), _xlpm.i, TGridλ(_xlpm.exp_shape, _xlpm.h), _xlpm.j, TGridλ(_xlpm.exp_shape, _xlpm.w, 1), _xlpm.tess, INDEX(_xlpm.pattern, _xlpm.i, _xlpm.j), _xlpm.tess))))))</definedName>
    <definedName name="TextOnlyλ">_xlfn.LAMBDA(_xlpm.array, _xlfn.LET(_xlpm.array, IF(TYPE(_xlpm.array) &lt;&gt; 64, _xlpm.array, _xlfn.TOCOL(_xlpm.array)), _xlpm.ex, Explodeλ(_xlpm.array), _xlpm.Keep, IFERROR((CODE(_xlpm.ex) &lt; 48) + (CODE(_xlpm.ex) &gt; 57), FALSE), _xlpm.Result, IF(_xlpm.Keep, _xlpm.ex, ""), _xlpm.final, IFERROR(_xlfn.BYROW(_xlpm.Result, _xleta.CONCAT), ""), _xlpm.final))</definedName>
    <definedName name="TGridλ">_xlfn.LAMBDA(_xlpm.grid,_xlpm.threshold,_xlop.col_index, IF(OR(ISTEXT(_xlpm.threshold), _xlpm.threshold &lt;= 0), "#THRESHOLD!", _xlfn.LET(_xlpm.t, INT(_xlpm.threshold), _xlpm.RowIdx?, _xlfn.ISOMITTED(_xlpm.col_index), _xlpm.h, ROWS(_xlpm.grid), _xlpm.w, COLUMNS(_xlpm.grid), _xlpm.i, _xlfn.LAMBDA(1 + MOD(Resizeλ(_xlfn.SEQUENCE(_xlpm.h, , 0), , _xlpm.w), _xlpm.t)), _xlpm.j, _xlfn.LAMBDA(1 + MOD(Resizeλ(_xlfn.SEQUENCE(, _xlpm.w, 0), _xlpm.h), _xlpm.t)), _xlpm.result, IF(_xlpm.RowIdx?, _xlpm.i(), _xlpm.j()), _xlpm.result)))</definedName>
    <definedName name="Traverseλ">_xlfn.LAMBDA(_xlpm.array,_xlpm.new_axis, IF(OR(ROWS(_xlpm.array) = 1, COLUMNS(_xlpm.array) = 1), "#2D-ARRAY!", IF(AND(ISNUMBER(_xlpm.new_axis), OR(_xlpm.new_axis &lt;= 0, _xlpm.new_axis &gt; 3)), "#AXIS!", _xlfn.LET(_xlpm.h, ROWS(_xlpm.array), _xlpm.w, COLUMNS(_xlpm.array), _xlpm.x_NE, _xlfn.LAMBDA(_xlfn.SEQUENCE(_xlpm.w, , 1, 0) * _xlfn.SEQUENCE(, _xlpm.h)), _xlpm.y_NE, _xlfn.LAMBDA(_xlfn.SEQUENCE(_xlpm.w, , _xlpm.w, -1) * _xlfn.SEQUENCE(, _xlpm.h, 1, 0)), _xlpm.x_SE, _xlfn.LAMBDA(_xlfn.SEQUENCE(_xlpm.h, , _xlpm.h, -1) * _xlfn.SEQUENCE(, _xlpm.w, 1, 0)), _xlpm.y_SE, _xlfn.LAMBDA(_xlfn.SEQUENCE(_xlpm.h, , _xlpm.w, 0) + _xlfn.SEQUENCE(, _xlpm.w, 0, -1)), _xlpm.x_SW, _xlfn.LAMBDA(_xlfn.SEQUENCE(_xlpm.w, , _xlpm.h, 0) + _xlfn.SEQUENCE(, _xlpm.h, 0, -1)), _xlpm.y_SW, _xlfn.LAMBDA(_xlfn.SEQUENCE(_xlpm.w, , 1) * _xlfn.SEQUENCE(, _xlpm.h, 1, 0)), _xlpm.mode, IF(ISNUMBER(_xlpm.new_axis), _xlpm.new_axis, _xlfn.SWITCH(_xlpm.new_axis, "NE", 1, "SE", 2, "SW", 3, 1)), _xlpm.x, CHOOSE(_xlpm.mode, _xlpm.x_NE, _xlpm.x_SE, _xlpm.x_SW), _xlpm.y, CHOOSE(_xlpm.mode, _xlpm.y_NE, _xlpm.y_SE, _xlpm.y_SW), _xlpm.result, INDEX(_xlpm.array, _xlpm.x(), _xlpm.y()), _xlpm.result))))</definedName>
    <definedName name="Triangleλ">_xlfn.LAMBDA(_xlpm.grid,_xlpm.target,_xlpm.radius,_xlop.below,_xlop.fill_value, _xlfn.LET(_xlpm.h, ROWS(_xlpm.grid), _xlpm.w, COLUMNS(_xlpm.grid), _xlpm.IsI_J?, COUNT(_xlpm.target) = 2, _xlpm.r, IF(_xlpm.IsI_J?, _xlfn.TAKE(_xlpm.target, 1, 1), 0), _xlpm.c, IF(_xlpm.IsI_J?, _xlfn.TAKE(_xlpm.target, -1, -1), 0), _xlpm.bool, IF(_xlpm.IsI_J?, FALSE, _xlpm.grid = _xlpm.target), _xlpm.IsScalar?, AND(_xlpm.h = 1, _xlpm.w = 1), _xlpm.Is1D?, _xlfn.XOR(_xlpm.h = 1, _xlpm.w = 1), _xlpm.InvalidRadius?, OR(ISTEXT(_xlpm.radius), _xlpm.radius &lt; 1), _xlpm.NoTarget?, IF(_xlpm.IsI_J?, FALSE, NOT(OR(_xlpm.bool))), _xlpm.fill_value, IF(_xlfn.ISOMITTED(_xlpm.fill_value), 0, _xlpm.fill_value), _xlpm.IsAbove?, _xlfn.ISOMITTED(_xlpm.below), IF(_xlpm.IsScalar?, _xlpm.grid, IF(_xlpm.Is1D?, "#1D-ARRAY!", IF(_xlpm.InvalidRadius?, "#RADIUS!", IF(_xlpm.NoTarget?, "#TARGET!", _xlfn.LET(_xlpm.i, CGridλ(_xlpm.grid), _xlpm.j, CGridλ(_xlpm.grid, 1), _xlpm.x, IF(_xlpm.IsI_J?, INDEX(_xlpm.i, _xlpm.r, _xlpm.c), _xlfn.TOCOL(IF(_xlpm.bool, _xlpm.i, NA()), 2)), _xlpm.y, IF(_xlpm.IsI_J?, INDEX(_xlpm.j, _xlpm.r, _xlpm.c), _xlfn.TOCOL(IF(_xlpm.bool, _xlpm.j, NA()), 2)), _xlpm.dir, IF(_xlpm.IsAbove?, (_xlpm.i &lt;= _xlpm.x), (_xlpm.i &gt;= _xlpm.x)), _xlpm.mask, (ABS(_xlpm.i - _xlpm.x) + ABS(_xlpm.j - _xlpm.y) &lt;= _xlpm.radius) * _xlpm.dir, _xlpm.result, Squeezeλ(IF(_xlpm.mask, _xlpm.grid, _xlpm.fill_value), _xlpm.fill_value), _xlpm.result)))))))</definedName>
    <definedName name="Triplewiseλ">_xlfn.LAMBDA(_xlpm.set_1,_xlpm.set_2,_xlpm.set_3, _xlfn.LET(_xlpm.set_1, _xlfn.TOCOL(_xlpm.set_1), _xlpm.set_2, _xlfn.TOCOL(_xlpm.set_2), _xlpm.set_3, _xlfn.TOCOL(_xlpm.set_3), _xlpm.k₁, ROWS(_xlpm.set_1), _xlpm.k₂, ROWS(_xlpm.set_2), _xlpm.k₃, ROWS(_xlpm.set_3), _xlpm.swap?, _xlpm.k₂ = 1, _xlpm.pairs, IF(_xlpm.swap?, Pairwiseλ(_xlpm.set_2, _xlpm.set_1), Pairwiseλ(_xlpm.set_1, _xlpm.set_2)), _xlpm.a, IF(_xlpm.swap?, _xlfn.TAKE(_xlpm.pairs, , -1), _xlfn.TAKE(_xlpm.pairs, , 1)), _xlpm.b, IF(_xlpm.swap?, _xlfn.TAKE(_xlpm.pairs, , 1), _xlfn.TAKE(_xlpm.pairs, , -1)), _xlpm.thrice, IF(_xlpm.k₃ &lt;&gt; 1, Pairwiseλ(_xlpm.a, _xlpm.set_3), Pairwiseλ(_xlpm.set_3, _xlpm.a)), _xlpm.thrice_, IF(_xlpm.k₃ &lt;&gt; 1, Pairwiseλ(_xlpm.b, _xlpm.set_3), Pairwiseλ(_xlpm.set_3, _xlpm.b)), _xlpm.cols, IF(_xlpm.k₃ = 1, 1, -1), _xlpm.a_, _xlfn.DROP(_xlpm.thrice, , _xlpm.cols), _xlpm.b_, _xlfn.DROP(_xlpm.thrice_, , _xlpm.cols), _xlpm.c_, _xlfn.TAKE(_xlpm.thrice, , _xlpm.cols), _xlpm.final, _xlfn.HSTACK(_xlpm.a_, _xlpm.b_, _xlpm.c_), _xlpm.final))</definedName>
    <definedName name="UnPivotλ">_xlfn.LAMBDA(_xlpm.rows,_xlpm.columns,_xlpm.values,_xlop.ignore, _xlfn.LET(_xlpm.h, ROWS(_xlpm.rows), _xlpm.w, COLUMNS(_xlpm.columns), _xlpm.h_v, ROWS(_xlpm.values), _xlpm.w_v, COLUMNS(_xlpm.values), _xlpm.IsScalar?, AND(_xlpm.h = 1, _xlpm.w = 1, _xlpm.h_v = 1, _xlpm.w_v = 1), _xlpm.NoPivot?, _xlpm.w_v = 1, _xlpm.RowMismatch?, _xlpm.h &lt;&gt; _xlpm.h_v, _xlpm.ColMismatch?, _xlpm.w &lt;&gt; _xlpm.w_v, _xlpm.SpillRisk?, _xlpm.h_v * _xlpm.w_v &gt; 1048576, _xlpm.OrigData, _xlfn.HSTACK(_xlpm.rows, _xlpm.columns, _xlpm.values), _xlpm.OrigDataPad, _xlfn.HSTACK(InsulateRowsλ(_xlpm.rows, 1, 0), _xlfn.VSTACK(_xlpm.columns, _xlpm.values)), IF(_xlpm.IsScalar?, _xlpm.OrigData, IF(_xlpm.NoPivot?, _xlpm.OrigDataPad, IF(_xlpm.RowMismatch?, "#DIM-ROWS/VALUES!", IF(_xlpm.ColMismatch?, "#DIM-COL/VALUES!", IF(_xlpm.SpillRisk?, "#ROW-LIMIT!", _xlfn.LET(_xlpm.row_labels, RepeatRowsλ(_xlpm.rows, _xlpm.w), _xlpm.attribute, Resizeλ(TRANSPOSE(_xlpm.columns), _xlpm.h), _xlpm.flat_values, _xlfn.TOCOL(_xlpm.values), _xlpm.stack, _xlfn.HSTACK(_xlpm.row_labels, _xlpm.attribute, _xlpm.flat_values), _xlpm.keep_mask, NOT(ISBLANK(_xlpm.flat_values) + (IFERROR(_xlpm.flat_values, 0) = 0)), _xlpm.filtered, _xlfn._xlws.FILTER(_xlpm.stack, _xlpm.keep_mask), _xlpm.result, IF(_xlfn.ISOMITTED(_xlpm.ignore), _xlpm.stack, _xlpm.filtered), _xlpm.result))))))))</definedName>
    <definedName name="ValidateBlockMapλ">_xlfn.LAMBDA(_xlpm.array_2D,_xlpm.depth,_xlpm.width,_xlpm.re_shape_by_column?,_xlpm.on_valid, IF(NOT(TYPE(_xlpm.array_2D) = 64), "#array_2D!", IF((_xlpm.re_shape_by_column?) * (ROWS(_xlpm.array_2D) * COLUMNS(_xlpm.array_2D) / (_xlpm.width * _xlpm.depth) ^ 2 &gt; 16384), "#SPILL-RISK!", IF((MOD(ROWS(_xlpm.array_2D), _xlpm.depth) &lt;&gt; 0) + (MOD(COLUMNS(_xlpm.array_2D), _xlpm.width) &lt;&gt; 0), "#BLOCK MISMATCH!", IF(OR(AND(_xlpm.width = 1, _xlpm.depth = 1), _xlpm.depth &gt; ROWS(_xlpm.array_2D), _xlpm.width &gt; COLUMNS(_xlpm.array_2D), ISTEXT(_xlpm.width), ISTEXT(_xlpm.depth)), "#DIMENSIONS!", _xlpm.on_valid)))))</definedName>
    <definedName name="ValidateDiagλ">_xlfn.LAMBDA(_xlpm.array,_xlop.col_index,_xlop.function,_xlop.row_wise_stack?,_xlop.on_valid, _xlfn.LET(_xlpm.IsArray?, TYPE(_xlpm.array) = 64, _xlpm.Not_Array, NOT(_xlpm.IsArray?), _xlpm.No_Col_Index, _xlfn.ISOMITTED(_xlpm.col_index), _xlpm.ColIndex_Included, NOT(_xlpm.No_Col_Index), _xlpm.Not_Valid_ColIndex?, NOT(AND(_xlpm.col_index &lt;&gt; 0, ABS(_xlpm.col_index) &lt;= COLUMNS(_xlpm.array))), _xlpm.No_Function, _xlfn.ISOMITTED(_xlpm.function), _xlpm.Function_Included, NOT(_xlpm.No_Function), _xlpm.Invalid_Function?, AND(_xlpm.Function_Included, ISERROR(_xlfn.BYROW({1,1}, _xlpm.function))), _xlpm.RowWiseStack?, NOT(_xlfn.ISOMITTED(_xlpm.row_wise_stack?)), _xlpm.IsDiagIndex?, _xlpm.ColIndex_Included, _xlpm.IsByDiag?, AND(_xlpm.No_Col_Index, _xlpm.Function_Included), _xlpm.IsDiagMap?, AND(_xlpm.No_Col_Index, _xlpm.No_Function), _xlpm.gate_DiagIndex, IF(_xlpm.Not_Array, "#NOT-ARRAY!", IF(_xlpm.Not_Valid_ColIndex?, "#COLUMN-INDEX!", _xlpm.on_valid)), _xlpm.gate_ByDiag, IF(_xlpm.Not_Array, "#NOT-ARRAY!", IF(_xlpm.Invalid_Function?, "#FUNCTION!", _xlpm.on_valid)), _xlpm.gate_DiagMap, IF(_xlpm.Not_Array, "#NOT-ARRAY!", _xlpm.on_valid), _xlpm.decide, IF(_xlpm.IsDiagIndex?, _xlpm.gate_DiagIndex, IF(_xlpm.IsDiagMap?, _xlpm.gate_DiagMap, IF(_xlpm.IsByDiag?, _xlpm.gate_ByDiag, "#UNROUTED!"))), _xlpm.decide))</definedName>
    <definedName name="ValidateGDλ">_xlfn.LAMBDA(_xlpm.row_fields,_xlpm.values,_xlpm.interval,_xlpm.function,_xlop.field_headers,_xlop.filter_array,_xlop.On_Valid, _xlfn.LET(_xlpm.No_Field_Headers?, _xlfn.ISOMITTED(_xlpm.field_headers), _xlpm.FilterIncluded?, NOT(_xlfn.ISOMITTED(_xlpm.filter_array)), _xlpm.Date_col, IF(_xlpm.No_Field_Headers?, _xlfn.TAKE(_xlpm.row_fields, , 1), _xlfn.DROP(_xlfn.TAKE(_xlpm.row_fields, , 1), 1)), _xlpm.Values_col, IF(_xlpm.No_Field_Headers?, _xlfn.TAKE(_xlpm.values, , 1), _xlfn.DROP(_xlfn.TAKE(_xlpm.values, , 1), 1)), _xlpm.Bool, IFERROR(IF(_xlpm.No_Field_Headers?, _xlpm.filter_array, _xlfn.DROP(_xlpm.filter_array, 1)), 0), _xlpm.No_Dates?, OR(_xlpm.Date_col &lt; 0, _xlpm.Date_col &gt; 2958465, NOT(AND(ISNUMBER(_xlpm.Date_col)))), _xlpm.No_Times?, AND(_xlpm.Date_col - INT(_xlpm.Date_col) = 0), _xlpm.i_d, ROWS(_xlpm.Date_col), _xlpm.i_v, ROWS(_xlpm.Values_col), _xlpm.i_f, IF(_xlpm.FilterIncluded?, ROWS(_xlpm.Bool), 0), _xlpm.Const, {"minute";"hour";"day";"week";"fortnight";"month";"quarter";"year"}, _xlpm.TextInterval?, ISTEXT(_xlpm.interval), _xlpm.NumericInterval?, ISNUMBER(_xlpm.interval), _xlpm.InvalidInterval?, IF(AND(_xlpm.NumericInterval?, OR(_xlpm.interval &lt; 1, _xlpm.interval &gt; 8)), TRUE, IF(AND(_xlpm.TextInterval?, ISNA(_xlfn.XMATCH(_xlpm.interval &amp; "*", _xlpm.Const, 2))), TRUE, FALSE)), _xlpm.IsTime?, _xlpm.interval &lt; 3, _xlpm.EmptyInputs?, OR(_xlfn.ISOMITTED(_xlpm.row_fields), _xlfn.ISOMITTED(_xlpm.values)), _xlpm.HaltDates?, AND(_xlpm.interval &gt; 2, _xlpm.No_Dates?), _xlpm.HaltTime?, AND(_xlpm.IsTime?, _xlpm.No_Times?), _xlpm.ShapeMismatch?, OR(_xlpm.i_d &lt;&gt; _xlpm.i_v, AND(_xlpm.FilterIncluded?, _xlpm.i_d &lt;&gt; _xlpm.i_f)), _xlpm.InvalidFn?, TYPE(_xlpm.function) &lt;&gt; 128, _xlpm.EmptyFilter?, AND(_xlpm.FilterIncluded?, NOT(OR(_xlpm.Bool))), _xlpm.conditions, _xlfn.VSTACK(_xlpm.EmptyInputs?, _xlpm.HaltDates?, _xlpm.HaltTime?, _xlpm.ShapeMismatch?, _xlpm.InvalidInterval?, _xlpm.InvalidFn?, _xlpm.EmptyFilter?), _xlpm.halt, OR(_xlpm.conditions), _xlpm.errors, {"#EMPTY-INPUT!";"#NO-DATES!";"#NO-TIMES!";"#DIMENSIONS!";"#INTERVAL!";"#INVALID-FUNCTION!";"#EMPTY-FILTER!"}, _xlpm.alert, _xlfn._xlws.FILTER(_xlpm.errors, _xlpm.conditions, ""), IF(_xlpm.halt, _xlpm.alert, _xlpm.On_Valid)))</definedName>
    <definedName name="ValidateStaircaseλ">_xlfn.LAMBDA(_xlpm.array,_xlpm.block_size,_xlop.block_offset,_xlop.on_valid, _xlfn.LET(_xlpm.NotArray?, TYPE(_xlpm.array) &lt;&gt; 64, _xlpm.InvalidBlockSize?, OR(ISTEXT(_xlpm.block_size), _xlpm.block_size &lt;= 0, _xlpm.block_size &gt; COUNTA(_xlpm.array)), _xlpm.InvalidBlockOffset?, OR(ISTEXT(_xlpm.block_offset), _xlpm.block_offset &lt; 0), IF(_xlpm.NotArray?, "#NOT-ARRAY!", IF(_xlpm.InvalidBlockSize?, "#BLOCK-SIZE!", IF(_xlpm.InvalidBlockOffset?, "#BLOCK-OFFSET!", _xlpm.on_valid)))))</definedName>
    <definedName name="Waveλ">_xlfn.LAMBDA(_xlpm.crest,_xlop.rep_count, _xlfn.LET(_xlpm.Standard?, _xlfn.ISOMITTED(_xlpm.rep_count), _xlpm.rep_count, IF(_xlpm.Standard?, 1, INDEX(_xlpm.rep_count, 1, 1)), _xlpm.crest, INDEX(_xlpm.crest, 1, 1), _xlpm.InvalidN?, OR(ISTEXT(_xlpm.crest), _xlpm.crest &lt; 0), _xlpm.SpillRisk?, _xlpm.rep_count * (_xlpm.crest * 2 - 1) &gt; 1048576, IF(_xlpm.InvalidN?, #VALUE!, IF(_xlpm.SpillRisk?, #NUM!, _xlfn.LET(_xlpm.k, _xlpm.crest * 2 - 1, _xlpm.seq, _xlfn.SEQUENCE(_xlpm.k), _xlpm.m, MAX(_xlpm.seq), _xlpm.w, IF(_xlpm.seq &gt; _xlpm.crest, _xlpm.m - _xlpm.seq + 1, _xlpm.seq), _xlpm.final, IF(_xlpm.Standard?, _xlpm.w, Echoλ(_xlpm.w, _xlpm.rep_count)), _xlpm.final)))))</definedName>
    <definedName name="WrapCols2Dλ">_xlfn.LAMBDA(_xlpm.array,_xlpm.new_width,_xlop.pad_with, _xlfn.LET(_xlpm.h, ROWS(_xlpm.array), _xlpm.w, COLUMNS(_xlpm.array), _xlpm.blocks, CEILING(_xlpm.w / _xlpm.new_width, 1), _xlpm.pad_with, IF(_xlfn.ISOMITTED(_xlpm.pad_with), NA(), _xlpm.pad_with), _xlpm.r, _xlpm.blocks * _xlpm.h, _xlpm.Is1D?, OR(_xlpm.h = 1, _xlpm.w = 1), _xlpm.IsScalar?, AND(_xlpm.h = 1, _xlpm.w = 1), _xlpm.InvalidDim?, _xlpm.new_width &gt;= _xlpm.w, _xlpm.SpillRisk?, _xlpm.r &gt; 1048576, IF(_xlpm.IsScalar?, "#VALUE!", IF(_xlpm.Is1D?, "#VALUE!", IF(_xlpm.InvalidDim?, "#WIDTH!", IF(_xlpm.SpillRisk?, "#NUM!", _xlfn.LET(_xlpm.modulo, _xlfn.LAMBDA(MOD(_xlfn.SEQUENCE(_xlpm.r), _xlpm.h)), _xlpm.i, _xlfn.LAMBDA(IF(_xlpm.modulo() = 0, _xlpm.h, _xlpm.modulo()) * _xlfn.SEQUENCE(, _xlpm.new_width, 1, 0)), _xlpm.j, _xlfn.LAMBDA(Echoλ(_xlfn.SEQUENCE(_xlpm.r / _xlpm.h, , 1, _xlpm.new_width), _xlpm.h) + _xlfn.SEQUENCE(, _xlpm.new_width, 0, 1)), _xlpm.result, IFERROR(INDEX(_xlpm.array, _xlpm.i(), _xlpm.j()), _xlpm.pad_with), _xlpm.result)))))))</definedName>
    <definedName name="WrapRows2Dλ">_xlfn.LAMBDA(_xlpm.array,_xlpm.new_height,_xlop.pad_with, _xlfn.LET(_xlpm.h, ROWS(_xlpm.array), _xlpm.w, COLUMNS(_xlpm.array), _xlpm.blocks, CEILING(_xlpm.h / _xlpm.new_height, 1), _xlpm.pad_with, IF(_xlfn.ISOMITTED(_xlpm.pad_with), NA(), _xlpm.pad_with), _xlpm.c, _xlpm.blocks * _xlpm.w, _xlpm.Is1D?, OR(_xlpm.h = 1, _xlpm.w = 1), _xlpm.IsScalar?, AND(_xlpm.h = 1, _xlpm.w = 1), _xlpm.InvalidDim?, _xlpm.new_height &gt;= _xlpm.h, _xlpm.SpillRisk?, _xlpm.c &gt; 16384, IF(_xlpm.IsScalar?, "#VALUE!", IF(_xlpm.Is1D?, "#VALUE!", IF(_xlpm.InvalidDim?, "#HEIGHT!", IF(_xlpm.SpillRisk?, "#NUM!", _xlfn.LET(_xlpm.i, _xlfn.LAMBDA(_xlfn.TOROW(Echoλ(_xlfn.SEQUENCE(, _xlpm.blocks, 1, _xlpm.new_height), _xlpm.w)) + _xlfn.SEQUENCE(_xlpm.new_height, , 0, 1)), _xlpm.modulo, _xlfn.LAMBDA(MOD(_xlfn.SEQUENCE(, _xlpm.w * _xlpm.blocks), _xlpm.w)), _xlpm.j, _xlfn.LAMBDA(IF(_xlpm.modulo() = 0, _xlpm.w, _xlpm.modulo()) * _xlfn.SEQUENCE(_xlpm.new_height, , 1, 0)), _xlpm.result, IFERROR(INDEX(_xlpm.array, _xlpm.i(), _xlpm.j()), _xlpm.pad_with), _xlpm.result)))))))</definedName>
    <definedName name="Zipλ">_xlfn.LAMBDA(_xlpm.array_1,_xlop.array_2,_xlop.array_3,_xlop.array_4,_xlop.zip_longest,_xlop.fill_value, _xlfn.LET(_xlpm.ZipLong?, IF(_xlfn.ISOMITTED(_xlpm.zip_longest), FALSE, _xlpm.zip_longest), _xlpm.fnλ, IF(_xlpm.ZipLong?, _xleta.MAX, _xleta.MIN), _xlpm.fill_value, IF(_xlpm.ZipLong?, IF(_xlfn.ISOMITTED(_xlpm.fill_value), NA(), _xlpm.fill_value), NA()), _xlpm.Two, NOT(_xlfn.ISOMITTED(_xlpm.array_2)), _xlpm.Three, NOT(_xlfn.ISOMITTED(_xlpm.array_3)), _xlpm.Four, NOT(_xlfn.ISOMITTED(_xlpm.array_4)), _xlpm.m, IF(_xlpm.Four, 4, IF(_xlpm.Three, 3, IF(_xlpm.Two, 2, 1))), _xlpm.array_1, _xlfn.TOCOL(_xlpm.array_1), _xlpm.array_2, IF(_xlpm.m &gt;= 2, _xlfn.TOCOL(_xlpm.array_2), FALSE), _xlpm.array_3, IF(_xlpm.m &gt;= 3, _xlfn.TOCOL(_xlpm.array_3), FALSE), _xlpm.array_4, IF(_xlpm.m = 4, _xlfn.TOCOL(_xlpm.array_4), FALSE), _xlpm.k₁, ROWS(_xlpm.array_1), _xlpm.k₂, ROWS(_xlpm.array_2), _xlpm.k₃, ROWS(_xlpm.array_3), _xlpm.k₄, ROWS(_xlpm.array_4), _xlpm.LZ, CHOOSE(_xlpm.m, _xlpm.k₁, _xlpm.fnλ(_xlpm.k₁, _xlpm.k₂), _xlpm.fnλ(_xlpm.k₁, _xlpm.k₂, _xlpm.k₃), _xlpm.fnλ(_xlpm.k₁, _xlpm.k₂, _xlpm.k₃, _xlpm.k₄)), _xlpm.Normalizeλ, _xlfn.LAMBDA(_xlpm.array, IF(_xlpm.ZipLong?, _xlfn.EXPAND(_xlpm.array, _xlpm.LZ, , _xlpm.fill_value), _xlfn.TAKE(_xlpm.array, _xlpm.LZ))), _xlpm.a, _xlpm.Normalizeλ(_xlpm.array_1), _xlpm.b, _xlpm.Normalizeλ(_xlpm.array_2), _xlpm.c, _xlpm.Normalizeλ(_xlpm.array_3), _xlpm.d, _xlpm.Normalizeλ(_xlpm.array_4), _xlpm.zipped, CHOOSE(_xlpm.m, _xlpm.a, _xlfn.HSTACK(_xlpm.a, _xlpm.b), _xlfn.HSTACK(_xlpm.a, _xlpm.b, _xlpm.c), _xlfn.HSTACK(_xlpm.a, _xlpm.b, _xlpm.c, _xlpm.d)), _xlpm.zipped))</definedName>
    <definedName name="ZoneStatλ">_xlfn.LAMBDA(_xlpm.grid,_xlop.function, _xlfn.LET(_xlpm.function, IF(_xlfn.ISOMITTED(_xlpm.function), _xleta.SUM, _xlpm.function), _xlpm.IsNonNum?, AND(ISTEXT(_xlpm.grid)), _xlpm.InvalidFn?, TYPE(_xlpm.function) &lt;&gt; 128, _xlpm.IsScalar?, AND(ROWS(_xlpm.grid) = 1, COLUMNS(_xlpm.grid) = 1), IF(_xlpm.IsNonNum?, #VALUE!, IF(_xlpm.InvalidFn?, "#FUNCTION!", IF(_xlpm.IsScalar?, _xlpm.function(_xlpm.grid), _xlfn.LET(_xlpm.mag, IFERROR(MODE(INT(LOG(_xlpm.grid))), 1), _xlpm.bin_width, 10 ^ _xlpm.mag, _xlpm.hist, _xlfn.TAKE(_xlfn.DROP(Histogramλ(_xlpm.grid, _xlpm.bin_width), 2), , 1), _xlpm.zones, _xlfn.IFNA(_xlfn.XMATCH(_xlpm.grid, _xlpm.hist, -1), 0), _xlpm.g, _xlfn.TOCOL(_xlpm.grid), _xlpm.z, _xlfn.TOCOL(_xlpm.zones), _xlpm.agg, _xlfn.GROUPBY(_xlpm.z, _xlpm.g, _xlpm.function, , 0), _xlpm.zone_IDs, _xlfn.TAKE(_xlpm.agg, , 1), _xlpm.grid_values, _xlfn.TAKE(_xlpm.agg, , -1), _xlpm.final, _xlfn.XLOOKUP(_xlpm.zones, _xlpm.zone_IDs, _xlpm.grid_values, 0), _xlpm.final))))))</definedName>
    <definedName name="Zoomλ">_xlfn.LAMBDA(_xlpm.array,_xlpm.zoom_kernel, _xlfn.LET(_xlpm.height, ROWS(_xlpm.zoom_kernel), _xlpm.width, COLUMNS(_xlpm.zoom_kernel), _xlpm.IsTextKernel?, OR(ISTEXT(_xlpm.zoom_kernel)), _xlpm.IsTextArray?, OR(ISTEXT(_xlpm.array)), _xlpm.IsScalarKernel?, AND(_xlpm.height = 1, _xlpm.width = 1), IF(_xlpm.IsTextKernel?, "#KERNEL!", IF(_xlpm.IsTextArray?, "#ARRAY!", IF(_xlpm.IsScalarKernel?, _xlpm.array + _xlpm.zoom_kernel,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_xlpm.zoomed, _xlfn.LAMBDA(INDEX(_xlpm.array, _xlpm.x(), _xlpm.y())), _xlpm.h, ROWS(_xlpm.zoomed()) / _xlpm.height, _xlpm.w, COLUMNS(_xlpm.zoomed()) / _xlpm.width, _xlpm.kernel_mag, Resizeλ(_xlpm.zoom_kernel, _xlpm.h, _xlpm.w), _xlpm.result, _xlpm.zoomed() + _xlpm.kernel_mag, _xlpm.result))))))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0" i="5" l="1" a="1"/>
  <c r="Z31" i="5" a="1"/>
  <c r="O31" i="5" a="1"/>
  <c r="B19" i="5" a="1"/>
  <c r="Z18" i="5" a="1"/>
  <c r="O18" i="5" a="1"/>
  <c r="Z6" i="5" a="1"/>
  <c r="O6" i="5" a="1"/>
  <c r="AF32" i="3" a="1"/>
  <c r="AJ6" i="3" a="1"/>
  <c r="S6" i="3" a="1"/>
  <c r="B24" i="3" a="1"/>
  <c r="AJ24" i="3" a="1"/>
  <c r="S24" i="3" a="1"/>
  <c r="AT32" i="3" a="1"/>
  <c r="R32" i="3" a="1"/>
  <c r="M31" i="2" a="1"/>
  <c r="B31" i="2" a="1"/>
  <c r="AI18" i="2" a="1"/>
  <c r="X18" i="2" a="1"/>
  <c r="M18" i="2" a="1"/>
  <c r="B18" i="2" a="1"/>
  <c r="AI5" i="2" a="1"/>
  <c r="X5" i="2" a="1"/>
  <c r="M5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<sst xmlns="http://schemas.openxmlformats.org/spreadsheetml/2006/main" count="84" uniqueCount="82">
  <si>
    <t>Gridwork</t>
  </si>
  <si>
    <t>DGridλ</t>
  </si>
  <si>
    <t>CGridλ</t>
  </si>
  <si>
    <t>MGridλ</t>
  </si>
  <si>
    <t>TGridλ</t>
  </si>
  <si>
    <t>PolarGridλ</t>
  </si>
  <si>
    <t>Grid Geometry</t>
  </si>
  <si>
    <t>Circleλ</t>
  </si>
  <si>
    <t>Diamondλ</t>
  </si>
  <si>
    <t>Plusλ</t>
  </si>
  <si>
    <t>Pyramidλ</t>
  </si>
  <si>
    <t>Ringλ</t>
  </si>
  <si>
    <t>Squareλ</t>
  </si>
  <si>
    <t>Triangleλ</t>
  </si>
  <si>
    <t>InputGrid</t>
  </si>
  <si>
    <t>=CGridλ(InputGrid,1) - Cartesian column indices</t>
  </si>
  <si>
    <t>=PolarGridλ(InputGrid) - 'r' - radial distance from the center</t>
  </si>
  <si>
    <t>=PolarGridλ(InputGrid,1) - phi - angle in radians (Using ATAN(y, x) )</t>
  </si>
  <si>
    <t>Number formatting applied where needed for readability</t>
  </si>
  <si>
    <t xml:space="preserve">=DGridλ(InputGrid) </t>
  </si>
  <si>
    <t>Degrees grid  0°–360°</t>
  </si>
  <si>
    <t>=CGridλ(InputGrid) - row</t>
  </si>
  <si>
    <t>Cartesian row and column coordinates</t>
  </si>
  <si>
    <t>Mesh grid indices</t>
  </si>
  <si>
    <t>=MGridλ(InputGrid) - row indices</t>
  </si>
  <si>
    <t>=MGridλ(InputGrid,1)  - column indices</t>
  </si>
  <si>
    <t>Threshold grid indices</t>
  </si>
  <si>
    <t>=TGridλ(InputGrid,5) - row indices, threshold = 5</t>
  </si>
  <si>
    <t>'=TGridλ(InputGrid,5) - column indices, threshold = 5</t>
  </si>
  <si>
    <t>Polar coordinates</t>
  </si>
  <si>
    <t>This sheet shows how each Gridwork function transforms the InputGrid. Each block displays the spill output of the formula shown above it.</t>
  </si>
  <si>
    <t>GeoGrid</t>
  </si>
  <si>
    <t>=Circleλ(GeoGrid,98,6,"") - Target: 98, Extend: 6, Fill_value: ""</t>
  </si>
  <si>
    <t>=Squareλ(GeoGrid,95,3) - Target: 95, Extend: 3</t>
  </si>
  <si>
    <t>=Triangleλ(GeoGrid,113,4,,"-") - Target: 113, Radius: 4, Fill_value: "-"</t>
  </si>
  <si>
    <t>=Triangleλ(GeoGrid,113,4,1,"-") - Target: 113, Radius: 4, Below: 1 (TRUE), Fill_value: "-"</t>
  </si>
  <si>
    <t>=Plusλ(GeoGrid,158,6,"") - Target: 158, Extend: 6, Fill_value: ""</t>
  </si>
  <si>
    <t>=Pyramidλ(GeoGrid) - Top right piece</t>
  </si>
  <si>
    <t>=Ringλ(GeoGrid,1) - Ring: 1 (Outer ring)</t>
  </si>
  <si>
    <t>Circle</t>
  </si>
  <si>
    <t>Diamond</t>
  </si>
  <si>
    <t>Square</t>
  </si>
  <si>
    <t>Plus</t>
  </si>
  <si>
    <t>Pyramid</t>
  </si>
  <si>
    <t>Ring</t>
  </si>
  <si>
    <t>Triangle (Above)</t>
  </si>
  <si>
    <t>Triangle (Below)</t>
  </si>
  <si>
    <t>Each Grid Geometry function returns a region of the grid defined by a specific shape, preserving the geometry of the extracted area.</t>
  </si>
  <si>
    <t>=Diamondλ(GeoGrid,98,6) - Target: 98, Fill_value: ""</t>
  </si>
  <si>
    <t>Direction grid (0°-360°) using centered Cartesian axes</t>
  </si>
  <si>
    <t>Cartesian grid (row or column coordinates, centered)</t>
  </si>
  <si>
    <t>Mesh grid (1‑based row or column indices)</t>
  </si>
  <si>
    <t>Thresholded mesh grid (indices wrap after a limit)</t>
  </si>
  <si>
    <t>Circular region by target or {row, col} center.</t>
  </si>
  <si>
    <t>Manhattan‑radius diamond.</t>
  </si>
  <si>
    <t>Cross‑shaped region (von Neumann neighborhood).</t>
  </si>
  <si>
    <t>Directional half‑diamond (four pieces).</t>
  </si>
  <si>
    <t>Layer‑based perimeter extraction.</t>
  </si>
  <si>
    <t>Chebyshev‑radius square.</t>
  </si>
  <si>
    <t>Directional triangular region (above or below).</t>
  </si>
  <si>
    <t>#THRESHOLD!</t>
  </si>
  <si>
    <t>The provided threshold is text or &lt;= 0.</t>
  </si>
  <si>
    <t>All 4 Pyramid pieces extracted</t>
  </si>
  <si>
    <t>Row/Column coordinates may be supplied in lieu of target.</t>
  </si>
  <si>
    <t>=Plusλ(SeqGrid,{3,3},3,"")</t>
  </si>
  <si>
    <t>=Diamondλ(SeqGrid,{4,5},3,"")</t>
  </si>
  <si>
    <t>Description</t>
  </si>
  <si>
    <t>Function</t>
  </si>
  <si>
    <t>How to use this workbook</t>
  </si>
  <si>
    <t>Gridwork &amp; Grid Geometry</t>
  </si>
  <si>
    <t>Each sheet demonstrates a family of functions using a sample grid.</t>
  </si>
  <si>
    <t>Polar coordinates: radial distance and angle (ATAN2)</t>
  </si>
  <si>
    <t>Foundational coordinate systems and geometric regions used throughout BigSpill.</t>
  </si>
  <si>
    <t>Formula cells appear above each spill. Function listings and descriptions appear below.</t>
  </si>
  <si>
    <t>=Ringλ(SeqGrid,2,"-")</t>
  </si>
  <si>
    <t>SeqGrid</t>
  </si>
  <si>
    <t>=Pyramidλ(SeqGrid,1)</t>
  </si>
  <si>
    <t>=Pyramidλ(SeqGrid,2)</t>
  </si>
  <si>
    <t>=Pyramidλ(SeqGrid,3)</t>
  </si>
  <si>
    <t>=Pyramidλ(SeqGrid,4)</t>
  </si>
  <si>
    <t>=Ringλ(SeqGrid,4,"-")</t>
  </si>
  <si>
    <t>Additional examples and variants not shown on the main GridGeometry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</si>
</sst>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7">
    <font>
      <sz val="11"/>
      <color theme="1"/>
      <name val="segoe ui"/>
      <family val="2"/>
    </font>
    <font>
      <sz val="11"/>
      <color theme="1"/>
      <name val="Segoe UI Variable Display"/>
    </font>
    <font>
      <i/>
      <sz val="11"/>
      <color theme="1"/>
      <name val="Segoe UI Variable Display"/>
    </font>
    <font>
      <sz val="10"/>
      <color theme="1"/>
      <name val="Segoe UI Variable Display"/>
    </font>
    <font>
      <i/>
      <sz val="10"/>
      <color theme="1"/>
      <name val="Segoe UI Variable Display"/>
    </font>
    <font>
      <b/>
      <sz val="11"/>
      <color theme="1"/>
      <name val="Segoe UI Variable Display"/>
    </font>
    <font>
      <b/>
      <sz val="11"/>
      <color rgb="FF333333"/>
      <name val="Segoe UI Variable Display"/>
    </font>
    <font>
      <sz val="10"/>
      <color rgb="FF333333"/>
      <name val="Segoe UI Variable Display"/>
    </font>
    <font>
      <i/>
      <sz val="10"/>
      <color rgb="FF333333"/>
      <name val="Segoe UI Variable Display"/>
    </font>
    <font>
      <b/>
      <sz val="10"/>
      <color rgb="FF333333"/>
      <name val="Segoe UI Variable Display"/>
    </font>
    <font>
      <sz val="11"/>
      <color theme="1"/>
      <name val="Banschrift"/>
    </font>
    <font>
      <sz val="10"/>
      <color theme="1"/>
      <name val="Banschrift"/>
    </font>
    <font>
      <sz val="10"/>
      <color theme="1"/>
      <name val="Segoe U variable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sz val="10"/>
      <color theme="1"/>
      <name val="Bahnschrift"/>
      <family val="2"/>
    </font>
    <font>
      <b/>
      <sz val="10"/>
      <color theme="1"/>
      <name val="Segoe UI Variable Display"/>
    </font>
  </fonts>
  <fills count="9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BCD4E6"/>
        <bgColor indexed="64"/>
      </patternFill>
    </fill>
    <fill>
      <patternFill patternType="solid">
        <fgColor rgb="FFD0F0C0"/>
        <bgColor indexed="64"/>
      </patternFill>
    </fill>
    <fill>
      <patternFill patternType="solid">
        <fgColor rgb="FFFED8B1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CACD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3" fillId="0" borderId="0" xfId="0" quotePrefix="1" applyFont="1"/>
    <xf numFmtId="0" fontId="4" fillId="0" borderId="0" xfId="0" applyFont="1"/>
    <xf numFmtId="0" fontId="5" fillId="0" borderId="0" xfId="0" applyFont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6" fillId="0" borderId="0" xfId="0" applyFont="1"/>
    <xf numFmtId="1" fontId="6" fillId="0" borderId="0" xfId="0" applyNumberFormat="1" applyFont="1"/>
    <xf numFmtId="0" fontId="7" fillId="0" borderId="0" xfId="0" quotePrefix="1" applyFont="1"/>
    <xf numFmtId="0" fontId="8" fillId="0" borderId="0" xfId="0" applyFont="1"/>
    <xf numFmtId="0" fontId="6" fillId="0" borderId="0" xfId="0" quotePrefix="1" applyFont="1" applyAlignment="1">
      <alignment horizontal="left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0" xfId="0" applyFont="1"/>
    <xf numFmtId="0" fontId="9" fillId="0" borderId="0" xfId="0" applyFont="1"/>
    <xf numFmtId="0" fontId="11" fillId="0" borderId="8" xfId="0" applyFont="1" applyBorder="1"/>
    <xf numFmtId="0" fontId="11" fillId="0" borderId="2" xfId="0" applyFont="1" applyBorder="1"/>
    <xf numFmtId="0" fontId="9" fillId="0" borderId="2" xfId="0" applyFont="1" applyBorder="1"/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7" fillId="0" borderId="9" xfId="0" applyFont="1" applyBorder="1"/>
    <xf numFmtId="0" fontId="11" fillId="0" borderId="4" xfId="0" applyFont="1" applyBorder="1" applyAlignment="1">
      <alignment horizontal="center"/>
    </xf>
    <xf numFmtId="0" fontId="11" fillId="0" borderId="9" xfId="0" applyFont="1" applyBorder="1"/>
    <xf numFmtId="0" fontId="11" fillId="0" borderId="7" xfId="0" applyFont="1" applyBorder="1"/>
    <xf numFmtId="0" fontId="11" fillId="0" borderId="6" xfId="0" applyFont="1" applyBorder="1"/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5" xfId="0" applyFont="1" applyBorder="1"/>
    <xf numFmtId="0" fontId="11" fillId="0" borderId="9" xfId="0" quotePrefix="1" applyFont="1" applyBorder="1" applyAlignment="1">
      <alignment horizontal="left"/>
    </xf>
    <xf numFmtId="0" fontId="7" fillId="0" borderId="0" xfId="0" applyFont="1"/>
    <xf numFmtId="0" fontId="11" fillId="0" borderId="4" xfId="0" applyFont="1" applyBorder="1"/>
    <xf numFmtId="0" fontId="11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" xfId="0" applyFont="1" applyBorder="1"/>
    <xf numFmtId="0" fontId="9" fillId="0" borderId="9" xfId="0" applyFont="1" applyBorder="1"/>
    <xf numFmtId="0" fontId="11" fillId="0" borderId="0" xfId="0" quotePrefix="1" applyFont="1" applyAlignment="1">
      <alignment horizontal="left"/>
    </xf>
    <xf numFmtId="0" fontId="1" fillId="0" borderId="9" xfId="0" applyFont="1" applyBorder="1"/>
    <xf numFmtId="1" fontId="7" fillId="0" borderId="8" xfId="0" applyNumberFormat="1" applyFont="1" applyBorder="1"/>
    <xf numFmtId="0" fontId="7" fillId="0" borderId="2" xfId="0" quotePrefix="1" applyFont="1" applyBorder="1"/>
    <xf numFmtId="0" fontId="7" fillId="0" borderId="2" xfId="0" quotePrefix="1" applyFont="1" applyBorder="1" applyAlignment="1">
      <alignment horizontal="left"/>
    </xf>
    <xf numFmtId="0" fontId="7" fillId="0" borderId="8" xfId="0" quotePrefix="1" applyFont="1" applyBorder="1"/>
    <xf numFmtId="0" fontId="7" fillId="0" borderId="9" xfId="0" quotePrefix="1" applyFont="1" applyBorder="1"/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12" fillId="0" borderId="8" xfId="0" applyFont="1" applyBorder="1"/>
    <xf numFmtId="0" fontId="12" fillId="0" borderId="2" xfId="0" applyFont="1" applyBorder="1"/>
    <xf numFmtId="0" fontId="12" fillId="0" borderId="0" xfId="0" applyFont="1"/>
    <xf numFmtId="0" fontId="4" fillId="0" borderId="8" xfId="0" applyFont="1" applyBorder="1"/>
    <xf numFmtId="0" fontId="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3" fillId="0" borderId="1" xfId="0" applyFont="1" applyBorder="1"/>
    <xf numFmtId="0" fontId="13" fillId="5" borderId="0" xfId="0" applyFont="1" applyFill="1"/>
    <xf numFmtId="0" fontId="13" fillId="4" borderId="9" xfId="0" applyFont="1" applyFill="1" applyBorder="1"/>
    <xf numFmtId="0" fontId="13" fillId="4" borderId="0" xfId="0" applyFont="1" applyFill="1"/>
    <xf numFmtId="0" fontId="14" fillId="4" borderId="0" xfId="0" applyFont="1" applyFill="1"/>
    <xf numFmtId="0" fontId="13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3" fillId="2" borderId="9" xfId="0" applyFont="1" applyFill="1" applyBorder="1"/>
    <xf numFmtId="0" fontId="13" fillId="2" borderId="0" xfId="0" applyFont="1" applyFill="1"/>
    <xf numFmtId="0" fontId="14" fillId="2" borderId="0" xfId="0" applyFont="1" applyFill="1"/>
    <xf numFmtId="0" fontId="13" fillId="8" borderId="9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3" fillId="7" borderId="9" xfId="0" applyFont="1" applyFill="1" applyBorder="1"/>
    <xf numFmtId="0" fontId="13" fillId="7" borderId="0" xfId="0" applyFont="1" applyFill="1"/>
    <xf numFmtId="0" fontId="14" fillId="7" borderId="0" xfId="0" applyFont="1" applyFill="1"/>
    <xf numFmtId="0" fontId="15" fillId="0" borderId="1" xfId="0" applyFont="1" applyBorder="1" applyAlignment="1">
      <alignment horizontal="center"/>
    </xf>
    <xf numFmtId="0" fontId="15" fillId="6" borderId="9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5" fillId="6" borderId="4" xfId="0" applyFont="1" applyFill="1" applyBorder="1" applyAlignment="1">
      <alignment horizontal="center"/>
    </xf>
    <xf numFmtId="0" fontId="15" fillId="8" borderId="9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5" fillId="4" borderId="9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" fillId="0" borderId="1" xfId="0" applyFont="1" applyBorder="1"/>
    <xf numFmtId="0" fontId="9" fillId="0" borderId="0" xfId="0" quotePrefix="1" applyFont="1"/>
    <xf numFmtId="1" fontId="13" fillId="2" borderId="1" xfId="0" applyNumberFormat="1" applyFont="1" applyFill="1" applyBorder="1" applyAlignment="1">
      <alignment horizontal="center"/>
    </xf>
    <xf numFmtId="0" fontId="13" fillId="6" borderId="1" xfId="0" applyFont="1" applyFill="1" applyBorder="1"/>
    <xf numFmtId="0" fontId="13" fillId="6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4" borderId="1" xfId="0" quotePrefix="1" applyFont="1" applyFill="1" applyBorder="1" applyAlignment="1">
      <alignment horizontal="center"/>
    </xf>
    <xf numFmtId="1" fontId="13" fillId="3" borderId="1" xfId="0" applyNumberFormat="1" applyFont="1" applyFill="1" applyBorder="1" applyAlignment="1">
      <alignment horizontal="center"/>
    </xf>
    <xf numFmtId="1" fontId="13" fillId="3" borderId="1" xfId="0" applyNumberFormat="1" applyFont="1" applyFill="1" applyBorder="1"/>
    <xf numFmtId="0" fontId="16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5B10D6-C204-406A-8D85-E25815DACDE7}"/>
  </tableStyles>
  <colors>
    <mruColors>
      <color rgb="FFC0C0C0"/>
      <color rgb="FFD0F0C0"/>
      <color rgb="FFFED8B1"/>
      <color rgb="FFEECACD"/>
      <color rgb="FFFFFF9F"/>
      <color rgb="FFE8BABD"/>
      <color rgb="FFE1E1E1"/>
      <color rgb="FFBCD4E6"/>
      <color rgb="FF333333"/>
      <color rgb="FFA1CA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644525</xdr:colOff>
      <xdr:row>0</xdr:row>
      <xdr:rowOff>76200</xdr:rowOff>
    </xdr:from>
    <xdr:to>
      <xdr:col>4</xdr:col>
      <xdr:colOff>1440390</xdr:colOff>
      <xdr:row>4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D1DDF00-1E2B-B695-B4A5-4878B9B6353D}"/>
            </a:ext>
          </a:extLst>
        </xdr:cNvPr>
        <xdr:cNvSpPr>
          <a:spLocks noChangeAspect="1"/>
        </xdr:cNvSpPr>
      </xdr:nvSpPr>
      <xdr:spPr>
        <a:xfrm>
          <a:off x="1958975" y="76200"/>
          <a:ext cx="2611965" cy="914400"/>
        </a:xfrm>
        <a:prstGeom prst="rect">
          <a:avLst/>
        </a:prstGeom>
        <a:solidFill>
          <a:srgbClr val="333333"/>
        </a:solidFill>
      </xdr:spPr>
      <xdr:txBody>
        <a:bodyPr wrap="square" lIns="0" tIns="0" rIns="0" bIns="0">
          <a:noAutofit/>
        </a:bodyPr>
        <a:lstStyle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5400" b="0" i="0" cap="none" spc="0">
              <a:ln w="22225">
                <a:noFill/>
                <a:prstDash val="solid"/>
              </a:ln>
              <a:solidFill>
                <a:schemeClr val="bg1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Big</a:t>
          </a:r>
          <a:r>
            <a:rPr lang="en-US" sz="5400" b="0" i="0" cap="none" spc="0">
              <a:ln w="22225">
                <a:noFill/>
                <a:prstDash val="solid"/>
              </a:ln>
              <a:solidFill>
                <a:srgbClr val="1F6F5B"/>
              </a:solidFill>
              <a:effectLst/>
              <a:latin typeface="Bahnschrift" panose="020B0502040204020203" pitchFamily="34" charset="0"/>
              <a:ea typeface="Ebrima" panose="02000000000000000000" pitchFamily="2" charset="0"/>
              <a:cs typeface="Ebrima" panose="02000000000000000000" pitchFamily="2" charset="0"/>
            </a:rPr>
            <a:t>Spill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1112BB-A04B-4A61-99C7-D7D3D7DC7F03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8ED985DE-20B0-41CD-95B5-436DC514212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63C0-84AB-413A-8878-41E8E2A541E8}">
  <dimension ref="A6:G31"/>
  <sheetViews>
    <sheetView showGridLines="0" showRowColHeaders="0" tabSelected="1" zoomScaleNormal="100" workbookViewId="0"/>
  </sheetViews>
  <sheetFormatPr defaultColWidth="0" defaultRowHeight="15.9"/>
  <cols>
    <col min="1" max="3" width="8.6484375" style="1" customWidth="1"/>
    <col min="4" max="4" width="15.25" style="1" customWidth="1"/>
    <col min="5" max="5" width="52" style="56" customWidth="1"/>
    <col min="6" max="6" width="8.6484375" style="1" customWidth="1"/>
    <col min="7" max="7" width="22.84765625" style="1" bestFit="1" customWidth="1"/>
    <col min="8" max="16384" width="8.6484375" style="1" hidden="1"/>
  </cols>
  <sheetData>
    <row r="6" spans="3:5">
      <c r="D6" s="6" t="s">
        <v>69</v>
      </c>
    </row>
    <row r="7" spans="3:5">
      <c r="D7" s="1" t="s">
        <v>72</v>
      </c>
    </row>
    <row r="9" spans="3:5">
      <c r="D9" s="6" t="s">
        <v>68</v>
      </c>
      <c r="E9" s="1"/>
    </row>
    <row r="10" spans="3:5">
      <c r="D10" s="1" t="s">
        <v>70</v>
      </c>
      <c r="E10" s="1"/>
    </row>
    <row r="11" spans="3:5">
      <c r="D11" s="1" t="s">
        <v>73</v>
      </c>
    </row>
    <row r="14" spans="3:5">
      <c r="D14" s="60" t="s">
        <v>0</v>
      </c>
      <c r="E14" s="59"/>
    </row>
    <row r="15" spans="3:5">
      <c r="C15" s="2"/>
      <c r="D15" s="57" t="s">
        <v>67</v>
      </c>
      <c r="E15" s="61" t="s">
        <v>66</v>
      </c>
    </row>
    <row r="16" spans="3:5">
      <c r="D16" s="67" t="s">
        <v>1</v>
      </c>
      <c r="E16" s="98" t="s">
        <v>49</v>
      </c>
    </row>
    <row r="17" spans="3:5">
      <c r="D17" s="67" t="s">
        <v>2</v>
      </c>
      <c r="E17" s="98" t="s">
        <v>50</v>
      </c>
    </row>
    <row r="18" spans="3:5">
      <c r="D18" s="67" t="s">
        <v>3</v>
      </c>
      <c r="E18" s="98" t="s">
        <v>51</v>
      </c>
    </row>
    <row r="19" spans="3:5">
      <c r="D19" s="67" t="s">
        <v>4</v>
      </c>
      <c r="E19" s="98" t="s">
        <v>52</v>
      </c>
    </row>
    <row r="20" spans="3:5">
      <c r="D20" s="67" t="s">
        <v>5</v>
      </c>
      <c r="E20" s="98" t="s">
        <v>71</v>
      </c>
    </row>
    <row r="21" spans="3:5">
      <c r="D21" s="2"/>
    </row>
    <row r="22" spans="3:5">
      <c r="D22" s="2"/>
    </row>
    <row r="23" spans="3:5">
      <c r="D23" s="60" t="s">
        <v>6</v>
      </c>
      <c r="E23" s="59"/>
    </row>
    <row r="24" spans="3:5">
      <c r="C24" s="2"/>
      <c r="D24" s="58" t="s">
        <v>67</v>
      </c>
      <c r="E24" s="62" t="s">
        <v>66</v>
      </c>
    </row>
    <row r="25" spans="3:5">
      <c r="D25" s="67" t="s">
        <v>7</v>
      </c>
      <c r="E25" s="98" t="s">
        <v>53</v>
      </c>
    </row>
    <row r="26" spans="3:5">
      <c r="D26" s="67" t="s">
        <v>8</v>
      </c>
      <c r="E26" s="98" t="s">
        <v>54</v>
      </c>
    </row>
    <row r="27" spans="3:5">
      <c r="D27" s="67" t="s">
        <v>9</v>
      </c>
      <c r="E27" s="98" t="s">
        <v>55</v>
      </c>
    </row>
    <row r="28" spans="3:5">
      <c r="D28" s="67" t="s">
        <v>10</v>
      </c>
      <c r="E28" s="98" t="s">
        <v>56</v>
      </c>
    </row>
    <row r="29" spans="3:5">
      <c r="D29" s="67" t="s">
        <v>11</v>
      </c>
      <c r="E29" s="98" t="s">
        <v>57</v>
      </c>
    </row>
    <row r="30" spans="3:5">
      <c r="D30" s="67" t="s">
        <v>12</v>
      </c>
      <c r="E30" s="98" t="s">
        <v>58</v>
      </c>
    </row>
    <row r="31" spans="3:5">
      <c r="D31" s="67" t="s">
        <v>13</v>
      </c>
      <c r="E31" s="98" t="s">
        <v>59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9E4C-890D-4DEB-9267-00516552D802}">
  <sheetPr>
    <tabColor rgb="FFD0F0C0"/>
  </sheetPr>
  <dimension ref="B2:BE56"/>
  <sheetViews>
    <sheetView zoomScaleNormal="100" workbookViewId="0"/>
  </sheetViews>
  <sheetFormatPr defaultColWidth="8.6484375" defaultRowHeight="15.9"/>
  <cols>
    <col min="1" max="1" width="5" style="1" customWidth="1"/>
    <col min="2" max="25" width="4.59765625" style="1" customWidth="1"/>
    <col min="26" max="46" width="4" style="1" customWidth="1"/>
    <col min="47" max="16384" width="8.6484375" style="1"/>
  </cols>
  <sheetData>
    <row r="2" spans="2:44">
      <c r="B2" s="99" t="s">
        <v>30</v>
      </c>
    </row>
    <row r="4" spans="2:44">
      <c r="M4" s="47" t="s">
        <v>19</v>
      </c>
      <c r="N4" s="7"/>
      <c r="O4" s="7"/>
      <c r="P4" s="7"/>
      <c r="Q4" s="7"/>
      <c r="R4" s="7"/>
      <c r="S4" s="7"/>
      <c r="T4" s="7"/>
      <c r="U4" s="7"/>
      <c r="V4" s="7"/>
      <c r="W4" s="7"/>
      <c r="X4" s="48" t="s">
        <v>21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49" t="s">
        <v>15</v>
      </c>
      <c r="AJ4" s="7"/>
      <c r="AK4" s="7"/>
      <c r="AL4" s="7"/>
      <c r="AM4" s="7"/>
      <c r="AN4" s="7"/>
      <c r="AO4" s="7"/>
      <c r="AP4" s="7"/>
      <c r="AQ4" s="7"/>
      <c r="AR4" s="11"/>
    </row>
    <row r="5" spans="2:44">
      <c r="B5" s="68">
        <v>1</v>
      </c>
      <c r="C5" s="68">
        <v>2</v>
      </c>
      <c r="D5" s="68">
        <v>3</v>
      </c>
      <c r="E5" s="68">
        <v>4</v>
      </c>
      <c r="F5" s="68">
        <v>5</v>
      </c>
      <c r="G5" s="68">
        <v>6</v>
      </c>
      <c r="H5" s="68">
        <v>7</v>
      </c>
      <c r="I5" s="68">
        <v>8</v>
      </c>
      <c r="J5" s="68">
        <v>9</v>
      </c>
      <c r="K5" s="68">
        <v>10</v>
      </c>
      <c r="M5" s="100" cm="1">
        <f t="array" ref="M5:V14">DGridλ(InputGrid)</f>
        <v>225</v>
      </c>
      <c r="N5" s="100">
        <v>217.8749836510982</v>
      </c>
      <c r="O5" s="100">
        <v>209.05460409907715</v>
      </c>
      <c r="P5" s="100">
        <v>198.434948822922</v>
      </c>
      <c r="Q5" s="100">
        <v>186.34019174590989</v>
      </c>
      <c r="R5" s="100">
        <v>173.65980825409008</v>
      </c>
      <c r="S5" s="100">
        <v>161.56505117707798</v>
      </c>
      <c r="T5" s="100">
        <v>150.94539590092285</v>
      </c>
      <c r="U5" s="100">
        <v>142.1250163489018</v>
      </c>
      <c r="V5" s="100">
        <v>135</v>
      </c>
      <c r="W5" s="9"/>
      <c r="X5" s="101" cm="1">
        <f t="array" ref="X5:AG14">CGridλ(InputGrid)</f>
        <v>-4.5</v>
      </c>
      <c r="Y5" s="101">
        <v>-4.5</v>
      </c>
      <c r="Z5" s="101">
        <v>-4.5</v>
      </c>
      <c r="AA5" s="101">
        <v>-4.5</v>
      </c>
      <c r="AB5" s="101">
        <v>-4.5</v>
      </c>
      <c r="AC5" s="101">
        <v>-4.5</v>
      </c>
      <c r="AD5" s="101">
        <v>-4.5</v>
      </c>
      <c r="AE5" s="101">
        <v>-4.5</v>
      </c>
      <c r="AF5" s="101">
        <v>-4.5</v>
      </c>
      <c r="AG5" s="101">
        <v>-4.5</v>
      </c>
      <c r="AI5" s="102" cm="1">
        <f t="array" ref="AI5:AR14">CGridλ(InputGrid,1)</f>
        <v>-4.5</v>
      </c>
      <c r="AJ5" s="102">
        <v>-3.5</v>
      </c>
      <c r="AK5" s="102">
        <v>-2.5</v>
      </c>
      <c r="AL5" s="102">
        <v>-1.5</v>
      </c>
      <c r="AM5" s="102">
        <v>-0.5</v>
      </c>
      <c r="AN5" s="102">
        <v>0.5</v>
      </c>
      <c r="AO5" s="102">
        <v>1.5</v>
      </c>
      <c r="AP5" s="102">
        <v>2.5</v>
      </c>
      <c r="AQ5" s="102">
        <v>3.5</v>
      </c>
      <c r="AR5" s="102">
        <v>4.5</v>
      </c>
    </row>
    <row r="6" spans="2:44">
      <c r="B6" s="68">
        <v>11</v>
      </c>
      <c r="C6" s="68">
        <v>12</v>
      </c>
      <c r="D6" s="68">
        <v>13</v>
      </c>
      <c r="E6" s="68">
        <v>14</v>
      </c>
      <c r="F6" s="68">
        <v>15</v>
      </c>
      <c r="G6" s="68">
        <v>16</v>
      </c>
      <c r="H6" s="68">
        <v>17</v>
      </c>
      <c r="I6" s="68">
        <v>18</v>
      </c>
      <c r="J6" s="68">
        <v>19</v>
      </c>
      <c r="K6" s="68">
        <v>20</v>
      </c>
      <c r="M6" s="100">
        <v>232.1250163489018</v>
      </c>
      <c r="N6" s="100">
        <v>225</v>
      </c>
      <c r="O6" s="100">
        <v>215.53767779197437</v>
      </c>
      <c r="P6" s="100">
        <v>203.19859051364818</v>
      </c>
      <c r="Q6" s="100">
        <v>188.13010235415598</v>
      </c>
      <c r="R6" s="100">
        <v>171.86989764584405</v>
      </c>
      <c r="S6" s="100">
        <v>156.80140948635176</v>
      </c>
      <c r="T6" s="100">
        <v>144.46232220802563</v>
      </c>
      <c r="U6" s="100">
        <v>135</v>
      </c>
      <c r="V6" s="100">
        <v>127.8749836510982</v>
      </c>
      <c r="W6" s="9"/>
      <c r="X6" s="101">
        <v>-3.5</v>
      </c>
      <c r="Y6" s="101">
        <v>-3.5</v>
      </c>
      <c r="Z6" s="101">
        <v>-3.5</v>
      </c>
      <c r="AA6" s="101">
        <v>-3.5</v>
      </c>
      <c r="AB6" s="101">
        <v>-3.5</v>
      </c>
      <c r="AC6" s="101">
        <v>-3.5</v>
      </c>
      <c r="AD6" s="101">
        <v>-3.5</v>
      </c>
      <c r="AE6" s="101">
        <v>-3.5</v>
      </c>
      <c r="AF6" s="101">
        <v>-3.5</v>
      </c>
      <c r="AG6" s="101">
        <v>-3.5</v>
      </c>
      <c r="AI6" s="102">
        <v>-4.5</v>
      </c>
      <c r="AJ6" s="102">
        <v>-3.5</v>
      </c>
      <c r="AK6" s="102">
        <v>-2.5</v>
      </c>
      <c r="AL6" s="102">
        <v>-1.5</v>
      </c>
      <c r="AM6" s="102">
        <v>-0.5</v>
      </c>
      <c r="AN6" s="102">
        <v>0.5</v>
      </c>
      <c r="AO6" s="102">
        <v>1.5</v>
      </c>
      <c r="AP6" s="102">
        <v>2.5</v>
      </c>
      <c r="AQ6" s="102">
        <v>3.5</v>
      </c>
      <c r="AR6" s="102">
        <v>4.5</v>
      </c>
    </row>
    <row r="7" spans="2:44">
      <c r="B7" s="68">
        <v>21</v>
      </c>
      <c r="C7" s="68">
        <v>22</v>
      </c>
      <c r="D7" s="68">
        <v>23</v>
      </c>
      <c r="E7" s="68">
        <v>24</v>
      </c>
      <c r="F7" s="68">
        <v>25</v>
      </c>
      <c r="G7" s="68">
        <v>26</v>
      </c>
      <c r="H7" s="68">
        <v>27</v>
      </c>
      <c r="I7" s="68">
        <v>28</v>
      </c>
      <c r="J7" s="68">
        <v>29</v>
      </c>
      <c r="K7" s="68">
        <v>30</v>
      </c>
      <c r="M7" s="100">
        <v>240.94539590092285</v>
      </c>
      <c r="N7" s="100">
        <v>234.46232220802563</v>
      </c>
      <c r="O7" s="100">
        <v>225</v>
      </c>
      <c r="P7" s="100">
        <v>210.96375653207352</v>
      </c>
      <c r="Q7" s="100">
        <v>191.30993247402023</v>
      </c>
      <c r="R7" s="100">
        <v>168.69006752597977</v>
      </c>
      <c r="S7" s="100">
        <v>149.03624346792651</v>
      </c>
      <c r="T7" s="100">
        <v>135</v>
      </c>
      <c r="U7" s="100">
        <v>125.53767779197437</v>
      </c>
      <c r="V7" s="100">
        <v>119.05460409907715</v>
      </c>
      <c r="W7" s="9"/>
      <c r="X7" s="101">
        <v>-2.5</v>
      </c>
      <c r="Y7" s="101">
        <v>-2.5</v>
      </c>
      <c r="Z7" s="101">
        <v>-2.5</v>
      </c>
      <c r="AA7" s="101">
        <v>-2.5</v>
      </c>
      <c r="AB7" s="101">
        <v>-2.5</v>
      </c>
      <c r="AC7" s="101">
        <v>-2.5</v>
      </c>
      <c r="AD7" s="101">
        <v>-2.5</v>
      </c>
      <c r="AE7" s="101">
        <v>-2.5</v>
      </c>
      <c r="AF7" s="101">
        <v>-2.5</v>
      </c>
      <c r="AG7" s="101">
        <v>-2.5</v>
      </c>
      <c r="AI7" s="102">
        <v>-4.5</v>
      </c>
      <c r="AJ7" s="102">
        <v>-3.5</v>
      </c>
      <c r="AK7" s="102">
        <v>-2.5</v>
      </c>
      <c r="AL7" s="102">
        <v>-1.5</v>
      </c>
      <c r="AM7" s="102">
        <v>-0.5</v>
      </c>
      <c r="AN7" s="102">
        <v>0.5</v>
      </c>
      <c r="AO7" s="102">
        <v>1.5</v>
      </c>
      <c r="AP7" s="102">
        <v>2.5</v>
      </c>
      <c r="AQ7" s="102">
        <v>3.5</v>
      </c>
      <c r="AR7" s="102">
        <v>4.5</v>
      </c>
    </row>
    <row r="8" spans="2:44">
      <c r="B8" s="68">
        <v>31</v>
      </c>
      <c r="C8" s="68">
        <v>32</v>
      </c>
      <c r="D8" s="68">
        <v>33</v>
      </c>
      <c r="E8" s="68">
        <v>34</v>
      </c>
      <c r="F8" s="68">
        <v>35</v>
      </c>
      <c r="G8" s="68">
        <v>36</v>
      </c>
      <c r="H8" s="68">
        <v>37</v>
      </c>
      <c r="I8" s="68">
        <v>38</v>
      </c>
      <c r="J8" s="68">
        <v>39</v>
      </c>
      <c r="K8" s="68">
        <v>40</v>
      </c>
      <c r="M8" s="100">
        <v>251.56505117707798</v>
      </c>
      <c r="N8" s="100">
        <v>246.80140948635182</v>
      </c>
      <c r="O8" s="100">
        <v>239.03624346792648</v>
      </c>
      <c r="P8" s="100">
        <v>225</v>
      </c>
      <c r="Q8" s="100">
        <v>198.434948822922</v>
      </c>
      <c r="R8" s="100">
        <v>161.56505117707798</v>
      </c>
      <c r="S8" s="100">
        <v>135</v>
      </c>
      <c r="T8" s="100">
        <v>120.96375653207349</v>
      </c>
      <c r="U8" s="100">
        <v>113.19859051364818</v>
      </c>
      <c r="V8" s="100">
        <v>108.43494882292202</v>
      </c>
      <c r="W8" s="9"/>
      <c r="X8" s="101">
        <v>-1.5</v>
      </c>
      <c r="Y8" s="101">
        <v>-1.5</v>
      </c>
      <c r="Z8" s="101">
        <v>-1.5</v>
      </c>
      <c r="AA8" s="101">
        <v>-1.5</v>
      </c>
      <c r="AB8" s="101">
        <v>-1.5</v>
      </c>
      <c r="AC8" s="101">
        <v>-1.5</v>
      </c>
      <c r="AD8" s="101">
        <v>-1.5</v>
      </c>
      <c r="AE8" s="101">
        <v>-1.5</v>
      </c>
      <c r="AF8" s="101">
        <v>-1.5</v>
      </c>
      <c r="AG8" s="101">
        <v>-1.5</v>
      </c>
      <c r="AI8" s="102">
        <v>-4.5</v>
      </c>
      <c r="AJ8" s="102">
        <v>-3.5</v>
      </c>
      <c r="AK8" s="102">
        <v>-2.5</v>
      </c>
      <c r="AL8" s="102">
        <v>-1.5</v>
      </c>
      <c r="AM8" s="102">
        <v>-0.5</v>
      </c>
      <c r="AN8" s="102">
        <v>0.5</v>
      </c>
      <c r="AO8" s="102">
        <v>1.5</v>
      </c>
      <c r="AP8" s="102">
        <v>2.5</v>
      </c>
      <c r="AQ8" s="102">
        <v>3.5</v>
      </c>
      <c r="AR8" s="102">
        <v>4.5</v>
      </c>
    </row>
    <row r="9" spans="2:44">
      <c r="B9" s="68">
        <v>41</v>
      </c>
      <c r="C9" s="68">
        <v>42</v>
      </c>
      <c r="D9" s="68">
        <v>43</v>
      </c>
      <c r="E9" s="68">
        <v>44</v>
      </c>
      <c r="F9" s="68">
        <v>45</v>
      </c>
      <c r="G9" s="68">
        <v>46</v>
      </c>
      <c r="H9" s="68">
        <v>47</v>
      </c>
      <c r="I9" s="68">
        <v>48</v>
      </c>
      <c r="J9" s="68">
        <v>49</v>
      </c>
      <c r="K9" s="68">
        <v>50</v>
      </c>
      <c r="M9" s="100">
        <v>263.65980825409008</v>
      </c>
      <c r="N9" s="100">
        <v>261.86989764584405</v>
      </c>
      <c r="O9" s="100">
        <v>258.69006752597977</v>
      </c>
      <c r="P9" s="100">
        <v>251.56505117707798</v>
      </c>
      <c r="Q9" s="100">
        <v>225</v>
      </c>
      <c r="R9" s="100">
        <v>135</v>
      </c>
      <c r="S9" s="100">
        <v>108.43494882292202</v>
      </c>
      <c r="T9" s="100">
        <v>101.30993247402023</v>
      </c>
      <c r="U9" s="100">
        <v>98.130102354155952</v>
      </c>
      <c r="V9" s="100">
        <v>96.34019174590992</v>
      </c>
      <c r="W9" s="9"/>
      <c r="X9" s="101">
        <v>-0.5</v>
      </c>
      <c r="Y9" s="101">
        <v>-0.5</v>
      </c>
      <c r="Z9" s="101">
        <v>-0.5</v>
      </c>
      <c r="AA9" s="101">
        <v>-0.5</v>
      </c>
      <c r="AB9" s="101">
        <v>-0.5</v>
      </c>
      <c r="AC9" s="101">
        <v>-0.5</v>
      </c>
      <c r="AD9" s="101">
        <v>-0.5</v>
      </c>
      <c r="AE9" s="101">
        <v>-0.5</v>
      </c>
      <c r="AF9" s="101">
        <v>-0.5</v>
      </c>
      <c r="AG9" s="101">
        <v>-0.5</v>
      </c>
      <c r="AI9" s="102">
        <v>-4.5</v>
      </c>
      <c r="AJ9" s="102">
        <v>-3.5</v>
      </c>
      <c r="AK9" s="102">
        <v>-2.5</v>
      </c>
      <c r="AL9" s="102">
        <v>-1.5</v>
      </c>
      <c r="AM9" s="102">
        <v>-0.5</v>
      </c>
      <c r="AN9" s="102">
        <v>0.5</v>
      </c>
      <c r="AO9" s="102">
        <v>1.5</v>
      </c>
      <c r="AP9" s="102">
        <v>2.5</v>
      </c>
      <c r="AQ9" s="102">
        <v>3.5</v>
      </c>
      <c r="AR9" s="102">
        <v>4.5</v>
      </c>
    </row>
    <row r="10" spans="2:44">
      <c r="B10" s="68">
        <v>51</v>
      </c>
      <c r="C10" s="68">
        <v>52</v>
      </c>
      <c r="D10" s="68">
        <v>53</v>
      </c>
      <c r="E10" s="68">
        <v>54</v>
      </c>
      <c r="F10" s="68">
        <v>55</v>
      </c>
      <c r="G10" s="68">
        <v>56</v>
      </c>
      <c r="H10" s="68">
        <v>57</v>
      </c>
      <c r="I10" s="68">
        <v>58</v>
      </c>
      <c r="J10" s="68">
        <v>59</v>
      </c>
      <c r="K10" s="68">
        <v>60</v>
      </c>
      <c r="M10" s="100">
        <v>276.34019174590992</v>
      </c>
      <c r="N10" s="100">
        <v>278.13010235415595</v>
      </c>
      <c r="O10" s="100">
        <v>281.30993247402023</v>
      </c>
      <c r="P10" s="100">
        <v>288.43494882292202</v>
      </c>
      <c r="Q10" s="100">
        <v>315</v>
      </c>
      <c r="R10" s="100">
        <v>45</v>
      </c>
      <c r="S10" s="100">
        <v>71.565051177077976</v>
      </c>
      <c r="T10" s="100">
        <v>78.690067525979771</v>
      </c>
      <c r="U10" s="100">
        <v>81.869897645844048</v>
      </c>
      <c r="V10" s="100">
        <v>83.65980825409008</v>
      </c>
      <c r="W10" s="9"/>
      <c r="X10" s="101">
        <v>0.5</v>
      </c>
      <c r="Y10" s="101">
        <v>0.5</v>
      </c>
      <c r="Z10" s="101">
        <v>0.5</v>
      </c>
      <c r="AA10" s="101">
        <v>0.5</v>
      </c>
      <c r="AB10" s="101">
        <v>0.5</v>
      </c>
      <c r="AC10" s="101">
        <v>0.5</v>
      </c>
      <c r="AD10" s="101">
        <v>0.5</v>
      </c>
      <c r="AE10" s="101">
        <v>0.5</v>
      </c>
      <c r="AF10" s="101">
        <v>0.5</v>
      </c>
      <c r="AG10" s="101">
        <v>0.5</v>
      </c>
      <c r="AI10" s="102">
        <v>-4.5</v>
      </c>
      <c r="AJ10" s="102">
        <v>-3.5</v>
      </c>
      <c r="AK10" s="102">
        <v>-2.5</v>
      </c>
      <c r="AL10" s="102">
        <v>-1.5</v>
      </c>
      <c r="AM10" s="102">
        <v>-0.5</v>
      </c>
      <c r="AN10" s="102">
        <v>0.5</v>
      </c>
      <c r="AO10" s="102">
        <v>1.5</v>
      </c>
      <c r="AP10" s="102">
        <v>2.5</v>
      </c>
      <c r="AQ10" s="102">
        <v>3.5</v>
      </c>
      <c r="AR10" s="102">
        <v>4.5</v>
      </c>
    </row>
    <row r="11" spans="2:44">
      <c r="B11" s="68">
        <v>61</v>
      </c>
      <c r="C11" s="68">
        <v>62</v>
      </c>
      <c r="D11" s="68">
        <v>63</v>
      </c>
      <c r="E11" s="68">
        <v>64</v>
      </c>
      <c r="F11" s="68">
        <v>65</v>
      </c>
      <c r="G11" s="68">
        <v>66</v>
      </c>
      <c r="H11" s="68">
        <v>67</v>
      </c>
      <c r="I11" s="68">
        <v>68</v>
      </c>
      <c r="J11" s="68">
        <v>69</v>
      </c>
      <c r="K11" s="68">
        <v>70</v>
      </c>
      <c r="M11" s="100">
        <v>288.43494882292202</v>
      </c>
      <c r="N11" s="100">
        <v>293.19859051364818</v>
      </c>
      <c r="O11" s="100">
        <v>300.96375653207349</v>
      </c>
      <c r="P11" s="100">
        <v>315</v>
      </c>
      <c r="Q11" s="100">
        <v>341.56505117707798</v>
      </c>
      <c r="R11" s="100">
        <v>18.434948822922024</v>
      </c>
      <c r="S11" s="100">
        <v>45</v>
      </c>
      <c r="T11" s="100">
        <v>59.036243467926511</v>
      </c>
      <c r="U11" s="100">
        <v>66.801409486351815</v>
      </c>
      <c r="V11" s="100">
        <v>71.565051177077976</v>
      </c>
      <c r="W11" s="9"/>
      <c r="X11" s="101">
        <v>1.5</v>
      </c>
      <c r="Y11" s="101">
        <v>1.5</v>
      </c>
      <c r="Z11" s="101">
        <v>1.5</v>
      </c>
      <c r="AA11" s="101">
        <v>1.5</v>
      </c>
      <c r="AB11" s="101">
        <v>1.5</v>
      </c>
      <c r="AC11" s="101">
        <v>1.5</v>
      </c>
      <c r="AD11" s="101">
        <v>1.5</v>
      </c>
      <c r="AE11" s="101">
        <v>1.5</v>
      </c>
      <c r="AF11" s="101">
        <v>1.5</v>
      </c>
      <c r="AG11" s="101">
        <v>1.5</v>
      </c>
      <c r="AI11" s="102">
        <v>-4.5</v>
      </c>
      <c r="AJ11" s="102">
        <v>-3.5</v>
      </c>
      <c r="AK11" s="102">
        <v>-2.5</v>
      </c>
      <c r="AL11" s="102">
        <v>-1.5</v>
      </c>
      <c r="AM11" s="102">
        <v>-0.5</v>
      </c>
      <c r="AN11" s="102">
        <v>0.5</v>
      </c>
      <c r="AO11" s="102">
        <v>1.5</v>
      </c>
      <c r="AP11" s="102">
        <v>2.5</v>
      </c>
      <c r="AQ11" s="102">
        <v>3.5</v>
      </c>
      <c r="AR11" s="102">
        <v>4.5</v>
      </c>
    </row>
    <row r="12" spans="2:44">
      <c r="B12" s="68">
        <v>71</v>
      </c>
      <c r="C12" s="68">
        <v>72</v>
      </c>
      <c r="D12" s="68">
        <v>73</v>
      </c>
      <c r="E12" s="68">
        <v>74</v>
      </c>
      <c r="F12" s="68">
        <v>75</v>
      </c>
      <c r="G12" s="68">
        <v>76</v>
      </c>
      <c r="H12" s="68">
        <v>77</v>
      </c>
      <c r="I12" s="68">
        <v>78</v>
      </c>
      <c r="J12" s="68">
        <v>79</v>
      </c>
      <c r="K12" s="68">
        <v>80</v>
      </c>
      <c r="M12" s="100">
        <v>299.05460409907715</v>
      </c>
      <c r="N12" s="100">
        <v>305.53767779197437</v>
      </c>
      <c r="O12" s="100">
        <v>315</v>
      </c>
      <c r="P12" s="100">
        <v>329.03624346792645</v>
      </c>
      <c r="Q12" s="100">
        <v>348.69006752597977</v>
      </c>
      <c r="R12" s="100">
        <v>11.309932474020229</v>
      </c>
      <c r="S12" s="100">
        <v>30.963756532073546</v>
      </c>
      <c r="T12" s="100">
        <v>45</v>
      </c>
      <c r="U12" s="100">
        <v>54.462322208025626</v>
      </c>
      <c r="V12" s="100">
        <v>60.945395900922847</v>
      </c>
      <c r="W12" s="9"/>
      <c r="X12" s="101">
        <v>2.5</v>
      </c>
      <c r="Y12" s="101">
        <v>2.5</v>
      </c>
      <c r="Z12" s="101">
        <v>2.5</v>
      </c>
      <c r="AA12" s="101">
        <v>2.5</v>
      </c>
      <c r="AB12" s="101">
        <v>2.5</v>
      </c>
      <c r="AC12" s="101">
        <v>2.5</v>
      </c>
      <c r="AD12" s="101">
        <v>2.5</v>
      </c>
      <c r="AE12" s="101">
        <v>2.5</v>
      </c>
      <c r="AF12" s="101">
        <v>2.5</v>
      </c>
      <c r="AG12" s="101">
        <v>2.5</v>
      </c>
      <c r="AI12" s="102">
        <v>-4.5</v>
      </c>
      <c r="AJ12" s="102">
        <v>-3.5</v>
      </c>
      <c r="AK12" s="102">
        <v>-2.5</v>
      </c>
      <c r="AL12" s="102">
        <v>-1.5</v>
      </c>
      <c r="AM12" s="102">
        <v>-0.5</v>
      </c>
      <c r="AN12" s="102">
        <v>0.5</v>
      </c>
      <c r="AO12" s="102">
        <v>1.5</v>
      </c>
      <c r="AP12" s="102">
        <v>2.5</v>
      </c>
      <c r="AQ12" s="102">
        <v>3.5</v>
      </c>
      <c r="AR12" s="102">
        <v>4.5</v>
      </c>
    </row>
    <row r="13" spans="2:44">
      <c r="B13" s="68">
        <v>81</v>
      </c>
      <c r="C13" s="68">
        <v>82</v>
      </c>
      <c r="D13" s="68">
        <v>83</v>
      </c>
      <c r="E13" s="68">
        <v>84</v>
      </c>
      <c r="F13" s="68">
        <v>85</v>
      </c>
      <c r="G13" s="68">
        <v>86</v>
      </c>
      <c r="H13" s="68">
        <v>87</v>
      </c>
      <c r="I13" s="68">
        <v>88</v>
      </c>
      <c r="J13" s="68">
        <v>89</v>
      </c>
      <c r="K13" s="68">
        <v>90</v>
      </c>
      <c r="M13" s="100">
        <v>307.8749836510982</v>
      </c>
      <c r="N13" s="100">
        <v>315</v>
      </c>
      <c r="O13" s="100">
        <v>324.46232220802563</v>
      </c>
      <c r="P13" s="100">
        <v>336.80140948635182</v>
      </c>
      <c r="Q13" s="100">
        <v>351.86989764584405</v>
      </c>
      <c r="R13" s="100">
        <v>8.1301023541559516</v>
      </c>
      <c r="S13" s="100">
        <v>23.198590513648185</v>
      </c>
      <c r="T13" s="100">
        <v>35.537677791974374</v>
      </c>
      <c r="U13" s="100">
        <v>45</v>
      </c>
      <c r="V13" s="100">
        <v>52.125016348901795</v>
      </c>
      <c r="W13" s="9"/>
      <c r="X13" s="101">
        <v>3.5</v>
      </c>
      <c r="Y13" s="101">
        <v>3.5</v>
      </c>
      <c r="Z13" s="101">
        <v>3.5</v>
      </c>
      <c r="AA13" s="101">
        <v>3.5</v>
      </c>
      <c r="AB13" s="101">
        <v>3.5</v>
      </c>
      <c r="AC13" s="101">
        <v>3.5</v>
      </c>
      <c r="AD13" s="101">
        <v>3.5</v>
      </c>
      <c r="AE13" s="101">
        <v>3.5</v>
      </c>
      <c r="AF13" s="101">
        <v>3.5</v>
      </c>
      <c r="AG13" s="101">
        <v>3.5</v>
      </c>
      <c r="AI13" s="102">
        <v>-4.5</v>
      </c>
      <c r="AJ13" s="102">
        <v>-3.5</v>
      </c>
      <c r="AK13" s="102">
        <v>-2.5</v>
      </c>
      <c r="AL13" s="102">
        <v>-1.5</v>
      </c>
      <c r="AM13" s="102">
        <v>-0.5</v>
      </c>
      <c r="AN13" s="102">
        <v>0.5</v>
      </c>
      <c r="AO13" s="102">
        <v>1.5</v>
      </c>
      <c r="AP13" s="102">
        <v>2.5</v>
      </c>
      <c r="AQ13" s="102">
        <v>3.5</v>
      </c>
      <c r="AR13" s="102">
        <v>4.5</v>
      </c>
    </row>
    <row r="14" spans="2:44">
      <c r="B14" s="68">
        <v>91</v>
      </c>
      <c r="C14" s="68">
        <v>92</v>
      </c>
      <c r="D14" s="68">
        <v>93</v>
      </c>
      <c r="E14" s="68">
        <v>94</v>
      </c>
      <c r="F14" s="68">
        <v>95</v>
      </c>
      <c r="G14" s="68">
        <v>96</v>
      </c>
      <c r="H14" s="68">
        <v>97</v>
      </c>
      <c r="I14" s="68">
        <v>98</v>
      </c>
      <c r="J14" s="68">
        <v>99</v>
      </c>
      <c r="K14" s="68">
        <v>100</v>
      </c>
      <c r="M14" s="100">
        <v>315</v>
      </c>
      <c r="N14" s="100">
        <v>322.1250163489018</v>
      </c>
      <c r="O14" s="100">
        <v>330.94539590092285</v>
      </c>
      <c r="P14" s="100">
        <v>341.56505117707798</v>
      </c>
      <c r="Q14" s="100">
        <v>353.65980825409008</v>
      </c>
      <c r="R14" s="100">
        <v>6.3401917459099195</v>
      </c>
      <c r="S14" s="100">
        <v>18.434948822922024</v>
      </c>
      <c r="T14" s="100">
        <v>29.054604099077153</v>
      </c>
      <c r="U14" s="100">
        <v>37.874983651098205</v>
      </c>
      <c r="V14" s="100">
        <v>45</v>
      </c>
      <c r="W14" s="9"/>
      <c r="X14" s="101">
        <v>4.5</v>
      </c>
      <c r="Y14" s="101">
        <v>4.5</v>
      </c>
      <c r="Z14" s="101">
        <v>4.5</v>
      </c>
      <c r="AA14" s="101">
        <v>4.5</v>
      </c>
      <c r="AB14" s="101">
        <v>4.5</v>
      </c>
      <c r="AC14" s="101">
        <v>4.5</v>
      </c>
      <c r="AD14" s="101">
        <v>4.5</v>
      </c>
      <c r="AE14" s="101">
        <v>4.5</v>
      </c>
      <c r="AF14" s="101">
        <v>4.5</v>
      </c>
      <c r="AG14" s="101">
        <v>4.5</v>
      </c>
      <c r="AI14" s="102">
        <v>-4.5</v>
      </c>
      <c r="AJ14" s="102">
        <v>-3.5</v>
      </c>
      <c r="AK14" s="102">
        <v>-2.5</v>
      </c>
      <c r="AL14" s="102">
        <v>-1.5</v>
      </c>
      <c r="AM14" s="102">
        <v>-0.5</v>
      </c>
      <c r="AN14" s="102">
        <v>0.5</v>
      </c>
      <c r="AO14" s="102">
        <v>1.5</v>
      </c>
      <c r="AP14" s="102">
        <v>2.5</v>
      </c>
      <c r="AQ14" s="102">
        <v>3.5</v>
      </c>
      <c r="AR14" s="102">
        <v>4.5</v>
      </c>
    </row>
    <row r="15" spans="2:44">
      <c r="B15" s="14" t="s">
        <v>14</v>
      </c>
      <c r="M15" s="46"/>
      <c r="P15" s="15" t="s">
        <v>20</v>
      </c>
      <c r="W15" s="9"/>
      <c r="AD15" s="14" t="s">
        <v>22</v>
      </c>
      <c r="AR15" s="9"/>
    </row>
    <row r="16" spans="2:44">
      <c r="B16" s="12"/>
      <c r="M16" s="13"/>
      <c r="X16" s="13"/>
      <c r="AI16" s="12"/>
      <c r="AR16" s="9"/>
    </row>
    <row r="17" spans="2:44">
      <c r="B17" s="50" t="s">
        <v>24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16" t="s">
        <v>25</v>
      </c>
      <c r="N17" s="7"/>
      <c r="O17" s="7"/>
      <c r="P17" s="7"/>
      <c r="Q17" s="7"/>
      <c r="R17" s="7"/>
      <c r="S17" s="7"/>
      <c r="T17" s="7"/>
      <c r="U17" s="7"/>
      <c r="V17" s="7"/>
      <c r="W17" s="11"/>
      <c r="X17" s="4" t="s">
        <v>27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4" t="s">
        <v>28</v>
      </c>
      <c r="AJ17" s="7"/>
      <c r="AK17" s="7"/>
      <c r="AL17" s="7"/>
      <c r="AM17" s="7"/>
      <c r="AN17" s="7"/>
      <c r="AO17" s="7"/>
      <c r="AP17" s="7"/>
      <c r="AQ17" s="7"/>
      <c r="AR17" s="11"/>
    </row>
    <row r="18" spans="2:44">
      <c r="B18" s="104" cm="1">
        <f t="array" ref="B18:K27">MGridλ(InputGrid)</f>
        <v>1</v>
      </c>
      <c r="C18" s="104">
        <v>1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104">
        <v>1</v>
      </c>
      <c r="J18" s="104">
        <v>1</v>
      </c>
      <c r="K18" s="104">
        <v>1</v>
      </c>
      <c r="L18" s="2"/>
      <c r="M18" s="104" cm="1">
        <f t="array" ref="M18:V27">MGridλ(InputGrid,1)</f>
        <v>1</v>
      </c>
      <c r="N18" s="104">
        <v>2</v>
      </c>
      <c r="O18" s="104">
        <v>3</v>
      </c>
      <c r="P18" s="104">
        <v>4</v>
      </c>
      <c r="Q18" s="104">
        <v>5</v>
      </c>
      <c r="R18" s="104">
        <v>6</v>
      </c>
      <c r="S18" s="104">
        <v>7</v>
      </c>
      <c r="T18" s="104">
        <v>8</v>
      </c>
      <c r="U18" s="104">
        <v>9</v>
      </c>
      <c r="V18" s="104">
        <v>10</v>
      </c>
      <c r="W18" s="9"/>
      <c r="X18" s="103" cm="1">
        <f t="array" ref="X18:AG27">TGridλ(InputGrid,5)</f>
        <v>1</v>
      </c>
      <c r="Y18" s="103">
        <v>1</v>
      </c>
      <c r="Z18" s="103">
        <v>1</v>
      </c>
      <c r="AA18" s="103">
        <v>1</v>
      </c>
      <c r="AB18" s="103">
        <v>1</v>
      </c>
      <c r="AC18" s="103">
        <v>1</v>
      </c>
      <c r="AD18" s="103">
        <v>1</v>
      </c>
      <c r="AE18" s="103">
        <v>1</v>
      </c>
      <c r="AF18" s="103">
        <v>1</v>
      </c>
      <c r="AG18" s="103">
        <v>1</v>
      </c>
      <c r="AH18" s="2"/>
      <c r="AI18" s="103" cm="1">
        <f t="array" ref="AI18:AR27">TGridλ(InputGrid,5,1)</f>
        <v>1</v>
      </c>
      <c r="AJ18" s="103">
        <v>2</v>
      </c>
      <c r="AK18" s="103">
        <v>3</v>
      </c>
      <c r="AL18" s="103">
        <v>4</v>
      </c>
      <c r="AM18" s="103">
        <v>5</v>
      </c>
      <c r="AN18" s="103">
        <v>1</v>
      </c>
      <c r="AO18" s="103">
        <v>2</v>
      </c>
      <c r="AP18" s="103">
        <v>3</v>
      </c>
      <c r="AQ18" s="103">
        <v>4</v>
      </c>
      <c r="AR18" s="103">
        <v>5</v>
      </c>
    </row>
    <row r="19" spans="2:44">
      <c r="B19" s="104">
        <v>2</v>
      </c>
      <c r="C19" s="104">
        <v>2</v>
      </c>
      <c r="D19" s="104">
        <v>2</v>
      </c>
      <c r="E19" s="104">
        <v>2</v>
      </c>
      <c r="F19" s="104">
        <v>2</v>
      </c>
      <c r="G19" s="104">
        <v>2</v>
      </c>
      <c r="H19" s="104">
        <v>2</v>
      </c>
      <c r="I19" s="104">
        <v>2</v>
      </c>
      <c r="J19" s="104">
        <v>2</v>
      </c>
      <c r="K19" s="104">
        <v>2</v>
      </c>
      <c r="L19" s="2"/>
      <c r="M19" s="104">
        <v>1</v>
      </c>
      <c r="N19" s="104">
        <v>2</v>
      </c>
      <c r="O19" s="104">
        <v>3</v>
      </c>
      <c r="P19" s="104">
        <v>4</v>
      </c>
      <c r="Q19" s="104">
        <v>5</v>
      </c>
      <c r="R19" s="104">
        <v>6</v>
      </c>
      <c r="S19" s="104">
        <v>7</v>
      </c>
      <c r="T19" s="104">
        <v>8</v>
      </c>
      <c r="U19" s="104">
        <v>9</v>
      </c>
      <c r="V19" s="104">
        <v>10</v>
      </c>
      <c r="W19" s="9"/>
      <c r="X19" s="103">
        <v>2</v>
      </c>
      <c r="Y19" s="103">
        <v>2</v>
      </c>
      <c r="Z19" s="103">
        <v>2</v>
      </c>
      <c r="AA19" s="103">
        <v>2</v>
      </c>
      <c r="AB19" s="103">
        <v>2</v>
      </c>
      <c r="AC19" s="103">
        <v>2</v>
      </c>
      <c r="AD19" s="103">
        <v>2</v>
      </c>
      <c r="AE19" s="103">
        <v>2</v>
      </c>
      <c r="AF19" s="103">
        <v>2</v>
      </c>
      <c r="AG19" s="103">
        <v>2</v>
      </c>
      <c r="AH19" s="2"/>
      <c r="AI19" s="103">
        <v>1</v>
      </c>
      <c r="AJ19" s="103">
        <v>2</v>
      </c>
      <c r="AK19" s="103">
        <v>3</v>
      </c>
      <c r="AL19" s="103">
        <v>4</v>
      </c>
      <c r="AM19" s="103">
        <v>5</v>
      </c>
      <c r="AN19" s="103">
        <v>1</v>
      </c>
      <c r="AO19" s="103">
        <v>2</v>
      </c>
      <c r="AP19" s="103">
        <v>3</v>
      </c>
      <c r="AQ19" s="103">
        <v>4</v>
      </c>
      <c r="AR19" s="103">
        <v>5</v>
      </c>
    </row>
    <row r="20" spans="2:44">
      <c r="B20" s="104">
        <v>3</v>
      </c>
      <c r="C20" s="104">
        <v>3</v>
      </c>
      <c r="D20" s="104">
        <v>3</v>
      </c>
      <c r="E20" s="104">
        <v>3</v>
      </c>
      <c r="F20" s="104">
        <v>3</v>
      </c>
      <c r="G20" s="104">
        <v>3</v>
      </c>
      <c r="H20" s="104">
        <v>3</v>
      </c>
      <c r="I20" s="104">
        <v>3</v>
      </c>
      <c r="J20" s="104">
        <v>3</v>
      </c>
      <c r="K20" s="104">
        <v>3</v>
      </c>
      <c r="L20" s="2"/>
      <c r="M20" s="104">
        <v>1</v>
      </c>
      <c r="N20" s="104">
        <v>2</v>
      </c>
      <c r="O20" s="104">
        <v>3</v>
      </c>
      <c r="P20" s="104">
        <v>4</v>
      </c>
      <c r="Q20" s="104">
        <v>5</v>
      </c>
      <c r="R20" s="104">
        <v>6</v>
      </c>
      <c r="S20" s="104">
        <v>7</v>
      </c>
      <c r="T20" s="104">
        <v>8</v>
      </c>
      <c r="U20" s="104">
        <v>9</v>
      </c>
      <c r="V20" s="104">
        <v>10</v>
      </c>
      <c r="W20" s="9"/>
      <c r="X20" s="103">
        <v>3</v>
      </c>
      <c r="Y20" s="103">
        <v>3</v>
      </c>
      <c r="Z20" s="103">
        <v>3</v>
      </c>
      <c r="AA20" s="103">
        <v>3</v>
      </c>
      <c r="AB20" s="103">
        <v>3</v>
      </c>
      <c r="AC20" s="103">
        <v>3</v>
      </c>
      <c r="AD20" s="103">
        <v>3</v>
      </c>
      <c r="AE20" s="103">
        <v>3</v>
      </c>
      <c r="AF20" s="103">
        <v>3</v>
      </c>
      <c r="AG20" s="103">
        <v>3</v>
      </c>
      <c r="AH20" s="2"/>
      <c r="AI20" s="103">
        <v>1</v>
      </c>
      <c r="AJ20" s="103">
        <v>2</v>
      </c>
      <c r="AK20" s="103">
        <v>3</v>
      </c>
      <c r="AL20" s="103">
        <v>4</v>
      </c>
      <c r="AM20" s="103">
        <v>5</v>
      </c>
      <c r="AN20" s="103">
        <v>1</v>
      </c>
      <c r="AO20" s="103">
        <v>2</v>
      </c>
      <c r="AP20" s="103">
        <v>3</v>
      </c>
      <c r="AQ20" s="103">
        <v>4</v>
      </c>
      <c r="AR20" s="103">
        <v>5</v>
      </c>
    </row>
    <row r="21" spans="2:44">
      <c r="B21" s="104">
        <v>4</v>
      </c>
      <c r="C21" s="104">
        <v>4</v>
      </c>
      <c r="D21" s="104">
        <v>4</v>
      </c>
      <c r="E21" s="104">
        <v>4</v>
      </c>
      <c r="F21" s="104">
        <v>4</v>
      </c>
      <c r="G21" s="104">
        <v>4</v>
      </c>
      <c r="H21" s="104">
        <v>4</v>
      </c>
      <c r="I21" s="104">
        <v>4</v>
      </c>
      <c r="J21" s="104">
        <v>4</v>
      </c>
      <c r="K21" s="104">
        <v>4</v>
      </c>
      <c r="L21" s="2"/>
      <c r="M21" s="104">
        <v>1</v>
      </c>
      <c r="N21" s="104">
        <v>2</v>
      </c>
      <c r="O21" s="104">
        <v>3</v>
      </c>
      <c r="P21" s="104">
        <v>4</v>
      </c>
      <c r="Q21" s="104">
        <v>5</v>
      </c>
      <c r="R21" s="104">
        <v>6</v>
      </c>
      <c r="S21" s="104">
        <v>7</v>
      </c>
      <c r="T21" s="104">
        <v>8</v>
      </c>
      <c r="U21" s="104">
        <v>9</v>
      </c>
      <c r="V21" s="104">
        <v>10</v>
      </c>
      <c r="W21" s="9"/>
      <c r="X21" s="103">
        <v>4</v>
      </c>
      <c r="Y21" s="103">
        <v>4</v>
      </c>
      <c r="Z21" s="103">
        <v>4</v>
      </c>
      <c r="AA21" s="103">
        <v>4</v>
      </c>
      <c r="AB21" s="103">
        <v>4</v>
      </c>
      <c r="AC21" s="103">
        <v>4</v>
      </c>
      <c r="AD21" s="103">
        <v>4</v>
      </c>
      <c r="AE21" s="103">
        <v>4</v>
      </c>
      <c r="AF21" s="103">
        <v>4</v>
      </c>
      <c r="AG21" s="103">
        <v>4</v>
      </c>
      <c r="AH21" s="2"/>
      <c r="AI21" s="103">
        <v>1</v>
      </c>
      <c r="AJ21" s="103">
        <v>2</v>
      </c>
      <c r="AK21" s="103">
        <v>3</v>
      </c>
      <c r="AL21" s="103">
        <v>4</v>
      </c>
      <c r="AM21" s="103">
        <v>5</v>
      </c>
      <c r="AN21" s="103">
        <v>1</v>
      </c>
      <c r="AO21" s="103">
        <v>2</v>
      </c>
      <c r="AP21" s="103">
        <v>3</v>
      </c>
      <c r="AQ21" s="103">
        <v>4</v>
      </c>
      <c r="AR21" s="103">
        <v>5</v>
      </c>
    </row>
    <row r="22" spans="2:44">
      <c r="B22" s="104">
        <v>5</v>
      </c>
      <c r="C22" s="104">
        <v>5</v>
      </c>
      <c r="D22" s="104">
        <v>5</v>
      </c>
      <c r="E22" s="104">
        <v>5</v>
      </c>
      <c r="F22" s="104">
        <v>5</v>
      </c>
      <c r="G22" s="104">
        <v>5</v>
      </c>
      <c r="H22" s="104">
        <v>5</v>
      </c>
      <c r="I22" s="104">
        <v>5</v>
      </c>
      <c r="J22" s="104">
        <v>5</v>
      </c>
      <c r="K22" s="104">
        <v>5</v>
      </c>
      <c r="L22" s="2"/>
      <c r="M22" s="104">
        <v>1</v>
      </c>
      <c r="N22" s="104">
        <v>2</v>
      </c>
      <c r="O22" s="104">
        <v>3</v>
      </c>
      <c r="P22" s="104">
        <v>4</v>
      </c>
      <c r="Q22" s="104">
        <v>5</v>
      </c>
      <c r="R22" s="104">
        <v>6</v>
      </c>
      <c r="S22" s="104">
        <v>7</v>
      </c>
      <c r="T22" s="104">
        <v>8</v>
      </c>
      <c r="U22" s="104">
        <v>9</v>
      </c>
      <c r="V22" s="104">
        <v>10</v>
      </c>
      <c r="W22" s="9"/>
      <c r="X22" s="103">
        <v>5</v>
      </c>
      <c r="Y22" s="103">
        <v>5</v>
      </c>
      <c r="Z22" s="103">
        <v>5</v>
      </c>
      <c r="AA22" s="103">
        <v>5</v>
      </c>
      <c r="AB22" s="103">
        <v>5</v>
      </c>
      <c r="AC22" s="103">
        <v>5</v>
      </c>
      <c r="AD22" s="103">
        <v>5</v>
      </c>
      <c r="AE22" s="103">
        <v>5</v>
      </c>
      <c r="AF22" s="103">
        <v>5</v>
      </c>
      <c r="AG22" s="103">
        <v>5</v>
      </c>
      <c r="AH22" s="2"/>
      <c r="AI22" s="103">
        <v>1</v>
      </c>
      <c r="AJ22" s="103">
        <v>2</v>
      </c>
      <c r="AK22" s="103">
        <v>3</v>
      </c>
      <c r="AL22" s="103">
        <v>4</v>
      </c>
      <c r="AM22" s="103">
        <v>5</v>
      </c>
      <c r="AN22" s="103">
        <v>1</v>
      </c>
      <c r="AO22" s="103">
        <v>2</v>
      </c>
      <c r="AP22" s="103">
        <v>3</v>
      </c>
      <c r="AQ22" s="103">
        <v>4</v>
      </c>
      <c r="AR22" s="103">
        <v>5</v>
      </c>
    </row>
    <row r="23" spans="2:44">
      <c r="B23" s="104">
        <v>6</v>
      </c>
      <c r="C23" s="104">
        <v>6</v>
      </c>
      <c r="D23" s="104">
        <v>6</v>
      </c>
      <c r="E23" s="104">
        <v>6</v>
      </c>
      <c r="F23" s="104">
        <v>6</v>
      </c>
      <c r="G23" s="104">
        <v>6</v>
      </c>
      <c r="H23" s="104">
        <v>6</v>
      </c>
      <c r="I23" s="104">
        <v>6</v>
      </c>
      <c r="J23" s="104">
        <v>6</v>
      </c>
      <c r="K23" s="104">
        <v>6</v>
      </c>
      <c r="L23" s="2"/>
      <c r="M23" s="104">
        <v>1</v>
      </c>
      <c r="N23" s="104">
        <v>2</v>
      </c>
      <c r="O23" s="104">
        <v>3</v>
      </c>
      <c r="P23" s="104">
        <v>4</v>
      </c>
      <c r="Q23" s="104">
        <v>5</v>
      </c>
      <c r="R23" s="104">
        <v>6</v>
      </c>
      <c r="S23" s="104">
        <v>7</v>
      </c>
      <c r="T23" s="104">
        <v>8</v>
      </c>
      <c r="U23" s="104">
        <v>9</v>
      </c>
      <c r="V23" s="104">
        <v>10</v>
      </c>
      <c r="W23" s="9"/>
      <c r="X23" s="103">
        <v>1</v>
      </c>
      <c r="Y23" s="103">
        <v>1</v>
      </c>
      <c r="Z23" s="103">
        <v>1</v>
      </c>
      <c r="AA23" s="103">
        <v>1</v>
      </c>
      <c r="AB23" s="103">
        <v>1</v>
      </c>
      <c r="AC23" s="103">
        <v>1</v>
      </c>
      <c r="AD23" s="103">
        <v>1</v>
      </c>
      <c r="AE23" s="103">
        <v>1</v>
      </c>
      <c r="AF23" s="103">
        <v>1</v>
      </c>
      <c r="AG23" s="103">
        <v>1</v>
      </c>
      <c r="AH23" s="2"/>
      <c r="AI23" s="103">
        <v>1</v>
      </c>
      <c r="AJ23" s="103">
        <v>2</v>
      </c>
      <c r="AK23" s="103">
        <v>3</v>
      </c>
      <c r="AL23" s="103">
        <v>4</v>
      </c>
      <c r="AM23" s="103">
        <v>5</v>
      </c>
      <c r="AN23" s="103">
        <v>1</v>
      </c>
      <c r="AO23" s="103">
        <v>2</v>
      </c>
      <c r="AP23" s="103">
        <v>3</v>
      </c>
      <c r="AQ23" s="103">
        <v>4</v>
      </c>
      <c r="AR23" s="103">
        <v>5</v>
      </c>
    </row>
    <row r="24" spans="2:44">
      <c r="B24" s="104">
        <v>7</v>
      </c>
      <c r="C24" s="104">
        <v>7</v>
      </c>
      <c r="D24" s="104">
        <v>7</v>
      </c>
      <c r="E24" s="104">
        <v>7</v>
      </c>
      <c r="F24" s="104">
        <v>7</v>
      </c>
      <c r="G24" s="104">
        <v>7</v>
      </c>
      <c r="H24" s="104">
        <v>7</v>
      </c>
      <c r="I24" s="104">
        <v>7</v>
      </c>
      <c r="J24" s="104">
        <v>7</v>
      </c>
      <c r="K24" s="104">
        <v>7</v>
      </c>
      <c r="L24" s="2"/>
      <c r="M24" s="104">
        <v>1</v>
      </c>
      <c r="N24" s="104">
        <v>2</v>
      </c>
      <c r="O24" s="104">
        <v>3</v>
      </c>
      <c r="P24" s="104">
        <v>4</v>
      </c>
      <c r="Q24" s="104">
        <v>5</v>
      </c>
      <c r="R24" s="104">
        <v>6</v>
      </c>
      <c r="S24" s="104">
        <v>7</v>
      </c>
      <c r="T24" s="104">
        <v>8</v>
      </c>
      <c r="U24" s="104">
        <v>9</v>
      </c>
      <c r="V24" s="104">
        <v>10</v>
      </c>
      <c r="W24" s="9"/>
      <c r="X24" s="103">
        <v>2</v>
      </c>
      <c r="Y24" s="103">
        <v>2</v>
      </c>
      <c r="Z24" s="103">
        <v>2</v>
      </c>
      <c r="AA24" s="103">
        <v>2</v>
      </c>
      <c r="AB24" s="103">
        <v>2</v>
      </c>
      <c r="AC24" s="103">
        <v>2</v>
      </c>
      <c r="AD24" s="103">
        <v>2</v>
      </c>
      <c r="AE24" s="103">
        <v>2</v>
      </c>
      <c r="AF24" s="103">
        <v>2</v>
      </c>
      <c r="AG24" s="103">
        <v>2</v>
      </c>
      <c r="AH24" s="2"/>
      <c r="AI24" s="103">
        <v>1</v>
      </c>
      <c r="AJ24" s="103">
        <v>2</v>
      </c>
      <c r="AK24" s="103">
        <v>3</v>
      </c>
      <c r="AL24" s="103">
        <v>4</v>
      </c>
      <c r="AM24" s="103">
        <v>5</v>
      </c>
      <c r="AN24" s="103">
        <v>1</v>
      </c>
      <c r="AO24" s="103">
        <v>2</v>
      </c>
      <c r="AP24" s="103">
        <v>3</v>
      </c>
      <c r="AQ24" s="103">
        <v>4</v>
      </c>
      <c r="AR24" s="103">
        <v>5</v>
      </c>
    </row>
    <row r="25" spans="2:44">
      <c r="B25" s="104">
        <v>8</v>
      </c>
      <c r="C25" s="104">
        <v>8</v>
      </c>
      <c r="D25" s="104">
        <v>8</v>
      </c>
      <c r="E25" s="104">
        <v>8</v>
      </c>
      <c r="F25" s="104">
        <v>8</v>
      </c>
      <c r="G25" s="104">
        <v>8</v>
      </c>
      <c r="H25" s="104">
        <v>8</v>
      </c>
      <c r="I25" s="104">
        <v>8</v>
      </c>
      <c r="J25" s="104">
        <v>8</v>
      </c>
      <c r="K25" s="104">
        <v>8</v>
      </c>
      <c r="L25" s="2"/>
      <c r="M25" s="104">
        <v>1</v>
      </c>
      <c r="N25" s="104">
        <v>2</v>
      </c>
      <c r="O25" s="104">
        <v>3</v>
      </c>
      <c r="P25" s="104">
        <v>4</v>
      </c>
      <c r="Q25" s="104">
        <v>5</v>
      </c>
      <c r="R25" s="104">
        <v>6</v>
      </c>
      <c r="S25" s="104">
        <v>7</v>
      </c>
      <c r="T25" s="104">
        <v>8</v>
      </c>
      <c r="U25" s="104">
        <v>9</v>
      </c>
      <c r="V25" s="104">
        <v>10</v>
      </c>
      <c r="W25" s="9"/>
      <c r="X25" s="103">
        <v>3</v>
      </c>
      <c r="Y25" s="103">
        <v>3</v>
      </c>
      <c r="Z25" s="103">
        <v>3</v>
      </c>
      <c r="AA25" s="103">
        <v>3</v>
      </c>
      <c r="AB25" s="103">
        <v>3</v>
      </c>
      <c r="AC25" s="103">
        <v>3</v>
      </c>
      <c r="AD25" s="103">
        <v>3</v>
      </c>
      <c r="AE25" s="103">
        <v>3</v>
      </c>
      <c r="AF25" s="103">
        <v>3</v>
      </c>
      <c r="AG25" s="103">
        <v>3</v>
      </c>
      <c r="AH25" s="2"/>
      <c r="AI25" s="103">
        <v>1</v>
      </c>
      <c r="AJ25" s="103">
        <v>2</v>
      </c>
      <c r="AK25" s="103">
        <v>3</v>
      </c>
      <c r="AL25" s="103">
        <v>4</v>
      </c>
      <c r="AM25" s="103">
        <v>5</v>
      </c>
      <c r="AN25" s="103">
        <v>1</v>
      </c>
      <c r="AO25" s="103">
        <v>2</v>
      </c>
      <c r="AP25" s="103">
        <v>3</v>
      </c>
      <c r="AQ25" s="103">
        <v>4</v>
      </c>
      <c r="AR25" s="103">
        <v>5</v>
      </c>
    </row>
    <row r="26" spans="2:44">
      <c r="B26" s="104">
        <v>9</v>
      </c>
      <c r="C26" s="104">
        <v>9</v>
      </c>
      <c r="D26" s="104">
        <v>9</v>
      </c>
      <c r="E26" s="104">
        <v>9</v>
      </c>
      <c r="F26" s="104">
        <v>9</v>
      </c>
      <c r="G26" s="104">
        <v>9</v>
      </c>
      <c r="H26" s="104">
        <v>9</v>
      </c>
      <c r="I26" s="104">
        <v>9</v>
      </c>
      <c r="J26" s="104">
        <v>9</v>
      </c>
      <c r="K26" s="104">
        <v>9</v>
      </c>
      <c r="L26" s="2"/>
      <c r="M26" s="104">
        <v>1</v>
      </c>
      <c r="N26" s="104">
        <v>2</v>
      </c>
      <c r="O26" s="104">
        <v>3</v>
      </c>
      <c r="P26" s="104">
        <v>4</v>
      </c>
      <c r="Q26" s="104">
        <v>5</v>
      </c>
      <c r="R26" s="104">
        <v>6</v>
      </c>
      <c r="S26" s="104">
        <v>7</v>
      </c>
      <c r="T26" s="104">
        <v>8</v>
      </c>
      <c r="U26" s="104">
        <v>9</v>
      </c>
      <c r="V26" s="104">
        <v>10</v>
      </c>
      <c r="W26" s="9"/>
      <c r="X26" s="103">
        <v>4</v>
      </c>
      <c r="Y26" s="103">
        <v>4</v>
      </c>
      <c r="Z26" s="103">
        <v>4</v>
      </c>
      <c r="AA26" s="103">
        <v>4</v>
      </c>
      <c r="AB26" s="103">
        <v>4</v>
      </c>
      <c r="AC26" s="103">
        <v>4</v>
      </c>
      <c r="AD26" s="103">
        <v>4</v>
      </c>
      <c r="AE26" s="103">
        <v>4</v>
      </c>
      <c r="AF26" s="103">
        <v>4</v>
      </c>
      <c r="AG26" s="103">
        <v>4</v>
      </c>
      <c r="AH26" s="2"/>
      <c r="AI26" s="103">
        <v>1</v>
      </c>
      <c r="AJ26" s="103">
        <v>2</v>
      </c>
      <c r="AK26" s="103">
        <v>3</v>
      </c>
      <c r="AL26" s="103">
        <v>4</v>
      </c>
      <c r="AM26" s="103">
        <v>5</v>
      </c>
      <c r="AN26" s="103">
        <v>1</v>
      </c>
      <c r="AO26" s="103">
        <v>2</v>
      </c>
      <c r="AP26" s="103">
        <v>3</v>
      </c>
      <c r="AQ26" s="103">
        <v>4</v>
      </c>
      <c r="AR26" s="103">
        <v>5</v>
      </c>
    </row>
    <row r="27" spans="2:44">
      <c r="B27" s="104">
        <v>10</v>
      </c>
      <c r="C27" s="104">
        <v>10</v>
      </c>
      <c r="D27" s="104">
        <v>10</v>
      </c>
      <c r="E27" s="104">
        <v>10</v>
      </c>
      <c r="F27" s="104">
        <v>10</v>
      </c>
      <c r="G27" s="104">
        <v>10</v>
      </c>
      <c r="H27" s="104">
        <v>10</v>
      </c>
      <c r="I27" s="104">
        <v>10</v>
      </c>
      <c r="J27" s="104">
        <v>10</v>
      </c>
      <c r="K27" s="104">
        <v>10</v>
      </c>
      <c r="L27" s="2"/>
      <c r="M27" s="104">
        <v>1</v>
      </c>
      <c r="N27" s="104">
        <v>2</v>
      </c>
      <c r="O27" s="104">
        <v>3</v>
      </c>
      <c r="P27" s="104">
        <v>4</v>
      </c>
      <c r="Q27" s="104">
        <v>5</v>
      </c>
      <c r="R27" s="104">
        <v>6</v>
      </c>
      <c r="S27" s="104">
        <v>7</v>
      </c>
      <c r="T27" s="104">
        <v>8</v>
      </c>
      <c r="U27" s="104">
        <v>9</v>
      </c>
      <c r="V27" s="104">
        <v>10</v>
      </c>
      <c r="W27" s="9"/>
      <c r="X27" s="103">
        <v>5</v>
      </c>
      <c r="Y27" s="103">
        <v>5</v>
      </c>
      <c r="Z27" s="103">
        <v>5</v>
      </c>
      <c r="AA27" s="103">
        <v>5</v>
      </c>
      <c r="AB27" s="103">
        <v>5</v>
      </c>
      <c r="AC27" s="103">
        <v>5</v>
      </c>
      <c r="AD27" s="103">
        <v>5</v>
      </c>
      <c r="AE27" s="103">
        <v>5</v>
      </c>
      <c r="AF27" s="103">
        <v>5</v>
      </c>
      <c r="AG27" s="103">
        <v>5</v>
      </c>
      <c r="AH27" s="2"/>
      <c r="AI27" s="103">
        <v>1</v>
      </c>
      <c r="AJ27" s="103">
        <v>2</v>
      </c>
      <c r="AK27" s="103">
        <v>3</v>
      </c>
      <c r="AL27" s="103">
        <v>4</v>
      </c>
      <c r="AM27" s="103">
        <v>5</v>
      </c>
      <c r="AN27" s="103">
        <v>1</v>
      </c>
      <c r="AO27" s="103">
        <v>2</v>
      </c>
      <c r="AP27" s="103">
        <v>3</v>
      </c>
      <c r="AQ27" s="103">
        <v>4</v>
      </c>
      <c r="AR27" s="103">
        <v>5</v>
      </c>
    </row>
    <row r="28" spans="2:44">
      <c r="B28" s="46"/>
      <c r="K28" s="18" t="s">
        <v>23</v>
      </c>
      <c r="W28" s="9"/>
      <c r="AD28" s="14" t="s">
        <v>26</v>
      </c>
      <c r="AR28" s="9"/>
    </row>
    <row r="29" spans="2:44">
      <c r="B29" s="46"/>
      <c r="M29" s="12"/>
      <c r="W29" s="10"/>
      <c r="Z29" s="22" t="s">
        <v>60</v>
      </c>
      <c r="AA29" s="22"/>
      <c r="AB29" s="22"/>
      <c r="AC29" s="5" t="s">
        <v>61</v>
      </c>
      <c r="AR29" s="10"/>
    </row>
    <row r="30" spans="2:44">
      <c r="B30" s="51" t="s">
        <v>16</v>
      </c>
      <c r="C30" s="8"/>
      <c r="D30" s="8"/>
      <c r="E30" s="8"/>
      <c r="F30" s="8"/>
      <c r="G30" s="8"/>
      <c r="H30" s="8"/>
      <c r="I30" s="8"/>
      <c r="J30" s="8"/>
      <c r="K30" s="8"/>
      <c r="L30" s="7"/>
      <c r="M30" s="16" t="s">
        <v>17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11"/>
    </row>
    <row r="31" spans="2:44">
      <c r="B31" s="105" cm="1">
        <f t="array" ref="B31:K40">PolarGridλ(InputGrid)</f>
        <v>6.3639610306789276</v>
      </c>
      <c r="C31" s="105">
        <v>5.7008771254956896</v>
      </c>
      <c r="D31" s="105">
        <v>5.1478150704935004</v>
      </c>
      <c r="E31" s="105">
        <v>4.7434164902525691</v>
      </c>
      <c r="F31" s="105">
        <v>4.5276925690687087</v>
      </c>
      <c r="G31" s="105">
        <v>4.5276925690687087</v>
      </c>
      <c r="H31" s="105">
        <v>4.7434164902525691</v>
      </c>
      <c r="I31" s="105">
        <v>5.1478150704935004</v>
      </c>
      <c r="J31" s="105">
        <v>5.7008771254956896</v>
      </c>
      <c r="K31" s="105">
        <v>6.3639610306789276</v>
      </c>
      <c r="M31" s="106" cm="1">
        <f t="array" ref="M31:V40">PolarGridλ(InputGrid,1)</f>
        <v>-2.3561944901923448</v>
      </c>
      <c r="N31" s="106">
        <v>-2.2318394956455831</v>
      </c>
      <c r="O31" s="106">
        <v>-2.0778948311872334</v>
      </c>
      <c r="P31" s="106">
        <v>-1.8925468811915387</v>
      </c>
      <c r="Q31" s="106">
        <v>-1.6814535479687922</v>
      </c>
      <c r="R31" s="106">
        <v>-1.4601391056210009</v>
      </c>
      <c r="S31" s="106">
        <v>-1.2490457723982544</v>
      </c>
      <c r="T31" s="106">
        <v>-1.0636978224025597</v>
      </c>
      <c r="U31" s="106">
        <v>-0.90975315794420974</v>
      </c>
      <c r="V31" s="106">
        <v>-0.78539816339744828</v>
      </c>
      <c r="Y31" s="17" t="s">
        <v>18</v>
      </c>
      <c r="AR31" s="9"/>
    </row>
    <row r="32" spans="2:44">
      <c r="B32" s="105">
        <v>5.7008771254956896</v>
      </c>
      <c r="C32" s="105">
        <v>4.9497474683058327</v>
      </c>
      <c r="D32" s="105">
        <v>4.3011626335213133</v>
      </c>
      <c r="E32" s="105">
        <v>3.8078865529319543</v>
      </c>
      <c r="F32" s="105">
        <v>3.5355339059327378</v>
      </c>
      <c r="G32" s="105">
        <v>3.5355339059327378</v>
      </c>
      <c r="H32" s="105">
        <v>3.8078865529319543</v>
      </c>
      <c r="I32" s="105">
        <v>4.3011626335213133</v>
      </c>
      <c r="J32" s="105">
        <v>4.9497474683058327</v>
      </c>
      <c r="K32" s="105">
        <v>5.7008771254956896</v>
      </c>
      <c r="M32" s="106">
        <v>-2.4805494847391061</v>
      </c>
      <c r="N32" s="106">
        <v>-2.3561944901923448</v>
      </c>
      <c r="O32" s="106">
        <v>-2.1910458127777179</v>
      </c>
      <c r="P32" s="106">
        <v>-1.9756881130799799</v>
      </c>
      <c r="Q32" s="106">
        <v>-1.7126933813990604</v>
      </c>
      <c r="R32" s="106">
        <v>-1.4288992721907328</v>
      </c>
      <c r="S32" s="106">
        <v>-1.1659045405098132</v>
      </c>
      <c r="T32" s="106">
        <v>-0.95054684081207508</v>
      </c>
      <c r="U32" s="106">
        <v>-0.78539816339744828</v>
      </c>
      <c r="V32" s="106">
        <v>-0.66104316885068692</v>
      </c>
      <c r="AR32" s="9"/>
    </row>
    <row r="33" spans="2:57">
      <c r="B33" s="105">
        <v>5.1478150704935004</v>
      </c>
      <c r="C33" s="105">
        <v>4.3011626335213133</v>
      </c>
      <c r="D33" s="105">
        <v>3.5355339059327378</v>
      </c>
      <c r="E33" s="105">
        <v>2.9154759474226504</v>
      </c>
      <c r="F33" s="105">
        <v>2.5495097567963922</v>
      </c>
      <c r="G33" s="105">
        <v>2.5495097567963922</v>
      </c>
      <c r="H33" s="105">
        <v>2.9154759474226504</v>
      </c>
      <c r="I33" s="105">
        <v>3.5355339059327378</v>
      </c>
      <c r="J33" s="105">
        <v>4.3011626335213133</v>
      </c>
      <c r="K33" s="105">
        <v>5.1478150704935004</v>
      </c>
      <c r="M33" s="106">
        <v>-2.6344941491974563</v>
      </c>
      <c r="N33" s="106">
        <v>-2.5213431676069717</v>
      </c>
      <c r="O33" s="106">
        <v>-2.3561944901923448</v>
      </c>
      <c r="P33" s="106">
        <v>-2.1112158270654806</v>
      </c>
      <c r="Q33" s="106">
        <v>-1.7681918866447772</v>
      </c>
      <c r="R33" s="106">
        <v>-1.3734007669450159</v>
      </c>
      <c r="S33" s="106">
        <v>-1.0303768265243125</v>
      </c>
      <c r="T33" s="106">
        <v>-0.78539816339744828</v>
      </c>
      <c r="U33" s="106">
        <v>-0.62024948598282148</v>
      </c>
      <c r="V33" s="106">
        <v>-0.50709850439233695</v>
      </c>
      <c r="AR33" s="9"/>
    </row>
    <row r="34" spans="2:57" s="2" customFormat="1">
      <c r="B34" s="105">
        <v>4.7434164902525691</v>
      </c>
      <c r="C34" s="105">
        <v>3.8078865529319543</v>
      </c>
      <c r="D34" s="105">
        <v>2.9154759474226504</v>
      </c>
      <c r="E34" s="105">
        <v>2.1213203435596424</v>
      </c>
      <c r="F34" s="105">
        <v>1.5811388300841898</v>
      </c>
      <c r="G34" s="105">
        <v>1.5811388300841898</v>
      </c>
      <c r="H34" s="105">
        <v>2.1213203435596424</v>
      </c>
      <c r="I34" s="105">
        <v>2.9154759474226504</v>
      </c>
      <c r="J34" s="105">
        <v>3.8078865529319543</v>
      </c>
      <c r="K34" s="105">
        <v>4.7434164902525691</v>
      </c>
      <c r="M34" s="106">
        <v>-2.819842099193151</v>
      </c>
      <c r="N34" s="106">
        <v>-2.7367008673047097</v>
      </c>
      <c r="O34" s="106">
        <v>-2.6011731533192091</v>
      </c>
      <c r="P34" s="106">
        <v>-2.3561944901923448</v>
      </c>
      <c r="Q34" s="106">
        <v>-1.8925468811915387</v>
      </c>
      <c r="R34" s="106">
        <v>-1.2490457723982544</v>
      </c>
      <c r="S34" s="106">
        <v>-0.78539816339744828</v>
      </c>
      <c r="T34" s="106">
        <v>-0.54041950027058416</v>
      </c>
      <c r="U34" s="106">
        <v>-0.40489178628508338</v>
      </c>
      <c r="V34" s="106">
        <v>-0.32175055439664219</v>
      </c>
      <c r="AR34" s="54"/>
    </row>
    <row r="35" spans="2:57" s="2" customFormat="1">
      <c r="B35" s="105">
        <v>4.5276925690687087</v>
      </c>
      <c r="C35" s="105">
        <v>3.5355339059327378</v>
      </c>
      <c r="D35" s="105">
        <v>2.5495097567963922</v>
      </c>
      <c r="E35" s="105">
        <v>1.5811388300841898</v>
      </c>
      <c r="F35" s="105">
        <v>0.70710678118654757</v>
      </c>
      <c r="G35" s="105">
        <v>0.70710678118654757</v>
      </c>
      <c r="H35" s="105">
        <v>1.5811388300841898</v>
      </c>
      <c r="I35" s="105">
        <v>2.5495097567963922</v>
      </c>
      <c r="J35" s="105">
        <v>3.5355339059327378</v>
      </c>
      <c r="K35" s="105">
        <v>4.5276925690687087</v>
      </c>
      <c r="M35" s="106">
        <v>-3.0309354324158977</v>
      </c>
      <c r="N35" s="106">
        <v>-2.9996955989856291</v>
      </c>
      <c r="O35" s="106">
        <v>-2.9441970937399122</v>
      </c>
      <c r="P35" s="106">
        <v>-2.819842099193151</v>
      </c>
      <c r="Q35" s="106">
        <v>-2.3561944901923448</v>
      </c>
      <c r="R35" s="106">
        <v>-0.78539816339744828</v>
      </c>
      <c r="S35" s="106">
        <v>-0.32175055439664219</v>
      </c>
      <c r="T35" s="106">
        <v>-0.19739555984988078</v>
      </c>
      <c r="U35" s="106">
        <v>-0.14189705460416391</v>
      </c>
      <c r="V35" s="106">
        <v>-0.11065722117389563</v>
      </c>
      <c r="AR35" s="54"/>
    </row>
    <row r="36" spans="2:57" s="2" customFormat="1">
      <c r="B36" s="105">
        <v>4.5276925690687087</v>
      </c>
      <c r="C36" s="105">
        <v>3.5355339059327378</v>
      </c>
      <c r="D36" s="105">
        <v>2.5495097567963922</v>
      </c>
      <c r="E36" s="105">
        <v>1.5811388300841898</v>
      </c>
      <c r="F36" s="105">
        <v>0.70710678118654757</v>
      </c>
      <c r="G36" s="105">
        <v>0.70710678118654757</v>
      </c>
      <c r="H36" s="105">
        <v>1.5811388300841898</v>
      </c>
      <c r="I36" s="105">
        <v>2.5495097567963922</v>
      </c>
      <c r="J36" s="105">
        <v>3.5355339059327378</v>
      </c>
      <c r="K36" s="105">
        <v>4.5276925690687087</v>
      </c>
      <c r="M36" s="106">
        <v>3.0309354324158977</v>
      </c>
      <c r="N36" s="106">
        <v>2.9996955989856291</v>
      </c>
      <c r="O36" s="106">
        <v>2.9441970937399122</v>
      </c>
      <c r="P36" s="106">
        <v>2.819842099193151</v>
      </c>
      <c r="Q36" s="106">
        <v>2.3561944901923448</v>
      </c>
      <c r="R36" s="106">
        <v>0.78539816339744828</v>
      </c>
      <c r="S36" s="106">
        <v>0.32175055439664219</v>
      </c>
      <c r="T36" s="106">
        <v>0.19739555984988078</v>
      </c>
      <c r="U36" s="106">
        <v>0.14189705460416391</v>
      </c>
      <c r="V36" s="106">
        <v>0.11065722117389563</v>
      </c>
      <c r="AR36" s="54"/>
    </row>
    <row r="37" spans="2:57" s="2" customFormat="1">
      <c r="B37" s="105">
        <v>4.7434164902525691</v>
      </c>
      <c r="C37" s="105">
        <v>3.8078865529319543</v>
      </c>
      <c r="D37" s="105">
        <v>2.9154759474226504</v>
      </c>
      <c r="E37" s="105">
        <v>2.1213203435596424</v>
      </c>
      <c r="F37" s="105">
        <v>1.5811388300841898</v>
      </c>
      <c r="G37" s="105">
        <v>1.5811388300841898</v>
      </c>
      <c r="H37" s="105">
        <v>2.1213203435596424</v>
      </c>
      <c r="I37" s="105">
        <v>2.9154759474226504</v>
      </c>
      <c r="J37" s="105">
        <v>3.8078865529319543</v>
      </c>
      <c r="K37" s="105">
        <v>4.7434164902525691</v>
      </c>
      <c r="M37" s="106">
        <v>2.819842099193151</v>
      </c>
      <c r="N37" s="106">
        <v>2.7367008673047097</v>
      </c>
      <c r="O37" s="106">
        <v>2.6011731533192091</v>
      </c>
      <c r="P37" s="106">
        <v>2.3561944901923448</v>
      </c>
      <c r="Q37" s="106">
        <v>1.8925468811915387</v>
      </c>
      <c r="R37" s="106">
        <v>1.2490457723982544</v>
      </c>
      <c r="S37" s="106">
        <v>0.78539816339744828</v>
      </c>
      <c r="T37" s="106">
        <v>0.54041950027058416</v>
      </c>
      <c r="U37" s="106">
        <v>0.40489178628508338</v>
      </c>
      <c r="V37" s="106">
        <v>0.32175055439664219</v>
      </c>
      <c r="AR37" s="54"/>
    </row>
    <row r="38" spans="2:57" s="2" customFormat="1">
      <c r="B38" s="105">
        <v>5.1478150704935004</v>
      </c>
      <c r="C38" s="105">
        <v>4.3011626335213133</v>
      </c>
      <c r="D38" s="105">
        <v>3.5355339059327378</v>
      </c>
      <c r="E38" s="105">
        <v>2.9154759474226504</v>
      </c>
      <c r="F38" s="105">
        <v>2.5495097567963922</v>
      </c>
      <c r="G38" s="105">
        <v>2.5495097567963922</v>
      </c>
      <c r="H38" s="105">
        <v>2.9154759474226504</v>
      </c>
      <c r="I38" s="105">
        <v>3.5355339059327378</v>
      </c>
      <c r="J38" s="105">
        <v>4.3011626335213133</v>
      </c>
      <c r="K38" s="105">
        <v>5.1478150704935004</v>
      </c>
      <c r="M38" s="106">
        <v>2.6344941491974563</v>
      </c>
      <c r="N38" s="106">
        <v>2.5213431676069717</v>
      </c>
      <c r="O38" s="106">
        <v>2.3561944901923448</v>
      </c>
      <c r="P38" s="106">
        <v>2.1112158270654806</v>
      </c>
      <c r="Q38" s="106">
        <v>1.7681918866447772</v>
      </c>
      <c r="R38" s="106">
        <v>1.3734007669450159</v>
      </c>
      <c r="S38" s="106">
        <v>1.0303768265243125</v>
      </c>
      <c r="T38" s="106">
        <v>0.78539816339744828</v>
      </c>
      <c r="U38" s="106">
        <v>0.62024948598282148</v>
      </c>
      <c r="V38" s="106">
        <v>0.50709850439233695</v>
      </c>
      <c r="AR38" s="54"/>
    </row>
    <row r="39" spans="2:57" s="2" customFormat="1">
      <c r="B39" s="105">
        <v>5.7008771254956896</v>
      </c>
      <c r="C39" s="105">
        <v>4.9497474683058327</v>
      </c>
      <c r="D39" s="105">
        <v>4.3011626335213133</v>
      </c>
      <c r="E39" s="105">
        <v>3.8078865529319543</v>
      </c>
      <c r="F39" s="105">
        <v>3.5355339059327378</v>
      </c>
      <c r="G39" s="105">
        <v>3.5355339059327378</v>
      </c>
      <c r="H39" s="105">
        <v>3.8078865529319543</v>
      </c>
      <c r="I39" s="105">
        <v>4.3011626335213133</v>
      </c>
      <c r="J39" s="105">
        <v>4.9497474683058327</v>
      </c>
      <c r="K39" s="105">
        <v>5.7008771254956896</v>
      </c>
      <c r="M39" s="106">
        <v>2.4805494847391061</v>
      </c>
      <c r="N39" s="106">
        <v>2.3561944901923448</v>
      </c>
      <c r="O39" s="106">
        <v>2.1910458127777179</v>
      </c>
      <c r="P39" s="106">
        <v>1.9756881130799799</v>
      </c>
      <c r="Q39" s="106">
        <v>1.7126933813990604</v>
      </c>
      <c r="R39" s="106">
        <v>1.4288992721907328</v>
      </c>
      <c r="S39" s="106">
        <v>1.1659045405098132</v>
      </c>
      <c r="T39" s="106">
        <v>0.95054684081207508</v>
      </c>
      <c r="U39" s="106">
        <v>0.78539816339744828</v>
      </c>
      <c r="V39" s="106">
        <v>0.66104316885068692</v>
      </c>
      <c r="AR39" s="54"/>
    </row>
    <row r="40" spans="2:57" s="2" customFormat="1">
      <c r="B40" s="105">
        <v>6.3639610306789276</v>
      </c>
      <c r="C40" s="105">
        <v>5.7008771254956896</v>
      </c>
      <c r="D40" s="105">
        <v>5.1478150704935004</v>
      </c>
      <c r="E40" s="105">
        <v>4.7434164902525691</v>
      </c>
      <c r="F40" s="105">
        <v>4.5276925690687087</v>
      </c>
      <c r="G40" s="105">
        <v>4.5276925690687087</v>
      </c>
      <c r="H40" s="105">
        <v>4.7434164902525691</v>
      </c>
      <c r="I40" s="105">
        <v>5.1478150704935004</v>
      </c>
      <c r="J40" s="105">
        <v>5.7008771254956896</v>
      </c>
      <c r="K40" s="105">
        <v>6.3639610306789276</v>
      </c>
      <c r="M40" s="106">
        <v>2.3561944901923448</v>
      </c>
      <c r="N40" s="106">
        <v>2.2318394956455831</v>
      </c>
      <c r="O40" s="106">
        <v>2.0778948311872334</v>
      </c>
      <c r="P40" s="106">
        <v>1.8925468811915387</v>
      </c>
      <c r="Q40" s="106">
        <v>1.6814535479687922</v>
      </c>
      <c r="R40" s="106">
        <v>1.4601391056210009</v>
      </c>
      <c r="S40" s="106">
        <v>1.2490457723982544</v>
      </c>
      <c r="T40" s="106">
        <v>1.0636978224025597</v>
      </c>
      <c r="U40" s="106">
        <v>0.90975315794420974</v>
      </c>
      <c r="V40" s="106">
        <v>0.78539816339744828</v>
      </c>
      <c r="AR40" s="54"/>
    </row>
    <row r="41" spans="2:57" s="2" customFormat="1">
      <c r="B41" s="52"/>
      <c r="K41" s="14" t="s">
        <v>29</v>
      </c>
      <c r="AR41" s="54"/>
    </row>
    <row r="42" spans="2:57" s="2" customFormat="1">
      <c r="B42" s="53"/>
      <c r="AR42" s="55"/>
    </row>
    <row r="43" spans="2:57" s="2" customForma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7" spans="2:57">
      <c r="AU47" s="2"/>
      <c r="AW47" s="3"/>
      <c r="AX47" s="3"/>
      <c r="AY47" s="3"/>
      <c r="AZ47" s="3"/>
      <c r="BA47" s="3"/>
      <c r="BB47" s="3"/>
      <c r="BC47" s="3"/>
      <c r="BD47" s="3"/>
      <c r="BE47" s="3"/>
    </row>
    <row r="48" spans="2:57">
      <c r="AU48" s="2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47:57">
      <c r="AU49" s="2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47:57">
      <c r="AU50" s="2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47:57">
      <c r="AU51" s="2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47:57">
      <c r="AU52" s="2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47:57">
      <c r="AU53" s="2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47:57">
      <c r="AU54" s="2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47:57">
      <c r="AU55" s="2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47:57">
      <c r="AU56" s="2"/>
      <c r="AV56" s="3"/>
      <c r="AW56" s="3"/>
      <c r="AX56" s="3"/>
      <c r="AY56" s="3"/>
      <c r="AZ56" s="3"/>
      <c r="BA56" s="3"/>
      <c r="BB56" s="3"/>
      <c r="BC56" s="3"/>
      <c r="BD56" s="3"/>
      <c r="BE56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F80-0AD7-4D74-A525-4F6EAF0BADD6}">
  <sheetPr>
    <tabColor rgb="FFFED8B1"/>
  </sheetPr>
  <dimension ref="B2:CC45"/>
  <sheetViews>
    <sheetView zoomScaleNormal="100" workbookViewId="0"/>
  </sheetViews>
  <sheetFormatPr defaultColWidth="8.6484375" defaultRowHeight="12.3"/>
  <cols>
    <col min="1" max="1" width="5.5" style="20" customWidth="1"/>
    <col min="2" max="32" width="4.5" style="20" customWidth="1"/>
    <col min="33" max="45" width="4.5" style="21" customWidth="1"/>
    <col min="46" max="54" width="4.5" style="20" customWidth="1"/>
    <col min="55" max="65" width="3.5" style="20" customWidth="1"/>
    <col min="66" max="77" width="3.84765625" style="20" customWidth="1"/>
    <col min="78" max="16384" width="8.6484375" style="20"/>
  </cols>
  <sheetData>
    <row r="2" spans="2:81" ht="14.4">
      <c r="B2" s="23" t="s">
        <v>47</v>
      </c>
    </row>
    <row r="4" spans="2:81" ht="14.4">
      <c r="R4" s="24"/>
      <c r="S4" s="25"/>
      <c r="T4" s="25"/>
      <c r="U4" s="25"/>
      <c r="V4" s="26" t="s">
        <v>43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7"/>
      <c r="AH4" s="28"/>
      <c r="AI4" s="36"/>
      <c r="AJ4" s="27"/>
      <c r="AK4" s="27"/>
      <c r="AL4" s="27"/>
      <c r="AM4" s="27"/>
      <c r="AN4" s="26" t="s">
        <v>44</v>
      </c>
      <c r="AO4" s="27"/>
      <c r="AP4" s="27"/>
      <c r="AQ4" s="27"/>
      <c r="AR4" s="27"/>
      <c r="AS4" s="27"/>
      <c r="AT4" s="25"/>
      <c r="AU4" s="25"/>
      <c r="AV4" s="25"/>
      <c r="AW4" s="25"/>
      <c r="AX4" s="25"/>
      <c r="AY4" s="25"/>
      <c r="AZ4" s="25"/>
      <c r="BA4" s="25"/>
      <c r="BB4" s="37"/>
    </row>
    <row r="5" spans="2:81" ht="14.4">
      <c r="B5" s="23" t="s">
        <v>31</v>
      </c>
      <c r="R5" s="31"/>
      <c r="S5" s="39" t="s">
        <v>37</v>
      </c>
      <c r="AH5" s="30"/>
      <c r="AI5" s="38"/>
      <c r="AJ5" s="39" t="s">
        <v>38</v>
      </c>
      <c r="AK5" s="20"/>
      <c r="AL5" s="20"/>
      <c r="AM5" s="20"/>
      <c r="AN5" s="20"/>
      <c r="AO5" s="20"/>
      <c r="AP5" s="20"/>
      <c r="AQ5" s="20"/>
      <c r="AR5" s="20"/>
      <c r="AS5" s="20"/>
      <c r="BB5" s="40"/>
      <c r="BZ5" s="21"/>
      <c r="CA5" s="21"/>
      <c r="CB5" s="21"/>
      <c r="CC5" s="21"/>
    </row>
    <row r="6" spans="2:81" ht="13.8">
      <c r="B6" s="71">
        <v>1</v>
      </c>
      <c r="C6" s="71">
        <v>2</v>
      </c>
      <c r="D6" s="71">
        <v>3</v>
      </c>
      <c r="E6" s="71">
        <v>4</v>
      </c>
      <c r="F6" s="71">
        <v>5</v>
      </c>
      <c r="G6" s="71">
        <v>6</v>
      </c>
      <c r="H6" s="71">
        <v>7</v>
      </c>
      <c r="I6" s="71">
        <v>8</v>
      </c>
      <c r="J6" s="71">
        <v>9</v>
      </c>
      <c r="K6" s="71">
        <v>10</v>
      </c>
      <c r="L6" s="71">
        <v>11</v>
      </c>
      <c r="M6" s="71">
        <v>12</v>
      </c>
      <c r="N6" s="71">
        <v>13</v>
      </c>
      <c r="O6" s="71">
        <v>14</v>
      </c>
      <c r="P6" s="71">
        <v>15</v>
      </c>
      <c r="R6" s="31"/>
      <c r="S6" s="69" cm="1">
        <f t="array" ref="S6:AG20">Pyramidλ(GeoGrid)</f>
        <v>1</v>
      </c>
      <c r="T6" s="69">
        <v>2</v>
      </c>
      <c r="U6" s="69">
        <v>3</v>
      </c>
      <c r="V6" s="69">
        <v>4</v>
      </c>
      <c r="W6" s="69">
        <v>5</v>
      </c>
      <c r="X6" s="69">
        <v>6</v>
      </c>
      <c r="Y6" s="69">
        <v>7</v>
      </c>
      <c r="Z6" s="69">
        <v>8</v>
      </c>
      <c r="AA6" s="69">
        <v>9</v>
      </c>
      <c r="AB6" s="69">
        <v>10</v>
      </c>
      <c r="AC6" s="69">
        <v>11</v>
      </c>
      <c r="AD6" s="69">
        <v>12</v>
      </c>
      <c r="AE6" s="69">
        <v>13</v>
      </c>
      <c r="AF6" s="69">
        <v>14</v>
      </c>
      <c r="AG6" s="70">
        <v>15</v>
      </c>
      <c r="AH6" s="30"/>
      <c r="AI6" s="41"/>
      <c r="AJ6" s="72" cm="1">
        <f t="array" ref="AJ6:AX20">Ringλ(GeoGrid,1)</f>
        <v>1</v>
      </c>
      <c r="AK6" s="72">
        <v>2</v>
      </c>
      <c r="AL6" s="72">
        <v>3</v>
      </c>
      <c r="AM6" s="72">
        <v>4</v>
      </c>
      <c r="AN6" s="72">
        <v>5</v>
      </c>
      <c r="AO6" s="72">
        <v>6</v>
      </c>
      <c r="AP6" s="72">
        <v>7</v>
      </c>
      <c r="AQ6" s="72">
        <v>8</v>
      </c>
      <c r="AR6" s="72">
        <v>9</v>
      </c>
      <c r="AS6" s="72">
        <v>10</v>
      </c>
      <c r="AT6" s="72">
        <v>11</v>
      </c>
      <c r="AU6" s="72">
        <v>12</v>
      </c>
      <c r="AV6" s="72">
        <v>13</v>
      </c>
      <c r="AW6" s="72">
        <v>14</v>
      </c>
      <c r="AX6" s="72">
        <v>15</v>
      </c>
      <c r="BB6" s="40"/>
      <c r="BZ6" s="21"/>
      <c r="CA6" s="21"/>
      <c r="CB6" s="21"/>
      <c r="CC6" s="21"/>
    </row>
    <row r="7" spans="2:81" ht="13.8">
      <c r="B7" s="71">
        <v>16</v>
      </c>
      <c r="C7" s="71">
        <v>17</v>
      </c>
      <c r="D7" s="71">
        <v>18</v>
      </c>
      <c r="E7" s="71">
        <v>19</v>
      </c>
      <c r="F7" s="71">
        <v>20</v>
      </c>
      <c r="G7" s="71">
        <v>21</v>
      </c>
      <c r="H7" s="71">
        <v>22</v>
      </c>
      <c r="I7" s="71">
        <v>23</v>
      </c>
      <c r="J7" s="71">
        <v>24</v>
      </c>
      <c r="K7" s="71">
        <v>25</v>
      </c>
      <c r="L7" s="71">
        <v>26</v>
      </c>
      <c r="M7" s="71">
        <v>27</v>
      </c>
      <c r="N7" s="71">
        <v>28</v>
      </c>
      <c r="O7" s="71">
        <v>29</v>
      </c>
      <c r="P7" s="71">
        <v>30</v>
      </c>
      <c r="R7" s="31"/>
      <c r="S7" s="69" t="str">
        <v/>
      </c>
      <c r="T7" s="69">
        <v>17</v>
      </c>
      <c r="U7" s="69">
        <v>18</v>
      </c>
      <c r="V7" s="69">
        <v>19</v>
      </c>
      <c r="W7" s="69">
        <v>20</v>
      </c>
      <c r="X7" s="69">
        <v>21</v>
      </c>
      <c r="Y7" s="69">
        <v>22</v>
      </c>
      <c r="Z7" s="69">
        <v>23</v>
      </c>
      <c r="AA7" s="69">
        <v>24</v>
      </c>
      <c r="AB7" s="69">
        <v>25</v>
      </c>
      <c r="AC7" s="69">
        <v>26</v>
      </c>
      <c r="AD7" s="69">
        <v>27</v>
      </c>
      <c r="AE7" s="69">
        <v>28</v>
      </c>
      <c r="AF7" s="69">
        <v>29</v>
      </c>
      <c r="AG7" s="70">
        <v>30</v>
      </c>
      <c r="AH7" s="30"/>
      <c r="AI7" s="41"/>
      <c r="AJ7" s="72">
        <v>16</v>
      </c>
      <c r="AK7" s="72">
        <v>0</v>
      </c>
      <c r="AL7" s="72">
        <v>0</v>
      </c>
      <c r="AM7" s="72">
        <v>0</v>
      </c>
      <c r="AN7" s="72">
        <v>0</v>
      </c>
      <c r="AO7" s="72">
        <v>0</v>
      </c>
      <c r="AP7" s="72">
        <v>0</v>
      </c>
      <c r="AQ7" s="72">
        <v>0</v>
      </c>
      <c r="AR7" s="72">
        <v>0</v>
      </c>
      <c r="AS7" s="72">
        <v>0</v>
      </c>
      <c r="AT7" s="72">
        <v>0</v>
      </c>
      <c r="AU7" s="72">
        <v>0</v>
      </c>
      <c r="AV7" s="72">
        <v>0</v>
      </c>
      <c r="AW7" s="72">
        <v>0</v>
      </c>
      <c r="AX7" s="72">
        <v>30</v>
      </c>
      <c r="BB7" s="40"/>
      <c r="BZ7" s="21"/>
      <c r="CA7" s="21"/>
      <c r="CB7" s="21"/>
      <c r="CC7" s="21"/>
    </row>
    <row r="8" spans="2:81" ht="13.8">
      <c r="B8" s="71">
        <v>31</v>
      </c>
      <c r="C8" s="71">
        <v>32</v>
      </c>
      <c r="D8" s="71">
        <v>33</v>
      </c>
      <c r="E8" s="71">
        <v>34</v>
      </c>
      <c r="F8" s="71">
        <v>35</v>
      </c>
      <c r="G8" s="71">
        <v>36</v>
      </c>
      <c r="H8" s="71">
        <v>37</v>
      </c>
      <c r="I8" s="71">
        <v>38</v>
      </c>
      <c r="J8" s="71">
        <v>39</v>
      </c>
      <c r="K8" s="71">
        <v>40</v>
      </c>
      <c r="L8" s="71">
        <v>41</v>
      </c>
      <c r="M8" s="71">
        <v>42</v>
      </c>
      <c r="N8" s="71">
        <v>43</v>
      </c>
      <c r="O8" s="71">
        <v>44</v>
      </c>
      <c r="P8" s="71">
        <v>45</v>
      </c>
      <c r="R8" s="31"/>
      <c r="S8" s="69" t="str">
        <v/>
      </c>
      <c r="T8" s="69" t="str">
        <v/>
      </c>
      <c r="U8" s="69">
        <v>33</v>
      </c>
      <c r="V8" s="69">
        <v>34</v>
      </c>
      <c r="W8" s="69">
        <v>35</v>
      </c>
      <c r="X8" s="69">
        <v>36</v>
      </c>
      <c r="Y8" s="69">
        <v>37</v>
      </c>
      <c r="Z8" s="69">
        <v>38</v>
      </c>
      <c r="AA8" s="69">
        <v>39</v>
      </c>
      <c r="AB8" s="69">
        <v>40</v>
      </c>
      <c r="AC8" s="69">
        <v>41</v>
      </c>
      <c r="AD8" s="69">
        <v>42</v>
      </c>
      <c r="AE8" s="69">
        <v>43</v>
      </c>
      <c r="AF8" s="69">
        <v>44</v>
      </c>
      <c r="AG8" s="70">
        <v>45</v>
      </c>
      <c r="AH8" s="30"/>
      <c r="AI8" s="41"/>
      <c r="AJ8" s="72">
        <v>31</v>
      </c>
      <c r="AK8" s="72">
        <v>0</v>
      </c>
      <c r="AL8" s="72">
        <v>0</v>
      </c>
      <c r="AM8" s="72">
        <v>0</v>
      </c>
      <c r="AN8" s="72">
        <v>0</v>
      </c>
      <c r="AO8" s="72">
        <v>0</v>
      </c>
      <c r="AP8" s="72">
        <v>0</v>
      </c>
      <c r="AQ8" s="72">
        <v>0</v>
      </c>
      <c r="AR8" s="72">
        <v>0</v>
      </c>
      <c r="AS8" s="72">
        <v>0</v>
      </c>
      <c r="AT8" s="72">
        <v>0</v>
      </c>
      <c r="AU8" s="72">
        <v>0</v>
      </c>
      <c r="AV8" s="72">
        <v>0</v>
      </c>
      <c r="AW8" s="72">
        <v>0</v>
      </c>
      <c r="AX8" s="72">
        <v>45</v>
      </c>
      <c r="BB8" s="40"/>
      <c r="BZ8" s="21"/>
      <c r="CA8" s="21"/>
      <c r="CB8" s="21"/>
      <c r="CC8" s="21"/>
    </row>
    <row r="9" spans="2:81" ht="13.8">
      <c r="B9" s="71">
        <v>46</v>
      </c>
      <c r="C9" s="71">
        <v>47</v>
      </c>
      <c r="D9" s="71">
        <v>48</v>
      </c>
      <c r="E9" s="71">
        <v>49</v>
      </c>
      <c r="F9" s="71">
        <v>50</v>
      </c>
      <c r="G9" s="71">
        <v>51</v>
      </c>
      <c r="H9" s="71">
        <v>52</v>
      </c>
      <c r="I9" s="71">
        <v>53</v>
      </c>
      <c r="J9" s="71">
        <v>54</v>
      </c>
      <c r="K9" s="71">
        <v>55</v>
      </c>
      <c r="L9" s="71">
        <v>56</v>
      </c>
      <c r="M9" s="71">
        <v>57</v>
      </c>
      <c r="N9" s="71">
        <v>58</v>
      </c>
      <c r="O9" s="71">
        <v>59</v>
      </c>
      <c r="P9" s="71">
        <v>60</v>
      </c>
      <c r="R9" s="31"/>
      <c r="S9" s="69" t="str">
        <v/>
      </c>
      <c r="T9" s="69" t="str">
        <v/>
      </c>
      <c r="U9" s="69" t="str">
        <v/>
      </c>
      <c r="V9" s="69">
        <v>49</v>
      </c>
      <c r="W9" s="69">
        <v>50</v>
      </c>
      <c r="X9" s="69">
        <v>51</v>
      </c>
      <c r="Y9" s="69">
        <v>52</v>
      </c>
      <c r="Z9" s="69">
        <v>53</v>
      </c>
      <c r="AA9" s="69">
        <v>54</v>
      </c>
      <c r="AB9" s="69">
        <v>55</v>
      </c>
      <c r="AC9" s="69">
        <v>56</v>
      </c>
      <c r="AD9" s="69">
        <v>57</v>
      </c>
      <c r="AE9" s="69">
        <v>58</v>
      </c>
      <c r="AF9" s="69">
        <v>59</v>
      </c>
      <c r="AG9" s="70">
        <v>60</v>
      </c>
      <c r="AH9" s="30"/>
      <c r="AI9" s="41"/>
      <c r="AJ9" s="72">
        <v>46</v>
      </c>
      <c r="AK9" s="72">
        <v>0</v>
      </c>
      <c r="AL9" s="72">
        <v>0</v>
      </c>
      <c r="AM9" s="72">
        <v>0</v>
      </c>
      <c r="AN9" s="72">
        <v>0</v>
      </c>
      <c r="AO9" s="72">
        <v>0</v>
      </c>
      <c r="AP9" s="72">
        <v>0</v>
      </c>
      <c r="AQ9" s="72">
        <v>0</v>
      </c>
      <c r="AR9" s="72">
        <v>0</v>
      </c>
      <c r="AS9" s="72">
        <v>0</v>
      </c>
      <c r="AT9" s="72">
        <v>0</v>
      </c>
      <c r="AU9" s="72">
        <v>0</v>
      </c>
      <c r="AV9" s="72">
        <v>0</v>
      </c>
      <c r="AW9" s="72">
        <v>0</v>
      </c>
      <c r="AX9" s="72">
        <v>60</v>
      </c>
      <c r="BB9" s="40"/>
      <c r="BZ9" s="21"/>
      <c r="CA9" s="21"/>
      <c r="CB9" s="21"/>
      <c r="CC9" s="21"/>
    </row>
    <row r="10" spans="2:81" ht="13.8">
      <c r="B10" s="71">
        <v>61</v>
      </c>
      <c r="C10" s="71">
        <v>62</v>
      </c>
      <c r="D10" s="71">
        <v>63</v>
      </c>
      <c r="E10" s="71">
        <v>64</v>
      </c>
      <c r="F10" s="71">
        <v>65</v>
      </c>
      <c r="G10" s="71">
        <v>66</v>
      </c>
      <c r="H10" s="71">
        <v>67</v>
      </c>
      <c r="I10" s="71">
        <v>68</v>
      </c>
      <c r="J10" s="71">
        <v>69</v>
      </c>
      <c r="K10" s="71">
        <v>70</v>
      </c>
      <c r="L10" s="71">
        <v>71</v>
      </c>
      <c r="M10" s="71">
        <v>72</v>
      </c>
      <c r="N10" s="71">
        <v>73</v>
      </c>
      <c r="O10" s="71">
        <v>74</v>
      </c>
      <c r="P10" s="71">
        <v>75</v>
      </c>
      <c r="R10" s="31"/>
      <c r="S10" s="69" t="str">
        <v/>
      </c>
      <c r="T10" s="69" t="str">
        <v/>
      </c>
      <c r="U10" s="69" t="str">
        <v/>
      </c>
      <c r="V10" s="69" t="str">
        <v/>
      </c>
      <c r="W10" s="69">
        <v>65</v>
      </c>
      <c r="X10" s="69">
        <v>66</v>
      </c>
      <c r="Y10" s="69">
        <v>67</v>
      </c>
      <c r="Z10" s="69">
        <v>68</v>
      </c>
      <c r="AA10" s="69">
        <v>69</v>
      </c>
      <c r="AB10" s="69">
        <v>70</v>
      </c>
      <c r="AC10" s="69">
        <v>71</v>
      </c>
      <c r="AD10" s="69">
        <v>72</v>
      </c>
      <c r="AE10" s="69">
        <v>73</v>
      </c>
      <c r="AF10" s="69">
        <v>74</v>
      </c>
      <c r="AG10" s="70">
        <v>75</v>
      </c>
      <c r="AH10" s="30"/>
      <c r="AI10" s="41"/>
      <c r="AJ10" s="72">
        <v>61</v>
      </c>
      <c r="AK10" s="72">
        <v>0</v>
      </c>
      <c r="AL10" s="72">
        <v>0</v>
      </c>
      <c r="AM10" s="72">
        <v>0</v>
      </c>
      <c r="AN10" s="72">
        <v>0</v>
      </c>
      <c r="AO10" s="72">
        <v>0</v>
      </c>
      <c r="AP10" s="72">
        <v>0</v>
      </c>
      <c r="AQ10" s="72">
        <v>0</v>
      </c>
      <c r="AR10" s="72">
        <v>0</v>
      </c>
      <c r="AS10" s="72">
        <v>0</v>
      </c>
      <c r="AT10" s="72">
        <v>0</v>
      </c>
      <c r="AU10" s="72">
        <v>0</v>
      </c>
      <c r="AV10" s="72">
        <v>0</v>
      </c>
      <c r="AW10" s="72">
        <v>0</v>
      </c>
      <c r="AX10" s="72">
        <v>75</v>
      </c>
      <c r="BB10" s="40"/>
      <c r="BZ10" s="21"/>
      <c r="CA10" s="21"/>
      <c r="CB10" s="21"/>
      <c r="CC10" s="21"/>
    </row>
    <row r="11" spans="2:81" ht="13.8">
      <c r="B11" s="71">
        <v>76</v>
      </c>
      <c r="C11" s="71">
        <v>77</v>
      </c>
      <c r="D11" s="71">
        <v>78</v>
      </c>
      <c r="E11" s="71">
        <v>79</v>
      </c>
      <c r="F11" s="71">
        <v>80</v>
      </c>
      <c r="G11" s="71">
        <v>81</v>
      </c>
      <c r="H11" s="71">
        <v>82</v>
      </c>
      <c r="I11" s="71">
        <v>83</v>
      </c>
      <c r="J11" s="71">
        <v>84</v>
      </c>
      <c r="K11" s="71">
        <v>85</v>
      </c>
      <c r="L11" s="71">
        <v>86</v>
      </c>
      <c r="M11" s="71">
        <v>87</v>
      </c>
      <c r="N11" s="71">
        <v>88</v>
      </c>
      <c r="O11" s="71">
        <v>89</v>
      </c>
      <c r="P11" s="71">
        <v>90</v>
      </c>
      <c r="R11" s="31"/>
      <c r="S11" s="69" t="str">
        <v/>
      </c>
      <c r="T11" s="69" t="str">
        <v/>
      </c>
      <c r="U11" s="69" t="str">
        <v/>
      </c>
      <c r="V11" s="69" t="str">
        <v/>
      </c>
      <c r="W11" s="69" t="str">
        <v/>
      </c>
      <c r="X11" s="69">
        <v>81</v>
      </c>
      <c r="Y11" s="69">
        <v>82</v>
      </c>
      <c r="Z11" s="69">
        <v>83</v>
      </c>
      <c r="AA11" s="69">
        <v>84</v>
      </c>
      <c r="AB11" s="69">
        <v>85</v>
      </c>
      <c r="AC11" s="69">
        <v>86</v>
      </c>
      <c r="AD11" s="69">
        <v>87</v>
      </c>
      <c r="AE11" s="69">
        <v>88</v>
      </c>
      <c r="AF11" s="69">
        <v>89</v>
      </c>
      <c r="AG11" s="70">
        <v>90</v>
      </c>
      <c r="AH11" s="30"/>
      <c r="AI11" s="41"/>
      <c r="AJ11" s="72">
        <v>76</v>
      </c>
      <c r="AK11" s="72">
        <v>0</v>
      </c>
      <c r="AL11" s="72">
        <v>0</v>
      </c>
      <c r="AM11" s="72">
        <v>0</v>
      </c>
      <c r="AN11" s="72">
        <v>0</v>
      </c>
      <c r="AO11" s="72">
        <v>0</v>
      </c>
      <c r="AP11" s="72">
        <v>0</v>
      </c>
      <c r="AQ11" s="72">
        <v>0</v>
      </c>
      <c r="AR11" s="72">
        <v>0</v>
      </c>
      <c r="AS11" s="72">
        <v>0</v>
      </c>
      <c r="AT11" s="72">
        <v>0</v>
      </c>
      <c r="AU11" s="72">
        <v>0</v>
      </c>
      <c r="AV11" s="72">
        <v>0</v>
      </c>
      <c r="AW11" s="72">
        <v>0</v>
      </c>
      <c r="AX11" s="72">
        <v>90</v>
      </c>
      <c r="BB11" s="40"/>
    </row>
    <row r="12" spans="2:81" ht="13.8">
      <c r="B12" s="71">
        <v>91</v>
      </c>
      <c r="C12" s="71">
        <v>92</v>
      </c>
      <c r="D12" s="71">
        <v>93</v>
      </c>
      <c r="E12" s="71">
        <v>94</v>
      </c>
      <c r="F12" s="71">
        <v>95</v>
      </c>
      <c r="G12" s="71">
        <v>96</v>
      </c>
      <c r="H12" s="71">
        <v>97</v>
      </c>
      <c r="I12" s="71">
        <v>98</v>
      </c>
      <c r="J12" s="71">
        <v>99</v>
      </c>
      <c r="K12" s="71">
        <v>100</v>
      </c>
      <c r="L12" s="71">
        <v>101</v>
      </c>
      <c r="M12" s="71">
        <v>102</v>
      </c>
      <c r="N12" s="71">
        <v>103</v>
      </c>
      <c r="O12" s="71">
        <v>104</v>
      </c>
      <c r="P12" s="71">
        <v>105</v>
      </c>
      <c r="R12" s="31"/>
      <c r="S12" s="69" t="str">
        <v/>
      </c>
      <c r="T12" s="69" t="str">
        <v/>
      </c>
      <c r="U12" s="69" t="str">
        <v/>
      </c>
      <c r="V12" s="69" t="str">
        <v/>
      </c>
      <c r="W12" s="69" t="str">
        <v/>
      </c>
      <c r="X12" s="69" t="str">
        <v/>
      </c>
      <c r="Y12" s="69">
        <v>97</v>
      </c>
      <c r="Z12" s="69">
        <v>98</v>
      </c>
      <c r="AA12" s="69">
        <v>99</v>
      </c>
      <c r="AB12" s="69">
        <v>100</v>
      </c>
      <c r="AC12" s="69">
        <v>101</v>
      </c>
      <c r="AD12" s="69">
        <v>102</v>
      </c>
      <c r="AE12" s="69">
        <v>103</v>
      </c>
      <c r="AF12" s="69">
        <v>104</v>
      </c>
      <c r="AG12" s="70">
        <v>105</v>
      </c>
      <c r="AH12" s="30"/>
      <c r="AI12" s="41"/>
      <c r="AJ12" s="72">
        <v>91</v>
      </c>
      <c r="AK12" s="72">
        <v>0</v>
      </c>
      <c r="AL12" s="72">
        <v>0</v>
      </c>
      <c r="AM12" s="72">
        <v>0</v>
      </c>
      <c r="AN12" s="72">
        <v>0</v>
      </c>
      <c r="AO12" s="72">
        <v>0</v>
      </c>
      <c r="AP12" s="72">
        <v>0</v>
      </c>
      <c r="AQ12" s="72">
        <v>0</v>
      </c>
      <c r="AR12" s="72">
        <v>0</v>
      </c>
      <c r="AS12" s="72">
        <v>0</v>
      </c>
      <c r="AT12" s="72">
        <v>0</v>
      </c>
      <c r="AU12" s="72">
        <v>0</v>
      </c>
      <c r="AV12" s="72">
        <v>0</v>
      </c>
      <c r="AW12" s="72">
        <v>0</v>
      </c>
      <c r="AX12" s="72">
        <v>105</v>
      </c>
      <c r="BB12" s="40"/>
    </row>
    <row r="13" spans="2:81" ht="13.8">
      <c r="B13" s="71">
        <v>106</v>
      </c>
      <c r="C13" s="71">
        <v>107</v>
      </c>
      <c r="D13" s="71">
        <v>108</v>
      </c>
      <c r="E13" s="71">
        <v>109</v>
      </c>
      <c r="F13" s="71">
        <v>110</v>
      </c>
      <c r="G13" s="71">
        <v>111</v>
      </c>
      <c r="H13" s="71">
        <v>112</v>
      </c>
      <c r="I13" s="71">
        <v>113</v>
      </c>
      <c r="J13" s="71">
        <v>114</v>
      </c>
      <c r="K13" s="71">
        <v>115</v>
      </c>
      <c r="L13" s="71">
        <v>116</v>
      </c>
      <c r="M13" s="71">
        <v>117</v>
      </c>
      <c r="N13" s="71">
        <v>118</v>
      </c>
      <c r="O13" s="71">
        <v>119</v>
      </c>
      <c r="P13" s="71">
        <v>120</v>
      </c>
      <c r="R13" s="31"/>
      <c r="S13" s="69" t="str">
        <v/>
      </c>
      <c r="T13" s="69" t="str">
        <v/>
      </c>
      <c r="U13" s="69" t="str">
        <v/>
      </c>
      <c r="V13" s="69" t="str">
        <v/>
      </c>
      <c r="W13" s="69" t="str">
        <v/>
      </c>
      <c r="X13" s="69" t="str">
        <v/>
      </c>
      <c r="Y13" s="69" t="str">
        <v/>
      </c>
      <c r="Z13" s="69">
        <v>113</v>
      </c>
      <c r="AA13" s="69">
        <v>114</v>
      </c>
      <c r="AB13" s="69">
        <v>115</v>
      </c>
      <c r="AC13" s="69">
        <v>116</v>
      </c>
      <c r="AD13" s="69">
        <v>117</v>
      </c>
      <c r="AE13" s="69">
        <v>118</v>
      </c>
      <c r="AF13" s="69">
        <v>119</v>
      </c>
      <c r="AG13" s="70">
        <v>120</v>
      </c>
      <c r="AH13" s="30"/>
      <c r="AI13" s="41"/>
      <c r="AJ13" s="72">
        <v>106</v>
      </c>
      <c r="AK13" s="72">
        <v>0</v>
      </c>
      <c r="AL13" s="72">
        <v>0</v>
      </c>
      <c r="AM13" s="72">
        <v>0</v>
      </c>
      <c r="AN13" s="72">
        <v>0</v>
      </c>
      <c r="AO13" s="72">
        <v>0</v>
      </c>
      <c r="AP13" s="72">
        <v>0</v>
      </c>
      <c r="AQ13" s="72">
        <v>0</v>
      </c>
      <c r="AR13" s="72">
        <v>0</v>
      </c>
      <c r="AS13" s="72">
        <v>0</v>
      </c>
      <c r="AT13" s="72">
        <v>0</v>
      </c>
      <c r="AU13" s="72">
        <v>0</v>
      </c>
      <c r="AV13" s="72">
        <v>0</v>
      </c>
      <c r="AW13" s="72">
        <v>0</v>
      </c>
      <c r="AX13" s="72">
        <v>120</v>
      </c>
      <c r="BB13" s="40"/>
    </row>
    <row r="14" spans="2:81" ht="13.8">
      <c r="B14" s="71">
        <v>121</v>
      </c>
      <c r="C14" s="71">
        <v>122</v>
      </c>
      <c r="D14" s="71">
        <v>123</v>
      </c>
      <c r="E14" s="71">
        <v>124</v>
      </c>
      <c r="F14" s="71">
        <v>125</v>
      </c>
      <c r="G14" s="71">
        <v>126</v>
      </c>
      <c r="H14" s="71">
        <v>127</v>
      </c>
      <c r="I14" s="71">
        <v>128</v>
      </c>
      <c r="J14" s="71">
        <v>129</v>
      </c>
      <c r="K14" s="71">
        <v>130</v>
      </c>
      <c r="L14" s="71">
        <v>131</v>
      </c>
      <c r="M14" s="71">
        <v>132</v>
      </c>
      <c r="N14" s="71">
        <v>133</v>
      </c>
      <c r="O14" s="71">
        <v>134</v>
      </c>
      <c r="P14" s="71">
        <v>135</v>
      </c>
      <c r="R14" s="31"/>
      <c r="S14" s="69" t="str">
        <v/>
      </c>
      <c r="T14" s="69" t="str">
        <v/>
      </c>
      <c r="U14" s="69" t="str">
        <v/>
      </c>
      <c r="V14" s="69" t="str">
        <v/>
      </c>
      <c r="W14" s="69" t="str">
        <v/>
      </c>
      <c r="X14" s="69" t="str">
        <v/>
      </c>
      <c r="Y14" s="69" t="str">
        <v/>
      </c>
      <c r="Z14" s="69" t="str">
        <v/>
      </c>
      <c r="AA14" s="69">
        <v>129</v>
      </c>
      <c r="AB14" s="69">
        <v>130</v>
      </c>
      <c r="AC14" s="69">
        <v>131</v>
      </c>
      <c r="AD14" s="69">
        <v>132</v>
      </c>
      <c r="AE14" s="69">
        <v>133</v>
      </c>
      <c r="AF14" s="69">
        <v>134</v>
      </c>
      <c r="AG14" s="70">
        <v>135</v>
      </c>
      <c r="AH14" s="30"/>
      <c r="AI14" s="41"/>
      <c r="AJ14" s="72">
        <v>121</v>
      </c>
      <c r="AK14" s="72">
        <v>0</v>
      </c>
      <c r="AL14" s="72">
        <v>0</v>
      </c>
      <c r="AM14" s="72">
        <v>0</v>
      </c>
      <c r="AN14" s="72">
        <v>0</v>
      </c>
      <c r="AO14" s="72">
        <v>0</v>
      </c>
      <c r="AP14" s="72">
        <v>0</v>
      </c>
      <c r="AQ14" s="72">
        <v>0</v>
      </c>
      <c r="AR14" s="72">
        <v>0</v>
      </c>
      <c r="AS14" s="72">
        <v>0</v>
      </c>
      <c r="AT14" s="72">
        <v>0</v>
      </c>
      <c r="AU14" s="72">
        <v>0</v>
      </c>
      <c r="AV14" s="72">
        <v>0</v>
      </c>
      <c r="AW14" s="72">
        <v>0</v>
      </c>
      <c r="AX14" s="72">
        <v>135</v>
      </c>
      <c r="BB14" s="40"/>
    </row>
    <row r="15" spans="2:81" ht="13.8">
      <c r="B15" s="71">
        <v>136</v>
      </c>
      <c r="C15" s="71">
        <v>137</v>
      </c>
      <c r="D15" s="71">
        <v>138</v>
      </c>
      <c r="E15" s="71">
        <v>139</v>
      </c>
      <c r="F15" s="71">
        <v>140</v>
      </c>
      <c r="G15" s="71">
        <v>141</v>
      </c>
      <c r="H15" s="71">
        <v>142</v>
      </c>
      <c r="I15" s="71">
        <v>143</v>
      </c>
      <c r="J15" s="71">
        <v>144</v>
      </c>
      <c r="K15" s="71">
        <v>145</v>
      </c>
      <c r="L15" s="71">
        <v>146</v>
      </c>
      <c r="M15" s="71">
        <v>147</v>
      </c>
      <c r="N15" s="71">
        <v>148</v>
      </c>
      <c r="O15" s="71">
        <v>149</v>
      </c>
      <c r="P15" s="71">
        <v>150</v>
      </c>
      <c r="R15" s="31"/>
      <c r="S15" s="69" t="str">
        <v/>
      </c>
      <c r="T15" s="69" t="str">
        <v/>
      </c>
      <c r="U15" s="69" t="str">
        <v/>
      </c>
      <c r="V15" s="69" t="str">
        <v/>
      </c>
      <c r="W15" s="69" t="str">
        <v/>
      </c>
      <c r="X15" s="69" t="str">
        <v/>
      </c>
      <c r="Y15" s="69" t="str">
        <v/>
      </c>
      <c r="Z15" s="69" t="str">
        <v/>
      </c>
      <c r="AA15" s="69" t="str">
        <v/>
      </c>
      <c r="AB15" s="69">
        <v>145</v>
      </c>
      <c r="AC15" s="69">
        <v>146</v>
      </c>
      <c r="AD15" s="69">
        <v>147</v>
      </c>
      <c r="AE15" s="69">
        <v>148</v>
      </c>
      <c r="AF15" s="69">
        <v>149</v>
      </c>
      <c r="AG15" s="70">
        <v>150</v>
      </c>
      <c r="AH15" s="30"/>
      <c r="AI15" s="41"/>
      <c r="AJ15" s="72">
        <v>136</v>
      </c>
      <c r="AK15" s="72">
        <v>0</v>
      </c>
      <c r="AL15" s="72">
        <v>0</v>
      </c>
      <c r="AM15" s="72">
        <v>0</v>
      </c>
      <c r="AN15" s="72">
        <v>0</v>
      </c>
      <c r="AO15" s="72">
        <v>0</v>
      </c>
      <c r="AP15" s="72">
        <v>0</v>
      </c>
      <c r="AQ15" s="72">
        <v>0</v>
      </c>
      <c r="AR15" s="72">
        <v>0</v>
      </c>
      <c r="AS15" s="72">
        <v>0</v>
      </c>
      <c r="AT15" s="72">
        <v>0</v>
      </c>
      <c r="AU15" s="72">
        <v>0</v>
      </c>
      <c r="AV15" s="72">
        <v>0</v>
      </c>
      <c r="AW15" s="72">
        <v>0</v>
      </c>
      <c r="AX15" s="72">
        <v>150</v>
      </c>
      <c r="BB15" s="40"/>
    </row>
    <row r="16" spans="2:81" ht="13.8">
      <c r="B16" s="71">
        <v>151</v>
      </c>
      <c r="C16" s="71">
        <v>152</v>
      </c>
      <c r="D16" s="71">
        <v>153</v>
      </c>
      <c r="E16" s="71">
        <v>154</v>
      </c>
      <c r="F16" s="71">
        <v>155</v>
      </c>
      <c r="G16" s="71">
        <v>156</v>
      </c>
      <c r="H16" s="71">
        <v>157</v>
      </c>
      <c r="I16" s="71">
        <v>158</v>
      </c>
      <c r="J16" s="71">
        <v>159</v>
      </c>
      <c r="K16" s="71">
        <v>160</v>
      </c>
      <c r="L16" s="71">
        <v>161</v>
      </c>
      <c r="M16" s="71">
        <v>162</v>
      </c>
      <c r="N16" s="71">
        <v>163</v>
      </c>
      <c r="O16" s="71">
        <v>164</v>
      </c>
      <c r="P16" s="71">
        <v>165</v>
      </c>
      <c r="R16" s="31"/>
      <c r="S16" s="69" t="str">
        <v/>
      </c>
      <c r="T16" s="69" t="str">
        <v/>
      </c>
      <c r="U16" s="69" t="str">
        <v/>
      </c>
      <c r="V16" s="69" t="str">
        <v/>
      </c>
      <c r="W16" s="69" t="str">
        <v/>
      </c>
      <c r="X16" s="69" t="str">
        <v/>
      </c>
      <c r="Y16" s="69" t="str">
        <v/>
      </c>
      <c r="Z16" s="69" t="str">
        <v/>
      </c>
      <c r="AA16" s="69" t="str">
        <v/>
      </c>
      <c r="AB16" s="69" t="str">
        <v/>
      </c>
      <c r="AC16" s="69">
        <v>161</v>
      </c>
      <c r="AD16" s="69">
        <v>162</v>
      </c>
      <c r="AE16" s="69">
        <v>163</v>
      </c>
      <c r="AF16" s="69">
        <v>164</v>
      </c>
      <c r="AG16" s="70">
        <v>165</v>
      </c>
      <c r="AH16" s="30"/>
      <c r="AI16" s="41"/>
      <c r="AJ16" s="72">
        <v>151</v>
      </c>
      <c r="AK16" s="72">
        <v>0</v>
      </c>
      <c r="AL16" s="72">
        <v>0</v>
      </c>
      <c r="AM16" s="72">
        <v>0</v>
      </c>
      <c r="AN16" s="72">
        <v>0</v>
      </c>
      <c r="AO16" s="72">
        <v>0</v>
      </c>
      <c r="AP16" s="72">
        <v>0</v>
      </c>
      <c r="AQ16" s="72">
        <v>0</v>
      </c>
      <c r="AR16" s="72">
        <v>0</v>
      </c>
      <c r="AS16" s="72">
        <v>0</v>
      </c>
      <c r="AT16" s="72">
        <v>0</v>
      </c>
      <c r="AU16" s="72">
        <v>0</v>
      </c>
      <c r="AV16" s="72">
        <v>0</v>
      </c>
      <c r="AW16" s="72">
        <v>0</v>
      </c>
      <c r="AX16" s="72">
        <v>165</v>
      </c>
      <c r="BB16" s="40"/>
    </row>
    <row r="17" spans="2:54" ht="13.8">
      <c r="B17" s="71">
        <v>166</v>
      </c>
      <c r="C17" s="71">
        <v>167</v>
      </c>
      <c r="D17" s="71">
        <v>168</v>
      </c>
      <c r="E17" s="71">
        <v>169</v>
      </c>
      <c r="F17" s="71">
        <v>170</v>
      </c>
      <c r="G17" s="71">
        <v>171</v>
      </c>
      <c r="H17" s="71">
        <v>172</v>
      </c>
      <c r="I17" s="71">
        <v>173</v>
      </c>
      <c r="J17" s="71">
        <v>174</v>
      </c>
      <c r="K17" s="71">
        <v>175</v>
      </c>
      <c r="L17" s="71">
        <v>176</v>
      </c>
      <c r="M17" s="71">
        <v>177</v>
      </c>
      <c r="N17" s="71">
        <v>178</v>
      </c>
      <c r="O17" s="71">
        <v>179</v>
      </c>
      <c r="P17" s="71">
        <v>180</v>
      </c>
      <c r="R17" s="31"/>
      <c r="S17" s="69" t="str">
        <v/>
      </c>
      <c r="T17" s="69" t="str">
        <v/>
      </c>
      <c r="U17" s="69" t="str">
        <v/>
      </c>
      <c r="V17" s="69" t="str">
        <v/>
      </c>
      <c r="W17" s="69" t="str">
        <v/>
      </c>
      <c r="X17" s="69" t="str">
        <v/>
      </c>
      <c r="Y17" s="69" t="str">
        <v/>
      </c>
      <c r="Z17" s="69" t="str">
        <v/>
      </c>
      <c r="AA17" s="69" t="str">
        <v/>
      </c>
      <c r="AB17" s="69" t="str">
        <v/>
      </c>
      <c r="AC17" s="69" t="str">
        <v/>
      </c>
      <c r="AD17" s="69">
        <v>177</v>
      </c>
      <c r="AE17" s="69">
        <v>178</v>
      </c>
      <c r="AF17" s="69">
        <v>179</v>
      </c>
      <c r="AG17" s="70">
        <v>180</v>
      </c>
      <c r="AH17" s="30"/>
      <c r="AI17" s="41"/>
      <c r="AJ17" s="72">
        <v>166</v>
      </c>
      <c r="AK17" s="72">
        <v>0</v>
      </c>
      <c r="AL17" s="72">
        <v>0</v>
      </c>
      <c r="AM17" s="72">
        <v>0</v>
      </c>
      <c r="AN17" s="72">
        <v>0</v>
      </c>
      <c r="AO17" s="72">
        <v>0</v>
      </c>
      <c r="AP17" s="72">
        <v>0</v>
      </c>
      <c r="AQ17" s="72">
        <v>0</v>
      </c>
      <c r="AR17" s="72">
        <v>0</v>
      </c>
      <c r="AS17" s="72">
        <v>0</v>
      </c>
      <c r="AT17" s="72">
        <v>0</v>
      </c>
      <c r="AU17" s="72">
        <v>0</v>
      </c>
      <c r="AV17" s="72">
        <v>0</v>
      </c>
      <c r="AW17" s="72">
        <v>0</v>
      </c>
      <c r="AX17" s="72">
        <v>180</v>
      </c>
      <c r="BB17" s="40"/>
    </row>
    <row r="18" spans="2:54" ht="13.8">
      <c r="B18" s="71">
        <v>181</v>
      </c>
      <c r="C18" s="71">
        <v>182</v>
      </c>
      <c r="D18" s="71">
        <v>183</v>
      </c>
      <c r="E18" s="71">
        <v>184</v>
      </c>
      <c r="F18" s="71">
        <v>185</v>
      </c>
      <c r="G18" s="71">
        <v>186</v>
      </c>
      <c r="H18" s="71">
        <v>187</v>
      </c>
      <c r="I18" s="71">
        <v>188</v>
      </c>
      <c r="J18" s="71">
        <v>189</v>
      </c>
      <c r="K18" s="71">
        <v>190</v>
      </c>
      <c r="L18" s="71">
        <v>191</v>
      </c>
      <c r="M18" s="71">
        <v>192</v>
      </c>
      <c r="N18" s="71">
        <v>193</v>
      </c>
      <c r="O18" s="71">
        <v>194</v>
      </c>
      <c r="P18" s="71">
        <v>195</v>
      </c>
      <c r="R18" s="31"/>
      <c r="S18" s="69" t="str">
        <v/>
      </c>
      <c r="T18" s="69" t="str">
        <v/>
      </c>
      <c r="U18" s="69" t="str">
        <v/>
      </c>
      <c r="V18" s="69" t="str">
        <v/>
      </c>
      <c r="W18" s="69" t="str">
        <v/>
      </c>
      <c r="X18" s="69" t="str">
        <v/>
      </c>
      <c r="Y18" s="69" t="str">
        <v/>
      </c>
      <c r="Z18" s="69" t="str">
        <v/>
      </c>
      <c r="AA18" s="69" t="str">
        <v/>
      </c>
      <c r="AB18" s="69" t="str">
        <v/>
      </c>
      <c r="AC18" s="69" t="str">
        <v/>
      </c>
      <c r="AD18" s="69" t="str">
        <v/>
      </c>
      <c r="AE18" s="69">
        <v>193</v>
      </c>
      <c r="AF18" s="69">
        <v>194</v>
      </c>
      <c r="AG18" s="70">
        <v>195</v>
      </c>
      <c r="AH18" s="30"/>
      <c r="AI18" s="41"/>
      <c r="AJ18" s="72">
        <v>181</v>
      </c>
      <c r="AK18" s="72">
        <v>0</v>
      </c>
      <c r="AL18" s="72">
        <v>0</v>
      </c>
      <c r="AM18" s="72">
        <v>0</v>
      </c>
      <c r="AN18" s="72">
        <v>0</v>
      </c>
      <c r="AO18" s="72">
        <v>0</v>
      </c>
      <c r="AP18" s="72">
        <v>0</v>
      </c>
      <c r="AQ18" s="72">
        <v>0</v>
      </c>
      <c r="AR18" s="72">
        <v>0</v>
      </c>
      <c r="AS18" s="72">
        <v>0</v>
      </c>
      <c r="AT18" s="72">
        <v>0</v>
      </c>
      <c r="AU18" s="72">
        <v>0</v>
      </c>
      <c r="AV18" s="72">
        <v>0</v>
      </c>
      <c r="AW18" s="72">
        <v>0</v>
      </c>
      <c r="AX18" s="72">
        <v>195</v>
      </c>
      <c r="BB18" s="40"/>
    </row>
    <row r="19" spans="2:54" ht="13.8">
      <c r="B19" s="71">
        <v>196</v>
      </c>
      <c r="C19" s="71">
        <v>197</v>
      </c>
      <c r="D19" s="71">
        <v>198</v>
      </c>
      <c r="E19" s="71">
        <v>199</v>
      </c>
      <c r="F19" s="71">
        <v>200</v>
      </c>
      <c r="G19" s="71">
        <v>201</v>
      </c>
      <c r="H19" s="71">
        <v>202</v>
      </c>
      <c r="I19" s="71">
        <v>203</v>
      </c>
      <c r="J19" s="71">
        <v>204</v>
      </c>
      <c r="K19" s="71">
        <v>205</v>
      </c>
      <c r="L19" s="71">
        <v>206</v>
      </c>
      <c r="M19" s="71">
        <v>207</v>
      </c>
      <c r="N19" s="71">
        <v>208</v>
      </c>
      <c r="O19" s="71">
        <v>209</v>
      </c>
      <c r="P19" s="71">
        <v>210</v>
      </c>
      <c r="R19" s="31"/>
      <c r="S19" s="69" t="str">
        <v/>
      </c>
      <c r="T19" s="69" t="str">
        <v/>
      </c>
      <c r="U19" s="69" t="str">
        <v/>
      </c>
      <c r="V19" s="69" t="str">
        <v/>
      </c>
      <c r="W19" s="69" t="str">
        <v/>
      </c>
      <c r="X19" s="69" t="str">
        <v/>
      </c>
      <c r="Y19" s="69" t="str">
        <v/>
      </c>
      <c r="Z19" s="69" t="str">
        <v/>
      </c>
      <c r="AA19" s="69" t="str">
        <v/>
      </c>
      <c r="AB19" s="69" t="str">
        <v/>
      </c>
      <c r="AC19" s="69" t="str">
        <v/>
      </c>
      <c r="AD19" s="69" t="str">
        <v/>
      </c>
      <c r="AE19" s="69" t="str">
        <v/>
      </c>
      <c r="AF19" s="69">
        <v>209</v>
      </c>
      <c r="AG19" s="70">
        <v>210</v>
      </c>
      <c r="AH19" s="30"/>
      <c r="AI19" s="41"/>
      <c r="AJ19" s="72">
        <v>196</v>
      </c>
      <c r="AK19" s="72">
        <v>0</v>
      </c>
      <c r="AL19" s="72">
        <v>0</v>
      </c>
      <c r="AM19" s="72">
        <v>0</v>
      </c>
      <c r="AN19" s="72">
        <v>0</v>
      </c>
      <c r="AO19" s="72">
        <v>0</v>
      </c>
      <c r="AP19" s="72">
        <v>0</v>
      </c>
      <c r="AQ19" s="72">
        <v>0</v>
      </c>
      <c r="AR19" s="72">
        <v>0</v>
      </c>
      <c r="AS19" s="72">
        <v>0</v>
      </c>
      <c r="AT19" s="72">
        <v>0</v>
      </c>
      <c r="AU19" s="72">
        <v>0</v>
      </c>
      <c r="AV19" s="72">
        <v>0</v>
      </c>
      <c r="AW19" s="72">
        <v>0</v>
      </c>
      <c r="AX19" s="72">
        <v>210</v>
      </c>
      <c r="BB19" s="40"/>
    </row>
    <row r="20" spans="2:54" ht="13.8">
      <c r="B20" s="71">
        <v>211</v>
      </c>
      <c r="C20" s="71">
        <v>212</v>
      </c>
      <c r="D20" s="71">
        <v>213</v>
      </c>
      <c r="E20" s="71">
        <v>214</v>
      </c>
      <c r="F20" s="71">
        <v>215</v>
      </c>
      <c r="G20" s="71">
        <v>216</v>
      </c>
      <c r="H20" s="71">
        <v>217</v>
      </c>
      <c r="I20" s="71">
        <v>218</v>
      </c>
      <c r="J20" s="71">
        <v>219</v>
      </c>
      <c r="K20" s="71">
        <v>220</v>
      </c>
      <c r="L20" s="71">
        <v>221</v>
      </c>
      <c r="M20" s="71">
        <v>222</v>
      </c>
      <c r="N20" s="71">
        <v>223</v>
      </c>
      <c r="O20" s="71">
        <v>224</v>
      </c>
      <c r="P20" s="71">
        <v>225</v>
      </c>
      <c r="R20" s="31"/>
      <c r="S20" s="69" t="str">
        <v/>
      </c>
      <c r="T20" s="69" t="str">
        <v/>
      </c>
      <c r="U20" s="69" t="str">
        <v/>
      </c>
      <c r="V20" s="69" t="str">
        <v/>
      </c>
      <c r="W20" s="69" t="str">
        <v/>
      </c>
      <c r="X20" s="69" t="str">
        <v/>
      </c>
      <c r="Y20" s="69" t="str">
        <v/>
      </c>
      <c r="Z20" s="69" t="str">
        <v/>
      </c>
      <c r="AA20" s="69" t="str">
        <v/>
      </c>
      <c r="AB20" s="69" t="str">
        <v/>
      </c>
      <c r="AC20" s="69" t="str">
        <v/>
      </c>
      <c r="AD20" s="69" t="str">
        <v/>
      </c>
      <c r="AE20" s="69" t="str">
        <v/>
      </c>
      <c r="AF20" s="69" t="str">
        <v/>
      </c>
      <c r="AG20" s="70">
        <v>225</v>
      </c>
      <c r="AH20" s="30"/>
      <c r="AI20" s="41"/>
      <c r="AJ20" s="72">
        <v>211</v>
      </c>
      <c r="AK20" s="72">
        <v>212</v>
      </c>
      <c r="AL20" s="72">
        <v>213</v>
      </c>
      <c r="AM20" s="72">
        <v>214</v>
      </c>
      <c r="AN20" s="72">
        <v>215</v>
      </c>
      <c r="AO20" s="72">
        <v>216</v>
      </c>
      <c r="AP20" s="72">
        <v>217</v>
      </c>
      <c r="AQ20" s="72">
        <v>218</v>
      </c>
      <c r="AR20" s="72">
        <v>219</v>
      </c>
      <c r="AS20" s="72">
        <v>220</v>
      </c>
      <c r="AT20" s="72">
        <v>221</v>
      </c>
      <c r="AU20" s="72">
        <v>222</v>
      </c>
      <c r="AV20" s="72">
        <v>223</v>
      </c>
      <c r="AW20" s="72">
        <v>224</v>
      </c>
      <c r="AX20" s="72">
        <v>225</v>
      </c>
      <c r="BB20" s="40"/>
    </row>
    <row r="21" spans="2:54">
      <c r="R21" s="32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4"/>
      <c r="AH21" s="35"/>
      <c r="AI21" s="42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43"/>
    </row>
    <row r="22" spans="2:54" ht="14.4">
      <c r="B22" s="24"/>
      <c r="C22" s="25"/>
      <c r="D22" s="26" t="s">
        <v>42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37"/>
      <c r="R22" s="24"/>
      <c r="S22" s="25"/>
      <c r="T22" s="25"/>
      <c r="U22" s="25"/>
      <c r="V22" s="26" t="s">
        <v>45</v>
      </c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7"/>
      <c r="AH22" s="27"/>
      <c r="AI22" s="27"/>
      <c r="AJ22" s="25"/>
      <c r="AK22" s="25"/>
      <c r="AL22" s="25"/>
      <c r="AM22" s="26" t="s">
        <v>46</v>
      </c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37"/>
    </row>
    <row r="23" spans="2:54" ht="14.4">
      <c r="B23" s="29" t="s">
        <v>36</v>
      </c>
      <c r="P23" s="40"/>
      <c r="R23" s="31"/>
      <c r="S23" s="39" t="s">
        <v>34</v>
      </c>
      <c r="AG23" s="20"/>
      <c r="AI23" s="45"/>
      <c r="AJ23" s="39" t="s">
        <v>35</v>
      </c>
      <c r="AK23" s="20"/>
      <c r="AL23" s="20"/>
      <c r="AM23" s="20"/>
      <c r="AN23" s="20"/>
      <c r="AO23" s="20"/>
      <c r="AP23" s="20"/>
      <c r="AQ23" s="20"/>
      <c r="AR23" s="20"/>
      <c r="AS23" s="20"/>
      <c r="BB23" s="40"/>
    </row>
    <row r="24" spans="2:54" ht="13.8">
      <c r="B24" s="73" t="str" cm="1">
        <f t="array" ref="B24:N34">Plusλ(GeoGrid,158,6,"")</f>
        <v/>
      </c>
      <c r="C24" s="74" t="str">
        <v/>
      </c>
      <c r="D24" s="74" t="str">
        <v/>
      </c>
      <c r="E24" s="74" t="str">
        <v/>
      </c>
      <c r="F24" s="74" t="str">
        <v/>
      </c>
      <c r="G24" s="74" t="str">
        <v/>
      </c>
      <c r="H24" s="74">
        <v>68</v>
      </c>
      <c r="I24" s="74" t="str">
        <v/>
      </c>
      <c r="J24" s="74" t="str">
        <v/>
      </c>
      <c r="K24" s="74" t="str">
        <v/>
      </c>
      <c r="L24" s="74" t="str">
        <v/>
      </c>
      <c r="M24" s="74" t="str">
        <v/>
      </c>
      <c r="N24" s="74" t="str">
        <v/>
      </c>
      <c r="P24" s="40"/>
      <c r="R24" s="31"/>
      <c r="S24" s="76" t="str" cm="1">
        <f t="array" ref="S24:AA28">Triangleλ(GeoGrid,113,4,,"-")</f>
        <v>-</v>
      </c>
      <c r="T24" s="76" t="str">
        <v>-</v>
      </c>
      <c r="U24" s="76" t="str">
        <v>-</v>
      </c>
      <c r="V24" s="76" t="str">
        <v>-</v>
      </c>
      <c r="W24" s="76">
        <v>53</v>
      </c>
      <c r="X24" s="76" t="str">
        <v>-</v>
      </c>
      <c r="Y24" s="76" t="str">
        <v>-</v>
      </c>
      <c r="Z24" s="76" t="str">
        <v>-</v>
      </c>
      <c r="AA24" s="76" t="str">
        <v>-</v>
      </c>
      <c r="AG24" s="20"/>
      <c r="AJ24" s="76" cm="1">
        <f t="array" ref="AJ24:AR28">Triangleλ(GeoGrid,113,4,1,"-")</f>
        <v>109</v>
      </c>
      <c r="AK24" s="76">
        <v>110</v>
      </c>
      <c r="AL24" s="76">
        <v>111</v>
      </c>
      <c r="AM24" s="76">
        <v>112</v>
      </c>
      <c r="AN24" s="77">
        <v>113</v>
      </c>
      <c r="AO24" s="76">
        <v>114</v>
      </c>
      <c r="AP24" s="76">
        <v>115</v>
      </c>
      <c r="AQ24" s="76">
        <v>116</v>
      </c>
      <c r="AR24" s="76">
        <v>117</v>
      </c>
      <c r="AS24" s="20"/>
      <c r="BB24" s="40"/>
    </row>
    <row r="25" spans="2:54" ht="13.8">
      <c r="B25" s="73" t="str">
        <v/>
      </c>
      <c r="C25" s="74" t="str">
        <v/>
      </c>
      <c r="D25" s="74" t="str">
        <v/>
      </c>
      <c r="E25" s="74" t="str">
        <v/>
      </c>
      <c r="F25" s="74" t="str">
        <v/>
      </c>
      <c r="G25" s="74" t="str">
        <v/>
      </c>
      <c r="H25" s="74">
        <v>83</v>
      </c>
      <c r="I25" s="74" t="str">
        <v/>
      </c>
      <c r="J25" s="74" t="str">
        <v/>
      </c>
      <c r="K25" s="74" t="str">
        <v/>
      </c>
      <c r="L25" s="74" t="str">
        <v/>
      </c>
      <c r="M25" s="74" t="str">
        <v/>
      </c>
      <c r="N25" s="74" t="str">
        <v/>
      </c>
      <c r="P25" s="40"/>
      <c r="R25" s="31"/>
      <c r="S25" s="76" t="str">
        <v>-</v>
      </c>
      <c r="T25" s="76" t="str">
        <v>-</v>
      </c>
      <c r="U25" s="76" t="str">
        <v>-</v>
      </c>
      <c r="V25" s="76">
        <v>67</v>
      </c>
      <c r="W25" s="76">
        <v>68</v>
      </c>
      <c r="X25" s="76">
        <v>69</v>
      </c>
      <c r="Y25" s="76" t="str">
        <v>-</v>
      </c>
      <c r="Z25" s="76" t="str">
        <v>-</v>
      </c>
      <c r="AA25" s="76" t="str">
        <v>-</v>
      </c>
      <c r="AG25" s="20"/>
      <c r="AJ25" s="76" t="str">
        <v>-</v>
      </c>
      <c r="AK25" s="76">
        <v>125</v>
      </c>
      <c r="AL25" s="76">
        <v>126</v>
      </c>
      <c r="AM25" s="76">
        <v>127</v>
      </c>
      <c r="AN25" s="76">
        <v>128</v>
      </c>
      <c r="AO25" s="76">
        <v>129</v>
      </c>
      <c r="AP25" s="76">
        <v>130</v>
      </c>
      <c r="AQ25" s="76">
        <v>131</v>
      </c>
      <c r="AR25" s="76" t="str">
        <v>-</v>
      </c>
      <c r="AS25" s="20"/>
      <c r="BB25" s="40"/>
    </row>
    <row r="26" spans="2:54" ht="13.8">
      <c r="B26" s="73" t="str">
        <v/>
      </c>
      <c r="C26" s="74" t="str">
        <v/>
      </c>
      <c r="D26" s="74" t="str">
        <v/>
      </c>
      <c r="E26" s="74" t="str">
        <v/>
      </c>
      <c r="F26" s="74" t="str">
        <v/>
      </c>
      <c r="G26" s="74" t="str">
        <v/>
      </c>
      <c r="H26" s="74">
        <v>98</v>
      </c>
      <c r="I26" s="74" t="str">
        <v/>
      </c>
      <c r="J26" s="74" t="str">
        <v/>
      </c>
      <c r="K26" s="74" t="str">
        <v/>
      </c>
      <c r="L26" s="74" t="str">
        <v/>
      </c>
      <c r="M26" s="74" t="str">
        <v/>
      </c>
      <c r="N26" s="74" t="str">
        <v/>
      </c>
      <c r="P26" s="40"/>
      <c r="R26" s="31"/>
      <c r="S26" s="76" t="str">
        <v>-</v>
      </c>
      <c r="T26" s="76" t="str">
        <v>-</v>
      </c>
      <c r="U26" s="76">
        <v>81</v>
      </c>
      <c r="V26" s="76">
        <v>82</v>
      </c>
      <c r="W26" s="76">
        <v>83</v>
      </c>
      <c r="X26" s="76">
        <v>84</v>
      </c>
      <c r="Y26" s="76">
        <v>85</v>
      </c>
      <c r="Z26" s="76" t="str">
        <v>-</v>
      </c>
      <c r="AA26" s="76" t="str">
        <v>-</v>
      </c>
      <c r="AG26" s="20"/>
      <c r="AJ26" s="76" t="str">
        <v>-</v>
      </c>
      <c r="AK26" s="76" t="str">
        <v>-</v>
      </c>
      <c r="AL26" s="76">
        <v>141</v>
      </c>
      <c r="AM26" s="76">
        <v>142</v>
      </c>
      <c r="AN26" s="76">
        <v>143</v>
      </c>
      <c r="AO26" s="76">
        <v>144</v>
      </c>
      <c r="AP26" s="76">
        <v>145</v>
      </c>
      <c r="AQ26" s="76" t="str">
        <v>-</v>
      </c>
      <c r="AR26" s="76" t="str">
        <v>-</v>
      </c>
      <c r="AS26" s="20"/>
      <c r="BB26" s="40"/>
    </row>
    <row r="27" spans="2:54" ht="13.8">
      <c r="B27" s="73" t="str">
        <v/>
      </c>
      <c r="C27" s="74" t="str">
        <v/>
      </c>
      <c r="D27" s="74" t="str">
        <v/>
      </c>
      <c r="E27" s="74" t="str">
        <v/>
      </c>
      <c r="F27" s="74" t="str">
        <v/>
      </c>
      <c r="G27" s="74" t="str">
        <v/>
      </c>
      <c r="H27" s="74">
        <v>113</v>
      </c>
      <c r="I27" s="74" t="str">
        <v/>
      </c>
      <c r="J27" s="74" t="str">
        <v/>
      </c>
      <c r="K27" s="74" t="str">
        <v/>
      </c>
      <c r="L27" s="74" t="str">
        <v/>
      </c>
      <c r="M27" s="74" t="str">
        <v/>
      </c>
      <c r="N27" s="74" t="str">
        <v/>
      </c>
      <c r="P27" s="40"/>
      <c r="R27" s="31"/>
      <c r="S27" s="76" t="str">
        <v>-</v>
      </c>
      <c r="T27" s="76">
        <v>95</v>
      </c>
      <c r="U27" s="76">
        <v>96</v>
      </c>
      <c r="V27" s="76">
        <v>97</v>
      </c>
      <c r="W27" s="76">
        <v>98</v>
      </c>
      <c r="X27" s="76">
        <v>99</v>
      </c>
      <c r="Y27" s="76">
        <v>100</v>
      </c>
      <c r="Z27" s="76">
        <v>101</v>
      </c>
      <c r="AA27" s="76" t="str">
        <v>-</v>
      </c>
      <c r="AG27" s="20"/>
      <c r="AJ27" s="76" t="str">
        <v>-</v>
      </c>
      <c r="AK27" s="76" t="str">
        <v>-</v>
      </c>
      <c r="AL27" s="76" t="str">
        <v>-</v>
      </c>
      <c r="AM27" s="76">
        <v>157</v>
      </c>
      <c r="AN27" s="76">
        <v>158</v>
      </c>
      <c r="AO27" s="76">
        <v>159</v>
      </c>
      <c r="AP27" s="76" t="str">
        <v>-</v>
      </c>
      <c r="AQ27" s="76" t="str">
        <v>-</v>
      </c>
      <c r="AR27" s="76" t="str">
        <v>-</v>
      </c>
      <c r="AS27" s="20"/>
      <c r="BB27" s="40"/>
    </row>
    <row r="28" spans="2:54" ht="13.8">
      <c r="B28" s="73" t="str">
        <v/>
      </c>
      <c r="C28" s="74" t="str">
        <v/>
      </c>
      <c r="D28" s="74" t="str">
        <v/>
      </c>
      <c r="E28" s="74" t="str">
        <v/>
      </c>
      <c r="F28" s="74" t="str">
        <v/>
      </c>
      <c r="G28" s="74" t="str">
        <v/>
      </c>
      <c r="H28" s="74">
        <v>128</v>
      </c>
      <c r="I28" s="74" t="str">
        <v/>
      </c>
      <c r="J28" s="74" t="str">
        <v/>
      </c>
      <c r="K28" s="74" t="str">
        <v/>
      </c>
      <c r="L28" s="74" t="str">
        <v/>
      </c>
      <c r="M28" s="74" t="str">
        <v/>
      </c>
      <c r="N28" s="74" t="str">
        <v/>
      </c>
      <c r="P28" s="40"/>
      <c r="R28" s="31"/>
      <c r="S28" s="76">
        <v>109</v>
      </c>
      <c r="T28" s="76">
        <v>110</v>
      </c>
      <c r="U28" s="76">
        <v>111</v>
      </c>
      <c r="V28" s="76">
        <v>112</v>
      </c>
      <c r="W28" s="77">
        <v>113</v>
      </c>
      <c r="X28" s="76">
        <v>114</v>
      </c>
      <c r="Y28" s="76">
        <v>115</v>
      </c>
      <c r="Z28" s="76">
        <v>116</v>
      </c>
      <c r="AA28" s="76">
        <v>117</v>
      </c>
      <c r="AG28" s="20"/>
      <c r="AJ28" s="76" t="str">
        <v>-</v>
      </c>
      <c r="AK28" s="76" t="str">
        <v>-</v>
      </c>
      <c r="AL28" s="76" t="str">
        <v>-</v>
      </c>
      <c r="AM28" s="76" t="str">
        <v>-</v>
      </c>
      <c r="AN28" s="76">
        <v>173</v>
      </c>
      <c r="AO28" s="76" t="str">
        <v>-</v>
      </c>
      <c r="AP28" s="76" t="str">
        <v>-</v>
      </c>
      <c r="AQ28" s="76" t="str">
        <v>-</v>
      </c>
      <c r="AR28" s="76" t="str">
        <v>-</v>
      </c>
      <c r="AS28" s="20"/>
      <c r="BB28" s="40"/>
    </row>
    <row r="29" spans="2:54" ht="13.8">
      <c r="B29" s="73" t="str">
        <v/>
      </c>
      <c r="C29" s="74" t="str">
        <v/>
      </c>
      <c r="D29" s="74" t="str">
        <v/>
      </c>
      <c r="E29" s="74" t="str">
        <v/>
      </c>
      <c r="F29" s="74" t="str">
        <v/>
      </c>
      <c r="G29" s="74" t="str">
        <v/>
      </c>
      <c r="H29" s="74">
        <v>143</v>
      </c>
      <c r="I29" s="74" t="str">
        <v/>
      </c>
      <c r="J29" s="74" t="str">
        <v/>
      </c>
      <c r="K29" s="74" t="str">
        <v/>
      </c>
      <c r="L29" s="74" t="str">
        <v/>
      </c>
      <c r="M29" s="74" t="str">
        <v/>
      </c>
      <c r="N29" s="74" t="str">
        <v/>
      </c>
      <c r="P29" s="40"/>
      <c r="R29" s="32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4"/>
      <c r="AH29" s="34"/>
      <c r="AI29" s="34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43"/>
    </row>
    <row r="30" spans="2:54" ht="14.7">
      <c r="B30" s="73">
        <v>152</v>
      </c>
      <c r="C30" s="74">
        <v>153</v>
      </c>
      <c r="D30" s="74">
        <v>154</v>
      </c>
      <c r="E30" s="74">
        <v>155</v>
      </c>
      <c r="F30" s="74">
        <v>156</v>
      </c>
      <c r="G30" s="74">
        <v>157</v>
      </c>
      <c r="H30" s="75">
        <v>158</v>
      </c>
      <c r="I30" s="74">
        <v>159</v>
      </c>
      <c r="J30" s="74">
        <v>160</v>
      </c>
      <c r="K30" s="74">
        <v>161</v>
      </c>
      <c r="L30" s="74">
        <v>162</v>
      </c>
      <c r="M30" s="74">
        <v>163</v>
      </c>
      <c r="N30" s="74">
        <v>164</v>
      </c>
      <c r="P30" s="40"/>
      <c r="R30" s="24"/>
      <c r="S30" s="25"/>
      <c r="T30" s="25"/>
      <c r="U30" s="26" t="s">
        <v>39</v>
      </c>
      <c r="V30" s="25"/>
      <c r="W30" s="25"/>
      <c r="X30" s="25"/>
      <c r="Y30" s="25"/>
      <c r="Z30" s="25"/>
      <c r="AA30" s="25"/>
      <c r="AB30" s="25"/>
      <c r="AC30" s="25"/>
      <c r="AD30" s="25"/>
      <c r="AE30" s="37"/>
      <c r="AF30" s="24"/>
      <c r="AG30" s="27"/>
      <c r="AH30" s="27"/>
      <c r="AI30" s="26" t="s">
        <v>40</v>
      </c>
      <c r="AJ30" s="25"/>
      <c r="AK30" s="25"/>
      <c r="AL30" s="25"/>
      <c r="AM30" s="25"/>
      <c r="AN30" s="25"/>
      <c r="AO30" s="25"/>
      <c r="AP30" s="25"/>
      <c r="AQ30" s="25"/>
      <c r="AR30" s="25"/>
      <c r="AS30" s="37"/>
      <c r="AT30" s="24"/>
      <c r="AU30" s="25"/>
      <c r="AV30" s="26" t="s">
        <v>41</v>
      </c>
      <c r="AW30" s="25"/>
      <c r="AX30" s="25"/>
      <c r="AY30" s="25"/>
      <c r="AZ30" s="25"/>
      <c r="BA30" s="25"/>
      <c r="BB30" s="37"/>
    </row>
    <row r="31" spans="2:54" ht="14.7">
      <c r="B31" s="73" t="str">
        <v/>
      </c>
      <c r="C31" s="74" t="str">
        <v/>
      </c>
      <c r="D31" s="74" t="str">
        <v/>
      </c>
      <c r="E31" s="74" t="str">
        <v/>
      </c>
      <c r="F31" s="74" t="str">
        <v/>
      </c>
      <c r="G31" s="74" t="str">
        <v/>
      </c>
      <c r="H31" s="74">
        <v>173</v>
      </c>
      <c r="I31" s="74" t="str">
        <v/>
      </c>
      <c r="J31" s="74" t="str">
        <v/>
      </c>
      <c r="K31" s="74" t="str">
        <v/>
      </c>
      <c r="L31" s="74" t="str">
        <v/>
      </c>
      <c r="M31" s="74" t="str">
        <v/>
      </c>
      <c r="N31" s="74" t="str">
        <v/>
      </c>
      <c r="P31" s="40"/>
      <c r="R31" s="29" t="s">
        <v>32</v>
      </c>
      <c r="AE31" s="40"/>
      <c r="AF31" s="51" t="s">
        <v>48</v>
      </c>
      <c r="AS31" s="40"/>
      <c r="AT31" s="29" t="s">
        <v>33</v>
      </c>
      <c r="BB31" s="40"/>
    </row>
    <row r="32" spans="2:54" ht="13.8">
      <c r="B32" s="73" t="str">
        <v/>
      </c>
      <c r="C32" s="74" t="str">
        <v/>
      </c>
      <c r="D32" s="74" t="str">
        <v/>
      </c>
      <c r="E32" s="74" t="str">
        <v/>
      </c>
      <c r="F32" s="74" t="str">
        <v/>
      </c>
      <c r="G32" s="74" t="str">
        <v/>
      </c>
      <c r="H32" s="74">
        <v>188</v>
      </c>
      <c r="I32" s="74" t="str">
        <v/>
      </c>
      <c r="J32" s="74" t="str">
        <v/>
      </c>
      <c r="K32" s="74" t="str">
        <v/>
      </c>
      <c r="L32" s="74" t="str">
        <v/>
      </c>
      <c r="M32" s="74" t="str">
        <v/>
      </c>
      <c r="N32" s="74" t="str">
        <v/>
      </c>
      <c r="P32" s="40"/>
      <c r="R32" s="78" t="str" cm="1">
        <f t="array" ref="R32:AD44">Circleλ(GeoGrid,98,6,"")</f>
        <v/>
      </c>
      <c r="S32" s="79" t="str">
        <v/>
      </c>
      <c r="T32" s="79" t="str">
        <v/>
      </c>
      <c r="U32" s="79" t="str">
        <v/>
      </c>
      <c r="V32" s="79" t="str">
        <v/>
      </c>
      <c r="W32" s="79" t="str">
        <v/>
      </c>
      <c r="X32" s="79">
        <v>8</v>
      </c>
      <c r="Y32" s="79" t="str">
        <v/>
      </c>
      <c r="Z32" s="79" t="str">
        <v/>
      </c>
      <c r="AA32" s="79" t="str">
        <v/>
      </c>
      <c r="AB32" s="79" t="str">
        <v/>
      </c>
      <c r="AC32" s="79" t="str">
        <v/>
      </c>
      <c r="AD32" s="79" t="str">
        <v/>
      </c>
      <c r="AE32" s="40"/>
      <c r="AF32" s="81" t="str" cm="1">
        <f t="array" ref="AF32:AR44">Diamondλ(GeoGrid,98,6,"")</f>
        <v/>
      </c>
      <c r="AG32" s="82" t="str">
        <v/>
      </c>
      <c r="AH32" s="82" t="str">
        <v/>
      </c>
      <c r="AI32" s="82" t="str">
        <v/>
      </c>
      <c r="AJ32" s="82" t="str">
        <v/>
      </c>
      <c r="AK32" s="82" t="str">
        <v/>
      </c>
      <c r="AL32" s="82">
        <v>8</v>
      </c>
      <c r="AM32" s="82" t="str">
        <v/>
      </c>
      <c r="AN32" s="82" t="str">
        <v/>
      </c>
      <c r="AO32" s="82" t="str">
        <v/>
      </c>
      <c r="AP32" s="82" t="str">
        <v/>
      </c>
      <c r="AQ32" s="82" t="str">
        <v/>
      </c>
      <c r="AR32" s="82" t="str">
        <v/>
      </c>
      <c r="AS32" s="40"/>
      <c r="AT32" s="84" cm="1">
        <f t="array" ref="AT32:AZ38">Squareλ(GeoGrid,95,3)</f>
        <v>47</v>
      </c>
      <c r="AU32" s="85">
        <v>48</v>
      </c>
      <c r="AV32" s="85">
        <v>49</v>
      </c>
      <c r="AW32" s="85">
        <v>50</v>
      </c>
      <c r="AX32" s="85">
        <v>51</v>
      </c>
      <c r="AY32" s="85">
        <v>52</v>
      </c>
      <c r="AZ32" s="85">
        <v>53</v>
      </c>
      <c r="BB32" s="40"/>
    </row>
    <row r="33" spans="2:54" ht="13.8">
      <c r="B33" s="73" t="str">
        <v/>
      </c>
      <c r="C33" s="74" t="str">
        <v/>
      </c>
      <c r="D33" s="74" t="str">
        <v/>
      </c>
      <c r="E33" s="74" t="str">
        <v/>
      </c>
      <c r="F33" s="74" t="str">
        <v/>
      </c>
      <c r="G33" s="74" t="str">
        <v/>
      </c>
      <c r="H33" s="74">
        <v>203</v>
      </c>
      <c r="I33" s="74" t="str">
        <v/>
      </c>
      <c r="J33" s="74" t="str">
        <v/>
      </c>
      <c r="K33" s="74" t="str">
        <v/>
      </c>
      <c r="L33" s="74" t="str">
        <v/>
      </c>
      <c r="M33" s="74" t="str">
        <v/>
      </c>
      <c r="N33" s="74" t="str">
        <v/>
      </c>
      <c r="P33" s="40"/>
      <c r="R33" s="78" t="str">
        <v/>
      </c>
      <c r="S33" s="79" t="str">
        <v/>
      </c>
      <c r="T33" s="79" t="str">
        <v/>
      </c>
      <c r="U33" s="79">
        <v>20</v>
      </c>
      <c r="V33" s="79">
        <v>21</v>
      </c>
      <c r="W33" s="79">
        <v>22</v>
      </c>
      <c r="X33" s="79">
        <v>23</v>
      </c>
      <c r="Y33" s="79">
        <v>24</v>
      </c>
      <c r="Z33" s="79">
        <v>25</v>
      </c>
      <c r="AA33" s="79">
        <v>26</v>
      </c>
      <c r="AB33" s="79" t="str">
        <v/>
      </c>
      <c r="AC33" s="79" t="str">
        <v/>
      </c>
      <c r="AD33" s="79" t="str">
        <v/>
      </c>
      <c r="AE33" s="40"/>
      <c r="AF33" s="81" t="str">
        <v/>
      </c>
      <c r="AG33" s="82" t="str">
        <v/>
      </c>
      <c r="AH33" s="82" t="str">
        <v/>
      </c>
      <c r="AI33" s="82" t="str">
        <v/>
      </c>
      <c r="AJ33" s="82" t="str">
        <v/>
      </c>
      <c r="AK33" s="82">
        <v>22</v>
      </c>
      <c r="AL33" s="82">
        <v>23</v>
      </c>
      <c r="AM33" s="82">
        <v>24</v>
      </c>
      <c r="AN33" s="82" t="str">
        <v/>
      </c>
      <c r="AO33" s="82" t="str">
        <v/>
      </c>
      <c r="AP33" s="82" t="str">
        <v/>
      </c>
      <c r="AQ33" s="82" t="str">
        <v/>
      </c>
      <c r="AR33" s="82" t="str">
        <v/>
      </c>
      <c r="AS33" s="40"/>
      <c r="AT33" s="84">
        <v>62</v>
      </c>
      <c r="AU33" s="85">
        <v>63</v>
      </c>
      <c r="AV33" s="85">
        <v>64</v>
      </c>
      <c r="AW33" s="85">
        <v>65</v>
      </c>
      <c r="AX33" s="85">
        <v>66</v>
      </c>
      <c r="AY33" s="85">
        <v>67</v>
      </c>
      <c r="AZ33" s="85">
        <v>68</v>
      </c>
      <c r="BB33" s="40"/>
    </row>
    <row r="34" spans="2:54" ht="13.8">
      <c r="B34" s="73" t="str">
        <v/>
      </c>
      <c r="C34" s="74" t="str">
        <v/>
      </c>
      <c r="D34" s="74" t="str">
        <v/>
      </c>
      <c r="E34" s="74" t="str">
        <v/>
      </c>
      <c r="F34" s="74" t="str">
        <v/>
      </c>
      <c r="G34" s="74" t="str">
        <v/>
      </c>
      <c r="H34" s="74">
        <v>218</v>
      </c>
      <c r="I34" s="74" t="str">
        <v/>
      </c>
      <c r="J34" s="74" t="str">
        <v/>
      </c>
      <c r="K34" s="74" t="str">
        <v/>
      </c>
      <c r="L34" s="74" t="str">
        <v/>
      </c>
      <c r="M34" s="74" t="str">
        <v/>
      </c>
      <c r="N34" s="74" t="str">
        <v/>
      </c>
      <c r="P34" s="40"/>
      <c r="R34" s="78" t="str">
        <v/>
      </c>
      <c r="S34" s="79" t="str">
        <v/>
      </c>
      <c r="T34" s="79">
        <v>34</v>
      </c>
      <c r="U34" s="79">
        <v>35</v>
      </c>
      <c r="V34" s="79">
        <v>36</v>
      </c>
      <c r="W34" s="79">
        <v>37</v>
      </c>
      <c r="X34" s="79">
        <v>38</v>
      </c>
      <c r="Y34" s="79">
        <v>39</v>
      </c>
      <c r="Z34" s="79">
        <v>40</v>
      </c>
      <c r="AA34" s="79">
        <v>41</v>
      </c>
      <c r="AB34" s="79">
        <v>42</v>
      </c>
      <c r="AC34" s="79" t="str">
        <v/>
      </c>
      <c r="AD34" s="79" t="str">
        <v/>
      </c>
      <c r="AE34" s="40"/>
      <c r="AF34" s="81" t="str">
        <v/>
      </c>
      <c r="AG34" s="82" t="str">
        <v/>
      </c>
      <c r="AH34" s="82" t="str">
        <v/>
      </c>
      <c r="AI34" s="82" t="str">
        <v/>
      </c>
      <c r="AJ34" s="82">
        <v>36</v>
      </c>
      <c r="AK34" s="82">
        <v>37</v>
      </c>
      <c r="AL34" s="82">
        <v>38</v>
      </c>
      <c r="AM34" s="82">
        <v>39</v>
      </c>
      <c r="AN34" s="82">
        <v>40</v>
      </c>
      <c r="AO34" s="82" t="str">
        <v/>
      </c>
      <c r="AP34" s="82" t="str">
        <v/>
      </c>
      <c r="AQ34" s="82" t="str">
        <v/>
      </c>
      <c r="AR34" s="82" t="str">
        <v/>
      </c>
      <c r="AS34" s="40"/>
      <c r="AT34" s="84">
        <v>77</v>
      </c>
      <c r="AU34" s="85">
        <v>78</v>
      </c>
      <c r="AV34" s="85">
        <v>79</v>
      </c>
      <c r="AW34" s="85">
        <v>80</v>
      </c>
      <c r="AX34" s="85">
        <v>81</v>
      </c>
      <c r="AY34" s="85">
        <v>82</v>
      </c>
      <c r="AZ34" s="85">
        <v>83</v>
      </c>
      <c r="BB34" s="40"/>
    </row>
    <row r="35" spans="2:54" ht="13.8">
      <c r="B35" s="32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43"/>
      <c r="R35" s="78" t="str">
        <v/>
      </c>
      <c r="S35" s="79">
        <v>48</v>
      </c>
      <c r="T35" s="79">
        <v>49</v>
      </c>
      <c r="U35" s="79">
        <v>50</v>
      </c>
      <c r="V35" s="79">
        <v>51</v>
      </c>
      <c r="W35" s="79">
        <v>52</v>
      </c>
      <c r="X35" s="79">
        <v>53</v>
      </c>
      <c r="Y35" s="79">
        <v>54</v>
      </c>
      <c r="Z35" s="79">
        <v>55</v>
      </c>
      <c r="AA35" s="79">
        <v>56</v>
      </c>
      <c r="AB35" s="79">
        <v>57</v>
      </c>
      <c r="AC35" s="79">
        <v>58</v>
      </c>
      <c r="AD35" s="79" t="str">
        <v/>
      </c>
      <c r="AE35" s="40"/>
      <c r="AF35" s="81" t="str">
        <v/>
      </c>
      <c r="AG35" s="82" t="str">
        <v/>
      </c>
      <c r="AH35" s="82" t="str">
        <v/>
      </c>
      <c r="AI35" s="82">
        <v>50</v>
      </c>
      <c r="AJ35" s="82">
        <v>51</v>
      </c>
      <c r="AK35" s="82">
        <v>52</v>
      </c>
      <c r="AL35" s="82">
        <v>53</v>
      </c>
      <c r="AM35" s="82">
        <v>54</v>
      </c>
      <c r="AN35" s="82">
        <v>55</v>
      </c>
      <c r="AO35" s="82">
        <v>56</v>
      </c>
      <c r="AP35" s="82" t="str">
        <v/>
      </c>
      <c r="AQ35" s="82" t="str">
        <v/>
      </c>
      <c r="AR35" s="82" t="str">
        <v/>
      </c>
      <c r="AS35" s="40"/>
      <c r="AT35" s="84">
        <v>92</v>
      </c>
      <c r="AU35" s="85">
        <v>93</v>
      </c>
      <c r="AV35" s="85">
        <v>94</v>
      </c>
      <c r="AW35" s="86">
        <v>95</v>
      </c>
      <c r="AX35" s="85">
        <v>96</v>
      </c>
      <c r="AY35" s="85">
        <v>97</v>
      </c>
      <c r="AZ35" s="85">
        <v>98</v>
      </c>
      <c r="BB35" s="40"/>
    </row>
    <row r="36" spans="2:54" ht="13.8">
      <c r="R36" s="78" t="str">
        <v/>
      </c>
      <c r="S36" s="79">
        <v>63</v>
      </c>
      <c r="T36" s="79">
        <v>64</v>
      </c>
      <c r="U36" s="79">
        <v>65</v>
      </c>
      <c r="V36" s="79">
        <v>66</v>
      </c>
      <c r="W36" s="79">
        <v>67</v>
      </c>
      <c r="X36" s="79">
        <v>68</v>
      </c>
      <c r="Y36" s="79">
        <v>69</v>
      </c>
      <c r="Z36" s="79">
        <v>70</v>
      </c>
      <c r="AA36" s="79">
        <v>71</v>
      </c>
      <c r="AB36" s="79">
        <v>72</v>
      </c>
      <c r="AC36" s="79">
        <v>73</v>
      </c>
      <c r="AD36" s="79" t="str">
        <v/>
      </c>
      <c r="AE36" s="40"/>
      <c r="AF36" s="81" t="str">
        <v/>
      </c>
      <c r="AG36" s="82" t="str">
        <v/>
      </c>
      <c r="AH36" s="82">
        <v>64</v>
      </c>
      <c r="AI36" s="82">
        <v>65</v>
      </c>
      <c r="AJ36" s="82">
        <v>66</v>
      </c>
      <c r="AK36" s="82">
        <v>67</v>
      </c>
      <c r="AL36" s="82">
        <v>68</v>
      </c>
      <c r="AM36" s="82">
        <v>69</v>
      </c>
      <c r="AN36" s="82">
        <v>70</v>
      </c>
      <c r="AO36" s="82">
        <v>71</v>
      </c>
      <c r="AP36" s="82">
        <v>72</v>
      </c>
      <c r="AQ36" s="82" t="str">
        <v/>
      </c>
      <c r="AR36" s="82" t="str">
        <v/>
      </c>
      <c r="AS36" s="40"/>
      <c r="AT36" s="84">
        <v>107</v>
      </c>
      <c r="AU36" s="85">
        <v>108</v>
      </c>
      <c r="AV36" s="85">
        <v>109</v>
      </c>
      <c r="AW36" s="85">
        <v>110</v>
      </c>
      <c r="AX36" s="85">
        <v>111</v>
      </c>
      <c r="AY36" s="85">
        <v>112</v>
      </c>
      <c r="AZ36" s="85">
        <v>113</v>
      </c>
      <c r="BB36" s="40"/>
    </row>
    <row r="37" spans="2:54" ht="13.8">
      <c r="R37" s="78" t="str">
        <v/>
      </c>
      <c r="S37" s="79">
        <v>78</v>
      </c>
      <c r="T37" s="79">
        <v>79</v>
      </c>
      <c r="U37" s="79">
        <v>80</v>
      </c>
      <c r="V37" s="79">
        <v>81</v>
      </c>
      <c r="W37" s="79">
        <v>82</v>
      </c>
      <c r="X37" s="79">
        <v>83</v>
      </c>
      <c r="Y37" s="79">
        <v>84</v>
      </c>
      <c r="Z37" s="79">
        <v>85</v>
      </c>
      <c r="AA37" s="79">
        <v>86</v>
      </c>
      <c r="AB37" s="79">
        <v>87</v>
      </c>
      <c r="AC37" s="79">
        <v>88</v>
      </c>
      <c r="AD37" s="79" t="str">
        <v/>
      </c>
      <c r="AE37" s="40"/>
      <c r="AF37" s="81" t="str">
        <v/>
      </c>
      <c r="AG37" s="82">
        <v>78</v>
      </c>
      <c r="AH37" s="82">
        <v>79</v>
      </c>
      <c r="AI37" s="82">
        <v>80</v>
      </c>
      <c r="AJ37" s="82">
        <v>81</v>
      </c>
      <c r="AK37" s="82">
        <v>82</v>
      </c>
      <c r="AL37" s="82">
        <v>83</v>
      </c>
      <c r="AM37" s="82">
        <v>84</v>
      </c>
      <c r="AN37" s="82">
        <v>85</v>
      </c>
      <c r="AO37" s="82">
        <v>86</v>
      </c>
      <c r="AP37" s="82">
        <v>87</v>
      </c>
      <c r="AQ37" s="82">
        <v>88</v>
      </c>
      <c r="AR37" s="82" t="str">
        <v/>
      </c>
      <c r="AS37" s="40"/>
      <c r="AT37" s="84">
        <v>122</v>
      </c>
      <c r="AU37" s="85">
        <v>123</v>
      </c>
      <c r="AV37" s="85">
        <v>124</v>
      </c>
      <c r="AW37" s="85">
        <v>125</v>
      </c>
      <c r="AX37" s="85">
        <v>126</v>
      </c>
      <c r="AY37" s="85">
        <v>127</v>
      </c>
      <c r="AZ37" s="85">
        <v>128</v>
      </c>
      <c r="BB37" s="40"/>
    </row>
    <row r="38" spans="2:54" ht="13.8">
      <c r="R38" s="78">
        <v>92</v>
      </c>
      <c r="S38" s="79">
        <v>93</v>
      </c>
      <c r="T38" s="79">
        <v>94</v>
      </c>
      <c r="U38" s="79">
        <v>95</v>
      </c>
      <c r="V38" s="79">
        <v>96</v>
      </c>
      <c r="W38" s="79">
        <v>97</v>
      </c>
      <c r="X38" s="80">
        <v>98</v>
      </c>
      <c r="Y38" s="79">
        <v>99</v>
      </c>
      <c r="Z38" s="79">
        <v>100</v>
      </c>
      <c r="AA38" s="79">
        <v>101</v>
      </c>
      <c r="AB38" s="79">
        <v>102</v>
      </c>
      <c r="AC38" s="79">
        <v>103</v>
      </c>
      <c r="AD38" s="79">
        <v>104</v>
      </c>
      <c r="AE38" s="40"/>
      <c r="AF38" s="81">
        <v>92</v>
      </c>
      <c r="AG38" s="82">
        <v>93</v>
      </c>
      <c r="AH38" s="82">
        <v>94</v>
      </c>
      <c r="AI38" s="82">
        <v>95</v>
      </c>
      <c r="AJ38" s="82">
        <v>96</v>
      </c>
      <c r="AK38" s="82">
        <v>97</v>
      </c>
      <c r="AL38" s="83">
        <v>98</v>
      </c>
      <c r="AM38" s="82">
        <v>99</v>
      </c>
      <c r="AN38" s="82">
        <v>100</v>
      </c>
      <c r="AO38" s="82">
        <v>101</v>
      </c>
      <c r="AP38" s="82">
        <v>102</v>
      </c>
      <c r="AQ38" s="82">
        <v>103</v>
      </c>
      <c r="AR38" s="82">
        <v>104</v>
      </c>
      <c r="AS38" s="40"/>
      <c r="AT38" s="84">
        <v>137</v>
      </c>
      <c r="AU38" s="85">
        <v>138</v>
      </c>
      <c r="AV38" s="85">
        <v>139</v>
      </c>
      <c r="AW38" s="85">
        <v>140</v>
      </c>
      <c r="AX38" s="85">
        <v>141</v>
      </c>
      <c r="AY38" s="85">
        <v>142</v>
      </c>
      <c r="AZ38" s="85">
        <v>143</v>
      </c>
      <c r="BB38" s="40"/>
    </row>
    <row r="39" spans="2:54" ht="13.8">
      <c r="R39" s="78" t="str">
        <v/>
      </c>
      <c r="S39" s="79">
        <v>108</v>
      </c>
      <c r="T39" s="79">
        <v>109</v>
      </c>
      <c r="U39" s="79">
        <v>110</v>
      </c>
      <c r="V39" s="79">
        <v>111</v>
      </c>
      <c r="W39" s="79">
        <v>112</v>
      </c>
      <c r="X39" s="79">
        <v>113</v>
      </c>
      <c r="Y39" s="79">
        <v>114</v>
      </c>
      <c r="Z39" s="79">
        <v>115</v>
      </c>
      <c r="AA39" s="79">
        <v>116</v>
      </c>
      <c r="AB39" s="79">
        <v>117</v>
      </c>
      <c r="AC39" s="79">
        <v>118</v>
      </c>
      <c r="AD39" s="79" t="str">
        <v/>
      </c>
      <c r="AE39" s="40"/>
      <c r="AF39" s="81" t="str">
        <v/>
      </c>
      <c r="AG39" s="82">
        <v>108</v>
      </c>
      <c r="AH39" s="82">
        <v>109</v>
      </c>
      <c r="AI39" s="82">
        <v>110</v>
      </c>
      <c r="AJ39" s="82">
        <v>111</v>
      </c>
      <c r="AK39" s="82">
        <v>112</v>
      </c>
      <c r="AL39" s="82">
        <v>113</v>
      </c>
      <c r="AM39" s="82">
        <v>114</v>
      </c>
      <c r="AN39" s="82">
        <v>115</v>
      </c>
      <c r="AO39" s="82">
        <v>116</v>
      </c>
      <c r="AP39" s="82">
        <v>117</v>
      </c>
      <c r="AQ39" s="82">
        <v>118</v>
      </c>
      <c r="AR39" s="82" t="str">
        <v/>
      </c>
      <c r="AS39" s="40"/>
      <c r="AT39" s="31"/>
      <c r="BB39" s="40"/>
    </row>
    <row r="40" spans="2:54" ht="13.8">
      <c r="R40" s="78" t="str">
        <v/>
      </c>
      <c r="S40" s="79">
        <v>123</v>
      </c>
      <c r="T40" s="79">
        <v>124</v>
      </c>
      <c r="U40" s="79">
        <v>125</v>
      </c>
      <c r="V40" s="79">
        <v>126</v>
      </c>
      <c r="W40" s="79">
        <v>127</v>
      </c>
      <c r="X40" s="79">
        <v>128</v>
      </c>
      <c r="Y40" s="79">
        <v>129</v>
      </c>
      <c r="Z40" s="79">
        <v>130</v>
      </c>
      <c r="AA40" s="79">
        <v>131</v>
      </c>
      <c r="AB40" s="79">
        <v>132</v>
      </c>
      <c r="AC40" s="79">
        <v>133</v>
      </c>
      <c r="AD40" s="79" t="str">
        <v/>
      </c>
      <c r="AE40" s="40"/>
      <c r="AF40" s="81" t="str">
        <v/>
      </c>
      <c r="AG40" s="82" t="str">
        <v/>
      </c>
      <c r="AH40" s="82">
        <v>124</v>
      </c>
      <c r="AI40" s="82">
        <v>125</v>
      </c>
      <c r="AJ40" s="82">
        <v>126</v>
      </c>
      <c r="AK40" s="82">
        <v>127</v>
      </c>
      <c r="AL40" s="82">
        <v>128</v>
      </c>
      <c r="AM40" s="82">
        <v>129</v>
      </c>
      <c r="AN40" s="82">
        <v>130</v>
      </c>
      <c r="AO40" s="82">
        <v>131</v>
      </c>
      <c r="AP40" s="82">
        <v>132</v>
      </c>
      <c r="AQ40" s="82" t="str">
        <v/>
      </c>
      <c r="AR40" s="82" t="str">
        <v/>
      </c>
      <c r="AS40" s="40"/>
      <c r="AT40" s="31"/>
      <c r="BB40" s="40"/>
    </row>
    <row r="41" spans="2:54" ht="13.8">
      <c r="R41" s="78" t="str">
        <v/>
      </c>
      <c r="S41" s="79">
        <v>138</v>
      </c>
      <c r="T41" s="79">
        <v>139</v>
      </c>
      <c r="U41" s="79">
        <v>140</v>
      </c>
      <c r="V41" s="79">
        <v>141</v>
      </c>
      <c r="W41" s="79">
        <v>142</v>
      </c>
      <c r="X41" s="79">
        <v>143</v>
      </c>
      <c r="Y41" s="79">
        <v>144</v>
      </c>
      <c r="Z41" s="79">
        <v>145</v>
      </c>
      <c r="AA41" s="79">
        <v>146</v>
      </c>
      <c r="AB41" s="79">
        <v>147</v>
      </c>
      <c r="AC41" s="79">
        <v>148</v>
      </c>
      <c r="AD41" s="79" t="str">
        <v/>
      </c>
      <c r="AE41" s="40"/>
      <c r="AF41" s="81" t="str">
        <v/>
      </c>
      <c r="AG41" s="82" t="str">
        <v/>
      </c>
      <c r="AH41" s="82" t="str">
        <v/>
      </c>
      <c r="AI41" s="82">
        <v>140</v>
      </c>
      <c r="AJ41" s="82">
        <v>141</v>
      </c>
      <c r="AK41" s="82">
        <v>142</v>
      </c>
      <c r="AL41" s="82">
        <v>143</v>
      </c>
      <c r="AM41" s="82">
        <v>144</v>
      </c>
      <c r="AN41" s="82">
        <v>145</v>
      </c>
      <c r="AO41" s="82">
        <v>146</v>
      </c>
      <c r="AP41" s="82" t="str">
        <v/>
      </c>
      <c r="AQ41" s="82" t="str">
        <v/>
      </c>
      <c r="AR41" s="82" t="str">
        <v/>
      </c>
      <c r="AS41" s="40"/>
      <c r="AT41" s="31"/>
      <c r="BB41" s="40"/>
    </row>
    <row r="42" spans="2:54" ht="13.8">
      <c r="R42" s="78" t="str">
        <v/>
      </c>
      <c r="S42" s="79" t="str">
        <v/>
      </c>
      <c r="T42" s="79">
        <v>154</v>
      </c>
      <c r="U42" s="79">
        <v>155</v>
      </c>
      <c r="V42" s="79">
        <v>156</v>
      </c>
      <c r="W42" s="79">
        <v>157</v>
      </c>
      <c r="X42" s="79">
        <v>158</v>
      </c>
      <c r="Y42" s="79">
        <v>159</v>
      </c>
      <c r="Z42" s="79">
        <v>160</v>
      </c>
      <c r="AA42" s="79">
        <v>161</v>
      </c>
      <c r="AB42" s="79">
        <v>162</v>
      </c>
      <c r="AC42" s="79" t="str">
        <v/>
      </c>
      <c r="AD42" s="79" t="str">
        <v/>
      </c>
      <c r="AE42" s="40"/>
      <c r="AF42" s="81" t="str">
        <v/>
      </c>
      <c r="AG42" s="82" t="str">
        <v/>
      </c>
      <c r="AH42" s="82" t="str">
        <v/>
      </c>
      <c r="AI42" s="82" t="str">
        <v/>
      </c>
      <c r="AJ42" s="82">
        <v>156</v>
      </c>
      <c r="AK42" s="82">
        <v>157</v>
      </c>
      <c r="AL42" s="82">
        <v>158</v>
      </c>
      <c r="AM42" s="82">
        <v>159</v>
      </c>
      <c r="AN42" s="82">
        <v>160</v>
      </c>
      <c r="AO42" s="82" t="str">
        <v/>
      </c>
      <c r="AP42" s="82" t="str">
        <v/>
      </c>
      <c r="AQ42" s="82" t="str">
        <v/>
      </c>
      <c r="AR42" s="82" t="str">
        <v/>
      </c>
      <c r="AS42" s="40"/>
      <c r="AT42" s="31"/>
      <c r="BB42" s="40"/>
    </row>
    <row r="43" spans="2:54" ht="13.8">
      <c r="R43" s="78" t="str">
        <v/>
      </c>
      <c r="S43" s="79" t="str">
        <v/>
      </c>
      <c r="T43" s="79" t="str">
        <v/>
      </c>
      <c r="U43" s="79">
        <v>170</v>
      </c>
      <c r="V43" s="79">
        <v>171</v>
      </c>
      <c r="W43" s="79">
        <v>172</v>
      </c>
      <c r="X43" s="79">
        <v>173</v>
      </c>
      <c r="Y43" s="79">
        <v>174</v>
      </c>
      <c r="Z43" s="79">
        <v>175</v>
      </c>
      <c r="AA43" s="79">
        <v>176</v>
      </c>
      <c r="AB43" s="79" t="str">
        <v/>
      </c>
      <c r="AC43" s="79" t="str">
        <v/>
      </c>
      <c r="AD43" s="79" t="str">
        <v/>
      </c>
      <c r="AE43" s="40"/>
      <c r="AF43" s="81" t="str">
        <v/>
      </c>
      <c r="AG43" s="82" t="str">
        <v/>
      </c>
      <c r="AH43" s="82" t="str">
        <v/>
      </c>
      <c r="AI43" s="82" t="str">
        <v/>
      </c>
      <c r="AJ43" s="82" t="str">
        <v/>
      </c>
      <c r="AK43" s="82">
        <v>172</v>
      </c>
      <c r="AL43" s="82">
        <v>173</v>
      </c>
      <c r="AM43" s="82">
        <v>174</v>
      </c>
      <c r="AN43" s="82" t="str">
        <v/>
      </c>
      <c r="AO43" s="82" t="str">
        <v/>
      </c>
      <c r="AP43" s="82" t="str">
        <v/>
      </c>
      <c r="AQ43" s="82" t="str">
        <v/>
      </c>
      <c r="AR43" s="82" t="str">
        <v/>
      </c>
      <c r="AS43" s="40"/>
      <c r="AT43" s="31"/>
      <c r="BB43" s="40"/>
    </row>
    <row r="44" spans="2:54" ht="13.8">
      <c r="R44" s="78" t="str">
        <v/>
      </c>
      <c r="S44" s="79" t="str">
        <v/>
      </c>
      <c r="T44" s="79" t="str">
        <v/>
      </c>
      <c r="U44" s="79" t="str">
        <v/>
      </c>
      <c r="V44" s="79" t="str">
        <v/>
      </c>
      <c r="W44" s="79" t="str">
        <v/>
      </c>
      <c r="X44" s="79">
        <v>188</v>
      </c>
      <c r="Y44" s="79" t="str">
        <v/>
      </c>
      <c r="Z44" s="79" t="str">
        <v/>
      </c>
      <c r="AA44" s="79" t="str">
        <v/>
      </c>
      <c r="AB44" s="79" t="str">
        <v/>
      </c>
      <c r="AC44" s="79" t="str">
        <v/>
      </c>
      <c r="AD44" s="79" t="str">
        <v/>
      </c>
      <c r="AE44" s="40"/>
      <c r="AF44" s="81" t="str">
        <v/>
      </c>
      <c r="AG44" s="82" t="str">
        <v/>
      </c>
      <c r="AH44" s="82" t="str">
        <v/>
      </c>
      <c r="AI44" s="82" t="str">
        <v/>
      </c>
      <c r="AJ44" s="82" t="str">
        <v/>
      </c>
      <c r="AK44" s="82" t="str">
        <v/>
      </c>
      <c r="AL44" s="82">
        <v>188</v>
      </c>
      <c r="AM44" s="82" t="str">
        <v/>
      </c>
      <c r="AN44" s="82" t="str">
        <v/>
      </c>
      <c r="AO44" s="82" t="str">
        <v/>
      </c>
      <c r="AP44" s="82" t="str">
        <v/>
      </c>
      <c r="AQ44" s="82" t="str">
        <v/>
      </c>
      <c r="AR44" s="82" t="str">
        <v/>
      </c>
      <c r="AS44" s="40"/>
      <c r="AT44" s="31"/>
      <c r="BB44" s="40"/>
    </row>
    <row r="45" spans="2:54">
      <c r="R45" s="32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43"/>
      <c r="AF45" s="32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5"/>
      <c r="AT45" s="32"/>
      <c r="AU45" s="33"/>
      <c r="AV45" s="33"/>
      <c r="AW45" s="33"/>
      <c r="AX45" s="33"/>
      <c r="AY45" s="33"/>
      <c r="AZ45" s="33"/>
      <c r="BA45" s="33"/>
      <c r="BB45" s="4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112F-03EA-4D6D-A9DD-C8E923741759}">
  <sheetPr>
    <tabColor theme="3" tint="0.89999084444715716"/>
  </sheetPr>
  <dimension ref="B2:AI42"/>
  <sheetViews>
    <sheetView workbookViewId="0"/>
  </sheetViews>
  <sheetFormatPr defaultColWidth="8.6484375" defaultRowHeight="12.3"/>
  <cols>
    <col min="1" max="1" width="5" style="20" customWidth="1"/>
    <col min="2" max="2" width="3.5" style="20" customWidth="1"/>
    <col min="3" max="12" width="3.5" style="20" bestFit="1" customWidth="1"/>
    <col min="13" max="13" width="4.6484375" style="20" customWidth="1"/>
    <col min="14" max="14" width="8.6484375" style="20"/>
    <col min="15" max="15" width="4.25" style="20" customWidth="1"/>
    <col min="16" max="29" width="3.5" style="20" bestFit="1" customWidth="1"/>
    <col min="30" max="30" width="3.8984375" style="20" customWidth="1"/>
    <col min="31" max="45" width="3.5" style="20" bestFit="1" customWidth="1"/>
    <col min="46" max="16384" width="8.6484375" style="20"/>
  </cols>
  <sheetData>
    <row r="2" spans="2:35" ht="14.4">
      <c r="B2" s="107" t="s">
        <v>81</v>
      </c>
    </row>
    <row r="4" spans="2:35" ht="14.4">
      <c r="O4" s="63"/>
      <c r="P4" s="64"/>
      <c r="Q4" s="26" t="s">
        <v>62</v>
      </c>
      <c r="R4" s="64"/>
      <c r="S4" s="64"/>
      <c r="T4" s="64"/>
      <c r="U4" s="64"/>
      <c r="V4" s="64"/>
      <c r="W4" s="64"/>
      <c r="X4" s="64"/>
      <c r="Y4" s="64"/>
      <c r="Z4" s="64"/>
      <c r="AA4" s="25"/>
      <c r="AB4" s="25"/>
      <c r="AC4" s="25"/>
      <c r="AD4" s="25"/>
      <c r="AE4" s="25"/>
      <c r="AF4" s="25"/>
      <c r="AG4" s="25"/>
      <c r="AH4" s="25"/>
      <c r="AI4" s="37"/>
    </row>
    <row r="5" spans="2:35" ht="14.4">
      <c r="B5" s="23" t="s">
        <v>75</v>
      </c>
      <c r="O5" s="44" t="s">
        <v>76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23" t="s">
        <v>77</v>
      </c>
      <c r="AI5" s="40"/>
    </row>
    <row r="6" spans="2:35" ht="13.8">
      <c r="B6" s="87">
        <v>1</v>
      </c>
      <c r="C6" s="87">
        <v>2</v>
      </c>
      <c r="D6" s="87">
        <v>3</v>
      </c>
      <c r="E6" s="87">
        <v>4</v>
      </c>
      <c r="F6" s="87">
        <v>5</v>
      </c>
      <c r="G6" s="87">
        <v>6</v>
      </c>
      <c r="H6" s="87">
        <v>7</v>
      </c>
      <c r="I6" s="87">
        <v>8</v>
      </c>
      <c r="J6" s="87">
        <v>9</v>
      </c>
      <c r="K6" s="87">
        <v>10</v>
      </c>
      <c r="L6" s="19"/>
      <c r="M6" s="19"/>
      <c r="O6" s="88" cm="1">
        <f t="array" ref="O6:X15">Pyramidλ(SeqGrid,1)</f>
        <v>1</v>
      </c>
      <c r="P6" s="89">
        <v>2</v>
      </c>
      <c r="Q6" s="89">
        <v>3</v>
      </c>
      <c r="R6" s="89">
        <v>4</v>
      </c>
      <c r="S6" s="89">
        <v>5</v>
      </c>
      <c r="T6" s="89">
        <v>6</v>
      </c>
      <c r="U6" s="89">
        <v>7</v>
      </c>
      <c r="V6" s="89">
        <v>8</v>
      </c>
      <c r="W6" s="89">
        <v>9</v>
      </c>
      <c r="X6" s="89">
        <v>10</v>
      </c>
      <c r="Y6" s="21"/>
      <c r="Z6" s="89" t="str" cm="1">
        <f t="array" ref="Z6:AI15">Pyramidλ(SeqGrid,2)</f>
        <v/>
      </c>
      <c r="AA6" s="89" t="str">
        <v/>
      </c>
      <c r="AB6" s="89" t="str">
        <v/>
      </c>
      <c r="AC6" s="89" t="str">
        <v/>
      </c>
      <c r="AD6" s="89" t="str">
        <v/>
      </c>
      <c r="AE6" s="89" t="str">
        <v/>
      </c>
      <c r="AF6" s="89" t="str">
        <v/>
      </c>
      <c r="AG6" s="89" t="str">
        <v/>
      </c>
      <c r="AH6" s="89" t="str">
        <v/>
      </c>
      <c r="AI6" s="90">
        <v>10</v>
      </c>
    </row>
    <row r="7" spans="2:35" ht="13.8">
      <c r="B7" s="87">
        <v>16</v>
      </c>
      <c r="C7" s="87">
        <v>17</v>
      </c>
      <c r="D7" s="87">
        <v>18</v>
      </c>
      <c r="E7" s="87">
        <v>19</v>
      </c>
      <c r="F7" s="87">
        <v>20</v>
      </c>
      <c r="G7" s="87">
        <v>21</v>
      </c>
      <c r="H7" s="87">
        <v>22</v>
      </c>
      <c r="I7" s="87">
        <v>23</v>
      </c>
      <c r="J7" s="87">
        <v>24</v>
      </c>
      <c r="K7" s="87">
        <v>25</v>
      </c>
      <c r="L7" s="19"/>
      <c r="M7" s="19"/>
      <c r="O7" s="88" t="str">
        <v/>
      </c>
      <c r="P7" s="89">
        <v>17</v>
      </c>
      <c r="Q7" s="89">
        <v>18</v>
      </c>
      <c r="R7" s="89">
        <v>19</v>
      </c>
      <c r="S7" s="89">
        <v>20</v>
      </c>
      <c r="T7" s="89">
        <v>21</v>
      </c>
      <c r="U7" s="89">
        <v>22</v>
      </c>
      <c r="V7" s="89">
        <v>23</v>
      </c>
      <c r="W7" s="89">
        <v>24</v>
      </c>
      <c r="X7" s="89">
        <v>25</v>
      </c>
      <c r="Y7" s="21"/>
      <c r="Z7" s="89" t="str">
        <v/>
      </c>
      <c r="AA7" s="89" t="str">
        <v/>
      </c>
      <c r="AB7" s="89" t="str">
        <v/>
      </c>
      <c r="AC7" s="89" t="str">
        <v/>
      </c>
      <c r="AD7" s="89" t="str">
        <v/>
      </c>
      <c r="AE7" s="89" t="str">
        <v/>
      </c>
      <c r="AF7" s="89" t="str">
        <v/>
      </c>
      <c r="AG7" s="89" t="str">
        <v/>
      </c>
      <c r="AH7" s="89">
        <v>24</v>
      </c>
      <c r="AI7" s="90">
        <v>25</v>
      </c>
    </row>
    <row r="8" spans="2:35" ht="13.8">
      <c r="B8" s="87">
        <v>31</v>
      </c>
      <c r="C8" s="87">
        <v>32</v>
      </c>
      <c r="D8" s="87">
        <v>33</v>
      </c>
      <c r="E8" s="87">
        <v>34</v>
      </c>
      <c r="F8" s="87">
        <v>35</v>
      </c>
      <c r="G8" s="87">
        <v>36</v>
      </c>
      <c r="H8" s="87">
        <v>37</v>
      </c>
      <c r="I8" s="87">
        <v>38</v>
      </c>
      <c r="J8" s="87">
        <v>39</v>
      </c>
      <c r="K8" s="87">
        <v>40</v>
      </c>
      <c r="L8" s="19"/>
      <c r="M8" s="19"/>
      <c r="O8" s="88" t="str">
        <v/>
      </c>
      <c r="P8" s="89" t="str">
        <v/>
      </c>
      <c r="Q8" s="89">
        <v>33</v>
      </c>
      <c r="R8" s="89">
        <v>34</v>
      </c>
      <c r="S8" s="89">
        <v>35</v>
      </c>
      <c r="T8" s="89">
        <v>36</v>
      </c>
      <c r="U8" s="89">
        <v>37</v>
      </c>
      <c r="V8" s="89">
        <v>38</v>
      </c>
      <c r="W8" s="89">
        <v>39</v>
      </c>
      <c r="X8" s="89">
        <v>40</v>
      </c>
      <c r="Y8" s="21"/>
      <c r="Z8" s="89" t="str">
        <v/>
      </c>
      <c r="AA8" s="89" t="str">
        <v/>
      </c>
      <c r="AB8" s="89" t="str">
        <v/>
      </c>
      <c r="AC8" s="89" t="str">
        <v/>
      </c>
      <c r="AD8" s="89" t="str">
        <v/>
      </c>
      <c r="AE8" s="89" t="str">
        <v/>
      </c>
      <c r="AF8" s="89" t="str">
        <v/>
      </c>
      <c r="AG8" s="89">
        <v>38</v>
      </c>
      <c r="AH8" s="89">
        <v>39</v>
      </c>
      <c r="AI8" s="90">
        <v>40</v>
      </c>
    </row>
    <row r="9" spans="2:35" ht="13.8">
      <c r="B9" s="87">
        <v>46</v>
      </c>
      <c r="C9" s="87">
        <v>47</v>
      </c>
      <c r="D9" s="87">
        <v>48</v>
      </c>
      <c r="E9" s="87">
        <v>49</v>
      </c>
      <c r="F9" s="87">
        <v>50</v>
      </c>
      <c r="G9" s="87">
        <v>51</v>
      </c>
      <c r="H9" s="87">
        <v>52</v>
      </c>
      <c r="I9" s="87">
        <v>53</v>
      </c>
      <c r="J9" s="87">
        <v>54</v>
      </c>
      <c r="K9" s="87">
        <v>55</v>
      </c>
      <c r="L9" s="19"/>
      <c r="M9" s="19"/>
      <c r="O9" s="88" t="str">
        <v/>
      </c>
      <c r="P9" s="89" t="str">
        <v/>
      </c>
      <c r="Q9" s="89" t="str">
        <v/>
      </c>
      <c r="R9" s="89">
        <v>49</v>
      </c>
      <c r="S9" s="89">
        <v>50</v>
      </c>
      <c r="T9" s="89">
        <v>51</v>
      </c>
      <c r="U9" s="89">
        <v>52</v>
      </c>
      <c r="V9" s="89">
        <v>53</v>
      </c>
      <c r="W9" s="89">
        <v>54</v>
      </c>
      <c r="X9" s="89">
        <v>55</v>
      </c>
      <c r="Y9" s="21"/>
      <c r="Z9" s="89" t="str">
        <v/>
      </c>
      <c r="AA9" s="89" t="str">
        <v/>
      </c>
      <c r="AB9" s="89" t="str">
        <v/>
      </c>
      <c r="AC9" s="89" t="str">
        <v/>
      </c>
      <c r="AD9" s="89" t="str">
        <v/>
      </c>
      <c r="AE9" s="89" t="str">
        <v/>
      </c>
      <c r="AF9" s="89">
        <v>52</v>
      </c>
      <c r="AG9" s="89">
        <v>53</v>
      </c>
      <c r="AH9" s="89">
        <v>54</v>
      </c>
      <c r="AI9" s="90">
        <v>55</v>
      </c>
    </row>
    <row r="10" spans="2:35" ht="13.8">
      <c r="B10" s="87">
        <v>61</v>
      </c>
      <c r="C10" s="87">
        <v>62</v>
      </c>
      <c r="D10" s="87">
        <v>63</v>
      </c>
      <c r="E10" s="87">
        <v>64</v>
      </c>
      <c r="F10" s="87">
        <v>65</v>
      </c>
      <c r="G10" s="87">
        <v>66</v>
      </c>
      <c r="H10" s="87">
        <v>67</v>
      </c>
      <c r="I10" s="87">
        <v>68</v>
      </c>
      <c r="J10" s="87">
        <v>69</v>
      </c>
      <c r="K10" s="87">
        <v>70</v>
      </c>
      <c r="L10" s="19"/>
      <c r="M10" s="19"/>
      <c r="O10" s="88" t="str">
        <v/>
      </c>
      <c r="P10" s="89" t="str">
        <v/>
      </c>
      <c r="Q10" s="89" t="str">
        <v/>
      </c>
      <c r="R10" s="89" t="str">
        <v/>
      </c>
      <c r="S10" s="89">
        <v>65</v>
      </c>
      <c r="T10" s="89">
        <v>66</v>
      </c>
      <c r="U10" s="89">
        <v>67</v>
      </c>
      <c r="V10" s="89">
        <v>68</v>
      </c>
      <c r="W10" s="89">
        <v>69</v>
      </c>
      <c r="X10" s="89">
        <v>70</v>
      </c>
      <c r="Y10" s="21"/>
      <c r="Z10" s="89" t="str">
        <v/>
      </c>
      <c r="AA10" s="89" t="str">
        <v/>
      </c>
      <c r="AB10" s="89" t="str">
        <v/>
      </c>
      <c r="AC10" s="89" t="str">
        <v/>
      </c>
      <c r="AD10" s="89" t="str">
        <v/>
      </c>
      <c r="AE10" s="89">
        <v>66</v>
      </c>
      <c r="AF10" s="89">
        <v>67</v>
      </c>
      <c r="AG10" s="89">
        <v>68</v>
      </c>
      <c r="AH10" s="89">
        <v>69</v>
      </c>
      <c r="AI10" s="90">
        <v>70</v>
      </c>
    </row>
    <row r="11" spans="2:35" ht="13.8">
      <c r="B11" s="87">
        <v>76</v>
      </c>
      <c r="C11" s="87">
        <v>77</v>
      </c>
      <c r="D11" s="87">
        <v>78</v>
      </c>
      <c r="E11" s="87">
        <v>79</v>
      </c>
      <c r="F11" s="87">
        <v>80</v>
      </c>
      <c r="G11" s="87">
        <v>81</v>
      </c>
      <c r="H11" s="87">
        <v>82</v>
      </c>
      <c r="I11" s="87">
        <v>83</v>
      </c>
      <c r="J11" s="87">
        <v>84</v>
      </c>
      <c r="K11" s="87">
        <v>85</v>
      </c>
      <c r="L11" s="19"/>
      <c r="M11" s="19"/>
      <c r="O11" s="88" t="str">
        <v/>
      </c>
      <c r="P11" s="89" t="str">
        <v/>
      </c>
      <c r="Q11" s="89" t="str">
        <v/>
      </c>
      <c r="R11" s="89" t="str">
        <v/>
      </c>
      <c r="S11" s="89" t="str">
        <v/>
      </c>
      <c r="T11" s="89">
        <v>81</v>
      </c>
      <c r="U11" s="89">
        <v>82</v>
      </c>
      <c r="V11" s="89">
        <v>83</v>
      </c>
      <c r="W11" s="89">
        <v>84</v>
      </c>
      <c r="X11" s="89">
        <v>85</v>
      </c>
      <c r="Y11" s="21"/>
      <c r="Z11" s="89" t="str">
        <v/>
      </c>
      <c r="AA11" s="89" t="str">
        <v/>
      </c>
      <c r="AB11" s="89" t="str">
        <v/>
      </c>
      <c r="AC11" s="89" t="str">
        <v/>
      </c>
      <c r="AD11" s="89">
        <v>80</v>
      </c>
      <c r="AE11" s="89">
        <v>81</v>
      </c>
      <c r="AF11" s="89">
        <v>82</v>
      </c>
      <c r="AG11" s="89">
        <v>83</v>
      </c>
      <c r="AH11" s="89">
        <v>84</v>
      </c>
      <c r="AI11" s="90">
        <v>85</v>
      </c>
    </row>
    <row r="12" spans="2:35" ht="13.8">
      <c r="B12" s="87">
        <v>91</v>
      </c>
      <c r="C12" s="87">
        <v>92</v>
      </c>
      <c r="D12" s="87">
        <v>93</v>
      </c>
      <c r="E12" s="87">
        <v>94</v>
      </c>
      <c r="F12" s="87">
        <v>95</v>
      </c>
      <c r="G12" s="87">
        <v>96</v>
      </c>
      <c r="H12" s="87">
        <v>97</v>
      </c>
      <c r="I12" s="87">
        <v>98</v>
      </c>
      <c r="J12" s="87">
        <v>99</v>
      </c>
      <c r="K12" s="87">
        <v>100</v>
      </c>
      <c r="L12" s="19"/>
      <c r="M12" s="19"/>
      <c r="O12" s="88" t="str">
        <v/>
      </c>
      <c r="P12" s="89" t="str">
        <v/>
      </c>
      <c r="Q12" s="89" t="str">
        <v/>
      </c>
      <c r="R12" s="89" t="str">
        <v/>
      </c>
      <c r="S12" s="89" t="str">
        <v/>
      </c>
      <c r="T12" s="89" t="str">
        <v/>
      </c>
      <c r="U12" s="89">
        <v>97</v>
      </c>
      <c r="V12" s="89">
        <v>98</v>
      </c>
      <c r="W12" s="89">
        <v>99</v>
      </c>
      <c r="X12" s="89">
        <v>100</v>
      </c>
      <c r="Y12" s="21"/>
      <c r="Z12" s="89" t="str">
        <v/>
      </c>
      <c r="AA12" s="89" t="str">
        <v/>
      </c>
      <c r="AB12" s="89" t="str">
        <v/>
      </c>
      <c r="AC12" s="89">
        <v>94</v>
      </c>
      <c r="AD12" s="89">
        <v>95</v>
      </c>
      <c r="AE12" s="89">
        <v>96</v>
      </c>
      <c r="AF12" s="89">
        <v>97</v>
      </c>
      <c r="AG12" s="89">
        <v>98</v>
      </c>
      <c r="AH12" s="89">
        <v>99</v>
      </c>
      <c r="AI12" s="90">
        <v>100</v>
      </c>
    </row>
    <row r="13" spans="2:35" ht="13.8">
      <c r="B13" s="87">
        <v>106</v>
      </c>
      <c r="C13" s="87">
        <v>107</v>
      </c>
      <c r="D13" s="87">
        <v>108</v>
      </c>
      <c r="E13" s="87">
        <v>109</v>
      </c>
      <c r="F13" s="87">
        <v>110</v>
      </c>
      <c r="G13" s="87">
        <v>111</v>
      </c>
      <c r="H13" s="87">
        <v>112</v>
      </c>
      <c r="I13" s="87">
        <v>113</v>
      </c>
      <c r="J13" s="87">
        <v>114</v>
      </c>
      <c r="K13" s="87">
        <v>115</v>
      </c>
      <c r="L13" s="19"/>
      <c r="M13" s="19"/>
      <c r="O13" s="88" t="str">
        <v/>
      </c>
      <c r="P13" s="89" t="str">
        <v/>
      </c>
      <c r="Q13" s="89" t="str">
        <v/>
      </c>
      <c r="R13" s="89" t="str">
        <v/>
      </c>
      <c r="S13" s="89" t="str">
        <v/>
      </c>
      <c r="T13" s="89" t="str">
        <v/>
      </c>
      <c r="U13" s="89" t="str">
        <v/>
      </c>
      <c r="V13" s="89">
        <v>113</v>
      </c>
      <c r="W13" s="89">
        <v>114</v>
      </c>
      <c r="X13" s="89">
        <v>115</v>
      </c>
      <c r="Y13" s="21"/>
      <c r="Z13" s="89" t="str">
        <v/>
      </c>
      <c r="AA13" s="89" t="str">
        <v/>
      </c>
      <c r="AB13" s="89">
        <v>108</v>
      </c>
      <c r="AC13" s="89">
        <v>109</v>
      </c>
      <c r="AD13" s="89">
        <v>110</v>
      </c>
      <c r="AE13" s="89">
        <v>111</v>
      </c>
      <c r="AF13" s="89">
        <v>112</v>
      </c>
      <c r="AG13" s="89">
        <v>113</v>
      </c>
      <c r="AH13" s="89">
        <v>114</v>
      </c>
      <c r="AI13" s="90">
        <v>115</v>
      </c>
    </row>
    <row r="14" spans="2:35" ht="13.8">
      <c r="B14" s="87">
        <v>121</v>
      </c>
      <c r="C14" s="87">
        <v>122</v>
      </c>
      <c r="D14" s="87">
        <v>123</v>
      </c>
      <c r="E14" s="87">
        <v>124</v>
      </c>
      <c r="F14" s="87">
        <v>125</v>
      </c>
      <c r="G14" s="87">
        <v>126</v>
      </c>
      <c r="H14" s="87">
        <v>127</v>
      </c>
      <c r="I14" s="87">
        <v>128</v>
      </c>
      <c r="J14" s="87">
        <v>129</v>
      </c>
      <c r="K14" s="87">
        <v>130</v>
      </c>
      <c r="L14" s="19"/>
      <c r="M14" s="19"/>
      <c r="O14" s="88" t="str">
        <v/>
      </c>
      <c r="P14" s="89" t="str">
        <v/>
      </c>
      <c r="Q14" s="89" t="str">
        <v/>
      </c>
      <c r="R14" s="89" t="str">
        <v/>
      </c>
      <c r="S14" s="89" t="str">
        <v/>
      </c>
      <c r="T14" s="89" t="str">
        <v/>
      </c>
      <c r="U14" s="89" t="str">
        <v/>
      </c>
      <c r="V14" s="89" t="str">
        <v/>
      </c>
      <c r="W14" s="89">
        <v>129</v>
      </c>
      <c r="X14" s="89">
        <v>130</v>
      </c>
      <c r="Y14" s="21"/>
      <c r="Z14" s="89" t="str">
        <v/>
      </c>
      <c r="AA14" s="89">
        <v>122</v>
      </c>
      <c r="AB14" s="89">
        <v>123</v>
      </c>
      <c r="AC14" s="89">
        <v>124</v>
      </c>
      <c r="AD14" s="89">
        <v>125</v>
      </c>
      <c r="AE14" s="89">
        <v>126</v>
      </c>
      <c r="AF14" s="89">
        <v>127</v>
      </c>
      <c r="AG14" s="89">
        <v>128</v>
      </c>
      <c r="AH14" s="89">
        <v>129</v>
      </c>
      <c r="AI14" s="90">
        <v>130</v>
      </c>
    </row>
    <row r="15" spans="2:35" ht="13.8">
      <c r="B15" s="87">
        <v>136</v>
      </c>
      <c r="C15" s="87">
        <v>137</v>
      </c>
      <c r="D15" s="87">
        <v>138</v>
      </c>
      <c r="E15" s="87">
        <v>139</v>
      </c>
      <c r="F15" s="87">
        <v>140</v>
      </c>
      <c r="G15" s="87">
        <v>141</v>
      </c>
      <c r="H15" s="87">
        <v>142</v>
      </c>
      <c r="I15" s="87">
        <v>143</v>
      </c>
      <c r="J15" s="87">
        <v>144</v>
      </c>
      <c r="K15" s="87">
        <v>145</v>
      </c>
      <c r="L15" s="19"/>
      <c r="M15" s="19"/>
      <c r="O15" s="88" t="str">
        <v/>
      </c>
      <c r="P15" s="89" t="str">
        <v/>
      </c>
      <c r="Q15" s="89" t="str">
        <v/>
      </c>
      <c r="R15" s="89" t="str">
        <v/>
      </c>
      <c r="S15" s="89" t="str">
        <v/>
      </c>
      <c r="T15" s="89" t="str">
        <v/>
      </c>
      <c r="U15" s="89" t="str">
        <v/>
      </c>
      <c r="V15" s="89" t="str">
        <v/>
      </c>
      <c r="W15" s="89" t="str">
        <v/>
      </c>
      <c r="X15" s="89">
        <v>145</v>
      </c>
      <c r="Y15" s="21"/>
      <c r="Z15" s="89">
        <v>136</v>
      </c>
      <c r="AA15" s="89">
        <v>137</v>
      </c>
      <c r="AB15" s="89">
        <v>138</v>
      </c>
      <c r="AC15" s="89">
        <v>139</v>
      </c>
      <c r="AD15" s="89">
        <v>140</v>
      </c>
      <c r="AE15" s="89">
        <v>141</v>
      </c>
      <c r="AF15" s="89">
        <v>142</v>
      </c>
      <c r="AG15" s="89">
        <v>143</v>
      </c>
      <c r="AH15" s="89">
        <v>144</v>
      </c>
      <c r="AI15" s="90">
        <v>145</v>
      </c>
    </row>
    <row r="16" spans="2:35" ht="13.8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O16" s="4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30"/>
    </row>
    <row r="17" spans="2:35" ht="14.4">
      <c r="B17" s="66" t="s">
        <v>63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37"/>
      <c r="O17" s="23" t="s">
        <v>78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3" t="s">
        <v>79</v>
      </c>
      <c r="AA17" s="21"/>
      <c r="AB17" s="21"/>
      <c r="AC17" s="21"/>
      <c r="AD17" s="21"/>
      <c r="AE17" s="21"/>
      <c r="AF17" s="21"/>
      <c r="AG17" s="21"/>
      <c r="AH17" s="21"/>
      <c r="AI17" s="30"/>
    </row>
    <row r="18" spans="2:35" ht="14.4">
      <c r="B18" s="44" t="s">
        <v>65</v>
      </c>
      <c r="M18" s="40"/>
      <c r="O18" s="88" cm="1">
        <f t="array" ref="O18:X27">Pyramidλ(SeqGrid,3)</f>
        <v>1</v>
      </c>
      <c r="P18" s="89" t="str">
        <v/>
      </c>
      <c r="Q18" s="89" t="str">
        <v/>
      </c>
      <c r="R18" s="89" t="str">
        <v/>
      </c>
      <c r="S18" s="89" t="str">
        <v/>
      </c>
      <c r="T18" s="89" t="str">
        <v/>
      </c>
      <c r="U18" s="89" t="str">
        <v/>
      </c>
      <c r="V18" s="89" t="str">
        <v/>
      </c>
      <c r="W18" s="89" t="str">
        <v/>
      </c>
      <c r="X18" s="89" t="str">
        <v/>
      </c>
      <c r="Y18" s="21"/>
      <c r="Z18" s="89" cm="1">
        <f t="array" ref="Z18:AI27">Pyramidλ(SeqGrid,4)</f>
        <v>1</v>
      </c>
      <c r="AA18" s="89">
        <v>2</v>
      </c>
      <c r="AB18" s="89">
        <v>3</v>
      </c>
      <c r="AC18" s="89">
        <v>4</v>
      </c>
      <c r="AD18" s="89">
        <v>5</v>
      </c>
      <c r="AE18" s="89">
        <v>6</v>
      </c>
      <c r="AF18" s="89">
        <v>7</v>
      </c>
      <c r="AG18" s="89">
        <v>8</v>
      </c>
      <c r="AH18" s="89">
        <v>9</v>
      </c>
      <c r="AI18" s="90">
        <v>10</v>
      </c>
    </row>
    <row r="19" spans="2:35">
      <c r="B19" s="91" t="str" cm="1">
        <f t="array" ref="B19:H25">Diamondλ(SeqGrid,{4,5},3,"")</f>
        <v/>
      </c>
      <c r="C19" s="92" t="str">
        <v/>
      </c>
      <c r="D19" s="92" t="str">
        <v/>
      </c>
      <c r="E19" s="92">
        <v>5</v>
      </c>
      <c r="F19" s="92" t="str">
        <v/>
      </c>
      <c r="G19" s="92" t="str">
        <v/>
      </c>
      <c r="H19" s="92" t="str">
        <v/>
      </c>
      <c r="M19" s="40"/>
      <c r="O19" s="88">
        <v>16</v>
      </c>
      <c r="P19" s="89">
        <v>17</v>
      </c>
      <c r="Q19" s="89" t="str">
        <v/>
      </c>
      <c r="R19" s="89" t="str">
        <v/>
      </c>
      <c r="S19" s="89" t="str">
        <v/>
      </c>
      <c r="T19" s="89" t="str">
        <v/>
      </c>
      <c r="U19" s="89" t="str">
        <v/>
      </c>
      <c r="V19" s="89" t="str">
        <v/>
      </c>
      <c r="W19" s="89" t="str">
        <v/>
      </c>
      <c r="X19" s="89" t="str">
        <v/>
      </c>
      <c r="Y19" s="21"/>
      <c r="Z19" s="89">
        <v>16</v>
      </c>
      <c r="AA19" s="89">
        <v>17</v>
      </c>
      <c r="AB19" s="89">
        <v>18</v>
      </c>
      <c r="AC19" s="89">
        <v>19</v>
      </c>
      <c r="AD19" s="89">
        <v>20</v>
      </c>
      <c r="AE19" s="89">
        <v>21</v>
      </c>
      <c r="AF19" s="89">
        <v>22</v>
      </c>
      <c r="AG19" s="89">
        <v>23</v>
      </c>
      <c r="AH19" s="89">
        <v>24</v>
      </c>
      <c r="AI19" s="90" t="str">
        <v/>
      </c>
    </row>
    <row r="20" spans="2:35">
      <c r="B20" s="91" t="str">
        <v/>
      </c>
      <c r="C20" s="92" t="str">
        <v/>
      </c>
      <c r="D20" s="92">
        <v>19</v>
      </c>
      <c r="E20" s="92">
        <v>20</v>
      </c>
      <c r="F20" s="92">
        <v>21</v>
      </c>
      <c r="G20" s="92" t="str">
        <v/>
      </c>
      <c r="H20" s="92" t="str">
        <v/>
      </c>
      <c r="M20" s="40"/>
      <c r="O20" s="88">
        <v>31</v>
      </c>
      <c r="P20" s="89">
        <v>32</v>
      </c>
      <c r="Q20" s="89">
        <v>33</v>
      </c>
      <c r="R20" s="89" t="str">
        <v/>
      </c>
      <c r="S20" s="89" t="str">
        <v/>
      </c>
      <c r="T20" s="89" t="str">
        <v/>
      </c>
      <c r="U20" s="89" t="str">
        <v/>
      </c>
      <c r="V20" s="89" t="str">
        <v/>
      </c>
      <c r="W20" s="89" t="str">
        <v/>
      </c>
      <c r="X20" s="89" t="str">
        <v/>
      </c>
      <c r="Y20" s="21"/>
      <c r="Z20" s="89">
        <v>31</v>
      </c>
      <c r="AA20" s="89">
        <v>32</v>
      </c>
      <c r="AB20" s="89">
        <v>33</v>
      </c>
      <c r="AC20" s="89">
        <v>34</v>
      </c>
      <c r="AD20" s="89">
        <v>35</v>
      </c>
      <c r="AE20" s="89">
        <v>36</v>
      </c>
      <c r="AF20" s="89">
        <v>37</v>
      </c>
      <c r="AG20" s="89">
        <v>38</v>
      </c>
      <c r="AH20" s="89" t="str">
        <v/>
      </c>
      <c r="AI20" s="90" t="str">
        <v/>
      </c>
    </row>
    <row r="21" spans="2:35">
      <c r="B21" s="91" t="str">
        <v/>
      </c>
      <c r="C21" s="92">
        <v>33</v>
      </c>
      <c r="D21" s="92">
        <v>34</v>
      </c>
      <c r="E21" s="92">
        <v>35</v>
      </c>
      <c r="F21" s="92">
        <v>36</v>
      </c>
      <c r="G21" s="92">
        <v>37</v>
      </c>
      <c r="H21" s="92" t="str">
        <v/>
      </c>
      <c r="M21" s="40"/>
      <c r="O21" s="88">
        <v>46</v>
      </c>
      <c r="P21" s="89">
        <v>47</v>
      </c>
      <c r="Q21" s="89">
        <v>48</v>
      </c>
      <c r="R21" s="89">
        <v>49</v>
      </c>
      <c r="S21" s="89" t="str">
        <v/>
      </c>
      <c r="T21" s="89" t="str">
        <v/>
      </c>
      <c r="U21" s="89" t="str">
        <v/>
      </c>
      <c r="V21" s="89" t="str">
        <v/>
      </c>
      <c r="W21" s="89" t="str">
        <v/>
      </c>
      <c r="X21" s="89" t="str">
        <v/>
      </c>
      <c r="Y21" s="21"/>
      <c r="Z21" s="89">
        <v>46</v>
      </c>
      <c r="AA21" s="89">
        <v>47</v>
      </c>
      <c r="AB21" s="89">
        <v>48</v>
      </c>
      <c r="AC21" s="89">
        <v>49</v>
      </c>
      <c r="AD21" s="89">
        <v>50</v>
      </c>
      <c r="AE21" s="89">
        <v>51</v>
      </c>
      <c r="AF21" s="89">
        <v>52</v>
      </c>
      <c r="AG21" s="89" t="str">
        <v/>
      </c>
      <c r="AH21" s="89" t="str">
        <v/>
      </c>
      <c r="AI21" s="90" t="str">
        <v/>
      </c>
    </row>
    <row r="22" spans="2:35">
      <c r="B22" s="91">
        <v>47</v>
      </c>
      <c r="C22" s="92">
        <v>48</v>
      </c>
      <c r="D22" s="92">
        <v>49</v>
      </c>
      <c r="E22" s="92">
        <v>50</v>
      </c>
      <c r="F22" s="92">
        <v>51</v>
      </c>
      <c r="G22" s="92">
        <v>52</v>
      </c>
      <c r="H22" s="92">
        <v>53</v>
      </c>
      <c r="M22" s="40"/>
      <c r="O22" s="88">
        <v>61</v>
      </c>
      <c r="P22" s="89">
        <v>62</v>
      </c>
      <c r="Q22" s="89">
        <v>63</v>
      </c>
      <c r="R22" s="89">
        <v>64</v>
      </c>
      <c r="S22" s="89">
        <v>65</v>
      </c>
      <c r="T22" s="89" t="str">
        <v/>
      </c>
      <c r="U22" s="89" t="str">
        <v/>
      </c>
      <c r="V22" s="89" t="str">
        <v/>
      </c>
      <c r="W22" s="89" t="str">
        <v/>
      </c>
      <c r="X22" s="89" t="str">
        <v/>
      </c>
      <c r="Y22" s="21"/>
      <c r="Z22" s="89">
        <v>61</v>
      </c>
      <c r="AA22" s="89">
        <v>62</v>
      </c>
      <c r="AB22" s="89">
        <v>63</v>
      </c>
      <c r="AC22" s="89">
        <v>64</v>
      </c>
      <c r="AD22" s="89">
        <v>65</v>
      </c>
      <c r="AE22" s="89">
        <v>66</v>
      </c>
      <c r="AF22" s="89" t="str">
        <v/>
      </c>
      <c r="AG22" s="89" t="str">
        <v/>
      </c>
      <c r="AH22" s="89" t="str">
        <v/>
      </c>
      <c r="AI22" s="90" t="str">
        <v/>
      </c>
    </row>
    <row r="23" spans="2:35">
      <c r="B23" s="91" t="str">
        <v/>
      </c>
      <c r="C23" s="92">
        <v>63</v>
      </c>
      <c r="D23" s="92">
        <v>64</v>
      </c>
      <c r="E23" s="92">
        <v>65</v>
      </c>
      <c r="F23" s="92">
        <v>66</v>
      </c>
      <c r="G23" s="92">
        <v>67</v>
      </c>
      <c r="H23" s="92" t="str">
        <v/>
      </c>
      <c r="M23" s="40"/>
      <c r="O23" s="88">
        <v>76</v>
      </c>
      <c r="P23" s="89">
        <v>77</v>
      </c>
      <c r="Q23" s="89">
        <v>78</v>
      </c>
      <c r="R23" s="89">
        <v>79</v>
      </c>
      <c r="S23" s="89">
        <v>80</v>
      </c>
      <c r="T23" s="89">
        <v>81</v>
      </c>
      <c r="U23" s="89" t="str">
        <v/>
      </c>
      <c r="V23" s="89" t="str">
        <v/>
      </c>
      <c r="W23" s="89" t="str">
        <v/>
      </c>
      <c r="X23" s="89" t="str">
        <v/>
      </c>
      <c r="Y23" s="21"/>
      <c r="Z23" s="89">
        <v>76</v>
      </c>
      <c r="AA23" s="89">
        <v>77</v>
      </c>
      <c r="AB23" s="89">
        <v>78</v>
      </c>
      <c r="AC23" s="89">
        <v>79</v>
      </c>
      <c r="AD23" s="89">
        <v>80</v>
      </c>
      <c r="AE23" s="89" t="str">
        <v/>
      </c>
      <c r="AF23" s="89" t="str">
        <v/>
      </c>
      <c r="AG23" s="89" t="str">
        <v/>
      </c>
      <c r="AH23" s="89" t="str">
        <v/>
      </c>
      <c r="AI23" s="90" t="str">
        <v/>
      </c>
    </row>
    <row r="24" spans="2:35">
      <c r="B24" s="91" t="str">
        <v/>
      </c>
      <c r="C24" s="92" t="str">
        <v/>
      </c>
      <c r="D24" s="92">
        <v>79</v>
      </c>
      <c r="E24" s="92">
        <v>80</v>
      </c>
      <c r="F24" s="92">
        <v>81</v>
      </c>
      <c r="G24" s="92" t="str">
        <v/>
      </c>
      <c r="H24" s="92" t="str">
        <v/>
      </c>
      <c r="M24" s="40"/>
      <c r="O24" s="88">
        <v>91</v>
      </c>
      <c r="P24" s="89">
        <v>92</v>
      </c>
      <c r="Q24" s="89">
        <v>93</v>
      </c>
      <c r="R24" s="89">
        <v>94</v>
      </c>
      <c r="S24" s="89">
        <v>95</v>
      </c>
      <c r="T24" s="89">
        <v>96</v>
      </c>
      <c r="U24" s="89">
        <v>97</v>
      </c>
      <c r="V24" s="89" t="str">
        <v/>
      </c>
      <c r="W24" s="89" t="str">
        <v/>
      </c>
      <c r="X24" s="89" t="str">
        <v/>
      </c>
      <c r="Y24" s="21"/>
      <c r="Z24" s="89">
        <v>91</v>
      </c>
      <c r="AA24" s="89">
        <v>92</v>
      </c>
      <c r="AB24" s="89">
        <v>93</v>
      </c>
      <c r="AC24" s="89">
        <v>94</v>
      </c>
      <c r="AD24" s="89" t="str">
        <v/>
      </c>
      <c r="AE24" s="89" t="str">
        <v/>
      </c>
      <c r="AF24" s="89" t="str">
        <v/>
      </c>
      <c r="AG24" s="89" t="str">
        <v/>
      </c>
      <c r="AH24" s="89" t="str">
        <v/>
      </c>
      <c r="AI24" s="90" t="str">
        <v/>
      </c>
    </row>
    <row r="25" spans="2:35">
      <c r="B25" s="91" t="str">
        <v/>
      </c>
      <c r="C25" s="92" t="str">
        <v/>
      </c>
      <c r="D25" s="92" t="str">
        <v/>
      </c>
      <c r="E25" s="92">
        <v>95</v>
      </c>
      <c r="F25" s="92" t="str">
        <v/>
      </c>
      <c r="G25" s="92" t="str">
        <v/>
      </c>
      <c r="H25" s="92" t="str">
        <v/>
      </c>
      <c r="M25" s="40"/>
      <c r="O25" s="88">
        <v>106</v>
      </c>
      <c r="P25" s="89">
        <v>107</v>
      </c>
      <c r="Q25" s="89">
        <v>108</v>
      </c>
      <c r="R25" s="89">
        <v>109</v>
      </c>
      <c r="S25" s="89">
        <v>110</v>
      </c>
      <c r="T25" s="89">
        <v>111</v>
      </c>
      <c r="U25" s="89">
        <v>112</v>
      </c>
      <c r="V25" s="89">
        <v>113</v>
      </c>
      <c r="W25" s="89" t="str">
        <v/>
      </c>
      <c r="X25" s="89" t="str">
        <v/>
      </c>
      <c r="Y25" s="21"/>
      <c r="Z25" s="89">
        <v>106</v>
      </c>
      <c r="AA25" s="89">
        <v>107</v>
      </c>
      <c r="AB25" s="89">
        <v>108</v>
      </c>
      <c r="AC25" s="89" t="str">
        <v/>
      </c>
      <c r="AD25" s="89" t="str">
        <v/>
      </c>
      <c r="AE25" s="89" t="str">
        <v/>
      </c>
      <c r="AF25" s="89" t="str">
        <v/>
      </c>
      <c r="AG25" s="89" t="str">
        <v/>
      </c>
      <c r="AH25" s="89" t="str">
        <v/>
      </c>
      <c r="AI25" s="90" t="str">
        <v/>
      </c>
    </row>
    <row r="26" spans="2:35">
      <c r="B26" s="31"/>
      <c r="M26" s="40"/>
      <c r="O26" s="88">
        <v>121</v>
      </c>
      <c r="P26" s="89">
        <v>122</v>
      </c>
      <c r="Q26" s="89">
        <v>123</v>
      </c>
      <c r="R26" s="89">
        <v>124</v>
      </c>
      <c r="S26" s="89">
        <v>125</v>
      </c>
      <c r="T26" s="89">
        <v>126</v>
      </c>
      <c r="U26" s="89">
        <v>127</v>
      </c>
      <c r="V26" s="89">
        <v>128</v>
      </c>
      <c r="W26" s="89">
        <v>129</v>
      </c>
      <c r="X26" s="89" t="str">
        <v/>
      </c>
      <c r="Y26" s="21"/>
      <c r="Z26" s="89">
        <v>121</v>
      </c>
      <c r="AA26" s="89">
        <v>122</v>
      </c>
      <c r="AB26" s="89" t="str">
        <v/>
      </c>
      <c r="AC26" s="89" t="str">
        <v/>
      </c>
      <c r="AD26" s="89" t="str">
        <v/>
      </c>
      <c r="AE26" s="89" t="str">
        <v/>
      </c>
      <c r="AF26" s="89" t="str">
        <v/>
      </c>
      <c r="AG26" s="89" t="str">
        <v/>
      </c>
      <c r="AH26" s="89" t="str">
        <v/>
      </c>
      <c r="AI26" s="90" t="str">
        <v/>
      </c>
    </row>
    <row r="27" spans="2:35">
      <c r="B27" s="31"/>
      <c r="M27" s="40"/>
      <c r="O27" s="88">
        <v>136</v>
      </c>
      <c r="P27" s="89">
        <v>137</v>
      </c>
      <c r="Q27" s="89">
        <v>138</v>
      </c>
      <c r="R27" s="89">
        <v>139</v>
      </c>
      <c r="S27" s="89">
        <v>140</v>
      </c>
      <c r="T27" s="89">
        <v>141</v>
      </c>
      <c r="U27" s="89">
        <v>142</v>
      </c>
      <c r="V27" s="89">
        <v>143</v>
      </c>
      <c r="W27" s="89">
        <v>144</v>
      </c>
      <c r="X27" s="89">
        <v>145</v>
      </c>
      <c r="Y27" s="21"/>
      <c r="Z27" s="89">
        <v>136</v>
      </c>
      <c r="AA27" s="89" t="str">
        <v/>
      </c>
      <c r="AB27" s="89" t="str">
        <v/>
      </c>
      <c r="AC27" s="89" t="str">
        <v/>
      </c>
      <c r="AD27" s="89" t="str">
        <v/>
      </c>
      <c r="AE27" s="89" t="str">
        <v/>
      </c>
      <c r="AF27" s="89" t="str">
        <v/>
      </c>
      <c r="AG27" s="89" t="str">
        <v/>
      </c>
      <c r="AH27" s="89" t="str">
        <v/>
      </c>
      <c r="AI27" s="90" t="str">
        <v/>
      </c>
    </row>
    <row r="28" spans="2:35">
      <c r="B28" s="31"/>
      <c r="M28" s="40"/>
      <c r="O28" s="32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43"/>
    </row>
    <row r="29" spans="2:35" ht="14.4">
      <c r="B29" s="44" t="s">
        <v>64</v>
      </c>
      <c r="M29" s="40"/>
      <c r="O29" s="24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37"/>
    </row>
    <row r="30" spans="2:35" ht="14.4">
      <c r="B30" s="93" t="str" cm="1">
        <f t="array" ref="B30:J38">Plusλ(SeqGrid,{3,3},6,"")</f>
        <v/>
      </c>
      <c r="C30" s="94" t="str">
        <v/>
      </c>
      <c r="D30" s="94">
        <v>3</v>
      </c>
      <c r="E30" s="94" t="str">
        <v/>
      </c>
      <c r="F30" s="94" t="str">
        <v/>
      </c>
      <c r="G30" s="94" t="str">
        <v/>
      </c>
      <c r="H30" s="94" t="str">
        <v/>
      </c>
      <c r="I30" s="94" t="str">
        <v/>
      </c>
      <c r="J30" s="94" t="str">
        <v/>
      </c>
      <c r="M30" s="40"/>
      <c r="O30" s="44" t="s">
        <v>74</v>
      </c>
      <c r="Z30" s="23" t="s">
        <v>80</v>
      </c>
      <c r="AI30" s="40"/>
    </row>
    <row r="31" spans="2:35">
      <c r="B31" s="93" t="str">
        <v/>
      </c>
      <c r="C31" s="94" t="str">
        <v/>
      </c>
      <c r="D31" s="94">
        <v>18</v>
      </c>
      <c r="E31" s="94" t="str">
        <v/>
      </c>
      <c r="F31" s="94" t="str">
        <v/>
      </c>
      <c r="G31" s="94" t="str">
        <v/>
      </c>
      <c r="H31" s="94" t="str">
        <v/>
      </c>
      <c r="I31" s="94" t="str">
        <v/>
      </c>
      <c r="J31" s="94" t="str">
        <v/>
      </c>
      <c r="M31" s="40"/>
      <c r="O31" s="95" t="str" cm="1">
        <f t="array" ref="O31:X40">Ringλ(SeqGrid,2,"-")</f>
        <v>-</v>
      </c>
      <c r="P31" s="96" t="str">
        <v>-</v>
      </c>
      <c r="Q31" s="96" t="str">
        <v>-</v>
      </c>
      <c r="R31" s="96" t="str">
        <v>-</v>
      </c>
      <c r="S31" s="96" t="str">
        <v>-</v>
      </c>
      <c r="T31" s="96" t="str">
        <v>-</v>
      </c>
      <c r="U31" s="96" t="str">
        <v>-</v>
      </c>
      <c r="V31" s="96" t="str">
        <v>-</v>
      </c>
      <c r="W31" s="96" t="str">
        <v>-</v>
      </c>
      <c r="X31" s="96" t="str">
        <v>-</v>
      </c>
      <c r="Z31" s="96" t="str" cm="1">
        <f t="array" ref="Z31:AI40">Ringλ(SeqGrid,4,"-")</f>
        <v>-</v>
      </c>
      <c r="AA31" s="96" t="str">
        <v>-</v>
      </c>
      <c r="AB31" s="96" t="str">
        <v>-</v>
      </c>
      <c r="AC31" s="96" t="str">
        <v>-</v>
      </c>
      <c r="AD31" s="96" t="str">
        <v>-</v>
      </c>
      <c r="AE31" s="96" t="str">
        <v>-</v>
      </c>
      <c r="AF31" s="96" t="str">
        <v>-</v>
      </c>
      <c r="AG31" s="96" t="str">
        <v>-</v>
      </c>
      <c r="AH31" s="96" t="str">
        <v>-</v>
      </c>
      <c r="AI31" s="97" t="str">
        <v>-</v>
      </c>
    </row>
    <row r="32" spans="2:35">
      <c r="B32" s="93">
        <v>31</v>
      </c>
      <c r="C32" s="94">
        <v>32</v>
      </c>
      <c r="D32" s="94">
        <v>33</v>
      </c>
      <c r="E32" s="94">
        <v>34</v>
      </c>
      <c r="F32" s="94">
        <v>35</v>
      </c>
      <c r="G32" s="94">
        <v>36</v>
      </c>
      <c r="H32" s="94">
        <v>37</v>
      </c>
      <c r="I32" s="94">
        <v>38</v>
      </c>
      <c r="J32" s="94">
        <v>39</v>
      </c>
      <c r="M32" s="40"/>
      <c r="O32" s="95" t="str">
        <v>-</v>
      </c>
      <c r="P32" s="96">
        <v>17</v>
      </c>
      <c r="Q32" s="96">
        <v>18</v>
      </c>
      <c r="R32" s="96">
        <v>19</v>
      </c>
      <c r="S32" s="96">
        <v>20</v>
      </c>
      <c r="T32" s="96">
        <v>21</v>
      </c>
      <c r="U32" s="96">
        <v>22</v>
      </c>
      <c r="V32" s="96">
        <v>23</v>
      </c>
      <c r="W32" s="96">
        <v>24</v>
      </c>
      <c r="X32" s="96" t="str">
        <v>-</v>
      </c>
      <c r="Z32" s="96" t="str">
        <v>-</v>
      </c>
      <c r="AA32" s="96" t="str">
        <v>-</v>
      </c>
      <c r="AB32" s="96" t="str">
        <v>-</v>
      </c>
      <c r="AC32" s="96" t="str">
        <v>-</v>
      </c>
      <c r="AD32" s="96" t="str">
        <v>-</v>
      </c>
      <c r="AE32" s="96" t="str">
        <v>-</v>
      </c>
      <c r="AF32" s="96" t="str">
        <v>-</v>
      </c>
      <c r="AG32" s="96" t="str">
        <v>-</v>
      </c>
      <c r="AH32" s="96" t="str">
        <v>-</v>
      </c>
      <c r="AI32" s="97" t="str">
        <v>-</v>
      </c>
    </row>
    <row r="33" spans="2:35">
      <c r="B33" s="93" t="str">
        <v/>
      </c>
      <c r="C33" s="94" t="str">
        <v/>
      </c>
      <c r="D33" s="94">
        <v>48</v>
      </c>
      <c r="E33" s="94" t="str">
        <v/>
      </c>
      <c r="F33" s="94" t="str">
        <v/>
      </c>
      <c r="G33" s="94" t="str">
        <v/>
      </c>
      <c r="H33" s="94" t="str">
        <v/>
      </c>
      <c r="I33" s="94" t="str">
        <v/>
      </c>
      <c r="J33" s="94" t="str">
        <v/>
      </c>
      <c r="M33" s="40"/>
      <c r="O33" s="95" t="str">
        <v>-</v>
      </c>
      <c r="P33" s="96">
        <v>32</v>
      </c>
      <c r="Q33" s="96" t="str">
        <v>-</v>
      </c>
      <c r="R33" s="96" t="str">
        <v>-</v>
      </c>
      <c r="S33" s="96" t="str">
        <v>-</v>
      </c>
      <c r="T33" s="96" t="str">
        <v>-</v>
      </c>
      <c r="U33" s="96" t="str">
        <v>-</v>
      </c>
      <c r="V33" s="96" t="str">
        <v>-</v>
      </c>
      <c r="W33" s="96">
        <v>39</v>
      </c>
      <c r="X33" s="96" t="str">
        <v>-</v>
      </c>
      <c r="Z33" s="96" t="str">
        <v>-</v>
      </c>
      <c r="AA33" s="96" t="str">
        <v>-</v>
      </c>
      <c r="AB33" s="96" t="str">
        <v>-</v>
      </c>
      <c r="AC33" s="96" t="str">
        <v>-</v>
      </c>
      <c r="AD33" s="96" t="str">
        <v>-</v>
      </c>
      <c r="AE33" s="96" t="str">
        <v>-</v>
      </c>
      <c r="AF33" s="96" t="str">
        <v>-</v>
      </c>
      <c r="AG33" s="96" t="str">
        <v>-</v>
      </c>
      <c r="AH33" s="96" t="str">
        <v>-</v>
      </c>
      <c r="AI33" s="97" t="str">
        <v>-</v>
      </c>
    </row>
    <row r="34" spans="2:35">
      <c r="B34" s="93" t="str">
        <v/>
      </c>
      <c r="C34" s="94" t="str">
        <v/>
      </c>
      <c r="D34" s="94">
        <v>63</v>
      </c>
      <c r="E34" s="94" t="str">
        <v/>
      </c>
      <c r="F34" s="94" t="str">
        <v/>
      </c>
      <c r="G34" s="94" t="str">
        <v/>
      </c>
      <c r="H34" s="94" t="str">
        <v/>
      </c>
      <c r="I34" s="94" t="str">
        <v/>
      </c>
      <c r="J34" s="94" t="str">
        <v/>
      </c>
      <c r="M34" s="40"/>
      <c r="O34" s="95" t="str">
        <v>-</v>
      </c>
      <c r="P34" s="96">
        <v>47</v>
      </c>
      <c r="Q34" s="96" t="str">
        <v>-</v>
      </c>
      <c r="R34" s="96" t="str">
        <v>-</v>
      </c>
      <c r="S34" s="96" t="str">
        <v>-</v>
      </c>
      <c r="T34" s="96" t="str">
        <v>-</v>
      </c>
      <c r="U34" s="96" t="str">
        <v>-</v>
      </c>
      <c r="V34" s="96" t="str">
        <v>-</v>
      </c>
      <c r="W34" s="96">
        <v>54</v>
      </c>
      <c r="X34" s="96" t="str">
        <v>-</v>
      </c>
      <c r="Z34" s="96" t="str">
        <v>-</v>
      </c>
      <c r="AA34" s="96" t="str">
        <v>-</v>
      </c>
      <c r="AB34" s="96" t="str">
        <v>-</v>
      </c>
      <c r="AC34" s="96">
        <v>49</v>
      </c>
      <c r="AD34" s="96">
        <v>50</v>
      </c>
      <c r="AE34" s="96">
        <v>51</v>
      </c>
      <c r="AF34" s="96">
        <v>52</v>
      </c>
      <c r="AG34" s="96" t="str">
        <v>-</v>
      </c>
      <c r="AH34" s="96" t="str">
        <v>-</v>
      </c>
      <c r="AI34" s="97" t="str">
        <v>-</v>
      </c>
    </row>
    <row r="35" spans="2:35">
      <c r="B35" s="93" t="str">
        <v/>
      </c>
      <c r="C35" s="94" t="str">
        <v/>
      </c>
      <c r="D35" s="94">
        <v>78</v>
      </c>
      <c r="E35" s="94" t="str">
        <v/>
      </c>
      <c r="F35" s="94" t="str">
        <v/>
      </c>
      <c r="G35" s="94" t="str">
        <v/>
      </c>
      <c r="H35" s="94" t="str">
        <v/>
      </c>
      <c r="I35" s="94" t="str">
        <v/>
      </c>
      <c r="J35" s="94" t="str">
        <v/>
      </c>
      <c r="M35" s="40"/>
      <c r="O35" s="95" t="str">
        <v>-</v>
      </c>
      <c r="P35" s="96">
        <v>62</v>
      </c>
      <c r="Q35" s="96" t="str">
        <v>-</v>
      </c>
      <c r="R35" s="96" t="str">
        <v>-</v>
      </c>
      <c r="S35" s="96" t="str">
        <v>-</v>
      </c>
      <c r="T35" s="96" t="str">
        <v>-</v>
      </c>
      <c r="U35" s="96" t="str">
        <v>-</v>
      </c>
      <c r="V35" s="96" t="str">
        <v>-</v>
      </c>
      <c r="W35" s="96">
        <v>69</v>
      </c>
      <c r="X35" s="96" t="str">
        <v>-</v>
      </c>
      <c r="Z35" s="96" t="str">
        <v>-</v>
      </c>
      <c r="AA35" s="96" t="str">
        <v>-</v>
      </c>
      <c r="AB35" s="96" t="str">
        <v>-</v>
      </c>
      <c r="AC35" s="96">
        <v>64</v>
      </c>
      <c r="AD35" s="96" t="str">
        <v>-</v>
      </c>
      <c r="AE35" s="96" t="str">
        <v>-</v>
      </c>
      <c r="AF35" s="96">
        <v>67</v>
      </c>
      <c r="AG35" s="96" t="str">
        <v>-</v>
      </c>
      <c r="AH35" s="96" t="str">
        <v>-</v>
      </c>
      <c r="AI35" s="97" t="str">
        <v>-</v>
      </c>
    </row>
    <row r="36" spans="2:35">
      <c r="B36" s="93" t="str">
        <v/>
      </c>
      <c r="C36" s="94" t="str">
        <v/>
      </c>
      <c r="D36" s="94">
        <v>93</v>
      </c>
      <c r="E36" s="94" t="str">
        <v/>
      </c>
      <c r="F36" s="94" t="str">
        <v/>
      </c>
      <c r="G36" s="94" t="str">
        <v/>
      </c>
      <c r="H36" s="94" t="str">
        <v/>
      </c>
      <c r="I36" s="94" t="str">
        <v/>
      </c>
      <c r="J36" s="94" t="str">
        <v/>
      </c>
      <c r="M36" s="40"/>
      <c r="O36" s="95" t="str">
        <v>-</v>
      </c>
      <c r="P36" s="96">
        <v>77</v>
      </c>
      <c r="Q36" s="96" t="str">
        <v>-</v>
      </c>
      <c r="R36" s="96" t="str">
        <v>-</v>
      </c>
      <c r="S36" s="96" t="str">
        <v>-</v>
      </c>
      <c r="T36" s="96" t="str">
        <v>-</v>
      </c>
      <c r="U36" s="96" t="str">
        <v>-</v>
      </c>
      <c r="V36" s="96" t="str">
        <v>-</v>
      </c>
      <c r="W36" s="96">
        <v>84</v>
      </c>
      <c r="X36" s="96" t="str">
        <v>-</v>
      </c>
      <c r="Z36" s="96" t="str">
        <v>-</v>
      </c>
      <c r="AA36" s="96" t="str">
        <v>-</v>
      </c>
      <c r="AB36" s="96" t="str">
        <v>-</v>
      </c>
      <c r="AC36" s="96">
        <v>79</v>
      </c>
      <c r="AD36" s="96" t="str">
        <v>-</v>
      </c>
      <c r="AE36" s="96" t="str">
        <v>-</v>
      </c>
      <c r="AF36" s="96">
        <v>82</v>
      </c>
      <c r="AG36" s="96" t="str">
        <v>-</v>
      </c>
      <c r="AH36" s="96" t="str">
        <v>-</v>
      </c>
      <c r="AI36" s="97" t="str">
        <v>-</v>
      </c>
    </row>
    <row r="37" spans="2:35">
      <c r="B37" s="93" t="str">
        <v/>
      </c>
      <c r="C37" s="94" t="str">
        <v/>
      </c>
      <c r="D37" s="94">
        <v>108</v>
      </c>
      <c r="E37" s="94" t="str">
        <v/>
      </c>
      <c r="F37" s="94" t="str">
        <v/>
      </c>
      <c r="G37" s="94" t="str">
        <v/>
      </c>
      <c r="H37" s="94" t="str">
        <v/>
      </c>
      <c r="I37" s="94" t="str">
        <v/>
      </c>
      <c r="J37" s="94" t="str">
        <v/>
      </c>
      <c r="M37" s="40"/>
      <c r="O37" s="95" t="str">
        <v>-</v>
      </c>
      <c r="P37" s="96">
        <v>92</v>
      </c>
      <c r="Q37" s="96" t="str">
        <v>-</v>
      </c>
      <c r="R37" s="96" t="str">
        <v>-</v>
      </c>
      <c r="S37" s="96" t="str">
        <v>-</v>
      </c>
      <c r="T37" s="96" t="str">
        <v>-</v>
      </c>
      <c r="U37" s="96" t="str">
        <v>-</v>
      </c>
      <c r="V37" s="96" t="str">
        <v>-</v>
      </c>
      <c r="W37" s="96">
        <v>99</v>
      </c>
      <c r="X37" s="96" t="str">
        <v>-</v>
      </c>
      <c r="Z37" s="96" t="str">
        <v>-</v>
      </c>
      <c r="AA37" s="96" t="str">
        <v>-</v>
      </c>
      <c r="AB37" s="96" t="str">
        <v>-</v>
      </c>
      <c r="AC37" s="96">
        <v>94</v>
      </c>
      <c r="AD37" s="96">
        <v>95</v>
      </c>
      <c r="AE37" s="96">
        <v>96</v>
      </c>
      <c r="AF37" s="96">
        <v>97</v>
      </c>
      <c r="AG37" s="96" t="str">
        <v>-</v>
      </c>
      <c r="AH37" s="96" t="str">
        <v>-</v>
      </c>
      <c r="AI37" s="97" t="str">
        <v>-</v>
      </c>
    </row>
    <row r="38" spans="2:35">
      <c r="B38" s="93" t="str">
        <v/>
      </c>
      <c r="C38" s="94" t="str">
        <v/>
      </c>
      <c r="D38" s="94">
        <v>123</v>
      </c>
      <c r="E38" s="94" t="str">
        <v/>
      </c>
      <c r="F38" s="94" t="str">
        <v/>
      </c>
      <c r="G38" s="94" t="str">
        <v/>
      </c>
      <c r="H38" s="94" t="str">
        <v/>
      </c>
      <c r="I38" s="94" t="str">
        <v/>
      </c>
      <c r="J38" s="94" t="str">
        <v/>
      </c>
      <c r="M38" s="40"/>
      <c r="O38" s="95" t="str">
        <v>-</v>
      </c>
      <c r="P38" s="96">
        <v>107</v>
      </c>
      <c r="Q38" s="96" t="str">
        <v>-</v>
      </c>
      <c r="R38" s="96" t="str">
        <v>-</v>
      </c>
      <c r="S38" s="96" t="str">
        <v>-</v>
      </c>
      <c r="T38" s="96" t="str">
        <v>-</v>
      </c>
      <c r="U38" s="96" t="str">
        <v>-</v>
      </c>
      <c r="V38" s="96" t="str">
        <v>-</v>
      </c>
      <c r="W38" s="96">
        <v>114</v>
      </c>
      <c r="X38" s="96" t="str">
        <v>-</v>
      </c>
      <c r="Z38" s="96" t="str">
        <v>-</v>
      </c>
      <c r="AA38" s="96" t="str">
        <v>-</v>
      </c>
      <c r="AB38" s="96" t="str">
        <v>-</v>
      </c>
      <c r="AC38" s="96" t="str">
        <v>-</v>
      </c>
      <c r="AD38" s="96" t="str">
        <v>-</v>
      </c>
      <c r="AE38" s="96" t="str">
        <v>-</v>
      </c>
      <c r="AF38" s="96" t="str">
        <v>-</v>
      </c>
      <c r="AG38" s="96" t="str">
        <v>-</v>
      </c>
      <c r="AH38" s="96" t="str">
        <v>-</v>
      </c>
      <c r="AI38" s="97" t="str">
        <v>-</v>
      </c>
    </row>
    <row r="39" spans="2:35">
      <c r="B39" s="31"/>
      <c r="M39" s="40"/>
      <c r="O39" s="95" t="str">
        <v>-</v>
      </c>
      <c r="P39" s="96">
        <v>122</v>
      </c>
      <c r="Q39" s="96">
        <v>123</v>
      </c>
      <c r="R39" s="96">
        <v>124</v>
      </c>
      <c r="S39" s="96">
        <v>125</v>
      </c>
      <c r="T39" s="96">
        <v>126</v>
      </c>
      <c r="U39" s="96">
        <v>127</v>
      </c>
      <c r="V39" s="96">
        <v>128</v>
      </c>
      <c r="W39" s="96">
        <v>129</v>
      </c>
      <c r="X39" s="96" t="str">
        <v>-</v>
      </c>
      <c r="Z39" s="96" t="str">
        <v>-</v>
      </c>
      <c r="AA39" s="96" t="str">
        <v>-</v>
      </c>
      <c r="AB39" s="96" t="str">
        <v>-</v>
      </c>
      <c r="AC39" s="96" t="str">
        <v>-</v>
      </c>
      <c r="AD39" s="96" t="str">
        <v>-</v>
      </c>
      <c r="AE39" s="96" t="str">
        <v>-</v>
      </c>
      <c r="AF39" s="96" t="str">
        <v>-</v>
      </c>
      <c r="AG39" s="96" t="str">
        <v>-</v>
      </c>
      <c r="AH39" s="96" t="str">
        <v>-</v>
      </c>
      <c r="AI39" s="97" t="str">
        <v>-</v>
      </c>
    </row>
    <row r="40" spans="2:35">
      <c r="B40" s="31"/>
      <c r="M40" s="40"/>
      <c r="O40" s="95" t="str">
        <v>-</v>
      </c>
      <c r="P40" s="96" t="str">
        <v>-</v>
      </c>
      <c r="Q40" s="96" t="str">
        <v>-</v>
      </c>
      <c r="R40" s="96" t="str">
        <v>-</v>
      </c>
      <c r="S40" s="96" t="str">
        <v>-</v>
      </c>
      <c r="T40" s="96" t="str">
        <v>-</v>
      </c>
      <c r="U40" s="96" t="str">
        <v>-</v>
      </c>
      <c r="V40" s="96" t="str">
        <v>-</v>
      </c>
      <c r="W40" s="96" t="str">
        <v>-</v>
      </c>
      <c r="X40" s="96" t="str">
        <v>-</v>
      </c>
      <c r="Z40" s="96" t="str">
        <v>-</v>
      </c>
      <c r="AA40" s="96" t="str">
        <v>-</v>
      </c>
      <c r="AB40" s="96" t="str">
        <v>-</v>
      </c>
      <c r="AC40" s="96" t="str">
        <v>-</v>
      </c>
      <c r="AD40" s="96" t="str">
        <v>-</v>
      </c>
      <c r="AE40" s="96" t="str">
        <v>-</v>
      </c>
      <c r="AF40" s="96" t="str">
        <v>-</v>
      </c>
      <c r="AG40" s="96" t="str">
        <v>-</v>
      </c>
      <c r="AH40" s="96" t="str">
        <v>-</v>
      </c>
      <c r="AI40" s="97" t="str">
        <v>-</v>
      </c>
    </row>
    <row r="41" spans="2:35">
      <c r="B41" s="31"/>
      <c r="M41" s="40"/>
    </row>
    <row r="42" spans="2:35">
      <c r="B42" s="32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43"/>
      <c r="O42" s="32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4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oAXABuACAAIABfAF8AXwBfACAAIAAgACAAXwAgACAAIAAgACAAIAAgACAAIAAgACAAIABfAF8AXwBfAF8AIAAgACAAIAAgACAAIAAgACAAIAAgAF8AIAAgACAAXwAgACAAIABfACAAXABuACAAfAAgACAAXwAgAFwAXAAgACAAKABfACkAIAAgACAAIAAgACAAIAAgACAAIAAvACAAXwBfAF8AXwB8ACAAIAAgACAAIAAgACAAIAAgACgAXwApACAAfAAgAHwAIAB8ACAAfABcAG4AIAB8ACAAfABfACkAIAB8ACAAIABfACAAIAAgACAAXwBfACAAXwAgACAAfAAgACgAXwBfAF8AIAAgACAAIABfACAAXwBfACAAIAAgACAAXwAgACAAfAAgAHwAIAB8ACAAfABcAG4AIAB8ACAAIABfACAAPAAgACAAfAAgAHwAIAAgAC8AIABfAGAAIAB8ACAAIABcAFwAXwBfAF8AIABcAFwAIAAgAHwAIAAnAF8AIABcAFwAIAAgAHwAIAB8ACAAfAAgAHwAIAB8ACAAfABcAG4AIAB8ACAAfABfACkAIAB8ACAAfAAgAHwAIAB8ACAAKABfAHwAIAB8ACAAIABfAF8AXwBfACkAIAB8ACAAfAAgAHwAXwApACAAfAAgAHwAIAB8ACAAfAAgAHwAIAB8ACAAfABcAG4AIAB8AF8AXwBfAF8ALwAgACAAfABfAHwAIAAgAFwAXABfAF8ALAAgAHwAIAB8AF8AXwBfAF8AXwAvACAAIAB8ACAALgBfAF8ALwAgACAAfABfAHwAIAB8AF8AfAAgAHwAXwB8AFwAbgAgACAAIAAgACAAIAAgACAAIAAgACAAIAAgACAAIABfAF8ALwAgAHwAIAAgACAAIAAgACAAIAAgACAAIAB8ACAAfAAgACAAIAAgACAAIAAgACAAIAAgACAAIAAgACAAIAAgAFwAbgAgACAAIAAgACAAIAAgACAAIAAgACAAIAAgACAAfABfAF8AXwAvACAAIAAgACAAIAAgACAAIAAgACAAIAB8AF8AfAAgACAAIAAgACAAIAAgACAAIAAgACAAIAAgACAAIAAgAFwAbgBcAG4AdgAgADEALgAyAC4AMABcAG4AXABuAE0AbwBkAHUAbABlADoAIAAgAEIAaQBnAFMAcABpAGwAbABcAG4AUgBlAHAAbwA6ACAAIAAgACAAaAB0AHQAcABzADoALwAvAGcAaQB0AGgAdQBiAC4AYwBvAG0ALwBQAGEAdAByAGkAYwBrADIANwA4ADgALwBCAGkAZwBTAHAAaQBsAGwALQBFAHgAYwBlAGwALQBMAGEAbQBiAGQAYQAtAEwAaQBiAHIAYQByAHkAXABuAEwAaQBjAGUAbgBzAGUAOgAgAE0ASQBUACAAKABzAGUAZQAgAEwASQBDAEUATgBTAEUAIABmAGkAbABlACkAXABuAEEAdQB0AGgAbwByADoAIAAgAFAAYQB0AHIAaQBjAGsAIABIAC4AXABuAEQAYQB0AGUAOgAgACAAIAAgADkALwAxADcALwAyADAAMgA2AFwAbgBcAG4AVgBlAHIAcwBpAG8AbgAgAGgAaQBzAHQAbwByAHkAOgBcAG4AIAAgACAAIAA3AC8ANgAvADIAMAAyADYAIAATICAAIABJAG4AaQB0AGkAYQBsACAAcgBlAGwAZQBhAHMAZQBcAG4AXABuACAAIAAgACAAOQAvADMALwAyADAAMgA2ACAAEyAgACAAQQBkAGQAZQBkACAAVAByAGkAcABsAGUAdwBpAHMAZQC7AyAAYQBuAGQAIABRAHUAYQBkAHcAaQBzAGUAuwMgAHQAbwAgAEcAcgBpAGQAIABBAG4AYQBsAHkAdABpAGMAcwBcAG4AIAAgACAAIAAgACAAIAAgACAAIAAgACAAIAAgACAAIABVAHAAZABhAHQAZQBkACAARwByAGkAZAAgAEEAbgBhAGwAeQB0AGkAYwBzACAAYwBhAHQAZQBnAG8AcgB5ACAAYgBsAG8AYwBrAFwAbgAgACAAIAAgACAAIAAgACAAIAAgACAAIAAgACAAIAAgAFUAcABkAGEAdABlAGQAIABUAGUAcwBzAGUAbABsAGEAdABlALsDIAB0AG8AIABhAGMAYwBlAHAAdAAgADEARAAgAGEAcgByAGEAeQBzAFwAbgBcAG4AIAAgACAAIAA5AC8AMQA3AC8AMgAwADIANgAgABMgIABBAGQAZABlAGQAIABJAG4AcwB0AGEAbgBjAGUAuwMsACAAVwBhAHYAZQC7AywAIABHAHIAbwB1AHAASQBuAGQAZQB4ALsDLAAgAE8AYwBjAHUAcgByAGUAbgBjAGUAuwMsAFwAbgAgACAAIAAgACAAIAAgACAAIAAgACAAIAAgACAAIAAgAGEAbgBkACAATwBjAGMAdQByAHIAZQBuAGMAZQBSAGEAbgBnAGUAuwMgAHQAbwAgAEcAcgBpAGQAIABBAG4AYQBsAHkAdABpAGMAcwBcAG4AIAAgACAAIAAgACAAIAAgACAAIAAgACAAIAAgACAAIABGAGkAeABlAGQAIAB2AHUAbABuAGUAcgBhAGIAaQBsAGkAdAB5ACAAaQBuACAAQwBvAG4AdgBvAGwAdgBlALsDIAB3AGkAdABoACAAMQBEACAAawBlAHIAbgBlAGwAcwBcAG4AXABuAEQAZQBwAGUAbgBkAGUAbgBjAGkAZQBzADoAXABuACAAIAAgACAATgBvAG4AZQBcAG4AXABuAEQAZQBzAGMAcgBpAHAAdABpAG8AbgA6AFwAbgAgACAAIAAgAEMAbwByAGUAIABtAG8AZAB1AGwAZQAgAGEAZwBnAHIAZQBnAGEAdABvAHIAIABmAG8AcgAgAGEAbABsACAAQgBpAGcAUwBwAGkAbABsACAAZgB1AG4AYwB0AGkAbwBuAHMALgBcAG4AXABuAFAAdQByAHAAbwBzAGUAOgBcAG4AIAAgACAAIABQAHIAbwB2AGkAZABlAHMAIABhACAAcwBpAG4AZwBsAGUAIABpAG0AcABvAHIAdAAgAHAAbwBpAG4AdAAgAGYAbwByACAAdABoAGUAIABlAG4AdABpAHIAZQAgAGwAaQBiAHIAYQByAHkALgBcAG4AXABuAEMAbwBuAHQAZQBuAHQAcwA6AFwAbgAgACAAIAAgAEcAcgBpAGQAdwBvAHIAawAsACAARwByAGkAZAAgAEcAZQBvAG0AZQB0AHIAeQAsACAAMgBEACAAQQByAHIAYQB5ACAAUwBoAGEAcABpAG4AZwAsACAARwByAGkAZAAgAEEAbABnAGUAYgByAGEALABcAG4AIAAgACAAIABSAGUAcABlAHQAaQB0AGkAbwBuACwAIABHAHIAaQBkACAAQQBuAGEAbAB5AHQAaQBjAHMALAAgAFQAZQB4AHQALAAgAEUAbgBnAGkAbgBlAGUAcgBpAG4AZwAsAFwAbgAgACAAIAAgAEMAbwBtAGIAaQBuAGEAdABvAHIAaQBjAHMALAAgAEQAaQBhAGcAbgBvAHMAdABpAGMAcwBcAG4AXABuAFwAbgBcAG4AXABuAFwAbgBcAG4ALQAtAC0AVABhAGIAbABlACAAbwBmACAAQwBvAG4AdABlAG4AdABzAC0ALQAtAFwAbgBcAG4AIwAjACAAMAAxACAALQAgAFsARwBXAF0AIABHAHIAaQBkAHcAbwByAGsAXABuAFwAbgAgACAAIAAgACAAIAAgACAAIAAgACAAIABbAEcAVwAwADEAXQAgACAARABHAHIAaQBkALsDXABuACAAIAAgACAAIAAgACAAIAAgACAAIAAgAFsARwBXADAAMgBdACAAIABDAEcAcgBpAGQAuwNcAG4AIAAgACAAIAAgACAAIAAgACAAIAAgACAAWwBHAFcAMAAzAF0AIAAgAE0ARwByAGkAZAC7A1wAbgAgACAAIAAgACAAIAAgACAAIAAgACAAIABbAEcAVwAwADQAXQAgACAAVABHAHIAaQBkALsDXABuACAAIAAgACAAIAAgACAAIAAgACAAIAAgAFsARwBXADAANQBdACAAIABQAG8AbABhAHIARwByAGkAZAC7A1wAbgBcAG4AIwAjACAAMAAyACAALQAgAFsARwBHAF0AIAAgAEcAcgBpAGQAIABHAGUAbwBtAGUAdAByAHkAXABuAFwAbgAgACAAIAAgACAAIAAgACAAIAAgACAAIABbAEcARwAwADEAXQAgACAAQwBpAHIAYwBsAGUAuwNcAG4AIAAgACAAIAAgACAAIAAgACAAIAAgACAAWwBHAEcAMAAyAF0AIAAgAEQAaQBhAG0AbwBuAGQAuwNcAG4AIAAgACAAIAAgACAAIAAgACAAIAAgACAAWwBHAEcAMAAzAF0AIAAgAFAAbAB1AHMAuwNcAG4AIAAgACAAIAAgACAAIAAgACAAIAAgACAAWwBHAEcAMAA0AF0AIAAgAFAAeQByAGEAbQBpAGQAuwNcAG4AIAAgACAAIAAgACAAIAAgACAAIAAgACAAWwBHAEcAMAA1AF0AIAAgAFIAaQBuAGcAuwNcAG4AIAAgACAAIAAgACAAIAAgACAAIAAgACAAWwBHAEcAMAA2AF0AIAAgAFMAcQB1AGEAcgBlALsDXABuACAAIAAgACAAIAAgACAAIAAgACAAIAAgAFsARwBHADAANwBdACAAIABUAHIAaQBhAG4AZwBsAGUAuwNcAG4AXABuACMAIwAgADAAMwAgAC0AIABbAFMAQQBdACAAIAAyAEQAIABBAHIAcgBhAHkAIABTAGgAYQBwAGkAbgBnAFwAbgBcAG4AIAAgACAAIAAgACAAIAAgACAAIAAgACAAQwBvAHIAZQAgAFMAaABhAHAAaQBuAGcAIABQAHIAaQBtAGkAdABpAHYAZQBzAFwAbgAgACAAIAAgACAAIAAgACAAIAAgACAAIABbAFMAQQAwADEAXQBcAHQAUgBlAFMAaABhAHAAZQAyAEQAuwNcAG4AIAAgACAAIAAgACAAIAAgACAAIAAgACAAWwBTAEEAMAAyAF0AXAB0AFIAZQBTAGkAegBlALsDXABuACAAIAAgACAAIAAgACAAIAAgACAAIAAgAFsAUwBBADAAMwBdAFwAdABTAGMAYQBuADIARAC7A1wAbgAgACAAIAAgACAAIAAgACAAIAAgACAAIABbAFMAQQAwADQAXQBcAHQAVAByAGEAdgBlAHIAcwBlALsDXABuACAAIAAgACAAIAAgACAAIAAgACAAIAAgAFsAUwBBADAANQBdAFwAdABUAGEAawBlAEIAbABvAGMAawC7A1wAbgAgACAAIAAgACAAIAAgACAAIAAgACAAIABbAFMAQQAwADYAXQBcAHQARABTAHQAYQBjAGsAuwNcAG4AXABuACAAIAAgACAAIAAgACAAIAAgACAAIAAgAFIAZQBmAGwAbwB3AFwAbgAgACAAIAAgACAAIAAgACAAIAAgACAAIABbAFMAQQAwADcAXQBcAHQAVwByAGEAcABSAG8AdwBzADIARAC7A1wAbgAgACAAIAAgACAAIAAgACAAIAAgACAAIABbAFMAQQAwADgAXQBcAHQAVwByAGEAcABDAG8AbABzADIARAC7A1wAbgAgACAAIAAgACAAIAAgACAAIAAgACAAIABbAFMAQQAwADkAXQBcAHQAUwB0AGEAaQByAGMAYQBzAGUAuwNcAG4AIAAgACAAIAAgACAAIAAgACAAIAAgACAAWwBTAEEAMQAwAF0AXAB0AFUAbgBQAGkAdgBvAHQAuwNcAG4AIAAgACAAIAAgACAAIAAgACAAIAAgACAAWwBTAEEAMQAxAF0AXAB0AFoAaQBwALsDXABuACAAIAAgACAAIAAgACAAIAAgACAAIAAgAFsAUwBBADEAMwBdAFwAdABTAGwAaQBjAGUAQgB5AEQAZQBnALsDXABuAFwAbgAgACAAIAAgACAAIAAgACAAIAAgACAAIABQAGEAZABkAGkAbgBnAFwAbgAgACAAIAAgACAAIAAgACAAIAAgACAAIABbAFMAQQAxADQAXQBcAHQAUABhAGQAuwNcAG4AIAAgACAAIAAgACAAIAAgACAAIAAgACAAWwBTAEEAMQA1AF0AXAB0AEkAbgBzAHUAbABhAHQAZQBSAG8AdwBzALsDXABuACAAIAAgACAAIAAgACAAIAAgACAAIAAgAFsAUwBBADEANgBdAFwAdABJAG4AcwB1AGwAYQB0AGUAQwBvAGwAcwC7A1wAbgBcAG4AIAAgACAAIAAgACAAIAAgACAAIAAgACAASQBuAHQAZQByAHAAbwBsAGEAdABpAG8AbgBcAG4AIAAgACAAIAAgACAAIAAgACAAIAAgACAAWwBTAEEAMQA3AF0AXAB0AE0AYQBnAG4AaQBmAHkAuwNcAG4AIAAgACAAIAAgACAAIAAgACAAIAAgACAAWwBTAEEAMQA4AF0AXAB0AFoAbwBvAG0AuwNcAG4AXABuACMAIwAgADAANAAgAC0AIABbAEcAQQBdACAAIABHAHIAaQBkACAAQQBsAGcAZQBiAHIAYQBcAG4AIAAgACAAIAAgACAAIAAgACAAIAAgACAARABlAGwAZQB0AGkAbwBuAFwAbgAgACAAIAAgACAAIAAgACAAIAAgACAAIABbAEcAQQAwADEAXQBcAHQARABlAGwAZQB0AGUAUgBvAHcAcwC7A1wAbgAgACAAIAAgACAAIAAgACAAIAAgACAAIABbAEcAQQAwADIAXQBcAHQARABlAGwAZQB0AGUAQwBvAGwAcwC7A1wAbgAgACAAIAAgACAAIAAgACAAIAAgACAAIABbAEcAQQAwADMAXQBcAHQARABlAGwAZQB0AGUAVwBoAGUAcgBlALsDXABuACAAIAAgACAAIAAgACAAIAAgACAAIAAgAFsARwBBADAANABdAFwAdABQAGkAbgBjAGgAuwNcAG4AIAAgACAAIAAgACAAIAAgACAAIAAgACAAWwBHAEEAMAA1AF0AXAB0AFIAZQBtAG8AdgBlALsDXABuACAAIAAgACAAIAAgACAAIAAgACAAIAAgAFsARwBBADAANgBdAFwAdABTAHEAdQBlAGUAegBlALsDXABuAFwAbgAgACAAIAAgACAAIAAgACAAIAAgACAAIABFAHgAcABhAG4AcwBpAG8AbgBcAG4AIAAgACAAIAAgACAAIAAgACAAIAAgACAAWwBHAEEAMAA3AF0AXAB0AEsAcgBvAG4AZQBjAGsAZQByAFAAcgBvAGQAuwNcAG4AXABuACAAIAAgACAAIAAgACAAIAAgACAAIAAgAEYAaQBsAHQAZQByAGkAbgBnAFwAbgAgACAAIAAgACAAIAAgACAAIAAgACAAIABbAEcAQQAwADgAXQBcAHQARQB4AGMAbAB1AGQAZQC7A1wAbgAgACAAIAAgACAAIAAgACAAIAAgACAAIABbAEcAQQAwADkAXQBcAHQAUwBuAGEAcAC7A1wAbgBcAG4AIAAgACAAIAAgACAAIAAgACAAIAAgACAAUgBvAGwAbABpAG4AZwBcAG4AIAAgACAAIAAgACAAIAAgACAAIAAgACAAWwBHAEEAMQAwAF0AXAB0AFMAaABpAGYAdAC7A1wAbgAgACAAIAAgACAAIAAgACAAIAAgACAAIABbAEcAQQAxADEAXQBcAHQAUwBoAGkAZgB0AFIAbwB3AHMAuwNcAG4AIAAgACAAIAAgACAAIAAgACAAIAAgACAAWwBHAEEAMQAyAF0AXAB0AFMAaABpAGYAdABDAG8AbABzALsDXABuAFwAbgAgACAAIAAgACAAIAAgACAAIAAgACAAIABTAGUAbABlAGMAdABpAG8AbgBcAG4AIAAgACAAIAAgACAAIAAgACAAIAAgACAAWwBHAEEAMQAzAF0AXAB0AEUAbQBiAGUAZAC7A1wAbgAgACAAIAAgACAAIAAgACAAIAAgACAAIABbAEcAQQAxADQAXQBcAHQASwBlAGUAcABSAG8AdwBzALsDXABuACAAIAAgACAAIAAgACAAIAAgACAAIAAgAFsARwBBADEANQBdAFwAdABLAGUAZQBwAEMAbwBsAHMAuwNcAG4AXABuACAAIAAgACAAIAAgACAAIAAgACAAIAAgAFMAdAByAHUAYwB0AHUAcgBhAGwAIABNAGEAcABwAGkAbgBnAFwAbgAgACAAIAAgACAAIAAgACAAIAAgACAAIABbAEcAQQAxADYAXQBcAHQAQgBsAG8AYwBrAE0AYQBwALsDXABuACAAIAAgACAAIAAgACAAIAAgACAAIAAgAFsARwBBADEANwBdAFwAdABDAG8AbgB2AG8AbAB2AGUAuwNcAG4AIAAgACAAIAAgACAAIAAgACAAIAAgACAAWwBHAEEAMQA4AF0AXAB0AEYAbwBsAGQAuwNcAG4AIAAgACAAIAAgACAAIAAgACAAIAAgACAAWwBHAEEAMQA5AF0AXAB0AEoAbwBpAG4AMgBEALsDXABuAFwAbgAjACMAIAAwADUAIAAtACAAWwBSAFAAXQAgACAAUgBlAHAAZQB0AGkAdABpAG8AbgBcAG4AIAAgACAAIAAgACAAIAAgACAAIAAgACAAWwBSAFAAMAAxAF0AXAB0AEUAYwBoAG8AuwNcAG4AIAAgACAAIAAgACAAIAAgACAAIAAgACAAWwBSAFAAMAAyAF0AXAB0AFIAZQBwAGUAYQB0AFIAbwB3AHMAuwNcAG4AIAAgACAAIAAgACAAIAAgACAAIAAgACAAWwBSAFAAMAAzAF0AXAB0AFIAZQBwAGUAYQB0AEMAbwBsAHMAuwNcAG4AIAAgACAAIAAgACAAIAAgACAAIAAgACAAWwBSAFAAMAA0AF0AXAB0AFQAZQBzAHMAZQBsAGwAYQB0AGUAuwNcAG4AXABuACMAIwAgADAANgAgAC0AIABbAEcAUgBdACAAIABHAHIAaQBkACAAQQBuAGEAbAB5AHQAaQBjAHMAXABuACAAIAAgACAAIAAgACAAIAAgACAAIAAgAFMAZQBxAHUAZQBuAGMAaQBuAGcAXABuACAAIAAgACAAIAAgACAAIAAgACAAIAAgAFsARwBSADAAMQBdAFwAdABTAHQAcgBlAGEAawC7A1wAbgAgACAAIAAgACAAIAAgACAAIAAgACAAIABbAEcAUgAwADIAXQBcAHQAQwBvAHUAbgB0AGQAbwB3AG4AuwNcAG4AXAB0AFwAdABcAHQAWwBHAFIAMQA2AF0AIAAgAEkAbgBzAHQAYQBuAGMAZQC7A1wAbgBcAHQAXAB0AFwAdABbAEcAUgAxADcAXQBcAHQAVwBhAHYAZQC7A1wAbgBcAG4AIAAgACAAIAAgACAAIAAgACAAIAAgACAAQwBhAHQAZQBnAG8AcgBpAGMAYQBsACAAQQBuAGEAbAB5AHMAaQBzAFwAbgAgACAAIAAgACAAIAAgACAAIAAgACAAIABbAEcAUgAwADMAXQBcAHQAQgB5AEQAaQBhAGcAuwNcAG4AIAAgACAAIAAgACAAIAAgACAAIAAgACAAWwBHAFIAMAA0AF0AXAB0AEQAaQBhAGcATQBhAHAAuwNcAG4AIAAgACAAIAAgACAAIAAgACAAIAAgACAAWwBHAFIAMAA1AF0AXAB0AEQAaQBhAGcASQBuAGQAZQB4ALsDXABuACAAIAAgACAAIAAgACAAIAAgACAAIAAgAFsARwBSADAANgBdAFwAdABQAGEAaQByAHcAaQBzAGUAuwNcAG4AIAAgACAAIAAgACAAIAAgACAAIAAgACAAWwBHAFIAMAA2AGEAXQBcAHQAVAByAGkAcABsAGUAdwBpAHMAZQC7A1wAbgBcAHQAIAAgACAAIAAgACAAIAAgAFsARwBSADAANgBiAF0AIABRAHUAYQBkAHcAaQBzAGUAuwNcAG4AIAAgACAAIAAgACAAIAAgACAAIAAgACAAWwBHAFIAMAA3AF0AXAB0AEcAcgBvAHUAcABiAHkAQgBpAG4AuwNcAG4AIAAgACAAIAAgACAAIAAgACAAIAAgACAAWwBHAFIAMAA4AF0AXAB0AEcAcgBvAHUAcABiAHkARABhAHQAZQC7A1wAbgAgACAAIAAgACAAIAAgACAAIAAgACAAIABbAEcAUgAwADkAXQBcAHQAUABpAHYAbwB0AGIAeQBDAGEAdAC7A1wAbgBcAHQAXAB0AFwAdABbAEcAUgAxADgAXQBcAHQARwByAG8AdQBwAEkAbgBkAGUAeAC7A1wAbgBcAHQAXAB0AFwAdABbAEcAUgAxADkAXQBcAHQATwBjAGMAdQByAHIAZQBuAGMAZQC7A1wAbgBcAHQAXAB0AFwAdABbAEcAUgAyADAAXQBcAHQATwBjAGMAdQByAHIAZQBuAGMAZQBSAGEAbgBnAGUAuwNcAG4AXABuACAAIAAgACAAIAAgACAAIAAgACAAIAAgAE4AZQBpAGcAaABiAG8AcgBoAG8AbwBkAHMAXABuACAAIAAgACAAIAAgACAAIAAgACAAIAAgAFsARwBSADEAMABdAFwAdABHAHIAYQBpAG4AuwNcAG4AIAAgACAAIAAgACAAIAAgACAAIAAgACAAWwBHAFIAMQAxAF0AXAB0AE0AbwBvAHIAZQBBAGcAZwC7A1wAbgAgACAAIAAgACAAIAAgACAAIAAgACAAIABbAEcAUgAxADIAXQBcAHQATQBvAG8AcgBlAFMAZQBsAGUAYwB0ALsDXABuAFwAbgAgACAAIAAgACAAIAAgACAAIAAgACAAIABTAHQAYQB0AGkAcwB0AGkAYwBzAFwAbgAgACAAIAAgACAAIAAgACAAIAAgACAAIABbAEcAUgAxADMAXQBcAHQASABpAHMAdABvAGcAcgBhAG0AuwNcAG4AIAAgACAAIAAgACAAIAAgACAAIAAgACAAWwBHAFIAMQA0AF0AXAB0AE0AbwBkAGUAuwNcAG4AIAAgACAAIAAgACAAIAAgACAAIAAgACAAWwBHAFIAMQA1AF0AXAB0AFoAbwBuAGUAUwB0AGEAdAC7A1wAbgBcAG4AIwAjACAAMAA3ACAALQAgAFsAVABYAF0AIAAgAFQAZQB4AHQAXABuACAAIAAgACAAIAAgACAAIAAgACAAIAAgAFsAVABYADAAMQBdAFwAdABBAGwAaQBnAG4AuwNcAG4AIAAgACAAIAAgACAAIAAgACAAIAAgACAAWwBUAFgAMAAyAF0AXAB0AEEAbABpAGcAbgBEAGkAcwB0AGkAbgBjAHQAuwNcAG4AIAAgACAAIAAgACAAIAAgACAAIAAgACAAWwBUAFgAMAAzAF0AXAB0AEEAbABpAGcAbgBVAG4AaQBxAHUAZQC7A1wAbgAgACAAIAAgACAAIAAgACAAIAAgACAAIABbAFQAWAAwADQAXQBcAHQAQwBvAGEAbABlAHMAYwBlALsDXABuACAAIAAgACAAIAAgACAAIAAgACAAIAAgAFsAVABYADAANQBdAFwAdABFAHgAcABsAG8AZABlALsDXABuACAAIAAgACAAIAAgACAAIAAgACAAIAAgAFsAVABYADAANgBdAFwAdABOAHUAbQBiAGUAcgBzAE8AbgBsAHkAuwNcAG4AIAAgACAAIAAgACAAIAAgACAAIAAgACAAWwBUAFgAMAA3AF0AXAB0AFQAZQB4AHQATwBuAGwAeQC7A1wAbgAgACAAIAAgACAAIAAgACAAIAAgACAAIABbAFQAWAAwADgAXQBcAHQAUwBwAGwAaQB0ALsDXABuAFwAbgAjACMAIAAwADgAIAAtACAAWwBFAE4AXQAgACAARQBuAGcAaQBuAGUAZQByAGkAbgBnAFwAbgAgACAAIAAgACAAIAAgACAAIAAgACAAIABbAEUATgAwADEAXQBcAHQAQgBpAG4AMgBEAGUAYwC7A1wAbgAgACAAIAAgACAAIAAgACAAIAAgACAAIABbAEUATgAwADIAXQBcAHQAQgBpAG4AMgBHAHIAYQB5ALsDXABuACAAIAAgACAAIAAgACAAIAAgACAAIAAgAFsARQBOADAAMwBdAFwAdABCAGkAdABDAG8AdQBuAHQAuwNcAG4AIAAgACAAIAAgACAAIAAgACAAIAAgACAAWwBFAE4AMAA0AF0AXAB0AEQAZQBjADIAQgBpAG4AuwNcAG4AIAAgACAAIAAgACAAIAAgACAAIAAgACAAWwBFAE4AMAA1AF0AXAB0AEQAZQBjADIARwByAGEAeQC7A1wAbgBcAG4AIwAjACAAMAA5ACAALQAgAFsAQwBCAF0AIAAgAEMAbwBtAGIAaQBuAGEAdABvAHIAaQBjAHMAXABuACAAIAAgACAAIAAgACAAIAAgACAAIAAgAFsAQwBCADAAMQBdAFwAdABQAGUAcgBtAFIAuwNcAG4AIAAgACAAIAAgACAAIAAgACAAIAAgACAAWwBDAEIAMAAyAF0AXAB0AFAAZQByAG0AuwNcAG4AIAAgACAAIAAgACAAIAAgACAAIAAgACAAWwBDAEIAMAAzAF0AXAB0AEMAbwBtAGIAaQBuAGEAdABpAG8AbgBzAFIAuwNcAG4AIAAgACAAIAAgACAAIAAgACAAIAAgACAAWwBDAEIAMAA0AF0AXAB0AEMAbwBtAGIAaQBuAGEAdABpAG8AbgBzALsDXABuACAAIAAgACAAIAAgACAAIAAgACAAIAAgAFsAQwBCADAANQBdAFwAdABEAGUAcgBhAG4AZwBlAG0AZQBuAHQAcwC7A1wAbgAgACAAIAAgACAAIAAgACAAIAAgACAAIABbAEMAQgAwADYAXQBcAHQASwBuAGEAcABTAGEAYwBrALsDXABuACAAIAAgACAAIAAgACAAIAAgACAAIAAgAFsAQwBCADAANwBdAFwAdABTAHUAYgBzAGUAdABHAGUAbgC7A1wAbgAgACAAIAAgACAAIAAgACAAIAAgACAAIABbAEMAQgAwADgAXQBcAHQAUwB1AGIAcwBlAHQAUwB1AG0AuwNcAG4AXABuACMAIwAgADEAMAAgAC0AIABbAEcARABdACAAIABHAHIAaQBkACAARABpAGEAZwBuAG8AcwB0AGkAYwBzAFwAbgAgACAAIAAgACAAIAAgACAAIAAgACAAIABbAEcARAAwADEAXQAgACAAUgBlAHYAZQBhAGwAuwNcAG4AXABuAFwAbgBcAG4AKgAvAFwAbgBcAG4AXABuAFwAbgAvAC8AIABbAEcAVwBdACAALQAtAC0ALQAtAC0ALQAtAC0ALQAtAC0ALQAtAC0ALQAtAC0ALQAtAC0ALQAtAC0ALQAtAC0ALQAtAC0ALQAtAC0ALQAtAC0ALQAtAC0ALQAtAC0ALQAtAC0ALQAtAC0ALQAtAC0ALQAtAC0ALQAtAC0ALQAtAC0ALQAtAC0ALQAtAC0ALQAtAC0ALQAtAC0ALQAtAC0ALQAtAFwAbgAvAC8AIAAtAC0ALQAjACMAIAAwADEAIAAtACAARwByAGkAZAB3AG8AcgBr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EcAcgBpAGQAdwBvAHIAawAgAGQAZQBmAGkAbgBlAHMAIAB0AGgAZQAgAGYAbwB1AG4AZABhAHQAaQBvAG4AYQBsACAAYwBvAG8AcgBkAGkAbgBhAHQAZQAgAHMAeQBzAHQAZQBtAHMAIABmAG8AcgAgADIARAAgAGEAcgByAGEAeQBzAC4AIABFAGEAYwBoAFwAbgAgACAAIAAgAGYAdQBuAGMAdABpAG8AbgAgAHAAcgBvAGQAdQBjAGUAcwAgAGEAIABjAGUAbgB0AGUAcgBlAGQALAAgAHMAeQBtAG0AZQB0AHIAaQBjAGEAbAAgAGcAZQBvAG0AZQB0AHIAaQBjACAAZABlAHMAYwByAGkAcAB0AGkAbwBuACAAbwBmACAAdABoAGUAIABnAHIAaQBkAC4AXABuAFwAbgBGAHUAbgBjAHQAaQBvAG4AcwA6AFwAbgAgACAAIAAgACIgIABEAEcAcgBpAGQAuwMgACAAIAAgACAAIAAtACAARABpAHIAZQBjAHQAaQBvAG4AIABnAHIAaQBkACAAKAAwALAALQAzADYAMACwACkAIAB1AHMAaQBuAGcAIABjAGUAbgB0AGUAcgBlAGQAIABDAGEAcgB0AGUAcwBpAGEAbgAgAGEAeABlAHMAXABuAFwAbgAgACAAIAAgACIgIABDAEcAcgBpAGQAuwMgACAAIAAgACAAIAAtACAAQwBhAHIAdABlAHMAaQBhAG4AIABnAHIAaQBkACAAKAByAG8AdwAgAG8AcgAgAGMAbwBsAHUAbQBuACAAYwBvAG8AcgBkAGkAbgBhAHQAZQBzACwAIABjAGUAbgB0AGUAcgBlAGQAKQBcAG4AXABuACAAIAAgACAAIiAgAE0ARwByAGkAZAC7AyAAIAAgACAAIAAgAC0AIABNAGUAcwBoACAAZwByAGkAZAAgACgAMQARIGIAYQBzAGUAZAAgAHIAbwB3ACAAbwByACAAYwBvAGwAdQBtAG4AIABpAG4AZABpAGMAZQBzACkAXABuAFwAbgAgACAAIAAgACIgIABUAEcAcgBpAGQAuwMgACAAIAAgACAAIAAtACAAVABoAHIAZQBzAGgAbwBsAGQAZQBkACAAbQBlAHMAaAAgAGcAcgBpAGQAIAAoAGkAbgBkAGkAYwBlAHMAIAB3AHIAYQBwACAAYQBmAHQAZQByACAAYQAgAGwAaQBtAGkAdAApAFwAbgBcAG4AIAAgACAAIAAiICAAUABvAGwAYQByAEcAcgBpAGQAuwMgACAALQAgAFAAbwBsAGEAcgAgAGMAbwBvAHIAZABpAG4AYQB0AGUAcwA6AFwAbgAgACAAIAAgACAAIAAgACAAIAAgACAAIAAgACAAIAAgACAAIAAgACAAIAAgAHIAIAAgACAAEyAgAHIAYQBkAGkAYQBsACAAZABpAHMAdABhAG4AYwBlACAAZgByAG8AbQAgAGcAcgBpAGQAIABjAGUAbgB0AGUAcgBcAG4AIAAgACAAIAAgACAAIAAgACAAIAAgACAAIAAgACAAIAAgACAAIAAgACAAIABwAGgAaQAgABMgIABhAG4AZwBsAGUAIABpAG4AIAByAGEAZABpAGEAbgBzACAAdQBzAGkAbgBnACAAQQBUAEEATgAyACgAeQAsACAAeAApAFwAbgBcAG4AIAAgACAAIAAiICAAUgBlAHMAaQB6AGUAuwMgACAAIAAgACAALQAgAFUAdABpAGwAaQB0AHkAIABmAG8AcgAgAGIAcgBvAGEAZABjAGEAcwB0AGkAbgBnACAAYwBvAG8AcgBkAGkAbgBhAHQAZQAgAHYAZQBjAHQAbwByAHMAIAB0AG8AIABnAHIAaQBkACAAcwBoAGEAcABlAFwAbgBcAG4ATgBvAHQAZQBzADoAXABuACAAIAAgACAAQQBsAGwAIABmAHUAbgBjAHQAaQBvAG4AcwAgAGEAcgBlACAAcwBoAGEAcABlAC0AZAByAGkAdgBlAG4AOgAgAHQAaABlACAAZABpAG0AZQBuAHMAaQBvAG4AcwAgAG8AZgAgAHQAaABlACAAcwB1AHAAcABsAGkAZQBkACAAZwByAGkAZAAgAGQAZQB0AGUAcgBtAGkAbgBlAFwAbgAgACAAIAAgAHQAaABlACAAYwBvAG8AcgBkAGkAbgBhAHQAZQAgAGUAeAB0AGUAbgB0AHMALgBcAG4AXABuAEUAeABhAG0AcABsAGUAcwA6AFwAbgAgACAAIAAgAEcAcgBpAGQAOgBcAG4AIAAgACAAIAAgACAAIAAgADEAIAAgACAAMgAgACAAIAAzACAAIAAgADQAIAAgACAANQBcAG4AIAAgACAAIAAgACAAIAAgADYAIAAgACAANwAgACAAIAA4ACAAIAAgADkAIAAgACAAMQAwAFwAbgAgACAAIAAgACAAIAAgACAAMQAxACAAIAAxADIAIAAgADEAMwAgACAAMQA0ACAAIAAxADUAXABuACAAIAAgACAAIAAgACAAIAAxADYAIAAgADEANwAgACAAMQA4ACAAIAAxADkAIAAgADIAMABcAG4AIAAgACAAIAAgACAAIAAgADIAMQAgACAAMgAyACAAIAAyADMAIAAgADIANAAgACAAMgA1AFwAbgBcAG4AIAAgACAAIABEAEcAcgBpAGQAuwMoAGcAcgBpAGQAKQA6AFwAbgAgACAAIAAgACAAIAAgACAAMgAyADUALgAwADAAIAAyADAANgAuADUANwAgADEAOAAwAC4AMAAwACAAMQA1ADMALgA0ADMAIAAxADMANQAuADAAMABcAG4AIAAgACAAIAAgACAAIAAgADIANAAzAC4ANAAzACAAMgAyADUALgAwADAAIAAxADgAMAAuADAAMAAgADEAMwA1AC4AMAAwACAAMQAxADYALgA1ADcAXABuACAAIAAgACAAIAAgACAAIAAyADcAMAAuADAAMAAgADIANwAwAC4AMAAwACAAIAAgADAALgAwADAAIAAgADkAMAAuADAAMAAgACAAOQAwAC4AMAAwAFwAbgAgACAAIAAgACAAIAAgACAAMgA5ADYALgA1ADcAIAAzADEANQAuADAAMAAgACAAIAAwAC4AMAAwACAAIAA0ADUALgAwADAAIAAgADYAMwAuADQAMwBcAG4AIAAgACAAIAAgACAAIAAgADMAMQA1AC4AMAAwACAAMwAzADMALgA0ADMAIAAgACAAMAAuADAAMAAgACAAMgA2AC4ANQA3ACAAIAA0ADUALgAwADAAXABuAFwAbgAgACAAIAAgAEMARwByAGkAZAC7AygAZwByAGkAZAApACAALQAgAHIAbwB3ACAAYwBvAG8AcgBkAGkAbgBhAHQAZQBzADoAXABuACAAIAAgACAAIAAgACAAIAAtADIAIAAtADIAIAAtADIAIAAtADIAIAAtADIAXABuACAAIAAgACAAIAAgACAAIAAtADEAIAAtADEAIAAtADEAIAAtADEAIAAtADEAXABuACAAIAAgACAAIAAgACAAIAAgADAAIAAgADAAIAAgADAAIAAgADAAIAAgADAAXABuACAAIAAgACAAIAAgACAAIAAgADEAIAAgADEAIAAgADEAIAAgADEAIAAgADEAXABuACAAIAAgACAAIAAgACAAIAAgADIAIAAgADIAIAAgADIAIAAgADIAIAAgADIAXABuAFwAbgAgACAAIAAgAEMARwByAGkAZAC7AygAZwByAGkAZAAsADEAKQAgAC0AIABjAG8AbAB1AG0AbgAgAGMAbwBvAHIAZABpAG4AYQB0AGUAcwA6AFwAbgAgACAAIAAgACAAIAAgACAALQAyACAALQAxACAAIAAwACAAIAAxACAAIAAyAFwAbgAgACAAIAAgACAAIAAgACAALQAyACAALQAxACAAIAAwACAAIAAxACAAIAAyAFwAbgAgACAAIAAgACAAIAAgACAALQAyACAALQAxACAAIAAwACAAIAAxACAAIAAyAFwAbgAgACAAIAAgACAAIAAgACAALQAyACAALQAxACAAIAAwACAAIAAxACAAIAAyAFwAbgAgACAAIAAgACAAIAAgACAALQAyACAALQAxACAAIAAwACAAIAAxACAAIAAyAFwAbgBcAG4AIAAgACAAIABNAEcAcgBpAGQAuwMoAGcAcgBpAGQAKQAgAC0AIAByAG8AdwAgAGkAbgBkAGkAYwBlAHMAOgBcAG4AIAAgACAAIAAgACAAIAAgADEAIAAxACAAMQAgADEAIAAxAFwAbgAgACAAIAAgACAAIAAgACAAMgAgADIAIAAyACAAMgAgADIAXABuACAAIAAgACAAIAAgACAAIAAzACAAMwAgADMAIAAzACAAMwBcAG4AIAAgACAAIAAgACAAIAAgADQAIAA0ACAANAAgADQAIAA0AFwAbgAgACAAIAAgACAAIAAgACAANQAgADUAIAA1ACAANQAgADUAXABuAFwAbgAgACAAIAAgAE0ARwByAGkAZAC7AygAZwByAGkAZAAsADEAKQAgAC0AIABjAG8AbAB1AG0AbgAgAGkAbgBkAGkAYwBlAHMAOgBcAG4AIAAgACAAIAAgACAAIAAgADEAIAAyACAAMwAgADQAIAA1AFwAbgAgACAAIAAgACAAIAAgACAAMQAgADIAIAAzACAANAAgADUAXABuACAAIAAgACAAIAAgACAAIAAxACAAMgAgADMAIAA0ACAANQBcAG4AIAAgACAAIAAgACAAIAAgADEAIAAyACAAMwAgADQAIAA1AFwAbgAgACAAIAAgACAAIAAgACAAMQAgADIAIAAzACAANAAgADUAXABuAFwAbgAgACAAIAAgAFQARwByAGkAZAC7AygAZwByAGkAZAAsADMAKQAgAC0AIAByAG8AdwAgAGkAbgBkAGkAYwBlAHMALAAgAHQAaAByAGUAcwBoAG8AbABkACAAMwA6AFwAbgAgACAAIAAgACAAIAAgACAAMQAgADEAIAAxACAAMQAgADEAXABuACAAIAAgACAAIAAgACAAIAAyACAAMgAgADIAIAAyACAAMgBcAG4AIAAgACAAIAAgACAAIAAgADMAIAAzACAAMwAgADMAIAAzAFwAbgAgACAAIAAgACAAIAAgACAAMQAgADEAIAAxACAAMQAgADEAXABuACAAIAAgACAAIAAgACAAIAAyACAAMgAgADIAIAAyACAAMgBcAG4AXABuACAAIAAgACAAVABHAHIAaQBkALsDKABnAHIAaQBkACwAMwAsADEAKQAgAC0AIABjAG8AbAB1AG0AbgAgAGkAbgBkAGkAYwBlAHMALAAgAHQAaAByAGUAcwBoAG8AbABkACAAMwA6AFwAbgAgACAAIAAgACAAIAAgACAAMQAgADIAIAAzACAAMQAgADIAXABuACAAIAAgACAAIAAgACAAIAAxACAAMgAgADMAIAAxACAAMgBcAG4AIAAgACAAIAAgACAAIAAgADEAIAAyACAAMwAgADEAIAAyAFwAbgAgACAAIAAgACAAIAAgACAAMQAgADIAIAAzACAAMQAgADIAXABuACAAIAAgACAAIAAgACAAIAAxACAAMgAgADMAIAAxACAAMgBcAG4AXABuACAAIAAgACAAUABvAGwAYQByAEcAcgBpAGQAuwMoAGcAcgBpAGQAKQAgAC0AIAByADoAXABuACAAIAAgACAAIAAgACAAIAAyAC4AOAAzACAAMgAuADIANAAgADIALgAwADAAIAAyAC4AMgA0ACAAMgAuADgAMwBcAG4AIAAgACAAIAAgACAAIAAgADIALgAyADQAIAAxAC4ANAAxACAAMQAuADAAMAAgADEALgA0ADEAIAAyAC4AMgA0AFwAbgAgACAAIAAgACAAIAAgACAAMgAuADAAMAAgADEALgAwADAAIAAwAC4AMAAwACAAMQAuADAAMAAgADIALgAwADAAXABuACAAIAAgACAAIAAgACAAIAAyAC4AMgA0ACAAMQAuADQAMQAgADEALgAwADAAIAAxAC4ANAAxACAAMgAuADIANABcAG4AIAAgACAAIAAgACAAIAAgADIALgA4ADMAIAAyAC4AMgA0ACAAMgAuADAAMAAgADIALgAyADQAIAAyAC4AOAAzAFwAbgBcAG4AIAAgACAAIABQAG8AbABhAHIARwByAGkAZAC7AygAZwByAGkAZAAsADEAKQAgAC0AIABwAGgAaQA6AFwAbgAgACAAIAAgACAAIAAgACAALQAyAC4AMwA2ACAALQAyAC4AMAAzACAALQAxAC4ANQA3ACAALQAxAC4AMQAxACAALQAwAC4ANwA5AFwAbgAgACAAIAAgACAAIAAgACAALQAyAC4ANgA4ACAALQAyAC4AMwA2ACAALQAxAC4ANQA3ACAALQAwAC4ANwA5ACAALQAwAC4ANAA2AFwAbgAgACAAIAAgACAAIAAgACAAIAAzAC4AMQA0ACAAIAAzAC4AMQA0ACAAIAAwAC4AMAAwACAAIAAwAC4AMAAwACAAIAAwAC4AMAAwAFwAbgAgACAAIAAgACAAIAAgACAAIAAyAC4ANgA4ACAAIAAyAC4AMwA2ACAAIAAxAC4ANQA3ACAAIAAwAC4ANwA5ACAAIAAwAC4ANAA2AFwAbgAgACAAIAAgACAAIAAgACAAIAAyAC4AMwA2ACAAIAAyAC4AMAAzACAAIAAxAC4ANQA3ACAAIAAxAC4AMQAxACAAIAAwAC4ANwA5AFwAbgAqAC8AXABuAFwAbgBcAG4AXABuAC8AKgBbAEcAVwAwADEAXQAtAC0ALQAtAC0ALQAtAC0ALQAtAC0ALQAtAC0ALQAtAC0ALQAtAC0ALQAtAC0ALQAtAC0ALQAtAC0ALQAtAC0ALQAtAC0ALQAtAC0ALQAtAC0ALQAtAC0ALQAtAC0ALQAtAC0ALQAtAC0ALQAtAC0ALQAtAC0ALQAtAC0ALQAtAC0ALQAtAC0ALQAtAC0ALQAtAC0ALQAtAC0ALQBcAG4ARgB1AG4AYwB0AGkAbwBuADoAIAAgACAAIAAgAEQARwByAGkAZAC7A1wAbgBDAGEAdABlAGcAbwByAHkAOgAgACAAIAAgACAARwByAGkAZAB3AG8AcgBrAFwAbgBBAHUAdABoAG8AcgA6ACAAIAAgACAAIAAgACAAUABhAHQAcgBpAGMAawAgAEgALgBcAG4AVgBlAHIAcwBpAG8AbgA6ACAAIAAgACAAIAAgADEALgAxAFwAbgBEAGUAcABlAG4AZABlAG4AYwBpAGUAcwA6ACAAQwBHAHIAaQBkALsDXABuAFwAbgBEAGUAcwBjAHIAaQBwAHQAaQBvAG4AOgBcAG4AIAAgACAAIABHAGUAbgBlAHIAYQB0AGUAcwAgAGEAIABjAG8AdQBuAHQAZQByABEgYwBsAG8AYwBrAHcAaQBzAGUAIABkAGkAcgBlAGMAdABpAG8AbgAgAGcAcgBpAGQAIABpAG4AIABkAGUAZwByAGUAZQBzACAAKAAwALAAEyAzADYAMACwACkAIAB1AHMAaQBuAGcAXABuACAAIAAgACAAYwBlAG4AdABlAHIAZQBkACAAQwBhAHIAdABlAHMAaQBhAG4AIABjAG8AbwByAGQAaQBuAGEAdABlAHMAIABmAHIAbwBtACAAQwBHAHIAaQBkALsDLgBcAG4AXABuACAAIAAgACAAQQBuAGcAbABlACAAYwBvAG4AdgBlAG4AdABpAG8AbgA6AFwAbgAgACAAIAAgACAAIAAgACAAMACwACAAIAAgAD0AIAArAFgAIABkAGkAcgBlAGMAdABpAG8AbgAgACgAcgBpAGcAaAB0ACkAXABuACAAIAAgACAAIAAgACAAIAA5ADAAsAAgACAAPQAgACsAWQAgAGQAaQByAGUAYwB0AGkAbwBuACAAKAB1AHAAKQBcAG4AIAAgACAAIAAgACAAIAAgADEAOAAwALAAIAA9ACAAEyBYACAAZABpAHIAZQBjAHQAaQBvAG4AIAAoAGwAZQBmAHQAKQBcAG4AIAAgACAAIAAgACAAIAAgADIANwAwALAAIAA9ACAAEyBZACAAZABpAHIAZQBjAHQAaQBvAG4AIAAoAGQAbwB3AG4AKQBcAG4AXABuACAAIAAgACAAVABoAGUAIABjAGUAbgB0AGUAcgAgAGMAZQBsAGwAIAAoADAALAAwACkAIAByAGUAdAB1AHIAbgBzACAAMACwACAAdgBpAGEAIABJAEYARQBSAFIATwBSACAAZgBhAGwAbABiAGEAYwBrAC4AXABuAFwAbgBQAGEAcgBhAG0AZQB0AGUAcgA6AFwAbgAgACAAIAAgAGcAcgBpAGQAIAAtACAAQQAgADEARAAgAG8AcgAgADIARAAgAGEAcgByAGEAeQAgAHcAaABvAHMAZQAgAGQAaQBtAGUAbgBzAGkAbwBuAHMAIABkAGUAdABlAHIAbQBpAG4AZQAgAHQAaABlACAAbwB1AHQAcAB1AHQAIABzAGkAegBlAC4AIAAgACAAIABcAG4ALQAtAC0ALQAtAC0ALQAtAC0ALQAtAC0ALQAtAC0ALQAtAC0ALQAtAC0ALQAtAC0ALQAtAC0ALQAtAC0ALQAtAC0ALQAtAC0ALQAtAC0ALQAtAC0ALQAtAC0ALQAtAC0ALQAtAC0ALQAtAC0ALQAtAC0ALQAtAC0ALQAtAC0ALQAtAC0ALQAtAC0ALQAtAC0ALQAtAC0ALQAtAC0AKgAvAFwAbgBcAG4ARABHAHIAaQBkALsDIAA9AFwAbgBMAEEATQBCAEQAQQAoAFwAbgAgACAAIAAgAGcAcgBpAGQALABcAG4ATABFAFQAKABcAG4AIAAgACAAIAAvAC8AIABSAGEAdwAgAGEAbgBnAGwAZQAgAGkAbgAgAGQAZQBnAHIAZQBlAHMAIAAoAG0AYQB5ACAAYgBlACAAbgBlAGcAYQB0AGkAdgBlACkAXABuACAAIAAgACAAdABoAGUAdABhACwAIABJAEYARQBSAFIATwBSACgARABFAEcAUgBFAEUAUwAoAEEAVABBAE4AMgAoAEMARwByAGkAZAC7AygAZwByAGkAZAApACwAIABDAEcAcgBpAGQAuwMoAGcAcgBpAGQALAAxACkAKQApACwAMAApACwAXABuAFwAbgAgACAAIAAgAC8ALwAgAE4AbwByAG0AYQBsAGkAegBlACAAdABvACAAMACwABMgMwA2ADAAsABcAG4AIAAgACAAIABhAG4AZwBsAGUALAAgAE0ATwBEACgAdABoAGUAdABhACAAKwAgADMANgAwACwAIAAzADYAMAApACwAXABuAFwAbgAgACAAIAAgAGEAbgBnAGwAZQBcAG4AKQApADsAXABuAFwAbgBcAG4AXABuAC8AKgBbAEcAVwAwADIAXQAtAC0ALQAtAC0ALQAtAC0ALQAtAC0ALQAtAC0ALQAtAC0ALQAtAC0ALQAtAC0ALQAtAC0ALQAtAC0ALQAtAC0ALQAtAC0ALQAtAC0ALQAtAC0ALQAtAC0ALQAtAC0ALQAtAC0ALQAtAC0ALQAtAC0ALQAtAC0ALQAtAC0ALQAtAC0ALQAtAC0ALQAtAC0ALQAtAC0ALQAtAC0ALQBcAG4ARgB1AG4AYwB0AGkAbwBuADoAIAAgACAAIAAgAEMARwByAGkAZAC7A1wAbgBDAGEAdABlAGcAbwByAHkAOgAgACAAIAAgACAARwByAGkAZAB3AG8AcgBrAFwAbgBBAHUAdABoAG8AcgA6ACAAIAAgACAAIAAgACAAUABhAHQAcgBpAGMAawAgAEgALgBcAG4AVgBlAHIAcwBpAG8AbgA6ACAAIAAgACAAIAAgADEALgAxAFwAbgBEAGUAcABlAG4AZABlAG4AYwBpAGUAcwA6ACAAUgBlAHMAaQB6AGUAuwNcAG4AXABuAEQAZQBzAGMAcgBpAHAAdABpAG8AbgA6AFwAbgAgACAAIAAgAEcAZQBuAGUAcgBhAHQAZQBzACAAYwBlAG4AdABlAHIAZQBkACAAQwBhAHIAdABlAHMAaQBhAG4AIABjAG8AbwByAGQAaQBuAGEAdABlACAAZwByAGkAZABzACAAYQBsAGkAZwBuAGUAZAAgAHQAbwAgAHQAaABlACAAcwBoAGEAcABlACAAbwBmACAAYQBcAG4AIAAgACAAIABzAHUAcABwAGwAaQBlAGQAIABhAHIAcgBhAHkALgAgAFIAZQB0AHUAcgBuAHMAIABlAGkAdABoAGUAcgAgAHIAbwB3ACAAYwBvAG8AcgBkAGkAbgBhAHQAZQBzACAAbwByACAAYwBvAGwAdQBtAG4AIABjAG8AbwByAGQAaQBuAGEAdABlAHMALgBcAG4AXABuACAAIAAgACAAQwBvAG8AcgBkAGkAbgBhAHQAZQAgAHIAYQBuAGcAZQBzACAAYQByAGUAIABjAGUAbgB0AGUAcgBlAGQAIABzAHUAYwBoACAAdABoAGEAdAA6AFwAbgAgACAAIAAgACAAIAAgACAAUgBvAHcAOgAgACAALQAoAGgAIAAtACAAMQApACAALwAgADIAIAAgAC4ALgAuACAAIAArACgAaAAgAC0AIAAxACkAIAAvACAAMgBcAG4AIAAgACAAIAAgACAAIAAgAEMAbwBsADoAIAAgAC0AKAB3ACAALQAgADEAKQAgAC8AIAAyACAAIAAuAC4ALgAgACAAKwAoAHcAIAAtACAAMQApACAALwAgADIAXABuAFwAbgAgACAAIAAgAFcAbwByAGsAcwAgAGYAbwByACAAYgBvAHQAaAAgADEARAAgAGEAbgBkACAAMgBEACAAYQByAHIAYQB5AHM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jAG8AbwByAGQAaQBuAGEAdABlAHMALgAgAEkAZgAgAG8AbQBpAHQAdABlAGQALAAgAHIAZQB0AHUAcgBuACAAcgBvAHcAXABuACAAIAAgACAAIAAgACAAIAAgACAAIAAgACAAIAAgACAAIAAgAGMAbwBvAHIAZABpAG4AYQB0AGUAcwAuAFwAbgAtAC0ALQAtAC0ALQAtAC0ALQAtAC0ALQAtAC0ALQAtAC0ALQAtAC0ALQAtAC0ALQAtAC0ALQAtAC0ALQAtAC0ALQAtAC0ALQAtAC0ALQAtAC0ALQAtAC0ALQAtAC0ALQAtAC0ALQAtAC0ALQAtAC0ALQAtAC0ALQAtAC0ALQAtAC0ALQAtAC0ALQAtAC0ALQAtAC0ALQAtAC0ALQAqAC8AXABuAFwAbgBD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UwB0AGEAcgB0AGkAbgBnACAAYwBvAG8AcgBkAGkAbgBhAHQAZQBzACAAKABjAGUAbgB0AGUAcgBlAGQAKQBcAG4AIAAgACAAIABpAF8AcwB0AGEAcgB0ACwAIAAtACAAKABoACAALQAgADEAKQAgAC8AIAAyACwAXABuACAAIAAgACAAagBfAHMAdABhAHIAdAAsACAALQAgACgAdwAgAC0AIAAxACkAIAAvACAAMgAsAFwAbgBcAG4AIAAgACAAIAAvAC8AIABEAGUAZgBlAHIAcgBlAGQAIABjAG8AbwByAGQAaQBuAGEAdABlACAAZwBlAG4AZQByAGEAdABvAHIAcwBcAG4AIAAgACAAIABpACwAIAAgACAAIAAgACAAIABMAEEATQBCAEQAQQAoAFIAZQBzAGkAegBlALsDKABTAEUAUQBVAEUATgBDAEUAKABoACwALABpAF8AcwB0AGEAcgB0ACkALAAsAHcAKQApACwAXABuACAAIAAgACAAagAsACAAIAAgACAAIAAgACAATABBAE0AQgBEAEEAKABSAGUAcwBpAHoAZQC7AygAUwBFAFEAVQBFAE4AQwBFACgALAB3ACwAagBfAHMAdABhAHIAdAApACwAaAApACkALABcAG4AXABuACAAIAAgACAALwAvACAAUwBlAGwAZQBjAHQAIAByAG8AdwAgAG8AcgAgAGMAbwBsAHUAbQBuACAAYwBvAG8AcgBkAGkAbgBhAHQAZQAgAGcAcgBpAGQAXABuACAAIAAgACAAcgBlAHMAdQBsAHQALAAgAEkARgAoAFIAbwB3AEkAZAB4AD8ALAAgAGkAKAApACwAIABqACgAKQApACwAXABuAFwAbgAgACAAIAAgAHIAZQBzAHUAbAB0AFwAbgApACkAOwBcAG4AXABuAFwAbgBcAG4ALwAqAFsARwBXADAAMwBdAC0ALQAtAC0ALQAtAC0ALQAtAC0ALQAtAC0ALQAtAC0ALQAtAC0ALQAtAC0ALQAtAC0ALQAtAC0ALQAtAC0ALQAtAC0ALQAtAC0ALQAtAC0ALQAtAC0ALQAtAC0ALQAtAC0ALQAtAC0ALQAtAC0ALQAtAC0ALQAtAC0ALQAtAC0ALQAtAC0ALQAtAC0ALQAtAC0ALQAtAC0ALQAtAFwAbgBGAHUAbgBjAHQAaQBvAG4AOgAgACAAIAAgACAATQBHAHIAaQBkALsDXABuAEMAYQB0AGUAZwBvAHIAeQA6ACAAIAAgACAAIABHAHIAaQBkAHcAbwByAGsAXABuAEEAdQB0AGgAbwByADoAIAAgACAAIAAgACAAIABQAGEAdAByAGkAYwBrACAASAAuAFwAbgBWAGUAcgBzAGkAbwBuADoAIAAgACAAIAAgACAAMQAuADEAXABuAEQAZQBwAGUAbgBkAGUAbgBjAGkAZQBzADoAIABSAGUAcwBpAHoAZQC7A1wAbgBcAG4ARABlAHMAYwByAGkAcAB0AGkAbwBuADoAXABuACAAIAAgACAARwBlAG4AZQByAGEAdABlAHMAIAByAG8AdwARIGkAbgBkAGUAeAAgAG8AcgAgAGMAbwBsAHUAbQBuABEgaQBuAGQAZQB4ACAAZwByAGkAZABzACAAbQBhAHQAYwBoAGkAbgBnACAAdABoAGUAIABzAGgAYQBwAGUAIABvAGYAIABhACAAcwB1AHAAcABsAGkAZQBkAFwAbgAgACAAIAAgAGEAcgByAGEAeQAuACAAVABoAGkAcwAgAGkAcwAgAHQAaABlACAARQB4AGMAZQBsACAAZQBxAHUAaQB2AGEAbABlAG4AdAAgAG8AZgAgAE0AQQBUAEwAQQBCABkgcwAgAG0AZQBzAGgAZwByAGkAZAAgAG8AcgAgAE4AdQBtAFAAeQAZIHMAIABpAG4AZABpAGMAZQBzAC4AXABuAFwAbgAgACAAIAAgAEIAeQAgAGQAZQBmAGEAdQBsAHQALAAgAE0ARwByAGkAZAC7AyAAcgBlAHQAdQByAG4AcwAgAHIAbwB3ACAAaQBuAGQAaQBjAGUAcwAuACAAVwBoAGUAbgAgAHQAaABlACAAbwBwAHQAaQBvAG4AYQBsACAAcABhAHIAYQBtAGUAdABlAHIAIABpAHMAIABUAFIAVQBFACwAXABuACAAIAAgACAAaQB0ACAAcgBlAHQAdQByAG4AcwAgAGMAbwBsAHUAbQBuACAAaQBuAGQAaQBjAGUAcwAgAGkAbgBzAHQAZQBhAGQALgBcAG4AXABuACAAIAAgACAAVwBvAHIAawBzACAAZgBvAHIAIABiAG8AdABoACAAMQBEACAAYQBuAGQAIAAyAEQAIABhAHIAcgBhAHkAcwAuACAATwB1AHQAcAB1AHQAIABhAGwAdwBhAHkAcwAgAG0AYQB0AGMAaABlAHMAIAB0AGgAZQAgAGcAZQBvAG0AZQB0AHIAeQAgAG8AZgAgAHQAaABlAFwAbgAgACAAIAAgAGkAbgBwAHUAdAAgAGcAcgBpAGQALgBcAG4AXABuAFAAYQByAGEAbQBlAHQAZQByAHMAOgBcAG4AIAAgACAAIABnAHIAaQBkACAAIAAgACAAIAAgACAAIAAtACAAQQAgADEARAAgAG8AcgAgADIARAAgAGEAcgByAGEAeQAgAHcAaABvAHMAZQAgAGQAaQBtAGUAbgBzAGkAbwBuAHMAIABkAGUAdABlAHIAbQBpAG4AZQAgAHQAaABlACAAbwB1AHQAcAB1AHQAIABzAGkAegBlAC4AXABuACAAIAAgACAAWwBjAG8AbABfAGkAbgBkAGUAeABdACAALQAgAEkAZgAgAFQAUgBVAEUALAAgAHIAZQB0AHUAcgBuACAAYwBvAGwAdQBtAG4AIABpAG4AZABpAGMAZQBzAC4AIABJAGYAIABvAG0AaQB0AHQAZQBkACwAIAByAGUAdAB1AHIAbgAgAHIAbwB3ACAAaQBuAGQAaQBjAGUAcwAuAFwAbgAtAC0ALQAtAC0ALQAtAC0ALQAtAC0ALQAtAC0ALQAtAC0ALQAtAC0ALQAtAC0ALQAtAC0ALQAtAC0ALQAtAC0ALQAtAC0ALQAtAC0ALQAtAC0ALQAtAC0ALQAtAC0ALQAtAC0ALQAtAC0ALQAtAC0ALQAtAC0ALQAtAC0ALQAtAC0ALQAtAC0ALQAtAC0ALQAtAC0ALQAtAC0ALQAqAC8AXABuAFwAbgBNAEcAcgBpAGQAuwMgAD0AXABuAEwAQQBNAEIARABBACgAXABuACAAIAAgACAAZwByAGkAZAAsAFwAbgAgACAAIAAgAFsAYwBvAGwAXwBpAG4AZABlAHgAXQAsAFwAbgBMAEUAVAAo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aQBuAGQAZQB4ACAAZwByAGkAZABzAFwAbgAgACAAIAAgAGkALAAgACAAIAAgACAAIAAgAEwAQQBNAEIARABBACgAUgBlAHMAaQB6AGUAuwMoAFMARQBRAFUARQBOAEMARQAoAGgAKQAsACwAdwApACkALABcAG4AIAAgACAAIABqACwAIAAgACAAIAAgACAAIABMAEEATQBCAEQAQQAoAFIAZQBzAGkAegBlALsDKABTAEUAUQBVAEUATgBDAEUAKAAsAHcAKQAsAGgAKQApACwAXABuAFwAbgAgACAAIAAgAC8ALwAgAFMAZQBsAGUAYwB0ACAAcgBvAHcAIABvAHIAIABjAG8AbAB1AG0AbgAgAGkAbgBkAGUAeAAgAGcAcgBpAGQAXABuACAAIAAgACAAcgBlAHMAdQBsAHQALAAgACAASQBGACgAUgBvAHcASQBkAHgAPwAsACAAaQAoACkALAAgAGoAKAApACkALABcAG4AXABuACAAIAAgACAAcgBlAHMAdQBsAHQAXABuACkAKQA7AFwAbgBcAG4AXABuAFwAbgAvACoAWwBHAFcAMAA0AF0ALQAtAC0ALQAtAC0ALQAtAC0ALQAtAC0ALQAtAC0ALQAtAC0ALQAtAC0ALQAtAC0ALQAtAC0ALQAtAC0ALQAtAC0ALQAtAC0ALQAtAC0ALQAtAC0ALQAtAC0ALQAtAC0ALQAtAC0ALQAtAC0ALQAtAC0ALQAtAC0ALQAtAC0ALQAtAC0ALQAtAC0ALQAtAC0ALQAtAC0ALQAtAC0AXABuAEYAdQBuAGMAdABpAG8AbgA6ACAAIAAgACAAIABUAEcAcgBpAGQAuwNcAG4AQwBhAHQAZQBnAG8AcgB5ADoAIAAgACAAIAAgAEcAcgBpAGQAdwBvAHIAawBcAG4AQQB1AHQAaABvAHIAOgAgACAAIAAgACAAIAAgAFAAYQB0AHIAaQBjAGsAIABIAC4AXABuAFYAZQByAHMAaQBvAG4AOgAgACAAIAAgACAAIAAxAC4AMQBcAG4ARABlAHAAZQBuAGQAZQBuAGMAaQBlAHMAOgAgAFIAZQBzAGkAegBlALsDXABuAFwAbgBEAGUAcwBjAHIAaQBwAHQAaQBvAG4AOgBcAG4AIAAgACAAIABHAGUAbgBlAHIAYQB0AGUAcwAgAHIAbwB3ABEgaQBuAGQAZQB4ACAAbwByACAAYwBvAGwAdQBtAG4AESBpAG4AZABlAHgAIABnAHIAaQBkAHMAIAB3AGgAbwBzAGUAIAB2AGEAbAB1AGUAcwAgAHcAcgBhAHAAIAB3AGkAdABoAGkAbgAgAGEAIABzAHAAZQBjAGkAZgBpAGUAZABcAG4AIAAgACAAIAB0AGgAcgBlAHMAaABvAGwAZAAuACAASQBuAGQAaQBjAGUAcwAgAGMAeQBjAGwAZQAgAGYAcgBvAG0AIAAxACAAdABvACAAdABoAHIAZQBzAGgAbwBsAGQALAAgAHIAZQBwAGUAYQB0AGkAbgBnACAAYQBzACAAbgBlAGUAZABlAGQAIAB0AG8AIABtAGEAdABjAGgAIAB0AGgAZQBcAG4AIAAgACAAIABzAGgAYQBwAGUAIABvAGYAIAB0AGgAZQAgAHMAdQBwAHAAbABpAGUAZAAgAGEAcgByAGEAeQAuAFwAbgBcAG4AIAAgACAAIABCAHkAIABkAGUAZgBhAHUAbAB0ACwAIABUAEcAcgBpAGQAuwMgAHIAZQB0AHUAcgBuAHMAIAByAG8AdwAgAGkAbgBkAGkAYwBlAHMALgAgAFcAaABlAG4AIAB0AGgAZQAgAG8AcAB0AGkAbwBuAGEAbAAgAHAAYQByAGEAbQBlAHQAZQByACAAaQBzACAAVABSAFUARQAsAFwAbgAgACAAIAAgAGkAdAAgAHIAZQB0AHUAcgBuAHMAIABjAG8AbAB1AG0AbgAgAGkAbgBkAGkAYwBlAHMAIABpAG4AcwB0AGUAYQBkAC4AXABuAFwAbgAgACAAIAAgAE4AbwBuABEgaQBuAHQAZQBnAGUAcgAgAHQAaAByAGUAcwBoAG8AbABkAHMAIABhAHIAZQAgAG4AbwByAG0AYQBsAGkAegBlAGQAIAB1AHMAaQBuAGcAIABJAE4AVAAoAHQAaAByAGUAcwBoAG8AbABkACkALgAgAFQAaAByAGUAcwBoAG8AbABkAHMAIABtAHUAcwB0ACAAYgBlAFwAbgAgACAAIAAgAHAAbwBzAGkAdABpAHYAZQAgAGkAbgB0AGUAZwBlAHIAcwAuAFwAbgBcAG4AUABhAHIAYQBtAGUAdABlAHIAcwA6AFwAbgAgACAAIAAgAGcAcgBpAGQAIAAgACAAIAAgACAAIAAgAC0AIABBACAAMQBEACAAbwByACAAMgBEACAAYQByAHIAYQB5ACAAdwBoAG8AcwBlACAAZABpAG0AZQBuAHMAaQBvAG4AcwAgAGQAZQB0AGUAcgBtAGkAbgBlACAAdABoAGUAIABvAHUAdABwAHUAdAAgAHMAaQB6AGUALgBcAG4AIAAgACAAIAB0AGgAcgBlAHMAaABvAGwAZAAgACAAIAAtACAATQBhAHgAaQBtAHUAbQAgAGkAbgBkAGUAeAAgAHYAYQBsAHUAZQAgAGIAZQBmAG8AcgBlACAAdwByAGEAcABwAGkAbgBnACAAKABtAHUAcwB0ACAAYgBlACAAPgAgADAAKQAuAFwAbgAgACAAIAAgAFsAYwBvAGwAXwBpAG4AZABlAHgAXQAgAC0AIABJAGYAIABUAFIAVQBFACwAIAByAGUAdAB1AHIAbgAgAGMAbwBsAHUAbQBuACAAaQBuAGQAaQBjAGUAcwAuACAASQBmACAAbwBtAGkAdAB0AGUAZAAsACAAcgBlAHQAdQByAG4AIAByAG8AdwAgAGkAbgBkAGkAYwBlAHMALgBcAG4ALQAtAC0ALQAtAC0ALQAtAC0ALQAtAC0ALQAtAC0ALQAtAC0ALQAtAC0ALQAtAC0ALQAtAC0ALQAtAC0ALQAtAC0ALQAtAC0ALQAtAC0ALQAtAC0ALQAtAC0ALQAtAC0ALQAtAC0ALQAtAC0ALQAtAC0ALQAtAC0ALQAtAC0ALQAtAC0ALQAtAC0ALQAtAC0ALQAtAC0ALQAtAC0AKgAvAFwAbgBcAG4AVABHAHIAaQBkALsDIAA9AFwAbgBMAEEATQBCAEQAQQAoAFwAbgAgACAAIAAgAGcAcgBpAGQALABcAG4AIAAgACAAIAB0AGgAcgBlAHMAaABvAGwAZAAsAFwAbgAgACAAIAAgAFsAYwBvAGwAXwBpAG4AZABlAHgAXQAsAFwAbgBcAG4ASQBGACgATwBSACgASQBTAFQARQBYAFQAKAB0AGgAcgBlAHMAaABvAGwAZAApACwAIAB0AGgAcgBlAHMAaABvAGwAZAAgADwAPQAgADAAKQAsAFwAIgAjAFQASABSAEUAUwBIAE8ATABEACEAXAAiACwAXABuAFwAbgBMAEUAVAAoAFwAbgAgACAAIAAgAC8ALwAgAE4AbwByAG0AYQBsAGkAegBlACAAdABoAHIAZQBzAGgAbwBsAGQAXABuACAAIAAgACAAdAAsACAAIAAgACAAIAAgACAASQBOAFQAKAB0AGgAcgBlAHMAaABvAGwAZAApACwAXABuAFwAbgAgACAAIAAgAC8ALwAgAFIAZQB0AHUAcgBuACAAbQBvAGQAZQBcAG4AIAAgACAAIABSAG8AdwBJAGQAeAA/ACwAIABJAFMATwBNAEkAVABUAEUARAAoAGMAbwBsAF8AaQBuAGQAZQB4ACkALABcAG4AXABuACAAIAAgACAALwAvACAARwByAGkAZAAgAGQAaQBtAGUAbgBzAGkAbwBuAHMAXABuACAAIAAgACAAaAAsACAAIAAgACAAIAAgACAAUgBPAFcAUwAoAGcAcgBpAGQAKQAsAFwAbgAgACAAIAAgAHcALAAgACAAIAAgACAAIAAgAEMATwBMAFUATQBOAFMAKABnAHIAaQBkACkALABcAG4AXABuACAAIAAgACAALwAvACAARABlAGYAZQByAHIAZQBkACAAdwByAGEAcABwAGUAZAAgAGkAbgBkAGUAeAAgAGcAcgBpAGQAcwBcAG4AIAAgACAAIABpACwAIAAgACAAIAAgACAAIABMAEEATQBCAEQAQQAoACAAMQAgACsAIABNAE8ARAAoAFIAZQBzAGkAegBlALsDKABTAEUAUQBVAEUATgBDAEUAKABoACwALAAwACkALAAsAHcAKQAsACAAdAApACkALABcAG4AIAAgACAAIABqACwAIAAgACAAIAAgACAAIABMAEEATQBCAEQAQQAoACAAMQAgACsAIABNAE8ARAAoAFIAZQBzAGkAegBlALsDKABTAEUAUQBVAEUATgBDAEUAKAAsAHcALAAwACkALABoACkALAAgAHQAKQApACwAXABuAFwAbgAgACAAIAAgAC8ALwAgAFMAZQBsAGUAYwB0ACAAcgBvAHcAIABvAHIAIABjAG8AbAB1AG0AbgAgAGkAbgBkAGUAeAAgAGcAcgBpAGQAXABuACAAIAAgACAAcgBlAHMAdQBsAHQALAAgACAASQBGACgAUgBvAHcASQBkAHgAPwAsACAAaQAoACkALAAgAGoAKAApACkALABcAG4AXABuACAAIAAgACAAcgBlAHMAdQBsAHQAXABuACkAKQApADsAXABuAFwAbgBcAG4AXABuAC8AKgBbAEcAVwAwADUAXQAtAC0ALQAtAC0ALQAtAC0ALQAtAC0ALQAtAC0ALQAtAC0ALQAtAC0ALQAtAC0ALQAtAC0ALQAtAC0ALQAtAC0ALQAtAC0ALQAtAC0ALQAtAC0ALQAtAC0ALQAtAC0ALQAtAC0ALQAtAC0ALQAtAC0ALQAtAC0ALQAtAC0ALQAtAC0ALQAtAC0ALQAtAC0ALQAtAC0ALQAtAC0ALQBcAG4ARgB1AG4AYwB0AGkAbwBuADoAIAAgACAAIAAgAFAAbwBsAGEAcgBHAHIAaQBkALsDXABuAEMAYQB0AGUAZwBvAHIAeQA6ACAAIAAgACAAIABHAHIAaQBkAHcAbwByAGsAXABuAEEAdQB0AGgAbwByADoAIAAgACAAIAAgACAAIABQAGEAdAByAGkAYwBrACAASAAuAFwAbgBWAGUAcgBzAGkAbwBuADoAIAAgACAAIAAgACAAMQAuADEAXABuAEQAZQBwAGUAbgBkAGUAbgBjAGkAZQBzADoAIABDAEcAcgBpAGQAuwNcAG4AXABuAEQAZQBzAGMAcgBpAHAAdABpAG8AbgA6AFwAbgAgACAAIAAgAEcAZQBuAGUAcgBhAHQAZQBzACAAYQAgAGcAcgBpAGQAIABvAGYAIABwAG8AbABhAHIAIABjAG8AbwByAGQAaQBuAGEAdABlAHMAIABhAGwAaQBnAG4AZQBkACAAdABvACAAdABoAGUAIABzAGgAYQBwAGUAIABvAGYAIABhACAAcwB1AHAAcABsAGkAZQBkAFwAbgAgACAAIAAgAGEAcgByAGEAeQAuACAAQwBvAG8AcgBkAGkAbgBhAHQAZQBzACAAYQByAGUAIABkAGUAcgBpAHYAZQBkACAAZgByAG8AbQAgAGMAZQBuAHQAZQByAGUAZAAgAEMAYQByAHQAZQBzAGkAYQBuACAAYwBvAG8AcgBkAGkAbgBhAHQAZQBzACAAcAByAG8AZAB1AGMAZQBkAFwAbgAgACAAIAAgAGIAeQAgAEMARwByAGkAZAC7Ay4AXABuAFwAbgAgACAAIAAgAFQAdwBvACAAYwBvAG8AcgBkAGkAbgBhAHQAZQAgAGYAaQBlAGwAZABzACAAYQByAGUAIABhAHYAYQBpAGwAYQBiAGwAZQA6AFwAbgAgACAAIAAgACAAIAAgACAAcgAgACAAIAAgAC0AIAByAGEAZABpAGEAbAAgAGQAaQBzAHQAYQBuAGMAZQAgAGYAcgBvAG0AIAB0AGgAZQAgAGMAZQBuAHQAZQByAFwAbgAgACAAIAAgACAAIAAgACAAcABoAGkAIAAgAC0AIABhAG4AZwBsAGUAIABpAG4AIAByAGEAZABpAGEAbgBzACwAIAB1AHMAaQBuAGcAIAB0AGgAZQAgAEEAVABBAE4AMgAoAHkALAAgAHgAKQAgAGMAbwBuAHYAZQBuAHQAaQBvAG4AXABuAFwAbgAgACAAIAAgAEkAZgAgAHAAaABpAF8AYwBvAG8AcgBkAGkAbgBhAHQAZQAgAGkAcwAgAG8AbQBpAHQAdABlAGQALAAgAHQAaABlACAAZgB1AG4AYwB0AGkAbwBuACAAcgBlAHQAdQByAG4AcwAgAHQAaABlACAAcgBhAGQAaQBhAGwAIABkAGkAcwB0AGEAbgBjAGUAIABnAHIAaQBkAC4AXABuACAAIAAgACAASQBmACAAVABSAFUARQAsACAAdABoAGUAIABmAHUAbgBjAHQAaQBvAG4AIAByAGUAdAB1AHIAbgBzACAAdABoAGUAIABhAG4AZwB1AGwAYQByACAAZwByAGkAZAAuAFwAbgBcAG4AIAAgACAAIABUAGgAZQAgAGMAZQBuAHQAZQByACAAYwBlAGwAbAAgACgAMAAsADAAKQAgAHIAZQB0AHUAcgBuAHMAIABwAGgAaQAgAD0AIAAwACAAdgBpAGEAIABJAEYARQBSAFIATwBSACAAZgBhAGwAbABiAGEAYwBrAC4AXABuAFwAbgBQAGEAcgBhAG0AZQB0AGUAcgBzADoAXABuACAAIAAgACAAZwByAGkAZAAgACAAIAAgACAAIAAgACAAIAAgACAAIAAgAC0AIAAyAEQAIABhAHIAcgBhAHkAIABmAHIAbwBtACAAdwBoAGkAYwBoACAAdABvACAAZwBlAG4AZQByAGEAdABlACAAcABvAGwAYQByACAAYwBvAG8AcgBkAGkAbgBhAHQAZQBzAC4AXABuACAAIAAgACAAWwBwAGgAaQBfAGMAbwBvAHIAZABpAG4AYQB0AGUAXQAgAC0AIABJAGYAIABUAFIAVQBFACwAIAByAGUAdAB1AHIAbgAgAHAAaABpADsAIABpAGYAIABvAG0AaQB0AHQAZQBkACwAIAByAGUAdAB1AHIAbgAgAHIALgBcAG4ALQAtAC0ALQAtAC0ALQAtAC0ALQAtAC0ALQAtAC0ALQAtAC0ALQAtAC0ALQAtAC0ALQAtAC0ALQAtAC0ALQAtAC0ALQAtAC0ALQAtAC0ALQAtAC0ALQAtAC0ALQAtAC0ALQAtAC0ALQAtAC0ALQAtAC0ALQAtAC0ALQAtAC0ALQAtAC0ALQAtAC0ALQAtAC0ALQAtAC0ALQAtAC0AKgAvAFwAbgBcAG4AUABvAGwAYQByAEcAcgBpAGQAuwMgAD0AXABuAEwAQQBNAEIARABBACgAXABuACAAIAAgACAAZwByAGkAZAAsAFwAbgAgACAAIAAgAFsAcABoAGkAXwBjAG8AbwByAGQAaQBuAGEAdABlAF0ALABcAG4ATABFAFQAKABcAG4AIAAgACAAIAAvAC8AIABSAGUAdAB1AHIAbgAgAG0AbwBkAGUAXABuACAAIAAgACAASQBzAFIAPwAsACAAIAAgAEkAUwBPAE0ASQBUAFQARQBEACgAcABoAGkAXwBjAG8AbwByAGQAaQBuAGEAdABlACkALABcAG4AXABuACAAIAAgACAALwAvACAAQwBhAHIAdABlAHMAaQBhAG4AIABjAG8AbwByAGQAaQBuAGEAdABlAHMAXABuACAAIAAgACAAeAAsACAAIAAgACAAIAAgAEMARwByAGkAZAC7AygAZwByAGkAZAApACwAXABuACAAIAAgACAAeQAsACAAIAAgACAAIAAgAEMARwByAGkAZAC7AygAZwByAGkAZAAsADEAKQAsAFwAbgBcAG4AIAAgACAAIAAvAC8AIABQAG8AbABhAHIAIABjAG8AbwByAGQAaQBuAGEAdABlAHMAXABuACAAIAAgACAAcgAsACAAIAAgACAAIAAgAFMAUQBSAFQAKAB4AF4AMgAgACsAIAB5AF4AMgApACwAXABuACAAIAAgACAAcABoAGkALAAgACAAIAAgAEkARgBFAFIAUgBPAFIAKABBAFQAQQBOADIAKAB5ACwAIAB4ACkALAAgADAAKQAsAFwAbgBcAG4AIAAgACAAIAAvAC8AIABTAGUAbABlAGMAdAAgAHIAIABvAHIAIABwAGgAaQBcAG4AIAAgACAAIAByAGUAcwB1AGwAdAAsACAASQBGACgASQBzAFIAPwAsACAAcgAsACAAcABoAGkAKQAsAFwAbgBcAG4AIAAgACAAIAByAGUAcwB1AGwAdABcAG4AKQApADsAXABuAFwAbgBcAG4AXABuAC8AKgAgAFsARwBHAF0AIAAtAC0ALQAtAC0ALQAtAC0ALQAtAC0ALQAtAC0ALQAtAC0ALQAtAC0ALQAtAC0ALQAtAC0ALQAtAC0ALQAtAC0ALQAtAC0ALQAtAC0ALQAtAC0ALQAtAC0ALQAtAC0ALQAtAC0ALQAtAC0ALQAtAC0ALQAtAC0ALQAtAC0ALQAtAC0ALQAtAC0ALQAtAC0ALQAtAC0ALQBcAG4AIwAjACAAMAAyACAALQAgAEcAcgBpAGQAIABHAGUAbwBtAGUAdAByAHkAXABuAC0ALQAtAC0ALQAtAC0ALQAtAC0ALQAtAC0ALQAtAC0ALQAtAC0ALQAtAC0ALQAtAC0ALQAtAC0ALQAtAC0ALQAtAC0ALQAtAC0ALQAtAC0ALQAtAC0ALQAtAC0ALQAtAC0ALQAtAC0ALQAtAC0ALQAtAC0ALQAtAC0ALQAtAC0ALQAtAC0ALQAtAC0ALQAtAC0ALQAtAC0ALQAtAC0AIAAqAC8AXABuAFwAbgAvACoAXABuAEQAZQBzAGMAcgBpAHAAdABpAG8AbgA6AFwAbgAgACAAIAAgAFQAaABpAHMAIABtAG8AZAB1AGwAZQAgAGQAZQBmAGkAbgBlAHMAIABhACAAZgBhAG0AaQBsAHkAIABvAGYAIABnAGUAbwBtAGUAdAByAGkAYwAgAGUAeAB0AHIAYQBjAHQAaQBvAG4AIABvAHAAZQByAGEAdABvAHIAcwAgAGYAbwByACAAMgBEACAAYQByAHIAYQB5AHMALgBcAG4AIAAgACAAIABFAGEAYwBoACAAZgB1AG4AYwB0AGkAbwBuACAAcgBlAHQAdQByAG4AcwAgAGEAIAByAGUAZwBpAG8AbgAgAG8AZgAgAHQAaABlACAAZwByAGkAZAAgAGQAZQBmAGkAbgBlAGQAIABiAHkAIABhACAAcwBwAGUAYwBpAGYAaQBjACAAcwBoAGEAcABlACwAXABuACAAIAAgACAAcAByAGUAcwBlAHIAdgBpAG4AZwAgAHQAaABlACAAZwBlAG8AbQBlAHQAcgB5ACAAbwBmACAAdABoAGUAIABlAHgAdAByAGEAYwB0AGUAZAAgAGEAcgBlAGEALgAgAEMAZQBuAHQAZQByAHMAIABtAGEAeQAgAGIAZQAgAHMAcABlAGMAaQBmAGkAZQBkACAAYgB5AFwAbgAgACAAIAAgAGMAcgBpAHQAZQByAGkAYQAgAG8AcgAgAGUAeABwAGwAaQBjAGkAdAAgAGMAbwBvAHIAZABpAG4AYQB0AGUAcwAsACAAYQBuAGQAIABvAHAAdABpAG8AbgBhAGwAIABmAGkAbABsACAAdgBhAGwAdQBlAHMAIABjAG8AbgB0AHIAbwBsACAAdwBoAGEAdABcAG4AIAAgACAAIABhAHAAcABlAGEAcgBzACAAbwB1AHQAcwBpAGQAZQAgAHQAaABlACAAZQB4AHQAcgBhAGMAdABlAGQAIAByAGUAZwBpAG8AbgAuAFwAbgBcAG4AIAAgACAAIABTAGgAYQBwAGUAcwA6AFwAbgAgACAAIAAgACAAIAAgACAAIiAgAEMAaQByAGMAbABlALsDIAAgACAALQAgACAAIABDAGkAcgBjAHUAbABhAHIAIAByAGUAZwBpAG8AbgAgAGIAeQAgAHQAYQByAGcAZQB0ACAAbwByACAAewByAG8AdwAsACAAYwBvAGwAfQAgAGMAZQBuAHQAZQByAC4AXABuAFwAbgAgACAAIAAgACAAIAAgACAAIiAgAEQAaQBhAG0AbwBuAGQAuwMgACAALQAgACAAIABNAGEAbgBoAGEAdAB0AGEAbgARIHIAYQBkAGkAdQBzACAAZABpAGEAbQBvAG4AZAAuAFwAbgBcAG4AIAAgACAAIAAgACAAIAAgACIgIABQAGwAdQBzALsDIAAgACAAIAAgAC0AIAAgACAAQwByAG8AcwBzABEgcwBoAGEAcABlAGQAIAByAGUAZwBpAG8AbgAgACgAdgBvAG4AIABOAGUAdQBtAGEAbgBuACAAbgBlAGkAZwBoAGIAbwByAGgAbwBvAGQAKQAuAFwAbgBcAG4AIAAgACAAIAAgACAAIAAgACIgIABQAHkAcgBhAG0AaQBkALsDIAAgAC0AIAAgACAARABpAHIAZQBjAHQAaQBvAG4AYQBsACAAaABhAGwAZgARIGQAaQBhAG0AbwBuAGQAIAAoAGYAbwB1AHIAIABwAGkAZQBjAGUAcwApAC4AXABuAFwAbgAgACAAIAAgACAAIAAgACAAIiAgAFIAaQBuAGcAuwMgACAAIAAgACAALQAgACAAIABMAGEAeQBlAHIAESBiAGEAcwBlAGQAIABwAGUAcgBpAG0AZQB0AGUAcgAgAGUAeAB0AHIAYQBjAHQAaQBvAG4ALgBcAG4AXABuACAAIAAgACAAIAAgACAAIAAiICAAUwBxAHUAYQByAGUAuwMgACAAIAAtACAAIAAgAEMAaABlAGIAeQBzAGgAZQB2ABEgcgBhAGQAaQB1AHMAIABzAHEAdQBhAHIAZQAuAFwAbgBcAG4AIAAgACAAIAAgACAAIAAgACIgIABUAHIAaQBhAG4AZwBsAGUAuwMgAC0AIAAgACAARABpAHIAZQBjAHQAaQBvAG4AYQBsACAAdAByAGkAYQBuAGcAdQBsAGEAcgAgAHIAZQBnAGkAbwBuACAAKABhAGIAbwB2AGUAIABvAHIAIABiAGUAbABvAHcAKQAuAFwAbgBcAG4AIAAgACAAIABVAHQAaQBsAGkAdABpAGUAcwA6AFwAbgAgACAAIAAgACAAIAAgACAAIiAgAEMARwByAGkAZAC7AywAIABNAEcAcgBpAGQAuwMsACAAUgBlAHMAaQB6AGUAuwMsACAAUwBxAHUAZQBlAHoAZQC7A1wAbgBcAG4AIAAgACAAIABBAGwAbAAgAGYAdQBuAGMAdABpAG8AbgBzACAAYQByAGUAIABzAGgAYQBwAGUAESBkAHIAaQB2AGUAbgA6ACAAdABoAGUAIABpAG4AcAB1AHQAIABnAHIAaQBkACAAZABlAHQAZQByAG0AaQBuAGUAcwAgAHQAaABlACAAYwBvAG8AcgBkAGkAbgBhAHQAZQBcAG4AIAAgACAAIABlAHgAdABlAG4AdABzACAAYQBuAGQAIAB0AGgAZQAgAGcAZQBvAG0AZQB0AHIAeQAgAG8AZgAgAHQAaABlACAAZQB4AHQAcgBhAGMAdABlAGQAIAByAGUAZwBpAG8AbgAuAFwAbgAvACoAXABuAFwAbgAgACAAIAAgAEUAeABhAG0AcABsAGUAcwA6AFwAbgBcAG4AXABuAEcAcgBpAGQAXAB0AFwAdABcAHQAXAB0AFwAdABcAHQAXAB0AFwAdABcAHQAXABuADEAXAB0ADIAXAB0ADMAXAB0ADQAXAB0ADUAXAB0ADYAXAB0ADcAXAB0ADgAXAB0ADkAXAB0ADEAMABcAG4AMQAxAFwAdAAxADIAXAB0ADEAMwBcAHQAMQA0AFwAdAAxADUAXAB0ADEANgBcAHQAMQA3AFwAdAAxADgAXAB0ADEAOQBcAHQAMgAwAFwAbgAyADEAXAB0ADIAMgBcAHQAMgAzAFwAdAAyADQAXAB0ADIANQBcAHQAMgA2AFwAdAAyADcAXAB0ADIAOABcAHQAMgA5AFwAdAAzADAAXABuADMAMQBcAHQAMwAyAFwAdAAzADMAXAB0ADMANABcAHQAMwA1AFwAdAAzADYAXAB0ADMANwBcAHQAMwA4AFwAdAAzADkAXAB0ADQAMABcAG4ANAAxAFwAdAA0ADIAXAB0ADQAMwBcAHQANAA0AFwAdAA0ADUAXAB0ADQANgBcAHQANAA3AFwAdAA0ADgAXAB0ADQAOQBcAHQANQAwAFwAbgA1ADEAXAB0ADUAMgBcAHQANQAzAFwAdAA1ADQAXAB0ADUANQBcAHQANQA2AFwAdAA1ADcAXAB0ADUAOABcAHQANQA5AFwAdAA2ADAAXABuADYAMQBcAHQANgAyAFwAdAA2ADMAXAB0ADYANABcAHQANgA1AFwAdAA2ADYAXAB0ADYANwBcAHQANgA4AFwAdAA2ADkAXAB0ADcAMABcAG4ANwAxAFwAdAA3ADIAXAB0ADcAMwBcAHQANwA0AFwAdAA3ADUAXAB0ADcANgBcAHQANwA3AFwAdAA3ADgAXAB0ADcAOQBcAHQAOAAwAFwAbgA4ADEAXAB0ADgAMgBcAHQAOAAzAFwAdAA4ADQAXAB0ADgANQBcAHQAOAA2AFwAdAA4ADcAXAB0ADgAOABcAHQAOAA5AFwAdAA5ADAAXABuADkAMQBcAHQAOQAyAFwAdAA5ADMAXAB0ADkANABcAHQAOQA1AFwAdAA5ADYAXAB0ADkANwBcAHQAOQA4AFwAdAA5ADkAXAB0ADEAMAAwAFwAbgBcAHQAXAB0AFwAdABcAHQAXAB0AFwAdABcAHQAXAB0AFwAdABcAG4AQwBpAHIAYwBsAGUAuwMoAGcAcgBpAGQALAA0ADUALAA1ACwAXAAiAFwAIgApAFwAdABcAHQAXAB0AFwAdABcAHQAXAB0AFwAdABcAHQAXAB0AFwAbgBcAHQAMgBcAHQAMwBcAHQANABcAHQANQBcAHQANgBcAHQANwBcAHQAOABcAHQAXAB0AFwAbgAxADEAXAB0ADEAMgBcAHQAMQAzAFwAdAAxADQAXAB0ADEANQBcAHQAMQA2AFwAdAAxADcAXAB0ADEAOABcAHQAMQA5AFwAdABcAG4AMgAxAFwAdAAyADIAXAB0ADIAMwBcAHQAMgA0AFwAdAAyADUAXAB0ADIANgBcAHQAMgA3AFwAdAAyADgAXAB0ADIAOQBcAHQAXABuADMAMQBcAHQAMwAyAFwAdAAzADMAXAB0ADMANABcAHQAMwA1AFwAdAAzADYAXAB0ADMANwBcAHQAMwA4AFwAdAAzADkAXAB0AFwAbgA0ADEAXAB0ADQAMgBcAHQANAAzAFwAdAA0ADQAXAB0ADQANQBcAHQANAA2AFwAdAA0ADcAXAB0ADQAOABcAHQANAA5AFwAdAA1ADAAXABuADUAMQBcAHQANQAyAFwAdAA1ADMAXAB0ADUANABcAHQANQA1AFwAdAA1ADYAXAB0ADUANwBcAHQANQA4AFwAdAA1ADkAXAB0AFwAbgA2ADEAXAB0ADYAMgBcAHQANgAzAFwAdAA2ADQAXAB0ADYANQBcAHQANgA2AFwAdAA2ADcAXAB0ADYAOABcAHQANgA5AFwAdABcAG4ANwAxAFwAdAA3ADIAXAB0ADcAMwBcAHQANwA0AFwAdAA3ADUAXAB0ADcANgBcAHQANwA3AFwAdAA3ADgAXAB0ADcAOQBcAHQAXABuAFwAdAA4ADIAXAB0ADgAMwBcAHQAOAA0AFwAdAA4ADUAXAB0ADgANgBcAHQAOAA3AFwAdAA4ADgAXAB0AFwAdABcAG4AXAB0AFwAdABcAHQAXAB0ADkANQBcAHQAXAB0AFwAdABcAHQAXAB0AFwAbgBcAHQAXAB0AFwAdABcAHQAXAB0AFwAdABcAHQAXAB0AFwAdABcAG4ARABpAGEAbQBvAG4AZAC7AygAZwByAGkAZAAsAHsANQAsADUAfQAsADMALABcACIAXAAiACkAXAB0AFwAdABcAHQAXAB0AFwAdABcAHQAXAB0AFwAdABcAHQAXABuAFwAdABcAHQAXAB0ADEANQBcAHQAXAB0AFwAdABcAHQAXAB0AFwAdABcAG4AXAB0AFwAdAAyADQAXAB0ADIANQBcAHQAMgA2AFwAdABcAHQAXAB0AFwAdABcAHQAXABuAFwAdAAzADMAXAB0ADMANABcAHQAMwA1AFwAdAAzADYAXAB0ADMANwBcAHQAXAB0AFwAdABcAHQAXABuADQAMgBcAHQANAAzAFwAdAA0ADQAXAB0ADQANQBcAHQANAA2AFwAdAA0ADcAXAB0ADQAOABcAHQAXAB0AFwAdABcAG4AXAB0ADUAMwBcAHQANQA0AFwAdAA1ADUAXAB0ADUANgBcAHQANQA3AFwAdABcAHQAXAB0AFwAdABcAG4AXAB0AFwAdAA2ADQAXAB0ADYANQBcAHQANgA2AFwAdABcAHQAXAB0AFwAdABcAHQAXABuAFwAdABcAHQAXAB0ADcANQBcAHQAXAB0AFwAdABcAHQAXAB0AFwAdABcAG4AXAB0AFwAdABcAHQAXAB0AFwAdABcAHQAXAB0AFwAdABcAHQAXABuAFAAbAB1AHMAuwMoAGcAcgBpAGQALAA1ADcALAAzACwAXAAiAFwAIgApAFwAdABcAHQAXAB0AFwAdABcAHQAXAB0AFwAdABcAHQAXAB0AFwAbgBcAHQAXAB0AFwAdAAyADcAXAB0AFwAdABcAHQAXAB0AFwAdABcAHQAXABuAFwAdABcAHQAXAB0ADMANwBcAHQAXAB0AFwAdABcAHQAXAB0AFwAdABcAG4AXAB0AFwAdABcAHQANAA3AFwAdABcAHQAXAB0AFwAdABcAHQAXAB0AFwAbgA1ADQAXAB0ADUANQBcAHQANQA2AFwAdAA1ADcAXAB0ADUAOABcAHQANQA5AFwAdAA2ADAAXAB0AFwAdABcAHQAXABuAFwAdABcAHQAXAB0ADYANwBcAHQAXAB0AFwAdABcAHQAXAB0AFwAdABcAG4AXAB0AFwAdABcAHQANwA3AFwAdABcAHQAXAB0AFwAdABcAHQAXAB0AFwAbgBcAHQAXAB0AFwAdAA4ADcAXAB0AFwAdABcAHQAXAB0AFwAdABcAHQAXABuAFwAdABcAHQAXAB0AFwAdABcAHQAXAB0AFwAdABcAHQAXAB0AFwAbgBQAHkAcgBhAG0AaQBkALsDKABnAHIAaQBkACwAMgAsAFwAIgB4AFwAIgApAFwAdABcAHQAXAB0AFwAdABcAHQAXAB0AFwAdABcAHQAXAB0AFwAbgB4AFwAdAB4AFwAdAB4AFwAdAB4AFwAdAB4AFwAdAB4AFwAdAB4AFwAdAB4AFwAdAB4AFwAdAAxADAAXABuAHgAXAB0AHgAXAB0AHgAXAB0AHgAXAB0AHgAXAB0AHgAXAB0AHgAXAB0AHgAXAB0ADEAOQBcAHQAMgAwAFwAbgB4AFwAdAB4AFwAdAB4AFwAdAB4AFwAdAB4AFwAdAB4AFwAdAB4AFwAdAAyADgAXAB0ADIAOQBcAHQAMwAwAFwAbgB4AFwAdAB4AFwAdAB4AFwAdAB4AFwAdAB4AFwAdAB4AFwAdAAzADcAXAB0ADMAOABcAHQAMwA5AFwAdAA0ADAAXABuAHgAXAB0AHgAXAB0AHgAXAB0AHgAXAB0AHgAXAB0ADQANgBcAHQANAA3AFwAdAA0ADgAXAB0ADQAOQBcAHQANQAwAFwAbgB4AFwAdAB4AFwAdAB4AFwAdAB4AFwAdAA1ADUAXAB0ADUANgBcAHQANQA3AFwAdAA1ADgAXAB0ADUAOQBcAHQANgAwAFwAbgB4AFwAdAB4AFwAdAB4AFwAdAA2ADQAXAB0ADYANQBcAHQANgA2AFwAdAA2ADcAXAB0ADYAOABcAHQANgA5AFwAdAA3ADAAXABuAHgAXAB0AHgAXAB0ADcAMwBcAHQANwA0AFwAdAA3ADUAXAB0ADcANgBcAHQANwA3AFwAdAA3ADgAXAB0ADcAOQBcAHQAOAAwAFwAbgB4AFwAdAA4ADIAXAB0ADgAMwBcAHQAOAA0AFwAdAA4ADUAXAB0ADgANgBcAHQAOAA3AFwAdAA4ADgAXAB0ADgAOQBcAHQAOQAwAFwAbgA5ADEAXAB0ADkAMgBcAHQAOQAzAFwAdAA5ADQAXAB0ADkANQBcAHQAOQA2AFwAdAA5ADcAXAB0ADkAOABcAHQAOQA5AFwAdAAxADAAMABcAG4AXAB0AFwAdABcAHQAXAB0AFwAdABcAHQAXAB0AFwAdABcAHQAXABuAFIAaQBuAGcAuwMoAGcAcgBpAGQALAAyACwAXAAiAC0AXAAiACkAXAB0AFwAdABcAHQAXAB0AFwAdABcAHQAXAB0AFwAdABcAHQAXABuAC0AXAB0AC0AXAB0AC0AXAB0AC0AXAB0AC0AXAB0AC0AXAB0AC0AXAB0AC0AXAB0AC0AXAB0AC0AXABuAC0AXAB0ADEAMgBcAHQAMQAzAFwAdAAxADQAXAB0ADEANQBcAHQAMQA2AFwAdAAxADcAXAB0ADEAOABcAHQAMQA5AFwAdAAtAFwAbgAtAFwAdAAyADIAXAB0AC0AXAB0AC0AXAB0AC0AXAB0AC0AXAB0AC0AXAB0AC0AXAB0ADIAOQBcAHQALQBcAG4ALQBcAHQAMwAyAFwAdAAtAFwAdAAtAFwAdAAtAFwAdAAtAFwAdAAtAFwAdAAtAFwAdAAzADkAXAB0AC0AXABuAC0AXAB0ADQAMgBcAHQALQBcAHQALQBcAHQALQBcAHQALQBcAHQALQBcAHQALQBcAHQANAA5AFwAdAAtAFwAbgAtAFwAdAA1ADIAXAB0AC0AXAB0AC0AXAB0AC0AXAB0AC0AXAB0AC0AXAB0AC0AXAB0ADUAOQBcAHQALQBcAG4ALQBcAHQANgAyAFwAdAAtAFwAdAAtAFwAdAAtAFwAdAAtAFwAdAAtAFwAdAAtAFwAdAA2ADkAXAB0AC0AXABuAC0AXAB0ADcAMgBcAHQALQBcAHQALQBcAHQALQBcAHQALQBcAHQALQBcAHQALQBcAHQANwA5AFwAdAAtAFwAbgAtAFwAdAA4ADIAXAB0ADgAMwBcAHQAOAA0AFwAdAA4ADUAXAB0ADgANgBcAHQAOAA3AFwAdAA4ADgAXAB0ADgAOQBcAHQALQBcAG4ALQBcAHQALQBcAHQALQBcAHQALQBcAHQALQBcAHQALQBcAHQALQBcAHQALQBcAHQALQBcAHQALQBcAG4AXAB0AFwAdABcAHQAXAB0AFwAdABcAHQAXAB0AFwAdABcAHQAXABuAFMAcQB1AGEAcgBlALsDKABnAHIAaQBkACwAMgA3ACwAMwAsAFwAIgBcACIAKQBcAHQAXAB0AFwAdABcAHQAXAB0AFwAdABcAHQAXAB0AFwAdABcAG4ANABcAHQANQBcAHQANgBcAHQANwBcAHQAOABcAHQAOQBcAHQAMQAwAFwAdABcAHQAXAB0AFwAbgAxADQAXAB0ADEANQBcAHQAMQA2AFwAdAAxADcAXAB0ADEAOABcAHQAMQA5AFwAdAAyADAAXAB0AFwAdABcAHQAXABuADIANABcAHQAMgA1AFwAdAAyADYAXAB0ADIANwBcAHQAMgA4AFwAdAAyADkAXAB0ADMAMABcAHQAXAB0AFwAdABcAG4AMwA0AFwAdAAzADUAXAB0ADMANgBcAHQAMwA3AFwAdAAzADgAXAB0ADMAOQBcAHQANAAwAFwAdABcAHQAXAB0AFwAbgA0ADQAXAB0ADQANQBcAHQANAA2AFwAdAA0ADcAXAB0ADQAOABcAHQANAA5AFwAdAA1ADAAXAB0AFwAdABcAHQAXABuADUANABcAHQANQA1AFwAdAA1ADYAXAB0ADUANwBcAHQANQA4AFwAdAA1ADkAXAB0ADYAMABcAHQAXAB0AFwAdABcAG4AXAB0AFwAdABcAHQAXAB0AFwAdABcAHQAXAB0AFwAdABcAHQAXABuAFQAcgBpAGEAbgBnAGwAZQC7AygAZwByAGkAZAAsADQANAAsADMALAAsAFwAIgBcACIAKQAgAC0AIABBAGIAbwB2AGUAXAB0AFwAdABcAHQAXAB0AFwAdABcAHQAXAB0AFwAdABcAHQAXABuAFwAdABcAHQAXAB0ADEANABcAHQAXAB0AFwAdABcAHQAXAB0AFwAdABcAG4AXAB0AFwAdAAyADMAXAB0ADIANABcAHQAMgA1AFwAdABcAHQAXAB0AFwAdABcAHQAXABuAFwAdAAzADIAXAB0ADMAMwBcAHQAMwA0AFwAdAAzADUAXAB0ADMANgBcAHQAXAB0AFwAdABcAHQAXABuADQAMQBcAHQANAAyAFwAdAA0ADMAXAB0ADQANABcAHQANAA1AFwAdAA0ADYAXAB0ADQANwBcAHQAXAB0AFwAdABcAG4AXAB0AFwAdABcAHQAXAB0AFwAdABcAHQAXAB0AFwAdABcAHQAXABuAFQAcgBpAGEAbgBnAGwAZQC7AygAZwByAGkAZAAsADQANAAsADMALAAxACwAXAAiAFwAIgApACAALQAgAEIAZQBsAG8AdwBcAHQAXAB0AFwAdABcAHQAXAB0AFwAdABcAHQAXAB0AFwAdABcAG4ANAAxAFwAdAA0ADIAXAB0ADQAMwBcAHQANAA0AFwAdAA0ADUAXAB0ADQANgBcAHQANAA3AFwAdABcAHQAXAB0AFwAbgBcAHQANQAyAFwAdAA1ADMAXAB0ADUANABcAHQANQA1AFwAdAA1ADYAXAB0AFwAdABcAHQAXAB0AFwAbgBcAHQAXAB0ADYAMwBcAHQANgA0AFwAdAA2ADUAXAB0AFwAdABcAHQAXAB0AFwAdABcAG4AXAB0AFwAdABcAHQANwA0AFwAdABcAHQAXAB0AFwAdABcAHQAXAB0AFwAbgBcAG4AKgAvAFwAbgBcAG4AXABuAFwAbgAvACoAIABbAEcARwAwADEAXQAgAC0ALQAtAC0ALQAtAC0ALQAtAC0ALQAtAC0ALQAtAC0ALQAtAC0ALQAtAC0ALQAtAC0ALQAtAC0ALQAtAC0ALQAtAC0ALQAtAC0ALQAtAC0ALQAtAC0ALQAtAC0ALQAtAC0ALQAtAC0ALQAtAC0ALQAtAC0ALQAtAC0ALQAtAC0ALQAtAC0ALQAtAC0ALQAtAC0AXABuAEYAdQBuAGMAdABpAG8AbgA6ACAAIAAgACAAIABDAGkAcgBjAGwAZQC7A1wAbgBDAGEAdABlAGcAbwByAHkAOgAgACAAIAAgACAARwByAGkAZAAgAEcAZQBvAG0AZQB0AHIAeQBcAG4AQQB1AHQAaABvAHIAOgAgACAAIAAgACAAIAAgAFAAYQB0AHIAaQBjAGsAIABIAC4AXABuAFYAZQByAHMAaQBvAG4AOgAgACAAIAAgACAAIAAxAC4AMQBcAG4ARABlAHAAZQBuAGQAZQBuAGMAaQBlAHMAOgAgAEMARwByAGkAZAC7AywAIABTAHEAdQBlAGUAegBlALsDXABuAFwAbgBEAGUAcwBjAHIAaQBwAHQAaQBvAG4AOgBcAG4AIAAgACAAIABFAHgAdAByAGEAYwB0AHMAIABhACAAYwBpAHIAYwB1AGwAYQByACAAcgBlAGcAaQBvAG4AIABmAHIAbwBtACAAYQAgADIARAAgAGEAcgByAGEAeQAgAGIAeQAgAHMAcABlAGMAaQBmAHkAaQBuAGcAIAB0AGgAZQAgAGMAZQBuAHQAZQByACAAYQBuAGQAIABhAFwAbgAgACAAIAAgAHIAYQBkAGkAdQBzACAAKABlAHgAdABlAG4AZAApAC4AIABUAGgAZQAgAGMAZQBuAHQAZQByACAAbQBhAHkAIABiAGUAIABnAGkAdgBlAG4AIABhAHMAIABhACAAcwBjAGEAbABhAHIAIABjAHIAaQB0AGUAcgBpAG8AbgAgAG8AcgAgAGEAcwAgAGUAeABwAGwAaQBjAGkAdABcAG4AIAAgACAAIABjAG8AbwByAGQAaQBuAGEAdABlAHMAIAB7AHIAbwB3ACwAIABjAG8AbAB9AC4AIABUAGgAZQAgAGUAeAB0AHIAYQBjAHQAZQBkACAAcgBlAGcAaQBvAG4AIABwAHIAZQBzAGUAcgB2AGUAcwAgAGkAdABzACAAZwBlAG8AbQBlAHQAcgBpAGMAIABzAGgAYQBwAGUALABcAG4AIAAgACAAIABhAG4AZAAgAHIAbwB3AHMALwBjAG8AbAB1AG0AbgBzACAAYwBvAG4AdABhAGkAbgBpAG4AZwAgAG8AbgBsAHkAIABmAGkAbABsAF8AdgBhAGwAdQBl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MAaQByAGMAbABl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jAGkAcgBjAGwAZQAgACgAbQB1AHMAdAAgAGIAZQAgAGEAIABwAG8AcwBpAHQAaQB2AGUAIABpAG4AdABlAGcAZQByACkALgBcAG4AIAAgACAAIABbAGYAaQBsAGwAXwB2AGEAbAB1AGUAXQAtACAAUwBjAGEAbABhAHIAIAB1AHMAZQBkACAAbwB1AHQAcwBpAGQAZQAgAHQAaABlACAAYwBpAHIAYwBsAGUALgAgAEQAZQBmAGEAdQBsAHQAcwAgAHQAbwAgADAALgBcAG4ALQAtAC0ALQAtAC0ALQAtAC0ALQAtAC0ALQAtAC0ALQAtAC0ALQAtAC0ALQAtAC0ALQAtAC0ALQAtAC0ALQAtAC0ALQAtAC0ALQAtAC0ALQAtAC0ALQAtAC0ALQAtAC0ALQAtAC0ALQAtAC0ALQAtAC0ALQAtAC0ALQAtAC0ALQAtAC0ALQAtAC0ALQAtAC0ALQAtAC0ALQAtAC0AKgAvAFwAbgBcAG4AQwBpAHIAYwBs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EMARwByAGkAZAC7AygAZwByAGkAZAApACwAXABuACAAIAAgACAAagAsACAAIAAgACAAIAAgAEMARwByAGkAZAC7AygAZwByAGkAZAAsACAAMQApACwAXABuAFwAbgAgACAAIAAgAC8ALwAgAEMAZQBuAHQAZQByACAAYwBvAG8AcgBkAGkAbgBhAHQAZQBzAFwAbgAgACAAIAAgAHgALAAgACAAIAAgACAAIABJAEYAKABJAHMASQBfAEoAPwAsACAASQBOAEQARQBYACgAaQAsACAAcgAsACAAYwApACwAIABUAE8AQwBPAEwAKABJAEYAKABiAG8AbwBsACwAIABpACwAIABOAEEAKAApACkALAAgADIAKQApACwAXABuACAAIAAgACAAeQAsACAAIAAgACAAIAAgAEkARgAoAEkAcwBJAF8ASgA/ACwAIABJAE4ARABFAFgAKABqACwAIAByACwAIABjACkALAAgAFQATwBDAE8ATAAoAEkARgAoAGIAbwBvAGwALAAgAGoALAAgAE4AQQAoACkAKQAsACAAMgApACkALABcAG4AXABuACAAIAAgACAALwAvACAAQwBpAHIAYwBsAGUAIABtAGEAcwBrAFwAbgAgACAAIAAgAG0AYQBzAGsALAAgACAAIAAoAGkAIAAtACAAeAApAF4AMgAgACsAIAAoAGoAIAAtACAAeQApAF4AMgAgADwAPQAgAGUAeAB0AGUAbgBkAF4AMg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IAXQAgAC0ALQAtAC0ALQAtAC0ALQAtAC0ALQAtAC0ALQAtAC0ALQAtAC0ALQAtAC0ALQAtAC0ALQAtAC0ALQAtAC0ALQAtAC0ALQAtAC0ALQAtAC0ALQAtAC0ALQAtAC0ALQAtAC0ALQAtAC0ALQAtAC0ALQAtAC0ALQAtAC0ALQAtAC0ALQAtAC0ALQAtAC0ALQAtAC0AXABuAEYAdQBuAGMAdABpAG8AbgA6ACAAIAAgACAAIABEAGkAYQBtAG8AbgBk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YQBtAG8AbgBkABEgcwBoAGEAcABlAGQAIAByAGUAZwBpAG8AbgAgACgATQBhAG4AaABhAHQAdABhAG4AIAByAGEAZABpAHUAcwApACAAZgByAG8AbQAgAGEAIAAyAEQAIABhAHIAcgBhAHkAIABiAHkAXABuACAAIAAgACAAcwBwAGUAYwBpAGYAeQBpAG4AZwAgAHQAaABlACAAYwBlAG4AdABlAHIAIABhAG4AZAAgAGEAIABkAGkAcwB0AGEAbgBjAGUALgAgAFQAaABlACAAYwBlAG4AdABlAHIAIABtAGEAeQAgAGIAZQAgAGcAaQB2AGUAbgAgAGEAcwAgAGEAIABzAGMAYQBsAGEAcgBcAG4AIAAgACAAIABjAHIAaQB0AGUAcgBpAG8AbgAgAG8AcgAgAGEAcwAgAGUAeABwAGwAaQBjAGkAdAAgAGMAbwBvAHIAZABpAG4AYQB0AGUAcwAgAHsAcgBvAHcALAAgAGMAbwBsAH0ALgAgAFQAaABlACAAZQB4AHQAcgBhAGMAdABlAGQAIAByAGUAZwBpAG8AbgBcAG4AIAAgACAAIABwAHIAZQBzAGUAcgB2AGUAcwAgAGkAdABzACAAZwBlAG8AbQBlAHQAcgBpAGMAIABzAGgAYQBwAGUALAAgAGEAbgBkACAAcgBvAHcAcwAvAGMAbwBsAHUAbQBuAHMAIABjAG8AbgB0AGEAaQBuAGkAbgBnACAAbwBuAGwAeQAgAGYAaQBsAGwAXwB2AGEAbAB1AGUAXABuACAAIAAgACAAYQByAGUAIABhAHUAdABvAG0AYQB0AGkAYwBhAGwAbAB5ACAAcgBlAG0AbwB2AGUAZAAuAFwAbgBcAG4AUABhAHIAYQBtAGUAdABlAHIAcwA6AFwAbgAgACAAIAAgAGcAcgBpAGQAIAAgACAAIAAgACAAIAAgAC0AIABSAGUAcQB1AGkAcgBlAGQAIAAyAEQAIABhAHIAcgBhAHkALgBcAG4AIAAgACAAIAB0AGEAcgBnAGUAdAAgACAAIAAgACAAIAAtACAAQwBlAG4AdABlAHIAIABvAGYAIAB0AGgAZQAgAGQAaQBhAG0AbwBuAGQALgAgAE0AYQB5ACAAYgBlACAAYQAgAHMAYwBhAGwAYQByACAAYwByAGkAdABlAHIAaQBvAG4AIABvAHIAIABjAG8AbwByAGQAaQBuAGEAdABlAHMAXABuACAAIAAgACAAIAAgACAAIAAgACAAIAAgACAAIAAgACAAIAAgAG8AZgAgAHQAaABlACAAZgBvAHIAbQAgAHsAcgBvAHcALAAgAGMAbwBsAH0ALgBcAG4AIAAgACAAIABkAGkAcwB0AGEAbgBjAGUAIAAgACAAIAAtACAATQBhAG4AaABhAHQAdABhAG4AIAByAGEAZABpAHUAcwAgAG8AZgAgAHQAaABlACAAZABpAGEAbQBvAG4AZAAgACgAbQB1AHMAdAAgAGIAZQAgAGEAIABwAG8AcwBpAHQAaQB2AGUAIABpAG4AdABlAGcAZQByACkALgBcAG4AIAAgACAAIABbAGYAaQBsAGwAXwB2AGEAbAB1AGUAXQAtACAAUwBjAGEAbABhAHIAIAB1AHMAZQBkACAAbwB1AHQAcwBpAGQAZQAgAHQAaABlACAAZABpAGEAbQBvAG4AZAAuACAARABlAGYAYQB1AGwAdABzACAAdABvACAAMAAuAFwAbgAtAC0ALQAtAC0ALQAtAC0ALQAtAC0ALQAtAC0ALQAtAC0ALQAtAC0ALQAtAC0ALQAtAC0ALQAtAC0ALQAtAC0ALQAtAC0ALQAtAC0ALQAtAC0ALQAtAC0ALQAtAC0ALQAtAC0ALQAtAC0ALQAtAC0ALQAtAC0ALQAtAC0ALQAtAC0ALQAtAC0ALQAtAC0ALQAtAC0ALQAtAC0ALQAqAC8AXABuAFwAbgBEAGkAYQBtAG8AbgBkALsDIAA9AFwAbgBMAEEATQBCAEQAQQAoAFwAbgAgACAAIAAgAGcAcgBpAGQALABcAG4AIAAgACAAIAB0AGEAcgBnAGUAdAAsAFwAbgAgACAAIAAgAGQAaQBzAHQAYQBuAGMAZQAsAFwAbgAgACAAIAAgAFsAZgBpAGwAbABfAHYAYQBsAHUAZQBdACwAXABuAEwARQBUACgAXABuACAAIAAgACAALwAvACAARABpAG0AZQBuAHMAaQBvAG4AcwBcAG4AIAAgACAAIABoACwAIAAgACAAIAAgACAAIAAgACAAIAAgACAAIAAgACAAIABSAE8AVwBTACgAZwByAGkAZAApACwAXABuACAAIAAgACAAdwAsACAAIAAgACAAIAAgACAAIAAgACAAIAAgACAAIAAgACAAQwBPAEwAVQBNAE4AUwAoAGcAcgBpAGQAKQAsAFwAbgBcAG4AIAAgACAAIAAvAC8AIABUAGEAcgBnAGUAdAAgAGkAbgB0AGUAcgBwAHIAZQB0AGEAdABpAG8AbgBcAG4AIAAgACAAIABJAHMASQBfAEoAPwAsACAAIAAgACAAIAAgACAAIAAgACAAIABDAE8AVQBOAFQAKAB0AGEAcgBnAGUAdAApACAAPQAgADIALABcAG4AIAAgACAAIAByACwAIAAgACAAIAAgACAAIAAgACAAIAAgACAAIAAgACAAIABJAEYAKABJAHMASQBfAEoAPwAsACAAVABBAEsARQAoAHQAYQByAGcAZQB0ACwAIAAxACwAIAAxACkALAAgADAAKQAsAFwAbgAgACAAIAAgAGMALAAgACAAIAAgACAAIAAgACAAIAAgACAAIAAgACAAIAAgAEkARgAoAEkAcwBJAF8ASgA/ACwAIABUAEEASwBFACgAdABhAHIAZwBlAHQALAAgAC0AMQAsACAALQAxACkALAAgADAAKQAsAFwAbgBcAG4AIAAgACAAIAAvAC8AIABCAG8AbwBsAGUAYQBuACAAbQBhAHQAYwBoACAAZgBvAHIAIABzAGMAYQBsAGEAcgAgAHQAYQByAGcAZQB0AFwAbgAgACAAIAAgAGIAbwBvAGwALAAgACAAIAAgACAAIAAgACAAIAAgACAAIAAgAEkARgAoAEkAcwBJAF8ASgA/ACwAIABGAEEATABTAEUALAAgAGcAcgBpAGQAIAA9ACAAdABhAHIAZwBlAHQAKQAsAFwAbgBcAG4AIAAgACAAIAAvAC8AIABJAG4AcAB1AHQAIAB2AGEAbABpAGQAYQB0AGkAbwBuAFwAbgAgACAAIAAgAEkAcwBTAGMAYQBsAGEAcgA/ACwAIAAgACAAIAAgACAAIAAgAEEATgBEACgAaAAgAD0AIAAxACwAIAB3ACAAPQAgADEAKQAsAFwAbgAgACAAIAAgAEkAcwAxAEQAPwAsACAAIAAgACAAIAAgACAAIAAgACAAIAAgAFgATwBSACgAaAAgAD0AIAAxACwAIAB3ACAAPQAgADEAKQAsAFwAbgAgACAAIAAgAEkAbgB2AGEAbABpAGQARABpAHMAdABhAG4AYwBlAD8ALAAgAE8AUgAoAEkAUwBUAEUAWABUACgAZABpAHMAdABhAG4AYwBlACkALAAgAGQAaQBzAHQAYQBuAGMAZQAgADwAIAAxACkALABcAG4AIAAgACAAIABOAG8AVABhAHIAZwBlAHQAPwAsACAAIAAgACAAIAAgACAAIABJAEYAKABJAHMASQBfAEoAPwAsACAARgBBAEwAUwBFACwAIABOAE8AVAAoAE8AUgAoAGIAbwBvAGwAKQApACkALABcAG4AXABuACAAIAAgACAALwAvACAATwBwAHQAaQBvAG4AYQBsACAAZgBpAGwAbABcAG4AIAAgACAAIABmAGkAbABsAF8AdgBhAGwAdQBlACwAIAAgACAAIAAg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EAGkAcwB0AGEAbgBjAGUAPwAsACAAXAAiACMARABJAFMAVABBAE4AQwBF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EAGkAYQBtAG8AbgBkACAAbQBhAHMAawAgACgATQBhAG4AaABhAHQAdABhAG4AIABkAGkAcwB0AGEAbgBjAGUAKQBcAG4AIAAgACAAIABtAGEAcwBrACwAIAAgACAAQQBCAFMAKABpACAALQAgAHgAKQAgACsAIABBAEIAUwAoAGoAIAAtACAAeQApACAAPAA9ACAAZABpAHMAdABhAG4AYwBlACwAXABuAFwAbgAgACAAIAAgAC8ALwAgAEUAeAB0AHIAYQBjAHQAIABhAG4AZAAgAHMAcQB1AGUAZQB6AGUAXABuACAAIAAgACAAcgBlAHMAdQBsAHQALAAgAFMAcQB1AGUAZQB6AGUAuwMoAEkARgAoAG0AYQBzAGsALAAgAGcAcgBpAGQALAAgAGYAaQBsAGwAXwB2AGEAbAB1AGUAKQAsACAAZgBpAGwAbABfAHYAYQBsAHUAZQApACwAXABuAFwAbgAgACAAIAAgAHIAZQBzAHUAbAB0AFwAbgApACkAKQApACkAKQApADsAXABuAFwAbgBcAG4AXABuAC8AKgAgAFsARwBHADAAMwBdACAALQAtAC0ALQAtAC0ALQAtAC0ALQAtAC0ALQAtAC0ALQAtAC0ALQAtAC0ALQAtAC0ALQAtAC0ALQAtAC0ALQAtAC0ALQAtAC0ALQAtAC0ALQAtAC0ALQAtAC0ALQAtAC0ALQAtAC0ALQAtAC0ALQAtAC0ALQAtAC0ALQAtAC0ALQAtAC0ALQAtAC0ALQAtAC0ALQBcAG4ARgB1AG4AYwB0AGkAbwBuADoAIAAgACAAIAAgAFAAbAB1AHM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AAbAB1AHMAESBzAGgAYQBwAGUAZAAgAHIAZQBnAGkAbwBuACAAKABlAHgAdABlAG4AZABlAGQAIAB2AG8AbgAgAE4AZQB1AG0AYQBuAG4AIABuAGUAaQBnAGgAYgBvAHIAaABvAG8AZAApACAAZgByAG8AbQAgAGEAIAAyAEQAXABuACAAIAAgACAAYQByAHIAYQB5ACAAYgB5ACAAcwBwAGUAYwBpAGYAeQBpAG4AZwAgAHQAaABlACAAYwBlAG4AdABlAHIAIABhAG4AZAAgAGEAbgAgAGUAeAB0AGUAbgBkACAAdgBhAGwAdQBlAC4AIABUAGgAZQAgAGMAZQBuAHQAZQByACAAbQBhAHkAIABiAGUAIABnAGkAdgBlAG4AXABuACAAIAAgACAAYQBzACAAYQAgAHMAYwBhAGwAYQByACAAYwByAGkAdABlAHIAaQBvAG4AIABvAHIAIABhAHMAIABlAHgAcABsAGkAYwBpAHQAIABjAG8AbwByAGQAaQBuAGEAdABlAHMAIAB7AHIAbwB3ACwAIABjAG8AbAB9AC4AIABUAGgAZQAgAGUAeAB0AHIAYQBjAHQAZQBkAFwAbgAgACAAIAAgAHIAZQBnAGkAbwBuACAAcAByAGUAcwBlAHIAdgBlAHMAIABpAHQAcwAgAGcAZQBvAG0AZQB0AHIAaQBjACAAcwBoAGEAcABlACwAIABhAG4AZAAgAHIAbwB3AHMALwBjAG8AbAB1AG0AbgBzACAAYwBvAG4AdABhAGkAbgBpAG4AZwAgAG8AbgBsAHkAXABuACAAIAAgACAAZgBpAGwAbABfAHYAYQBsAHUAZQ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wAGwAdQBzAC4AIABNAGEAeQAgAGIAZQAgAGEAIABzAGMAYQBsAGEAcgAgAGMAcgBpAHQAZQByAGkAbwBuACAAbwByACAAYwBvAG8AcgBkAGkAbgBhAHQAZQBzAFwAbgAgACAAIAAgACAAIAAgACAAIAAgACAAIAAgACAAIAAgACAAIABvAGYAIAB0AGgAZQAgAGYAbwByAG0AIAB7AHIAbwB3ACwAIABjAG8AbAB9AC4AXABuACAAIAAgACAAZQB4AHQAZQBuAGQAIAAgACAAIAAgACAALQAgAFIAYQBkAGkAdQBzACAAbwBmACAAdABoAGUAIABwAGwAdQBzACAAYQByAG0AcwAgACgAbQB1AHMAdAAgAGIAZQAgAGEAIABwAG8AcwBpAHQAaQB2AGUAIABpAG4AdABlAGcAZQByACkALgBcAG4AIAAgACAAIABbAGYAaQBsAGwAXwB2AGEAbAB1AGUAXQAtACAAUwBjAGEAbABhAHIAIAB1AHMAZQBkACAAbwB1AHQAcwBpAGQAZQAgAHQAaABlACAAcABsAHUAcwAuACAARABlAGYAYQB1AGwAdABzACAAdABvACAAMAAuAFwAbgAtAC0ALQAtAC0ALQAtAC0ALQAtAC0ALQAtAC0ALQAtAC0ALQAtAC0ALQAtAC0ALQAtAC0ALQAtAC0ALQAtAC0ALQAtAC0ALQAtAC0ALQAtAC0ALQAtAC0ALQAtAC0ALQAtAC0ALQAtAC0ALQAtAC0ALQAtAC0ALQAtAC0ALQAtAC0ALQAtAC0ALQAtAC0ALQAtAC0ALQAtAC0ALQAqAC8AXABuAFwAbgBQAGwAdQBzALsDIAA9AFwAbgBMAEEATQBCAEQAQQAoAFwAbgAgACAAIAAgAGcAcgBpAGQALABcAG4AIAAgACAAIAB0AGEAcgBnAGUAdAAsAFwAbgAgACAAIAAgAGUAeAB0AGUAbgBkACwAXABuACAAIAAgACAAWwBmAGkAbABsAF8AdgBhAGwAdQBlAF0ALABcAG4ATABFAFQAKABcAG4AIAAgACAAIAAvAC8AIABEAGkAbQBlAG4AcwBpAG8AbgBzAFwAbgAgACAAIAAgAGgALAAgACAAIAAgACAAIAAgACAAIAAgACAAIAAgACAAUgBPAFcAUwAoAGcAcgBpAGQAKQAsAFwAbgAgACAAIAAgAHcALAAgACAAIAAgACAAIAAgACAAIAAgACAAIAAgACAAQwBPAEwAVQBNAE4AUwAoAGcAcgBpAGQAKQAsAFwAbgBcAG4AIAAgACAAIAAvAC8AIABUAGEAcgBnAGUAdAAgAGkAbgB0AGUAcgBwAHIAZQB0AGEAdABpAG8AbgBcAG4AIAAgACAAIABJAHMASQBfAEoAPwAsACAAIAAgACAAIAAgACAAIAAgAEMATwBVAE4AVAAoAHQAYQByAGcAZQB0ACkAIAA9ACAAMgAsAFwAbgAgACAAIAAgAHIALAAgAEkARgAoAEkAcwBJAF8ASgA/ACwAIAAgACAAVABBAEsARQAoAHQAYQByAGcAZQB0ACwAIAAxACwAIAAxACkALAAgADAAKQAsAFwAbgAgACAAIAAgAGMALAAgAEkARgAoAEkAcwBJAF8ASgA/ACwAIAAgACAAVABBAEsARQAoAHQAYQByAGcAZQB0ACwAIAAtADEALAAgAC0AMQApACwAIAAwACkALABcAG4AXABuACAAIAAgACAALwAvACAAQgBvAG8AbABlAGEAbgAgAG0AYQB0AGMAaAAgAGYAbwByACAAcwBjAGEAbABhAHIAIAB0AGEAcgBnAGUAdABcAG4AIAAgACAAIABiAG8AbwBsACwAIAAgACAAIAAgACAAIAAgACAAIAAgAEkARgAoAEkAcwBJAF8ASgA/ACwAIABGAEEATABTAEUALAAgAGcAcgBpAGQAIAA9ACAAdABhAHIAZwBlAHQAKQAsAFwAbgBcAG4AIAAgACAAIAAvAC8AIABJAG4AcAB1AHQAIAB2AGEAbABpAGQAYQB0AGkAbwBuAFwAbgAgACAAIAAgAEkAcwBTAGMAYQBsAGEAcgA/ACwAIAAgACAAIAAgACAAQQBOAEQAKABoACAAPQAgADEALAAgAHcAIAA9ACAAMQApACwAXABuACAAIAAgACAASQBzADEARAA/ACwAIAAgACAAIAAgACAAIAAgACAAIABYAE8AUgAoAGgAIAA9ACAAMQAsACAAdwAgAD0AIAAxACkALABcAG4AIAAgACAAIABJAG4AdgBhAGwAaQBkAEUAeAB0AGUAbgBkAD8ALAAgAE8AUgAoAEkAUwBUAEUAWABUACgAZQB4AHQAZQBuAGQAKQAsACAAZQB4AHQAZQBuAGQAIAA8ACAAMQApACwAXABuACAAIAAgACAATgBvAFQAYQByAGcAZQB0AD8ALAAgACAAIAAgACAAIABJAEYAKABJAHMASQBfAEoAPwAsACAARgBBAEwAUwBFACwAIABOAE8AVAAoAE8AUgAoAGIAbwBvAGwAKQApACkALABcAG4AXABuACAAIAAgACAALwAvACAATwBwAHQAaQBvAG4AYQBsACAAZgBpAGwAbABcAG4AIAAgACAAIABmAGkAbABsAF8AdgBhAGwAdQBlACwAIAAgACAAIAAgAEkARgAoAEkAUwBPAE0ASQBUAFQARQBEACgAZgBpAGwAbABfAHYAYQBsAHUAZQApACwAIAAwACwAIABmAGkAbABsAF8AdgBhAGwAdQBlACkALABcAG4AXABuACAAIAAgACAALwAvACAATABvAGcAaQBjACAAZwBhAHQAZQBcAG4AIAAgACAAIABJAEYAKABJAHMAUwBjAGEAbABhAHIAPwAsACAAZwByAGkAZAAsAFwAbgBcAG4AIAAgACAAIAAgACAAIAAgAEkARgAoAEkAcwAxAEQAPwAsACAAXAAiACMAMQBEAC0AQQBSAFIAQQBZACEAXAAiACwAXABuAFwAbgAgACAAIAAgACAAIAAgACAAIAAgACAAIABJAEYAKABJAG4AdgBhAGwAaQBkAEUAeAB0AGUAbgBkAD8ALAAgAFwAIgAjAEUAWABUAEUATgBEACEAXAAiACwAXABuAFwAbgAgACAAIAAgACAAIAAgACAAIAAgACAAIAAgACAAIAAgAEkARgAoAE4AbwBUAGEAcgBnAGUAdAA/ACwAIABcACIAIwBUAEEAUgBHAEUAVAAhAFwAIgAsAFwAbgBcAG4ATABFAFQAKABcAG4AIAAgACAAIAAvAC8AIABNAGUAcwBoACAAZwByAGkAZABcAG4AIAAgACAAIABpACwAIAAgACAAIAAgACAAQwBHAHIAaQBkALsDKABnAHIAaQBkACkALABcAG4AIAAgACAAIABqACwAIAAgACAAIAAgACAAQwBHAHIAaQBkALsDKABnAHIAaQBkACwAIAAxACkALABcAG4AXABuACAAIAAgACAALwAvACAAQwBlAG4AdABlAHIAIABjAG8AbwByAGQAaQBuAGEAdABlAHMAXABuACAAIAAgACAAeAAsACAAIAAgACAAIAAgAEkARgAoAEkAcwBJAF8ASgA/ACwAIABJAE4ARABFAFgAKABpACwAIAByACwAIABjACkALAAgAFQATwBDAE8ATAAoAEkARgAoAGIAbwBvAGwALAAgAGkALAAgAE4AQQAoACkAKQAsACAAMgApACkALABcAG4AIAAgACAAIAB5ACwAIAAgACAAIAAgACAASQBGACgASQBzAEkAXwBKAD8ALAAgAEkATgBEAEUAWAAoAGoALAAgAHIALAAgAGMAKQAsACAAVABPAEMATwBMACgASQBGACgAYgBvAG8AbAAsACAAagAsACAATgBBACgAKQApACwAIAAyACkAKQAsAFwAbgBcAG4AIAAgACAAIAAvAC8AIABQAGwAdQBzACAAbQBhAHMAawAgACgAaABvAHIAaQB6AG8AbgB0AGEAbAAgACsAIAB2AGUAcgB0AGkAYwBhAGwAIABhAHIAbQBzACkAXABuACAAIAAgACAAbQBhAHMAawAsACAAIAAgACgAaQAgAD0AIAB4ACkAIAAqACAAKABBAEIAUwAoAGoAIAAtACAAeQApACAAPAA9ACAAZQB4AHQAZQBuAGQAKQAgACsAXABuACAAIAAgACAAIAAgACAAIAAgACAAIAAgACgAagAgAD0AIAB5ACkAIAAqACAAKABBAEIAUwAoAGkAIAAtACAAeAApACAAPAA9ACAAZQB4AHQAZQBuAGQAKQAsAFwAbgBcAG4AIAAgACAAIAAvAC8AIABFAHgAdAByAGEAYwB0ACAAYQBuAGQAIABzAHEAdQBlAGUAegBlAFwAbgAgACAAIAAgAHIAZQBzAHUAbAB0ACwAIABTAHEAdQBlAGUAegBlALsDKABJAEYAKABtAGEAcwBrACwAIABnAHIAaQBkACwAIABmAGkAbABsAF8AdgBhAGwAdQBlACkALAAgAGYAaQBsAGwAXwB2AGEAbAB1AGUAKQAsAFwAbgBcAG4AIAAgACAAIAByAGUAcwB1AGwAdABcAG4AKQApACkAKQApACkAKQA7AFwAbgBcAG4AXABuAFwAbgAvACoAIABbAEcARwAwADQAXQAgAC0ALQAtAC0ALQAtAC0ALQAtAC0ALQAtAC0ALQAtAC0ALQAtAC0ALQAtAC0ALQAtAC0ALQAtAC0ALQAtAC0ALQAtAC0ALQAtAC0ALQAtAC0ALQAtAC0ALQAtAC0ALQAtAC0ALQAtAC0ALQAtAC0ALQAtAC0ALQAtAC0ALQAtAC0ALQAtAC0ALQAtAC0ALQAtAC0AXABuAEYAdQBuAGMAdABpAG8AbgA6ACAAIAAgACAAIABQAHkAcgBhAG0AaQBk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vAG4AZQAgAG8AZgAgAGYAbwB1AHIAIAB0AHIAaQBhAG4AZwB1AGwAYQByACAAXAAiAHAAeQByAGEAbQBpAGQAXAAiACAAcgBlAGcAaQBvAG4AcwAgAGYAcgBvAG0AIABhACAAMgBEACAAYQByAHIAYQB5ACAAdwBoAGkAbABlAFwAbgAgACAAIAAgAHAAcgBlAHMAZQByAHYAaQBuAGcAIABzAGgAYQBwAGUALgAgAFAAeQByAGEAbQBpAGQAIAByAGUAZwBpAG8AbgBzACAAYQByAGUAIABkAGUAZgBpAG4AZQBkACAAdQBzAGkAbgBnACAAcgBvAHcALwBjAG8AbAB1AG0AbgAgAGkAbgBkAGUAeAAgAGcAcgBpAGQAcwBcAG4AIAAgACAAIABnAGUAbgBlAHIAYQB0AGUAZAAgAGIAeQAgAE0ARwByAGkAZAC7Ay4AIABBAG4AIABvAHAAdABpAG8AbgBhAGwAIABmAGkAbABsAF8AdgBhAGwAdQBlACAAYwBvAG4AdAByAG8AbABzACAAdwBoAGEAdAAgAGEAcABwAGUAYQByAHMAIABvAHUAdABzAGkAZABlACAAdABoAGUAXABuACAAIAAgACAAcwBlAGwAZQBjAHQAZQBkACAAcgBlAGcAaQBvAG4ALgBcAG4AXABuACAAIAAgACAAUAB5AHIAYQBtAGkAZAAgAHAAaQBlAGMAZQBzACAAKABjAGwAbwBjAGsAdwBpAHMAZQApADoAXABuACAAIAAgACAAIAAgACAAIAAxACAALQAgAFUAcABwAGUAcgAgAHIAaQBnAGgAdABcAG4AIAAgACAAIAAgACAAIAAgADIAIAAtACAATABvAHcAZQByACAAcgBpAGcAaAB0AFwAbgAgACAAIAAgACAAIAAgACAAMwAgAC0AIABMAG8AdwBlAHIAIABsAGUAZgB0AFwAbgAgACAAIAAgACAAIAAgACAANAAgAC0AIABVAHAAcABlAHIAIABsAGUAZgB0AFwAbgBcAG4AIAAgACAAIABQAHkAcgBhAG0AaQBkACAAZQB4AHQAcgBhAGMAdABpAG8AbgBzACAAYQByAGUAIABtAG8AcwB0ACAAbQBlAGEAbgBpAG4AZwBmAHUAbAAgAG8AbgAgAHMAcQB1AGEAcgBlACAAbwByACAAbgBlAGEAcgARIHMAcQB1AGEAcgBlACAAbQBhAHQAcgBpAGMAZQBzAC4AXABuACAAIAAgACAATwBuACAAdABhAGwAbAAgAG8AcgAgAG4AYQByAHIAbwB3ACAAbQBhAHQAcgBpAGMAZQBzACwAIAB0AGgAZQAgAHIAZQBzAHUAbAB0AGkAbgBnACAAcwBoAGEAcABlAHMAIABtAGEAeQAgAGIAZQAgAHYAaQBzAHUAYQBsAGwAeQAgAHMAawBlAHcAZQBkAC4AXABuAFwAbgBQAGEAcgBhAG0AZQB0AGUAcgBzADoAXABuACAAIAAgACAAYQByAHIAYQB5ACAAIAAgACAAIAAgACAAIAAtACAAMgBEACAAYQByAHIAYQB5ACAAZgByAG8AbQAgAHcAaABpAGMAaAAgAHQAbwAgAGUAeAB0AHIAYQBjAHQAIAB0AGgAZQAgAHIAZQBnAGkAbwBuAC4AXABuACAAIAAgACAAWwBwAGkAZQBjAGUAXQAgACAAIAAgACAAIAAtACAASQBuAHQAZQBnAGUAcgAgADEAEyA0ACAAcwBlAGwAZQBjAHQAaQBuAGcAIAB0AGgAZQAgAHAAeQByAGEAbQBpAGQAIAByAGUAZwBpAG8AbgAuACAARABlAGYAYQB1AGwAdABzACAAdABvACAAMQAuAFwAbgAgACAAIAAgAFsAZgBpAGwAbABfAHYAYQBsAHUAZQBdACAALQAgAFMAYwBhAGwAYQByACAAdQBzAGUAZAAgAG8AdQB0AHMAaQBkAGUAIAB0AGgAZQAgAHIAZQBnAGkAbwBuAC4AIABEAGUAZgBhAHUAbAB0AHMAIAB0AG8AIABcACIAXAAiAC4AXABuAC0ALQAtAC0ALQAtAC0ALQAtAC0ALQAtAC0ALQAtAC0ALQAtAC0ALQAtAC0ALQAtAC0ALQAtAC0ALQAtAC0ALQAtAC0ALQAtAC0ALQAtAC0ALQAtAC0ALQAtAC0ALQAtAC0ALQAtAC0ALQAtAC0ALQAtAC0ALQAtAC0ALQAtAC0ALQAtAC0ALQAtAC0ALQAtAC0ALQAtAC0ALQAtACoALwBcAG4AXABuAFAAeQByAGEAbQBpAGQAuwMgAD0AXABuAEwAQQBNAEIARABBACgAXABuACAAIAAgACAAYQByAHIAYQB5ACwAXABuACAAIAAgACAAWwBwAGkAZQBjAGUAXQAsAFwAbgAgACAAIAAgAFsAZgBpAGwAbABfAHYAYQBsAHUAZQBdACwAXABuAEwARQBUACgAXABuACAAIAAgACAALwAvACAAVgBhAGwAaQBkAGEAdABlACAAcABpAGUAYwBlAFwAbgAgACAAIAAgAHAAaQBlAGMAZQAsACAAIAAgACAAIAAgACAAIAAgAEkARgAoAEkAUwBPAE0ASQBUAFQARQBEACgAcABpAGUAYwBlACkALAAgADEALAAgAHAAaQBlAGMAZQApACwAXABuACAAIAAgACAASQBuAHYAYQBsAGkAZABQAGkAZQBjAGUAPwAsACAATwBSACgAcABpAGUAYwBlACAAPAAgADEALAAgAHAAaQBlAGMAZQAgAD4AIAA0ACwAIABJAFMAVABFAFgAVAAoAHAAaQBlAGMAZQApACkALABcAG4AXABuACAAIAAgACAALwAvACAATwBwAHQAaQBvAG4AYQBsACAAZgBpAGwAbABcAG4AIAAgACAAIABmAGkAbABsAF8AdgBhAGwAdQBlACwAIAAgACAAIABJAEYAKABJAFMATwBNAEkAVABUAEUARAAoAGYAaQBsAGwAXwB2AGEAbAB1AGUAKQAsACAAXAAiAFwAIgAsACAAZgBpAGwAbABfAHYAYQBsAHUAZQApACwAXABuAFwAbgAvAC8AIABMAG8AZwBpAGMAIABnAGEAdABlAFwAbgAgACAAIAAgAEkARgAoAEkAbgB2AGEAbABpAGQAUABpAGUAYwBlAD8ALAAgAFwAIgAjAFAASQBFAEMARQAhAFwAIgAsAFwAbgBcAG4ATABFAFQAKABcAG4AIAAgACAAIAAvAC8AIABEAGkAbQBlAG4AcwBpAG8AbgBzAFwAbgAgACAAIAAgAGgALAAgACAAIAAgACAAIAAgACAAIAAgACAAUgBPAFcAUwAoAGEAcgByAGEAeQApACwAXABuACAAIAAgACAAdwAsACAAIAAgACAAIAAgACAAIAAgACAAIABDAE8ATABVAE0ATgBTACgAYQByAHIAYQB5ACkALABcAG4AXABuACAAIAAgACAALwAvACAASQBuAGQAZQB4ACAAZwByAGkAZABzAFwAbgAgACAAIAAgAGkALAAgACAAIAAgACAAIAAgACAAIAAgACAATQBHAHIAaQBkALsDKABhAHIAcgBhAHkAKQAsAFwAbgAgACAAIAAgAGoALAAgACAAIAAgACAAIAAgACAAIAAgACAATQBHAHIAaQBkALsDKABhAHIAcgBhAHkALAAgADEAKQAsAFwAbgBcAG4AIAAgACAAIAAvAC8AIABQAHkAcgBhAG0AaQBkACAAbQBhAHMAawBzACAAKABjAGwAbwBjAGsAdwBpAHMAZQApAFwAbgAgACAAIAAgAHUAcABwAGUAcgBfAHIAaQBnAGgAdAAsACAAaQAgADwAPQAgAGoALAAgACAAIAAgACAAIAAgACAAIAAgAC8ALwAgADEAXABuACAAIAAgACAAbABvAHcAZQByAF8AcgBpAGcAaAB0ACwAIABpACAAKwAgAGoAIAA+AD0AIABoACAAKwAgADEALAAgACAALwAvACAAMgBcAG4AIAAgACAAIABsAG8AdwBlAHIAXwBsAGUAZgB0ACwAIAAgAGkAIAA+AD0AIABqACwAIAAgACAAIAAgACAAIAAgACAAIAAvAC8AIAAzAFwAbgAgACAAIAAgAHUAcABwAGUAcgBfAGwAZQBmAHQALAAgACAAaQAgACsAIABqACAAPAA9ACAAaAAgACsAIAAxACwAIAAgAC8ALwAgADQAXABuAFwAbgAgACAAIAAgAC8ALwAgAFMAZQBsAGUAYwB0ACAAcgBlAGcAaQBvAG4AXABuACAAIAAgACAAbQBhAHMAawAsACAAIAAgACAAIAAgACAAIABJAEYAKABwAGkAZQBjAGUAIAA9ACAAMQAsACAAdQBwAHAAZQByAF8AcgBpAGcAaAB0ACwAXABuACAAIAAgACAAIAAgACAAIAAgACAAIAAgACAAIAAgACAAIAAgACAAIABJAEYAKABwAGkAZQBjAGUAIAA9ACAAMgAsACAAbABvAHcAZQByAF8AcgBpAGcAaAB0ACwAXABuACAAIAAgACAAIAAgACAAIAAgACAAIAAgACAAIAAgACAAIAAgACAAIAAgACAAIAAgAEkARgAoAHAAaQBlAGMAZQAgAD0AIAAzACwAIABsAG8AdwBlAHIAXwBsAGUAZgB0ACwAXABuACAAIAAgACAAIAAgACAAIAAgACAAIAAgACAAIAAgACAAIAAgACAAIAAgACAAIAAgACAAIAAgACAAIAAgACAAIAAgACAAIAAgACAAIAB1AHAAcABlAHIAXwBsAGUAZgB0ACkAKQApACwAXABuAFwAbgAgACAAIAAgAC8ALwAgAEEAcABwAGwAeQAgAG0AYQBzAGsAXABuACAAIAAgACAAcgBlAHMAdQBsAHQALAAgACAAIAAgACAAIABJAEYAKABtAGEAcwBrACwAIABhAHIAcgBhAHkALAAgAGYAaQBsAGwAXwB2AGEAbAB1AGUAKQAsAFwAbgBcAG4AIAAgACAAIAByAGUAcwB1AGwAdABcAG4AKQApACkAKQA7AFwAbgBcAG4AXABuAFwAbgAvACoAIABbAEcARwAwADUAXQAgAC0ALQAtAC0ALQAtAC0ALQAtAC0ALQAtAC0ALQAtAC0ALQAtAC0ALQAtAC0ALQAtAC0ALQAtAC0ALQAtAC0ALQAtAC0ALQAtAC0ALQAtAC0ALQAtAC0ALQAtAC0ALQAtAC0ALQAtAC0ALQAtAC0ALQAtAC0ALQAtAC0ALQAtAC0ALQAtAC0ALQAtAC0ALQAtAC0AXABuAEYAdQBuAGMAdABpAG8AbgA6ACAAIAAgACAAIABSAGkAbgBnALsDXABuAEMAYQB0AGUAZwBvAHIAeQA6ACAAIAAgACAAIABHAHIAaQBkACAARwBlAG8AbQBlAHQAcgB5AFwAbgBBAHUAdABoAG8AcgA6ACAAIAAgACAAIAAgACAAUABhAHQAcgBpAGMAawAgAEgALgBcAG4AVgBlAHIAcwBpAG8AbgA6ACAAIAAgACAAIAAgADEALgAxAFwAbgBEAGUAcABlAG4AZABlAG4AYwBpAGUAcwA6ACAATQBHAHIAaQBkALsDXABuAFwAbgBEAGUAcwBjAHIAaQBwAHQAaQBvAG4AOgBcAG4AIAAgACAAIABFAHgAdAByAGEAYwB0AHMAIABhACAAcwBpAG4AZwBsAGUAIAByAGkAbgBnACAAKABsAGEAeQBlAHIAKQAgAGYAcgBvAG0AIABhACAAMgBEACAAZwByAGkAZAAgAHcAaABpAGwAZQAgAHAAcgBlAHMAZQByAHYAaQBuAGcAIAB0AGgAZQAgAG8AdgBlAHIAYQBsAGwAXABuACAAIAAgACAAcwBoAGEAcABlACAAbwBmACAAdABoAGUAIABnAHIAaQBkAC4AIABMAGEAeQBlAHIAIAAxACAAYwBvAHIAcgBlAHMAcABvAG4AZABzACAAdABvACAAdABoAGUAIABvAHUAdABlAHIAbQBvAHMAdAAgAHAAZQByAGkAbQBlAHQAZQByACwAIABhAG4AZAAgAGgAaQBnAGgAZQByAFwAbgAgACAAIAAgAGwAYQB5AGUAcgBzACAAbQBvAHYAZQAgAGkAbgB3AGEAcgBkAC4AIABUAGgAZQAgAG8AdQB0AHAAdQB0ACAAYQBsAHcAYQB5AHMAIABtAGEAdABjAGgAZQBzACAAdABoAGUAIABkAGkAbQBlAG4AcwBpAG8AbgBzACAAbwBmACAAdABoAGUAIABpAG4AcAB1AHQAXABuACAAIAAgACAAZwByAGkAZAAsACAAdwBpAHQAaAAgAGEAbABsACAAbgBvAG4AESByAGkAbgBnACAAYwBlAGwAbABzACAAZgBpAGwAbABlAGQAIAB1AHMAaQBuAGcAIABmAGkAbABsAF8AdgBhAGwAdQBlAC4AXABuAFwAbgBQAGEAcgBhAG0AZQB0AGUAcgBzADoAXABuACAAIAAgACAAZwByAGkAZAAgACAAIAAgACAAIAAgACAALQAgAFIAZQBxAHUAaQByAGUAZAAgADIARAAgAGEAcgByAGEAeQAgAHIAZQBwAHIAZQBzAGUAbgB0AGkAbgBnACAAdABoAGUAIABmAHUAbABsACAAZwByAGkAZAAuAFwAbgAgACAAIAAgAGwAYQB5AGUAcgAgACAAIAAgACAAIAAgAC0AIABJAG4AdABlAGcAZQByACAAZSIgADEAIABzAHAAZQBjAGkAZgB5AGkAbgBnACAAdwBoAGkAYwBoACAAcgBpAG4AZwAgAHQAbwAgAGUAeAB0AHIAYQBjAHQALgBcAG4AIAAgACAAIAAgACAAIAAgACAAIAAgACAAIAAgACAAIAAgACAATABhAHkAZQByAHMAIABlAHgAYwBlAGUAZABpAG4AZwAgAHQAaABlACAAaQBuAG4AZQByAG0AbwBzAHQAIAByAGkAbgBnACAAcgBlAHQAdQByAG4AIABcACIAIwBNAEEAWAAtAEwAQQBZAEUAUgA6ACAAbgBcACIALgBcAG4AIAAgACAAIABbAGYAaQBsAGwAXwB2AGEAbAB1AGUAXQAtACAAUwBjAGEAbABhAHIAIAB1AHMAZQBkACAAdABvACAAZgBpAGwAbAAgAG4AbwBuABEgcgBpAG4AZwAgAGMAZQBsAGwAcwAuACAARABlAGYAYQB1AGwAdABzACAAdABvACAAMAAuAFwAbgBcAG4ATgBvAHQAZQBzADoAXABuACAAIAAgACAAIiAgAFQAaABpAHMAIABmAHUAbgBjAHQAaQBvAG4AIABwAGUAcgBmAG8AcgBtAHMAIABuAG8AIAByAG8AdABhAHQAaQBvAG4AOwAgAGkAdAAgAG8AbgBsAHkAIABlAHgAdAByAGEAYwB0AHMAIAB0AGgAZQAgAHIAaQBuAGcAIABtAGEAcwBrAC4AXABuACAAIAAgACAAIiAgAEQAZQBnAGUAbgBlAHIAYQB0AGUAIAByAGkAbgBnAHMAIAAoADEA1wBOACwAIABOANcAMQAsACAAMgDXAE4ALAAgAGUAdABjAC4AKQAgAGEAcgBlACAAcAByAGUAcwBlAHIAdgBlAGQAIABlAHgAYQBjAHQAbAB5AC4AXABuACAAIAAgACAAIiAgAFIAaQBuAGcAUgBvAHQAYQB0AGUAuwMgAGEAbgBkACAAUgBpAG4AZwBSAG8AdABhAHQAZQBSAGUAdgC7AyAAcgBlAGwAeQAgAG8AbgAgAFIAaQBuAGcAuwMgAHQAbwAgAGkAZABlAG4AdABpAGYAeQAgAHIAaQBuAGcAIABiAG8AdQBuAGQAYQByAGkAZQBzAC4AXABuAC0ALQAtAC0ALQAtAC0ALQAtAC0ALQAtAC0ALQAtAC0ALQAtAC0ALQAtAC0ALQAtAC0ALQAtAC0ALQAtAC0ALQAtAC0ALQAtAC0ALQAtAC0ALQAtAC0ALQAtAC0ALQAtAC0ALQAtAC0ALQAtAC0ALQAtAC0ALQAtAC0ALQAtAC0ALQAtAC0ALQAtAC0ALQAtAC0ALQAtAC0ALQAtACoALwBcAG4AXABuAFIAaQBuAGcAuwMgAD0AXABuAEwAQQBNAEIARABBACgAXABuACAAIAAgACAAZwByAGkAZAAsAFwAbgAgACAAIAAgAGwAYQB5AGUAcgAsAFwAbgAgACAAIAAgAFsAZgBpAGwAbABfAHYAYQBsAHUAZQBdACwAXABuAEwARQBUACgAXABuACAAIAAgACAALwAvACAARABpAG0AZQBuAHMAaQBvAG4AcwBcAG4AIAAgACAAIABoACwAIAAgACAAIAAgACAAIAAgACAAIAAgACAAIABSAE8AVwBTACgAZwByAGkAZAApACwAXABuACAAIAAgACAAdwAsACAAIAAgACAAIAAgACAAIAAgACAAIAAgACAAQwBPAEwAVQBNAE4AUwAoAGcAcgBpAGQAKQAsAFwAbgBcAG4AIAAgACAAIAAvAC8AIABWAGEAbABpAGQAYQB0AGkAbwBuAFwAbgAgACAAIAAgAEkAcwBTAGMAYQBsAGEAcgA/ACwAIAAgACAAIAAgAEEATgBEACgAaAAgAD0AIAAxACwAIAB3ACAAPQAgADEAKQAsAFwAbgAgACAAIAAgAEkAcwAxAEQAPwAsACAAIAAgACAAIAAgACAAIAAgAE8AUgAoAGgAIAA9ACAAMQAsACAAdwAgAD0AIAAxACkALABcAG4AIAAgACAAIABJAG4AdgBhAGwAaQBkAEwAYQB5AGUAcgA/ACwAIABPAFIAKABJAFMAVABFAFgAVAAoAGwAYQB5AGUAcgApACwAIABsAGEAeQBlAHIAIAA8AD0AIAAwACkALABcAG4AIAAgACAAIABNAGEAeABMAGEAeQBlAHIALAAgACAAIAAgACAAIABJAE4AVAAoACgATQBJAE4AKABoACwAIAB3ACkAIAArACAAMQApACAALwAgADIAKQAsAFwAbgBcAG4AIAAgACAAIAAvAC8AIABMAG8AZwBpAGMAIABnAGEAdABlAFwAbgAgACAAIAAgAEkARgAoAEkAcwBTAGMAYQBsAGEAcgA/ACwAIABnAHIAaQBkACwAXABuAFwAbgAgACAAIAAgACAAIAAgACAASQBGACgASQBzADEARAA/ACwAIABcACIAIwAxAEQALQBBAFIAUgBBAFkAIQBcACIALABcAG4AXABuACAAIAAgACAAIAAgACAAIAAgACAAIAAgAEkARgAoAEkAbgB2AGEAbABpAGQATABhAHkAZQByAD8ALAAgAFwAIgAjAEwAQQBZAEUAUgAhAFwAIgAsAFwAbgBcAG4AIAAgACAAIAAgACAAIAAgACAAIAAgACAAIAAgACAAIABJAEYAKABsAGEAeQBlAHIAIAA+ACAATQBhAHgATABhAHkAZQByACwAIABcACIAIwBNAEEAWAAtAEwAQQBZAEUAUgA6ACAAXAAiACAAJgAgAE0AYQB4AEwAYQB5AGUAcgAsAFwAbgBcAG4ATABFAFQAKABcAG4AIAAgACAAIAAvAC8AIABPAHAAdABpAG8AbgBhAGwAIABmAGkAbABsAFwAbgAgACAAIAAgAGYAaQBsAGwAXwB2AGEAbAB1AGUALAAgACAASQBGACgASQBTAE8ATQBJAFQAVABFAEQAKABmAGkAbABsAF8AdgBhAGwAdQBlACkALAAgADAALAAgAGYAaQBsAGwAXwB2AGEAbAB1AGUAKQAsAFwAbgBcAG4AIAAgACAAIAAvAC8AIABJAG4AZABlAHgAIABnAHIAaQBkAHMAXABuACAAIAAgACAAaQAsACAAIAAgACAAIAAgACAAIAAgACAAIABNAEcAcgBpAGQAuwMoAGcAcgBpAGQAKQAsAFwAbgAgACAAIAAgAGoALAAgACAAIAAgACAAIAAgACAAIAAgACAATQBHAHIAaQBkALsDKABnAHIAaQBkACwAIAAxACkALABcAG4AXABuACAAIAAgACAALwAvACAAUgBpAG4AZwAgAGUAZABnAGUAcwBcAG4AIAAgACAAIAB0AG8AcAAsACAAIAAgACAAIAAgACAAIAAgACgAKABpACAAPQAgAGwAYQB5AGUAcgApACAAKwAgACgAaQAgAD0AIAAxACAAKwAgAGgAIAAtACAAbABhAHkAZQByACkAKQAgACoAXABuACAAIAAgACAAIAAgACAAIAAgACAAIAAgACAAIAAgACAAIAAoACgAagAgAD4AIABsAGEAeQBlAHIAIAAtACAAMQApACAAKgAgACgAagAgADwAPQAgADEAIAArACAAdwAgAC0AIABsAGEAeQBlAHIAKQApACwAXABuAFwAbgAgACAAIAAgAHMAaQBkAGUALAAgACAAIAAgACAAIAAgACAAKAAoAGoAIAA9ACAAbABhAHkAZQByACkAIAArACAAKABqACAAPQAgADEAIAArACAAdwAgAC0AIABsAGEAeQBlAHIAKQApACAAKgBcAG4AIAAgACAAIAAgACAAIAAgACAAIAAgACAAIAAgACAAIAAgACgAKABpACAAPgAgAGwAYQB5AGUAcgAgAC0AIAAxACkAIAAqACAAKABpACAAPAA9ACAAMQAgACsAIABoACAALQAgAGwAYQB5AGUAcgApACkALABcAG4AXABuACAAIAAgACAALwAvACAAQwBvAG0AYgBpAG4AZQBkACAAcgBpAG4AZwAgAG0AYQBzAGsAXABuACAAIAAgACAAbQBhAHMAawAsACAAIAAgACAAIAAgACAAIABTAEkARwBOACgAdABvAHAAIAArACAAcwBpAGQAZQApACwAXABuAFwAbgAgACAAIAAgAC8ALwAgAEEAcABwAGwAeQAgAG0AYQBzAGsAXABuACAAIAAgACAAcgBlAHMAdQBsAHQALAAgACAAIAAgACAAIABJAEYAKABtAGEAcwBrACwAIABnAHIAaQBkACwAIABmAGkAbABsAF8AdgBhAGwAdQBlACkALABcAG4AXABuACAAIAAgACAAcgBlAHMAdQBsAHQAXABuACkAKQApACkAKQApACkAOwBcAG4AXABuAFwAbgBcAG4ALwAqACAAWwBHAEcAMAA2AF0AIAAtAC0ALQAtAC0ALQAtAC0ALQAtAC0ALQAtAC0ALQAtAC0ALQAtAC0ALQAtAC0ALQAtAC0ALQAtAC0ALQAtAC0ALQAtAC0ALQAtAC0ALQAtAC0ALQAtAC0ALQAtAC0ALQAtAC0ALQAtAC0ALQAtAC0ALQAtAC0ALQAtAC0ALQAtAC0ALQAtAC0ALQAtAC0ALQAtAFwAbgBGAHUAbgBjAHQAaQBvAG4AOgAgACAAIAAgACAAUwBxAHUAYQByAGUAuwNcAG4AQwBhAHQAZQBnAG8AcgB5ADoAIAAgACAAIAAgAEcAcgBpAGQAIABHAGUAbwBtAGUAdAByAHkAXABuAEEAdQB0AGgAbwByADoAIAAgACAAIAAgACAAIABQAGEAdAByAGkAYwBrACAASAAuAFwAbgBWAGUAcgBzAGkAbwBuADoAIAAgACAAIAAgACAAMQAuADEAXABuAEQAZQBwAGUAbgBkAGUAbgBjAGkAZQBzADoAIABDAEcAcgBpAGQAuwMsACAAUwBxAHUAZQBlAHoAZQC7A1wAbgBcAG4ARABlAHMAYwByAGkAcAB0AGkAbwBuADoAXABuACAAIAAgACAARQB4AHQAcgBhAGMAdABzACAAYQAgAHMAcQB1AGEAcgBlABEgcwBoAGEAcABlAGQAIAByAGUAZwBpAG8AbgAgACgAQwBoAGUAYgB5AHMAaABlAHYAIAByAGEAZABpAHUAcwApACAAZgByAG8AbQAgAGEAIAAyAEQAIABhAHIAcgBhAHkAIABiAHkAXABuACAAIAAgACAAcwBwAGUAYwBpAGYAeQBpAG4AZwAgAHQAaABlACAAYwBlAG4AdABlAHIAIABhAG4AZAAgAGEAbgAgAGUAeAB0AGUAbgBkACAAdgBhAGwAdQBl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zAHEAdQBhAHIAZQAuACAATQBhAHkAIABiAGUAIABhACAAcwBjAGEAbABhAHIAIABjAHIAaQB0AGUAcgBpAG8AbgAgAG8AcgAgAGMAbwBvAHIAZABpAG4AYQB0AGUAcwBcAG4AIAAgACAAIAAgACAAIAAgACAAIAAgACAAIAAgACAAIAAgACAAbwBmACAAdABoAGUAIABmAG8AcgBtACAAewByAG8AdwAsACAAYwBvAGwAfQAuAFwAbgAgACAAIAAgAGUAeAB0AGUAbgBkACAAIAAgACAAIAAgAC0AIABDAGgAZQBiAHkAcwBoAGUAdgAgAHIAYQBkAGkAdQBzACAAbwBmACAAdABoAGUAIABzAHEAdQBhAHIAZQAgACgAbQB1AHMAdAAgAGIAZQAgAGEAIABwAG8AcwBpAHQAaQB2AGUAIABpAG4AdABlAGcAZQByACkALgBcAG4AIAAgACAAIABbAGYAaQBsAGwAXwB2AGEAbAB1AGUAXQAtACAAUwBjAGEAbABhAHIAIAB1AHMAZQBkACAAbwB1AHQAcwBpAGQAZQAgAHQAaABlACAAcwBxAHUAYQByAGUALgAgAEQAZQBmAGEAdQBsAHQAcwAgAHQAbwAgADAALgBcAG4ALQAtAC0ALQAtAC0ALQAtAC0ALQAtAC0ALQAtAC0ALQAtAC0ALQAtAC0ALQAtAC0ALQAtAC0ALQAtAC0ALQAtAC0ALQAtAC0ALQAtAC0ALQAtAC0ALQAtAC0ALQAtAC0ALQAtAC0ALQAtAC0ALQAtAC0ALQAtAC0ALQAtAC0ALQAtAC0ALQAtAC0ALQAtAC0ALQAtAC0ALQAtAC0AKgAvAFwAbgBcAG4AUwBxAHUAYQByAGUAuwMgAD0AXABuAEwAQQBNAEIARABBACgAXABuACAAIAAgACAAZwByAGkAZAAsAFwAbgAgACAAIAAgAHQAYQByAGcAZQB0ACwAXABuACAAIAAgACAAZQB4AHQAZQBuAGQ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FAHgAdABlAG4AZAA/ACwAIABPAFIAKABJAFMAVABFAFgAVAAoAGUAeAB0AGUAbgBkACkALAAgAGUAeAB0AGUAbgBkACAAPAAgADEAKQAsAFwAbgAgACAAIAAgAE4AbwBUAGEAcgBnAGUAdAA/ACwAIAAgACAAIAAgACAASQBGACgASQBzAEkAXwBKAD8ALAAgAEYAQQBMAFMARQAsACAATgBPAFQAKABPAFIAKABiAG8AbwBsACkAKQApACwAXABuAFwAbgAgACAAIAAgAC8ALwAgAE8AcAB0AGkAbwBuAGEAbAAgAGYAaQBsAGwAXABuACAAIAAgACAAZgBpAGwAbABfAHYAYQBsAHUAZQAsACAAIABJAEYAKABJAFMATwBNAEkAVABUAEUARAAoAGYAaQBsAGwAXwB2AGEAbAB1AGUAKQAsACAAMAAsACAAZgBpAGwAbABfAHYAYQBsAHUAZQ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FAHgAdABlAG4AZAA/ACwAIABcACIAIwBFAFgAVABFAE4ARA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FMAcQB1AGEAcgBlACAAbQBhAHMAawAgACgAQwBoAGUAYgB5AHMAaABlAHYAIABkAGkAcwB0AGEAbgBjAGUAKQBcAG4AIAAgACAAIABtAGEAcwBrACwAIAAgACAAIAAgACAAIAAgACgAQQBCAFMAKABpACAALQAgAHgAKQAgADwAPQAgAGUAeAB0AGUAbgBkACkAIAAqACAAKABBAEIAUwAoAGoAIAAtACAAeQApACAAPAA9ACAAZQB4AHQAZQBuAGQAKQAsAFwAbgBcAG4AIAAgACAAIAAvAC8AIABFAHgAdAByAGEAYwB0ACAAYQBuAGQAIABzAHEAdQBlAGUAegBlAFwAbgAgACAAIAAgAHIAZQBzAHUAbAB0ACwAIAAgACAAIAAgACAAUwBxAHUAZQBlAHoAZQC7AygASQBGACgAbQBhAHMAawAsACAAZwByAGkAZAAsACAAZgBpAGwAbABfAHYAYQBsAHUAZQApACwAIABmAGkAbABsAF8AdgBhAGwAdQBlACkALABcAG4AXABuACAAIAAgACAAcgBlAHMAdQBsAHQAXABuACkAKQApACkAKQApACkAOwBcAG4AXABuAFwAbgBcAG4ALwAqACAAWwBHAEcAMAA3AF0AIAAtAC0ALQAtAC0ALQAtAC0ALQAtAC0ALQAtAC0ALQAtAC0ALQAtAC0ALQAtAC0ALQAtAC0ALQAtAC0ALQAtAC0ALQAtAC0ALQAtAC0ALQAtAC0ALQAtAC0ALQAtAC0ALQAtAC0ALQAtAC0ALQAtAC0ALQAtAC0ALQAtAC0ALQAtAC0ALQAtAC0ALQAtAC0ALQAtAFwAbgBGAHUAbgBjAHQAaQBvAG4AOgAgACAAIAAgACAAVAByAGkAYQBuAGcAbABlALsDXABuAEMAYQB0AGUAZwBvAHIAeQA6ACAAIAAgACAAIABHAHIAaQBkACAARwBlAG8AbQBlAHQAcgB5AFwAbgBBAHUAdABoAG8AcgA6ACAAIAAgACAAIAAgACAAUABhAHQAcgBpAGMAawAgAEgALgBcAG4AVgBlAHIAcwBpAG8AbgA6ACAAIAAgACAAIAAgADEALgAxAFwAbgBEAGUAcABlAG4AZABlAG4AYwBpAGUAcwA6ACAAQwBHAHIAaQBkALsDLAAgAFMAcQB1AGUAZQB6AGUAuwNcAG4AXABuAEQAZQBzAGMAcgBpAHAAdABpAG8AbgA6AFwAbgAgACAAIAAgAEUAeAB0AHIAYQBjAHQAcwAgAGEAIABkAGkAcgBlAGMAdABpAG8AbgBhAGwAIAB0AHIAaQBhAG4AZwB1AGwAYQByACAAcgBlAGcAaQBvAG4AIAAoAHUAcABwAGUAcgAgAG8AcgAgAGwAbwB3AGUAcgApACAAZgByAG8AbQAgAGEAIAAyAEQAIABhAHIAcgBhAHkAIABiAHkAXABuACAAIAAgACAAcwBwAGUAYwBpAGYAeQBpAG4AZwAgAHQAaABlACAAYwBlAG4AdABlAHIAIABhAG4AZAAgAGEAIABNAGEAbgBoAGEAdAB0AGEAbgAgAHIAYQBkAGkAdQBzAC4AIABUAGgAZQAgAGMAZQBuAHQAZQByACAAbQBhAHkAIABiAGUAIABnAGkAdgBlAG4AIABhAHMAIABhAFwAbgAgACAAIAAgAHMAYwBhAGwAYQByACAAYwByAGkAdABlAHIAaQBvAG4AIABvAHIAIABhAHMAIABlAHgAcABsAGkAYwBpAHQAIABjAG8AbwByAGQAaQBuAGEAdABlAHMAIAB7AHIAbwB3ACwAIABjAG8AbAB9AC4AIABUAGgAZQAgAGUAeAB0AHIAYQBjAHQAZQBkACAAcgBlAGcAaQBvAG4AXABuACAAIAAgACAAcAByAGUAcwBlAHIAdgBlAHMAIABpAHQAcwAgAGcAZQBvAG0AZQB0AHIAaQBjACAAcwBoAGEAcABlACwAIABhAG4AZAAgAHIAbwB3AHMALwBjAG8AbAB1AG0AbgBzACAAYwBvAG4AdABhAGkAbgBpAG4AZwAgAG8AbgBsAHkAIABmAGkAbABsAF8AdgBhAGwAdQBlAFwAbgAgACAAIAAgAGEAcgBlACAAYQB1AHQAbwBtAGEAdABpAGMAYQBsAGwAeQAgAHIAZQBtAG8AdgBlAGQALgBcAG4AXABuAFAAYQByAGEAbQBlAHQAZQByAHMAOgBcAG4AIAAgACAAIABnAHIAaQBkACAAIAAgACAAIAAgACAAIAAtACAAUgBlAHEAdQBpAHIAZQBkACAAMgBEACAAYQByAHIAYQB5AC4AXABuACAAIAAgACAAdABhAHIAZwBlAHQAIAAgACAAIAAgACAALQAgAEMAZQBuAHQAZQByACAAbwBmACAAdABoAGUAIAB0AHIAaQBhAG4AZwBsAGUALgAgAE0AYQB5ACAAYgBlACAAYQAgAHMAYwBhAGwAYQByACAAYwByAGkAdABlAHIAaQBvAG4AIABvAHIAIABjAG8AbwByAGQAaQBuAGEAdABlAHMAXABuACAAIAAgACAAIAAgACAAIAAgACAAIAAgACAAIAAgACAAIAAgAG8AZgAgAHQAaABlACAAZgBvAHIAbQAgAHsAcgBvAHcALAAgAGMAbwBsAH0ALgBcAG4AIAAgACAAIAByAGEAZABpAHUAcwAgACAAIAAgACAAIAAtACAATQBhAG4AaABhAHQAdABhAG4AIAByAGEAZABpAHUAcwAgAG8AZgAgAHQAaABlACAAdAByAGkAYQBuAGcAbABlACAAKABtAHUAcwB0ACAAYgBlACAAYQAgAHAAbwBzAGkAdABpAHYAZQAgAGkAbgB0AGUAZwBlAHIAKQAuAFwAbgAgACAAIAAgAFsAYgBlAGwAbwB3AF0AIAAgACAAIAAgAC0AIABJAGYAIABUAFIAVQBFACwAIAByAGUAdAB1AHIAbgBzACAAdABoAGUAIABsAG8AdwBlAHIAIAB0AHIAaQBhAG4AZwBsAGUAOwAgAGkAZgAgAG8AbQBpAHQAdABlAGQALAAgAHIAZQB0AHUAcgBuAHMAIAB1AHAAcABlAHIALgBcAG4AIAAgACAAIABbAGYAaQBsAGwAXwB2AGEAbAB1AGUAXQAtACAAUwBjAGEAbABhAHIAIAB1AHMAZQBkACAAbwB1AHQAcwBpAGQAZQAgAHQAaABlACAAdAByAGkAYQBuAGcAbABlAC4AIABEAGUAZgBhAHUAbAB0AHMAIAB0AG8AIAAwAC4AXABuAC0ALQAtAC0ALQAtAC0ALQAtAC0ALQAtAC0ALQAtAC0ALQAtAC0ALQAtAC0ALQAtAC0ALQAtAC0ALQAtAC0ALQAtAC0ALQAtAC0ALQAtAC0ALQAtAC0ALQAtAC0ALQAtAC0ALQAtAC0ALQAtAC0ALQAtAC0ALQAtAC0ALQAtAC0ALQAtAC0ALQAtAC0ALQAtAC0ALQAtAC0ALQAtACoALwBcAG4AXABuAFQAcgBpAGEAbgBnAGwAZQC7AyAAPQBcAG4ATABBAE0AQgBEAEEAKABcAG4AIAAgACAAIABnAHIAaQBkACwAXABuACAAIAAgACAAdABhAHIAZwBlAHQALABcAG4AIAAgACAAIAByAGEAZABpAHUAcwAsAFwAbgAgACAAIAAgAFsAYgBlAGwAbwB3AF0ALABcAG4AIAAgACAAIABbAGYAaQBsAGwAXwB2AGEAbAB1AGUAXQAsAFwAbgBMAEUAVAAoAFwAbgAgACAAIAAgAC8ALwAgAEQAaQBtAGUAbgBzAGkAbwBuAHMAXABuACAAIAAgACAAaAAsACAAIAAgACAAIAAgACAAIAAgACAAIAAgACAAIABSAE8AVwBTACgAZwByAGkAZAApACwAXABuACAAIAAgACAAdwAsACAAIAAgACAAIAAgACAAIAAgACAAIAAgACAAIABDAE8ATABVAE0ATgBTACgAZwByAGkAZAApACwAXABuAFwAbgAgACAAIAAgAC8ALwAgAFQAYQByAGcAZQB0ACAAaQBuAHQAZQByAHAAcgBlAHQAYQB0AGkAbwBuAFwAbgAgACAAIAAgAEkAcwBJAF8ASgA/ACwAIAAgACAAIAAgACAAIAAgACAAQwBPAFUATgBUACgAdABhAHIAZwBlAHQAKQAgAD0AIAAyACwAXABuACAAIAAgACAAcgAsACAAIAAgACAAIAAgACAAIAAgACAAIAAgACAAIABJAEYAKABJAHMASQBfAEoAPwAsACAAVABBAEsARQAoAHQAYQByAGcAZQB0ACwAIAAxACwAIAAxACkALAAgADAAKQAsAFwAbgAgACAAIAAgAGMALAAgACAAIAAgACAAIAAgACAAIAAgACAAIAAgACAASQBGACgASQBzAEkAXwBKAD8ALAAgAFQAQQBLAEUAKAB0AGEAcgBnAGUAdAAsACAALQAxACwAIAAtADEAKQAsACAAMAApACwAXABuAFwAbgAgACAAIAAgAC8ALwAgAEIAbwBvAGwAZQBhAG4AIABtAGEAdABjAGgAIABmAG8AcgAgAHMAYwBhAGwAYQByACAAdABhAHIAZwBlAHQAXABuACAAIAAgACAAYgBvAG8AbAAsACAAIAAgACAAIAAgACAAIAAgACAAIABJAEYAKABJAHMASQBfAEoAPwAsACAARgBBAEwAUwBFACwAIABnAHIAaQBkACAAPQAgAHQAYQByAGcAZQB0ACkALABcAG4AXABuACAAIAAgACAALwAvACAASQBuAHAAdQB0ACAAdgBhAGwAaQBkAGEAdABpAG8AbgBcAG4AIAAgACAAIABJAHMAUwBjAGEAbABhAHIAPwAsACAAIAAgACAAIAAgAEEATgBEACgAaAAgAD0AIAAxACwAIAB3ACAAPQAgADEAKQAsAFwAbgAgACAAIAAgAEkAcwAxAEQAPwAsACAAIAAgACAAIAAgACAAIAAgACAAWABPAFIAKABoACAAPQAgADEALAAgAHcAIAA9ACAAMQApACwAXABuACAAIAAgACAASQBuAHYAYQBsAGkAZABSAGEAZABpAHUAcwA/ACwAIABPAFIAKABJAFMAVABFAFgAVAAoAHIAYQBkAGkAdQBzACkALAAgAHIAYQBkAGkAdQBzACAAPAAgADEAKQAsAFwAbgAgACAAIAAgAE4AbwBUAGEAcgBnAGUAdAA/ACwAIAAgACAAIAAgACAASQBGACgASQBzAEkAXwBKAD8ALAAgAEYAQQBMAFMARQAsACAATgBPAFQAKABPAFIAKABiAG8AbwBsACkAKQApACwAXABuAFwAbgAgACAAIAAgAC8ALwAgAE8AcAB0AGkAbwBuAGEAbAAgAHAAYQByAGEAbQBlAHQAZQByAHMAXABuACAAIAAgACAAZgBpAGwAbABfAHYAYQBsAHUAZQAsACAAIAAgACAAIABJAEYAKABJAFMATwBNAEkAVABUAEUARAAoAGYAaQBsAGwAXwB2AGEAbAB1AGUAKQAsACAAMAAsACAAZgBpAGwAbABfAHYAYQBsAHUAZQApACwAXABuACAAIAAgACAASQBzAEEAYgBvAHYAZQA/ACwAIAAgACAAIAAgACAAIABJAFMATwBNAEkAVABUAEUARAAoAGIAZQBsAG8AdwApACwAXABuAFwAbgAgACAAIAAgAC8ALwAgAEwAbwBnAGkAYwAgAGcAYQB0AGUAXABuACAAIAAgACAASQBGACgASQBzAFMAYwBhAGwAYQByAD8ALAAgAGcAcgBpAGQALABcAG4AXABuACAAIAAgACAAIAAgACAAIABJAEYAKABJAHMAMQBEAD8ALAAgAFwAIgAjADEARAAtAEEAUgBSAEEAWQAhAFwAIgAsAFwAbgBcAG4AIAAgACAAIAAgACAAIAAgACAAIAAgACAASQBGACgASQBuAHYAYQBsAGkAZABSAGEAZABpAHUAcwA/ACwAIABcACIAIwBSAEEARABJAFUAUwAhAFwAIgAsAFwAbgBcAG4AIAAgACAAIAAgACAAIAAgACAAIAAgACAAIAAgACAAIABJAEYAKABOAG8AVABhAHIAZwBlAHQAPwAsACAAXAAiACMAVABBAFIARwBFAFQAIQBcACIALABcAG4AXABuAEwARQBUACgAXABuACAAIAAgACAALwAvACAATQBlAHMAaAAgAGcAcgBpAGQAXABuACAAIAAgACAAaQAsACAAIAAgACAAIAAgACAAIAAgACAAIABDAEcAcgBpAGQAuwMoAGcAcgBpAGQAKQAsAFwAbgAgACAAIAAgAGoALAAgACAAIAAgACAAIAAgACAAIAAgACAAQwBHAHIAaQBkALsDKABnAHIAaQBkACwAIAAxACkALABcAG4AXABuACAAIAAgACAALwAvACAAQwBlAG4AdABlAHIAIABjAG8AbwByAGQAaQBuAGEAdABlAHMAXABuACAAIAAgACAAeAAsACAAIAAgACAAIAAgACAAIAAgACAAIABJAEYAKABJAHMASQBfAEoAPwAsACAASQBOAEQARQBYACgAaQAsACAAcgAsACAAYwApACwAIABUAE8AQwBPAEwAKABJAEYAKABiAG8AbwBsACwAIABpACwAIABOAEEAKAApACkALAAgADIAKQApACwAXABuACAAIAAgACAAeQAsACAAIAAgACAAIAAgACAAIAAgACAAIABJAEYAKABJAHMASQBfAEoAPwAsACAASQBOAEQARQBYACgAagAsACAAcgAsACAAYwApACwAIABUAE8AQwBPAEwAKABJAEYAKABiAG8AbwBsACwAIABqACwAIABOAEEAKAApACkALAAgADIAKQApACwAXABuAFwAbgAgACAAIAAgAC8ALwAgAEQAaQByAGUAYwB0AGkAbwBuACAAbQBhAHMAawBcAG4AIAAgACAAIABkAGkAcgAsACAAIAAgACAAIAAgACAAIAAgAEkARgAoAEkAcwBBAGIAbwB2AGUAPwAsACAAKABpACAAPAA9ACAAeAApACwAIAAoAGkAIAA+AD0AIAB4ACkAKQAsAFwAbgBcAG4AIAAgACAAIAAvAC8AIABUAHIAaQBhAG4AZwBsAGUAIABtAGEAcwBrACAAKABNAGEAbgBoAGEAdAB0AGEAbgAgAGQAaQBzAHQAYQBuAGMAZQAgACsAIABkAGkAcgBlAGMAdABpAG8AbgApAFwAbgAgACAAIAAgAG0AYQBzAGsALAAgACAAIAAgACAAIAAgACAAKABBAEIAUwAoAGkAIAAtACAAeAApACAAKwAgAEEAQgBTACgAagAgAC0AIAB5ACkAIAA8AD0AIAByAGEAZABpAHUAcwApACAAKgAgAGQAaQByACwAXABuAFwAbgAgACAAIAAgAC8ALwAgAEUAeAB0AHIAYQBjAHQAIABhAG4AZAAgAHMAcQB1AGUAZQB6AGUAXABuACAAIAAgACAAcgBlAHMAdQBsAHQALAAgACAAIAAgACAAIABTAHEAdQBlAGUAegBlALsDKABJAEYAKABtAGEAcwBrACwAIABnAHIAaQBkACwAIABmAGkAbABsAF8AdgBhAGwAdQBlACkALAAgAGYAaQBsAGwAXwB2AGEAbAB1AGUAKQAsAFwAbgBcAG4AIAAgACAAIAByAGUAcwB1AGwAdABcAG4AKQApACkAKQApACkAKQA7AFwAbgBcAG4AXABuAFwAbgAvACoAIABbAFMAQQBdACAALQAtAC0ALQAtAC0ALQAtAC0ALQAtAC0ALQAtAC0ALQAtAC0ALQAtAC0ALQAtAC0ALQAtAC0ALQAtAC0ALQAtAC0ALQAtAC0ALQAtAC0ALQAtAC0ALQAtAC0ALQAtAC0ALQAtAC0ALQAtAC0ALQAtAC0ALQAtAC0ALQAtAC0ALQAtAC0ALQAtAC0ALQAtAC0ALQAtAC0AXABuACMAIwAgADAAMwAgAC0AIAAyAEQAIABBAHIAcgBhAHkAIABTAGgAYQBwAGkAbgBn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TAGgAYQBwAGkAbgBnACAAZgB1AG4AYwB0AGkAbwBuAHMAIAByAGUAcwBoAGEAcABlACwAIAByAGUAcwBpAHoAZQAsACAAdwByAGEAcAAsACAAcABhAGQALAAgAHQAcgBhAHYAZQByAHMAZQAsACAAbwByACAAcgBlAGYAbABvAHcAIABnAHIAaQBkAHMAIAB3AGgAaQBsAGUAXABuACAAIAAgACAAcAByAGUAcwBlAHIAdgBpAG4AZwAgAHQAaABlACAAcwB0AHIAdQBjAHQAdQByAGUAIABvAGYAIAB0AGgAZQAgAHUAbgBkAGUAcgBsAHkAaQBuAGcAIABkAGEAdABhAC4AXABuAFwAbgAgACAAIAAgAFMAdQBiACAAYwBhAHQAZQBnAG8AcgBpAGUAcwA6AFwAbgBcAG4AIAAgACAAIAAgACAAIAAgACIgIABDAG8AcgBlACAAUwBoAGEAcABpAG4AZwAgAFAAcgBpAG0AaQB0AGkAdgBlAHMAXABuACAAIAAgACAAIAAgACAAIAAgACAAIAAgACAAIABSAGUAUwBoAGEAcABlADIARAC7AywAIABSAGUAcwBpAHoAZQC7AywAIABTAGMAYQBuADIARAC7AywAIABUAHIAYQB2AGUAcgBzAGUAuwMsACAAVABhAGsAZQBCAGwAbwBjAGsAuwMsACAARABTAHQAYQBjAGsAuwNcAG4AXABuACAAIAAgACAAIAAgACAAIAAiICAAUgBlAGYAbABvAHcAXABuACAAIAAgACAAIAAgACAAIAAgACAAIAAgACAAIABXAHIAYQBwAFIAbwB3AHMAMgBEALsDLAAgAFcAcgBhAHAAQwBvAGwAcwAyAEQAuwMsACAAUwB0AGEAaQByAGMAYQBzAGUAuwMsACAAVQBuAFAAaQB2AG8AdAC7AywAIABaAGkAcAC7AywAIABTAGwAaQBjAGUAQgB5AEQAZQBnALsDXABuAFwAbgAgACAAIAAgACAAIAAgACAAIiAgAFAAYQBkAGQAaQBuAGcAXABuACAAIAAgACAAIAAgACAAIAAgACAAIAAgACAAIABQAGEAZAC7AywAIABJAG4AcwB1AGwAYQB0AGUAUgBvAHcAcwC7AywAIABJAG4AcwB1AGwAYQB0AGUAQwBvAGwAcwC7A1wAbgBcAG4AIAAgACAAIAAgACAAIAAgACIgIABJAG4AdABlAHIAcABvAGwAYQB0AGkAbwBuAFwAbgAgACAAIAAgACAAIAAgACAAIAAgACAAIAAgACAATQBhAGcAbgBpAGYAeQC7AywAIABaAG8AbwBtALsDXABuAFwAbgAgACAAIAAgAEEAbABsACAAcwBoAGEAcABpAG4AZwAgAGYAdQBuAGMAdABpAG8AbgBzACAAcAByAGUAcwBlAHIAdgBlACAAMgBEACAAZwBlAG8AbQBlAHQAcgB5ACAAYQBuAGQAIAByAGUAdAB1AHIAbgAgAGEAcgByAGEAeQBzACAAdwBoAG8AcwBlACAAcwB0AHIAdQBjAHQAdQByAGUAXABuACAAIAAgACAAaQBzACAAZQB4AHAAbABpAGMAaQB0AGwAeQAgAGQAZQBmAGkAbgBlAGQAIABiAHkAIAB0AGgAZQAgAHQAcgBhAG4AcwBmAG8AcgBtAGEAdABpAG8AbgAgAHIAdQBsAGUAcwAuAFwAbgAqAC8AXABuAFwAbgBcAG4AXABuAC8ALwAgACAAQwBvAHIAZQAgAFMAaABhAHAAaQBuAGcAIABQAHIAaQBtAGkAdABpAHYAZQBzAFwAbgBcAG4AXABuAFwAbgAvACoAIABbAFMAQQAwADEAXQAgAC0ALQAtAC0ALQAtAC0ALQAtAC0ALQAtAC0ALQAtAC0ALQAtAC0ALQAtAC0ALQAtAC0ALQAtAC0ALQAtAC0ALQAtAC0ALQAtAC0ALQAtAC0ALQAtAC0ALQAtAC0ALQAtAC0ALQAtAC0ALQAtAC0ALQAtAC0ALQAtAC0ALQAtAC0ALQAtAC0ALQAtAC0ALQAtAC0AXABuAEYAdQBuAGMAdABpAG8AbgA6ACAAIAAgACAAIABSAGUAUwBoAGEAcABlADIARAC7A1wAbgBDAGEAdABlAGcAbwByAHkAOgAgACAAIAAgACAAMgBEACAAQQByAHIAYQB5ACAAUwBoAGEAcABpAG4AZwBcAG4AQQB1AHQAaABvAHIAOgAgACAAIAAgACAAIAAgAFAAYQB0AHIAaQBjAGsAIABIAC4AXABuAFYAZQByAHMAaQBvAG4AOgAgACAAIAAgACAAIAAxAC4AMQBcAG4AXABuAEQAZQBzAGMAcgBpAHAAdABpAG8AbgA6AFwAbgAgACAAIAAgAFIAZQBzAGgAYQBwAGUAcwAgAGEAIAAyAEQAIABhAHIAcgBhAHkAIABpAG4AdABvACAAYQAgAG4AZQB3ACAAYwBvAGwAdQBtAG4AIAB3AGkAZAB0AGgAIAB1AHMAaQBuAGcAIAByAG8AdwARIG0AYQBqAG8AcgAgAG8AcgBkAGUAcgAuACAAQQBsAGwAIAB2AGEAbAB1AGUAcwBcAG4AIAAgACAAIABhAHIAZQAgAHAAcgBlAHMAZQByAHYAZQBkACAAaQBuACAAcgBlAGEAZABpAG4AZwAgAG8AcgBkAGUAcgAsACAAYQBuAGQAIAB0AGgAZQAgAGYAaQBuAGEAbAAgAGIAbABvAGMAawAgAGkAcwAgAHAAYQBkAGQAZQBkACAAaQBmACAAbgBlAGUAZABlAGQALgBcAG4AIAAgACAAIABPAG4AZQARIGQAaQBtAGUAbgBzAGkAbwBuAGEAbAAgAGEAcgByAGEAeQBzACAAYQByAGUAIAByAGUAagBlAGMAdABlAGQALgBcAG4AXABuAEUAeABhAG0AcABsAGUAOgBcAG4AIAAgACAAIABJAG4AcAB1AHQAOgBcAG4AIAAgACAAIAAgACAAIAAgAHsAMQAsADIALAAzACwANAA7AFwAbgAgACAAIAAgACAAIAAgACAAIAA1ACwANgAsADcALAA4ADsAXABuACAAIAAgACAAIAAgACAAIAAgADkALAAxADAALAAxADEALAAxADIAOwBcAG4AIAAgACAAIAAgACAAIAAgACAAMQAzACwAMQA0ACwAMQA1ACwAMQA2AH0AXABuAFwAbgAgACAAIAAgAD0AUgBlAFMAaABhAHAAZQAyAEQAuwMoAGEAcgByAGEAeQAsACAAMgApAFwAbgBcAG4AIAAgACAAIABPAHUAdABwAHUAdAA6AFwAbgAgACAAIAAgACAAIAAgACAAewAxACwAMgA7AFwAbgAgACAAIAAgACAAIAAgACAAIAAzACwANAA7AFwAbgAgACAAIAAgACAAIAAgACAAIAA1ACwANgA7AFwAbgAgACAAIAAgACAAIAAgACAAIAA3ACwAOAA7AFwAbgAgACAAIAAgACAAIAAgACAAIAA5ACwAMQAwADsAXABuACAAIAAgACAAIAAgACAAIAAgADEAMQAsADEAMgA7AFwAbgAgACAAIAAgACAAIAAgACAAIAAxADMALAAxADQAOwBcAG4AIAAgACAAIAAgACAAIAAgACAAMQA1ACwAMQA2AH0AXABuAFwAbgBQAGEAcgBhAG0AZQB0AGUAcgBzADoAXABuACAAIAAgACAAYQByAHIAYQB5ACAAIAAgACAAIAAgACAAIAAtACAAUgBlAHEAdQBpAHIAZQBkACAAMgBEACAAYQByAHIAYQB5ACAAdABvACAAcgBlAHMAaABhAHAAZQAuACAATwBuAGUAESBkAGkAbQBlAG4AcwBpAG8AbgBhAGwAIABhAHIAcgBhAHkAcwAgAGEAcgBlACAAcgBlAGoAZQBjAHQAZQBkAC4AXABuACAAIAAgACAAbgBlAHcAXwB3AGkAZAB0AGgAIAAgACAAIAAtACAAUgBlAHEAdQBpAHIAZQBkACAAbgB1AG0AYgBlAHIAIABvAGYAIABjAG8AbAB1AG0AbgBzACAAaQBuACAAdABoAGUAIAByAGUAcwBoAGEAcABlAGQAIABhAHIAcgBhAHkALgBcAG4AXABuAE8AcAB0AGkAbwBuAGEAbAA6AFwAbgAgACAAIAAgAFsAcABhAGQAXwB3AGkAdABoAF0AIAAgACAALQAgAFMAYwBhAGwAYQByACAAdQBzAGUAZAAgAHQAbwAgAGYAaQBsAGwAIABpAG4AYwBvAG0AcABsAGUAdABlACAAZgBpAG4AYQBsACAAcgBvAHcAcwAuACAARABlAGYAYQB1AGwAdABzACAAdABvACAATgBBACgAKQAuAFwAbgBcAG4ATgBvAHQAZQBzADoAXABuACAAIAAgACAAIiAgAFIAZQBzAGgAYQBwAGkAbgBnACAAaQBzACAAcABlAHIAZgBvAHIAbQBlAGQAIABzAHQAcgBpAGMAdABsAHkAIABpAG4AIAByAG8AdwARIG0AYQBqAG8AcgAgAG8AcgBkAGUAcgAuAFwAbgAgACAAIAAgACIgIABuAGUAdwBfAHcAaQBkAHQAaAAgAG0AdQBzAHQAIABiAGUAIABsAGUAcwBzACAAdABoAGEAbgAgAG8AcgAgAGUAcQB1AGEAbAAgAHQAbwAgAHQAaABlACAAbwByAGkAZwBpAG4AYQBsACAAdwBpAGQAdABoAC4AXABuACAAIAAgACAAIiAgAFQAaABpAHMAIABmAHUAbgBjAHQAaQBvAG4AIABkAG8AZQBzACAAbgBvAHQAIABmAGwAYQB0AHQAZQBuACAAbwByACAAcgBlABEgdwByAGEAcAAgADEARAAgAGEAcgByAGEAeQBzAC4AXABuAC0ALQAtAC0ALQAtAC0ALQAtAC0ALQAtAC0ALQAtAC0ALQAtAC0ALQAtAC0ALQAtAC0ALQAtAC0ALQAtAC0ALQAtAC0ALQAtAC0ALQAtAC0ALQAtAC0ALQAtAC0ALQAtAC0ALQAtAC0ALQAtAC0ALQAtAC0ALQAtAC0ALQAtAC0ALQAtAC0ALQAtAC0ALQAtAC0ALQAtAC0ALQAtACoALwBcAG4AXABuAFIAZQBTAGgAYQBwAGUAMgBEALsDIAA9AFwAbgBMAEEATQBCAEQAQQAoAFwAbgAgACAAIAAgAGEAcgByAGEAeQAsAFwAbgAgACAAIAAgAG4AZQB3AF8AdwBpAGQAdABoACwAXABuACAAIAAgACAAWwBwAGEAZABfAHcAaQB0AGgAXQAsAFwAbgBMAEUAVAAoAFwAbgAgACAAIAAgAC8ALwAgAEQAaQBtAGUAbgBzAGkAbwBuAHMAXABuACAAIAAgACAAaAAsACAAIAAgACAAIAAgACAAIAAgACAAIAAgACAAIABSAE8AVwBTACgAYQByAHIAYQB5ACkALABcAG4AIAAgACAAIAB3ACwAIAAgACAAIAAgACAAIAAgACAAIAAgACAAIAAgAEMATwBMAFUATQBOAFMAKABhAHIAcgBhAHkAKQAsAFwAbgBcAG4AIAAgACAAIABuAGUAdwBfAGgAZQBpAGcAaAB0ACwAIAAgACAAIAAgAEMARQBJAEwASQBOAEcAKABDAE8AVQBOAFQAQQAoAGEAcgByAGEAeQApACAALwAgAG4AZQB3AF8AdwBpAGQAdABoACwAIAAxACkALABcAG4AXABuACAAIAAgACAALwAvACAATwBwAHQAaQBvAG4AYQBsACAAcABhAGQAZABpAG4AZwBcAG4AIAAgACAAIABwAGEAZABfAHcAaQB0AGgALAAgACAAIAAgACAAIAAgAEkARgAoAEkAUwBPAE0ASQBUAFQARQBEACgAcABhAGQAXwB3AGkAdABoACkALAAgAE4AQQAoACkALAAgAHAAYQBkAF8AdwBpAHQAaAApACwAXABuAFwAbgAgACAAIAAgAC8ALwAgAFMAYwBlAG4AYQByAGkAbwBzAFwAbgAgACAAIAAgAEkAbgB2AGEAbABpAGQAVwBpAGQAdABoACwAIAAgACAAbgBlAHcAXwB3AGkAZAB0AGgAIAA+ACAAdwAsAFwAbgAgACAAIAAgAEkAcwBTAGMAYQBsAGEAcgA/ACwAIAAgACAAIAAgACAAQQBOAEQAKABoACAAPQAgADEALAAgAHcAIAA9ACAAMQApACwAXABuAFwAbgAgACAAIAAgAC8ALwAgAFYAZQBjAHQAbwByACAAaABhAG4AZABsAGkAbgBnAFwAbgAgACAAIAAgAEkAcwAxAEQAPwAsACAAIAAgACAAIAAgACAAIAAgACAAWABPAFIAKABoACAAPQAgADEALAAgAHcAIAA9ACAAMQApACwAXABuACAAIAAgACAASQBzAFYAZQByAHQAaQBjAGEAbAA/ACwAIAAgACAAIABoACAAPgAgAHcALABcAG4AXABuACAAIAAgACAALwAvACAATABvAGcAaQBjACAAZwBhAHQAZQBcAG4AIAAgACAAIABJAEYAKABJAHMAUwBjAGEAbABhAHIAPwAsACAAYQByAHIAYQB5ACwAXABuAFwAbgAgACAAIAAgACAAIAAgACAASQBGACgASQBzADEARAA/ACwAIABcACIAIwBWAEEATABVAEUAIQBcACIALABcAG4AXABuACAAIAAgACAAIAAgACAAIAAgACAAIAAgAEkARgAoAEkAbgB2AGEAbABpAGQAVwBpAGQAdABoACwAIABcACIAIwBXAEkARABUAEgAIQBcACIALABcAG4AXABuAEwARQBUACgAXABuACAAIAAgACAALwAvACAASQBuAGQAaQBjAGUAcwBcAG4AIAAgACAAIABpACwAIAAgACAAIAAgACAAIAAgACAAIAAgACAAIAAgAEwAQQBNAEIARABBACgAQwBFAEkATABJAE4ARwAoAFMARQBRAFUARQBOAEMARQAoAG4AZQB3AF8AaABlAGkAZwBoAHQALAAgAG4AZQB3AF8AdwBpAGQAdABoACkAIAAvACAAdwAsACAAMQApACkALABcAG4AXABuACAAIAAgACAAbQBvAGQAdQBsAG8ALAAgACAAIAAgACAAIAAgACAAIABMAEEATQBCAEQAQQAoAE0ATwBEACgAUwBFAFEAVQBFAE4AQwBFACgAbgBlAHcAXwBoAGUAaQBnAGgAdAAsACAAbgBlAHcAXwB3AGkAZAB0AGgAKQAsACAAdwApACkALABcAG4AXABuACAAIAAgACAAagAsACAAIAAgACAAIAAgACAAIAAgACAAIAAgACAAIABMAEEATQBCAEQAQQAoAEkARgAoAG0AbwBkAHUAbABvACgAKQAgAD0AIAAwACwAIAB3ACwAIABtAG8AZAB1AGwAbwAoACkAKQApACwAXABuAFwAbgAgACAAIAAgAC8ALwAgAFAAcgBlAHMAZQBuAHQAXABuACAAIAAgACAAcgBlAHMAaABhAHAAZQBkACwAIAAgACAAIAAgACAAIABJAEYARQBSAFIATwBSACgASQBOAEQARQBYACgAYQByAHIAYQB5ACwAIABpACgAKQAsACAAagAoACkAKQAsACAAcABhAGQAXwB3AGkAdABoACkALABcAG4AXABuACAAIAAgACAAcgBlAHMAaABhAHAAZQBkAFwAbgApACkAKQApACkAKQA7AFwAbgBcAG4AXABuAFwAbgAvACoAIABbAFMAQQAwADIAXQAgAC0ALQAtAC0ALQAtAC0ALQAtAC0ALQAtAC0ALQAtAC0ALQAtAC0ALQAtAC0ALQAtAC0ALQAtAC0ALQAtAC0ALQAtAC0ALQAtAC0ALQAtAC0ALQAtAC0ALQAtAC0ALQAtAC0ALQAtAC0ALQAtAC0ALQAtAC0ALQAtAC0ALQAtAC0ALQAtAC0ALQAtAC0ALQAtAC0AXABuAEYAdQBuAGMAdABpAG8AbgA6ACAAIAAgACAAIABSAGUAcwBpAHoAZQC7A1wAbgBDAGEAdABlAGcAbwByAHkAOgAgACAAIAAgACAAMgBEACAAQQByAHIAYQB5ACAAUwBoAGEAcABpAG4AZwBcAG4AQQB1AHQAaABvAHIAOgAgACAAIAAgACAAIAAgAFAAYQB0AHIAaQBjAGsAIABIAC4AXABuAFYAZQByAHMAaQBvAG4AOgAgACAAIAAgACAAIAAxAC4AMQBcAG4AXABuAEQAZQBzAGMAcgBpAHAAdABpAG8AbgA6AFwAbgAgACAAIAAgAFIAZQBwAGUAYQB0AHMAIABhACAAMgBEACAAYQByAHIAYQB5ACAAdgBlAHIAdABpAGMAYQBsAGwAeQAgAGEAbgBkAC8AbwByACAAaABvAHIAaQB6AG8AbgB0AGEAbABsAHkAIABiAHkAIABpAG4AdABlAGcAZQByACAAcgBlAHAAZQBhAHQAIABjAG8AdQBuAHQAcwAuAFwAbgAgACAAIAAgAFUAcwBlAHIAcwAgAG0AYQB5ACAAcwBwAGUAYwBpAGYAeQAgAGgAZQBpAGcAaAB0ACwAIAB3AGkAZAB0AGgALAAgAG8AcgAgAGIAbwB0AGgALgAgAEkAZgAgAGUAaQB0AGgAZQByACAAcABhAHIAYQBtAGUAdABlAHIAIABpAHMAIABvAG0AaQB0AHQAZQBkACwAXABuACAAIAAgACAAdABoAGUAIABvAG0AaQB0AHQAZQBkACAAZABpAG0AZQBuAHMAaQBvAG4AIABkAGUAZgBhAHUAbAB0AHMAIAB0AG8AIAAxAC4AIABHAGUAbwBtAGUAdAByAHkAIABpAHMAIABwAHIAZQBzAGUAcgB2AGUAZAA7ACAAbgBvACAAZgBsAGEAdAB0AGUAbgBpAG4AZwBcAG4AIAAgACAAIABvAGMAYwB1AHIAcwAuAFwAbgBcAG4ARQB4AGEAbQBwAGwAZQA6AFwAbgAgACAAIAAgAEkAbgBwAHUAdAA6AFwAbgAgACAAIAAgACAAIAAgACAAewAxACwAMgA7AFwAbgAgACAAIAAgACAAIAAgACAAIAAzACwANAB9AFwAbgBcAG4AIAAgACAAIAA9AFIAZQBzAGkAegBlALsDKABhAHIAcgBhAHkALAAgADIALAAgADMAKQBcAG4AXABuACAAIAAgACAATwB1AHQAcAB1AHQAOgBcAG4AIAAgACAAIAAgACAAIAAgAHsAMQAsADIALAAxACwAMgAsADEALAAyADsAXABuACAAIAAgACAAIAAgACAAIAAgADMALAA0ACwAMwAsADQALAAzACwANAA7AFwAbgAgACAAIAAgACAAIAAgACAAIAAxACwAMgAsADEALAAyACwAMQAsADIAOwBcAG4AIAAgACAAIAAgACAAIAAgACAAMwAsADQALAAzACwANAAsADMALAA0AH0AXABuAFwAbgBQAGEAcgBhAG0AZQB0AGUAcgBzADoAXABuACAAIAAgACAAYQByAHIAYQB5ACAAIAAgACAAIAAgACAAIAAtACAAUgBlAHEAdQBpAHIAZQBkACAAMgBEACAAYQByAHIAYQB5ACAAdABvACAAYgBlACAAcgBlAHAAZQBhAHQAZQBkAC4AXABuACAAIAAgACAAWwBoAGUAaQBnAGgAdABdACAAIAAgACAAIAAtACAATwBwAHQAaQBvAG4AYQBsACAAdgBlAHIAdABpAGMAYQBsACAAcgBlAHAAZQBhAHQAIABjAG8AdQBuAHQALgAgAEQAZQBmAGEAdQBsAHQAcwAgAHQAbwAgADEALgBcAG4AIAAgACAAIABbAHcAaQBkAHQAaABdACAAIAAgACAAIAAgAC0AIABPAHAAdABpAG8AbgBhAGwAIABoAG8AcgBpAHoAbwBuAHQAYQBsACAAcgBlAHAAZQBhAHQAIABjAG8AdQBuAHQALgAgAEQAZQBmAGEAdQBsAHQAcwAgAHQAbwAgADEALgBcAG4AXABuAE4AbwB0AGUAcwA6AFwAbgAgACAAIAAgACIgIABSAGUAcABlAHQAaQB0AGkAbwBuACAAaQBzACAAcABlAHIAZgBvAHIAbQBlAGQAIAB2AGkAYQAgAGkAbgBkAGUAeAAgAHIAZQBtAGEAcABwAGkAbgBnAC4AXABuACAAIAAgACAAIiAgAE8AdQB0AHAAdQB0ACAAZwBlAG8AbQBlAHQAcgB5ACAAaQBzACAAKABoACAA1wAgAGgAZQBpAGcAaAB0ACkAIABiAHkAIAAoAHcAIADXACAAdwBpAGQAdABoACkALgBcAG4ALQAtAC0ALQAtAC0ALQAtAC0ALQAtAC0ALQAtAC0ALQAtAC0ALQAtAC0ALQAtAC0ALQAtAC0ALQAtAC0ALQAtAC0ALQAtAC0ALQAtAC0ALQAtAC0ALQAtAC0ALQAtAC0ALQAtAC0ALQAtAC0ALQAtAC0ALQAtAC0ALQAtAC0ALQAtAC0ALQAtAC0ALQAtAC0ALQAtAC0ALQAtAC0AKgAvAFwAbgBcAG4AUgBlAHMAaQB6AGUAuwMgAD0AXABuAEwAQQBNAEIARABBACgAXABuACAAIAAgACAAYQByAHIAYQB5ACwAXABuACAAIAAgACAAWwBoAGUAaQBnAGgAdABdACwAXABuACAAIAAgACAAWwB3AGkAZAB0AGgAXQAsAFwAbgBMAEUAVAAoAFwAbgAgACAAIAAgAC8ALwAgAEQAaQBtAGUAbgBzAGkAbwBuAHMAXABuACAAIAAgACAAaAAsACAAIAAgACAAIAAgACAAIAAgACAAIAAgACAAIAAgAFIATwBXAFMAKABhAHIAcgBhAHkAKQAsAFwAbgAgACAAIAAgAHcALAAgACAAIAAgACAAIAAgACAAIAAgACAAIAAgACAAIABDAE8ATABVAE0ATgBTACgAYQByAHIAYQB5ACkALABcAG4AXABuACAAIAAgACAALwAvACAATwBtAGkAcwBzAGkAbwBuACAAYwBoAGUAYwBrAHMAXABuACAAIAAgACAASABlAGkAZwBoAHQATwBtAGkAdAB0AGUAZAA/ACwAIAAgAEkAUwBPAE0ASQBUAFQARQBEACgAaABlAGkAZwBoAHQAKQAsAFwAbgAgACAAIAAgAFcAaQBkAHQAaABPAG0AaQB0AHQAZQBkAD8ALAAgACAAIABJAFMATwBNAEkAVABUAEUARAAoAHcAaQBkAHQAaAApACwAXABuACAAIAAgACAATgBvAEgAVwBJAG4AcAB1AHQAPwAsACAAIAAgACAAIAAgAEgAZQBpAGcAaAB0AE8AbQBpAHQAdABlAGQAPwAgACsAIABXAGkAZAB0AGgATwBtAGkAdAB0AGUAZAA/ACAAPQAgADIALABcAG4AXABuACAAIAAgACAALwAvACAARABlAGYAYQB1AGwAdAAgAHIAZQBwAGUAYQB0ACAAYwBvAHUAbgB0AHMAXABuACAAIAAgACAAaABlAGkAZwBoAHQALAAgACAAIAAgACAAIAAgACAAIAAgAEkARgAoAE8AUgAoAE4AbwBIAFcASQBuAHAAdQB0AD8ALAAgAEgAZQBpAGcAaAB0AE8AbQBpAHQAdABlAGQAPwApACwAIAAxACwAIABoAGUAaQBnAGgAdAApACwAXABuACAAIAAgACAAdwBpAGQAdABoACwAIAAgACAAIAAgACAAIAAgACAAIAAgAEkARgAoAE8AUgAoAE4AbwBIAFcASQBuAHAAdQB0AD8ALAAgAFcAaQBkAHQAaABPAG0AaQB0AHQAZQBkAD8AKQAsACAAMQAsACAAdwBpAGQAdABoACkALABcAG4AXABuACAAIAAgACAALwAvACAAUwBjAGUAbgBhAHIAaQBvAHMAXABuACAAIAAgACAATgBvAFIAZQBwAGUAYQB0AD8ALAAgACAAIAAgACAAIAAgAEEATgBEACgAaABlAGkAZwBoAHQAIAA9ACAAMQAsACAAdwBpAGQAdABoACAAPQAgADEAKQAsAFwAbgAgACAAIAAgAEkAcwBTAGMAYQBsAGEAcgA/ACwAIAAgACAAIAAgACAAIABBAE4ARAAoAGgAIAA9ACAAMQAsACAAdwAgAD0AIAAxACkALABcAG4AIAAgACAAIABFAHgAcABhAG4AZABTAGMAYQBsAGEAcgAsACAAIAAgACAARQBYAFAAQQBOAEQAKABhAHIAcgBhAHkALAAgAGgAZQBpAGcAaAB0ACwAIAB3AGkAZAB0AGgALAAgAGEAcgByAGEAeQApACwAXABuAFwAbgAgACAAIAAgAEkAbgB2AGEAbABpAGQAUgBlAHAAZQBhAHQAPwAsACAAIABPAFIAKABJAFMAVABFAFgAVAAoAGgAZQBpAGcAaAB0ACkALABcAG4AIAAgACAAIAAgACAAIAAgACAAIAAgACAAIAAgACAAIAAgACAAIAAgACAAIAAgACAASQBTAFQARQBYAFQAKAB3AGkAZAB0AGgAKQAsAFwAbgAgACAAIAAgACAAIAAgACAAIAAgACAAIAAgACAAIAAgACAAIAAgACAAIAAgACAAIABPAFIAKABBAE4ARAAoAEkAUwBOAFUATQBCAEUAUgAoAGgAZQBpAGcAaAB0ACkALAAgAGgAZQBpAGcAaAB0ACAAPAA9ACAAMAApACwAXABuACAAIAAgACAAIAAgACAAIAAgACAAIAAgACAAIAAgACAAIAAgACAAIAAgACAAIAAgACAAIAAgAEEATgBEACgASQBTAE4AVQBNAEIARQBSACgAdwBpAGQAdABoACkALAAgACAAdwBpAGQAdABoACAAPAA9ACAAMAApACkAKQAsAFwAbgBcAG4AIAAgACAAIAAvAC8AIABMAG8AZwBpAGMAIABnAGEAdABlAFwAbgAgACAAIAAgAEkARgAoAE4AbwBSAGUAcABlAGEAdAA/ACwAIABhAHIAcgBhAHkALABcAG4AXABuACAAIAAgACAAIAAgACAAIABJAEYAKABJAHMAUwBjAGEAbABhAHIAPwAsACAARQB4AHAAYQBuAGQAUwBjAGEAbABhAHIALABcAG4AXABuACAAIAAgACAAIAAgACAAIAAgACAAIAAgAEkARgAoAEkAbgB2AGEAbABpAGQAUgBlAHAAZQBhAHQAPwAsACAAYQByAHIAYQB5ACwAXABuAFwAbgBMAEUAVAAoAFwAbgAgACAAIAAgAC8ALwAgAEUAeABwAGEAbgBkAGUAZAAgAGQAaQBtAGUAbgBzAGkAbwBuAHMAXABuACAAIAAgACAAawAsACAAIAAgACAAIAAgACAAIAAgACAAIAAgACAAIAAgAGgAIAAqACAAaABlAGkAZwBoAHQALABcAG4AIAAgACAAIABrAIIgLAAgACAAIAAgACAAIAAgACAAIAAgACAAIAAgACAAdwAgACoAIAB3AGkAZAB0AGgALABcAG4AXABuACAAIAAgACAALwAvACAASQBuAGQAaQBjAGUAcwAgACgAZABlAGYAZQByAHIAZQBkACkAXABuACAAIAAgACAAaQAsACAAIAAgACAAIAAgACAAIAAgACAAIAAgACAAIAAgAEwAQQBNAEIARABBACgAMQAgACsAIABNAE8ARAAoAFMARQBRAFUARQBOAEMARQAoAGsALAAsADAALAApACwAIABoACkAIAAqACAAUwBFAFEAVQBFAE4AQwBFACgALAAgAGsAgiAsACAAMQAsACAAMAApACkALABcAG4AIAAgACAAIABqACwAIAAgACAAIAAgACAAIAAgACAAIAAgACAAIAAgACAATABBAE0AQgBEAEEAKAAxACAAKwAgAE0ATwBEACgAUwBFAFEAVQBFAE4AQwBFACgALAAgAGsAgiAsACAAMAApACwAIAB3ACkAIAAqACAAUwBFAFEAVQBFAE4AQwBFACgAawAsACwAIAAxACwAIAAwACkAKQAsAFwAbgBcAG4AIAAgACAAIAAvAC8AIABDAG8AbgBzAHQAcgB1AGMAdAAgAHIAZQBwAGUAYQB0AGUAZAAgAGEAcgByAGEAeQBcAG4AIAAgACAAIAByAGUAcwB1AGwAdAAsACAAIAAgACAAIAAgACAAIAAgACAASQBOAEQARQBYACgAYQByAHIAYQB5ACwAIABpACgAKQAsACAAagAoACkAKQAsAFwAbgBcAG4AIAAgACAAIAByAGUAcwB1AGwAdABcAG4AKQApACkAKQApACkAOwBcAG4AXABuAFwAbgBcAG4ALwAqACAAWwBTAEEAMAAzAF0AIAAtAC0ALQAtAC0ALQAtAC0ALQAtAC0ALQAtAC0ALQAtAC0ALQAtAC0ALQAtAC0ALQAtAC0ALQAtAC0ALQAtAC0ALQAtAC0ALQAtAC0ALQAtAC0ALQAtAC0ALQAtAC0ALQAtAC0ALQAtAC0ALQAtAC0ALQAtAC0ALQAtAC0ALQAtAC0ALQAtAC0ALQAtAC0ALQAtAFwAbgBGAHUAbgBjAHQAaQBvAG4AOgAgACAAIAAgACAAUwBjAGEAbgAyAEQAuwNcAG4AQwBhAHQAZQBnAG8AcgB5ADoAIAAgACAAIAAgADIARAAgAEEAcgByAGEAeQAgAFMAaABhAHAAaQBuAGcAXABuAEEAdQB0AGgAbwByADoAIAAgACAAIAAgACAAIABQAGEAdAByAGkAYwBrACAASAAuAFwAbgBWAGUAcgBzAGkAbwBuADoAIAAgACAAIAAgACAAMQAuADEAXABuAEQAZQBwAGUAbgBkAGUAbgBjAGkAZQBzADoAIABSAGUAUwBoAGEAcABlADIARAC7AywAIABUAHIAYQB2AGUAcgBzAGUAuwNcAG4AXABuAEQAZQBzAGMAcgBpAHAAdABpAG8AbgA6AFwAbgAgACAAIAAgAEEAIAB0AHIAYQB2AGUAcgBzAGEAbAARIGEAdwBhAHIAZQAgADIARAAgAHMAYwBhAG4AbgBpAG4AZwAgAG8AcABlAHIAYQB0AG8AcgAgAHQAaABhAHQAIABlAHgAdABlAG4AZABzACAARQB4AGMAZQBsABkgcwAgAG4AYQB0AGkAdgBlACAAUwBDAEEATgBcAG4AIAAgACAAIABmAHUAbgBjAHQAaQBvAG4ALgAgAFMAYwBhAG4AMgBEALsDIABzAHUAcABwAG8AcgB0AHMAIABmAGkAdgBlACAAdAByAGEAdgBlAHIAcwBhAGwAIABtAG8AZABlAHMALAAgAGEAbABsAG8AdwBpAG4AZwAgAGEAYwBjAHUAbQB1AGwAYQB0AGkAbwBuACAAdABvAFwAbgAgACAAIAAgAGIAZQBnAGkAbgAgAGEAdAAgAGQAaQBmAGYAZQByAGUAbgB0ACAAYwBvAHIAbgBlAHIAcwAgAGEAbgBkACAAcAByAG8AYwBlAGUAZAAgAGkAbgAgAGQAaQBmAGYAZQByAGUAbgB0ACAAbwByAGQAZQByAHMALgAgAEYAbwByACAAMgBEACAAYQByAHIAYQB5AHMALABcAG4AIAAgACAAIABnAGUAbwBtAGUAdAByAHkAIABpAHMAIABwAHIAZQBzAGUAcgB2AGUAZAAuAFwAbgBcAG4AIAAgACAAIABGAG8AcgAgADEARAAgAGEAcgByAGEAeQBzACwAIABTAGMAYQBuADIARAC7AyAAYgBlAGgAYQB2AGUAcwAgAGwAaQBrAGUAIABuAGEAdABpAHYAZQAgAFMAQwBBAE4ALAAgAHcAaQB0AGgAIABvAHAAdABpAG8AbgBhAGwAIAByAGUAdgBlAHIAcwBlAFwAbgAgACAAIAAgAG8AcgBkAGUAcgAgAHcAaABlAG4AIABkAGkAcgBlAGMAdABpAG8AbgAgAD0AIAAtADEALgBcAG4AXABuAFAAYQByAGEAbQBlAHQAZQByAHMAOgBcAG4AIAAgACAAIABpAG4AaQB0AGkAYQBsAF8AdgBhAGwAdQBlACAAIAAtACAAUwBhAG0AZQAgAG0AZQBhAG4AaQBuAGcAIABhAHMAIABuAGEAdABpAHYAZQAgAFMAQwBBAE4ALgBcAG4AIAAgACAAIABhAHIAcgBhAHkAIAAgACAAIAAgACAAIAAgACAAIAAtACAASQBuAHAAdQB0ACAAYQByAHIAYQB5AC4AIABTAGMAYQBsAGEAcgBzACAAYQBuAGQAIAAxAEQAIAB2AGUAYwB0AG8AcgBzACAAYQByAGUAIABzAHUAcABwAG8AcgB0AGUAZAAgAHcAaQB0AGgAXABuACAAIAAgACAAIAAgACAAIAAgACAAIAAgACAAIAAgACAAIAAgACAAIAAgAHIAZQBzAHQAcgBpAGMAdABlAGQAIABkAGkAcgBlAGMAdABpAG8AbgAgAHMAZQBtAGEAbgB0AGkAYwBzAC4AXABuACAAIAAgACAAZgB1AG4AYwB0AGkAbwBuACAAIAAgACAAIAAgACAALQAgAFMAYQBtAGUAIABtAGUAYQBuAGkAbgBnACAAYQBzACAAbgBhAHQAaQB2AGUAIABTAEMAQQBOAC4AXABuAFwAbgBPAHAAdABpAG8AbgBhAGwAOgBcAG4AIAAgACAAIABbAGQAaQByAGUAYwB0AGkAbwBuAF0AIAAgACAAIAAtACAAVAByAGEAdgBlAHIAcwBhAGwAIABjAG8AZABlAC4AIABEAGUAZgBhAHUAbAB0AHMAIAB0AG8AIAAwACAAKABzAHQAYQBuAGQAYQByAGQAIAByAG8AdwARIG0AYQBqAG8AcgApAC4AXABuAFwAbgBEAGkAcgBlAGMAdABpAG8AbgAgAEMAbwBkAGUAcwA6AFwAbgAgACAAIAAgACAAIAAgACAAMAAgACAAIAAtACAAUwB0AGEAbgBkAGEAcgBkACAAcgBvAHcAESBtAGEAagBvAHIAIAAoAGwAZQBmAHQAIACSISAAcgBpAGcAaAB0ACwAIAB0AG8AcAAgAJIhIABiAG8AdAB0AG8AbQApAFwAbgAgACAAIAAgACAAIAAgAC0AMQAgACAAIAAtACAAQwBvAGwAdQBtAG4AESBtAGEAagBvAHIAIABmAHIAbwBtACAATgBXACAAYwBvAHIAbgBlAHIAIAAoAHQAbwBwACAAkiEgAGIAbwB0AHQAbwBtACwAIABsAGUAZgB0ACAAkiEgAHIAaQBnAGgAdAApAFwAbgAgACAAIAAgACAAIAAgACAAMQAgACAAIAAtACAATgBFACAAdAByAGEAdgBlAHIAcwBhAGwAIAAoAGMAbwBsAHUAbQBuABEgbQBhAGoAbwByACkAXABuACAAIAAgACAAIAAgACAAIAAyACAAIAAgAC0AIABTAEUAIAB0AHIAYQB2AGUAcgBzAGEAbAAgACgAYwBvAGwAdQBtAG4AESBtAGEAagBvAHIALAAgAGIAbwB0AHQAbwBtACAAkiEgAHQAbwBwACkAXABuACAAIAAgACAAIAAgACAAIAAzACAAIAAgAC0AIABTAFcAIAB0AHIAYQB2AGUAcgBzAGEAbAAgACgAcgBvAHcAESBtAGEAagBvAHIALAAgAHIAaQBnAGgAdAAgAJIhIABsAGUAZgB0ACkAXABuAFwAbgBFAHIAcgBvAHIAIABDAG8AbgBkAGkAdABpAG8AbgBzADoAXABuACAAIAAgACAAIiAgAFwAIgAjAGQAaQByAGUAYwB0AGkAbwBuACEAXAAiACAALQAgAEkAbgB2AGEAbABpAGQAIABkAGkAcgBlAGMAdABpAG8AbgAgAGYAbwByACAAMQBEACAAYQByAHIAYQB5AHMAIABvAHIAIAB1AG4AcgBlAGMAbwBnAG4AaQB6AGUAZAAgAGMAbwBkAGUALgBcAG4AIAAgACAAIAAiICAAMQBEACAAYQByAHIAYQB5AHMAIABvAG4AbAB5ACAAcwB1AHAAcABvAHIAdAAgAGQAaQByAGUAYwB0AGkAbwBuACAAPQAgADAAIAAoAGYAbwByAHcAYQByAGQAKQAgAG8AcgAgAC0AMQAgACgAcgBlAHYAZQByAHMAZQApAC4AXABuACAAIAAgACAAIiAgAFMAYwBhAGwAYQByAHMAIABiAHkAcABhAHMAcwAgAHQAcgBhAHYAZQByAHMAYQBsACAAYQBuAGQAIAB1AHMAZQAgAG4AYQB0AGkAdgBlACAAUwBDAEEATgAgAGQAaQByAGUAYwB0AGwAeQAuAFwAbgBcAG4ATgBvAHQAZQBzADoAXABuACAAIAAgACAAIiAgADIARAAgAHQAcgBhAHYAZQByAHMAYQBsACAAdQBzAGUAcwAgAFQAcgBhAHYAZQByAHMAZQC7AyAAdABvACAAcgBlAG8AcgBkAGUAcgAgAHQAaABlACAAYQByAHIAYQB5ACwAIABTAEMAQQBOACAAdABvACAAYQBjAGMAdQBtAHUAbABhAHQAZQAsAFwAbgAgACAAIAAgACAAIABhAG4AZAAgAFIAZQBTAGgAYQBwAGUAMgBEALsDIAB0AG8AIAByAGUAcwB0AG8AcgBlACAAbwByAGkAZwBpAG4AYQBsACAAZwBlAG8AbQBlAHQAcgB5AC4AXABuACAAIAAgACAAIiAgAE4AbwAgAGYAbABhAHQAdABlAG4AaQBuAGcAIABpAHMAIABwAGUAcgBmAG8AcgBtAGUAZAA7ACAAZwBlAG8AbQBlAHQAcgB5ACAAaQBzACAAcAByAGUAcwBlAHIAdgBlAGQALgBcAG4ALQAtAC0ALQAtAC0ALQAtAC0ALQAtAC0ALQAtAC0ALQAtAC0ALQAtAC0ALQAtAC0ALQAtAC0ALQAtAC0ALQAtAC0ALQAtAC0ALQAtAC0ALQAtAC0ALQAtAC0ALQAtAC0ALQAtAC0ALQAtAC0ALQAtAC0ALQAtAC0ALQAtAC0ALQAtAC0ALQAtAC0ALQAtAC0ALQAtAC0ALQAtAC0AKgAvAFwAbgBcAG4AUwBjAGEAbgAyAEQAuwMgAD0AXABuAEwAQQBNAEIARABBACgAXABuACAAIAAgACAAaQBuAGkAdABpAGEAbABfAHYAYQBsAHUAZQAsAFwAbgAgACAAIAAgAGEAcgByAGEAeQAsAFwAbgAgACAAIAAgAGYAdQBuAGMAdABpAG8AbgAsAFwAbgAgACAAIAAgAFsAZABpAHIAZQBjAHQAaQBvAG4AXQAsAFwAbgBMAEUAVAAoAFwAbgAgACAAIAAgAC8ALwAgAEQAaQByAGUAYwB0AGkAbwBuACAAKABkAGUAZgBhAHUAbAB0ACAAPQAgADAAKQBcAG4AIAAgACAAIABkAGkAcgBlAGMAdABpAG8AbgAsACAAIAAgACAAIAAgACAAIAAgAEkARgAoAEkAUwBPAE0ASQBUAFQARQBEACgAZABpAHIAZQBjAHQAaQBvAG4AKQAsACAAMAAsACAAZABpAHIAZQBjAHQAaQBvAG4AKQAsAFwAbgBcAG4AIAAgACAAIAAvAC8AIABEAGkAbQBlAG4AcwBpAG8AbgBzAFwAbgAgACAAIAAgAGgALAAgACAAIAAgACAAIAAgACAAIAAgACAAIAAgACAAIAAgACAAUgBPAFcAUwAoAGEAcgByAGEAeQApACwAXABuACAAIAAgACAAdwAsACAAIAAgACAAIAAgACAAIAAgACAAIAAgACAAIAAgACAAIABDAE8ATABVAE0ATgBTACgAYQByAHIAYQB5ACkALABcAG4AXABuACAAIAAgACAALwAvACAATgBvAG4AESAyAEQAIABzAGMAZQBuAGEAcgBpAG8AcwBcAG4AIAAgACAAIABJAHMAUwBjAGEAbABhAHIAPwAsACAAIAAgACAAIAAgACAAIAAgAEEATgBEACgAaAAgAD0AIAAxACwAIAB3ACAAPQAgADEAKQAsAFwAbgAgACAAIAAgAEkAcwAxAEQAPwAsACAAIAAgACAAIAAgACAAIAAgACAAIAAgACAAWABPAFIAKABoACAAPQAgADEALAAgAHcAIAA9ACAAMQApACwAXABuAFwAbgAgACAAIAAgAEkAbgB2AGEAbABpAGQAMQBEAEQAaQByAD8ALAAgACAAIAAgACAAQQBOAEQAKABJAHMAMQBEAD8ALAAgAGQAaQByAGUAYwB0AGkAbwBuACAAPAA+ACAAMAAsACAAZABpAHIAZQBjAHQAaQBvAG4AIAA8AD4AIAAtADEAKQAsAFwAbgAgACAAIAAgAEkAcwBSAGUAdgBlAHIAcwBlAD8ALAAgACAAIAAgACAAIAAgACAAZABpAHIAZQBjAHQAaQBvAG4AIAA9ACAALQAxACwAXABuACAAIAAgACAASQBzAFYAZQByAHQAaQBjAGEAbAA/ACwAIAAgACAAIAAgACAAIABBAE4ARAAoAEkAcwAxAEQAPwAsACAAaAAgAD4AIAB3ACkALABcAG4AXABuACAAIAAgACAALwAvACAAMQBEACAAaABhAG4AZABsAGkAbgBnAFwAbgAgACAAIAAgAGUALAAgACAAIAAgACAAIAAgACAAIAAgACAAIAAgACAAIAAgACAASQBGACgASQBzAFYAZQByAHQAaQBjAGEAbAA/ACwAIABoACwAIAB3ACkALABcAG4AIAAgACAAIABpAGQAeAAsACAAIAAgACAAIAAgACAAIAAgACAAIAAgACAAIAAgAFMARQBRAFUARQBOAEMARQAoAGUALAAsACAAZQAsACAALQAxACkALABcAG4AIAAgACAAIAByAGUAdgBfAGEAcgByAGEAeQAsACAAIAAgACAAIAAgACAAIAAgAEkARgAoAEkAcwBWAGUAcgB0AGkAYwBhAGwAPwAsACAASQBOAEQARQBYACgAYQByAHIAYQB5ACwAIABpAGQAeAApACwAIABJAE4ARABFAFgAKABhAHIAcgBhAHkALAAsACAAaQBkAHgAKQApACwAXABuACAAIAAgACAAdgBlAGMAdABvAHIALAAgACAAIAAgACAAIAAgACAAIAAgACAAIABJAEYAKABJAHMAUgBlAHYAZQByAHMAZQA/ACwAIAByAGUAdgBfAGEAcgByAGEAeQAsACAAYQByAHIAYQB5ACkALABcAG4AXABuACAAIAAgACAALwAvACAATABvAGcAaQBjACAAZwBhAHQAZQBcAG4AIAAgACAAIABJAEYAKABJAHMAUwBjAGEAbABhAHIAPwAsACAAUwBDAEEATgAoAGkAbgBpAHQAaQBhAGwAXwB2AGEAbAB1AGUALAAgAGEAcgByAGEAeQAsACAAZgB1AG4AYwB0AGkAbwBuACkALABcAG4AXABuACAAIAAgACAAIAAgACAAIABJAEYAKABJAG4AdgBhAGwAaQBkADEARABEAGkAcgA/ACwAIABcACIAIwBkAGkAcgBlAGMAdABpAG8AbgAhAFwAIgAsAFwAbgBcAG4AIAAgACAAIAAgACAAIAAgACAAIAAgACAASQBGACgASQBzADEARAA/ACwAIABTAEMAQQBOACgAaQBuAGkAdABpAGEAbABfAHYAYQBsAHUAZQAsACAAdgBlAGMAdABvAHIALAAgAGYAdQBuAGMAdABpAG8AbgApACwAXABuAFwAbgAgACAAIAAgACAAIAAgACAAIAAgACAAIAAgACAAIAAgAEkARgAoAEkAUwBOAEEAKABYAE0AQQBUAEMASAAoAGQAaQByAGUAYwB0AGkAbwBuACwAIAB7AC0AMQA7ADAAOwAxADsAMgA7ADMAOwBcACIATgBFAFwAIgA7AFwAIgBTAEUAXAAiADsAXAAiAFMAVwBcACIAfQApACkALABcAG4AIAAgACAAIAAgACAAIAAgACAAIAAgACAAIAAgACAAIAAgACAAIAAgAFwAIgAjAGQAaQByAGUAYwB0AGkAbwBuACEAXAAiACwAXABuAFwAbgBMAEUAVAAoAFwAbgAgACAAIAAgAC8ALwAgADIARAAgAHMAYwBhAG4AIABtAG8AZABlAHMAXABuACAAIAAgACAAcwB0AGEAbgBkAGEAcgBkACwAIAAgACAAIAAgACAAIAAgACAAIABMAEEATQBCAEQAQQAoAFMAQwBBAE4AKABpAG4AaQB0AGkAYQBsAF8AdgBhAGwAdQBlACwAIABhAHIAcgBhAHkALAAgAGYAdQBuAGMAdABpAG8AbgApACkALAAgAC8ALwAgADAAXABuAFwAbgAgACAAIAAgAHMAdABhAG4AZABhAHIAZABfAGIAeQBjAG8AbAAsACAAIAAgACAATABBAE0AQgBEAEEAKABUAFIAQQBOAFMAUABPAFMARQAoAFwAbgAgACAAIAAgACAAIAAgACAAIAAgACAAIAAgACAAIAAgACAAIAAgACAAIAAgACAAIAAgACAAIAAgACAAIAAgAFMAQwBBAE4AKABpAG4AaQB0AGkAYQBsAF8AdgBhAGwAdQBlACwAIABUAFIAQQBOAFMAUABPAFMARQAoAGEAcgByAGEAeQApACwAIABmAHUAbgBjAHQAaQBvAG4AKQApACkALAAgAC8ALwAgAC0AMQBcAG4AXABuACAAIAAgACAAdAByAGEAdgBlAHIAcwBhAGwALAAgACAAIAAgACAAIAAgACAAIABMAEEATQBCAEQAQQAoAFIAZQBTAGgAYQBwAGUAMgBEALsDKABcAG4AIAAgACAAIAAgACAAIAAgACAAIAAgACAAIAAgACAAIAAgACAAIAAgACAAIAAgACAAIAAgACAAIAAgACAAIABTAEMAQQBOACgAaQBuAGkAdABpAGEAbABfAHYAYQBsAHUAZQAsAFQAcgBhAHYAZQByAHMAZQC7AygAYQByAHIAYQB5ACwAIABkAGkAcgBlAGMAdABpAG8AbgApACwAZgB1AG4AYwB0AGkAbwBuACkALABcAG4AIAAgACAAIAAgACAAIAAgACAAIAAgACAAIAAgACAAIAAgACAAIAAgACAAIAAgACAAIAAgACAAIAAgACAAIAB3ACkAKQAsACAALwAvACAAMQAsACAAMgAsACAAMwBcAG4AXABuACAAIAAgACAALwAvACAAUwBlAGwAZQBjAHQAIABtAG8AZABlAFwAbgAgACAAIAAgAHIAZQBzAHUAbAB0ACwAIAAgACAAIAAgACAAIAAgACAAIAAgACAASQBGACgAZABpAHIAZQBjAHQAaQBvAG4AIAA9ACAAMAAsACAAIABzAHQAYQBuAGQAYQByAGQAKAApACwAXABuACAAIAAgACAAIAAgACAAIAAgACAAIAAgACAAIAAgACAAIAAgACAAIAAgACAAIAAgACAAIAAgAEkARgAoAGQAaQByAGUAYwB0AGkAbwBuACAAPQAgAC0AMQAsACAAcwB0AGEAbgBkAGEAcgBkAF8AYgB5AGMAbwBsACgAKQAsACAAdAByAGEAdgBlAHIAcwBhAGwAKAApACkAKQAsAFwAbgBcAG4AIAAgACAAIAByAGUAcwB1AGwAdABcAG4AKQApACkAKQApACkAKQA7AFwAbgBcAG4AXABuAFwAbgAvACoAIABbAFMAQQAwADQAXQAgAC0ALQAtAC0ALQAtAC0ALQAtAC0ALQAtAC0ALQAtAC0ALQAtAC0ALQAtAC0ALQAtAC0ALQAtAC0ALQAtAC0ALQAtAC0ALQAtAC0ALQAtAC0ALQAtAC0ALQAtAC0ALQAtAC0ALQAtAC0ALQAtAC0ALQAtAC0ALQAtAC0ALQAtAC0ALQAtAC0ALQAtAC0ALQAtAC0AXABuAEYAdQBuAGMAdABpAG8AbgA6ACAAIAAgACAAIABUAHIAYQB2AGUAcgBzAGUAuwNcAG4AQwBhAHQAZQBnAG8AcgB5ADoAIAAgACAAIAAgADIARAAgAEEAcgByAGEAeQAgAFMAaABhAHAAaQBuAGcAXABuAEEAdQB0AGgAbwByADoAIAAgACAAIAAgACAAIABQAGEAdAByAGkAYwBrACAASAAuAFwAbgBWAGUAcgBzAGkAbwBuADoAIAAgACAAIAAgACAAMQAuADEAXABuAFwAbgBEAGUAcwBjAHIAaQBwAHQAaQBvAG4AOgBcAG4AIAAgACAAIABSAGUAbQBhAHAAcwAgAGEAIAAyAEQAIABhAHIAcgBhAHkAIABpAG4AdABvACAAYQAgAG4AZQB3ACAAdAByAGEAdgBlAHIAcwBhAGwAIABvAHIAZABlAHIAIABiAHkAIAByAG8AdABhAHQAaQBuAGcAIAB0AGgAZQAgAHQAcgBhAHYAZQByAHMAYQBsACAAYQB4AGkAcwBcAG4AIAAgACAAIAB0AG8AIABvAG4AZQAgAG8AZgAgAHQAaAByAGUAZQAgAGQAaQBhAGcAbwBuAGEAbAAgAGQAaQByAGUAYwB0AGkAbwBuAHMALgAgAFQAaABlACAAcwBlAGwAZQBjAHQAZQBkACAAYQB4AGkAcwAgAGkAcwAgAHIAZQBtAGEAcABwAGUAZAAgAHQAbwAgAGEAXABuACAAIAAgACAAdABvAHAAESBsAGUAZgB0ABMgYQBuAGMAaABvAHIAZQBkACAAdAByAGEAdgBlAHIAcwBhAGwAIABvAHIAZABlAHIALgAgAFMAYwBhAGwAYQByAHMAIABhAG4AZAAgADEARAAgAGEAcgByAGEAeQBzACAAYQByAGUAIAByAGUAagBlAGMAdABlAGQALgBcAG4AXABuAEEAYwBjAGUAcAB0AGUAZAAgAEQAaQByAGUAYwB0AGkAbwBuAHMAOgBcAG4AIAAgACAAIAAgACAAXAAiAE4ARQBcACIAIABvAHIAIAAxACAAIACSISAATgBvAHIAdABoAGUAYQBzAHQAIAAgACgAlyEpAFwAbgAgACAAIAAgACAAIABcACIAUwBFAFwAIgAgAG8AcgAgADIAIAAgAJIhIABTAG8AdQB0AGgAZQBhAHMAdAAgACAAKACYISkAXABuACAAIAAgACAAIAAgAFwAIgBTAFcAXAAiACAAbwByACAAMwAgACAAkiEgAFMAbwB1AHQAaAB3AGUAcwB0ACAAIAAoAJkhKQBcAG4AXABuAFAAYQByAGEAbQBlAHQAZQByAHMAOgBcAG4AIAAgACAAIABhAHIAcgBhAHkAIAAgACAAIAAgACAALQAgAFIAZQBxAHUAaQByAGUAZAAgADIARAAgAGEAcgByAGEAeQAuAFwAbgAgACAAIAAgAG4AZQB3AF8AYQB4AGkAcwAgACAAIAAtACAARABpAHIAZQBjAHQAaQBvAG4AIABjAG8AZABlACAAKABcACIATgBFAFwAIgAsAFwAIgBTAEUAXAAiACwAXAAiAFMAVwBcACIAKQAgAG8AcgAgAGkAbgB0AGUAZwBlAHIAIAAxABMgMwAuAFwAbgBcAG4ATgBvAHQAZQBzADoAXABuACAAIAAgACAAIiAgAEcAZQBvAG0AZQB0AHIAeQAgAGkAcwAgAHAAcgBlAHMAZQByAHYAZQBkADsAIABvAG4AbAB5ACAAdAByAGEAdgBlAHIAcwBhAGwAIABvAHIAZABlAHIAIABjAGgAYQBuAGcAZQBzAC4AXABuACAAIAAgACAAIiAgAEkAbgB2AGEAbABpAGQAIABkAGkAcgBlAGMAdABpAG8AbgAgAGMAbwBkAGUAcwAgAHIAZQB0AHUAcgBuACAAXAAiACMAQQBYAEkAUwAhAFwAIgAuAFwAbgAgACAAIAAgACIgIAAxAEQAIABhAHIAcgBhAHkAcwAgAHIAZQB0AHUAcgBuACAAXAAiACMAMgBEAC0AQQBSAFIAQQBZACEAXAAiAC4AXABuAC0ALQAtAC0ALQAtAC0ALQAtAC0ALQAtAC0ALQAtAC0ALQAtAC0ALQAtAC0ALQAtAC0ALQAtAC0ALQAtAC0ALQAtAC0ALQAtAC0ALQAtAC0ALQAtAC0ALQAtAC0ALQAtAC0ALQAtAC0ALQAtAC0ALQAtAC0ALQAtAC0ALQAtAC0ALQAtAC0ALQAtAC0ALQAtAC0ALQAtAC0ALQAtACoALwBcAG4AXABuAFQAcgBhAHYAZQByAHMAZQC7AyAAPQBcAG4ATABBAE0AQgBEAEEAKABcAG4AIAAgACAAIABhAHIAcgBhAHkALABcAG4AIAAgACAAIABuAGUAdwBfAGEAeABpAHMALABcAG4AXABuAEkARgAoAE8AUgAoAFIATwBXAFMAKABhAHIAcgBhAHkAKQAgAD0AIAAxACwAIABDAE8ATABVAE0ATgBTACgAYQByAHIAYQB5ACkAIAA9ACAAMQApACwAXAAiACMAMgBEAC0AQQBSAFIAQQBZACEAXAAiACwAXABuAFwAbgAgACAAIAAgAEkARgAoAEEATgBEACgASQBTAE4AVQBNAEIARQBSACgAbgBlAHcAXwBhAHgAaQBzACkALAAgAE8AUgAoAG4AZQB3AF8AYQB4AGkAcwAgADwAPQAgADAALAAgAG4AZQB3AF8AYQB4AGkAcwAgAD4AIAAzACkAKQAsAFwAIgAjAEEAWABJAFMAIQBcACIALABcAG4AXABuAEwARQBUACgAXABuACAAIAAgACAALwAvACAARABpAG0AZQBuAHMAaQBvAG4AcwBcAG4AIAAgACAAIABoACwAIAAgACAAIAAgACAAIAAgACAAIABSAE8AVwBTACgAYQByAHIAYQB5ACkALABcAG4AIAAgACAAIAB3ACwAIAAgACAAIAAgACAAIAAgACAAIABDAE8ATABVAE0ATgBTACgAYQByAHIAYQB5ACkALABcAG4AXABuACAAIAAgACAALwAvACAAQQB4AGkAcwAgAHQAcgBhAHYAZQByAHMAYQBsACAAaQBuAGQAaQBjAGUAcwAgACgAZABlAGYAZQByAHIAZQBkACkAXABuACAAIAAgACAAeABfAE4ARQAsACAAIAAgACAAIAAgACAATABBAE0AQgBEAEEAKABTAEUAUQBVAEUATgBDAEUAKAB3ACwALAAxACwAMAApACAAKgAgAFMARQBRAFUARQBOAEMARQAoACwAaAApACkALABcAG4AIAAgACAAIAB5AF8ATgBFACwAIAAgACAAIAAgACAAIABMAEEATQBCAEQAQQAoAFMARQBRAFUARQBOAEMARQAoAHcALAAsAHcALAAtADEAKQAgACoAIABTAEUAUQBVAEUATgBDAEUAKAAsAGgALAAxACwAMAApACkALABcAG4AXABuACAAIAAgACAAeABfAFMARQAsACAAIAAgACAAIAAgACAATABBAE0AQgBEAEEAKABTAEUAUQBVAEUATgBDAEUAKABoACwALABoACwALQAxACkAIAAqACAAUwBFAFEAVQBFAE4AQwBFACgALAB3ACwAMQAsADAAKQApACwAXABuACAAIAAgACAAeQBfAFMARQAsACAAIAAgACAAIAAgACAATABBAE0AQgBEAEEAKABTAEUAUQBVAEUATgBDAEUAKABoACwALAB3ACwAMAApACAAKwAgAFMARQBRAFUARQBOAEMARQAoACwAdwAsADAALAAtADEAKQApACwAXABuAFwAbgAgACAAIAAgAHgAXwBTAFcALAAgACAAIAAgACAAIAAgAEwAQQBNAEIARABBACgAUwBFAFEAVQBFAE4AQwBFACgAdwAsACwAaAAsADAAKQAgACsAIABTAEUAUQBVAEUATgBDAEUAKAAsAGgALAAwACwALQAxACkAKQAsAFwAbgAgACAAIAAgAHkAXwBTAFcALAAgACAAIAAgACAAIAAgAEwAQQBNAEIARABBACgAUwBFAFEAVQBFAE4AQwBFACgAdwAsACwAMQApACAAKgAgAFMARQBRAFUARQBOAEMARQAoACwAaAAsADEALAAwACkAKQAsAFwAbgBcAG4AIAAgACAAIAAvAC8AIABBAHgAaQBzACAAbQBvAGQAZQAgAHMAZQBsAGUAYwB0AGkAbwBuAFwAbgAgACAAIAAgAG0AbwBkAGUALAAgACAAIAAgACAAIAAgAEkARgAoAEkAUwBOAFUATQBCAEUAUgAoAG4AZQB3AF8AYQB4AGkAcwApACwAbgBlAHcAXwBhAHgAaQBzACwAXABuACAAIAAgACAAIAAgACAAIAAgACAAIAAgACAAIAAgACAAIAAgACAAIABTAFcASQBUAEMASAAoAG4AZQB3AF8AYQB4AGkAcwAsACAAXAAiAE4ARQBcACIALAAxACwAIABcACIAUwBFAFwAIgAsADIALAAgAFwAIgBTAFcAXAAiACwAMwAsACAAMQApACkALABcAG4AXABuACAAIAAgACAALwAvACAASQBuAGQAZQB4ACAAcwBlAGwAZQBjAHQAaQBvAG4AXABuACAAIAAgACAAeAAsACAAIAAgACAAIAAgACAAIAAgACAAQwBIAE8ATwBTAEUAKABtAG8AZABlACwAIAB4AF8ATgBFACwAIAB4AF8AUwBFACwAIAB4AF8AUwBXACkALABcAG4AIAAgACAAIAB5ACwAIAAgACAAIAAgACAAIAAgACAAIABDAEgATwBPAFMARQAoAG0AbwBkAGUALAAgAHkAXwBOAEUALAAgAHkAXwBTAEUALAAgAHkAXwBTAFcAKQAsAFwAbgBcAG4AIAAgACAAIAAvAC8AIABSAGUAbQBhAHAAIABhAHIAcgBhAHkAXABuACAAIAAgACAAcgBlAHMAdQBsAHQALAAgACAAIAAgACAASQBOAEQARQBYACgAYQByAHIAYQB5ACwAIAB4ACgAKQAsACAAeQAoACkAKQAsAFwAbgBcAG4AIAAgACAAIAByAGUAcwB1AGwAdABcAG4AKQApACkAKQA7AFwAbgBcAG4AXABuAFwAbgAvACoAIABbAFMAQQAwADUAXQAgAC0ALQAtAC0ALQAtAC0ALQAtAC0ALQAtAC0ALQAtAC0ALQAtAC0ALQAtAC0ALQAtAC0ALQAtAC0ALQAtAC0ALQAtAC0ALQAtAC0ALQAtAC0ALQAtAC0ALQAtAC0ALQAtAC0ALQAtAC0ALQAtAC0ALQAtAC0ALQAtAC0ALQAtAC0ALQAtAC0ALQAtAC0ALQAtAC0AXABuAEYAdQBuAGMAdABpAG8AbgA6ACAAIAAgACAAIABUAGEAawBlAEIAbABvAGMAawC7A1wAbgBDAGEAdABlAGcAbwByAHkAOgAgACAAIAAgACAAMgBEACAAQQByAHIAYQB5ACAAUwBoAGEAcABpAG4AZwBcAG4AQQB1AHQAaABvAHIAOgAgACAAIAAgACAAIAAgAFAAYQB0AHIAaQBjAGsAIABIAC4AXABuAFYAZQByAHMAaQBvAG4AOgAgACAAIAAgACAAIAAxAC4AMQBcAG4ARABlAHAAZQBuAGQAZQBuAGMAaQBlAHMAOgAgAE0ARwByAGkAZAC7AywAIABSAGUAcwBpAHoAZQC7A1wAbgBcAG4ARABlAHMAYwByAGkAcAB0AGkAbwBuADoAXABuACAAIAAgACAARQB4AHQAcgBhAGMAdABzACAAYQAgAHIAZQBjAHQAYQBuAGcAdQBsAGEAcgAgAGIAbABvAGMAawAgAGYAcgBvAG0AIABhACAAMgBEACAAYQByAHIAYQB5ACAAYgB5ACAAcwBwAGUAYwBpAGYAeQBpAG4AZwAgAGEAbgAgAGEAbgBjAGgAbwByACAAdgBhAGwAdQBlAFwAbgAgACAAIAAgACgAcwB0AGEAcgB0AF8AYQB0ACkAIABhAG4AZAAgAGEAbgAgAG8AcAB0AGkAbwBuAGEAbAAgAHMAdABvAHAAcABpAG4AZwAgAHYAYQBsAHUAZQAgACgAcwB0AG8AcABfAHcAaABlAG4AKQAuACAAVABoAGUAIABmAHUAbgBjAHQAaQBvAG4AIABsAG8AYwBhAHQAZQBzAFwAbgAgACAAIAAgAHQAaABlACAAZgBpAHIAcwB0ACAAbwBjAGMAdQByAHIAZQBuAGMAZQAgAG8AZgAgAHMAdABhAHIAdABfAGEAdAAsACAAdABoAGUAbgAgAHIAZQB0AHUAcgBuAHMAIABhAGwAbAAgAHIAbwB3AHMAIABmAHIAbwBtACAAdABoAGEAdAAgAHAAbwBpAG4AdABcAG4AIAAgACAAIABkAG8AdwBuAHcAYQByAGQAIABhAG4AZAAgAGEAbABsACAAYwBvAGwAdQBtAG4AcwAgAHQAbwAgAHQAaABlACAAcgBpAGcAaAB0ACwAIABzAHQAbwBwAHAAaQBuAGcAIABlAGkAdABoAGUAcgAgAGEAdAAgAHQAaABlACAAZgBpAHIAcwB0AFwAbgAgACAAIAAgAG8AYwBjAHUAcgByAGUAbgBjAGUAIABvAGYAIABzAHQAbwBwAF8AdwBoAGUAbgAgAG8AcgAgAGEAdAAgAHQAaABlACAAZQBuAGQAIABvAGYAIAB0AGgAZQAgAGQAYQB0AGEALgBcAG4AXABuACAAIAAgACAAQgBvAHQAaAAgAHMAdABhAHIAdABfAGEAdAAgAGEAbgBkACAAcwB0AG8AcABfAHcAaABlAG4AIAByAGUAbAB5ACAAbwBuACAARQB4AGMAZQBsACcAcwAgAG4AYQB0AGkAdgBlACAAZQBxAHUAYQBsAGkAdAB5ACAAYwBvAG0AcABhAHIAaQBzAG8AbgBcAG4AIAAgACAAIAAoAGEAcgByAGEAeQAgAD0AIAB0AGUAcgBtACkALgAgAFQAaABpAHMAIABwAHIAbwB2AGkAZABlAHMAIABmAGEAcwB0ACwAIAB2AGUAYwB0AG8AcgBpAHoAZQBkACAAbQBhAHQAYwBoAGkAbgBnACAAYgB1AHQAIABkAG8AZQBzACAAbgBvAHQAIABzAHUAcABwAG8AcgB0AFwAbgAgACAAIAAgAHcAaQBsAGQAYwBhAHIAZABzACAAbwByACAAcgBlAGcAdQBsAGEAcgAgAGUAeABwAHIAZQBzAHMAaQBvAG4AcwAuACAASQBmACAAcwB0AG8AcABfAHcAaABlAG4AIABpAHMAIABvAG0AaQB0AHQAZQBkACwAIAB0AGgAZQAgAGIAbABvAGMAawAgAGUAeAB0AGUAbgBkAHMAXABuACAAIAAgACAAdABvACAAdABoAGUAIABiAG8AdAB0AG8AbQAgAG8AZgAgAHQAaABlACAAYQByAHIAYQB5AC4AXABuAFwAbgBQAGEAcgBhAG0AZQB0AGUAcgBzADoAXABuACAAIAAgACAAYQByAHIAYQB5ACAAIAAgACAAIAAgACAAIAAtACAAUgBlAHEAdQBpAHIAZQBkACAAMgBEACAAYQByAHIAYQB5AC4AXABuACAAIAAgACAAcwB0AGEAcgB0AF8AYQB0ACAAIAAgACAAIAAtACAAQQBuAGMAaABvAHIAIAB2AGEAbAB1AGUAIABtAGEAcgBrAGkAbgBnACAAdABoAGUAIABmAGkAcgBzAHQAIAByAG8AdwAgAG8AZgAgAHQAaABlACAAYgBsAG8AYwBrAC4AXABuACAAIAAgACAAWwBzAHQAbwBwAF8AdwBoAGUAbgBdACAAIAAtACAATwBwAHQAaQBvAG4AYQBsACAAcwB0AG8AcABwAGkAbgBnACAAdgBhAGwAdQBlAC4AIABJAGYAIABvAG0AaQB0AHQAZQBkACwAIAB0AGgAZQAgAGIAbABvAGMAawAgAGMAbwBuAHQAaQBuAHUAZQBzAFwAbgAgACAAIAAgACAAIAAgACAAIAAgACAAIAAgACAAIAAgACAAIAAgAHQAbwAgAHQAaABlACAAZQBuAGQAIABvAGYAIAB0AGgAZQAgAGEAcgByAGEAeQAuAFwAbgBcAG4ATgBvAHQAZQBzADoAXABuACAAIAAgACAAIiAgAEcAZQBvAG0AZQB0AHIAeQAgAGkAcwAgAHAAcgBlAHMAZQByAHYAZQBkADsAIABuAG8AIABmAGwAYQB0AHQAZQBuAGkAbgBnACAAbwBjAGMAdQByAHMALgBcAG4AIAAgACAAIAAiICAASQBmACAAcwB0AGEAcgB0AF8AYQB0ACAAaQBzACAAbgBvAHQAIABmAG8AdQBuAGQALAAgAHIAZQB0AHUAcgBuAHMAIABcACIAIwBOAE8ALQBBAE4AQwBIAE8AUgAhAFwAIgAuAFwAbgAgACAAIAAgACIgIABJAGYAIABzAHQAbwBwAF8AdwBoAGUAbgAgAG8AYwBjAHUAcgBzACAAYgBlAGYAbwByAGUAIABzAHQAYQByAHQAXwBhAHQALAAgAHIAZQB0AHUAcgBuAHMAIABcACIAIwBOAE8ALQBTAEwASQBDAEUAIQBcACIALgBcAG4ALQAtAC0ALQAtAC0ALQAtAC0ALQAtAC0ALQAtAC0ALQAtAC0ALQAtAC0ALQAtAC0ALQAtAC0ALQAtAC0ALQAtAC0ALQAtAC0ALQAtAC0ALQAtAC0ALQAtAC0ALQAtAC0ALQAtAC0ALQAtAC0ALQAtAC0ALQAtAC0ALQAtAC0ALQAtAC0ALQAtAC0ALQAtAC0ALQAtAC0ALQAtAC0AKgAvAFwAbgBcAG4AVABhAGsAZQBCAGwAbwBjAGsAuwMgAD0AXABuAEwAQQBNAEIARABBACgAXABuACAAIAAgACAAYQByAHIAYQB5ACwAXABuACAAIAAgACAAcwB0AGEAcgB0AF8AYQB0ACwAXABuACAAIAAgACAAWwBzAHQAbwBwAF8AdwBoAGUAbgBdACwAXABuAEwARQBUACgAXABuACAAIAAgACAALwAvACAATwBwAHQAaQBvAG4AYQBsACAAcwB0AG8AcABwAGkAbgBnACAAcABvAGkAbgB0AFwAbgAgACAAIAAgAEQAbwBOAG8AdABTAHQAbwBwAD8ALAAgACAAIAAgACAASQBTAE8ATQBJAFQAVABFAEQAKABzAHQAbwBwAF8AdwBoAGUAbgApACwAXABuAFwAbgAgACAAIAAgAC8ALwAgAEQAaQBtAGUAbgBzAGkAbwBuAHMAXABuACAAIAAgACAAaAAsACAAIAAgACAAIAAgACAAIAAgACAAIAAgACAAIABSAE8AVwBTACgAYQByAHIAYQB5ACkALABcAG4AIAAgACAAIAB3ACwAIAAgACAAIAAgACAAIAAgACAAIAAgACAAIAAgAEMATwBMAFUATQBOAFMAKABhAHIAcgBhAHkAKQAsAFwAbgBcAG4AIAAgACAAIAAvAC8AIABJAG4AZABpAGMAZQBzAFwAbgAgACAAIAAgAGkALAAgACAAIAAgACAAIAAgACAAIAAgACAAIAAgACAATQBHAHIAaQBkALsDKABhAHIAcgBhAHkAKQAsAFwAbgAgACAAIAAgAGoALAAgACAAIAAgACAAIAAgACAAIAAgACAAIAAgACAATQBHAHIAaQBkALsDKABhAHIAcgBhAHkALAAgADEAKQAsAFwAbgBcAG4AIAAgACAAIAAvAC8AIABMAG8AYwBhAGwAIABoAGUAbABwAGUAcgBzAFwAbgAgACAAIAAgAEEAbgBjAGgAbwByALsDLAAgACAAIAAgACAAIAAgACAATABBAE0AQgBEAEEAKABhAHIAcgAsACAAYwBvAG4AZABpAHQAaQBvAG4ALAAgAGkAZAB4ACwAIABOACgAYQByAHIAIAA9ACAAYwBvAG4AZABpAHQAaQBvAG4AKQAgACoAIABpAGQAeAApACwAXABuACAAIAAgACAASQBEAFgAuwMsACAAIAAgACAAIAAgACAAIAAgACAAIABMAEEATQBCAEQAQQAoAGEAcgByACwAIABNAEkATgAoAEkARgAoAGEAcgByACAAPAA+ACAAMAAsACAAYQByAHIAKQApACkALABcAG4AXABuACAAIAAgACAALwAvACAAQQBuAGMAaABvAHIAIABwAG8AcwBpAHQAaQBvAG4AcwBcAG4AIAAgACAAIAByAG8AdwBfAHMAdABhAHIAdAAsACAAIAAgACAAIAAgAEEAbgBjAGgAbwByALsDKABhAHIAcgBhAHkALAAgAHMAdABhAHIAdABfAGEAdAAsACAAaQApACwAXABuACAAIAAgACAAYwBvAGwAXwBzAHQAYQByAHQALAAgACAAIAAgACAAIABBAG4AYwBoAG8AcgC7AygAYQByAHIAYQB5ACwAIABzAHQAYQByAHQAXwBhAHQALAAgAGoAKQAsAFwAbgBcAG4AIAAgACAAIAByACwAIAAgACAAIAAgACAAIAAgACAAIAAgACAAIAAgAEkARABYALsDKAByAG8AdwBfAHMAdABhAHIAdAApACwAXABuACAAIAAgACAAYwAsACAAIAAgACAAIAAgACAAIAAgACAAIAAgACAAIABJAEQAWAC7AygAYwBvAGwAXwBzAHQAYQByAHQAKQAsAFwAbgBcAG4AIAAgACAAIAAvAC8AIABTAHQAbwBwAHAAaQBuAGcAIABwAG8AcwBpAHQAaQBvAG4AcwBcAG4AIAAgACAAIAByAG8AdwBfAHMAdABvAHAALAAgACAAIAAgACAAIAAgAEkARgAoAEQAbwBOAG8AdABTAHQAbwBwAD8ALAAgADAALAAgAEEAbgBjAGgAbwByALsDKABhAHIAcgBhAHkALAAgAHMAdABvAHAAXwB3AGgAZQBuACwAIABpACkAKQAsAFwAbgAgACAAIAAgAG4AbwBfAHIALAAgACAAIAAgACAAIAAgACAAIAAgACAAUwBVAE0AKAByAG8AdwBfAHMAdABvAHAAKQAgAD0AIAAwACwAXABuACAAIAAgACAAcgBfACwAIAAgACAAIAAgACAAIAAgACAAIAAgACAAIABJAEYAKABPAFIAKABEAG8ATgBvAHQAUwB0AG8AcAA/ACwAIABuAG8AXwByACkALAAgAGgALAAgAEkARABYALsDKAByAG8AdwBfAHMAdABvAHAAKQApACwAXABuAFwAbgAgACAAIAAgAC8ALwAgAEgAYQBsAHQAaQBuAGcAIABjAG8AbgBkAGkAdABpAG8AbgBzAFwAbgAgACAAIAAgAFcAaABlAHIAZQBOAG8AdABGAG8AdQBuAGQAPwAsACAAQQBOAEQAKAByACAAPQAgADAALAAgAGMAIAA9ACAAMAApACwAXABuACAAIAAgACAATgBvAFMAbABpAGMAZQA/ACwAIAAgACAAIAAgACAAIABBAE4ARAAoAE4ATwBUACgAbgBvAF8AcgApACwAIAByAF8AIAA8AD0AIAByACkALABcAG4AXABuACAAIAAgACAALwAvACAATABvAGcAaQBjACAAZwBhAHQAZQBcAG4AIAAgACAAIABJAEYAKABXAGgAZQByAGUATgBvAHQARgBvAHUAbgBkAD8ALAAgAFwAIgAjAE4ATwAtAEEATgBDAEgATwBSACEAXAAiACwAXABuAFwAbgAgACAAIAAgACAAIAAgACAASQBGACgATgBvAFMAbABpAGMAZQA/ACwAIABcACIAIwBOAE8ALQBTAEwASQBDAEUAIQBcACIALABcAG4AXABuAEwARQBUACgAXABuACAAIAAgACAALwAvACAATwB1AHQAcAB1AHQAIABnAGUAbwBtAGUAdAByAHkAXABuACAAIAAgACAAcgBvAHcAcwAsACAAIAAgACAAIAAgACAAIAAgACAAIABJAEYAKABuAG8AXwByACwAIABoACAALQAgAHIAIAArACAAMQAsACAAcgBfACAALQAgAHIAKQAsAFwAbgAgACAAIAAgAGMAbwBsAHMALAAgACAAIAAgACAAIAAgACAAIAAgACAAdwAgAC0AIABjACAAKwAgADEALABcAG4AXABuACAAIAAgACAALwAvACAAUgBvAHcAIABpAG4AZABpAGMAZQBzAFwAbgAgACAAIAAgAHgALAAgACAAIAAgACAAIAAgACAAIAAgACAAIAAgACAASQBGACgAcgBvAHcAcwAgAD0AIAAxACwAcgAgACoAIABTAEUAUQBVAEUATgBDAEUAKAAsACAAYwBvAGwAcwAsACAAMQAsACAAMAApACwAXABuACAAIAAgACAAIAAgACAAIAAgACAAIAAgACAAIAAgACAAIAAgACAAIAAgACAAIAAgAFIAZQBzAGkAegBlALsDKABTAEUAUQBVAEUATgBDAEUAKAByAG8AdwBzACwALAAgAHIAKQAsACwAIABjAG8AbABzACkAKQAsAFwAbgBcAG4AIAAgACAAIAAvAC8AIABDAG8AbAB1AG0AbgAgAGkAbgBkAGkAYwBlAHMAXABuACAAIAAgACAAeQAsACAAIAAgACAAIAAgACAAIAAgACAAIAAgACAAIABJAEYAKABjAG8AbABzACAAPQAgADEALABTAEUAUQBVAEUATgBDAEUAKAByAG8AdwBzACwALAAgAGMALAAgADAAKQAsAFwAbgAgACAAIAAgACAAIAAgACAAIAAgACAAIAAgACAAIAAgACAAIAAgACAAIAAgACAAIABSAGUAcwBpAHoAZQC7AygAUwBFAFEAVQBFAE4AQwBFACgALAAgAGMAbwBsAHMALAAgAGMAKQAsACAAcgBvAHcAcwApACkALABcAG4AXABuACAAIAAgACAALwAvACAARQB4AHQAcgBhAGMAdAAgAGIAbABvAGMAawBcAG4AIAAgACAAIAByAGUAcwB1AGwAdAAsACAAIAAgACAAIAAgACAAIAAgAEkATgBEAEUAWAAoAGEAcgByAGEAeQAsACAAeAAsACAAeQApACwAXABuAFwAbgAgACAAIAAgAHIAZQBzAHUAbAB0AFwAbgApACkAKQApACkAOwBcAG4AXABuAFwAbgBcAG4ALwAqACAAWwBTAEEAMAA2AF0AIAAtAC0ALQAtAC0ALQAtAC0ALQAtAC0ALQAtAC0ALQAtAC0ALQAtAC0ALQAtAC0ALQAtAC0ALQAtAC0ALQAtAC0ALQAtAC0ALQAtAC0ALQAtAC0ALQAtAC0ALQAtAC0ALQAtAC0ALQAtAC0ALQAtAC0ALQAtAC0ALQAtAC0ALQAtAC0ALQAtAC0ALQAtAC0ALQAtAFwAbgBGAHUAbgBjAHQAaQBvAG4AOgAgACAAIAAgACAARABTAHQAYQBjAGsAuwNcAG4AQwBhAHQAZQBnAG8AcgB5ADoAIAAgACAAIAAgADIARAAgAEEAcgByAGEAeQAgAFMAaABhAHAAaQBuAGcAXABuAEEAdQB0AGgAbwByADoAIAAgACAAIAAgACAAIABQAGEAdAByAGkAYwBrACAASAAuAFwAbgBWAGUAcgBzAGkAbwBuADoAIAAgACAAIAAgACAAMQAuADEAXABuAFwAbgBEAGUAcwBjAHIAaQBwAHQAaQBvAG4AOgBcAG4AIAAgACAAIABBAHAAcAByAG8AeABpAG0AYQB0AGUAcwAgAE4AdQBtAFAAeQAnAHMAIABkAHMAdABhAGMAawAgAGYAbwByACAARQB4AGMAZQBsACcAcwAgADIARAAgAGEAcgByAGEAeQAgAG0AbwBkAGUAbAAuACAARABTAHQAYQBjAGsAuwMgAHMAdABhAGMAawBzAFwAbgAgACAAIAAgAG0AdQBsAHQAaQBwAGwAZQAgADIARAAgAGEAcgByAGEAeQBzACAAYQBsAG8AbgBnACAAYQAgAFwAIgBkAGUAcAB0AGgAXAAiACAAZABpAG0AZQBuAHMAaQBvAG4AIABiAHkAIAB0AHIAYQBuAHMAcABvAHMAaQBuAGcAIABlAGEAYwBoACAAaQBuAHAAdQB0AFwAbgAgACAAIAAgAGEAbgBkACAAaABvAHIAaQB6AG8AbgB0AGEAbABsAHkAIABjAG8AbgBjAGEAdABlAG4AYQB0AGkAbgBnACAAdABoAGUAIABsAGEAeQBlAHIAcwAuACAAVQBwACAAdABvACAAZgBvAHUAcgAgAGEAcgByAGEAeQBzACAAbQBhAHkAIABiAGUAXABuACAAIAAgACAAcwB1AHAAcABsAGkAZQBkAC4AIABNAGkAcwBzAGkAbgBnACAAYQByAHIAYQB5AHMAIABhAHIAZQAgAGkAZwBuAG8AcgBlAGQALgBcAG4AXABuACAAIAAgACAAQQBsAGwAIABhAHIAcgBhAHkAcwAgAG0AdQBzAHQAIABiAGUAIABuAG8AbgARIHMAYwBhAGwAYQByACAAYQBuAGQAIABuAG8AbgARIGUAbQBwAHQAeQAuACAARwBlAG8AbQBlAHQAcgB5ACAAbQB1AHMAdAAgAG0AYQB0AGMAaAAgAGEAYwByAG8AcwBzAFwAbgAgACAAIAAgAGEAbABsACAAcwB1AHAAcABsAGkAZQBkACAAYQByAHIAYQB5AHMAIAAoAHMAYQBtAGUAIABoAGUAaQBnAGgAdAAgANcAIAB3AGkAZAB0AGgAKQAuACAATQBpAHMAbQBhAHQAYwBoAGUAZAAgAGUAbABlAG0AZQBuAHQAcwAgAGEAcgBlACAAcABhAGQAZABlAGQAXABuACAAIAAgACAAdQBzAGkAbgBnACAAcABhAGQAXwB3AGkAdABoAC4AXABuAFwAbgBQAGEAcgBhAG0AZQB0AGUAcgBzADoAXABuACAAIAAgACAAYQByAHIAYQB5AF8AMQAgACAAIAAgACAALQAgAFIAZQBxAHUAaQByAGUAZAAgAGIAYQBzAGUAIABhAHIAcgBhAHkALgBcAG4AIAAgACAAIABbAGEAcgByAGEAeQBfADIAXQAgACAAIAAtACAATwBwAHQAaQBvAG4AYQBsACAAcwBlAGMAbwBuAGQAIABhAHIAcgBhAHkALgBcAG4AIAAgACAAIABbAGEAcgByAGEAeQBfADMAXQAgACAAIAAtACAATwBwAHQAaQBvAG4AYQBsACAAdABoAGkAcgBkACAAYQByAHIAYQB5AC4AXABuACAAIAAgACAAWwBhAHIAcgBhAHkAXwA0AF0AIAAgACAALQAgAE8AcAB0AGkAbwBuAGEAbAAgAGYAbwB1AHIAdABoACAAYQByAHIAYQB5AC4AXABuACAAIAAgACAAWwBwAGEAZABfAHcAaQB0AGgAXQAgACAALQAgAEYAaQBsAGwAIAB2AGEAbAB1AGUAIABmAG8AcgAgAG0AaQBzAG0AYQB0AGMAaABlAGQAIABvAHIAIABtAGkAcwBzAGkAbgBnACAAZQBsAGUAbQBlAG4AdABzAC4AIABEAGUAZgBhAHUAbAB0AHMAIAB0AG8AIABOAEEAKAApAC4AXABuAFwAbgBCAGUAaABhAHYAaQBvAHIAOgBcAG4AIAAgACAAIAAiICAAVAB3AG8AIABhAHIAcgBhAHkAcwAgACAAkiEgAGQAZQBwAHQAaAAgAD0AIAAyAFwAbgAgACAAIAAgACIgIABUAGgAcgBlAGUAIABhAHIAcgBhAHkAcwAgAJIhIABkAGUAcAB0AGgAIAA9ACAAMwBcAG4AIAAgACAAIAAiICAARgBvAHUAcgAgAGEAcgByAGEAeQBzACAAIACSISAAZABlAHAAdABoACAAPQAgADQAXABuACAAIAAgACAAIiAgAEUAYQBjAGgAIABhAHIAcgBhAHkAIABpAHMAIAB0AHIAYQBuAHMAcABvAHMAZQBkACAAcwBvACAAZABlAHAAdABoACAAYgBlAGMAbwBtAGUAcwAgAHcAaQBkAHQAaAAsACAAdABoAGUAbgAgAEgAUwBUAEEAQwBLAGUAZAAuAFwAbgBcAG4ARQByAHIAbwByACAAQwBvAG4AZABpAHQAaQBvAG4AcwA6AFwAbgAgACAAIAAgACIgIABcACIAIwBFAE0AUABUAFkALQBBAFIAUgBBAFkAIQBcACIAIAAgACAALQAgAE8AbgBlACAAcgBlAHEAdQBpAHIAZQBkACAAYQByAHIAYQB5ACAAaQBzACAAZQBtAHAAdAB5ACAAdwBoAGkAbABlACAAdABoAGUAIABvAHQAaABlAHIAIABpAHMAIABuAG8AdAAuAFwAbgAgACAAIAAgACIgIABcACIAIwBTAEMAQQBMAEEAUgAtAEUAUgBSAE8AUgAhAFwAIgAgACAALQAgAEEAbgB5ACAAaQBuAHAAdQB0ACAAYQByAHIAYQB5ACAAaQBzACAAcwBjAGEAbABhAHIALgBcAG4AXABuAE4AbwB0AGUAcwA6AFwAbgAgACAAIAAgACIgIABUAGgAaQBzACAAaQBzACAAYQAgADIARAAgAGEAcABwAHIAbwB4AGkAbQBhAHQAaQBvAG4AIABvAGYAIABkAGUAcAB0AGgAIABzAHQAYQBjAGsAaQBuAGcALgBcAG4AIAAgACAAIAAiICAAQQBsAGwAIABhAHIAcgBhAHkAcwAgAG0AdQBzAHQAIABzAGgAYQByAGUAIABnAGUAbwBtAGUAdAByAHkAIABvAHIAIABwAGEAZABkAGkAbgBnACAAdwBpAGwAbAAgAGIAZQAgAGEAcABwAGwAaQBlAGQALgBcAG4ALQAtAC0ALQAtAC0ALQAtAC0ALQAtAC0ALQAtAC0ALQAtAC0ALQAtAC0ALQAtAC0ALQAtAC0ALQAtAC0ALQAtAC0ALQAtAC0ALQAtAC0ALQAtAC0ALQAtAC0ALQAtAC0ALQAtAC0ALQAtAC0ALQAtAC0ALQAtAC0ALQAtAC0ALQAtAC0ALQAtAC0ALQAtAC0ALQAtAC0ALQAtAC0AKgAvAFwAbgBcAG4ARABTAHQAYQBjAGsAuwMgAD0AXABuAEwAQQBNAEIARABBACgAXABuACAAIAAgACAAYQByAHIAYQB5AF8AMQAsAFwAbgAgACAAIAAgAFsAYQByAHIAYQB5AF8AMgBdACwAXABuACAAIAAgACAAWwBhAHIAcgBhAHkAXwAzAF0ALABcAG4AIAAgACAAIABbAGEAcgByAGEAeQBfADQAXQAsAFwAbgAgACAAIAAgAFsAcABhAGQAXwB3AGkAdABoAF0ALABcAG4ATABFAFQAKABcAG4AIAAgACAAIAAvAC8AIABSAGUAcQB1AGkAcgBlAGQAIABhAHIAcgBhAHkAIABjAG8AdQBuAHQAcwBcAG4AIAAgACAAIABhACwAIAAgACAAIAAgACAAIAAgACAAIAAgACAAIAAgAEMATwBVAE4AVABBACgAYQByAHIAYQB5AF8AMQApACwAXABuACAAIAAgACAAYgAsACAAIAAgACAAIAAgACAAIAAgACAAIAAgACAAIABJAEYAKABJAFMATwBNAEkAVABUAEUARAAoAGEAcgByAGEAeQBfADIAKQAsACAAMAAsACAAQwBPAFUATgBUAEEAKABhAHIAcgBhAHkAXwAyACkAKQAsAFwAbgBcAG4AIAAgACAAIAAvAC8AIABPAHAAdABpAG8AbgBhAGwAIABhAHIAcgBhAHkAIABjAG8AdQBuAHQAcwBcAG4AIAAgACAAIABjACwAIAAgACAAIAAgACAAIAAgACAAIAAgACAAIAAgAEkARgAoAEkAUwBPAE0ASQBUAFQARQBEACgAYQByAHIAYQB5AF8AMwApACwAIAAwACwAIABDAE8AVQBOAFQAQQAoAGEAcgByAGEAeQBfADMAKQApACwAXABuACAAIAAgACAAZAAsACAAIAAgACAAIAAgACAAIAAgACAAIAAgACAAIABJAEYAKABJAFMATwBNAEkAVABUAEUARAAoAGEAcgByAGEAeQBfADQAKQAsACAAMAAsACAAQwBPAFUATgBUAEEAKABhAHIAcgBhAHkAXwA0ACkAKQAsAFwAbgBcAG4AIAAgACAAIAAvAC8AIABTAHQAYQBjAGsAaQBuAGcAIABtAG8AZABlAHMAXABuACAAIAAgACAAcgBlAHEALAAgACAAIAAgACAAIAAgACAAIAAgACAAIABBAE4ARAAoAGMAIAA9ACAAMAAsACAAZAAgAD0AIAAwACkALABcAG4AIAAgACAAIABDAF8AbwBuAGwAeQAsACAAIAAgACAAIAAgACAAIAAgAEEATgBEACgAYwAgADwAPgAgADAALAAgAGQAIAA9ACAAMAApACwAXABuACAAIAAgACAARABfAG8AbgBsAHkALAAgACAAIAAgACAAIAAgACAAIABBAE4ARAAoAGMAIAA9ACAAMAAsACAAZAAgADwAPgAgADAAKQAsAFwAbgAgACAAIAAgAEEAbABsACwAIAAgACAAIAAgACAAIAAgACAAIAAgACAAQQBOAEQAKABjACAAPAA+ACAAMAAsACAAZAAgADwAPgAgADAAKQAsAFwAbgBcAG4AIAAgACAAIAAvAC8AIABIAGEAbAB0AGkAbgBnACAAcwBjAGUAbgBhAHIAaQBvAHMAXABuACAAIAAgACAARQBtAHAAdAB5AEEAcgByAD8ALAAgACAAIAAgACAAIABPAFIAKABhACAAPQAgADAALAAgAGIAIAA9ACAAMAApACwAXABuAFwAbgAgACAAIAAgAC8ALwAgAFMAYwBhAGwAYQByACAAdgBhAGwAaQBkAGEAdABpAG8AbgBcAG4AIAAgACAAIABDAGwAYQBtAHAAuwMsACAAIAAgACAAIAAgACAAIAAgAEwAQQBNAEIARABBACgAcABhAHIAYQBtACwAIABBAE4ARAAoAHAAYQByAGEAbQAgAD0AIAAxACwAIABJAFMARQBSAFIATwBSACgAcABhAHIAYQBtACkAKQApACwAXABuACAAIAAgACAAUwBjAGEAbABhAHIARQByAHIAPwAsACAAIAAgACAAIABPAFIAKABDAGwAYQBtAHAAuwMoAGEAKQAsACAAQwBsAGEAbQBwALsDKABiACkALAAgAEMAbABhAG0AcAC7AygAYwApACwAIABDAGwAYQBtAHAAuwMoAGQAKQApACwAXABuAFwAbgAgACAAIAAgAC8ALwAgAEwAbwBnAGkAYwAgAGcAYQB0AGUAXABuACAAIAAgACAASQBGACgARQBtAHAAdAB5AEEAcgByAD8ALAAgAFwAIgAjAEUATQBQAFQAWQAtAEEAUgBSAEEAWQAhAFwAIgAsAFwAbgBcAG4AIAAgACAAIAAgACAAIAAgAEkARgAoAFMAYwBhAGwAYQByAEUAcgByAD8ALAAgAFwAIgAjAFMAQwBBAEwAQQBSAC0ARQBSAFIATwBSACEAXAAiACwAXABuAFwAbgBMAEUAVAAoAFwAbgAgACAAIAAgAC8ALwAgAFAAYQBkAGQAaQBuAGcAXABuACAAIAAgACAAcABhAGQAXwB3AGkAdABoACwAIAAgACAAIAAgACAAIABJAEYAKABJAFMATwBNAEkAVABUAEUARAAoAHAAYQBkAF8AdwBpAHQAaAApACwAIABOAEEAKAApACwAIABwAGEAZABfAHcAaQB0AGgAKQAsAFwAbgBcAG4AIAAgACAAIAAvAC8AIABUAHIAYQBuAHMAcABvAHMAZQBkACAAbABhAHkAZQByAHMAXABuACAAIAAgACAAYQBAHSwAIAAgACAAIAAgACAAIAAgACAAIAAgACAAIABUAFIAQQBOAFMAUABPAFMARQAoAGEAcgByAGEAeQBfADEAKQAsAFwAbgAgACAAIAAgAGIAQB0sACAAIAAgACAAIAAgACAAIAAgACAAIAAgACAAVABSAEEATgBTAFAATwBTAEUAKABhAHIAcgBhAHkAXwAyACkALABcAG4AIAAgACAAIABjAEAdLAAgACAAIAAgACAAIAAgACAAIAAgACAAIAAgAEkARgAoAGMALAAgAFQAUgBBAE4AUwBQAE8AUwBFACgAYQByAHIAYQB5AF8AMwApACwAIAAwACkALABcAG4AIAAgACAAIABkAEAdLAAgACAAIAAgACAAIAAgACAAIAAgACAAIAAgAEkARgAoAGQALAAgAFQAUgBBAE4AUwBQAE8AUwBFACgAYQByAHIAYQB5AF8ANAApACwAIAAwACkALABcAG4AXABuACAAIAAgACAALwAvACAAUwB0AGEAYwBrACAAdgBhAHIAaQBhAG4AdABzAFwAbgAgACAAIAAgAHIAZQBxAF8AcwB0AGEAYwBrACwAIAAgACAAIAAgACAASABTAFQAQQBDAEsAKABhAEAdLAAgAGIAQB0pACwAXABuACAAIAAgACAAQwBfAG8AbgBsAHkAXwBzAHQAYQBjAGsALAAgACAAIABIAFMAVABBAEMASwAoAGEAQB0sACAAYgBAHSwAIABjAEAdKQAsAFwAbgAgACAAIAAgAEQAXwBvAG4AbAB5AF8AcwB0AGEAYwBrACwAIAAgACAASABTAFQAQQBDAEsAKABhAEAdLAAgAGIAQB0sACAAZABAHSkALABcAG4AIAAgACAAIABhAGwAbABfAHMAdABhAGMAawAsACAAIAAgACAAIAAgAEgAUwBUAEEAQwBLACgAYQBAHSwAIABiAEAdLAAgAGMAQB0sACAAZABAHSkALABcAG4AXABuACAAIAAgACAALwAvACAAUwBlAGwAZQBjAHQAIABmAGkAbgBhAGwAIABzAHQAYQBjAGsAXABuACAAIAAgACAAcgBlAHMAdQBsAHQALAAgACAAIAAgACAAIAAgACAAIABJAEYARQBSAFIATwBSACgAXABuACAAIAAgACAAIAAgACAAIAAgACAAIAAgACAAIAAgACAAIAAgACAAIAAgACAAIAAgAEkARgAoAHIAZQBxACwAcgBlAHEAXwBzAHQAYQBjAGsALABcAG4AIAAgACAAIAAgACAAIAAgACAAIAAgACAAIAAgACAAIAAgACAAIAAgACAAIAAgACAAIAAgACAAIABJAEYAKABDAF8AbwBuAGwAeQAsAEMAXwBvAG4AbAB5AF8AcwB0AGEAYwBrACwAXABuACAAIAAgACAAIAAgACAAIAAgACAAIAAgACAAIAAgACAAIAAgACAAIAAgACAAIAAgACAAIAAgACAAIAAgACAAIABJAEYAKABEAF8AbwBuAGwAeQAsAEQAXwBvAG4AbAB5AF8AcwB0AGEAYwBrACwAXABuACAAIAAgACAAIAAgACAAIAAgACAAIAAgACAAIAAgACAAIAAgACAAIAAgACAAIAAgACAAIAAgACAAIAAgACAAIAAgACAAIAAgAEkARgAoAEEAbABsACwAYQBsAGwAXwBzAHQAYQBjAGsALAAgAEYAQQBMAFMARQApACkAKQApACwAcABhAGQAXwB3AGkAdABoACkALABcAG4AXABuACAAIAAgACAAcgBlAHMAdQBsAHQAXABuACkAKQApACkAKQA7AFwAbgBcAG4AXABuAFwAbgAvACoAIABbAFMAQQAwADcAXQAgAC0ALQAtAC0ALQAtAC0ALQAtAC0ALQAtAC0ALQAtAC0ALQAtAC0ALQAtAC0ALQAtAC0ALQAtAC0ALQAtAC0ALQAtAC0ALQAtAC0ALQAtAC0ALQAtAC0ALQAtAC0ALQAtAC0ALQAtAC0ALQAtAC0ALQAtAC0ALQAtAC0ALQAtAC0ALQAtAC0ALQAtAC0ALQAtAC0AXABuAEYAdQBuAGMAdABpAG8AbgA6ACAAIAAgACAAIABXAHIAYQBwAFIAbwB3AHMAMgBEALsDXABuAEMAYQB0AGUAZwBvAHIAeQA6ACAAIAAgACAAIAAyAEQAIABBAHIAcgBhAHkAIABTAGgAYQBwAGkAbgBnAFwAbgBBAHUAdABoAG8AcgA6ACAAIAAgACAAIAAgACAAUABhAHQAcgBpAGMAawAgAEgALgBcAG4AVgBlAHIAcwBpAG8AbgA6ACAAIAAgACAAIAAgADEALgAxAFwAbgBEAGUAcABlAG4AZABlAG4AYwBpAGUAcwA6ACAARQBjAGgAbwC7A1wAbgBcAG4ARABlAHMAYwByAGkAcAB0AGkAbwBuADoAXABuACAAIAAgACAAVwByAGEAcABzACAAYQAgADIARAAgAGEAcgByAGEAeQAgAGkAbgB0AG8AIAByAG8AdwAgAGIAbABvAGMAawBzACAAbwBmACAAYQAgAHMAcABlAGMAaQBmAGkAZQBkACAAaABlAGkAZwBoAHQAIAB3AGgAaQBsAGUAIABwAHIAZQBzAGUAcgB2AGkAbgBnAFwAbgAgACAAIAAgAGMAbwBsAHUAbQBuACAAdwBpAGQAdABoAC4AIABUAGgAZQAgAHcAcgBhAHAAcABlAGQAIABiAGwAbwBjAGsAcwAgAGEAcgBlACAAcwB0AGEAYwBrAGUAZAAgAGgAbwByAGkAegBvAG4AdABhAGwAbAB5ACAAaQBuACAAdABoAGUAIABvAHUAdABwAHUAdAAuAFwAbgAgACAAIAAgAEoAYQBnAGcAZQBkACAAbwByACAAaQBuAGMAbwBtAHAAbABlAHQAZQAgAGYAaQBuAGEAbAAgAGIAbABvAGMAawBzACAAYQByAGUAIABwAGEAZABkAGUAZAAgAHcAaQB0AGgAIABOAEEAKAApACAAdQBuAGwAZQBzAHMAIABhACAAZgBpAGwAbABcAG4AIAAgACAAIAB2AGEAbAB1AGUAIABpAHMAIABzAHUAcABwAGwAaQBlAGQAIAB2AGkAYQAgAHAAYQBkAF8AdwBpAHQAaAAuAFwAbgBcAG4AUABhAHIAYQBtAGUAdABlAHIAcwA6AFwAbgAgACAAIAAgAGEAcgByAGEAeQAgACAAIAAgACAAIAAgACAALQAgAFIAZQBxAHUAaQByAGUAZAAgADIARAAgAGEAcgByAGEAeQAgACgAMQBEACAAYQByAHIAYQB5AHMAIABuAG8AdAAgAHMAdQBwAHAAbwByAHQAZQBkACkALgBcAG4AIAAgACAAIABuAGUAdwBfAGgAZQBpAGcAaAB0ACAAIAAgAC0AIABOAHUAbQBiAGUAcgAgAG8AZgAgAHIAbwB3AHMAIABpAG4AIABlAGEAYwBoACAAdwByAGEAcABwAGUAZAAgAGIAbABvAGMAawAuAFwAbgBcAG4ATwBwAHQAaQBvAG4AYQBsADoAXABuACAAIAAgACAAWwBwAGEAZABfAHcAaQB0AGgAXQAgACAAIAAtACAARgBpAGwAbAAgAHYAYQBsAHUAZQAgAHUAcwBlAGQAIAB0AG8AIABwAGEAZAAgAGkAbgBjAG8AbQBwAGwAZQB0AGUAIABiAGwAbwBjAGsAcwAuACAARABlAGYAYQB1AGwAdABzACAAdABvACAATgBBACgAKQAuAFwAbgBcAG4ATgBvAHQAZQBzADoAXABuACAAIAAgACAAIiAgAE8AdQB0AHAAdQB0ACAAdwBpAGQAdABoACAAPQAgAGIAbABvAGMAawBzACAA1wAgAG8AcgBpAGcAaQBuAGEAbAAgAHcAaQBkAHQAaAAuAFwAbgAgACAAIAAgACIgIABuAGUAdwBfAGgAZQBpAGcAaAB0ACAAbQB1AHMAdAAgAGIAZQAgAHMAdAByAGkAYwB0AGwAeQAgAGwAZQBzAHMAIAB0AGgAYQBuACAAdABoAGUAIABhAHIAcgBhAHkAIABoAGUAaQBnAGgAdAAuAFwAbgAgACAAIAAgACIgIABTAHAAaQBsAGwAIAByAGkAcwBrACAAaQBzACAAYwBoAGUAYwBrAGUAZAAgAGEAZwBhAGkAbgBzAHQAIABFAHgAYwBlAGwAGSBzACAAMQA2ACwAMwA4ADQAESBjAG8AbAB1AG0AbgAgAGwAaQBtAGkAdAAuAFwAbgAtAC0ALQAtAC0ALQAtAC0ALQAtAC0ALQAtAC0ALQAtAC0ALQAtAC0ALQAtAC0ALQAtAC0ALQAtAC0ALQAtAC0ALQAtAC0ALQAtAC0ALQAtAC0ALQAtAC0ALQAtAC0ALQAtAC0ALQAtAC0ALQAtAC0ALQAtAC0ALQAtAC0ALQAtAC0ALQAtAC0ALQAtAC0ALQAtAC0ALQAtAC0ALQAqAC8AXABuAFwAbgBXAHIAYQBwAFIAbwB3AHMAMgBEALsDIAA9AFwAbgBMAEEATQBCAEQAQQAoAFwAbgAgACAAIAAgAGEAcgByAGEAeQAsAFwAbgAgACAAIAAgAG4AZQB3AF8AaABlAGkAZwBoAHQALABcAG4AIAAgACAAIABbAHAAYQBkAF8AdwBpAHQAaABdACwAXABuAEwARQBUACgAXABuACAAIAAgACAALwAvACAAUwBoAGEAcABlAFwAbgAgACAAIAAgAGgALAAgACAAIAAgACAAIAAgACAAIAAgACAAIAAgACAAUgBPAFcAUwAoAGEAcgByAGEAeQApACwAXABuACAAIAAgACAAdwAsACAAIAAgACAAIAAgACAAIAAgACAAIAAgACAAIABDAE8ATABVAE0ATgBTACgAYQByAHIAYQB5ACkALABcAG4AIAAgACAAIABiAGwAbwBjAGsAcwAsACAAIAAgACAAIAAgACAAIAAgAEMARQBJAEwASQBOAEcAKABoACAALwAgAG4AZQB3AF8AaABlAGkAZwBoAHQ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3AGkAZAB0AGgAXABuACAAIAAgACAAYwAsACAAIAAgACAAIAAgACAAIAAgACAAIAAgACAAIABiAGwAbwBjAGsAcwAgACoAIAB3ACwAXABuAFwAbgAgACAAIAAgAC8ALwAgAFMAYwBlAG4AYQByAGkAbwBzAFwAbgAgACAAIAAgAEkAcwAxAEQAPwAsACAAIAAgACAAIAAgACAAIAAgACAATwBSACgAaAAgAD0AIAAxACwAIAB3ACAAPQAgADEAKQAsAFwAbgAgACAAIAAgAEkAcwBTAGMAYQBsAGEAcgA/ACwAIAAgACAAIAAgACAAQQBOAEQAKABoACAAPQAgADEALAAgAHcAIAA9ACAAMQApACwAXABuACAAIAAgACAASQBuAHYAYQBsAGkAZABEAGkAbQA/ACwAIAAgACAAIABuAGUAdwBfAGgAZQBpAGcAaAB0ACAAPgA9ACAAaAAsAFwAbgAgACAAIAAgAFMAcABpAGwAbABSAGkAcwBrAD8ALAAgACAAIAAgACAAYwAgAD4AIAAxADYAMwA4ADQALABcAG4AXABuACAAIAAgACAALwAvACAATABvAGcAaQBjACAAZwBhAHQAZQBcAG4AIAAgACAAIABJAEYAKABJAHMAUwBjAGEAbABhAHIAPwAsACAAXAAiACMAVgBBAEwAVQBFACEAXAAiACwAXABuAFwAbgAgACAAIAAgACAAIAAgACAASQBGACgASQBzADEARAA/ACwAIABcACIAIwBWAEEATABVAEUAIQBcACIALABcAG4AXABuACAAIAAgACAAIAAgACAAIAAgACAAIAAgAEkARgAoAEkAbgB2AGEAbABpAGQARABpAG0APwAsACAAXAAiACMASABFAEkARwBIAFQAIQBcACIALABcAG4AXABuACAAIAAgACAAIAAgACAAIAAgACAAIAAgACAAIAAgACAASQBGACgAUwBwAGkAbABsAFIAaQBzAGsAPwAsACAAXAAiACMATgBVAE0AIQBcACIALABcAG4AXABuAEwARQBUACgAXABuACAAIAAgACAALwAvACAASQBuAGQAaQBjAGUAcwAgACgAZABlAGYAZQByAHIAZQBkACkAXABuACAAIAAgACAAaQAsACAAIAAgACAAIAAgACAAIAAgACAAIAAgACAAIABMAEEATQBCAEQAQQAoAFQATwBSAE8AVwAoAEUAYwBoAG8AuwMoAFMARQBRAFUARQBOAEMARQAoACwAIABiAGwAbwBjAGsAcwAsACAAMQAsACAAbgBlAHcAXwBoAGUAaQBnAGgAdAApACwAIAB3ACkAKQAgAFwAbgAgACAAIAAgACAAIAAgACAAIAAgACAAIAAgACAAIAAgACAAIAAgACAAIAAgACAAIAAgACAAIAArACAAUwBFAFEAVQBFAE4AQwBFACgAbgBlAHcAXwBoAGUAaQBnAGgAdAAsACwAIAAwACwAIAAxACkAKQAsAFwAbgBcAG4AIAAgACAAIABtAG8AZAB1AGwAbwAsACAAIAAgACAAIAAgACAAIAAgAEwAQQBNAEIARABBACgATQBPAEQAKABTAEUAUQBVAEUATgBDAEUAKAAsACAAdwAgACoAIABiAGwAbwBjAGsAcwApACwAIAB3ACkAKQAsAFwAbgAgACAAIAAgAGoALAAgACAAIAAgACAAIAAgACAAIAAgACAAIAAgACAATABBAE0AQgBEAEEAKABJAEYAKABtAG8AZAB1AGwAbwAoACkAIAA9ACAAMAAsACAAdwAsACAAbQBvAGQAdQBsAG8AKAApACkAIAAqACAAUwBFAFEAVQBFAE4AQwBFACgAbgBlAHcAXwBoAGUAaQBnAGgAdAAsACwAIAAxACwAIAAwACkAKQAsAFwAbgBcAG4AIAAgACAAIAAvAC8AIABXAHIAYQBwAHAAZQBkACAAYQByAHIAYQB5AFwAbgAgACAAIAAgAHIAZQBzAHUAbAB0ACwAIAAgACAAIAAgACAAIAAgACAASQBGAEUAUgBSAE8AUgAoAEkATgBEAEUAWAAoAGEAcgByAGEAeQAsACAAaQAoACkALAAgAGoAKAApACkALAAgAHAAYQBkAF8AdwBpAHQAaAApACwAXABuAFwAbgAgACAAIAAgAHIAZQBzAHUAbAB0AFwAbgApACkAKQApACkAKQApADsAXABuAFwAbgBcAG4AXABuAC8AKgAgAFsAUwBBADAAOABdACAALQAtAC0ALQAtAC0ALQAtAC0ALQAtAC0ALQAtAC0ALQAtAC0ALQAtAC0ALQAtAC0ALQAtAC0ALQAtAC0ALQAtAC0ALQAtAC0ALQAtAC0ALQAtAC0ALQAtAC0ALQAtAC0ALQAtAC0ALQAtAC0ALQAtAC0ALQAtAC0ALQAtAC0ALQAtAC0ALQAtAC0ALQAtAC0ALQBcAG4ARgB1AG4AYwB0AGkAbwBuADoAIAAgACAAIAAgAFcAcgBhAHAAQwBvAGwAcwAyAEQAuwNcAG4AQwBhAHQAZQBnAG8AcgB5ADoAIAAgACAAIAAgADIARAAgAEEAcgByAGEAeQAgAFMAaABhAHAAaQBuAGcAXABuAEEAdQB0AGgAbwByADoAIAAgACAAIAAgACAAIABQAGEAdAByAGkAYwBrACAASAAuAFwAbgBWAGUAcgBzAGkAbwBuADoAIAAgACAAIAAgACAAMQAuADEAXABuAEQAZQBwAGUAbgBkAGUAbgBjAGkAZQBzADoAIABFAGMAaABvALsDXABuAFwAbgBEAGUAcwBjAHIAaQBwAHQAaQBvAG4AOgBcAG4AIAAgACAAIABXAHIAYQBwAHMAIABhACAAMgBEACAAYQByAHIAYQB5ACAAaQBuAHQAbwAgAGMAbwBsAHUAbQBuACAAYgBsAG8AYwBrAHMAIABvAGYAIABhACAAcwBwAGUAYwBpAGYAaQBlAGQAIAB3AGkAZAB0AGgAIAB3AGgAaQBsAGUAIABwAHIAZQBzAGUAcgB2AGkAbgBnAFwAbgAgACAAIAAgAHIAbwB3ACAAaABlAGkAZwBoAHQALgAgAFQAaABlACAAdwByAGEAcABwAGUAZAAgAGIAbABvAGMAawBzACAAYQByAGUAIABzAHQAYQBjAGsAZQBkACAAdgBlAHIAdABpAGMAYQBsAGwAeQAgAGkAbgAgAHQAaABlACAAbwB1AHQAcAB1AHQALgBcAG4AIAAgACAAIABKAGEAZwBnAGUAZAAgAG8AcgAgAGkAbgBjAG8AbQBwAGwAZQB0AGUAIABmAGkAbgBhAGwAIABiAGwAbwBjAGsAcwAgAGEAcgBlACAAcABhAGQAZABlAGQAIAB3AGkAdABoACAATgBBACgAKQAgAHUAbgBsAGUAcwBzACAAYQAgAGYAaQBsAGwAXABuACAAIAAgACAAdgBhAGwAdQBlACAAaQBzACAAcwB1AHAAcABsAGkAZQBkACAAdgBpAGEAIABwAGEAZABfAHcAaQB0AGgALgBcAG4AXABuAFAAYQByAGEAbQBlAHQAZQByAHMAOgBcAG4AIAAgACAAIABhAHIAcgBhAHkAIAAgACAAIAAgACAAIAAtACAAUgBlAHEAdQBpAHIAZQBkACAAMgBEACAAYQByAHIAYQB5ACAAKAAxAEQAIABhAHIAcgBhAHkAcwAgAG4AbwB0ACAAcwB1AHAAcABvAHIAdABlAGQAKQAuAFwAbgAgACAAIAAgAG4AZQB3AF8AdwBpAGQAdABoACAAIAAgAC0AIABOAHUAbQBiAGUAcgAgAG8AZgAgAGMAbwBsAHUAbQBuAHMAIABpAG4AIABlAGEAYwBoACAAdwByAGEAcABwAGUAZAAgAGIAbABvAGMAawAuAFwAbgBcAG4ATwBwAHQAaQBvAG4AYQBsADoAXABuACAAIAAgACAAWwBwAGEAZABfAHcAaQB0AGgAXQAgACAALQAgAEYAaQBsAGwAIAB2AGEAbAB1AGUAIAB1AHMAZQBkACAAdABvACAAcABhAGQAIABpAG4AYwBvAG0AcABsAGUAdABlACAAYgBsAG8AYwBrAHMALgAgAEQAZQBmAGEAdQBsAHQAcwAgAHQAbwAgAE4AQQAoACkALgBcAG4AXABuAE4AbwB0AGUAcwA6AFwAbgAgACAAIAAgACIgIABPAHUAdABwAHUAdAAgAGgAZQBpAGcAaAB0ACAAPQAgAGIAbABvAGMAawBzACAA1wAgAG8AcgBpAGcAaQBuAGEAbAAgAGgAZQBpAGcAaAB0AC4AXABuACAAIAAgACAAIiAgAG4AZQB3AF8AdwBpAGQAdABoACAAbQB1AHMAdAAgAGIAZQAgAHMAdAByAGkAYwB0AGwAeQAgAGwAZQBzAHMAIAB0AGgAYQBuACAAdABoAGUAIABhAHIAcgBhAHkAIAB3AGkAZAB0AGgALgBcAG4AIAAgACAAIAAiICAAUwBwAGkAbABsACAAcgBpAHMAawAgAGkAcwAgAGMAaABlAGMAawBlAGQAIABhAGcAYQBpAG4AcwB0ACAARQB4AGMAZQBsABkgcwAgADEALAAwADQAOAAsADUANwA2ABEgcgBvAHcAIABsAGkAbQBpAHQALgBcAG4ALQAtAC0ALQAtAC0ALQAtAC0ALQAtAC0ALQAtAC0ALQAtAC0ALQAtAC0ALQAtAC0ALQAtAC0ALQAtAC0ALQAtAC0ALQAtAC0ALQAtAC0ALQAtAC0ALQAtAC0ALQAtAC0ALQAtAC0ALQAtAC0ALQAtAC0ALQAtAC0ALQAtAC0ALQAtAC0ALQAtAC0ALQAtAC0ALQAtAC0ALQAtAC0AKgAvAFwAbgBcAG4AVwByAGEAcABDAG8AbABzADIARAC7AyAAPQBcAG4ATABBAE0AQgBEAEEAKABcAG4AIAAgACAAIABhAHIAcgBhAHkALABcAG4AIAAgACAAIABuAGUAdwBfAHcAaQBkAHQAaAAsAFwAbgAgACAAIAAgAFsAcABhAGQAXwB3AGkAdABoAF0ALABcAG4ATABFAFQAKABcAG4AIAAgACAAIAAvAC8AIABTAGgAYQBwAGUAXABuACAAIAAgACAAaAAsACAAIAAgACAAIAAgACAAIAAgACAAIAAgACAAIABSAE8AVwBTACgAYQByAHIAYQB5ACkALABcAG4AIAAgACAAIAB3ACwAIAAgACAAIAAgACAAIAAgACAAIAAgACAAIAAgAEMATwBMAFUATQBOAFMAKABhAHIAcgBhAHkAKQAsAFwAbgAgACAAIAAgAGIAbABvAGMAawBzACwAIAAgACAAIAAgACAAIAAgACAAQwBFAEkATABJAE4ARwAoAHcAIAAvACAAbgBlAHcAXwB3AGkAZAB0AGgALAAgADEAKQAsAFwAbgBcAG4AIAAgACAAIAAvAC8AIABPAHAAdABpAG8AbgBhAGwAIABwAGEAZABkAGkAbgBnAFwAbgAgACAAIAAgAHAAYQBkAF8AdwBpAHQAaAAsACAAIAAgACAAIAAgACAASQBGACgASQBTAE8ATQBJAFQAVABFAEQAKABwAGEAZABfAHcAaQB0AGgAKQAsACAATgBBACgAKQAsACAAcABhAGQAXwB3AGkAdABoACkALABcAG4AXABuACAAIAAgACAALwAvACAAVABvAHQAYQBsACAAbwB1AHQAcAB1AHQAIABoAGUAaQBnAGgAdABcAG4AIAAgACAAIAByACwAIAAgACAAIAAgACAAIAAgACAAIAAgACAAIAAgAGIAbABvAGMAawBzACAAKgAgAGgALABcAG4AXABuACAAIAAgACAALwAvACAAUwBjAGUAbgBhAHIAaQBvAHMAXABuACAAIAAgACAASQBzADEARAA/ACwAIAAgACAAIAAgACAAIAAgACAAIABPAFIAKABoACAAPQAgADEALAAgAHcAIAA9ACAAMQApACwAXABuACAAIAAgACAASQBzAFMAYwBhAGwAYQByAD8ALAAgACAAIAAgACAAIABBAE4ARAAoAGgAIAA9ACAAMQAsACAAdwAgAD0AIAAxACkALABcAG4AIAAgACAAIABJAG4AdgBhAGwAaQBkAEQAaQBtAD8ALAAgACAAIAAgAG4AZQB3AF8AdwBpAGQAdABoACAAPgA9ACAAdwAsAFwAbgAgACAAIAAgAFMAcABpAGwAbABSAGkAcwBrAD8ALAAgACAAIAAgACAAcgAgAD4AIAAxADAANAA4ADUANwA2ACwAXABuAFwAbgAgACAAIAAgAC8ALwAgAEwAbwBnAGkAYwAgAGcAYQB0AGUAXABuACAAIAAgACAASQBGACgASQBzAFMAYwBhAGwAYQByAD8ALAAgAFwAIgAjAFYAQQBMAFUARQAhAFwAIgAsAFwAbgBcAG4AIAAgACAAIAAgACAAIAAgAEkARgAoAEkAcwAxAEQAPwAsACAAXAAiACMAVgBBAEwAVQBFACEAXAAiACwAXABuAFwAbgAgACAAIAAgACAAIAAgACAAIAAgACAAIABJAEYAKABJAG4AdgBhAGwAaQBkAEQAaQBtAD8ALAAgAFwAIgAjAFcASQBEAFQASAAhAFwAIgAsAFwAbgBcAG4AIAAgACAAIAAgACAAIAAgACAAIAAgACAAIAAgACAAIABJAEYAKABTAHAAaQBsAGwAUgBpAHMAawA/ACwAIABcACIAIwBOAFUATQAhAFwAIgAsAFwAbgBcAG4ATABFAFQAKABcAG4AIAAgACAAIAAvAC8AIABJAG4AZABpAGMAZQBzACAAKABkAGUAZgBlAHIAcgBlAGQAKQBcAG4AIAAgACAAIABtAG8AZAB1AGwAbwAsACAAIAAgACAAIAAgACAAIAAgAEwAQQBNAEIARABBACgATQBPAEQAKABTAEUAUQBVAEUATgBDAEUAKAByACkALAAgAGgAKQApACwAXABuAFwAbgAgACAAIAAgAGkALAAgACAAIAAgACAAIAAgACAAIAAgACAAIAAgACAATABBAE0AQgBEAEEAKABJAEYAKABtAG8AZAB1AGwAbwAoACkAIAA9ACAAMAAsACAAaAAsACAAbQBvAGQAdQBsAG8AKAApACkAIAAqACAAUwBFAFEAVQBFAE4AQwBFACgALAAgAG4AZQB3AF8AdwBpAGQAdABoACwAIAAxACwAIAAwACkAKQAsAFwAbgBcAG4AIAAgACAAIABqACwAIAAgACAAIAAgACAAIAAgACAAIAAgACAAIAAgAEwAQQBNAEIARABBACgARQBjAGgAbwC7AygAUwBFAFEAVQBFAE4AQwBFACgAcgAgAC8AIABoACwALAAgADEALAAgAG4AZQB3AF8AdwBpAGQAdABoACkALAAgAGgAKQBcAG4AIAAgACAAIAAgACAAIAAgACAAIAAgACAAIAAgACAAIAAgACAAIAAgACAAIAAgACAAIAAgACAAKwAgAFMARQBRAFUARQBOAEMARQAoACwAIABuAGUAdwBfAHcAaQBkAHQAaAAsACAAMAAsACAAMQApACkALABcAG4AXABuACAAIAAgACAALwAvACAAVwByAGEAcABwAGUAZAAgAGEAcgByAGEAeQBcAG4AIAAgACAAIAByAGUAcwB1AGwAdAAsACAAIAAgACAAIAAgACAAIAAgAEkARgBFAFIAUgBPAFIAKABJAE4ARABFAFgAKABhAHIAcgBhAHkALAAgAGkAKAApACwAIABqACgAKQApACwAIABwAGEAZABfAHcAaQB0AGgAKQAsAFwAbgBcAG4AIAAgACAAIAByAGUAcwB1AGwAdABcAG4AKQApACkAKQApACkAKQA7AFwAbgBcAG4AXABuAFwAbgAvACoAIABbAFMAQQAwADkAXQAgAC0ALQAtAC0ALQAtAC0ALQAtAC0ALQAtAC0ALQAtAC0ALQAtAC0ALQAtAC0ALQAtAC0ALQAtAC0ALQAtAC0ALQAtAC0ALQAtAC0ALQAtAC0ALQAtAC0ALQAtAC0ALQAtAC0ALQAtAC0ALQAtAC0ALQAtAC0ALQAtAC0ALQAtAC0ALQAtAC0ALQAtAC0ALQAtAC0AXABuAEYAdQBuAGMAdABpAG8AbgA6ACAAIAAgACAAIABTAHQAYQBpAHIAYwBhAHMAZQC7A1wAbgBDAGEAdABlAGcAbwByAHkAOgAgACAAIAAgACAAMgBEACAAQQByAHIAYQB5ACAAUwBoAGEAcABpAG4AZwBcAG4AQQB1AHQAaABvAHIAOgAgACAAIAAgACAAIAAgAFAAYQB0AHIAaQBjAGsAIABIAC4AXABuAFYAZQByAHMAaQBvAG4AOgAgACAAIAAgACAAIAAxAC4AMQBcAG4ARABlAHAAZQBuAGQAZQBuAGMAaQBlAHMAOgAgAFYAYQBsAGkAZABhAHQAZQBTAHQAYQBpAHIAYwBhAHMAZQC7A1wAbgBcAG4ARABlAHMAYwByAGkAcAB0AGkAbwBuADoAXABuACAAIAAgACAAQwBvAG4AcwB0AHIAdQBjAHQAcwAgAGQAaQBhAGcAbwBuAGEAbAAgAHMAdABhAGkAcgBjAGEAcwBlACAAcABhAHQAdABlAHIAbgBzACAAZgByAG8AbQAgAGEAIAB2AGUAYwB0AG8AcgAgAG8AcgAgADIARAAgAGEAcgByAGEAeQAuACAAVABoAGUAIABpAG4AcAB1AHQAXABuACAAIAAgACAAYQByAHIAYQB5ACAAaQBzACAAZgBsAGEAdAB0AGUAbgBlAGQAIAByAG8AdwARIHcAaQBzAGUALAAgAHAAYQByAHQAaQB0AGkAbwBuAGUAZAAgAGkAbgB0AG8AIABiAGwAbwBjAGsAcwAgAG8AZgAgAHMAaQB6AGUAIABiAGwAbwBjAGsAXwBzAGkAegBlACwAIABhAG4AZABcAG4AIAAgACAAIABhAHIAcgBhAG4AZwBlAGQAIABpAG4AdABvACAAZABpAGEAZwBvAG4AYQBsACAAXAAiAHMAdABlAHAAcwBcACIALgAgAE8AcAB0AGkAbwBuAGEAbAAgAHAAYQByAGEAbQBlAHQAZQByAHMAIABjAG8AbgB0AHIAbwBsACAAYgBsAG8AYwBrACAAcwBwAGEAYwBpAG4AZwAsAFwAbgAgACAAIAAgAGgAbwByAGkAegBvAG4AdABhAGwALwB2AGUAcgB0AGkAYwBhAGwAIABvAHIAaQBlAG4AdABhAHQAaQBvAG4ALAAgAGEAbgBkACAAYQBuAHQAaQARIGQAaQBhAGcAbwBuAGEAbAAgAGwAYQB5AG8AdQB0AC4AXABuAFwAbgBQAGEAcgBhAG0AZQB0AGUAcgBzADoAXABuACAAIAAgACAAYQByAHIAYQB5ACAAIAAgACAAIAAgACAAIAAgACAAIAAtACAASQBuAHAAdQB0ACAAYQByAHIAYQB5ACAAKABmAGwAYQB0AHQAZQBuAGUAZAAgAHIAbwB3ABEgdwBpAHMAZQApAC4AXABuACAAIAAgACAAYgBsAG8AYwBrAF8AcwBpAHoAZQAgACAAIAAgACAAIAAtACAAUgBvAHcAcwAvAGMAbwBsAHUAbQBuAHMAIABpAG4AIABlAGEAYwBoACAAcwB0AGEAaQByAGMAYQBzAGUAIABiAGwAbwBjAGsALgBcAG4AIAAgACAAIABbAGIAbABvAGMAawBfAG8AZgBmAHMAZQB0AF0AIAAgAC0AIABPAHAAdABpAG8AbgBhAGwAIABzAHAAYQBjAGkAbgBnACAAYgBlAHQAdwBlAGUAbgAgAHMAdABhAGkAcgBjAGEAcwBlACAAYgBsAG8AYwBrAHMALgBcAG4AIAAgACAAIABbAEkAcwBIAG8AcgBpAHoAbwBuAHQAYQBsAD8AXQAgAC0AIABPAHAAdABpAG8AbgBhAGwAIAB0AG8AZwBnAGwAZQAgAGYAbwByACAAYwBvAGwAdQBtAG4AESB3AGkAcwBlACAAbwByAGkAZQBuAHQAYQB0AGkAbwBuAC4AXABuACAAIAAgACAAWwBJAHMAQQBuAHQAaQBEAGkAYQBnAD8AXQAgACAAIAAtACAATwBwAHQAaQBvAG4AYQBsACAAdABvAGcAZwBsAGUAIABmAG8AcgAgAGEAbgB0AGkAESBkAGkAYQBnAG8AbgBhAGwAIABsAGEAeQBvAHUAdAAuAFwAbgBcAG4ATgBvAHQAZQBzADoAXABuACAAIAAgACAAIiAgAEkAbgBwAHUAdAAgAGkAcwAgAGYAbABhAHQAdABlAG4AZQBkACAAdQBzAGkAbgBnACAAVABPAEMATwBMAC4AXABuACAAIAAgACAAIiAgAGIAbABvAGMAawBfAG8AZgBmAHMAZQB0ACAAZABlAGYAYQB1AGwAdABzACAAdABvACAAMAAuAFwAbgAgACAAIAAgACIgIABPAHIAaQBlAG4AdABhAHQAaQBvAG4AIABkAGUAZgBhAHUAbAB0AHMAIAB0AG8AIAB2AGUAcgB0AGkAYwBhAGwAIAB1AG4AbABlAHMAcwAgAEkAcwBIAG8AcgBpAHoAbwBuAHQAYQBsAD8AIABpAHMAIABwAHIAbwB2AGkAZABlAGQALgBcAG4ALQAtAC0ALQAtAC0ALQAtAC0ALQAtAC0ALQAtAC0ALQAtAC0ALQAtAC0ALQAtAC0ALQAtAC0ALQAtAC0ALQAtAC0ALQAtAC0ALQAtAC0ALQAtAC0ALQAtAC0ALQAtAC0ALQAtAC0ALQAtAC0ALQAtAC0ALQAtAC0ALQAtAC0ALQAtAC0ALQAtAC0ALQAtAC0ALQAtAC0ALQAtAC0AKgAvAFwAbgBcAG4AUwB0AGEAaQByAGMAYQBzAGUAuwMgAD0AXABuAEwAQQBNAEIARABBACgAXABuACAAIAAgACAAYQByAHIAYQB5ACwAXABuACAAIAAgACAAYgBsAG8AYwBrAF8AcwBpAHoAZQAsAFwAbgAgACAAIAAgAFsAYgBsAG8AYwBrAF8AbwBmAGYAcwBlAHQAXQAsAFwAbgAgACAAIAAgAFsASQBzAEgAbwByAGkAegBvAG4AdABhAGwAPwBdACwAXABuACAAIAAgACAAWwBJAHMAQQBuAHQAaQBEAGkAYQBnAD8AXQAsAFwAbgBcAG4AVgBhAGwAaQBkAGEAdABlAFMAdABhAGkAcgBjAGEAcwBlALsDKABhAHIAcgBhAHkALAAgAGIAbABvAGMAawBfAHMAaQB6AGUALAAgAGIAbABvAGMAawBfAG8AZgBmAHMAZQB0ACwAXABuAFwAbgBMAEUAVAAoAFwAbgAgACAAIAAgAC8ALwAgAE8AcAB0AGkAbwBuAGEAbAAgAHAAYQByAGEAbQBlAHQAZQByAHMAXABuACAAIAAgACAATgBvAE8AZgBmAHMAZQB0AD8ALAAgACAAIAAgACAAIAAgACAAIAAgAEkAUwBPAE0ASQBUAFQARQBEACgAYgBsAG8AYwBrAF8AbwBmAGYAcwBlAHQAKQAsAFwAbgAgACAAIAAgAFoAZQByAG8ATwBmAGYAcwBlAHQAPwAsACAAIAAgACAAIAAgACAAIABiAGwAbwBjAGsAXwBvAGYAZgBzAGUAdAAgAD0AIAAwACwAXABuACAAIAAgACAAYwBvAGwAXwBvAGYAZgBzAGUAdAAsACAAIAAgACAAIAAgACAAIAAgAEkARgAoAE4AbwBPAGYAZgBzAGUAdAA/ACwAIAAwACwAIABiAGwAbwBjAGsAXwBvAGYAZgBzAGUAdAApACwAXABuAFwAbgAgACAAIAAgAEkAcwBWAGUAcgB0AGkAYwBhAGwAPwAsACAAIAAgACAAIAAgACAAIABJAFMATwBNAEkAVABUAEUARAAoAEkAcwBIAG8AcgBpAHoAbwBuAHQAYQBsAD8AKQAsAFwAbgAgACAAIAAgAE4AbwBBAG4AdABpAEQAaQBhAGcAPwAsACAAIAAgACAAIAAgACAAIABJAFMATwBNAEkAVABUAEUARAAoAEkAcwBBAG4AdABpAEQAaQBhAGcAPwApACwAXABuAFwAbgAgACAAIAAgAC8ALwAgAEYAbABhAHQAdABlAG4AIABpAG4AcAB1AHQAXABuACAAIAAgACAAZgBsAGEAdAAsACAAIAAgACAAIAAgACAAIAAgACAAIAAgACAAIAAgAFQATwBDAE8ATAAoAGEAcgByAGEAeQApACwAXABuACAAIAAgACAAawAsACAAIAAgACAAIAAgACAAIAAgACAAIAAgACAAIAAgACAAIAAgAEMATwBVAE4AVABBACgAZgBsAGEAdAApACwAXABuACAAIAAgACAAcwBlAHEALAAgACAAIAAgACAAIAAgACAAIAAgACAAIAAgACAAIAAgAEwAQQBNAEIARABBACgAUwBFAFEAVQBFAE4AQwBFACgAawApACkALABcAG4AXABuACAAIAAgACAALwAvACAAUABhAHIAdABpAHQAaQBvAG4AIABpAG4AdABvACAAYgBsAG8AYwBrAHMAXABuACAAIAAgACAAVgAsACAAIAAgACAAIAAgACAAIAAgACAAIAAgACAAIAAgACAAIAAgAFQATwBSAE8AVwAoAEUAWABQAEEATgBEACgAVwBSAEEAUABSAE8AVwBTACgAcwBlAHEAKAApACwAIABiAGwAbwBjAGsAXwBzAGkAegBlACkALAAsAGIAbABvAGMAawBfAHMAaQB6AGUAIAArACAAYgBsAG8AYwBrAF8AbwBmAGYAcwBlAHQALAAwACkAKQAsAFwAbgBcAG4AIAAgACAAIAB3AGkAZAB0AGgALAAgACAAIAAgACAAIAAgACAAIAAgACAAIAAgACAAQwBPAEwAVQBNAE4AUwAoAFYAKQAsAFwAbgBcAG4AIAAgACAAIAAvAC8AIABBAG4AYwBoAG8AcgBzACAAYQBuAGQAIABpAG4AZABpAGMAZQBzAFwAbgAgACAAIAAgAGkALAAgACAAIAAgACAAIAAgACAAIAAgACAAIAAgACAAIAAgACAAIABMAEEATQBCAEQAQQAoAFMARQBRAFUARQBOAEMARQAoAGIAbABvAGMAawBfAHMAaQB6AGUAKQAgACoAIABTAEUAUQBVAEUATgBDAEUAKAAsACAAdwBpAGQAdABoACwAIAAxACwAIAAwACkAKQAsAFwAbgBcAG4AIAAgACAAIABjAG8AbABfAGEAcgByACwAIAAgACAAIAAgACAAIAAgACAAIAAgACAATABBAE0AQgBEAEEAKABcAG4AIAAgACAAIAAgACAAIAAgACAAIAAgACAAIAAgACAAIAAgACAAIAAgACAAIAAgACAAIAAgACAAIABJAEYAKABOAG8AQQBuAHQAaQBEAGkAYQBnAD8ALABcAG4AIAAgACAAIAAgACAAIAAgACAAIAAgACAAIAAgACAAIAAgACAAIAAgACAAIAAgACAAIAAgACAAIAAgACAAIABTAEUAUQBVAEUATgBDAEUAKAAsACAAdwBpAGQAdABoACkALABcAG4AIAAgACAAIAAgACAAIAAgACAAIAAgACAAIAAgACAAIAAgACAAIAAgACAAIAAgACAAIAAgACAAIAAgACAAIABTAEUAUQBVAEUATgBDAEUAKAAsACAAdwBpAGQAdABoACwAIAB3AGkAZAB0AGgALAAgAC0AMQApACkAKQAsAFwAbgBcAG4AIAAgACAAIABqACwAIAAgACAAIAAgACAAIAAgACAAIAAgACAAIAAgACAAIAAgACAATABBAE0AQgBEAEEAKABNAE8ARAAoAGMAbwBsAF8AYQByAHIAKAApACwAIABiAGwAbwBjAGsAXwBzAGkAegBlACAAKwAgAGIAbABvAGMAawBfAG8AZgBmAHMAZQB0ACkAKQAsAFwAbgBcAG4AIAAgACAAIABqAF8ALAAgACAAIAAgACAAIAAgACAAIAAgACAAIAAgACAAIAAgACAATABBAE0AQgBEAEEAKABJAEYAKABPAFIAKABOAG8ATwBmAGYAcwBlAHQAPwAsACAAWgBlAHIAbwBPAGYAZgBzAGUAdAA/ACkALABcAG4AIAAgACAAIAAgACAAIAAgACAAIAAgACAAIAAgACAAIAAgACAAIAAgACAAIAAgACAAIAAgACAAIAAgACAAIAAgAEkARgAoAGoAKAApACAAPQAgADAALAAgAGIAbABvAGMAawBfAHMAaQB6AGUALAAgAGoAKAApACkALABcAG4AIAAgACAAIAAgACAAIAAgACAAIAAgACAAIAAgACAAIAAgACAAIAAgACAAIAAgACAAIAAgACAAIAAgACAAIAAgAGoAKAApACkAKQAsAFwAbgBcAG4AIAAgACAAIABpAGQAeAAsACAAIAAgACAAIAAgACAAIAAgACAAIAAgACAAIAAgACAATABBAE0AQgBEAEEAKABJAEYAKABpACgAKQAgAD0AIABqAF8AKAApACwAIABWACwAIABOAEEAKAApACkAKQAsAFwAbgBcAG4AIAAgACAAIAAvAC8AIABFAHgAdAByAGEAYwB0ACAAcwB0AGEAaQByAGMAYQBzAGUAXABuACAAIAAgACAAcgBlAHMAdQBsAHQALAAgACAAIAAgACAAIAAgACAAIAAgACAAIAAgAEQAUgBPAFAAKABJAEYATgBBACgASQBOAEQARQBYACgAZgBsAGEAdAAsACAAaQBkAHgAKAApACkALAAgAFwAIgBcACIAKQAsACwAIAAtAGMAbwBsAF8AbwBmAGYAcwBlAHQAKQAsAFwAbgBcAG4AIAAgACAAIABmAGkAbgBhAGwALAAgACAAIAAgACAAIAAgACAAIAAgACAAIAAgACAASQBGACgASQBzAFYAZQByAHQAaQBjAGEAbAA/ACwAIABUAFIAQQBOAFMAUABPAFMARQAoAHIAZQBzAHUAbAB0ACkALAAgAHIAZQBzAHUAbAB0ACkALABcAG4AXABuACAAIAAgACAAZgBpAG4AYQBsAFwAbgApACkAKQA7AFwAbgBcAG4AXABuAFwAbgAvACoAIABbAFMAQQAtAEMATwBSAEUAXQAgAC0ALQAtAC0ALQAtAC0ALQAtAC0ALQAtAC0ALQAtAC0ALQAtAC0ALQAtAC0ALQAtAC0ALQAtAC0ALQAtAC0ALQAtAC0ALQAtAC0ALQAtAC0ALQAtAC0ALQAtAC0ALQAtAC0ALQAtAC0ALQAtAC0ALQAtAC0ALQAtAC0ALQAtAC0ALQAtAC0ALQAtAC0ALQBcAG4ARgB1AG4AYwB0AGkAbwBuADoAIAAgACAAIAAgAFYAYQBsAGkAZABhAHQAZQBTAHQAYQBpAHIAYwBhAHMAZQC7A1wAbgBDAGEAdABlAGcAbwByAHkAOgAgACAAIAAgACAAMgBEACAAQQByAHIAYQB5ACAAUwBoAGEAcABpAG4AZwAgACgAVgBhAGwAaQBkAGEAdABpAG8AbgApAFwAbgBBAHUAdABoAG8AcgA6ACAAIAAgACAAIAAgACAAUABhAHQAcgBpAGMAawAgAEgALgBcAG4AVgBlAHIAcwBpAG8AbgA6ACAAIAAgACAAIAAgADEALgAxAFwAbgBcAG4ARABlAHMAYwByAGkAcAB0AGkAbwBuADoAXABuACAAIAAgACAAVgBhAGwAaQBkAGEAdABpAG8AbgAgAGgAZQBsAHAAZQByACAAZgBvAHIAIABTAHQAYQBpAHIAYwBhAHMAZQC7Ay4AIABFAG4AcwB1AHIAZQBzACAAYQByAHIAYQB5ACAAaQBzACAAdgBhAGwAaQBkACwAIABiAGwAbwBjAGsAXwBzAGkAegBlACAAaQBzAFwAbgAgACAAIAAgAHAAbwBzAGkAdABpAHYAZQAgAGEAbgBkACAAZABvAGUAcwAgAG4AbwB0ACAAZQB4AGMAZQBlAGQAIABhAHIAcgBhAHkAIABsAGUAbgBnAHQAaAAsACAAYQBuAGQAIABiAGwAbwBjAGsAXwBvAGYAZgBzAGUAdAAgAGkAcwAgAG4AbwBuABEgbgBlAGcAYQB0AGkAdgBlAC4AXABuAFwAbgBQAGEAcgBhAG0AZQB0AGUAcgBzADoAXABuACAAIAAgACAAYQByAHIAYQB5ACAAIAAgACAAIAAgACAAIAAgACAAIAAtACAASQBuAHAAdQB0ACAAYQByAHIAYQB5AC4AXABuACAAIAAgACAAYgBsAG8AYwBrAF8AcwBpAHoAZQAgACAAIAAgACAAIAAtACAAUgBlAHEAdQBpAHIAZQBkACAAYgBsAG8AYwBrACAAcwBpAHoAZQAuAFwAbgAgACAAIAAgAFsAYgBsAG8AYwBrAF8AbwBmAGYAcwBlAHQAXQAgACAALQAgAE8AcAB0AGkAbwBuAGEAbAAgAHMAcABhAGMAaQBuAGcAIABiAGUAdAB3AGUAZQBuACAAYgBsAG8AYwBrAHMALgBcAG4AIAAgACAAIABbAG8AbgBfAHYAYQBsAGkAZABdACAAIAAgACAAIAAgAC0AIABFAHgAcAByAGUAcwBzAGkAbwBuACAAdABvACAAZQB2AGEAbAB1AGEAdABlACAAdwBoAGUAbgAgAHYAYQBsAGkAZABhAHQAaQBvAG4AIABwAGEAcwBzAGUAcwAuAFwAbgAtAC0ALQAtAC0ALQAtAC0ALQAtAC0ALQAtAC0ALQAtAC0ALQAtAC0ALQAtAC0ALQAtAC0ALQAtAC0ALQAtAC0ALQAtAC0ALQAtAC0ALQAtAC0ALQAtAC0ALQAtAC0ALQAtAC0ALQAtAC0ALQAtAC0ALQAtAC0ALQAtAC0ALQAtAC0ALQAtAC0ALQAtAC0ALQAtAC0ALQAtAC0ALQAqAC8AXABuAFwAbgBWAGEAbABpAGQAYQB0AGUAUwB0AGEAaQByAGMAYQBzAGUAuwMgAD0AXABuAEwAQQBNAEIARABBACgAXABuACAAIAAgACAAYQByAHIAYQB5ACwAXABuACAAIAAgACAAYgBsAG8AYwBrAF8AcwBpAHoAZQAsAFwAbgAgACAAIAAgAFsAYgBsAG8AYwBrAF8AbwBmAGYAcwBlAHQAXQAsAFwAbgAgACAAIAAgAFsAbwBuAF8AdgBhAGwAaQBkAF0ALABcAG4ATABFAFQAKABcAG4AIAAgACAAIAAvAC8AIABDAGgAZQBjAGsAcwBcAG4AIAAgACAAIABOAG8AdABBAHIAcgBhAHkAPwAsACAAIAAgACAAIAAgACAAIAAgACAAIAAgACAAIABUAFkAUABFACgAYQByAHIAYQB5ACkAIAA8AD4AIAA2ADQALABcAG4AXABuACAAIAAgACAASQBuAHYAYQBsAGkAZABCAGwAbwBjAGsAUwBpAHoAZQA/ACwAIAAgACAAIAAgACAATwBSACgASQBTAFQARQBYAFQAKABiAGwAbwBjAGsAXwBzAGkAegBlACkALABcAG4AIAAgACAAIAAgACAAIAAgACAAIAAgACAAIAAgACAAIAAgACAAIAAgACAAIAAgACAAIAAgACAAIAAgACAAIABiAGwAbwBjAGsAXwBzAGkAegBlACAAPAA9ACAAMAAsAFwAbgAgACAAIAAgACAAIAAgACAAIAAgACAAIAAgACAAIAAgACAAIAAgACAAIAAgACAAIAAgACAAIAAgACAAIAAgAGIAbABvAGMAawBfAHMAaQB6AGUAIAA+ACAAQwBPAFUATgBUAEEAKABhAHIAcgBhAHkAKQApACwAXABuAFwAbgAgACAAIAAgAEkAbgB2AGEAbABpAGQAQgBsAG8AYwBrAE8AZgBmAHMAZQB0AD8ALAAgACAAIAAgAE8AUgAoAEkAUwBUAEUAWABUACgAYgBsAG8AYwBrAF8AbwBmAGYAcwBlAHQAKQAsAGIAbABvAGMAawBfAG8AZgBmAHMAZQB0ACAAPAAgADAAKQAsAFwAbgBcAG4AIAAgACAAIAAvAC8AIABMAG8AZwBpAGMAIABnAGEAdABlAFwAbgAgACAAIAAgAEkARgAoAE4AbwB0AEEAcgByAGEAeQA/ACwAIAAgACAAIAAgACAAIAAgACAAIAAgACAAIABcACIAIwBOAE8AVAAtAEEAUgBSAEEAWQAhAFwAIgAsAFwAbgBcAG4AIAAgACAAIAAgACAAIAAgAEkARgAoAEkAbgB2AGEAbABpAGQAQgBsAG8AYwBrAFMAaQB6AGUAPwAsACAAIABcACIAIwBCAEwATwBDAEsALQBTAEkAWgBFACEAXAAiACwAXABuAFwAbgAgACAAIAAgACAAIAAgACAAIAAgACAAIABJAEYAKABJAG4AdgBhAGwAaQBkAEIAbABvAGMAawBPAGYAZgBzAGUAdAA/ACwAIABcACIAIwBCAEwATwBDAEsALQBPAEYARgBTAEUAVAAhAFwAIgAsAFwAbgBcAG4AIAAgACAAIAAgACAAIAAgACAAIAAgACAAIAAgACAAIABvAG4AXwB2AGEAbABpAGQAXABuACAAIAAgACAAIAAgACAAIAAgACAAIAAgACkAKQApACkAKQA7AFwAbgBcAG4AXABuAFwAbgAvACoAIABbAFMAQQAxADAAXQAgAC0ALQAtAC0ALQAtAC0ALQAtAC0ALQAtAC0ALQAtAC0ALQAtAC0ALQAtAC0ALQAtAC0ALQAtAC0ALQAtAC0ALQAtAC0ALQAtAC0ALQAtAC0ALQAtAC0ALQAtAC0ALQAtAC0ALQAtAC0ALQAtAC0ALQAtAC0ALQAtAC0ALQAtAC0ALQAtAC0ALQAtAC0ALQAtAC0AXABuAEYAdQBuAGMAdABpAG8AbgA6ACAAIAAgACAAIABVAG4AUABpAHYAbwB0ALsDXABuAEMAYQB0AGUAZwBvAHIAeQA6ACAAIAAgACAAIAAyAEQAIABBAHIAcgBhAHkAIABTAGgAYQBwAGkAbgBnAFwAbgBBAHUAdABoAG8AcgA6ACAAIAAgACAAIAAgACAAUABhAHQAcgBpAGMAawAgAEgALgBcAG4AVgBlAHIAcwBpAG8AbgA6ACAAIAAgACAAIAAgADEALgAxAFwAbgBEAGUAcABlAG4AZABlAG4AYwBpAGUAcwA6ACAAUgBlAHAAZQBhAHQAUgBvAHcAcwC7AywAIABSAGUAcwBpAHoAZQC7AywAIABJAG4AcwB1AGwAYQB0AGUAUgBvAHcAcwC7A1wAbgBcAG4ARABlAHMAYwByAGkAcAB0AGkAbwBuADoAXABuACAAIAAgACAAQwBvAG4AdgBlAHIAdABzACAAYQAgAGEAcgByAGEAeQBfADIARAAgAGkAbgB0AG8AIABhACAAZgBsAGEAdAB0AGUAbgBlAGQAIAByAG8AdwARIHcAaQBzAGUAIAB0AGEAYgBsAGUAIABiAHkAIABwAHIAbwB2AGkAZABpAG4AZwAgAHIAbwB3ACAAbABhAGIAZQBsAHMALABcAG4AIAAgACAAIABjAG8AbAB1AG0AbgAgAGwAYQBiAGUAbABzACwAIABhAG4AZAAgAGEAIAB2AGEAbAB1AGUAIABhAHIAcgBhAHkAXwAyAEQALgAgAE8AcAB0AGkAbwBuAGEAbAAgAGYAaQBsAHQAZQByAGkAbgBnACAAcgBlAG0AbwB2AGUAcwAgAGIAbABhAG4AawBzACwAXABuACAAIAAgACAAZQByAHIAbwByAHMALAAgAGEAbgBkACAAegBlAHIAbwBzAC4AXABuAFwAbgBQAGEAcgBhAG0AZQB0AGUAcgBzADoAXABuACAAIAAgACAAcgBvAHcAcwAgACAAIAAgACAAIAAgACAALQAgAFYAZQByAHQAaQBjAGEAbAAgAGEAcgByAGEAeQAgAG8AZgAgAHIAbwB3ACAAbABhAGIAZQBsAHMALgBcAG4AIAAgACAAIABjAG8AbAB1AG0AbgBzACAAIAAgACAAIAAtACAASABvAHIAaQB6AG8AbgB0AGEAbAAgAGEAcgByAGEAeQAgAG8AZgAgAGMAbwBsAHUAbQBuACAAbABhAGIAZQBsAHMALgBcAG4AIAAgACAAIAB2AGEAbAB1AGUAcwAgACAAIAAgACAAIAAtACAAYQByAHIAYQB5AF8AMgBEACAAbwBmACAAdgBhAGwAdQBlAHMAIAB0AG8AIAB1AG4AcABpAHYAbwB0AC4AXABuACAAIAAgACAAWwBpAGcAbgBvAHIAZQBdACAAIAAgACAALQAgAE8AcAB0AGkAbwBuAGEAbAA6ACAAaQBmACAAVABSAFUARQAsACAAcgBlAG0AbwB2AGUAIABiAGwAYQBuAGsAcwAsACAAZQByAHIAbwByAHMALAAgAGEAbgBkACAAegBlAHIAbwBzAC4AXABuAFwAbgBOAG8AdABlAHMAOgBcAG4AIAAgACAAIAAiICAAcgBvAHcAcwAgAG0AdQBzAHQAIABtAGEAdABjAGgAIAB0AGgAZQAgAGgAZQBpAGcAaAB0ACAAbwBmACAAdgBhAGwAdQBlAHMALgBcAG4AIAAgACAAIAAiICAAYwBvAGwAdQBtAG4AcwAgAG0AdQBzAHQAIABtAGEAdABjAGgAIAB0AGgAZQAgAHcAaQBkAHQAaAAgAG8AZgAgAHYAYQBsAHUAZQBzAC4AXABuACAAIAAgACAAIiAgAE8AdQB0AHAAdQB0ACAAaQBzACAAYQAgADMAESBjAG8AbAB1AG0AbgAgAHQAYQBiAGwAZQA6ACAAewByAG8AdwBfAGwAYQBiAGUAbAAsACAAYwBvAGwAdQBtAG4AXwBsAGEAYgBlAGwALAAgAHYAYQBsAHUAZQB9AC4AXABuAC0ALQAtAC0ALQAtAC0ALQAtAC0ALQAtAC0ALQAtAC0ALQAtAC0ALQAtAC0ALQAtAC0ALQAtAC0ALQAtAC0ALQAtAC0ALQAtAC0ALQAtAC0ALQAtAC0ALQAtAC0ALQAtAC0ALQAtAC0ALQAtAC0ALQAtAC0ALQAtAC0ALQAtAC0ALQAtAC0ALQAtAC0ALQAtAC0ALQAtAC0ALQAtACoALwBcAG4AXABuAFUAbgBQAGkAdgBvAHQAuwMgAD0AXABuAEwAQQBNAEIARABBACgAXABuACAAIAAgACAAcgBvAHcAcwAsAFwAbgAgACAAIAAgAGMAbwBsAHUAbQBuAHMALABcAG4AIAAgACAAIAB2AGEAbAB1AGUAcwAsAFwAbgAgACAAIAAgAFsAaQBnAG4AbwByAGUAXQAsAFwAbgBMAEUAVAAoAFwAbgAgACAAIAAgAC8ALwAgAEQAaQBtAGUAbgBzAGkAbwBuAHMAXABuACAAIAAgACAAaAAsACAAIAAgACAAIAAgACAAIAAgACAAIAAgACAAIABSAE8AVwBTACgAcgBvAHcAcwApACwAXABuACAAIAAgACAAdwAsACAAIAAgACAAIAAgACAAIAAgACAAIAAgACAAIABDAE8ATABVAE0ATgBTACgAYwBvAGwAdQBtAG4AcwApACwAXABuAFwAbgAgACAAIAAgAGgAXwB2ACwAIAAgACAAIAAgACAAIAAgACAAIAAgACAAUgBPAFcAUwAoAHYAYQBsAHUAZQBzACkALABcAG4AIAAgACAAIAB3AF8AdgAsACAAIAAgACAAIAAgACAAIAAgACAAIAAgAEMATwBMAFUATQBOAFMAKAB2AGEAbAB1AGUAcwApACwAXABuAFwAbgAgACAAIAAgAC8ALwAgAFMAYwBlAG4AYQByAGkAbwBzAFwAbgAgACAAIAAgAEkAcwBTAGMAYQBsAGEAcgA/ACwAIAAgACAAIAAgACAAQQBOAEQAKABoACAAPQAgADEALAAgAHcAIAA9ACAAMQAsACAAaABfAHYAIAA9ACAAMQAsACAAdwBfAHYAIAA9ACAAMQApACwAXABuACAAIAAgACAATgBvAFAAaQB2AG8AdAA/ACwAIAAgACAAIAAgACAAIAB3AF8AdgAgAD0AIAAxACwAXABuAFwAbgAgACAAIAAgAFIAbwB3AE0AaQBzAG0AYQB0AGMAaAA/ACwAIAAgACAAaAAgADwAPgAgAGgAXwB2ACwAXABuACAAIAAgACAAQwBvAGwATQBpAHMAbQBhAHQAYwBoAD8ALAAgACAAIAB3ACAAPAA+ACAAdwBfAHYALABcAG4AXABuACAAIAAgACAAUwBwAGkAbABsAFIAaQBzAGsAPwAsACAAIAAgACAAIABoAF8AdgAgACoAIAB3AF8AdgAgAD4AIAAxADAANAA4ADUANwA2ACwAXABuAFwAbgAgACAAIAAgAC8ALwAgAFMAYwBhAGwAYQByACAAcABhAHMAcwB0AGgAcgBvAHUAZwBoAFwAbgAgACAAIAAgAE8AcgBpAGcARABhAHQAYQAsACAAIAAgACAAIAAgACAASABTAFQAQQBDAEsAKAByAG8AdwBzACwAIABjAG8AbAB1AG0AbgBzACwAIAB2AGEAbAB1AGUAcwApACwAXABuAFwAbgAgACAAIAAgAC8ALwAgADEAESBjAG8AbAB1AG0AbgAgAHAAYQBzAHMAdABoAHIAbwB1AGcAaABcAG4AIAAgACAAIABPAHIAaQBnAEQAYQB0AGEAUABhAGQALAAgACAAIAAgAEgAUwBUAEEAQwBLACgASQBuAHMAdQBsAGEAdABlAFIAbwB3AHMAuwMoAHIAbwB3AHMALAAgADEALAAgADAAKQAsAFYAUwBUAEEAQwBLACgAYwBvAGwAdQBtAG4AcwAsACAAdgBhAGwAdQBlAHMAKQApACwAXABuAFwAbgAgACAAIAAgAC8ALwAgAEwAbwBnAGkAYwAgAGcAYQB0AGUAXABuACAAIAAgACAASQBGACgASQBzAFMAYwBhAGwAYQByAD8ALAAgAE8AcgBpAGcARABhAHQAYQAsAFwAbgBcAG4AIAAgACAAIAAgACAAIAAgAEkARgAoAE4AbwBQAGkAdgBvAHQAPwAsACAATwByAGkAZwBEAGEAdABhAFAAYQBkACwAXABuAFwAbgAgACAAIAAgACAAIAAgACAAIAAgACAAIABJAEYAKABSAG8AdwBNAGkAcwBtAGEAdABjAGgAPwAsACAAXAAiACMARABJAE0ALQBSAE8AVwBTAC8AVgBBAEwAVQBFAFMAIQBcACIALABcAG4AXABuACAAIAAgACAAIAAgACAAIAAgACAAIAAgACAAIAAgACAASQBGACgAQwBvAGwATQBpAHMAbQBhAHQAYwBoAD8ALAAgAFwAIgAjAEQASQBNAC0AQwBPAEwALwBWAEEATABVAEUAUwAhAFwAIgAsAFwAbgBcAG4AIAAgACAAIAAgACAAIAAgACAAIAAgACAAIAAgACAAIAAgACAAIAAgAEkARgAoAFMAcABpAGwAbABSAGkAcwBrAD8ALAAgAFwAIgAjAFIATwBXAC0ATABJAE0ASQBUACEAXAAiACwAXABuAFwAbgBMAEUAVAAoAFwAbgAgACAAIAAgAC8ALwAgAEIAcgBvAGEAZABjAGEAcwB0ACAAcgBvAHcAIABsAGEAYgBlAGwAcwAgACgAcgBlAHAAZQBhAHQAIABlAGEAYwBoACAAcgBvAHcAIABsAGEAYgBlAGwAIABhAGMAcgBvAHMAcwAgAGEAbABsACAAYwBvAGwAdQBtAG4AcwApAFwAbgAgACAAIAAgAHIAbwB3AF8AbABhAGIAZQBsAHMALAAgACAAIAAgACAAUgBlAHAAZQBhAHQAUgBvAHcAcwC7AygAcgBvAHcAcwAsACAAdwApACwAXABuAFwAbgAgACAAIAAgAC8ALwAgAEIAcgBvAGEAZABjAGEAcwB0ACAAYwBvAGwAdQBtAG4AIABsAGEAYgBlAGwAcwAgACgAcgBlAHAAZQBhAHQAIABlAGEAYwBoACAAYwBvAGwAdQBtAG4AIABsAGEAYgBlAGwAIABkAG8AdwBuACAAYQBsAGwAIAByAG8AdwBzACkAXABuACAAIAAgACAAYQB0AHQAcgBpAGIAdQB0AGUALAAgACAAIAAgACAAIABSAGUAcwBpAHoAZQC7AygAVABSAEEATgBTAFAATwBTAEUAKABjAG8AbAB1AG0AbgBzACkALABoACkALABcAG4AXABuACAAIAAgACAALwAvACAARgBsAGEAdAB0AGUAbgAgAHYAYQBsAHUAZQBzAFwAbgAgACAAIAAgAGYAbABhAHQAXwB2AGEAbAB1AGUAcwAsACAAIAAgACAAVABPAEMATwBMACgAdgBhAGwAdQBlAHMAKQAsAFwAbgBcAG4AIAAgACAAIAAvAC8AIABTAHQAYQBjAGsAIABpAG4AdABvACAAMwARIGMAbwBsAHUAbQBuACAAdABhAGIAbABlAFwAbgAgACAAIAAgAHMAdABhAGMAawAsACAAIAAgACAAIAAgACAAIAAgACAASABTAFQAQQBDAEsAKAByAG8AdwBfAGwAYQBiAGUAbABzACwAIABhAHQAdAByAGkAYgB1AHQAZQAsACAAZgBsAGEAdABfAHYAYQBsAHUAZQBzACkALABcAG4AXABuACAAIAAgACAALwAvACAARgBpAGwAdABlAHIAaQBuAGcAXABuACAAIAAgACAAawBlAGUAcABfAG0AYQBzAGsALAAgACAAIAAgACAAIABOAE8AVAAoAEkAUwBCAEwAQQBOAEsAKABmAGwAYQB0AF8AdgBhAGwAdQBlAHMAKQAgACsAIAAoAEkARgBFAFIAUgBPAFIAKABmAGwAYQB0AF8AdgBhAGwAdQBlAHMALAAgADAAKQAgAD0AIAAwACkAKQAsAFwAbgBcAG4AIAAgACAAIABmAGkAbAB0AGUAcgBlAGQALAAgACAAIAAgACAAIAAgAEYASQBMAFQARQBSACgAcwB0AGEAYwBrACwAIABrAGUAZQBwAF8AbQBhAHMAawApACwAXABuAFwAbgAgACAAIAAgAHIAZQBzAHUAbAB0ACwAIAAgACAAIAAgACAAIAAgACAASQBGACgASQBTAE8ATQBJAFQAVABFAEQAKABpAGcAbgBvAHIAZQApACwAIABzAHQAYQBjAGsALAAgAGYAaQBsAHQAZQByAGUAZAApACwAXABuAFwAbgAgACAAIAAgAHIAZQBzAHUAbAB0AFwAbgApACkAKQApACkAKQApACkAOwBcAG4AXABuAFwAbgBcAG4ALwAqACAAWwBTAEEAMQAxAF0AIAAtAC0ALQAtAC0ALQAtAC0ALQAtAC0ALQAtAC0ALQAtAC0ALQAtAC0ALQAtAC0ALQAtAC0ALQAtAC0ALQAtAC0ALQAtAC0ALQAtAC0ALQAtAC0ALQAtAC0ALQAtAC0ALQAtAC0ALQAtAC0ALQAtAC0ALQAtAC0ALQAtAC0ALQAtAC0ALQAtAC0ALQAtAC0ALQAtAFwAbgBGAHUAbgBjAHQAaQBvAG4AOgAgACAAIAAgACAAWgBpAHAAuwNcAG4AQwBhAHQAZQBnAG8AcgB5ADoAIAAgACAAIAAgADIARAAgAEEAcgByAGEAeQAgAFMAaABhAHAAaQBuAGcAXABuAEEAdQB0AGgAbwByADoAIAAgACAAIAAgACAAIABQAGEAdAByAGkAYwBrACAASAAuAFwAbgBWAGUAcgBzAGkAbwBuADoAIAAgACAAIAAgACAAMQAuADEAXABuAFwAbgBEAGUAcwBjAHIAaQBwAHQAaQBvAG4AOgBcAG4AIAAgACAAIABaAGkAcABzACAAdABvAGcAZQB0AGgAZQByACAAMQATIDQAIABhAHIAcgBhAHkAcwAgAGIAeQAgAGYAbABhAHQAdABlAG4AaQBuAGcAIABlAGEAYwBoACAAaQBuAHAAdQB0ACAAdwBpAHQAaAAgAFQATwBDAE8ATAAgAGEAbgBkACAAYQBsAGkAZwBuAGkAbgBnAFwAbgAgACAAIAAgAHQAaABlAG0AIABiAHkAIABsAGUAbgBnAHQAaAAuACAAQgB5ACAAZABlAGYAYQB1AGwAdAAsACAAWgBpAHAAuwMgAHAAZQByAGYAbwByAG0AcwAgAGEAIABzAHQAcgBpAGMAdAAgAHoAaQBwACwAIABwAGEAaQByAGkAbgBnACAAZQBsAGUAbQBlAG4AdABzAFwAbgAgACAAIAAgAG8AbgBsAHkAIAB1AHAAIAB0AG8AIAB0AGgAZQAgAGwAZQBuAGcAdABoACAAbwBmACAAdABoAGUAIABzAGgAbwByAHQAZQBzAHQAIABhAHIAcgBhAHkALgAgAEkAZgAgAHoAaQBwAF8AbABvAG4AZwBlAHMAdAAgAD0AIABUAFIAVQBFACwAIABaAGkAcAC7A1wAbgAgACAAIAAgAGMAbwBuAHQAaQBuAHUAZQBzACAAdQBuAHQAaQBsACAAdABoAGUAIABsAG8AbgBnAGUAcwB0ACAAYQByAHIAYQB5ACAAaQBzACAAYwBvAG4AcwB1AG0AZQBkACwAIABwAGEAZABkAGkAbgBnACAAcwBoAG8AcgB0AGUAcgAgAGEAcgByAGEAeQBzACAAdwBpAHQAaABcAG4AIAAgACAAIABmAGkAbABsAF8AdgBhAGwAdQBlACAAKABkAGUAZgBhAHUAbAB0ADoAIAAjAE4ALwBBACkALgBcAG4AXABuACAAIAAgACAAVABoAGUAIAByAGUAcwB1AGwAdAAgAGkAcwAgAGEAIABoAG8AcgBpAHoAbwBuAHQAYQBsAGwAeQAgAHMAdABhAGMAawBlAGQAIAB0AGEAYgBsAGUAIAB3AGgAZQByAGUAIABlAGEAYwBoACAAYwBvAGwAdQBtAG4AIAByAGUAcAByAGUAcwBlAG4AdABzACAAbwBuAGUAXABuACAAIAAgACAAegBpAHAAcABlAGQAIABpAG4AcAB1AHQAIABhAHIAcgBhAHkALAAgAG4AbwByAG0AYQBsAGkAegBlAGQAIAB0AG8AIABhACAAYwBvAG0AbQBvAG4AIABsAGUAbgBnAHQAaAAuAFwAbgBcAG4AUABhAHIAYQBtAGUAdABlAHIAcwA6AFwAbgAgACAAIAAgAGEAcgByAGEAeQBfADEAIAAgACAAIAAgACAAIAAtACAARgBpAHIAcwB0ACAAaQBuAHAAdQB0ACAAYQByAHIAYQB5ACAAKABzAGMAYQBsAGEAcgAsACAAMQBEACwAIABvAHIAIAAyAEQAKQAuAFwAbgAgACAAIAAgAFsAYQByAHIAYQB5AF8AMgBdACAAIAAgACAAIAAtACAATwBwAHQAaQBvAG4AYQBsACAAcwBlAGMAbwBuAGQAIABhAHIAcgBhAHkALgBcAG4AIAAgACAAIABbAGEAcgByAGEAeQBfADMAXQAgACAAIAAgACAALQAgAE8AcAB0AGkAbwBuAGEAbAAgAHQAaABpAHIAZAAgAGEAcgByAGEAeQAuAFwAbgAgACAAIAAgAFsAYQByAHIAYQB5AF8ANABdACAAIAAgACAAIAAtACAATwBwAHQAaQBvAG4AYQBsACAAZgBvAHUAcgB0AGgAIABhAHIAcgBhAHkALgBcAG4AIAAgACAAIABbAHoAaQBwAF8AbABvAG4AZwBlAHMAdABdACAALQAgAFQAUgBVAEUAIAB0AG8AIAB6AGkAcAAgAHUAbgB0AGkAbAAgAHQAaABlACAAbABvAG4AZwBlAHMAdAAgAGEAcgByAGEAeQAgAGkAcwAgAGMAbwBuAHMAdQBtAGUAZAAuAFwAbgAgACAAIAAgACAAIAAgACAAIAAgACAAIAAgACAAIAAgACAAIAAgACAASQBmACAAbwBtAGkAdAB0AGUAZAAsACAAWgBpAHAAuwMgAHUAcwBlAHMAIABzAHQAcgBpAGMAdAAgAG0AbwBkAGUAIAAoAHMAaABvAHIAdABlAHMAdAAgAGEAcgByAGEAeQApAC4AXABuACAAIAAgACAAWwBmAGkAbABsAF8AdgBhAGwAdQBlAF0AIAAgAC0AIABWAGEAbAB1AGUAIAB1AHMAZQBkACAAdABvACAAcABhAGQAIABzAGgAbwByAHQAZQByACAAYQByAHIAYQB5AHMAIAB3AGgAZQBuACAAegBpAHAAXwBsAG8AbgBnAGUAcwB0ACAAPQAgAFQAUgBVAEUALgBcAG4ALQAtAC0ALQAtAC0ALQAtAC0ALQAtAC0ALQAtAC0ALQAtAC0ALQAtAC0ALQAtAC0ALQAtAC0ALQAtAC0ALQAtAC0ALQAtAC0ALQAtAC0ALQAtAC0ALQAtAC0ALQAtAC0ALQAtAC0ALQAtAC0ALQAtAC0ALQAtAC0ALQAtAC0ALQAtAC0ALQAtAC0ALQAtAC0ALQAtAC0ALQAtAC0AKgAvAFwAbgBcAG4AWgBpAHAAuwM9AFwAbgBMAEEATQBCAEQAQQAoAFwAbgAgACAAIAAgAGEAcgByAGEAeQBfADEALABcAG4AIAAgACAAIABbAGEAcgByAGEAeQBfADIAXQAsAFwAbgAgACAAIAAgAFsAYQByAHIAYQB5AF8AMwBdACwAXABuACAAIAAgACAAWwBhAHIAcgBhAHkAXwA0AF0ALABcAG4AIAAgACAAIABbAHoAaQBwAF8AbABvAG4AZwBlAHMAdABdACwAXABuACAAIAAgACAAWwBmAGkAbABsAF8AdgBhAGwAdQBlAF0ALABcAG4AXABuAEwARQBUACgAXABuACAAIAAgACAALwAvACAAUwBlAHQAIAB6AGkAcAAgAG0AbwBkAGUAXABuACAAIAAgACAAWgBpAHAATABvAG4AZwA/ACwAIAAgACAAIABJAEYAKABJAFMATwBNAEkAVABUAEUARAAoAHoAaQBwAF8AbABvAG4AZwBlAHMAdAApACwAIABGAEEATABTAEUALAAgAHoAaQBwAF8AbABvAG4AZwBlAHMAdAApACwAXABuAFwAbgAgACAAIAAgAC8ALwAgAFMAZQB0ACAAZgB1AG4AYwB0AGkAbwBuACAAZgBvAHIAIABkAGUAdABlAHIAbQBpAG4AaQBuAGcAIABsAGUAbgBnAHQAaAAgAG8AZgAgAHoAaQBwAFwAbgAgACAAIAAgAGYAbgC7AywAIAAgACAAIAAgACAAIAAgACAASQBGACgAWgBpAHAATABvAG4AZwA/ACwATQBBAFgALABNAEkATgApACwAXABuAFwAbgAgACAAIAAgAC8ALwAgAFMAZQB0ACAAZgBpAGwAbABfAHYAYQBsAHUAZQBcAG4AIAAgACAAIABmAGkAbABsAF8AdgBhAGwAdQBlACwAIAAgAEkARgAoAFoAaQBwAEwAbwBuAGcAPwAsACAASQBGACgASQBTAE8ATQBJAFQAVABFAEQAKABmAGkAbABsAF8AdgBhAGwAdQBlACkALAAgAE4AQQAoACkALAAgAGYAaQBsAGwAXwB2AGEAbAB1AGUAKQAsACAATgBBACgAKQApACwAXABuAFwAbgAgACAAIAAgAC8ALwAgAEEAcgByAGEAeQBzACAAcwB1AHAAcABsAGkAZQBkAFwAbgAgACAAIAAgAFQAdwBvACwAIAAgACAAIAAgACAAIAAgACAATgBPAFQAKABJAFMATwBNAEkAVABUAEUARAAoAGEAcgByAGEAeQBfADIAKQApACwAXABuACAAIAAgACAAVABoAHIAZQBlACwAIAAgACAAIAAgACAAIABOAE8AVAAoAEkAUwBPAE0ASQBUAFQARQBEACgAYQByAHIAYQB5AF8AMwApACkALABcAG4AIAAgACAAIABGAG8AdQByACwAIAAgACAAIAAgACAAIAAgAE4ATwBUACgASQBTAE8ATQBJAFQAVABFAEQAKABhAHIAcgBhAHkAXwA0ACkAKQAsAFwAbgBcAG4AIAAgACAAIAAvAC8AIABUAG8AdABhAGwAIABhAHIAcgBhAHkAcwAgAHMAdQBwAHAAbABpAGUAZABcAG4AIAAgACAAIABtACwAIAAgACAAIAAgACAAIAAgACAAIAAgAEkARgAoAEYAbwB1AHIALAAgADQALAAgAFwAbgAgACAAIAAgACAAIAAgACAAIAAgACAAIAAgACAAIAAgACAAIAAgACAASQBGACgAVABoAHIAZQBlACwAIAAzACwAIABcAG4AIAAgACAAIAAgACAAIAAgACAAIAAgACAAIAAgACAAIAAgACAAIAAgACAAIAAgACAASQBGACgAVAB3AG8ALAAgADIALAAxACkAKQApACwAXABuAFwAbgAgACAAIAAgAC8ALwAgAEYAbABhAHQAdABlAG4AIABpAG4AcAB1AHQAcwBcAG4AIAAgACAAIABhAHIAcgBhAHkAXwAxACwAIAAgACAAIAAgAFQATwBDAE8ATAAoAGEAcgByAGEAeQBfADEAKQAsAFwAbgAgACAAIAAgAGEAcgByAGEAeQBfADIALAAgACAAIAAgACAASQBGACgAbQAgAD4APQAgADIALABUAE8AQwBPAEwAKABhAHIAcgBhAHkAXwAyACkALABGAEEATABTAEUAKQAsAFwAbgAgACAAIAAgAGEAcgByAGEAeQBfADMALAAgACAAIAAgACAASQBGACgAbQAgAD4APQAgADMALABUAE8AQwBPAEwAKABhAHIAcgBhAHkAXwAzACkALABGAEEATABTAEUAKQAsAFwAbgAgACAAIAAgAGEAcgByAGEAeQBfADQALAAgACAAIAAgACAASQBGACgAbQAgAD0AIAAgADQALABUAE8AQwBPAEwAKABhAHIAcgBhAHkAXwA0ACkALABGAEEATABTAEUAKQAsAFwAbgBcAG4AIAAgACAAIAAvAC8AIABMAGUAbgBnAHQAaAAgAG8AZgAgAGkAbgBwAHUAdABzAFwAbgAgACAAIAAgAGsAgSAsACAAIAAgACAAIAAgACAAIAAgACAAUgBPAFcAUwAoAGEAcgByAGEAeQBfADEAKQAsACAAIAAgAGsAgiAsACAAIAAgAFIATwBXAFMAKABhAHIAcgBhAHkAXwAyACkALABcAG4AIAAgACAAIABrAIMgLAAgACAAIAAgACAAIAAgACAAIAAgAFIATwBXAFMAKABhAHIAcgBhAHkAXwAzACkALAAgACAAIABrAIQgLAAgACAAIABSAE8AVwBTACgAYQByAHIAYQB5AF8ANAApACwAXABuAFwAbgAgACAAIAAgAC8ALwAgAEwAZQBuAGcAdABoACAAbwBmACAAegBpAHAAXABuACAAIAAgACAATABaACwAIAAgACAAIAAgACAAIAAgACAAIABDAEgATwBPAFMARQAoAG0ALABrAIEgLABcAG4AIAAgACAAIAAgACAAIAAgACAAIAAgACAAIAAgACAAIAAgACAAIAAgACAAIAAgACAAIAAgAGYAbgC7AygAawCBICwAawCCICkALABcAG4AIAAgACAAIAAgACAAIAAgACAAIAAgACAAIAAgACAAIAAgACAAIAAgACAAIAAgACAAIAAgAGYAbgC7AygAawCBICwAawCCICwAawCDICkALABcAG4AIAAgACAAIAAgACAAIAAgACAAIAAgACAAIAAgACAAIAAgACAAIAAgACAAIAAgACAAIAAgAGYAbgC7AygAawCBICwAawCCICwAawCDICwAawCEICkAKQAsAFwAbgBcAG4AIAAgACAAIAAvAC8AIABBAHIAcgBhAHkAcwAgAC0AIABuAG8AcgBtAGEAbABpAHoAZQBkACAAZgBvAHIAIAB6AGkAcAAgAG0AbwBkAGUAXABuACAAIAAgACAATgBvAHIAbQBhAGwAaQB6AGUAuwMsACAAIABMAEEATQBCAEQAQQAoAGEAcgByAGEAeQAsAFwAbgAgACAAIAAgACAAIAAgACAAIAAgACAAIAAgACAAIAAgACAAIAAgACAAIAAgACAAIABJAEYAKABaAGkAcABMAG8AbgBnAD8ALABFAFgAUABBAE4ARAAoAGEAcgByAGEAeQAsAEwAWgAsACwAZgBpAGwAbABfAHYAYQBsAHUAZQApACwAXABuACAAIAAgACAAIAAgACAAIAAgACAAIAAgACAAIAAgACAAIAAgACAAIAAgACAAIAAgACAAIAAgACAAIAAgACAAIAAgACAAIABUAEEASwBFACgAYQByAHIAYQB5ACwATABaACkAKQApACwAXABuAFwAbgAgACAAIAAgAGEALAAgACAAIAAgACAAIAAgACAAIAAgACAATgBvAHIAbQBhAGwAaQB6AGUAuwMoAGEAcgByAGEAeQBfADEAKQAsAFwAbgAgACAAIAAgAGIALAAgACAAIAAgACAAIAAgACAAIAAgACAATgBvAHIAbQBhAGwAaQB6AGUAuwMoAGEAcgByAGEAeQBfADIAKQAsAFwAbgAgACAAIAAgAGMALAAgACAAIAAgACAAIAAgACAAIAAgACAATgBvAHIAbQBhAGwAaQB6AGUAuwMoAGEAcgByAGEAeQBfADMAKQAsAFwAbgAgACAAIAAgAGQALAAgACAAIAAgACAAIAAgACAAIAAgACAATgBvAHIAbQBhAGwAaQB6AGUAuwMoAGEAcgByAGEAeQBfADQAKQAsAFwAbgAgACAAIAAgAFwAbgAgACAAIAAgAC8ALwAgAEEAcgByAGEAbgBnAGUAbQBlAG4AdABcAG4AIAAgACAAIAB6AGkAcABwAGUAZAAsACAAIAAgACAAIAAgAEMASABPAE8AUwBFACgAbQAsAGEALABcAG4AIAAgACAAIAAgACAAIAAgACAAIAAgACAAIAAgACAAIAAgACAAIAAgACAAIAAgACAAIAAgACAASABTAFQAQQBDAEsAKABhACwAYgApACwAXABuACAAIAAgACAAIAAgACAAIAAgACAAIAAgACAAIAAgACAAIAAgACAAIAAgACAAIAAgACAAIAAgAEgAUwBUAEEAQwBLACgAYQAsAGIALABjACkALABcAG4AIAAgACAAIAAgACAAIAAgACAAIAAgACAAIAAgACAAIAAgACAAIAAgACAAIAAgACAAIAAgACAASABTAFQAQQBDAEsAKABhACwAYgAsAGMALABkACkAKQAsAFwAbgAgACAAIAAgAHoAaQBwAHAAZQBkAFwAbgApACkAOwBcAG4AXABuAFwAbgBcAG4ALwAqACAAWwBTAEEAMQAzAF0AIAAtAC0ALQAtAC0ALQAtAC0ALQAtAC0ALQAtAC0ALQAtAC0ALQAtAC0ALQAtAC0ALQAtAC0ALQAtAC0ALQAtAC0ALQAtAC0ALQAtAC0ALQAtAC0ALQAtAC0ALQAtAC0ALQAtAC0ALQAtAC0ALQAtAC0ALQAtAC0ALQAtAC0ALQAtAC0ALQAtAC0ALQAtAC0ALQAtAFwAbgBGAHUAbgBjAHQAaQBvAG4AOgAgACAAIAAgACAAUwBsAGkAYwBlAEIAeQBEAGUAZwC7A1wAbgBDAGEAdABlAGcAbwByAHkAOgAgACAAIAAgACAAMgBEACAAQQByAHIAYQB5ACAAUwBoAGEAcABpAG4AZwBcAG4AQQB1AHQAaABvAHIAOgAgACAAIAAgACAAIAAgAFAAYQB0AHIAaQBjAGsAIABIAC4AXABuAFYAZQByAHMAaQBvAG4AOgAgACAAIAAgACAAIAAxAC4AMQBcAG4ARABlAHAAZQBuAGQAZQBuAGMAaQBlAHMAOgAgAEQARwByAGkAZAC7AywAIABEAGUAbABlAHQAZQBXAGgAZQByAGUAuwNcAG4AXABuAEQAZQBzAGMAcgBpAHAAdABpAG8AbgA6AFwAbgAgACAAIAAgAEUAeAB0AHIAYQBjAHQAcwAgAGEAbgAgAGEAbgBnAHUAbABhAHIAIABzAGwAaQBjAGUAIABmAHIAbwBtACAAYQAgADIARAAgAGEAcgByAGEAeQAgAHUAcwBpAG4AZwAgAGQAZQBnAHIAZQBlACAAYgBvAHUAbgBkAHMAIABpAG4AIABhACAAMACwACAALQAgADMANgAwALAAXABuACAAIAAgACAAYwBpAHIAYwB1AGwAYQByACAAcwB5AHMAdABlAG0ALgAgAFQAaABlACAAcwBsAGkAYwBlACAAcAByAGUAcwBlAHIAdgBlAHMAIAB0AGgAZQAgAG8AcgBpAGcAaQBuAGEAbAAgAGcAZQBvAG0AZQB0AHIAeQAuACAASQBmACAAbQBhAHgAXwBkAGUAZwByAGUAZQAgAGkAcwBcAG4AIAAgACAAIABvAG0AaQB0AHQAZQBkACwAIABpAHQAIABkAGUAZgBhAHUAbAB0AHMAIAB0AG8AIAAzADYAMACwAC4AXABuAFwAbgAgACAAIAAgAFcAcgBhAHAAESBhAHIAbwB1AG4AZAAgAGkAcwAgAHMAdQBwAHAAbwByAHQAZQBkADoAXABuACAAIAAgACAAIAAgACAAIAAiICAASQBmACAAbQBpAG4AXwBkAGUAZwByAGUAZQAgADwAPQAgAG0AYQB4AF8AZABlAGcAcgBlAGUAOgBcAG4AIAAgACAAIAAgACAAIAAgACAAIAAgACAAIAAgAHMAbABpAGMAZQAgAD0AIABbAG0AaQBuAF8AZABlAGcAcgBlAGUALAAgAG0AYQB4AF8AZABlAGcAcgBlAGUAXQBcAG4AIAAgACAAIAAgACAAIAAgACIgIABJAGYAIABtAGkAbgBfAGQAZQBnAHIAZQBlACAAPgAgAG0AYQB4AF8AZABlAGcAcgBlAGUAOgBcAG4AIAAgACAAIAAgACAAIAAgACAAIAAgACAAIAAgAHMAbABpAGMAZQAgAGMAcgBvAHMAcwBlAHMAIAAzADYAMACwACAAkiEgADAAsAAgAGEAbgBkACAAaQBuAGMAbAB1AGQAZQBzADoAXABuACAAIAAgACAAIAAgACAAIAAgACAAIAAgACAAIAAgACAAIAAgAGEAbgBnAGwAZQBzACAAPgA9ACAAbQBpAG4AXwBkAGUAZwByAGUAZQAgACAATwBSACAAIABhAG4AZwBsAGUAcwAgADwAPQAgAG0AYQB4AF8AZABlAGcAcgBlAGUAXABuAFwAbgAgACAAIAAgAFYAYQBsAHUAZQBzACAAbwB1AHQAcwBpAGQAZQAgAHQAaABlACAAcwBsAGkAYwBlACAAYQByAGUAIAByAGUAcABsAGEAYwBlAGQAIAB3AGkAdABoACAAZgBpAGwAbABfAHYAYQBsAHUAZQAgACgAZABlAGYAYQB1AGwAdAAgAD0AIABcACIAXAAiACkALgBcAG4AXABuAFAAYQByAGEAbQBlAHQAZQByAHMAOgBcAG4AIAAgACAAIABnAHIAaQBkACAAIAAgACAAIAAgACAAIAAgACAALQAgADIARAAgAGEAcgByAGEAeQAgAHQAbwAgAHMAbABpAGMAZQAuAFwAbgAgACAAIAAgAG0AaQBuAF8AZABlAGcAcgBlAGUAIAAgACAAIAAtACAAUwB0AGEAcgB0AGkAbgBnACAAZABlAGcAcgBlAGUAIAAoADAALQAzADYAMAApAC4AXABuAFwAbgBPAHAAdABpAG8AbgBhAGwAOgBcAG4AIAAgACAAIABbAG0AYQB4AF8AZABlAGcAcgBlAGUAXQAgACAALQAgAEUAbgBkAGkAbgBnACAAZABlAGcAcgBlAGUAIAAoAGQAZQBmAGEAdQBsAHQAIAA9ACAAMwA2ADAAKQAuAFwAbgAgACAAIAAgAFsAZgBpAGwAbABfAHYAYQBsAHUAZQBdACAAIAAtACAARgBpAGwAbAAgAHYAYQBsAHUAZQAgAGYAbwByACAAbwB1AHQAESBvAGYAESBzAGwAaQBjAGUAIABjAGUAbABsAHMAIAAoAGQAZQBmAGEAdQBsAHQAIAA9ACAAXAAiAFwAIgApAC4AXABuAFwAbgBOAG8AdABlAHMAOgBcAG4AIAAgACAAIAAiICAAVQBzAGUAcwAgAEQARwByAGkAZAC7AyAAdABvACAAYwBvAG0AcAB1AHQAZQAgAHAAZQByABEgYwBlAGwAbAAgAGEAbgBnAGwAZQBzAC4AXABuACAAIAAgACAAIiAgAEQAZQBsAGUAdABlAFcAaABlAHIAZQC7AyAAcgBlAG0AbwB2AGUAcwAgAE4AQQAoACkAIAB3AGgAaQBsAGUAIABwAHIAZQBzAGUAcgB2AGkAbgBnACAAcwBoAGEAcABlAC4AXABuAC0ALQAtAC0ALQAtAC0ALQAtAC0ALQAtAC0ALQAtAC0ALQAtAC0ALQAtAC0ALQAtAC0ALQAtAC0ALQAtAC0ALQAtAC0ALQAtAC0ALQAtAC0ALQAtAC0ALQAtAC0ALQAtAC0ALQAtAC0ALQAtAC0ALQAtAC0ALQAtAC0ALQAtAC0ALQAtAC0ALQAtAC0ALQAtAC0ALQAtAC0ALQAtACoALwBcAG4AXABuAFMAbABpAGMAZQBCAHkARABlAGcAuwMgAD0AXABuAEwAQQBNAEIARABBACgAXABuACAAIAAgACAAZwByAGkAZAAsAFwAbgAgACAAIAAgAG0AaQBuAF8AZABlAGcAcgBlAGUALABcAG4AIAAgACAAIABbAG0AYQB4AF8AZABlAGcAcgBlAGUAXQAsAFwAbgAgACAAIAAgAFsAZgBpAGwAbABfAHYAYQBsAHUAZQBdACwAXABuAEwARQBUACgAXABuACAAIAAgACAALwAvACAATwBwAHQAaQBvAG4AYQBsACAAcABhAHIAYQBtAGUAdABlAHIAcwBcAG4AIAAgACAAIABtAGEAeABfAGQAZQBnAHIAZQBlACwAIAAgACAAIAAgAEkARgAoAEkAUwBPAE0ASQBUAFQARQBEACgAbQBhAHgAXwBkAGUAZwByAGUAZQApACwAIAAzADYAMAAsACAAbQBhAHgAXwBkAGUAZwByAGUAZQApACwAXABuACAAIAAgACAAZgBpAGwAbABfAHYAYQBsAHUAZQAsACAAIAAgACAAIABJAEYAKABJAFMATwBNAEkAVABUAEUARAAoAGYAaQBsAGwAXwB2AGEAbAB1AGUAKQAsACAAXAAiAFwAIgAsACAAZgBpAGwAbABfAHYAYQBsAHUAZQApACwAXABuAFwAbgAgACAAIAAgAC8ALwAgAFYAYQBsAGkAZABhAHQAaQBvAG4AXABuACAAIAAgACAASQBuAHYAYQBsAGkAZABEAGUAZwA/ACwAIAAgACAAIABPAFIAKABJAFMAVABFAFgAVAAoAG0AaQBuAF8AZABlAGcAcgBlAGUAKQAsAFwAbgAgACAAIAAgACAAIAAgACAAIAAgACAAIAAgACAAIAAgACAAIAAgACAAIAAgACAASQBTAFQARQBYAFQAKABtAGEAeABfAGQAZQBnAHIAZQBlACkALABcAG4AIAAgACAAIAAgACAAIAAgACAAIAAgACAAIAAgACAAIAAgACAAIAAgACAAIAAgAG0AaQBuAF8AZABlAGcAcgBlAGUAIAA8ACAAMAAsACAAbQBpAG4AXwBkAGUAZwByAGUAZQAgAD4AIAAzADYAMAAsAFwAbgAgACAAIAAgACAAIAAgACAAIAAgACAAIAAgACAAIAAgACAAIAAgACAAIAAgACAAbQBhAHgAXwBkAGUAZwByAGUAZQAgADwAIAAwACwAIABtAGEAeABfAGQAZQBnAHIAZQBlACAAPgAgADMANgAwACkALABcAG4AXABuACAAIAAgACAASQBGACgASQBuAHYAYQBsAGkAZABEAGUAZwA/ACwAIABcACIAIwBEAEUARwBSAEUARQAhAFwAIgAsAFwAbgBcAG4ATABFAFQAKABcAG4AIAAgACAAIAAvAC8AIABBAG4AZwBsAGUAIABmAGkAZQBsAGQAIAAoADAAEyAzADYAMAApAFwAbgAgACAAIAAgAGQALAAgACAAIAAgACAAIAAgACAAIAAgACAAIAAgACAARABHAHIAaQBkALsDKABnAHIAaQBkACkALABcAG4AXABuACAAIAAgACAALwAvACAAVwByAGEAcAARIGEAdwBhAHIAZQAgAG0AYQBzAGsAXABuACAAIAAgACAAbQBhAHMAawAsACAAIAAgACAAIAAgACAAIAAgACAAIABJAEYAKABtAGkAbgBfAGQAZQBnAHIAZQBlACAAPAA9ACAAbQBhAHgAXwBkAGUAZwByAGUAZQAsAFwAbgAgACAAIAAgACAAIAAgACAAIAAgACAAIAAgACAAIAAgACAAIAAgACAAIAAgACAAIAAoAGQAIAA+AD0AIABtAGkAbgBfAGQAZQBnAHIAZQBlACkAIAAqACAAKABkACAAPAA9ACAAbQBhAHgAXwBkAGUAZwByAGUAZQApACwAXABuACAAIAAgACAAIAAgACAAIAAgACAAIAAgACAAIAAgACAAIAAgACAAIAAgACAAIAAgACgAZAAgAD4APQAgAG0AaQBuAF8AZABlAGcAcgBlAGUAKQAgACsAIAAoAGQAIAA8AD0AIABtAGEAeABfAGQAZQBnAHIAZQBlACkAKQAsAFwAbgBcAG4AIAAgACAAIAAvAC8AIABBAHAAcABsAHkAIABtAGEAcwBrAFwAbgAgACAAIAAgAG0AYQBzAGsAZQBkACwAIAAgACAAIAAgACAAIAAgACAASQBGACgAbQBhAHMAawAsACAAZwByAGkAZAAsACAATgBBACgAKQApACwAXABuAFwAbgAgACAAIAAgAC8ALwAgAFIAZQBtAG8AdgBlACAATgBBACAAYgB1AHQAIABwAHIAZQBzAGUAcgB2AGUAIABzAGgAYQBwAGUAXABuACAAIAAgACAAYwBsAGUAYQBuAGUAZAAsACAAIAAgACAAIAAgACAAIABEAGUAbABlAHQAZQBXAGgAZQByAGUAuwMoAG0AYQBzAGsAZQBkACwAIABMAEEATQBCAEQAQQAoAHYALAAgAEEATgBEACgASQBTAE4AQQAoAHYAKQApACkAKQAsAFwAbgBcAG4AIAAgACAAIAAvAC8AIABSAGUAcABsAGEAYwBlACAAcgBlAG0AbwB2AGUAZAAgAHYAYQBsAHUAZQBzACAAdwBpAHQAaAAgAGYAaQBsAGwAXwB2AGEAbAB1AGUAXABuACAAIAAgACAAcgBlAHMAdQBsAHQALAAgACAAIAAgACAAIAAgACAAIABJAEYATgBBACgAYwBsAGUAYQBuAGUAZAAsACAAZgBpAGwAbABfAHYAYQBsAHUAZQApACwAXABuAFwAbgAgACAAIAAgAHIAZQBzAHUAbAB0AFwAbgApACkAKQApADsAXABuAFwAbgBcAG4AXABuAC8AKgAgAFsAUwBBADEANABdACAALQAtAC0ALQAtAC0ALQAtAC0ALQAtAC0ALQAtAC0ALQAtAC0ALQAtAC0ALQAtAC0ALQAtAC0ALQAtAC0ALQAtAC0ALQAtAC0ALQAtAC0ALQAtAC0ALQAtAC0ALQAtAC0ALQAtAC0ALQAtAC0ALQAtAC0ALQAtAC0ALQAtAC0ALQAtAC0ALQAtAC0ALQAtAC0ALQBcAG4ARgB1AG4AYwB0AGkAbwBuADoAIAAgACAAIAAgAFAAYQBkALsDXABuAEMAYQB0AGUAZwBvAHIAeQA6ACAAIAAgACAAIAAyAEQAIABBAHIAcgBhAHkAIABTAGgAYQBwAGkAbgBnAFwAbgBBAHUAdABoAG8AcgA6ACAAIAAgACAAIAAgACAAUABhAHQAcgBpAGMAawAgAEgALgBcAG4AVgBlAHIAcwBpAG8AbgA6ACAAIAAgACAAIAAgADEALgAxAFwAbgBEAGUAcABlAG4AZABlAG4AYwBpAGUAcwA6ACAASQBuAHMAdQBsAGEAdABlAFIAbwB3AHMAuwMsACAASQBuAHMAdQBsAGEAdABlAEMAbwBsAHMAuwNcAG4AXABuAEQAZQBzAGMAcgBpAHAAdABpAG8AbgA6AFwAbgAgACAAIAAgAEEAcABwAGwAaQBlAHMAIAByAG8AdwAgAGEAbgBkAC8AbwByACAAYwBvAGwAdQBtAG4AIABwAGEAZABkAGkAbgBnACAAdABvACAAYQBuAHkAIABhAHIAcgBhAHkALgAgAFAAYQBkALsDIABnAGUAbgBlAHIAYQBsAGkAegBlAHMAIAB0AGgAZQAgAGIAZQBoAGEAdgBpAG8AcgBcAG4AIAAgACAAIABvAGYAIABJAG4AcwB1AGwAYQB0AGUAUgBvAHcAcwC7AyAAYQBuAGQAIABJAG4AcwB1AGwAYQB0AGUAQwBvAGwAcwC7AyAAYgB5ACAAYQBsAGwAbwB3AGkAbgBnACAAYQBsAGwAIABmAG8AdQByACAAcwBpAGQAZQBzACAAbwBmACAAYQBuACAAYQByAHIAYQB5ACAAdABvAFwAbgAgACAAIAAgAGIAZQAgAHAAYQBkAGQAZQBkACAAaQBuACAAYQAgAHMAaQBuAGcAbABlACAAbwBwAGUAcgBhAHQAaQBvAG4ALgAgAFAAYQBkAGQAaQBuAGcAIABjAG8AdQBuAHQAcwAgAG0AYQB5ACAAYgBlACAAcwB1AHAAcABsAGkAZQBkACAAaQBuAGQAZQBwAGUAbgBkAGUAbgB0AGwAeQBcAG4AIAAgACAAIABvAHIAIABvAG0AaQB0AHQAZQBkACAAZgBvAHIAIABjAG8AbgB2AGUAbgBpAGUAbgBjAGUALgBcAG4AXABuAFAAYQByAGEAbQBlAHQAZQByAHMAOgBcAG4AIAAgACAAIABhAHIAcgBhAHkAIAAgACAAIAAgACAAIAAgACAAIAAtACAASQBuAHAAdQB0ACAAYQByAHIAYQB5ACAAKABzAGMAYQBsAGEAcgAsACAAMQBEACwAIABvAHIAIAAyAEQAKQAuAFwAbgAgACAAIAAgAHIAbwB3AHMAXwBiAGUAZgBvAHIAZQAgACAAIAAgAC0AIABSAG8AdwBzACAAdABvACAAcABhAGQAIABhAGIAbwB2AGUAIAB0AGgAZQAgAGEAcgByAGEAeQAuAFwAbgBcAG4ATwBwAHQAaQBvAG4AYQBsADoAXABuACAAIAAgACAAWwByAG8AdwBzAF8AYQBmAHQAZQByAF0AIAAgACAALQAgAFIAbwB3AHMAIAB0AG8AIABwAGEAZAAgAGIAZQBsAG8AdwAgACgAZABlAGYAYQB1AGwAdABzACAAdABvACAAcgBvAHcAcwBfAGIAZQBmAG8AcgBlACkALgBcAG4AIAAgACAAIABbAGMAbwBsAHMAXwBiAGUAZgBvAHIAZQBdACAAIAAtACAAQwBvAGwAdQBtAG4AcwAgAHQAbwAgAHAAYQBkACAAbABlAGYAdAAgACgAZABlAGYAYQB1AGwAdABzACAAdABvACAAcgBvAHcAcwBfAGIAZQBmAG8AcgBlACkALgBcAG4AIAAgACAAIABbAGMAbwBsAHMAXwBhAGYAdABlAHIAXQAgACAAIAAtACAAQwBvAGwAdQBtAG4AcwAgAHQAbwAgAHAAYQBkACAAcgBpAGcAaAB0ACAAKABkAGUAZgBhAHUAbAB0AHMAIAB0AG8AIAByAG8AdwBzAF8AYgBlAGYAbwByAGUAKQAuAFwAbgAgACAAIAAgAFsAcABhAGQAXwB3AGkAdABoAF0AIAAgACAAIAAgAC0AIABTAGMAYQBsAGEAcgAgAHAAYQBkAGQAaQBuAGcAIAB2AGEAbAB1AGUAIAAoAGQAZQBmAGEAdQBsAHQAIAA9ACAAXAAiAFwAIgApAC4AXABuAFwAbgBOAG8AdABlAHMAOgBcAG4AIAAgACAAIAAiICAAQQBuAHkAIABvAG0AaQB0AHQAZQBkACAAcABhAGQAZABpAG4AZwAgAGMAbwB1AG4AdAAgAGQAZQBmAGEAdQBsAHQAcwAgAHQAbwAgAHIAbwB3AHMAXwBiAGUAZgBvAHIAZQBcAG4AIAAgACAAIAAgACAAKABUAGgAaQBzACAAYQBsAGwAbwB3AHMAIABmAG8AcgAgAGUAYQBzAHkAIABwAGEAZABkAGkAbgBnADoAXABuACAAIAAgACAAIAAgACAAIAAgACAAIAAgACAAIAAgACAAIAAgACAAIAAgACAAIAAgACAAIAAgACAAIAAgACAAIAAgACAAIAAgAD0AUABhAGQAuwMoAGEAcgByAGEAeQAsADMAKQBcAG4AIAAgACAAIAAgACAAIAAgACAAIAAgACAAIAAgACAAIAAgACAAIAAgACAAIAAgACAAIAAgACAAIAAgACAAIAAgACAAIAAgACAAYQBkAGQAcwAgAHAAYQBkAGQAaQBuAGcAIABjAG8AdQBuAHQAIABvAGYAIAAzACAAYQBsAGwAIABhAHIAbwB1AG4AZAAgAHQAaABlACAAaQBuAHAAdQB0ACAAYQByAHIAYQB5ACkAXABuACAAIAAgACAAIiAgAE4AZQBnAGEAdABpAHYAZQAgAG8AcgAgAHQAZQB4AHQAIABwAGEAZABkAGkAbgBnACAAYwBvAHUAbgB0AHMAIAByAGUAdAB1AHIAbgAgAFwAIgAjAFQARQBYAFQALQBQAEEARAAhAFwAIgAuAFwAbgAgACAAIAAgACIgIABEAGUAbABlAGcAYQB0AGUAcwAgAHIAbwB3ACAAcABhAGQAZABpAG4AZwAgAHQAbwAgAEkAbgBzAHUAbABhAHQAZQBSAG8AdwBzALsDIABhAG4AZAAgAGMAbwBsAHUAbQBuACAAcABhAGQAZABpAG4AZwAgAHQAbwAgAEkAbgBzAHUAbABhAHQAZQBDAG8AbABzALsDLgBcAG4ALQAtAC0ALQAtAC0ALQAtAC0ALQAtAC0ALQAtAC0ALQAtAC0ALQAtAC0ALQAtAC0ALQAtAC0ALQAtAC0ALQAtAC0ALQAtAC0ALQAtAC0ALQAtAC0ALQAtAC0ALQAtAC0ALQAtAC0ALQAtAC0ALQAtAC0ALQAtAC0ALQAtAC0ALQAtAC0ALQAtAC0ALQAtAC0ALQAtAC0ALQAtAC0AKgAvAFwAbgBcAG4AUABhAGQAuwMgAD0AXABuAEwAQQBNAEIARABBACgAXABuACAAIAAgACAAYQByAHIAYQB5ACwAXABuACAAIAAgACAAcgBvAHcAcwBfAGIAZQBmAG8AcgBlACwAXABuACAAIAAgACAAWwByAG8AdwBzAF8AYQBmAHQAZQByAF0ALABcAG4AIAAgACAAIABbAGMAbwBsAHMAXwBiAGUAZgBvAHIAZQBdACwAXABuACAAIAAgACAAWwBjAG8AbABzAF8AYQBmAHQAZQByAF0ALABcAG4AIAAgACAAIABbAHAAYQBkAF8AdwBpAHQAaABdACwAXABuAEwARQBUACgAXABuACAAIAAgACAALwAvACAAUwBjAGEAbABhAHIAaQB6AGUAIABhAG4AeQAgAGEAcgByAGEAeQAgAGkAbgBwAHUAdABzAFwAbgAgACAAIAAgAEkAuwMsACAAIAAgACAAIAAgACAAIAAgACAAIAAgACAAIAAgACAAIABMAEEATQBCAEQAQQAoAHgALAAgAEkATgBEAEUAWAAoAHgALAAgADEALAAgADEAKQApACwAXABuAFwAbgAgACAAIAAgAC8ALwAgAFIAZQBzAG8AbAB2AGUAIABwAGEAZABkAGkAbgBnACAAYwBvAHUAbgB0AHMAIAAoAG8AbQBpAHQAdABlAGQAIACSISAAcgBvAHcAcwBfAGIAZQBmAG8AcgBlACkAXABuACAAIAAgACAAcgBvAHcAcwBfAGIAZQBmAG8AcgBlACwAIAAgACAAIAAgACAAIAAgAEkAuwMoAHIAbwB3AHMAXwBiAGUAZgBvAHIAZQApACwAXABuACAAIAAgACAAcgBvAHcAcwBfAGEAZgB0AGUAcgAsACAAIAAgACAAIAAgACAAIAAgAEkAuwMoAEkARgAoAEkAUwBPAE0ASQBUAFQARQBEACgAcgBvAHcAcwBfAGEAZgB0AGUAcgApACwAIAByAG8AdwBzAF8AYgBlAGYAbwByAGUALAAgAHIAbwB3AHMAXwBhAGYAdABlAHIAKQApACwAXABuACAAIAAgACAAYwBvAGwAcwBfAGIAZQBmAG8AcgBlACwAIAAgACAAIAAgACAAIAAgAEkAuwMoAEkARgAoAEkAUwBPAE0ASQBUAFQARQBEACgAYwBvAGwAcwBfAGIAZQBmAG8AcgBlACkALAAgAHIAbwB3AHMAXwBiAGUAZgBvAHIAZQAsACAAYwBvAGwAcwBfAGIAZQBmAG8AcgBlACkAKQAsAFwAbgAgACAAIAAgAGMAbwBsAHMAXwBhAGYAdABlAHIALAAgACAAIAAgACAAIAAgACAAIABJALsDKABJAEYAKABJAFMATwBNAEkAVABUAEUARAAoAGMAbwBsAHMAXwBhAGYAdABlAHIAKQAsACAAcgBvAHcAcwBfAGIAZQBmAG8AcgBlACwAIABjAG8AbABzAF8AYQBmAHQAZQByACkAKQAsAFwAbgBcAG4AIAAgACAAIAAvAC8AIABWAGEAbABpAGQAYQB0AGUAIABwAGEAZABkAGkAbgBnACAAYwBvAHUAbgB0AHMAXABuACAAIAAgACAASQBuAHYAYQBsAGkAZABJAG4AcwA/ACwAIAAgACAAIAAgACAAIAAgAE8AUgAoAEkAUwBUAEUAWABUACgAcgBvAHcAcwBfAGIAZQBmAG8AcgBlACkALABcAG4AIAAgACAAIAAgACAAIAAgACAAIAAgACAAIAAgACAAIAAgACAAIAAgACAAIAAgACAAIAAgACAASQBTAFQARQBYAFQAKAByAG8AdwBzAF8AYQBmAHQAZQByACkALABcAG4AIAAgACAAIAAgACAAIAAgACAAIAAgACAAIAAgACAAIAAgACAAIAAgACAAIAAgACAAIAAgACAASQBTAFQARQBYAFQAKABjAG8AbABzAF8AYgBlAGYAbwByAGUAKQAsAFwAbgAgACAAIAAgACAAIAAgACAAIAAgACAAIAAgACAAIAAgACAAIAAgACAAIAAgACAAIAAgACAAIABJAFMAVABFAFgAVAAoAGMAbwBsAHMAXwBhAGYAdABlAHIAKQApACwAXABuAFwAbgAgACAAIAAgAEkARgAoAEkAbgB2AGEAbABpAGQASQBuAHMAPwAsACAAXAAiACMAVABFAFgAVAAtAFAAQQBEACEAXAAiACwAXABuAFwAbgBMAEUAVAAoAFwAbgAgACAAIAAgAC8ALwAgAEEAcABwAGwAeQAgAHIAbwB3ACAAcABhAGQAZABpAG4AZwBcAG4AIAAgACAAIABwAGEAZABkAGUAZABfAHIAbwB3AHMALAAgACAAIAAgACAAIAAgACAASQBuAHMAdQBsAGEAdABlAFIAbwB3AHMAuwMoAGEAcgByAGEAeQAsACAAcgBvAHcAcwBfAGIAZQBmAG8AcgBlACwAIAByAG8AdwBzAF8AYQBmAHQAZQByACwAIABwAGEAZABfAHcAaQB0AGgAKQAsAFwAbgBcAG4AIAAgACAAIAAvAC8AIABBAHAAcABsAHkAIABjAG8AbAB1AG0AbgAgAHAAYQBkAGQAaQBuAGcAXABuACAAIAAgACAAcABhAGQAZABlAGQAXwBhAGwAbAAsACAAIAAgACAAIAAgACAAIAAgAEkAbgBzAHUAbABhAHQAZQBDAG8AbABzALsDKABwAGEAZABkAGUAZABfAHIAbwB3AHMALAAgAGMAbwBsAHMAXwBiAGUAZgBvAHIAZQAsACAAYwBvAGwAcwBfAGEAZgB0AGUAcgAsACAAcABhAGQAXwB3AGkAdABoACkALABcAG4AXABuACAAIAAgACAAcABhAGQAZABlAGQAXwBhAGwAbABcAG4AKQApACkAKQA7AFwAbgBcAG4AXABuAFwAbgAvACoAIABbAFMAQQAxADUAXQAgAC0ALQAtAC0ALQAtAC0ALQAtAC0ALQAtAC0ALQAtAC0ALQAtAC0ALQAtAC0ALQAtAC0ALQAtAC0ALQAtAC0ALQAtAC0ALQAtAC0ALQAtAC0ALQAtAC0ALQAtAC0ALQAtAC0ALQAtAC0ALQAtAC0ALQAtAC0ALQAtAC0ALQAtAC0ALQAtAC0ALQAtAC0ALQBcAG4ARgB1AG4AYwB0AGkAbwBuADoAIAAgACAAIAAgAEkAbgBzAHUAbABhAHQAZQBSAG8AdwBzALsDXABuAEMAYQB0AGUAZwBvAHIAeQA6ACAAIAAgACAAIAAyAEQAIABBAHIAcgBhAHkAIABTAGgAYQBwAGkAbgBnACAAKABQAGEAZABkAGkAbgBnACkAXABuAEEAdQB0AGgAbwByADoAIAAgACAAIAAgACAAIABQAGEAdAByAGkAYwBrACAASAAuAFwAbgBWAGUAcgBzAGkAbwBuADoAIAAgACAAIAAgACAAMQAuADEAXABuAFwAbgBEAGUAcwBjAHIAaQBwAHQAaQBvAG4AOgBcAG4AIAAgACAAIABBAGQAZABzACAAcgBvAHcAcwAgAG8AZgAgAHAAYQBkAGQAaQBuAGcAIABiAGUAZgBvAHIAZQAgAGEAbgBkAC8AbwByACAAYQBmAHQAZQByACAAYQBuACAAaQBuAHAAdQB0ACAAYQByAHIAYQB5AC4AIABJAG4AcwB1AGwAYQB0AGUAUgBvAHcAcwC7A1wAbgAgACAAIAAgAGcAZQBuAGUAcgBhAGwAaQB6AGUAcwAgAEUAWABQAEEATgBEACAAYgB5ACAAcwB1AHAAcABvAHIAdABpAG4AZwAgAHMAeQBtAG0AZQB0AHIAaQBjAGEAbAAgAHAAYQBkAGQAaQBuAGcALAAgAHoAZQByAG8AESBwAGEAZABkAGkAbgBnACAAbwBuACAAZQBpAHQAaABlAHIAXABuACAAIAAgACAAcwBpAGQAZQAsACAAYQBuAGQAIABzAGMAYQBsAGEAcgBpAHoAZQBkACAAcABhAGQAZABpAG4AZwAgAHYAYQBsAHUAZQBzAC4AXABuAFwAbgBQAGEAcgBhAG0AZQB0AGUAcgBzADoAXABuACAAIAAgACAAYQByAHIAYQB5ACAAIAAgACAAIAAgACAAIAAgAC0AIABJAG4AcAB1AHQAIABhAHIAcgBhAHkAIAAoAHMAYwBhAGwAYQByACwAIAAxAEQALAAgAG8AcgAgADIARAApAC4AXABuACAAIAAgACAAcgBvAHcAcwBfAGIAZQBmAG8AcgBlACAAIAAgAC0AIABSAG8AdwBzACAAdABvACAAcABhAGQAIABhAGIAbwB2AGUAIAB0AGgAZQAgAGEAcgByAGEAeQAuAFwAbgBcAG4ATwBwAHQAaQBvAG4AYQBsADoAXABuACAAIAAgACAAWwByAG8AdwBzAF8AYQBmAHQAZQByAF0AIAAgAC0AIABSAG8AdwBzACAAdABvACAAcABhAGQAIABiAGUAbABvAHcAIAAoAGQAZQBmAGEAdQBsAHQAcwAgAHQAbwAgAHIAbwB3AHMAXwBiAGUAZgBvAHIAZQApAC4AXABuACAAIAAgACAAWwBwAGEAZABfAHcAaQB0AGgAXQAgACAAIAAgAC0AIABTAGMAYQBsAGEAcgAgAHAAYQBkAGQAaQBuAGcAIAB2AGEAbAB1AGUAIAAoAGQAZQBmAGEAdQBsAHQAIAA9ACAAXAAiAFwAIgApAC4AXABuAFwAbgBOAG8AdABlAHMAOgBcAG4AIAAgACAAIAAiICAASQBmACAAYgBvAHQAaAAgAHIAbwB3AHMAXwBiAGUAZgBvAHIAZQAgAGEAbgBkACAAcgBvAHcAcwBfAGEAZgB0AGUAcgAgAD0AIAAwACwAIAB0AGgAZQAgAGkAbgBwAHUAdAAgAGEAcgByAGEAeQAgAGkAcwAgAHIAZQB0AHUAcgBuAGUAZAAuAFwAbgAgACAAIAAgACIgIAByAG8AdwBzAF8AYQBmAHQAZQByACAAZABlAGYAYQB1AGwAdABzACAAdABvACAAcgBvAHcAcwBfAGIAZQBmAG8AcgBlACAAdQBuAGwAZQBzAHMAIABlAHgAcABsAGkAYwBpAHQAbAB5ACAAcwBlAHQAIAB0AG8AIAAwAC4AXABuACAAIAAgACAAIiAgAHAAYQBkAF8AdwBpAHQAaAAgAGkAcwAgAHMAYwBhAGwAYQByAGkAegBlAGQAIAB0AG8AIABhACAAMQDXADEAIAB2AGEAbAB1AGUALgBcAG4AIAAgACAAIAAiICAATgBlAGcAYQB0AGkAdgBlACAAbwByACAAdABlAHgAdAAgAHAAYQBkAGQAaQBuAGcAIABjAG8AdQBuAHQAcwAgAHIAZQB0AHUAcgBuACAAXAAiACMAUgBPAFcAUwAtAEIARQBGAE8AUgBFAC8AQQBGAFQARQBSACEAXAAiAC4AXABuAC0ALQAtAC0ALQAtAC0ALQAtAC0ALQAtAC0ALQAtAC0ALQAtAC0ALQAtAC0ALQAtAC0ALQAtAC0ALQAtAC0ALQAtAC0ALQAtAC0ALQAtAC0ALQAtAC0ALQAtAC0ALQAtAC0ALQAtAC0ALQAtAC0ALQAtAC0ALQAtAC0ALQAtAC0ALQAtAC0ALQAtAC0ALQAtAC0ALQAtAC0ALQAtACoALwBcAG4AXABuAEkAbgBzAHUAbABhAHQAZQBSAG8AdwBzALsDIAA9AFwAbgBMAEEATQBCAEQAQQAoAFwAbgAgACAAIAAgAGEAcgByAGEAeQAsAFwAbgAgACAAIAAgAHIAbwB3AHMAXwBiAGUAZgBvAHIAZQAsAFwAbgAgACAAIAAgAFsAcgBvAHcAcwBfAGEAZgB0AGUAcgBdACwAXABuACAAIAAgACAAWwBwAGEAZABfAHcAaQB0AGgAXQAsAFwAbgBMAEUAVAAo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wBwAHQAaQBvAG4AYQBsACAAcABhAHIAYQBtAGUAdABlAHIAcwBcAG4AIAAgACAAIAByAG8AdwBzAF8AYQBmAHQAZQByACwAIAAgACAAIAAgACAAIAAgACAASQBGACgASQBTAE8ATQBJAFQAVABFAEQAKAByAG8AdwBzAF8AYQBmAHQAZQByACkALAAgAHIAbwB3AHMAXwBiAGUAZgBvAHIAZQAsACAAcgBvAHcAcwBfAGEAZgB0AGUAcgApACwAXABuACAAIAAgACAAcABhAGQAXwB3AGkAdABoACwAIAAgACAAIAAgACAAIAAgACAAIAAgAEkATgBEAEUAWAAoAEkARgAoAEkAUwBPAE0ASQBUAFQARQBEACgAcABhAGQAXwB3AGkAdABoACkALAAgAFwAIgBcACIALAAgAHAAYQBkAF8AdwBpAHQAaAApACwAIAAxACwAIAAxACkALABcAG4AXABuACAAIAAgACAALwAvACAAVgBhAGwAaQBkAGEAdABpAG8AbgBcAG4AIAAgACAAIABJAG4AdgBhAGwAaQBkAFAAYQBkAEMAbwB1AG4AdAA/ACwAIAAgACAATwBSACgASQBTAFQARQBYAFQAKAByAG8AdwBzAF8AYgBlAGYAbwByAGUAKQAsAFwAbgAgACAAIAAgACAAIAAgACAAIAAgACAAIAAgACAAIAAgACAAIAAgACAAIAAgACAAIAAgACAAIABJAFMAVABFAFgAVAAoAHIAbwB3AHMAXwBhAGYAdABlAHIAKQAsAFwAbgAgACAAIAAgACAAIAAgACAAIAAgACAAIAAgACAAIAAgACAAIAAgACAAIAAgACAAIAAgACAAIAByAG8AdwBzAF8AYgBlAGYAbwByAGUAIAA8ACAAMAAsAFwAbgAgACAAIAAgACAAIAAgACAAIAAgACAAIAAgACAAIAAgACAAIAAgACAAIAAgACAAIAAgACAAIAByAG8AdwBzAF8AYQBmAHQAZQByACAAPAAgADAAKQAsAFwAbgBcAG4AIAAgACAAIAAvAC8AIABOAG8AESBwAGEAZABkAGkAbgBnACAAcwBjAGUAbgBhAHIAaQBvAFwAbgAgACAAIAAgAE4AbwBQAGEAZABkAGkAbgBnAD8ALAAgACAAIAAgACAAIAAgACAAIABBAE4ARAAoAHIAbwB3AHMAXwBiAGUAZgBvAHIAZQAgAD0AIAAwACwAIAByAG8AdwBzAF8AYQBmAHQAZQByACAAPQAgADAAKQAsAFwAbgBcAG4ALwAvACAATABvAGcAaQBjACAAZwBhAHQAZQBcAG4AIAAgACAAIABJAEYAKABJAG4AdgBhAGwAaQBkAFAAYQBkAEMAbwB1AG4AdAA/ACwAIABcACIAIwBSAE8AVwBTAC0AQgBFAEYATwBSAEUALwBBAEYAVABFAFIAIQBcACIALABcAG4AXABuACAAIAAgACAAIAAgACAAIABJAEYAKABOAG8AUABhAGQAZABpAG4AZwA/ACwAIABhAHIAcgBhAHkALABcAG4AXABuAEwARQBUACgAXABuACAAIAAgACAALwAvACAAUABhAGQAZABpAG4AZwAgAGIAbABvAGMAawBzAFwAbgAgACAAIAAgAHAAYQBkAF8AYgBlAGYAbwByAGUALAAgACAAIAAgACAAIAAgACAAIABFAFgAUABBAE4ARAAoAHAAYQBkAF8AdwBpAHQAaAAsACAAcgBvAHcAcwBfAGIAZQBmAG8AcgBlACwAIAB3ACwAIABwAGEAZABfAHcAaQB0AGgAKQAsAFwAbgAgACAAIAAgAHAAYQBkAF8AYQBmAHQAZQByACwAIAAgACAAIAAgACAAIAAgACAAIABFAFgAUABBAE4ARAAoAHAAYQBkAF8AdwBpAHQAaAAsACAAcgBvAHcAcwBfAGEAZgB0AGUAcgAsACAAdwAsACAAcABhAGQAXwB3AGkAdABoACkALABcAG4AXABuACAAIAAgACAALwAvACAAUwBjAGUAbgBhAHIAaQBvAHMAXABuACAAIAAgACAAYgBlAGYAbwByAGUAXwBvAG4AbAB5AD8ALAAgACAAIAAgACAAIAAgAEEATgBEACgAcgBvAHcAcwBfAGIAZQBmAG8AcgBlACAAPAA+ACAAMAAsACAAcgBvAHcAcwBfAGEAZgB0AGUAcgAgAD0AIAAwACkALABcAG4AIAAgACAAIABhAGYAdABlAHIAXwBvAG4AbAB5AD8ALAAgACAAIAAgACAAIAAgACAAQQBOAEQAKAByAG8AdwBzAF8AYgBlAGYAbwByAGUAIAA9ACAAMAAsACAAcgBvAHcAcwBfAGEAZgB0AGUAcgAgADwAPgAgADAAKQAsAFwAbgAgACAAIAAgAGYAdQBsAGwAeQBfAGkAbgBzAHUAbABhAHQAZQBkAD8ALAAgACAAIABBAE4ARAAoAHIAbwB3AHMAXwBiAGUAZgBvAHIAZQAgADwAPgAgADAALAAgAHIAbwB3AHMAXwBhAGYAdABlAHIAIAA8AD4AIAAwACkALABcAG4AXABuACAAIAAgACAALwAvACAAUwB0AGEAbgBkAGEAcgBkACAARQBYAFAAQQBOAEQAIABmAG8AcgAgAGEAZgB0AGUAcgARIG8AbgBsAHkAIABjAGEAcwBlAFwAbgAgACAAIAAgAGsALAAgACAAIAAgACAAIAAgACAAIAAgACAAIAAgACAAIAAgACAAIAByAG8AdwBzAF8AYQBmAHQAZQByACAAKwAgAGgALABcAG4AIAAgACAAIABlAHgAcABhAG4AZABfAG8AbgBsAHkALAAgACAAIAAgACAAIAAgACAARQBYAFAAQQBOAEQAKABhAHIAcgBhAHkALAAgAGsALAAgAHcALAAgAHAAYQBkAF8AdwBpAHQAaAApACwAXABuAFwAbgAgACAAIAAgAC8ALwAgAEEAcgByAGEAbgBnAGUAbQBlAG4AdABzAFwAbgAgACAAIAAgAGkAbgBzAHUAbABhAHQAZQBfAGIAZQBmAG8AcgBlACwAIAAgACAAIABWAFMAVABBAEMASwAoAHAAYQBkAF8AYgBlAGYAbwByAGUALAAgAGEAcgByAGEAeQApACwAXABuACAAIAAgACAAaQBuAHMAdQBsAGEAdABlAF8AYQBsAGwALAAgACAAIAAgACAAIAAgAFYAUwBUAEEAQwBLACgAcABhAGQAXwBiAGUAZgBvAHIAZQAsACAAYQByAHIAYQB5ACwAIABwAGEAZABfAGEAZgB0AGUAcgApACwAXABuAFwAbgAgACAAIAAgAC8ALwAgAFMAZQBsAGUAYwB0AGkAbwBuAFwAbgAgACAAIAAgAHIAZQBzAHUAbAB0ACwAIAAgACAAIAAgACAAIAAgACAAIAAgACAAIABJAEYAKABmAHUAbABsAHkAXwBpAG4AcwB1AGwAYQB0AGUAZAA/ACwAIABpAG4AcwB1AGwAYQB0AGUAXwBhAGwAbAAsAFwAbgAgACAAIAAgACAAIAAgACAAIAAgACAAIAAgACAAIAAgACAAIAAgACAAIAAgACAAIAAgACAAIAAgAEkARgAoAGIAZQBmAG8AcgBlAF8AbwBuAGwAeQA/ACwAIAAgACAAaQBuAHMAdQBsAGEAdABlAF8AYgBlAGYAbwByAGUALABcAG4AIAAgACAAIAAgACAAIAAgACAAIAAgACAAIAAgACAAIAAgACAAIAAgACAAIAAgACAAIAAgACAAIAAgACAAIAAgACAAIAAgACAAIAAgACAAIAAgACAAIAAgACAAIAAgACAAIABlAHgAcABhAG4AZABfAG8AbgBsAHkAKQApACwAXABuAFwAbgAgACAAIAAgAHIAZQBzAHUAbAB0AFwAbgApACkAKQApACkAOwBcAG4AXABuAFwAbgBcAG4ALwAqACAAWwBTAEEAMQA2AF0AIAAtAC0ALQAtAC0ALQAtAC0ALQAtAC0ALQAtAC0ALQAtAC0ALQAtAC0ALQAtAC0ALQAtAC0ALQAtAC0ALQAtAC0ALQAtAC0ALQAtAC0ALQAtAC0ALQAtAC0ALQAtAC0ALQAtAC0ALQAtAC0ALQAtAC0ALQAtAC0ALQAtAC0ALQAtAC0ALQAtAC0ALQAtAC0AXABuAEYAdQBuAGMAdABpAG8AbgA6ACAAIAAgACAAIABJAG4AcwB1AGwAYQB0AGUAQwBvAGwAcwC7A1wAbgBDAGEAdABlAGcAbwByAHkAOgAgACAAIAAgACAAMgBEACAAQQByAHIAYQB5ACAAUwBoAGEAcABpAG4AZwAgACgAUABhAGQAZABpAG4AZwApAFwAbgBBAHUAdABoAG8AcgA6ACAAIAAgACAAIAAgACAAUABhAHQAcgBpAGMAawAgAEgALgBcAG4AVgBlAHIAcwBpAG8AbgA6ACAAIAAgACAAIAAgADEALgAxAFwAbgBEAGUAcABlAG4AZABlAG4AYwBpAGUAcwA6ACAASQBuAHMAdQBsAGEAdABlAFIAbwB3AHMAuwNcAG4AXABuAEQAZQBzAGMAcgBpAHAAdABpAG8AbgA6AFwAbgAgACAAIAAgAEEAZABkAHMAIABjAG8AbAB1AG0AbgBzACAAbwBmACAAcABhAGQAZABpAG4AZwAgAGIAZQBmAG8AcgBlACAAYQBuAGQALwBvAHIAIABhAGYAdABlAHIAIABhAG4AIABpAG4AcAB1AHQAIABhAHIAcgBhAHkALgAgAEkAbgBzAHUAbABhAHQAZQBDAG8AbABzALsDIABpAHMAXABuACAAIAAgACAAdABoAGUAIABjAG8AbAB1AG0AbgARIG8AcgBpAGUAbgB0AGUAZAAgAGMAbwB1AG4AdABlAHIAcABhAHIAdAAgAHQAbwAgAEkAbgBzAHUAbABhAHQAZQBSAG8AdwBzALsDLgAgAFQAaABlACAAYQByAHIAYQB5ACAAaQBzACAAbgBvAHIAbQBhAGwAaQB6AGUAZAAgAHQAbwBcAG4AIAAgACAAIAB2AGUAcgB0AGkAYwBhAGwAIABvAHIAaQBlAG4AdABhAHQAaQBvAG4ALAAgAHAAYQBkAGQAZQBkACAAdgBpAGEAIABJAG4AcwB1AGwAYQB0AGUAUgBvAHcAcwC7AywAIABhAG4AZAAgAHIAZQBzAHQAbwByAGUAZAAgAHQAbwAgAGkAdABzACAAbwByAGkAZwBpAG4AYQBsAFwAbgAgACAAIAAgAG8AcgBpAGUAbgB0AGEAdABpAG8AbgAuAFwAbgBcAG4AUABhAHIAYQBtAGUAdABlAHIAcwA6AFwAbgAgACAAIAAgAGEAcgByAGEAeQAgACAAIAAgACAAIAAgACAAIAAgACAAIAAtACAASQBuAHAAdQB0ACAAYQByAHIAYQB5ACAAKABzAGMAYQBsAGEAcgAsACAAMQBEACwAIABvAHIAIAAyAEQAKQAuAFwAbgAgACAAIAAgAGMAbwBsAHUAbQBuAHMAXwBiAGUAZgBvAHIAZQAgACAAIAAtACAAQwBvAGwAdQBtAG4AcwAgAHQAbwAgAHAAYQBkACAAdABvACAAdABoAGUAIABsAGUAZgB0AC4AXABuAFwAbgBPAHAAdABpAG8AbgBhAGwAOgBcAG4AIAAgACAAIABbAGMAbwBsAHUAbQBuAHMAXwBhAGYAdABlAHIAXQAgACAALQAgAEMAbwBsAHUAbQBuAHMAIAB0AG8AIABwAGEAZAAgAHQAbwAgAHQAaABlACAAcgBpAGcAaAB0ACAAKABkAGUAZgBhAHUAbAB0AHMAIAB0AG8AIABjAG8AbAB1AG0AbgBzAF8AYgBlAGYAbwByAGUAKQAuAFwAbgAgACAAIAAgAFsAcABhAGQAXwB3AGkAdABoAF0AIAAgACAAIAAgACAAIAAtACAAUwBjAGEAbABhAHIAIABwAGEAZABkAGkAbgBnACAAdgBhAGwAdQBlACAAKABkAGUAZgBhAHUAbAB0ACAAPQAgAFwAIgBcACIAKQAuAFwAbgBcAG4ATgBvAHQAZQBzADoAXABuACAAIAAgACAAIiAgAEkAZgAgAGIAbwB0AGgAIABjAG8AbAB1AG0AbgBzAF8AYgBlAGYAbwByAGUAIABhAG4AZAAgAGMAbwBsAHUAbQBuAHMAXwBhAGYAdABlAHIAIAA9ACAAMAAsACAAdABoAGUAIABpAG4AcAB1AHQAIABhAHIAcgBhAHkAIABpAHMAIAByAGUAdAB1AHIAbgBlAGQALgBcAG4AIAAgACAAIAAiICAAYwBvAGwAdQBtAG4AcwBfAGEAZgB0AGUAcgAgAGQAZQBmAGEAdQBsAHQAcwAgAHQAbwAgAGMAbwBsAHUAbQBuAHMAXwBiAGUAZgBvAHIAZQAgAHUAbgBsAGUAcwBzACAAZQB4AHAAbABpAGMAaQB0AGwAeQAgAHMAZQB0ACAAdABvACAAMAAuAFwAbgAgACAAIAAgACIgIABwAGEAZABfAHcAaQB0AGgAIABpAHMAIABzAGMAYQBsAGEAcgBpAHoAZQBkACAAdABvACAAYQAgADEA1wAxACAAdgBhAGwAdQBlAC4AXABuACAAIAAgACAAIiAgAE4AZQBnAGEAdABpAHYAZQAgAHAAYQBkAGQAaQBuAGcAIABjAG8AdQBuAHQAcwAgAGgAYQBsAHQAIABpAG4AcwBpAGQAZQAgAEkAbgBzAHUAbABhAHQAZQBSAG8AdwBzALsDLgBcAG4ALQAtAC0ALQAtAC0ALQAtAC0ALQAtAC0ALQAtAC0ALQAtAC0ALQAtAC0ALQAtAC0ALQAtAC0ALQAtAC0ALQAtAC0ALQAtAC0ALQAtAC0ALQAtAC0ALQAtAC0ALQAtAC0ALQAtAC0ALQAtAC0ALQAtAC0ALQAtAC0ALQAtAC0ALQAtAC0ALQAtAC0ALQAtAC0ALQAtAC0ALQAtAC0AKgAvAFwAbgBcAG4ASQBuAHMAdQBsAGEAdABlAEMAbwBsAHMAuwMgAD0AXABuAEwAQQBNAEIARABBACgAXABuACAAIAAgACAAYQByAHIAYQB5ACwAXABuACAAIAAgACAAYwBvAGwAdQBtAG4AcwBfAGIAZQBmAG8AcgBlACwAXABuACAAIAAgACAAWwBjAG8AbAB1AG0AbgBzAF8AYQBmAHQAZQByAF0ALABcAG4AIAAgACAAIABbAHAAYQBkAF8AdwBpAHQAaABdACwAXABuAEwARQBUACgAXABuACAAIAAgACAALwAvACAATgBvAHIAbQBhAGwAaQB6AGUAIAB0AG8AIAB2AGUAcgB0AGkAYwBhAGwAIABvAHIAaQBlAG4AdABhAHQAaQBvAG4AXABuACAAIAAgACAAYQByAHIAYQB5AF8AdgAsACAAIAAgACAAIAAgACAAIABUAFIAQQBOAFMAUABPAFMARQAoAGEAcgByAGEAeQApACwAXABuAFwAbgAgACAAIAAgAC8ALwAgAEEAcABwAGwAeQAgAHIAbwB3ABEgcABhAGQAZABpAG4AZwAgAGkAbgAgAHYAZQByAHQAaQBjAGEAbAAgAHMAcABhAGMAZQBcAG4AIAAgACAAIABwAGEAZABkAGUAZABfAHYALAAgACAAIAAgACAAIAAgAEkAbgBzAHUAbABhAHQAZQBSAG8AdwBzALsDKABhAHIAcgBhAHkAXwB2ACwAIABjAG8AbAB1AG0AbgBzAF8AYgBlAGYAbwByAGUALAAgAGMAbwBsAHUAbQBuAHMAXwBhAGYAdABlAHIALAAgAHAAYQBkAF8AdwBpAHQAaAApACwAXABuAFwAbgAgACAAIAAgAC8ALwAgAFIAZQBzAHQAbwByAGUAIABvAHIAaQBnAGkAbgBhAGwAIABvAHIAaQBlAG4AdABhAHQAaQBvAG4AXABuACAAIAAgACAAcgBlAHMAdQBsAHQALAAgACAAIAAgACAAIAAgACAAIABUAFIAQQBOAFMAUABPAFMARQAoAHAAYQBkAGQAZQBkAF8AdgApACwAXABuAFwAbgAgACAAIAAgAHIAZQBzAHUAbAB0AFwAbgApACkAOwBcAG4AXABuAFwAbgBcAG4ALwAqACAAWwBTAEEAMQA3AF0AIAAtAC0ALQAtAC0ALQAtAC0ALQAtAC0ALQAtAC0ALQAtAC0ALQAtAC0ALQAtAC0ALQAtAC0ALQAtAC0ALQAtAC0ALQAtAC0ALQAtAC0ALQAtAC0ALQAtAC0ALQAtAC0ALQAtAC0ALQAtAC0ALQAtAC0ALQAtAC0ALQAtAC0ALQAtAC0ALQAtAC0ALQAtAC0ALQAtAFwAbgBGAHUAbgBjAHQAaQBvAG4AOgAgACAAIAAgACAATQBhAGcAbgBpAGYAeQC7A1wAbgBDAGEAdABlAGcAbwByAHkAOgAgACAAIAAgACAAMgBEACAAQQByAHIAYQB5ACAAUwBoAGEAcABpAG4AZwAgACgASQBuAHQAZQByAHAAbwBsAGEAdABpAG8AbgApAFwAbgBBAHUAdABoAG8AcgA6ACAAIAAgACAAIAAgACAAUABhAHQAcgBpAGMAawAgAEgALgBcAG4AVgBlAHIAcwBpAG8AbgA6ACAAIAAgACAAIAAgADEALgAxAFwAbgBcAG4ARABlAHMAYwByAGkAcAB0AGkAbwBuADoAXABuACAAIAAgACAARQB4AHAAYQBuAGQAcwAgAGUAYQBjAGgAIABlAGwAZQBtAGUAbgB0ACAAbwBmACAAYQBuACAAaQBuAHAAdQB0ACAAYQByAHIAYQB5ACAAaQBuAHQAbwAgAGEAIABiAGwAbwBjAGsAIABvAGYAIABzAHAAZQBjAGkAZgBpAGUAZAAgAGgAZQBpAGcAaAB0ACAAYQBuAGQAXABuACAAIAAgACAAdwBpAGQAdABoACAAdQBzAGkAbgBnACAAbgBlAGEAcgBlAHMAdAARIG4AZQBpAGcAaABiAG8AcgAgAGkAbgB0AGUAcgBwAG8AbABhAHQAaQBvAG4ALgAgAFMAdQBwAHAAbwByAHQAcwAgAHMAYwBhAGwAYQByAHMALAAgADEARAAgAGEAcgByAGEAeQBzACwAIABhAG4AZABcAG4AIAAgACAAIAAyAEQAIABhAHIAcgBhAHkAcwAuAFwAbgBcAG4AUABhAHIAYQBtAGUAdABlAHIAcwA6AFwAbgAgACAAIAAgAGEAcgByAGEAeQAgACAAIAAgACAAIAAgAC0AIABJAG4AcAB1AHQAIABhAHIAcgBhAHkAIAB0AG8AIABtAGEAZwBuAGkAZgB5AC4AXABuACAAIAAgACAAaABlAGkAZwBoAHQAIAAgACAAIAAgACAALQAgAE4AdQBtAGIAZQByACAAbwBmACAAcgBvAHcAcwAgAGYAbwByACAAZQBhAGMAaAAgAG0AYQBnAG4AaQBmAGkAZQBkACAAZQBsAGUAbQBlAG4AdAAgACgAcABvAHMAaQB0AGkAdgBlACAAcwBjAGEAbABhAHIAKQAuAFwAbgAgACAAIAAgAHcAaQBkAHQAaAAgACAAIAAgACAAIAAgAC0AIABOAHUAbQBiAGUAcgAgAG8AZgAgAGMAbwBsAHUAbQBuAHMAIABmAG8AcgAgAGUAYQBjAGgAIABtAGEAZwBuAGkAZgBpAGUAZAAgAGUAbABlAG0AZQBuAHQAIAAoAHAAbwBzAGkAdABpAHYAZQAgAHMAYwBhAGwAYQByACkALgBcAG4AXABuAE4AbwB0AGUAcwA6AFwAbgAgACAAIAAgACIgIABoAGUAaQBnAGgAdAAgAGEAbgBkACAAdwBpAGQAdABoACAAbQB1AHMAdAAgAGIAZQAgAHMAYwBhAGwAYQByACwAIABuAHUAbQBlAHIAaQBjACwAIABhAG4AZAAgAD4AIAAwAC4AXABuACAAIAAgACAAIiAgAFUAcwBlAHMAIABuAGUAYQByAGUAcwB0ABEgbgBlAGkAZwBoAGIAbwByACAAZQB4AHAAYQBuAHMAaQBvAG4AIAB2AGkAYQAgAGkAbgBkAGUAeAAgAHIAZQBwAGwAaQBjAGEAdABpAG8AbgAuAFwAbgAtAC0ALQAtAC0ALQAtAC0ALQAtAC0ALQAtAC0ALQAtAC0ALQAtAC0ALQAtAC0ALQAtAC0ALQAtAC0ALQAtAC0ALQAtAC0ALQAtAC0ALQAtAC0ALQAtAC0ALQAtAC0ALQAtAC0ALQAtAC0ALQAtAC0ALQAtAC0ALQAtAC0ALQAtAC0ALQAtAC0ALQAtAC0ALQAtAC0ALQAtAC0ALQAqAC8AXABuAFwAbgBNAGEAZwBuAGkAZgB5ALsDIAA9AFwAbgBMAEEATQBCAEQAQQAoAFwAbgAgACAAIAAgAGEAcgByAGEAeQAsAFwAbgAgACAAIAAgAGgAZQBpAGcAaAB0ACwAXABuACAAIAAgACAAdwBpAGQAdABoACwAXABuAFwAbgAvAC8AIABMAG8AZwBpAGMAIABnAGEAdABlAFwAbgBJAEYAKABPAFIAKABDAE8AVQBOAFQAKABoAGUAaQBnAGgAdAApACAAPAA+ACAAMQAsACAAQwBPAFUATgBUACgAdwBpAGQAdABoACkAIAA8AD4AIAAxACkALABcACIAIwBWAEEATABVAEUAIQBcACIALABcAG4AXABuACAAIAAgACAASQBGACgATwBSACgASQBTAFQARQBYAFQAKABoAGUAaQBnAGgAdAApACwAIABJAFMAVABFAFgAVAAoAHcAaQBkAHQAaAApACkALABcACIAIwBUAEUAWABUACEAXAAiACwAXABuAFwAbgAgACAAIAAgACAAIAAgACAASQBGACgATwBSACgAaABlAGkAZwBoAHQAIAA8AD0AIAAwACwAIAB3AGkAZAB0AGgAIAA8AD0AIAAwACkALABcACIAIwBWAEEATABVAEUAIQBcACIALABcAG4AXABuAEwARQBUACgAXABuACAAIAAgACAALwAvACAARABpAG0AZQBuAHMAaQBvAG4AcwAgAG8AZgAgAG0AYQBnAG4AaQBmAGkAZQBkACAAbwB1AHQAcAB1AHQAXABuACAAIAAgACAAaQAsACAAIAAgACAAIAAgAFIATwBXAFMAKABhAHIAcgBhAHkAKQAgACoAIABoAGUAaQBnAGgAdAAsAFwAbgAgACAAIAAgAGoALAAgACAAIAAgACAAIABDAE8ATABVAE0ATgBTACgAYQByAHIAYQB5ACkAIAAqACAAdwBpAGQAdABoACwAXABuAFwAbgAgACAAIAAgAC8ALwAgAE0AZQBzAGgAIABnAHIAaQBkACAAZgBvAHIAIABuAGUAYQByAGUAcwB0ABEgbgBlAGkAZwBoAGIAbwByACAAcgBlAHAAbABpAGMAYQB0AGkAbwBuAFwAbgAgACAAIAAgAHgALAAgACAAIAAgACAAIABMAEEATQBCAEQAQQAoAEkATgBUACgAUwBFAFEAVQBFAE4AQwBFACgAaQAsACwALAAgADEAIAAvACAAaABlAGkAZwBoAHQAKQApAFwAbgAgACAAIAAgACAAIAAgACAAIAAgACAAIAAgACAAIAAgACAAIAAgACAAIAAgACAAIAAgACAAIAAqACAAUwBFAFEAVQBFAE4AQwBFACgALAAgAGoALAAgADEALAAgADAAKQApACwAXABuAFwAbgAgACAAIAAgAHkALAAgACAAIAAgACAAIABMAEEATQBCAEQAQQAoAEkATgBUACgAUwBFAFEAVQBFAE4AQwBFACgALAAgAGoALAAsACAAMQAgAC8AIAB3AGkAZAB0AGgAKQApAFwAbgAgACAAIAAgACAAIAAgACAAIAAgACAAIAAgACAAIAAgACAAIAAgACAAIAAgACAAIAAgACAAIAAqACAAUwBFAFEAVQBFAE4AQwBFACgAaQAsACwAIAAxACwAIAAwACkAKQAsAFwAbgBcAG4AIAAgACAAIAAvAC8AIABEAGUAZgBlAHIAcgBlAGQAIABlAHYAYQBsAHUAYQB0AGkAbwBuAFwAbgAgACAAIAAgAHIAZQBzAHUAbAB0ACwAIABJAE4ARABFAFgAKABhAHIAcgBhAHkALAAgAHgAKAApACwAIAB5ACgAKQApACwAXABuAFwAbgAgACAAIAAgAHIAZQBzAHUAbAB0AFwAbgApACkAKQApACkAOwBcAG4AXABuAFwAbgBcAG4ALwAqACAAWwBTAEEAMQA4AF0AIAAtAC0ALQAtAC0ALQAtAC0ALQAtAC0ALQAtAC0ALQAtAC0ALQAtAC0ALQAtAC0ALQAtAC0ALQAtAC0ALQAtAC0ALQAtAC0ALQAtAC0ALQAtAC0ALQAtAC0ALQAtAC0ALQAtAC0ALQAtAC0ALQAtAC0ALQAtAC0ALQAtAC0ALQAtAC0ALQAtAC0ALQAtAC0ALQAtAFwAbgBGAHUAbgBjAHQAaQBvAG4AOgAgACAAIAAgACAAWgBvAG8AbQC7A1wAbgBDAGEAdABlAGcAbwByAHkAOgAgACAAIAAgACAAMgBEACAAQQByAHIAYQB5ACAAUwBoAGEAcABpAG4AZwAgACgASwBlAHIAbgBlAGwAIABFAHgAcABhAG4AcwBpAG8AbgApAFwAbgBBAHUAdABoAG8AcgA6ACAAIAAgACAAIAAgACAAUABhAHQAcgBpAGMAawAgAEgALgBcAG4AVgBlAHIAcwBpAG8AbgA6ACAAIAAgACAAIAAgADEALgAxAFwAbgBEAGUAcABlAG4AZABlAG4AYwBpAGUAcwA6ACAAUgBlAHMAaQB6AGUAuwNcAG4AXABuAEQAZQBzAGMAcgBpAHAAdABpAG8AbgA6AFwAbgAgACAAIAAgAEUAeABwAGEAbgBkAHMAIABlAGEAYwBoACAAZQBsAGUAbQBlAG4AdAAgAG8AZgAgAGEAbgAgAGkAbgBwAHUAdAAgAGEAcgByAGEAeQAgAGkAbgB0AG8AIABhACAAYgBsAG8AYwBrACAAdwBoAG8AcwBlACAAcwBpAHoAZQAgAG0AYQB0AGMAaABlAHMAIAB0AGgAZQBcAG4AIAAgACAAIABoAGUAaQBnAGgAdAAgANcAIAB3AGkAZAB0AGgAIABvAGYAIAB6AG8AbwBtAF8AawBlAHIAbgBlAGwALgAgAEUAYQBjAGgAIABlAHgAcABhAG4AZABlAGQAIABiAGwAbwBjAGsAIABpAHMAIABmAG8AcgBtAGUAZAAgAGIAeQAgAGEAZABkAGkAbgBnACAAdABoAGUAXABuACAAIAAgACAAZQBsAGUAbQBlAG4AdAAgAHYAYQBsAHUAZQAgAHQAbwAgAHQAaABlACAAegBvAG8AbQBfAGsAZQByAG4AZQBsAC4AIABJAG4AdABlAG4AZABlAGQAIABzAHQAcgBpAGMAdABsAHkAIABmAG8AcgAgAG4AdQBtAGUAcgBpAGMAIABhAHIAcgBhAHkAcwAgAGEAbgBkAFwAbgAgACAAIAAgAG4AdQBtAGUAcgBpAGMAIABrAGUAcgBuAGUAbABzAC4AXABuAFwAbgBQAGEAcgBhAG0AZQB0AGUAcgBzADoAXABuACAAIAAgACAAYQByAHIAYQB5ACAAIAAgACAAIAAgACAAIAAtACAAMQBEACAAbwByACAAMgBEACAAbgB1AG0AZQByAGkAYwAgAGEAcgByAGEAeQAgACgAcwBjAGEAbABhAHIAcwAgAGEAbABsAG8AdwBlAGQAKQAuAFwAbgAgACAAIAAgAHoAbwBvAG0AXwBrAGUAcgBuAGUAbAAgACAALQAgAE4AdQBtAGUAcgBpAGMAIABrAGUAcgBuAGUAbAAgAGQAZQBmAGkAbgBpAG4AZwAgAGUAeABwAGEAbgBzAGkAbwBuACAAaABlAGkAZwBoAHQAIABhAG4AZAAgAHcAaQBkAHQAaAAuAFwAbgBcAG4ATgBvAHQAZQBzADoAXABuACAAIAAgACAAIiAgAFIAZQB0AHUAcgBuAHMAIABcACIAIwBBAFIAUgBBAFkAIQBcACIAIABpAGYAIABhAG4AeQAgAGEAcgByAGEAeQAgAGUAbABlAG0AZQBuAHQAcwAgAGEAcgBlACAAbgBvAG4AESBuAHUAbQBlAHIAaQBjAC4AXABuACAAIAAgACAAIiAgAFIAZQB0AHUAcgBuAHMAIABcACIAIwBLAEUAUgBOAEUATAAhAFwAIgAgAGkAZgAgAGEAbgB5ACAAawBlAHIAbgBlAGwAIABlAGwAZQBtAGUAbgB0AHMAIABhAHIAZQAgAG4AbwBuABEgbgB1AG0AZQByAGkAYwAuAFwAbgAgACAAIAAgACIgIABJAGYAIAB6AG8AbwBtAF8AawBlAHIAbgBlAGwAIABpAHMAIAAxANcAMQAsACAAWgBvAG8AbQC7AyAAcgBlAGQAdQBjAGUAcwAgAHQAbwAgAGEAcgByAGEAeQAgACsAIABzAGMAYQBsAGEAcgAuAFwAbgAtAC0ALQAtAC0ALQAtAC0ALQAtAC0ALQAtAC0ALQAtAC0ALQAtAC0ALQAtAC0ALQAtAC0ALQAtAC0ALQAtAC0ALQAtAC0ALQAtAC0ALQAtAC0ALQAtAC0ALQAtAC0ALQAtAC0ALQAtAC0ALQAtAC0ALQAtAC0ALQAtAC0ALQAtAC0ALQAtAC0ALQAtAC0ALQAtAC0ALQAtAC0ALQAqAC8AXABuAFwAbgBaAG8AbwBtALsDIAA9AFwAbgBMAEEATQBCAEQAQQAoAFwAbgAgACAAIAAgAGEAcgByAGEAeQAsAFwAbgAgACAAIAAgAHoAbwBvAG0AXwBrAGUAcgBuAGUAbAAsAFwAbgBMAEUAVAAoAFwAbgAgACAAIAAgAC8ALwAgAEsAZQByAG4AZQBsACAAZABpAG0AZQBuAHMAaQBvAG4AcwBcAG4AIAAgACAAIABoAGUAaQBnAGgAdAAsACAAIAAgACAAIAAgACAAIAAgACAAIAAgACAAUgBPAFcAUwAoAHoAbwBvAG0AXwBrAGUAcgBuAGUAbAApACwAXABuACAAIAAgACAAdwBpAGQAdABoACwAIAAgACAAIAAgACAAIAAgACAAIAAgACAAIAAgAEMATwBMAFUATQBOAFMAKAB6AG8AbwBtAF8AawBlAHIAbgBlAGwAKQAsAFwAbgBcAG4AIAAgACAAIAAvAC8AIABTAGMAZQBuAGEAcgBpAG8AcwBcAG4AIAAgACAAIABJAHMAVABlAHgAdABLAGUAcgBuAGUAbAA/ACwAIAAgACAAIAAgACAATwBSACgASQBTAFQARQBYAFQAKAB6AG8AbwBtAF8AawBlAHIAbgBlAGwAKQApACwAXABuACAAIAAgACAASQBzAFQAZQB4AHQAQQByAHIAYQB5AD8ALAAgACAAIAAgACAAIAAgAE8AUgAoAEkAUwBUAEUAWABUACgAYQByAHIAYQB5ACkAKQAsAFwAbgAgACAAIAAgAEkAcwBTAGMAYQBsAGEAcgBLAGUAcgBuAGUAbAA/ACwAIAAgACAAIABBAE4ARAAoAGgAZQBpAGcAaAB0ACAAPQAgADEALAAgAHcAaQBkAHQAaAAgAD0AIAAxACkALABcAG4AXABuAC8ALwAgAEwAbwBnAGkAYwAgAGcAYQB0AGUAXABuACAAIAAgACAASQBGACgASQBzAFQAZQB4AHQASwBlAHIAbgBlAGwAPwAsACAAXAAiACMASwBFAFIATgBFAEwAIQBcACIALABcAG4AXABuACAAIAAgACAAIAAgACAAIABJAEYAKABJAHMAVABlAHgAdABBAHIAcgBhAHkAPwAsACAAXAAiACMAQQBSAFIAQQBZACEAXAAiACwAXABuAFwAbgAgACAAIAAgACAAIAAgACAAIAAgACAAIABJAEYAKABJAHMAUwBjAGEAbABhAHIASwBlAHIAbgBlAGwAPwAsACAAYQByAHIAYQB5ACAAKwAgAHoAbwBvAG0AXwBrAGUAcgBuAGUAbAAsAFwAbgBcAG4ATABFAFQAKABcAG4AIAAgACAAIAAvAC8AIABPAHUAdABwAHUAdAAgAGQAaQBtAGUAbgBzAGkAbwBuAHMAXABuACAAIAAgACAAaQAsACAAIAAgACAAIAAgACAAIAAgACAAUgBPAFcAUwAoAGEAcgByAGEAeQApACAAKgAgAGgAZQBpAGcAaAB0ACwAXABuACAAIAAgACAAagAsACAAIAAgACAAIAAgACAAIAAgACAAQwBPAEwAVQBNAE4AUwAoAGEAcgByAGEAeQApACAAKgAgAHcAaQBkAHQAaAAsAFwAbgBcAG4AIAAgACAAIAAvAC8AIABNAGUAcwBoACAAZwByAGkAZAAgAGYAbwByACAAbgBlAGEAcgBlAHMAdAARIG4AZQBpAGcAaABiAG8AcgAgAGUAeABwAGEAbgBzAGkAbwBuAFwAbgAgACAAIAAgAHgALAAgACAAIAAgACAAIAAgACAAIAAgAEwAQQBNAEIARABBACgASQBOAFQAKABTAEUAUQBVAEUATgBDAEUAKABpACwALAAsACAAMQAgAC8AIABoAGUAaQBnAGgAdAApACkAXABuACAAIAAgACAAIAAgACAAIAAgACAAIAAgACAAIAAgACAAIAAgACAAIAAqACAAUwBFAFEAVQBFAE4AQwBFACgALAAgAGoALAAgADEALAAgADAAKQApACwAXABuAFwAbgAgACAAIAAgAHkALAAgACAAIAAgACAAIAAgACAAIAAgAEwAQQBNAEIARABBACgASQBOAFQAKABTAEUAUQBVAEUATgBDAEUAKAAsACAAagAsACwAIAAxACAALwAgAHcAaQBkAHQAaAApACkAXABuACAAIAAgACAAIAAgACAAIAAgACAAIAAgACAAIAAgACAAIAAgACAAIAAqACAAUwBFAFEAVQBFAE4AQwBFACgAaQAsACwAIAAxACwAIAAwACkAKQAsAFwAbgBcAG4AIAAgACAAIAAvAC8AIABFAHgAcABhAG4AZABlAGQAIABhAHIAcgBhAHkAIAAoAG4AZQBhAHIAZQBzAHQAESBuAGUAaQBnAGgAYgBvAHIAKQBcAG4AIAAgACAAIAB6AG8AbwBtAGUAZAAsACAAIAAgACAAIABMAEEATQBCAEQAQQAoAEkATgBEAEUAWAAoAGEAcgByAGEAeQAsACAAeAAoACkALAAgAHkAKAApACkAKQAsAFwAbgBcAG4AIAAgACAAIAAvAC8AIABSAGUAcwBpAHoAZQAgAGsAZQByAG4AZQBsACAAdABvACAAbQBhAHQAYwBoACAAegBvAG8AbQBlAGQAIABiAGwAbwBjAGsAIABzAHQAcgB1AGMAdAB1AHIAZQBcAG4AIAAgACAAIABoACwAIAAgACAAIAAgACAAIAAgACAAIABSAE8AVwBTACgAegBvAG8AbQBlAGQAKAApACkAIAAvACAAaABlAGkAZwBoAHQALABcAG4AIAAgACAAIAB3ACwAIAAgACAAIAAgACAAIAAgACAAIABDAE8ATABVAE0ATgBTACgAegBvAG8AbQBlAGQAKAApACkAIAAvACAAdwBpAGQAdABoACwAXABuACAAIAAgACAAawBlAHIAbgBlAGwAXwBtAGEAZwAsACAAUgBlAHMAaQB6AGUAuwMoAHoAbwBvAG0AXwBrAGUAcgBuAGUAbAAsACAAaAAsACAAdwApACwAXABuAFwAbgAgACAAIAAgAC8ALwAgAEYAaQBuAGEAbAAgAHoAbwBvAG0AZQBkACAAbwB1AHQAcAB1AHQAXABuACAAIAAgACAAcgBlAHMAdQBsAHQALAAgACAAIAAgACAAIAAgACAAIAAgACAAIAAgAHoAbwBvAG0AZQBkACgAKQAgACsAIABrAGUAcgBuAGUAbABfAG0AYQBnACwAXABuAFwAbgAgACAAIAAgAHIAZQBzAHUAbAB0AFwAbgApACkAKQApACkAKQA7AFwAbgBcAG4AXABuAFwAbgAvAC8AIABbAEcAQQBdACAALQAtAC0ALQAtAC0ALQAtAC0ALQAtAC0ALQAtAC0ALQAtAC0ALQAtAC0ALQAtAC0ALQAtAC0ALQAtAC0ALQAtAC0ALQAtAC0ALQAtAC0ALQAtAC0ALQAtAC0ALQAtAC0ALQAtAC0ALQAtAC0ALQAtAC0ALQAtAC0ALQAtAC0ALQAtAC0ALQAtAC0ALQAtAC0ALQAtAC0ALQAtAFwAbgAvAC8AIAAtAC0ALQAjACMAIAAwADQAIAAtACAARwByAGkAZAAgAEEAbABnAGUAYgByAGEAXABuAC8ALwAgAC0ALQAtAC0ALQAtAC0ALQAtAC0ALQAtAC0ALQAtAC0ALQAtAC0ALQAtAC0ALQAtAC0ALQAtAC0ALQAtAC0ALQAtAC0ALQAtAC0ALQAtAC0ALQAtAC0ALQAtAC0ALQAtAC0ALQAtAC0ALQAtAC0ALQAtAC0ALQAtAC0ALQAtAC0ALQAtAC0ALQAtAC0ALQAtAC0ALQAtAC0ALQBcAG4AXABuAC8AKgBcAG4ARABlAHMAYwByAGkAcAB0AGkAbwBuADoAXABuACAAIAAgACAARwByAGkAZAAgAEEAbABnAGUAYgByAGEAIABmAHUAbgBjAHQAaQBvAG4AcwAgAHAAcgBvAHYAaQBkAGUAIABhACAAdABvAG8AbABrAGkAdAAgAGYAbwByACAAcwB0AHIAdQBjAHQAdQByAGEAbAAgAGUAZABpAHQAaQBuAGcAIABvAGYAXABuACAAIAAgACAAMgBEACAAYQByAHIAYQB5AHMALgAgAFQAaABlAHMAZQAgAG8AcABlAHIAYQB0AG8AcgBzACAAcwB1AHAAcABvAHIAdAAgAGQAZQBsAGUAdABpAG8AbgAsACAAcwBlAGwAZQBjAHQAaQBvAG4ALAAgAGYAaQBsAHQAZQByAGkAbgBnACwAIAByAG8AbABsAGkAbgBnACwAXABuACAAIAAgACAAZQB4AHAAYQBuAHMAaQBvAG4ALAAgAGEAbgBkACAAcwB0AHIAdQBjAHQAdQByAGEAbAAgAG0AYQBwAHAAaQBuAGcALgBcAG4AXABuACAAIAAgACAAUwB1AGIAESBjAGEAdABlAGcAbwByAGkAZQBzADoAXABuAFwAbgAgACAAIAAgACAAIAAgACAAIiAgAEQAZQBsAGUAdABpAG8AbgBcAG4AIAAgACAAIAAgACAAIAAgACAAIAAgACAAIAAgAEQAZQBsAGUAdABlAFIAbwB3AHMAuwMsACAARABlAGwAZQB0AGUAQwBvAGwAcwC7AywAIABEAGUAbABlAHQAZQBXAGgAZQByAGUAuwMsAFwAbgAgACAAIAAgACAAIAAgACAAIAAgACAAIAAgACAAUABpAG4AYwBoALsDLAAgAFIAZQBtAG8AdgBlALsDLAAgAFMAcQB1AGUAZQB6AGUAuwNcAG4AXABuACAAIAAgACAAIAAgACAAIAAiICAARQB4AHAAYQBuAHMAaQBvAG4AXABuACAAIAAgACAAIAAgACAAIAAgACAAIAAgACAAIABLAHIAbwBuAGUAYwBrAGUAcgBQAHIAbwBkALsDXABuAFwAbgAgACAAIAAgACAAIAAgACAAIiAgAEYAaQBsAHQAZQByAGkAbgBnAFwAbgAgACAAIAAgACAAIAAgACAAIAAgACAAIAAgACAARQB4AGMAbAB1AGQAZQC7AywAIABTAG4AYQBwALsDXABuAFwAbgAgACAAIAAgACAAIAAgACAAIiAgAFIAbwBsAGwAaQBuAGcAXABuACAAIAAgACAAIAAgACAAIAAgACAAIAAgACAAIABTAGgAaQBmAHQAuwMsACAAUwBoAGkAZgB0AFIAbwB3AHMAuwMsACAAUwBoAGkAZgB0AEMAbwBsAHMAuwNcAG4AXABuACAAIAAgACAAIAAgACAAIAAiICAAUwBlAGwAZQBjAHQAaQBvAG4AXABuACAAIAAgACAAIAAgACAAIAAgACAAIAAgACAAIABFAG0AYgBlAGQAuwMsACAASwBlAGUAcABSAG8AdwBzALsDLAAgAEsAZQBlAHAAQwBvAGwAcwC7A1wAbgBcAG4AIAAgACAAIAAgACAAIAAgACIgIABTAHQAcgB1AGMAdAB1AHIAYQBsACAATQBhAHAAcABpAG4AZwBcAG4AIAAgACAAIAAgACAAIAAgACAAIAAgACAAIAAgAEIAbABvAGMAawBNAGEAcAC7AywAIABDAG8AbgB2AG8AbAB2AGUAuwMsACAARgBvAGwAZAC7AywAIABKAG8AaQBuADIARAC7A1wAbgAqAC8AXABuAFwAbgBcAG4AXABuAC8AKgAgAFsARwBBADAAMQBdACAALQAtAC0ALQAtAC0ALQAtAC0ALQAtAC0ALQAtAC0ALQAtAC0ALQAtAC0ALQAtAC0ALQAtAC0ALQAtAC0ALQAtAC0ALQAtAC0ALQAtAC0ALQAtAC0ALQAtAC0ALQAtAC0ALQAtAC0ALQAtAC0ALQAtAC0ALQAtAC0ALQAtAC0ALQAtAC0ALQAtAC0ALQAtAC0ALQBcAG4ARgB1AG4AYwB0AGkAbwBuADoAIAAgACAAIAAgAEQAZQBsAGUAdABlAFIAbwB3AHMAuwNcAG4AQwBhAHQAZQBnAG8AcgB5ADoAIAAgACAAIAAgAEcAcgBpAGQAIABBAGwAZwBlAGIAcgBhACAAKABEAGUAbABl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EAGUAbABlAHQAZQBzACAAcgBvAHcAcwAgAGYAcgBvAG0AIABhACAAMgBEACAAYQByAHIAYQB5ACAAYgBhAHMAZQBkACAAbwBuACAAYwBvAG4AdABpAGcAdQBvAHUAcwAgAHMAdQBiAGcAcgBvAHUAcAAgAHIAdQBuAHMALgAgAEEAIABwAG8AcwBpAHQAaQB2AGUAXABuACAAIAAgACAAZABlAGwAZQB0AGUAIAB2AGEAbAB1AGUAIAB0AHIAaQBtAHMAIAByAG8AdwBzACAAZgByAG8AbQAgAHQAaABlACAAdABvAHAAIABvAGYAIABlAGEAYwBoACAAcwB1AGIAZwByAG8AdQBwACAAcgB1AG4AOwAgAGEAIABuAGUAZwBhAHQAaQB2AGUAIABkAGUAbABlAHQAZQBcAG4AIAAgACAAIAB2AGEAbAB1AGUAIAB0AHIAaQBtAHMAIAByAG8AdwBzACAAZgByAG8AbQAgAHQAaABlACAAYgBvAHQAdABvAG0ALgBcAG4AXABuAFAAYQByAGEAbQBlAHQAZQByAHMAOgBcAG4AIAAgACAAIABhAHIAcgBhAHkAIAAgACAAIAAgACAAIAAgACAAIAAgAC0AIAAyAEQAIABhAHIAcgBhAHkALgBcAG4AIAAgACAAIABkAGUAbABlAHQAZQAgACAAIAAgACAAIAAgACAAIAAgAC0AIABTAGMAYQBsAGEAcgAgAGkAbgB0AGUAZwBlAHIAOgBcAG4AIAAgACAAIAAgACAAIAAgACAAIAAgACAAIAAgACAAIAAgACAAIAAgACAAIAAgACAAIAAgAD4AIAAwACAAkiEgAHQAcgBpAG0AIABmAHIAbwBtACAAdABvAHAAIABvAGYAIABlAGEAYwBoACAAcgB1AG4AXABuACAAIAAgACAAIAAgACAAIAAgACAAIAAgACAAIAAgACAAIAAgACAAIAAgACAAIAAgACAAIAA8ACAAMAAgAJIhIAB0AHIAaQBt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FIAbwB3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AAGQAZQBsAGUAdABl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ZABlAGwAZQB0AGUAKQAsAFwAbgAgACAAIAAgAE4AbwB0AFMAYwBhAGwAYQByAD8ALAAgACAAIAAgACAAIAAgACAAIABBAE4ARAAoAE4ATwBUACgASQBzAFQAZQB4AHQAPwApACwAIABDAE8AVQBOAFQAQQAoAGQAZQBsAGUAdABl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AAIAAgACAASQBGACgATwBuAGUAUwB1AGIARwByAG8AdQBwAD8ALAAgAEQAaQBzAGMAYQByAGQALABcAG4AIAAgACAAIAAgACAAIAAgAEkARgAoAGgAYQBsAHQALAAgAGEAbABlAHIAdAAsAFwAbgBcAG4ATABFAFQAKABcAG4AIAAgACAAIAAvAC8AIABEAGkAcgBlAGMAdABpAG8AbgA6ACAAKwB0AG8AcAAsACAAEyBiAG8AdAB0AG8AbQBcAG4AIAAgACAAIABzACwAIAAgACAAIAAgACAAIAAgACAAIAAgACAAIAAgACAAIAAgACAAUwBJAEcATgAoAGQAZQBsAGUAdABlACkALABcAG4AXABuACAAIAAgACAALwAvACAAUgB1AG4AIABpAG4AZABpAGMAZQBzAFwAbgAgACAAIAAgAGEAcwBjAGUAbgBkACwAIAAgACAAIAAgACAAIAAgACAAIAAgACAAIABTAHQAcgBlAGEAawC7AygAYQB0AF8AZQBhAGMAaABfAGMAaABhAG4AZwBlACkALABcAG4AIAAgACAAIABkAGUAcwBjAGUAbgBkACwAIAAgACAAIAAgACAAIAAgACAAIAAgACAAQwBvAHUAbgB0AGQAbwB3AG4AuwMoAGEAdABfAGUAYQBjAGgAXwBjAGgAYQBuAGcAZ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PgAgAGQAZQBsAGUAdABlAFwAbgAgACAAIAAgAGsAZQBlAHAAPwAsACAAIAAgACAAIAAgACAAIAAgACAAIAAgACAAIABOAE8AVAAoAGkAZAB4ACAAPAA9ACAAZABlAGwAZQB0AGUAKQAsAFwAbgBcAG4AIAAgACAAIAByAGUAcwB1AGwAdAAsACAAIAAgACAAIAAgACAAIAAgACAAIAAgACAARgBJAEwAVABFAFIAKABhAHIAcgBhAHkALAAgAGsAZQBlAHAAPwApACwAXABuAFwAbgAgACAAIAAgAHIAZQBzAHUAbAB0AFwAbgApACkAKQApACkAOwBcAG4AXABuAFwAbgBcAG4ALwAqACAAWwBHAEEAMAAyAF0AIAAtAC0ALQAtAC0ALQAtAC0ALQAtAC0ALQAtAC0ALQAtAC0ALQAtAC0ALQAtAC0ALQAtAC0ALQAtAC0ALQAtAC0ALQAtAC0ALQAtAC0ALQAtAC0ALQAtAC0ALQAtAC0ALQAtAC0ALQAtAC0ALQAtAC0ALQAtAC0ALQAtAC0ALQAtAC0ALQAtAC0ALQAtAC0ALQAtAFwAbgBGAHUAbgBjAHQAaQBvAG4AOgAgACAAIAAgACAARABlAGwAZQB0AGUAQwBvAGwAcwC7A1wAbgBDAGEAdABlAGcAbwByAHkAOgAgACAAIAAgACAARwByAGkAZAAgAEEAbABnAGUAYgByAGEAIAAoAEQAZQBsAGUAdABpAG8AbgApAFwAbgBBAHUAdABoAG8AcgA6ACAAIAAgACAAIAAgACAAUABhAHQAcgBpAGMAawAgAEgALgBcAG4AVgBlAHIAcwBpAG8AbgA6ACAAIAAgACAAIAAgADEALgAxAFwAbgBEAGUAcABlAG4AZABlAG4AYwBpAGUAcwA6ACAAUwB0AHIAZQBhAGsAuwMsACAAQwBvAHUAbgB0AGQAbwB3AG4AuwNcAG4AXABuAEQAZQBzAGMAcgBpAHAAdABpAG8AbgA6AFwAbgAgACAAIAAgAEQAZQBsAGUAdABlAHMAIABjAG8AbAB1AG0AbgBzACAAZgByAG8AbQAgAGEAIAAyAEQAIABhAHIAcgBhAHkAIABiAGEAcwBlAGQAIABvAG4AIABjAG8AbgB0AGkAZwB1AG8AdQBzACAAcwB1AGIAZwByAG8AdQBwACAAcgB1AG4AcwAuACAAQQAgAHAAbwBzAGkAdABpAHYAZQBcAG4AIAAgACAAIABkAGUAbABlAHQAZQAgAHYAYQBsAHUAZQAgAHQAcgBpAG0AcwAgAGMAbwBsAHUAbQBuAHMAIABmAHIAbwBtACAAdABoAGUAIABsAGUAZgB0ACAAbwBmACAAZQBhAGMAaAAgAHMAdQBiAGcAcgBvAHUAcAAgAHIAdQBuADsAIABhACAAbgBlAGcAYQB0AGkAdgBlAFwAbgAgACAAIAAgAGQAZQBsAGUAdABlACAAdgBhAGwAdQBlACAAdAByAGkAbQBzACAAYwBvAGwAdQBtAG4AcwAgAGYAcgBvAG0AIAB0AGgAZQAgAHIAaQBnAGgAdAAuAFwAbgBcAG4AUABhAHIAYQBtAGUAdABlAHIAcwA6AFwAbgAgACAAIAAgAGEAcgByAGEAeQAgACAAIAAgACAAIAAgACAAIAAgACAALQAgADIARAAgAGEAcgByAGEAeQAuAFwAbgAgACAAIAAgAGQAZQBsAGUAdABlACAAIAAgACAAIAAgACAAIAAgACAALQAgAFMAYwBhAGwAYQByACAAaQBuAHQAZQBnAGUAcgA6AFwAbgAgACAAIAAgACAAIAAgACAAIAAgACAAIAAgACAAIAAgACAAIAAgACAAIAAgACAAIAAgACAAPgAgADAAIACSISAAdAByAGkAbQAgAGYAcgBvAG0AIABsAGUAZgB0ACAAbwBmACAAZQBhAGMAaAAgAHIAdQBuAFwAbgAgACAAIAAgACAAIAAgACAAIAAgACAAIAAgACAAIAAgACAAIAAgACAAIAAgACAAIAAgACAAPAAgADAAIACSISAAdAByAGkAbQAgAGYAcgBvAG0AIAByAGkAZwBoAHQAIABvAGYAIABlAGEAYwBoACAAcgB1AG4AXABuACAAIAAgACAAYQB0AF8AZQBhAGMAaABfAGMAaABhAG4AZwBlACAAIAAtACAAUwB1AGIAZwByAG8AdQBwACAAbABhAGIAZQBsAHMAIAAoAHMAYQBtAGUAIAB3AGkAZAB0AGgAIABhAHMAIABhAHIAcgBhAHkAKQAuAFwAbgBcAG4ATgBvAHQAZQBzADoAXABuACAAIAAgACAAIiAgAEkAZgAgAG8AbgBsAHkAIABvAG4AZQAgAHMAdQBiAGcAcgBvAHUAcAAgAGUAeABpAHMAdABzACwAIABEAFIATwBQACgAKQAgAGkAcwAgAHUAcwBlAGQAIABhAHMAIABhACAAZgBhAHMAdAAgAHAAYQB0AGgALgBcAG4AIAAgACAAIAAiICAAZABlAGwAZQB0AGU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QAZQBsAGUAdABlAEMAbwBsAHMAuwMgAD0AXABuAEwAQQBNAEIARABBACgAXABuACAAIAAgACAAYQByAHIAYQB5ACwAXABuACAAIAAgACAAZABlAGwAZQB0AGU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sACAAMQApACkAIAA9ACAAMQAsAFwAbgAgACAAIAAgAEQAaQBzAGMAYQByAGQALAAgACAAIAAgACAAIAAgACAAIAAgACAAIABEAFIATwBQACgAYQByAHIAYQB5ACwAIAAsACAAQABkAGUAbABlAHQAZQApACwAXABuAFwAbgAgACAAIAAgAC8ALwAgAFYAYQBsAGkAZABhAHQAaQBvAG4AXABuACAAIAAgACAAUwBoAGEAcABlAE0AaQBzAG0AYQB0AGMAaAA/ACwAIAAgACAAIAAgAEMATwBMAFUATQBOAFMAKABhAHIAcgBhAHkAKQAgADwAPgAgAEMATwBMAFUATQBOAFMAKABhAHQAXwBlAGEAYwBoAF8AYwBoAGEAbgBnAGUAKQAsAFwAbgAgACAAIAAgAEkAcwBUAGUAeAB0AD8ALAAgACAAIAAgACAAIAAgACAAIAAgACAAIABJAFMAVABFAFgAVAAoAGQAZQBsAGUAdABlACkALABcAG4AIAAgACAAIABOAG8AdABTAGMAYQBsAGEAcgA/ACwAIAAgACAAIAAgACAAIAAgACAAQQBOAEQAKABOAE8AVAAoAEkAcwBUAGUAeAB0AD8AKQAsACAAQwBPAFUATgBUAEEAKABkAGUAbABlAHQAZQ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gACAAIAAgAEkARgAoAE8AbgBlAFMAdQBiAEcAcgBvAHUAcAA/ACwAIABEAGkAcwBjAGEAcgBkACwAXABuACAAIAAgACAAIAAgACAAIABJAEYAKABoAGEAbAB0ACwAIABhAGwAZQByAHQALABcAG4AXABuAEwARQBUACgAXABuACAAIAAgACAALwAvACAARABpAHIAZQBjAHQAaQBvAG4AOgAgACsAbABlAGYAdAAsACAAEyByAGkAZwBoAHQAXABuACAAIAAgACAAcwAsACAAIAAgACAAIAAgACAAIAAgACAAIAAgACAAIAAgACAAIAAgAFMASQBHAE4AKABkAGUAbABlAHQAZQApACwAXABuAFwAbgAgACAAIAAgAC8ALwAgAFIAdQBuACAAaQBuAGQAaQBjAGUAcwAgACgAaABvAHIAaQB6AG8AbgB0AGEAbAApAFwAbgAgACAAIAAgAGEAcwBjAGUAbgBkACwAIAAgACAAIAAgACAAIAAgACAAIAAgACAAIABTAHQAcgBlAGEAawC7AygAYQB0AF8AZQBhAGMAaABfAGMAaABhAG4AZwBlACwAIABUAFIAVQBFACkALABcAG4AIAAgACAAIABkAGUAcwBjAGUAbgBkACwAIAAgACAAIAAgACAAIAAgACAAIAAgACAAQwBvAHUAbgB0AGQAbwB3AG4AuwMoAGEAdABfAGUAYQBjAGgAXwBjAGgAYQBuAGcAZQAsACAAVABSAFUARQApACwAXABuACAAIAAgACAAZABlAGwAZQB0AGUALAAgACAAIAAgACAAIAAgACAAIAAgACAAIAAgAEEAQgBTACgAZABlAGwAZQB0AGU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jAG8AbAB1AG0AbgBzACAAdwBoAGUAcgBlACAAaQBuAGQAZQB4ACAAPgAgAGQAZQBsAGUAdABlAFwAbgAgACAAIAAgAGsAZQBlAHAAPwAsACAAIAAgACAAIAAgACAAIAAgACAAIAAgACAAIABOAE8AVAAoAGkAZAB4ACAAPAA9ACAAZABlAGwAZQB0AGUAKQAsAFwAbgBcAG4AIAAgACAAIAAvAC8AIABDAG8AbAB1AG0AbgARIHcAaQBzAGUAIABmAGkAbAB0AGUAcgBcAG4AIAAgACAAIAByAGUAcwB1AGwAdAAsACAAIAAgACAAIAAgACAAIAAgACAAIAAgACAARgBJAEwAVABFAFIAKABhAHIAcgBhAHkALAAgAGsAZQBlAHAAPwApACwAXABuAFwAbgAgACAAIAAgAHIAZQBzAHUAbAB0AFwAbgApACkAKQApACkAOwBcAG4AXABuAFwAbgBcAG4ALwAqACAAWwBHAEEAMAAzAF0AIAAtAC0ALQAtAC0ALQAtAC0ALQAtAC0ALQAtAC0ALQAtAC0ALQAtAC0ALQAtAC0ALQAtAC0ALQAtAC0ALQAtAC0ALQAtAC0ALQAtAC0ALQAtAC0ALQAtAC0ALQAtAC0ALQAtAC0ALQAtAC0ALQAtAC0ALQAtAC0ALQAtAC0ALQAtAC0ALQAtAC0ALQAtAC0ALQAtAFwAbgBGAHUAbgBjAHQAaQBvAG4AOgAgACAAIAAgACAARABlAGwAZQB0AGUAVwBoAGUAc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dgBlAHIAdABpAGMAYQBsACAAYQBuAGQAIABoAG8AcgBpAHoAbwBuAHQAYQBsACAAdgBlAGMAdABvAHIAcwAgAGYAcgBvAG0AIABhACAAMgBEACAAYQByAHIAYQB5ACAAYgBhAHMAZQBkACAAbwBuACAAYQAgAHAAcgBlAGQAaQBjAGEAdABlAFwAbgAgACAAIAAgAEwAYQBtAGIAZABhAC4AIABUAGgAZQAgAHAAcgBlAGQAaQBjAGEAdABlACAAaQBzACAAYQBwAHAAbABpAGUAZAAgAHQAbwAgAGUAYQBjAGgAIAByAG8AdwAgAGEAbgBkACAAZQBhAGMAaAAgAGMAbwBsAHUAbQBuADsAIABhAG4AeQAgAHYAZQBjAHQAbwByACAAZgBvAHIAXABuACAAIAAgACAAdwBoAGkAYwBoACAAdABoAGUAIABwAHIAZQBkAGkAYwBhAHQAZQAgAHIAZQB0AHUAcgBuAHMAIABUAFIAVQBFACAAaQBzACAAcgBlAG0AbwB2AGUAZAAuAFwAbgBcAG4AUABhAHIAYQBtAGUAdABlAHIAcwA6AFwAbgAgACAAIAAgAGEAcgByAGEAeQAgACAAIAAgACAAIAAgAC0AIAAxAEQAIABvAHIAIAAyAEQAIABhAHIAcgBhAHkALgBcAG4AIAAgACAAIABmAHUAbgBjAHQAaQBvAG4AIAAgACAAIAAtACAATABhAG0AYgBkAGEAIABhAHAAcABsAGkAZQBkACAAdABvACAAZQBhAGMAaAAgAHIAbwB3ACAAYQBuAGQAIABjAG8AbAB1AG0AbgAgAHYAZQBjAHQAbwByAC4AXABuAFwAbgBOAG8AdABlAHMAOgBcAG4AIAAgACAAIAAiICAAVABoAGUAIABwAHIAZQBkAGkAYwBhAHQAZQAgAGkAcwAgAGUAdgBhAGwAdQBhAHQAZQBkACAAaQBuAGQAZQBwAGUAbgBkAGUAbgB0AGwAeQAgAGYAbwByACAAcgBvAHcAcwAgACgAQgBZAFIATwBXACkAIABhAG4AZAAgAGMAbwBsAHUAbQBuAHMAIAAoAEIAWQBDAE8ATAApAC4AXABuACAAIAAgACAAIiAgAEkAZgAgAG4AbwAgAHIAbwB3AHMAIABvAHIAIABjAG8AbAB1AG0AbgBzACAAYQByAGUAIAByAGUAbQBvAHYAZQBkACwAIABcACIAIwBFAE0AUABUAFkALQBBAFIAUgBBAFkAIQBcACIAIABpAHMAIAByAGUAdAB1AHIAbgBlAGQALgBcAG4ALQAtAC0ALQAtAC0ALQAtAC0ALQAtAC0ALQAtAC0ALQAtAC0ALQAtAC0ALQAtAC0ALQAtAC0ALQAtAC0ALQAtAC0ALQAtAC0ALQAtAC0ALQAtAC0ALQAtAC0ALQAtAC0ALQAtAC0ALQAtAC0ALQAtAC0ALQAtAC0ALQAtAC0ALQAtAC0ALQAtAC0ALQAtAC0ALQAtAC0ALQAtAC0AKgAvAFwAbgBcAG4ARABlAGwAZQB0AGUAVwBoAGUAcgBlALsDIAA9AFwAbgBMAEEATQBCAEQAQQAoAFwAbgAgACAAIAAgAGEAcgByAGEAeQAsAFwAbgAgACAAIAAgAGYAdQBuAGMAdABpAG8AbgAsAFwAbgBMAEUAVAAoAFwAbgAgACAAIAAgAC8ALwAgAEkAbgBkAGUAeAAgAHMAZQBxAHUAZQBuAGMAZQBzAFwAbgAgACAAIAAgAGkALAAgACAAIAAgACAAIAAgACAAIAAgAFMARQBRAFUARQBOAEMARQAoAFIATwBXAFMAKABhAHIAcgBhAHkAKQApACwAXABuACAAIAAgACAAagAsACAAIAAgACAAIAAgACAAIAAgACAAUwBFAFEAVQBFAE4AQwBFACgALAAgAEMATwBMAFUATQBOAFMAKABhAHIAcgBhAHkAKQApACwAXABuAFwAbgAgACAAIAAgAC8ALwAgAE4AZQBnAGEAdABlAGQAIABwAHIAZQBkAGkAYwBhAHQAZQAgACgAVABSAFUARQAgAD0AIABrAGUAZQBwACkAXABuACAAIAAgACAAZgBuACwAIAAgACAAIAAgACAAIAAgACAATABBAE0AQgBEAEEAKAB2ACwAIABOAE8AVAAoAGYAdQBuAGMAdABpAG8AbgAoAHYAKQApACkALABcAG4AXABuACAAIAAgACAALwAvACAAUgBvAHcAIABhAG4AZAAgAGMAbwBsAHUAbQBuACAAaQBuAGQAaQBjAGUAcwAgAHQAbwAgAGsAZQBlAHAAXABuACAAIAAgACAAYQAsACAAIAAgACAAIAAgACAAIAAgACAAVABPAEMATwBMACgASQBGACgAQgBZAFIATwBXACgAYQByAHIAYQB5ACwAIABmAG4AKQAsACAAaQAsACAATgBBACgAKQApACwAIAAyACkALABcAG4AIAAgACAAIABiACwAIAAgACAAIAAgACAAIAAgACAAIABUAE8AUgBPAFcAKABJAEYAKABCAFkAQwBPAEwAKABhAHIAcgBhAHkALAAgAGYAbgApACwAIABqACwAIABOAEEAKAApACkALAAgADIAKQAsAFwAbgBcAG4AIAAgACAAIAAvAC8AIABOAG8AIAByAGUAbQBvAHYAYQBsAHMAPwBcAG4AIAAgACAAIABJAHMARQBtAHAAdAB5AD8ALAAgACAAIABBAE4ARAAoAEkAUwBFAFIAUgBPAFIAKABhACkALAAgAEkAUwBFAFIAUgBPAFIAKABiACkAKQAsAFwAbgBcAG4AIAAgACAAIAAvAC8AIABOAGUAdwAgAHMAaABhAHAAZQBcAG4AIAAgACAAIAB4ACwAIAAgACAAIAAgACAAIAAgACAAIABSAE8AVwBTACgAYQApACwAXABuACAAIAAgACAAeQAsACAAIAAgACAAIAAgACAAIAAgACAAQwBPAEwAVQBNAE4AUwAoAGIAKQAsAFwAbgBcAG4AIAAgACAAIAAvAC8AIABJAG4AZABlAHgAIABnAHIAaQBkAHMAXABuACAAIAAgACAAcgAsACAAIAAgACAAIAAgACAAIAAgACAAYQAgACoAIABTAEUAUQBVAEUATgBDAEUAKAAsACAAeQAsACAAMQAsACAAMAApACwAXABuACAAIAAgACAAYwAsACAAIAAgACAAIAAgACAAIAAgACAAYgAgACoAIABTAEUAUQBVAEUATgBDAEUAKAB4ACwAIAAsACAAMQAsACAAMAApACwAXABuAFwAbgAgACAAIAAgAHIAZQBzAHUAbAB0ACwAIAAgACAAIAAgAEkARgAoAEkAcwBFAG0AcAB0AHkAPwAsACAAXAAiACMARQBNAFAAVABZAC0AQQBSAFIAQQBZACEAXAAiACwAIABJAE4ARABFAFgAKABhAHIAcgBhAHkALAAgAHIALAAgAGMAKQApACwAXABuAFwAbgAgACAAIAAgAHIAZQBzAHUAbAB0AFwAbgApACkAOwBcAG4AXABuAFwAbgBcAG4ALwAqACAAWwBHAEEAMAA0AF0AIAAtAC0ALQAtAC0ALQAtAC0ALQAtAC0ALQAtAC0ALQAtAC0ALQAtAC0ALQAtAC0ALQAtAC0ALQAtAC0ALQAtAC0ALQAtAC0ALQAtAC0ALQAtAC0ALQAtAC0ALQAtAC0ALQAtAC0ALQAtAC0ALQAtAC0ALQAtAC0ALQAtAC0ALQAtAC0ALQAtAC0ALQAtAC0ALQAtAFwAbgBGAHUAbgBjAHQAaQBvAG4AOgAgACAAIAAgACAAUABpAG4AYwBo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YQBuAHkAIABmAHUAbABsACAAcgBvAHcAcwAgAG8AcgAgAGMAbwBsAHUAbQBuAHMAIAB3AGgAbwBzAGUAIABjAGUAbABsAHMAIABhAGwAbAAgAGgAYQB2AGUAIABMAEUATgAoAGMAZQBsAGwAKQAgAD0AIAAwAC4AIABSAG8AdwBzACAAbwByAFwAbgAgACAAIAAgAGMAbwBsAHUAbQBuAHMAIABjAG8AbgB0AGEAaQBuAGkAbgBnACAAbwBuAGwAeQAgAGUAbQBwAHQAeQAgAHMAdAByAGkAbgBnAHMAIABvAHIAIABlAHIAcgBvAHIAcwAgAGEAcgBlACAAZABpAHMAYwBhAHIAZABlAGQALgAgAFAAaQBuAGMAaAC7AyAAaQBzACAAYQBcAG4AIAAgACAAIABzAHQAcgB1AGMAdAB1AHIAYQBsACAAYwBsAGUAYQBuAHUAcAAgAG8AcABlAHIAYQB0AG8AcgAgAGYAbwByACAAdAByAGkAbQBtAGkAbgBnACAAdwBoAGkAdABlAHMAcABhAGMAZQARIG8AbgBsAHkAIABvAHIAIABuAHUAbABsACAAcgBlAGcAaQBvAG4AcwAuAFwAbgBcAG4AUABhAHIAYQBtAGUAdABlAHIAcwA6AFwAbgAgACAAIAAgAGEAcgByAGEAeQAgACAAIAAtACAAMQBEACAAbwByACAAMgBEACAAYQByAHIAYQB5ACAAZgByAG8AbQAgAHcAaABpAGMAaAAgAGUAbQBwAHQAeQAgAHIAbwB3AHMAIABhAG4AZAAgAGMAbwBsAHUAbQBuAHMAIABhAHIAZQAgAHIAZQBtAG8AdgBlAGQALgBcAG4AXABuAE4AbwB0AGUAcwA6AFwAbgAgACAAIAAgACIgIABJAGYAIAB0AGgAZQAgAGkAbgBwAHUAdAAgAGEAcgByAGEAeQAgAGkAcwAgAGUAbQBwAHQAeQAsACAAUABpAG4AYwBoALsDIAByAGUAdAB1AHIAbgBzACAAMAAuAFwAbgAgACAAIAAgACIgIABFAHIAcgBvAHIAcwAgAGEAcgBlACAAdAByAGUAYQB0AGUAZAAgAGEAcwAgAG4AbwBuABEgZQBtAHAAdAB5ADsAIABvAG4AbAB5ACAAcgBvAHcAcwAvAGMAbwBsAHUAbQBuAHMAIAB3AGgAZQByAGUAIABMAEUATgAoAGMAZQBsAGwAKQAgAD0AIAAwACAAZgBvAHIAXABuACAAIAAgACAAIAAgAGEAbABsACAAYwBlAGwAbABzACAAYQByAGUAIAByAGUAbQBvAHYAZQBkAC4AXABuACAAIAAgACAAIiAgAFAAaQBuAGMAaAC7AyAAcAByAGUAcwBlAHIAdgBlAHMAIAB0AGgAZQAgAGQAaQBtAGUAbgBzAGkAbwBuAGEAbABpAHQAeQAgAG8AZgAgAG4AbwBuABEgZQBtAHAAdAB5ACAAcgBlAGcAaQBvAG4AcwAgAGEAbgBkACAAZABvAGUAcwAgAG4AbwB0ACAAYQBsAHQAZQByAFwAbgAgACAAIAAgACAAIABpAG4AdABlAHIAbgBhAGwAIABjAG8AbgB0AGUAbgB0AC4AXABuAC0ALQAtAC0ALQAtAC0ALQAtAC0ALQAtAC0ALQAtAC0ALQAtAC0ALQAtAC0ALQAtAC0ALQAtAC0ALQAtAC0ALQAtAC0ALQAtAC0ALQAtAC0ALQAtAC0ALQAtAC0ALQAtAC0ALQAtAC0ALQAtAC0ALQAtAC0ALQAtAC0ALQAtAC0ALQAtAC0ALQAtAC0ALQAtAC0ALQAtAC0ALQAtACoALwBcAG4AXABuAFAAaQBuAGMAaAC7AyAAPQBcAG4ATABBAE0AQgBEAEEAKABcAG4AIAAgACAAIABhAHIAcgBhAHkALABcAG4AXABuAEkARgAoAEMATwBVAE4AVABBACgAYQByAHIAYQB5ACkAIAA9ACAAMAAsADAALABcAG4AXABuAEwARQBUACgAXABuACAAIAAgACAALwAvACAATgBvAG4AESBlAG0AcAB0AHkAIABtAGEAcwBrAFwAbgAgACAAIAAgAGIAbwBvAGwALAAgACAAIAAgACAAIAAgACAAIAAgACAAIAAgACAAIABMAEUATgAoAGEAcgByAGEAeQApACAAPAA+ACAAMAAsAFwAbgBcAG4AIAAgACAAIAAvAC8AIABSAG8AdwAvAGMAbwBsAHUAbQBuACAAawBlAGUAcAAgAGYAbABhAGcAcwBcAG4AIAAgACAAIABPAFIAuwMsACAAIAAgACAAIAAgACAAIAAgACAAIAAgACAAIAAgACAATABBAE0AQgBEAEEAKAB2ACwAIABJAEYARQBSAFIATwBSACgATwBSACgAVABPAEMATwBMACgAdgAsACAAMgApACkALAAgAEYAQQBMAFMARQApACkALABcAG4AIAAgACAAIABtAGEAcgBrAF8AcgBvAHcAcwAsACAAIAAgACAAIAAgACAAIAAgACAAQgBZAFIATwBXACgAYgBvAG8AbAAsACAATwBSALsDKQAsAFwAbgAgACAAIAAgAG0AYQByAGsAXwBjAG8AbABzACwAIAAgACAAIAAgACAAIAAgACAAIABCAFkAQwBPAEwAKABiAG8AbwBsACwAIABPAFIAuwMpACwAXABuAFwAbgAgACAAIAAgAC8ALwAgAFIAZQBtAG8AdgBlACAAZQBtAHAAdAB5ACAAcgBvAHcAcwBcAG4AIAAgACAAIABmAGkAcgBzAHQAXwBwAGEAcwBzACwAIAAgACAAIAAgACAAIAAgACAARgBJAEwAVABFAFIAKABhAHIAcgBhAHkALAAgAG0AYQByAGsAXwByAG8AdwBzACwAIAAwACkALABcAG4AXABuACAAIAAgACAALwAvACAAUgBlAG0AbwB2AGUAIABlAG0AcAB0AHkAIABjAG8AbAB1AG0AbgBzAFwAbgAgACAAIAAgAHIAZQBzAHUAbAB0ACwAIAAgACAAIAAgACAAIAAgACAAIAAgACAAIABGAEkATABUAEUAUgAoAGYAaQByAHMAdABfAHAAYQBzAHMALAAgAG0AYQByAGsAXwBjAG8AbABzACwAIAAwACkALABcAG4AXABuACAAIAAgACAAcgBlAHMAdQBsAHQAXABuACkAKQApADsAXABuAFwAbgBcAG4AXABuAC8AKgAgAFsARwBBADAANQBdACAALQAtAC0ALQAtAC0ALQAtAC0ALQAtAC0ALQAtAC0ALQAtAC0ALQAtAC0ALQAtAC0ALQAtAC0ALQAtAC0ALQAtAC0ALQAtAC0ALQAtAC0ALQAtAC0ALQAtAC0ALQAtAC0ALQAtAC0ALQAtAC0ALQAtAC0ALQAtAC0ALQAtAC0ALQAtAC0ALQAtAC0ALQAtAC0ALQBcAG4ARgB1AG4AYwB0AGkAbwBuADoAIAAgACAAIAAgAFIAZQBtAG8AdgBlALsDXABuAEMAYQB0AGUAZwBvAHIAeQA6ACAAIAAgACAAIABHAHIAaQBkACAAQQBsAGcAZQBiAHIAYQAgACgARABlAGwAZQB0AGkAbwBuACkAXABuAEEAdQB0AGgAbwByADoAIAAgACAAIAAgACAAIABQAGEAdAByAGkAYwBrACAASAAuAFwAbgBWAGUAcgBzAGkAbwBuADoAIAAgACAAIAAgACAAMQAuADEAXABuAFwAbgBEAGUAcwBjAHIAaQBwAHQAaQBvAG4AOgBcAG4AIAAgACAAIABSAGUAbQBvAHYAZQBzACAAcwBwAGUAYwBpAGYAaQBjACAAcgBvAHcAcwAgAGEAbgBkAC8AbwByACAAYwBvAGwAdQBtAG4AcwAgAGYAcgBvAG0AIABhACAAcwB1AHAAcABsAGkAZQBkACAAYQByAHIAYQB5AC4AIABSAGUAbQBvAHYAZQC7AyAAcwB1AHAAcABvAHIAdABzAFwAbgAgACAAIAAgAHMAYwBhAGwAYQByAHMALAAgADEARAAgAGEAcgByAGEAeQBzACwAIABhAG4AZAAgADIARAAgAGEAcgByAGEAeQBzACAAZgBvAHIAIABiAG8AdABoACAAcgBvAHcAIABhAG4AZAAgAGMAbwBsAHUAbQBuACAAaQBuAGQAZQB4ACAAaQBuAHAAdQB0AHMALgAgAEEAbABsAFwAbgAgACAAIAAgAGkAbgBkAGUAeAAgAGkAbgBwAHUAdABzACAAYQByAGUAIABmAGwAYQB0AHQAZQBuAGUAZAAgAGIAZQBmAG8AcgBlACAAZQB2AGEAbAB1AGEAdABpAG8AbgAuAFwAbgBcAG4AUABhAHIAYQBtAGUAdABlAHIAcwA6AFwAbgAgACAAIAAgAGEAcgByAGEAeQAgACAAIAAtACAAUgBlAHEAdQBpAHIAZQBkACAAYQByAHIAYQB5ACAAZgByAG8AbQAgAHcAaABpAGMAaAAgAHIAbwB3AHMAIABhAG4AZAAvAG8AcgAgAGMAbwBsAHUAbQBuAHMAIABhAHIAZQAgAHIAZQBtAG8AdgBlAGQALgBcAG4AIAAgACAAIABbAHIAbwB3AHMAXQAgACAALQAgAE8AcAB0AGkAbwBuAGEAbAAgAHIAbwB3ACAAaQBuAGQAZQB4ACAAbwByACAAYQByAHIAYQB5ACAAbwBmACAAaQBuAGQAaQBjAGUAcwAgAHQAbwAgAHIAZQBtAG8AdgBlAC4AXABuACAAIAAgACAAWwBjAG8AbABzAF0AIAAgAC0AIABPAHAAdABpAG8AbgBhAGwAIABjAG8AbAB1AG0AbgAgAGkAbgBkAGUAeAAgAG8AcgAgAGEAcgByAGEAeQAgAG8AZgAgAGkAbgBkAGkAYwBlAHMAIAB0AG8AIAByAGUAbQBvAHYAZQAuAFwAbgBcAG4ATgBvAHQAZQBzADoAXABuACAAIAAgACAAIiAgAFIAZQB0AHUAcgBuAHMAIABcACIAIwBJAE4AVgBBAEwASQBEAC0AUgBPAFcAIQBcACIAIABpAGYAIABhAG4AeQAgAHIAbwB3ACAAaQBuAGQAZQB4ACAAaQBzACAAbwB1AHQAIABvAGYAIABiAG8AdQBuAGQAcwAuAFwAbgAgACAAIAAgACIgIABSAGUAdAB1AHIAbgBzACAAXAAiACMASQBOAFYAQQBMAEkARAAtAEMATwBMACEAXAAiACAAaQBmACAAYQBuAHkAIABjAG8AbAB1AG0AbgAgAGkAbgBkAGUAeAAgAGkAcwAgAG8AdQB0ACAAbwBmACAAYgBvAHUAbgBkAHMALgBcAG4AIAAgACAAIAAiICAAUwBjAGEAbABhAHIAcwAgAGEAcgBlACAAcgBlAHQAdQByAG4AZQBkACAAdQBuAGMAaABhAG4AZwBlAGQALgBcAG4AIAAgACAAIAAiICAAUgBvAHcALwBjAG8AbAB1AG0AbgAgAGkAbgBkAGUAeAAgAGkAbgBwAHUAdABzACAAYQByAGUAIABmAGwAYQB0AHQAZQBuAGUAZAAgAHcAaQB0AGgAIABUAE8AQwBPAEwAIABmAG8AcgAgAGMAbwBuAHMAaQBzAHQAZQBuAGMAeQAuAFwAbgAtAC0ALQAtAC0ALQAtAC0ALQAtAC0ALQAtAC0ALQAtAC0ALQAtAC0ALQAtAC0ALQAtAC0ALQAtAC0ALQAtAC0ALQAtAC0ALQAtAC0ALQAtAC0ALQAtAC0ALQAtAC0ALQAtAC0ALQAtAC0ALQAtAC0ALQAtAC0ALQAtAC0ALQAtAC0ALQAtAC0ALQAtAC0ALQAtAC0ALQAtAC0ALQAqAC8AXABuAFwAbgBSAGUAbQBvAHYAZQC7AyAAPQBcAG4ATABBAE0AQgBEAEEAKABcAG4AIAAgACAAIABhAHIAcgBhAHkALABcAG4AIAAgACAAIABbAHIAbwB3AHMAXQAsAFwAbgAgACAAIAAgAFsAYwBvAGwAcwBdACwAXABuAEwARQBUACgAXABuACAAIAAgACAALwAvACAARABpAG0AZQBuAHMAaQBvAG4AcwBcAG4AIAAgACAAIABoACwAIAAgACAAIAAgACAAIAAgACAAIAAgACAAIAAgACAAIAAgACAAUgBPAFcAUwAoAGEAcgByAGEAeQApACwAXABuACAAIAAgACAAdwAsACAAIAAgACAAIAAgACAAIAAgACAAIAAgACAAIAAgACAAIAAgAEMATwBMAFUATQBOAFMAKABhAHIAcgBhAHkAKQAsAFwAbgBcAG4AIAAgACAAIAAvAC8AIABPAHAAdABpAG8AbgBhAGwAIABwAGEAcgBhAG0AZQB0AGUAcgAgAHAAcgBlAHMAZQBuAGMAZQBcAG4AIAAgACAAIAByAG8AdwBzAF8AaQBuAGMALAAgACAAIAAgACAAIAAgACAAIAAgACAATgBPAFQAKABJAFMATwBNAEkAVABUAEUARAAoAHIAbwB3AHMAKQApACwAXABuACAAIAAgACAAYwBvAGwAcwBfAGkAbgBjACwAIAAgACAAIAAgACAAIAAgACAAIAAgAE4ATwBUACgASQBTAE8ATQBJAFQAVABFAEQAKABjAG8AbABzACkAKQAsAFwAbgBcAG4AIAAgACAAIAAvAC8AIABSAGUAbQBvAHYAYQBsACAAcwBjAGUAbgBhAHIAaQBvAHMAXABuACAAIAAgACAAUgBlAG0AbwB2AGUAUgBvAHcAcwA/ACwAIAAgACAAIAAgACAAIAAgAEEATgBEACgAcgBvAHcAcwBfAGkAbgBjACwAIABOAE8AVAAoAGMAbwBsAHMAXwBpAG4AYwApACkALABcAG4AIAAgACAAIABSAGUAbQBvAHYAZQBDAG8AbABzAD8ALAAgACAAIAAgACAAIAAgACAAQQBOAEQAKABjAG8AbABzAF8AaQBuAGMALAAgAE4ATwBUACgAcgBvAHcAcwBfAGkAbgBjACkAKQAsAFwAbgAgACAAIAAgAFIAZQBtAG8AdgBlAFIAQwA/ACwAIAAgACAAIAAgACAAIAAgACAAIABBAE4ARAAoAHIAbwB3AHMAXwBpAG4AYwAsACAAYwBvAGwAcwBfAGkAbgBjACkALABcAG4AXABuACAAIAAgACAALwAvACAASABhAGwAdABpAG4AZwAgAHMAYwBlAG4AYQByAGkAbwBzAFwAbgAgACAAIAAgAEkAcwBTAGMAYQBsAGEAcgA/ACwAIAAgACAAIAAgACAAIAAgACAAIABBAE4ARAAoAGgAIAA9ACAAMQAsACAAdwAgAD0AIAAxACkALABcAG4AIAAgACAAIABUAGUAeAB0AFIAbwB3AHMAPwAsACAAIAAgACAAIAAgACAAIAAgACAATwBSACgASQBTAFQARQBYAFQAKAByAG8AdwBzACkAKQAsAFwAbgAgACAAIAAgAFQAZQB4AHQAQwBvAGwAcwA/ACwAIAAgACAAIAAgACAAIAAgACAAIABPAFIAKABJAFMAVABFAFgAVAAoAGMAbwBsAHMAKQApACwAXABuAFwAbgAgACAAIAAgAEkAbgB2AGEAbABpAGQAUgBvAHcAPwAsACAAIAAgACAAIAAgACAAIABJAEYAKABUAGUAeAB0AFIAbwB3AHMAPwAsACAAVABSAFUARQAsAFwAbgAgACAAIAAgACAAIAAgACAAIAAgACAAIAAgACAAIAAgACAAIAAgACAAIAAgACAAIAAgACAAIAAgAEEATgBEACgAcgBvAHcAcwBfAGkAbgBjACwAXABuACAAIAAgACAAIAAgACAAIAAgACAAIAAgACAAIAAgACAAIAAgACAAIAAgACAAIAAgACAAIAAgACAAIAAgACAAIABPAFIAKABNAEkATgAoAHIAbwB3AHMAKQAgADwAIAAxACwAIABNAEEAWAAoAHIAbwB3AHMAKQAgAD4AIABoACkAKQApACwAXABuAFwAbgAgACAAIAAgAEkAbgB2AGEAbABpAGQAQwBvAGwAPwAsACAAIAAgACAAIAAgACAAIABJAEYAKABUAGUAeAB0AEMAbwBsAHMAPwAsACAAVABSAFUARQAsAFwAbgAgACAAIAAgACAAIAAgACAAIAAgACAAIAAgACAAIAAgACAAIAAgACAAIAAgACAAIAAgACAAIAAgAEEATgBEACgAYwBvAGwAcwBfAGkAbgBjACwAXABuACAAIAAgACAAIAAgACAAIAAgACAAIAAgACAAIAAgACAAIAAgACAAIAAgACAAIAAgACAAIAAgACAAIAAgACAAIABPAFIAKABNAEkATgAoAGMAbwBsAHMAKQAgADwAIAAxACwAIABNAEEAWAAoAGMAbwBsAHMAKQAgAD4AIAB3ACkAKQApACwAXABuAFwAbgAvAC8AIABMAG8AZwBpAGMAIABnAGEAdABlAFwAbgAgACAAIAAgAEkARgAoAEkAcwBTAGMAYQBsAGEAcgA/ACwAIABhAHIAcgBhAHkALABcAG4AXABuACAAIAAgACAAIAAgACAAIABJAEYAKABJAG4AdgBhAGwAaQBkAFIAbwB3AD8ALAAgAFwAIgAjAEkATgBWAEEATABJAEQALQBSAE8AVwAhAFwAIgAsAFwAbgBcAG4AIAAgACAAIAAgACAAIAAgACAAIAAgACAASQBGACgASQBuAHYAYQBsAGkAZABDAG8AbAA/ACwAIABcACIAIwBJAE4AVgBBAEwASQBEAC0AQwBPAEwAIQBcACIALABcAG4AXABuAEwARQBUACgAXABuACAAIAAgACAALwAvACAAUgBvAHcALwBjAG8AbAB1AG0AbgAgAGkAbgBkAGUAeAAgAHYAZQBjAHQAbwByAHMAXABuACAAIAAgACAAcgAsACAAIAAgACAAIAAgACAAIAAgACAAIAAgAFMARQBRAFUARQBOAEMARQAoAGgAKQAsAFwAbgAgACAAIAAgAGMALAAgACAAIAAgACAAIAAgACAAIAAgACAAIABTAEUAUQBVAEUATgBDAEUAKAAsACAAdwApACwAXABuAFwAbgAgACAAIAAgAC8ALwAgAEIAbwBvAGwAZQBhAG4AIABtAGEAcwBrAHMAXABuACAAIAAgACAAcgBtAGEAcwBrACwAIAAgACAAIAAgACAAIAAgAEwAQQBNAEIARABBACgASQBTAE4AQQAoAFgATQBBAFQAQwBIACgAcgAsACAAVABPAEMATwBMACgAcgBvAHcAcwApACkAKQApACwAXABuACAAIAAgACAAYwBtAGEAcwBrACwAIAAgACAAIAAgACAAIAAgAEwAQQBNAEIARABBACgASQBTAE4AQQAoAFgATQBBAFQAQwBIACgAYwAsACAAVABPAEMATwBMACgAYwBvAGwAcwApACkAKQApACwAXABuAFwAbgAgACAAIAAgAC8ALwAgAFIAbwB3AC0AbwBuAGwAeQAgAHIAZQBtAG8AdgBhAGwAXABuACAAIAAgACAAcgBvAHcAcwBfAG8AbgBsAHkALAAgACAAIAAgAEwAQQBNAEIARABBACgARgBJAEwAVABFAFIAKABhAHIAcgBhAHkALAAgAHIAbQBhAHMAawAoACkALAAgADAAKQApACwAXABuAFwAbgAgACAAIAAgAC8ALwAgAEMAbwBsAHUAbQBuAC0AbwBuAGwAeQAgAHIAZQBtAG8AdgBhAGwAXABuACAAIAAgACAAYwBvAGwAcwBfAG8AbgBsAHkALAAgACAAIAAgAEwAQQBNAEIARABBACgARgBJAEwAVABFAFIAKABhAHIAcgBhAHkALAAgAGMAbQBhAHMAawAoACkALAAgADAAKQApACwAXABuAFwAbgAgACAAIAAgAC8ALwAgAEIAbwB0AGgAIAByAG8AdwBzACAAYQBuAGQAIABjAG8AbAB1AG0AbgBzAFwAbgAgACAAIAAgAFIAQwBfAHIALAAgACAAIAAgACAAIAAgACAAIABMAEEATQBCAEQAQQAoAEYASQBMAFQARQBSACgAYQByAHIAYQB5ACwAIAByAG0AYQBzAGsAKAApACwAIAAwACkAKQAsAFwAbgAgACAAIAAgAFIAQwAsACAAIAAgACAAIAAgACAAIAAgACAAIABMAEEATQBCAEQAQQAoAEYASQBMAFQARQBSACgAUgBDAF8AcgAoACkALAAgAGMAbQBhAHMAawAoACkALAAgADAAKQApACwAXABuAFwAbgAgACAAIAAgAC8ALwAgAFMAZQBsAGUAYwB0AGkAbwBuAFwAbgAgACAAIAAgAHIAZQBzAHUAbAB0ACwAIAAgACAAIAAgACAAIABJAEYAKABSAGUAbQBvAHYAZQBSAG8AdwBzAD8ALAAgAHIAbwB3AHMAXwBvAG4AbAB5ACgAKQAsAFwAbgAgACAAIAAgACAAIAAgACAAIAAgACAAIAAgACAAIAAgACAAIAAgACAAIAAgACAAIABJAEYAKABSAGUAbQBvAHYAZQBDAG8AbABzAD8ALAAgAGMAbwBsAHMAXwBvAG4AbAB5ACgAKQAsACAAUgBDACgAKQApACkALABcAG4AXABuACAAIAAgACAAcgBlAHMAdQBsAHQAXABuACkAKQApACkAKQApADsAXABuAFwAbgBcAG4AXABuAC8AKgAgAFsARwBBADAANgBdACAALQAtAC0ALQAtAC0ALQAtAC0ALQAtAC0ALQAtAC0ALQAtAC0ALQAtAC0ALQAtAC0ALQAtAC0ALQAtAC0ALQAtAC0ALQAtAC0ALQAtAC0ALQAtAC0ALQAtAC0ALQAtAC0ALQAtAC0ALQAtAC0ALQAtAC0ALQAtAC0ALQAtAC0ALQAtAC0ALQAtAC0ALQAtAC0ALQBcAG4ARgB1AG4AYwB0AGkAbwBuADoAIAAgACAAIAAgAFMAcQB1AGUAZQB6AGUAuwNcAG4AQwBhAHQAZQBnAG8AcgB5ADoAIAAgACAAIAAgAEcAcgBpAGQAIABBAGwAZwBlAGIAcgBhACAAKABEAGUAbABlAHQAaQBvAG4AKQBcAG4AQQB1AHQAaABvAHIAOgAgACAAIAAgACAAIAAgAFAAYQB0AHIAaQBjAGsAIABIAC4AXABuAFYAZQByAHMAaQBvAG4AOgAgACAAIAAgACAAIAAxAC4AMQBcAG4AXABuAEQAZQBzAGMAcgBpAHAAdABpAG8AbgA6AFwAbgAgACAAIAAgAFIAZQBtAG8AdgBlAHMAIABuAHUAbABsACAAYQBuAGQAIABzAHQAcgBhAGkAZwBoAHQAESB6AGUAcgBvACAAdgBlAHIAdABpAGMAYQBsACAAbwByACAAaABvAHIAaQB6AG8AbgB0AGEAbAAgAHYAZQBjAHQAbwByAHMAIABmAHIAbwBtACAAYQAgADIARAAgAGEAcgByAGEAeQAuAFwAbgAgACAAIAAgAFMAdQBwAHAAbwByAHQAcwAgAGEAbgAgAG8AcAB0AGkAbwBuAGEAbAAgAGMAdQBzAHQAbwBtACAAcwBjAGEAbABhAHIAIABjAHIAaQB0AGUAcgBpAG8AbgAgAGYAbwByACAAcgBlAG0AbwB2AGEAbAAuACAAUwBxAHUAZQBlAHoAZQC7AyAAYwBhAG4AIABhAGwAcwBvAFwAbgAgACAAIAAgAG8AcAB0AGkAbwBuAGEAbABsAHkAIABzAHUAcABwAHIAZQBzAHMAIAB6AGUAcgBvAHMAIABpAG4AIAB0AGgAZQAgAGYAaQBuAGEAbAAgAG8AdQB0AHAAdQB0ACAAYgB5ACAAcgBlAHAAbABhAGMAaQBuAGcAIAB0AGgAZQBtACAAdwBpAHQAaAAgAFwAIgBcACIALgBcAG4AXABuAFAAYQByAGEAbQBlAHQAZQByAHMAOgBcAG4AIAAgACAAIABhAHIAcgBhAHkAIAAgACAAIAAgACAAIAAgACAAIAAgACAALQAgADEARAAgAG8AcgAgADIARAAgAGEAcgByAGEAeQAgAGYAcgBvAG0AIAB3AGgAaQBjAGgAIAByAG8AdwBzAC8AYwBvAGwAdQBtAG4AcwAgAGEAcgBlACAAcgBlAG0AbwB2AGUAZAAuAFwAbgAgACAAIAAgAFsAYwB1AHMAdABvAG0AXwBjAHIAaQB0AGUAcgBpAGEAXQAtACAATwBwAHQAaQBvAG4AYQBsACAAcwBjAGEAbABhAHIAIAB1AHMAZQBkACAAYQBzACAAdABoAGUAIAByAGUAbQBvAHYAYQBsACAAYwByAGkAdABlAHIAaQBvAG4ALgBcAG4AIAAgACAAIABbAHMAdQBwAHAAcgBlAHMAcwBfAHoAZQByAG8AcwBdACAALQAgAEkAZgAgAHAAcgBvAHYAaQBkAGUAZAAsACAAegBlAHIAbwBzACAAaQBuACAAdABoAGUAIABmAGkAbgBhAGwAIAByAGUAcwB1AGwAdAAgAGEAcgBlACAAcgBlAHAAbABhAGMAZQBkACAAdwBpAHQAaAAgAFwAIgBcACIALgBcAG4AXABuAE4AbwB0AGUAcwA6AFwAbgAgACAAIAAgACIgIABJAGYAIABiAG8AdABoACAAcgBvAHcAIABhAG4AZAAgAGMAbwBsAHUAbQBuACAAdgBlAGMAdABvAHIAcwAgAGEAcgBlACAAcgBlAG0AbwB2AGUAZAAsACAAdABoAGUAIAByAGUAcwB1AGwAdAAgAG0AYQB5ACAAcwBoAHIAaQBuAGsAIABpAG4AIABiAG8AdABoAFwAbgAgACAAIAAgACAAIABkAGkAbQBlAG4AcwBpAG8AbgBzAC4AXABuACAAIAAgACAAIiAgAEkAZgAgAG4AbwAgAHIAbwB3AHMAIABvAHIAIABjAG8AbAB1AG0AbgBzACAAcgBlAG0AYQBpAG4ALAAgAFwAIgAjAEUATQBQAFQAWQAtAEEAUgBSAEEAWQAhAFwAIgAgAGkAcwAgAHIAZQB0AHUAcgBuAGUAZAAuAFwAbgAgACAAIAAgACIgIABzAHUAcABwAHIAZQBzAHMAXwB6AGUAcgBvAHMAIABvAG4AbAB5ACAAYQBmAGYAZQBjAHQAcwAgAHQAaABlACAAKgBvAHUAdABwAHUAdAAqACwAIABuAG8AdAAgAHQAaABlACAAcgBlAG0AbwB2AGEAbAAgAGwAbwBnAGkAYwAuAFwAbgAtAC0ALQAtAC0ALQAtAC0ALQAtAC0ALQAtAC0ALQAtAC0ALQAtAC0ALQAtAC0ALQAtAC0ALQAtAC0ALQAtAC0ALQAtAC0ALQAtAC0ALQAtAC0ALQAtAC0ALQAtAC0ALQAtAC0ALQAtAC0ALQAtAC0ALQAtAC0ALQAtAC0ALQAtAC0ALQAtAC0ALQAtAC0ALQAtAC0ALQAtAC0ALQAqAC8AXABuAFwAbgBTAHEAdQBlAGUAegBlALsDIAA9AFwAbgBMAEEATQBCAEQAQQAoAFwAbgAgACAAIAAgAGEAcgByAGEAeQAsAFwAbgAgACAAIAAgAFsAYwB1AHMAdABvAG0AXwBjAHIAaQB0AGUAcgBpAGEAXQAsAFwAbgAgACAAIAAgAFsAcwB1AHAAcAByAGUAcwBzAF8AegBlAHIAbwBzAF0ALABcAG4ATABFAFQAKABcAG4AIAAgACAAIAAvAC8AIABaAGUAcgBvABEgcwB1AHAAcAByAGUAcwBzAGkAbwBuACAAZgBsAGEAZwBcAG4AIAAgACAAIABIAGkAZABlAFoAZQByAG8APwAsACAAIAAgACAAIAAgACAAIAAgACAATgBPAFQAKABJAFMATwBNAEkAVABUAEUARAAoAHMAdQBwAHAAcgBlAHMAcwBfAHoAZQByAG8AcwApACkALABcAG4AXABuACAAIAAgACAALwAvACAASQBuAGQAZQB4ACAAcwBlAHEAdQBlAG4AYwBlAHMAXABuACAAIAAgACAAaQAsACAAIAAgACAAIAAgACAAIAAgACAAIAAgACAAIAAgACAAIAAgAFMARQBRAFUARQBOAEMARQAoAFIATwBXAFMAKABhAHIAcgBhAHkAKQApACwAXABuACAAIAAgACAAagAsACAAIAAgACAAIAAgACAAIAAgACAAIAAgACAAIAAgACAAIAAgAFMARQBRAFUARQBOAEMARQAoACwAIABDAE8ATABVAE0ATgBTACgAYQByAHIAYQB5ACkAKQAsAFwAbgBcAG4AIAAgACAAIAAvAC8AIABEAGUAZgBhAHUAbAB0ACAAcgBlAG0AbwB2AGEAbAA6ACAAcgBlAG0AbwB2AGUAIABhAGwAbAARIHoAZQByAG8AIAB2AGUAYwB0AG8AcgBzAFwAbgAgACAAIAAgAEsAZQBlAHAAuwMsACAAIAAgACAAIAAgACAAIAAgACAAIAAgACAAIABMAEEATQBCAEQAQQAoAHYALAAgAE4ATwBUACgAQQBOAEQAKABUAE8AQwBPAEwAKAB2ACwAIAAyACkAIAA9ACAAMAApACkAKQAsAFwAbgBcAG4AIAAgACAAIAAvAC8AIABDAHUAcwB0AG8AbQAgAHIAZQBtAG8AdgBhAGwAOgAgAHIAZQBtAG8AdgBlACAAdgBlAGMAdABvAHIAcwAgAGUAcQB1AGEAbAAgAHQAbwAgAGMAdQBzAHQAbwBtAF8AYwByAGkAdABlAHIAaQBhAFwAbgAgACAAIAAgAEMAdQBzAHQAbwBtALsDLAAgACAAIAAgACAAIAAgACAAIAAgACAAIABMAEEATQBCAEQAQQAoAHYALAAgAE4ATwBUACgAQQBOAEQAKABUAE8AQwBPAEwAKAB2ACwAIAAyACkAIAA9ACAAYwB1AHMAdABvAG0AXwBjAHIAaQB0AGUAcgBpAGEAKQApACkALABcAG4AXABuACAAIAAgACAALwAvACAAUwBlAGwAZQBjAHQAIABwAHIAZQBkAGkAYwBhAHQAZQBcAG4AIAAgACAAIABmAG4ALAAgACAAIAAgACAAIAAgACAAIAAgACAAIAAgACAAIAAgACAASQBGACgASQBTAE8ATQBJAFQAVABFAEQAKABjAHUAcwB0AG8AbQBfAGMAcgBpAHQAZQByAGkAYQApACwAIABLAGUAZQBwALsDLAAgAEMAdQBzAHQAbwBtALsDKQAsAFwAbgBcAG4AIAAgACAAIAAvAC8AIABSAG8AdwAvAGMAbwBsAHUAbQBuACAAaQBuAGQAaQBjAGUAcwAgAHQAbwAgAGsAZQBlAHAAXABuACAAIAAgACAAYQAsACAAIAAgACAAIAAgACAAIAAgACAAIAAgACAAIAAgACAAIAAgAFQATwBDAE8ATAAoAEkARgAoAEIAWQBSAE8AVwAoAGEAcgByAGEAeQAsACAAZgBuACkALAAgAGkALAAgAE4AQQAoACkAKQAsACAAMgApACwAXABuACAAIAAgACAAYgAsACAAIAAgACAAIAAgACAAIAAgACAAIAAgACAAIAAgACAAIAAgAFQATwBSAE8AVwAoAEkARgAoAEIAWQBDAE8ATAAoAGEAcgByAGEAeQAsACAAZgBuACkALAAgAGoALAAgAE4AQQAoACkAKQAsACAAMgApACwAXABuAFwAbgAgACAAIAAgAC8ALwAgAE4AbwAgAHIAbwB3AHMAIABvAHIAIABjAG8AbAB1AG0AbgBzACAAcgBlAG0AYQBpAG4APwBcAG4AIAAgACAAIABJAHMARQBtAHAAdAB5AD8ALAAgACAAIAAgACAAIAAgACAAIAAgACAAQQBOAEQAKABJAFMARQBSAFIATwBSACgAYQApACwAIABJAFMARQBSAFIATwBSACgAYgApACkALABcAG4AXABuACAAIAAgACAALwAvACAATgBlAHcAIABzAGgAYQBwAGUAXABuACAAIAAgACAAeAAsACAAIAAgACAAIAAgACAAIAAgACAAIAAgACAAIAAgACAAIAAgAFIATwBXAFMAKABhACkALABcAG4AIAAgACAAIAB5ACwAIAAgACAAIAAgACAAIAAgACAAIAAgACAAIAAgACAAIAAgACAAQwBPAEwAVQBNAE4AUwAoAGIAKQAsAFwAbgBcAG4AIAAgACAAIAAvAC8AIABJAG4AZABlAHgAIABnAHIAaQBkAHMAXABuACAAIAAgACAAcgAsACAAIAAgACAAIAAgACAAIAAgACAAIAAgACAAIAAgACAAIAAgAGEAIAAqACAAUwBFAFEAVQBFAE4AQwBFACgALAAgAHkALAAgADEALAAgADAAKQAsAFwAbgAgACAAIAAgAGMALAAgACAAIAAgACAAIAAgACAAIAAgACAAIAAgACAAIAAgACAAIABiACAAKgAgAFMARQBRAFUARQBOAEMARQAoAHgALAAgACwAIAAxACwAIAAwACkALABcAG4AXABuACAAIAAgACAALwAvACAARQB4AHQAcgBhAGMAdAAgAHIAZQBzAHUAbAB0AFwAbgAgACAAIAAgAHIAZQBzAHUAbAB0ACwAIAAgACAAIAAgACAAIAAgACAAIAAgACAAIABJAE4ARABFAFgAKABhAHIAcgBhAHkALAAgAHIALAAgAGMAKQAsAFwAbgBcAG4AIAAgACAAIAAvAC8AIABPAHAAdABpAG8AbgBhAGwAIAB6AGUAcgBvACAAcwB1AHAAcAByAGUAcwBzAGkAbwBuAFwAbgAgACAAIAAgAHIAZQBzAHUAbAB0AF8AYgAsACAAIAAgACAAIAAgACAAIAAgACAAIABJAEYAKAByAGUAcwB1AGwAdAAgAD0AIAAwACwAIABcACIAXAAiACwAIAByAGUAcwB1AGwAdAApACwAXABuAFwAbgAgACAAIAAgAC8ALwAgAEYAaQBuAGEAbAAgAG8AdQB0AHAAdQB0AFwAbgAgACAAIAAgAG8AdQB0AHAAdQB0ACwAIAAgACAAIAAgACAAIAAgACAAIAAgACAAIABJAEYAKABJAHMARQBtAHAAdAB5AD8ALABcAG4AIAAgACAAIAAgACAAIAAgACAAIAAgACAAIAAgACAAIAAgACAAIAAgACAAIAAgACAAIAAgACAAIABcACIAIwBFAE0AUABUAFkALQBBAFIAUgBBAFkAIQBcACIALABcAG4AIAAgACAAIAAgACAAIAAgACAAIAAgACAAIAAgACAAIAAgACAAIAAgACAAIAAgACAAIAAgACAAIABJAEYAKABIAGkAZABlAFoAZQByAG8APwAsACAAcgBlAHMAdQBsAHQAXwBiACwAIAByAGUAcwB1AGwAdAApACkALABcAG4AXABuACAAIAAgACAAbwB1AHQAcAB1AHQAXABuACkAKQA7AFwAbgBcAG4AXABuAFwAbgAvACoAIABbAEcAQQAwADcAXQAgAC0ALQAtAC0ALQAtAC0ALQAtAC0ALQAtAC0ALQAtAC0ALQAtAC0ALQAtAC0ALQAtAC0ALQAtAC0ALQAtAC0ALQAtAC0ALQAtAC0ALQAtAC0ALQAtAC0ALQAtAC0ALQAtAC0ALQAtAC0ALQAtAC0ALQAtAC0ALQAtAC0ALQAtAC0ALQAtAC0ALQAtAC0ALQAtAC0AXABuAEYAdQBuAGMAdABpAG8AbgA6ACAAIAAgACAAIABLAHIAbwBuAGUAYwBrAGUAcgBQAHIAbwBkALsDXABuAEMAYQB0AGUAZwBvAHIAeQA6ACAAIAAgACAAIABHAHIAaQBkACAAQQBsAGcAZQBiAHIAYQAgACgARQB4AHAAYQBuAHMAaQBvAG4AKQBcAG4AQQB1AHQAaABvAHIAOgAgACAAIAAgACAAIAAgAFAAYQB0AHIAaQBjAGsAIABIAC4AXABuAFYAZQByAHMAaQBvAG4AOgAgACAAIAAgACAAIAAxAC4AMQBcAG4ARABlAHAAZQBuAGQAZQBuAGMAaQBlAHMAOgAgAE0AYQBnAG4AaQBmAHkAuwMsACAAUgBlAHMAaQB6AGUAuwNcAG4AXABuAEQAZQBzAGMAcgBpAHAAdABpAG8AbgA6AFwAbgAgACAAIAAgAEMAbwBtAHAAdQB0AGUAcwAgAHQAaABlACAASwByAG8AbgBlAGMAawBlAHIAIABwAHIAbwBkAHUAYwB0ACAAbwBmACAAdAB3AG8AIABhAHIAcgBhAHkAcwAuACAAVABoAGUAIABmAGkAcgBzAHQAIABhAHIAcgBhAHkAIABpAHMAIABlAHgAcABhAG4AZABlAGQAXABuACAAIAAgACAAdQBzAGkAbgBnACAATQBhAGcAbgBpAGYAeQC7AyAAdABvACAAbQBhAHQAYwBoACAAdABoAGUAIABoAGUAaQBnAGgAdAAgAGEAbgBkACAAdwBpAGQAdABoACAAbwBmACAAYQByAHIAYQB5AF8AMgAsACAAdwBoAGkAbABlACAAYQByAHIAYQB5AF8AMgAgAGkAcwBcAG4AIAAgACAAIAByAGUAcwBpAHoAZQBkACAAdQBzAGkAbgBnACAAUgBlAHMAaQB6AGUAuwMgAHQAbwAgAG0AYQB0AGMAaAAgAHQAaABlACAAZABpAG0AZQBuAHMAaQBvAG4AcwAgAG8AZgAgAGEAcgByAGEAeQBfADEALgAgAFQAaABlAGkAcgAgAGUAbABlAG0AZQBuAHQAESB3AGkAcwBlAFwAbgAgACAAIAAgAHAAcgBvAGQAdQBjAHQAIAB5AGkAZQBsAGQAcwAgAHQAaABlACAAZgB1AGwAbAAgAEsAcgBvAG4AZQBjAGsAZQByACAAZQB4AHAAYQBuAHMAaQBvAG4ALgBcAG4AXABuACAAIAAgACAAQQBsAHQAaABvAHUAZwBoACAASwByAG8AbgBlAGMAawBlAHIAIABwAHIAbwBkAHUAYwB0AHMAIABhAHIAZQAgAHQAcgBhAGQAaQB0AGkAbwBuAGEAbABsAHkAIABkAGUAZgBpAG4AZQBkACAAZgBvAHIAIABtAGEAdAByAGkAYwBlAHMALAAgAHQAaABpAHMAXABuACAAIAAgACAAaQBtAHAAbABlAG0AZQBuAHQAYQB0AGkAbwBuACAAYQBsAHMAbwAgAHMAdQBwAHAAbwByAHQAcwAgAHMAYwBhAGwAYQByAHMAIABhAG4AZAAgADEARAAgAGEAcgByAGEAeQBzAC4AXABuAFwAbgBQAGEAcgBhAG0AZQB0AGUAcgBzADoAXABuACAAIAAgACAAYQByAHIAYQB5AF8AMQAgACAAIAAgACAALQAgADEARAAgAG8AcgAgADIARAAgAGEAcgByAGEAeQAgACgAcwBjAGEAbABhAHIAcwAgAGEAYwBjAGUAcAB0AGUAZAApAC4AXABuACAAIAAgACAAYQByAHIAYQB5AF8AMgAgACAAIAAgACAALQAgADEARAAgAG8AcgAgADIARAAgAGEAcgByAGEAeQAgACgAcwBjAGEAbABhAHIAcwAgAGEAYwBjAGUAcAB0AGUAZAApAC4AXABuAFwAbgBOAG8AdABlAHMAOgBcAG4AIAAgACAAIAAiICAAQgByAG8AYQBkAGMAYQBzAHQAaQBuAGcAIABpAHMAIABwAGUAcgBmAG8AcgBtAGUAZAAgAHYAaQBhACAAbgBlAGEAcgBlAHMAdAARIG4AZQBpAGcAaABiAG8AcgAgAGUAeABwAGEAbgBzAGkAbwBuAC4AXABuACAAIAAgACAAIiAgAFQAaABlACAAbwB1AHQAcAB1AHQAIABkAGkAbQBlAG4AcwBpAG8AbgBzACAAYQByAGUAIAAoAFIATwBXAFMAKABhAHIAcgBhAHkAXwAxACkAKgBSAE8AVwBTACgAYQByAHIAYQB5AF8AMgApACkAIADXAFwAbgAgACAAIAAgACAAIAAoAEMATwBMAFUATQBOAFMAKABhAHIAcgBhAHkAXwAxACkAKgBDAE8ATABVAE0ATgBTACgAYQByAHIAYQB5AF8AMgApACkALgBcAG4ALQAtAC0ALQAtAC0ALQAtAC0ALQAtAC0ALQAtAC0ALQAtAC0ALQAtAC0ALQAtAC0ALQAtAC0ALQAtAC0ALQAtAC0ALQAtAC0ALQAtAC0ALQAtAC0ALQAtAC0ALQAtAC0ALQAtAC0ALQAtAC0ALQAtAC0ALQAtAC0ALQAtAC0ALQAtAC0ALQAtAC0ALQAtAC0ALQAtAC0ALQAtAC0AKgAvAFwAbgBcAG4ASwByAG8AbgBlAGMAawBlAHIAUAByAG8AZAC7AyAAPQBcAG4ATABBAE0AQgBEAEEAKABcAG4AIAAgACAAIABhAHIAcgBhAHkAXwAxACwAXABuACAAIAAgACAAYQByAHIAYQB5AF8AMgAsAFwAbgBMAEUAVAAoAFwAbgAgACAAIAAgAC8ALwAgAEQAaQBtAGUAbgBzAGkAbwBuAHMAXABuACAAIAAgACAAaAAsACAAIAAgACAAIAAgAFIATwBXAFMAKABhAHIAcgBhAHkAXwAxACkALABcAG4AIAAgACAAIAB3ACwAIAAgACAAIAAgACAAQwBPAEwAVQBNAE4AUwAoAGEAcgByAGEAeQBfADEAKQAsAFwAbgAgACAAIAAgAGgAgiAsACAAIAAgACAAIABSAE8AVwBTACgAYQByAHIAYQB5AF8AMgApACwAXABuACAAIAAgACAAdwCCICwAIAAgACAAIAAgAEMATwBMAFUATQBOAFMAKABhAHIAcgBhAHkAXwAyACkALABcAG4AXABuACAAIAAgACAALwAvACAAQgByAG8AYQBkAGMAYQBzAHQAIABhAHIAcgBhAHkAXwAxACAAYgB5ACAAbQBhAGcAbgBpAGYAeQBpAG4AZwAgAGUAYQBjAGgAIABlAGwAZQBtAGUAbgB0ACAAaQBuAHQAbwAgAGEAbgAgAGgAgiAgANcAIAB3AIIgIABiAGwAbwBjAGsAXABuACAAIAAgACAAQQAsACAAIAAgACAAIAAgAE0AYQBnAG4AaQBmAHkAuwMoAGEAcgByAGEAeQBfADEALAAgAGgAgiAsACAAdwCCICkALABcAG4AXABuACAAIAAgACAALwAvACAAQgByAG8AYQBkAGMAYQBzAHQAIABhAHIAcgBhAHkAXwAyACAAYgB5ACAAcgBlAHMAaQB6AGkAbgBnACAAaQB0ACAAdABvACAAbQBhAHQAYwBoACAAYQByAHIAYQB5AF8AMQAZIHMAIABzAHQAcgB1AGMAdAB1AHIAZQBcAG4AIAAgACAAIABCACwAIAAgACAAIAAgACAAUgBlAHMAaQB6AGUAuwMoAGEAcgByAGEAeQBfADIALAAgAGgALAAgAHcAKQAsAFwAbgBcAG4AIAAgACAAIAAvAC8AIABFAGwAZQBtAGUAbgB0ABEgdwBpAHMAZQAgAHAAcgBvAGQAdQBjAHQAIAB5AGkAZQBsAGQAcwAgAHQAaABlACAASwByAG8AbgBlAGMAawBlAHIAIABlAHgAcABhAG4AcwBpAG8AbgBcAG4AIAAgACAAIAByAGUAcwB1AGwAdAAsACAAQQAgACoAIABCACwAXABuAFwAbgAgACAAIAAgAHIAZQBzAHUAbAB0AFwAbgApACkAOwBcAG4AXABuAFwAbgBcAG4ALwAqACAAWwBHAEEAMAA4AF0AIAAtAC0ALQAtAC0ALQAtAC0ALQAtAC0ALQAtAC0ALQAtAC0ALQAtAC0ALQAtAC0ALQAtAC0ALQAtAC0ALQAtAC0ALQAtAC0ALQAtAC0ALQAtAC0ALQAtAC0ALQAtAC0ALQAtAC0ALQAtAC0ALQAtAC0ALQAtAC0ALQAtAC0ALQAtAC0ALQAtAC0ALQAtAC0ALQAtAFwAbgBGAHUAbgBjAHQAaQBvAG4AOgAgACAAIAAgACAARQB4AGMAbAB1AGQAZQ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GUAeABjAGwAdQBkAGkAbgBnACAAYQBuAHkAIAByAG8AdwAgAHQAaABhAHQAIABjAG8AbgB0AGEAaQBuAHMAIABhACAAcwBwAGUAYwBpAGYAaQBlAGQAXABuACAAIAAgACAAYwByAGkAdABlAHIAaQBvAG4ALgAgAEUAeABjAGwAdQBkAGUAuwMgAGkAcwAgAGEAIABzAGkAbQBwAGwAaQBmAGkAZQBkACAAYQBsAHQAZQByAG4AYQB0AGkAdgBlACAAdABvACAARgBJAEwAVABFAFIAIAB3AGgAZQByAGUAIAB0AGgAZQAgAHUAcwBlAHIAXABuACAAIAAgACAAcwB1AHAAcABsAGkAZQBzACAAdABoAGUAIABlAHgAYwBsAHUAcwBpAG8AbgAgAHYAYQBsAHUAZQBzACAAZABpAHIAZQBjAHQAbAB5ACAAcgBhAHQAaABlAHIAIAB0AGgAYQBuACAAYQAgAGIAbwBvAGwAZQBhAG4AIABtAGEAcwBrAC4AXABuAFwAbgAgACAAIAAgAFQAaABlACAAZgB1AG4AYwB0AGkAbwBuACAAYwBoAGUAYwBrAHMAIABlAGEAYwBoACAAcgBvAHcAIABmAG8AcgAgAHQAaABlACAAcAByAGUAcwBlAG4AYwBlACAAbwBmACAAYQBuAHkAIAB2AGEAbAB1AGUAIABpAG4AIAAnAGUAeABjAGwAdQBkAGUAJwAuAFwAbgAgACAAIAAgAFIAbwB3AHMAIAB0AGgAYQB0ACAAYwBvAG4AdABhAGkAbgAgAHQAaABlACAAZQB4AGMAbAB1AHMAaQBvAG4AIABjAHIAaQB0AGUAcgBpAG8AbgAgAGEAcgBlACAAcgBlAG0AbwB2AGUAZAA7ACAAYQBsAGwAIABvAHQAaABlAHIAcwAgAGEAcgBlACAAawBlAHAAdAAuAFwAbgBcAG4AUABhAHIAYQBtAGUAdABlAHIAcwA6AFwAbgAgACAAIAAgAGEAcgByAGEAeQAgACAAIAAgACAAIAAgAC0AIAAxAEQAIABvAHIAIAAyAEQAIABhAHIAcgBhAHkAIAB0AG8AIABmAGkAbAB0AGUAcgAuAFwAbgAgACAAIAAgAGUAeABjAGwAdQBkAGUAIAAgACAAIAAgAC0AIABTAGMAYQBsAGEAcgAgAG8AcgAgADEARAAgAGEAcgByAGEAeQAgAG8AZgAgAHYAYQBsAHUAZQBzACAAdABvACAAbwBtAGkAdAAuAFwAbgAgACAAIAAgAFsAaQBmAF8AZQBtAHAAdAB5AF0AIAAgAC0AIABPAHAAdABpAG8AbgBhAGwAIABmAGEAbABsAGIAYQBjAGsAIAB2AGEAbAB1AGUAIAB3AGgAZQBuACAAbgBvACAAcgBvAHcAcwAgAHIAZQBtAGEAaQBuACAAKABkAGUAZgBhAHUAbAB0ACAAPQAgADAAKQAuAFwAbgBcAG4ATgBvAHQAZQBzADoAXABuACAAIAAgACAAIiAgAEEAIAAyAEQAIABlAHgAYwBsAHUAZABlACAAYQByAHIAYQB5ACAAaQBzACAAaQBuAHYAYQBsAGkAZAAgAGEAbgBkACAAaABhAGwAdABzACAAdwBpAHQAaAAgAFwAIgAjADIARAAtAEUAWABDAEwAVQBEAEUAIQBcACIALgBcAG4AIAAgACAAIAAiICAATQBhAHQAYwBoAGkAbgBnACAAaQBzACAAcABlAHIAZgBvAHIAbQBlAGQAIAB1AHMAaQBuAGcAIABYAE0AQQBUAEMASAA7ACAAbgBvAG4AESBtAGEAdABjAGgAZQBzACAAYQByAGUAIAB0AHIAZQBhAHQAZQBkACAAYQBzACAAegBlAHIAbwAuAFwAbgAgACAAIAAgACIgIABGAGkAbAB0AGUAcgBpAG4AZwAgAGkAcwAgAHIAbwB3ABEgdwBpAHMAZQA7ACAAYwBvAGwAdQBtAG4AcwAgAGEAcgBlACAAcAByAGUAcwBlAHIAdgBlAGQALgBcAG4ALQAtAC0ALQAtAC0ALQAtAC0ALQAtAC0ALQAtAC0ALQAtAC0ALQAtAC0ALQAtAC0ALQAtAC0ALQAtAC0ALQAtAC0ALQAtAC0ALQAtAC0ALQAtAC0ALQAtAC0ALQAtAC0ALQAtAC0ALQAtAC0ALQAtAC0ALQAtAC0ALQAtAC0ALQAtAC0ALQAtAC0ALQAtAC0ALQAtAC0ALQAtAC0AKgAvAFwAbgBcAG4ARQB4AGMAbAB1AGQAZQC7AyAAPQBcAG4ATABBAE0AQgBEAEEAKABcAG4AIAAgACAAIABhAHIAcgBhAHkALABcAG4AIAAgACAAIABlAHgAYwBsAHUAZABlACwAXABuACAAIAAgACAAWwBpAGYAXwBlAG0AcAB0AHkAXQAsAFwAbgBcAG4ASQBGACgAQQBOAEQAKABSAE8AVwBTACgAZQB4AGMAbAB1AGQAZQApACAAPgAgADEALAAgAEMATwBMAFUATQBOAFMAKABlAHgAYwBsAHUAZABlACkAIAA+ACAAMQApACwAXAAiACMAMgBEAC0ARQBYAEMATABVAEQARQAhAFwAIgAsAFwAbgBcAG4ATABFAFQAKABcAG4AIAAgACAAIAAvAC8AIABPAHAAdABpAG8AbgBhAGwAIABmAGEAbABsAGIAYQBjAGsAXABuACAAIAAgACAAaQBmAF8AZQBtAHAAdAB5ACwAIAAgACAAIAAgACAAIABJAEYAKABJAFMATwBNAEkAVABUAEUARAAoAGkAZgBfAGUAbQBwAHQAeQApACwAIAAwACwAIABpAGYAXwBlAG0AcAB0AHkAKQAsAFwAbgBcAG4AIAAgACAAIAAvAC8AIABUAFIAVQBFACAAPQAgAGsAZQBlAHAAIAByAG8AdwAsACAARgBBAEwAUwBFACAAPQAgAGUAeABjAGwAdQBkAGUAIAByAG8AdwBcAG4AIAAgACAAIABrAGUAZQBwAD8ALAAgACAAIAAgACAAIAAgACAAIAAgAE4ATwBUACgAQgBZAFIATwBXACgASQBGAE4AQQAoAFgATQBBAFQAQwBIACgAYQByAHIAYQB5ACwAIABlAHgAYwBsAHUAZABlACkALAAgADAAKQAsAE8AUgApACkALABcAG4AXABuACAAIAAgACAAcgBlAHMAdQBsAHQALAAgACAAIAAgACAAIAAgACAAIABGAEkATABUAEUAUgAoAGEAcgByAGEAeQAsACAAawBlAGUAcAA/ACwAIABpAGYAXwBlAG0AcAB0AHkAKQAsAFwAbgBcAG4AIAAgACAAIAByAGUAcwB1AGwAdABcAG4AKQApACkAOwBcAG4AXABuAFwAbgBcAG4ALwAqACAAWwBHAEEAMAA5AF0AIAAtAC0ALQAtAC0ALQAtAC0ALQAtAC0ALQAtAC0ALQAtAC0ALQAtAC0ALQAtAC0ALQAtAC0ALQAtAC0ALQAtAC0ALQAtAC0ALQAtAC0ALQAtAC0ALQAtAC0ALQAtAC0ALQAtAC0ALQAtAC0ALQAtAC0ALQAtAC0ALQAtAC0ALQAtAC0ALQAtAC0ALQAtAC0ALQAtAFwAbgBGAHUAbgBjAHQAaQBvAG4AOgAgACAAIAAgACAAUwBuAGEAcAC7A1wAbgBDAGEAdABlAGcAbwByAHkAOgAgACAAIAAgACAARwByAGkAZAAgAEEAbABnAGUAYgByAGEAIAAoAEYAaQBsAHQAZQByAGkAbgBnACkAXABuAEEAdQB0AGgAbwByADoAIAAgACAAIAAgACAAIABQAGEAdAByAGkAYwBrACAASAAuAFwAbgBWAGUAcgBzAGkAbwBuADoAIAAgACAAIAAgACAAMQAuADEAXABuAFwAbgBEAGUAcwBjAHIAaQBwAHQAaQBvAG4AOgBcAG4AIAAgACAAIABGAGkAbAB0AGUAcgBzACAAYQBuACAAYQByAHIAYQB5ACAAKAAxAEQAIABvAHIAIAAyAEQAKQAgAGIAeQAgAHMAZQBsAGUAYwB0AGkAbgBnACAAcgBvAHcAcwAgAHQAaABhAHQAIABjAG8AbgB0AGEAaQBuACAAYQB0ACAAbABlAGEAcwB0ACAAbwBuAGUAXABuACAAIAAgACAAdgBhAGwAdQBlACAAZgByAG8AbQAgAHQAaABlACAAJwBpAG4AYwBsAHUAZABlACcAIABjAHIAaQB0AGUAcgBpAGEALgAgAFMAbgBhAHAAuwMgAGkAcwAgAGEAIABzAGkAbQBwAGwAaQBmAGkAZQBkACAAYQBsAHQAZQByAG4AYQB0AGkAdgBlACAAdABvAFwAbgAgACAAIAAgAEYASQBMAFQARQBSACAAdwBoAGUAcgBlACAAdABoAGUAIAB1AHMAZQByACAAcwB1AHAAcABsAGkAZQBzACAAdABoAGUAIABpAG4AYwBsAHUAcwBpAG8AbgAgAHYAYQBsAHUAZQBzACAAZABpAHIAZQBjAHQAbAB5ACAAcgBhAHQAaABlAHIAIAB0AGgAYQBuAFwAbgAgACAAIAAgAGEAIABiAG8AbwBsAGUAYQBuACAAbQBhAHMAawAuAFwAbgBcAG4AIAAgACAAIABUAGgAZQAgAGYAdQBuAGMAdABpAG8AbgAgAGMAaABlAGMAawBzACAAZQBhAGMAaAAgAHIAbwB3ACAAZgBvAHIAIAB0AGgAZQAgAHAAcgBlAHMAZQBuAGMAZQAgAG8AZgAgAGEAbgB5ACAAdgBhAGwAdQBlACAAaQBuACAAJwBpAG4AYwBsAHUAZABlACcALgBcAG4AIAAgACAAIABSAG8AdwBzACAAdABoAGEAdAAgAGMAbwBuAHQAYQBpAG4AIAB0AGgAZQAgAGkAbgBjAGwAdQBzAGkAbwBuACAAYwByAGkAdABlAHIAaQBvAG4AIABhAHIAZQAgAGsAZQBwAHQAOwAgAGEAbABsACAAbwB0AGgAZQByAHMAIABhAHIAZQAgAHIAZQBtAG8AdgBlAGQALgBcAG4AXABuAFAAYQByAGEAbQBlAHQAZQByAHMAOgBcAG4AIAAgACAAIABhAHIAcgBhAHkAIAAgACAAIAAgACAAIAAtACAAMQBEACAAbwByACAAMgBEACAAYQByAHIAYQB5ACAAdABvACAAZgBpAGwAdABlAHIALgBcAG4AIAAgACAAIABpAG4AYwBsAHUAZABlACAAIAAgACAAIAAtACAAUwBjAGEAbABhAHIAIABvAHIAIAAxAEQAIABhAHIAcgBhAHkAIABvAGYAIAB2AGEAbAB1AGUAcwAgAHQAbwAgAGkAbgBjAGwAdQBkAGUALgBcAG4AIAAgACAAIABbAGkAZgBfAGUAbQBwAHQAeQBdACAAIAAtACAATwBwAHQAaQBvAG4AYQBsACAAZgBhAGwAbABiAGEAYwBrACAAdgBhAGwAdQBlACAAdwBoAGUAbgAgAG4AbwAgAHIAbwB3AHMAIAByAGUAbQBhAGkAbgAgACgAZABlAGYAYQB1AGwAdAAgAD0AIAAwACkALgBcAG4AXABuAE4AbwB0AGUAcwA6AFwAbgAgACAAIAAgACIgIABBACAAMgBEACAAaQBuAGMAbAB1AGQAZQAgAGEAcgByAGEAeQAgAGkAcwAgAGkAbgB2AGEAbABpAGQAIABhAG4AZAAgAGgAYQBsAHQAcwAgAHcAaQB0AGgAIABcACIAIwAyAEQALQBJAE4AQwBMAFUARABFACEAXAAiAC4AXABuACAAIAAgACAAIiAgAE0AYQB0AGMAaABpAG4AZwAgAGkAcwAgAHAAZQByAGYAbwByAG0AZQBkACAAdQBzAGkAbgBnACAAWABNAEEAVABDAEgAOwAgAG4AbwBuABEgbQBhAHQAYwBoAGUAcwAgAGEAcgBlACAAdAByAGUAYQB0AGUAZAAgAGEAcwAgAHoAZQByAG8ALgBcAG4AIAAgACAAIAAiICAARgBpAGwAdABlAHIAaQBuAGcAIABpAHMAIAByAG8AdwARIHcAaQBzAGUAOwAgAGMAbwBsAHUAbQBuAHMAIABhAHIAZQAgAHAAcgBlAHMAZQByAHYAZQBkAC4AXABuAC0ALQAtAC0ALQAtAC0ALQAtAC0ALQAtAC0ALQAtAC0ALQAtAC0ALQAtAC0ALQAtAC0ALQAtAC0ALQAtAC0ALQAtAC0ALQAtAC0ALQAtAC0ALQAtAC0ALQAtAC0ALQAtAC0ALQAtAC0ALQAtAC0ALQAtAC0ALQAtAC0ALQAtAC0ALQAtAC0ALQAtAC0ALQAtAC0ALQAtAC0ALQAtACoALwBcAG4AXABuAFMAbgBhAHAAuwMgAD0AXABuAEwAQQBNAEIARABBACgAXABuACAAIAAgACAAYQByAHIAYQB5ACwAXABuACAAIAAgACAAaQBuAGMAbAB1AGQAZQAsAFwAbgAgACAAIAAgAFsAaQBmAF8AZQBtAHAAdAB5AF0ALABcAG4AXABuAEkARgAoAEEATgBEACgAUgBPAFcAUwAoAGkAbgBjAGwAdQBkAGUAKQAgAD4AIAAxACwAIABDAE8ATABVAE0ATgBTACgAaQBuAGMAbAB1AGQAZQApACAAPgAgADEAKQAsAFwAIgAjADIARAAtAEkATgBDAEwAVQBEAEUAIQBcACIALABcAG4AXABuAEwARQBUACgAXABuACAAIAAgACAALwAvACAATwBwAHQAaQBvAG4AYQBsACAAZgBhAGwAbABiAGEAYwBrAFwAbgAgACAAIAAgAGkAZgBfAGUAbQBwAHQAeQAsACAAIAAgACAAIAAgACAASQBGACgASQBTAE8ATQBJAFQAVABFAEQAKABpAGYAXwBlAG0AcAB0AHkAKQAsACAAMAAsACAAaQBmAF8AZQBtAHAAdAB5ACkALABcAG4AXABuACAAIAAgACAALwAvACAAVABSAFUARQAgAD0AIABrAGUAZQBwACAAcgBvAHcALAAgAEYAQQBMAFMARQAgAD0AIABkAGkAcwBjAGEAcgBkACAAcgBvAHcAXABuACAAIAAgACAAawBlAGUAcAA/ACwAIAAgACAAIAAgACAAIAAgACAAIABCAFkAUgBPAFcAKABJAEYATgBBACgAWABNAEEAVABDAEgAKABhAHIAcgBhAHkALAAgAGkAbgBjAGwAdQBkAGUAKQAsACAAMAApACwATwBSACkALABcAG4AXABuACAAIAAgACAAcgBlAHMAdQBsAHQALAAgACAAIAAgACAAIAAgACAAIABGAEkATABUAEUAUgAoAGEAcgByAGEAeQAsACAAawBlAGUAcAA/ACwAIABpAGYAXwBlAG0AcAB0AHkAKQAsAFwAbgBcAG4AIAAgACAAIAByAGUAcwB1AGwAdABcAG4AKQApACkAOwBcAG4AXABuAFwAbgBcAG4ALwAqACAAWwBHAEEAMQAwAF0AIAAtAC0ALQAtAC0ALQAtAC0ALQAtAC0ALQAtAC0ALQAtAC0ALQAtAC0ALQAtAC0ALQAtAC0ALQAtAC0ALQAtAC0ALQAtAC0ALQAtAC0ALQAtAC0ALQAtAC0ALQAtAC0ALQAtAC0ALQAtAC0ALQAtAC0ALQAtAC0ALQAtAC0ALQAtAC0ALQAtAC0ALQAtAC0ALQAtAFwAbgBGAHUAbgBjAHQAaQBvAG4AOgAgACAAIAAgACAAUwBoAGkAZgB0ALsDXABuAEMAYQB0AGUAZwBvAHIAeQA6ACAAIAAgACAAIABHAHIAaQBkACAAQQBsAGcAZQBiAHIAYQAgACgAUgBvAGwAbABpAG4AZwApAFwAbgBBAHUAdABoAG8AcgA6ACAAIAAgACAAIAAgACAAUABhAHQAcgBpAGMAawAgAEgALgBcAG4AVgBlAHIAcwBpAG8AbgA6ACAAIAAgACAAIAAgADEALgAxAFwAbgBEAGUAcABlAG4AZABlAG4AYwBpAGUAcwA6ACAARQB4AHAAbABvAGQAZQC7A1wAbgBcAG4ARABlAHMAYwByAGkAcAB0AGkAbwBuADoAXABuACAAIAAgACAAUABlAHIAZgBvAHIAbQBzACAAYQAgAGMAaQByAGMAdQBsAGEAcgAgAHMAaABpAGYAdAAgAG8AbgAgAGEAIABzAHUAcABwAGwAaQBlAGQAIAB0AHUAcABsAGUAIAAoAHMAYwBhAGwAYQByACwAIAAxAEQAIABhAHIAcgBhAHkALAAgAG8AcgAgADIARAAgAGEAcgByAGEAeQApAC4AXABuACAAIAAgACAAUABvAHMAaQB0AGkAdgBlACAAcwBoAGkAZgB0ACAAdgBhAGwAdQBlAHMAIAByAG8AdABhAHQAZQAgAGwAZQBmAHQAOwAgAG4AZQBnAGEAdABpAHYAZQAgAHMAaABpAGYAdAAgAHYAYQBsAHUAZQBzACAAcgBvAHQAYQB0AGUAIAByAGkAZwBoAHQALgBcAG4AXABuACAAIAAgACAARQB4AGEAbQBwAGwAZQBzADoAXABuACAAIAAgACAAIAAgACAAIAA9AFMAaABpAGYAdAC7AygAewAxACwAMgAsADMALAA0AH0ALAAgADIAKQBcAG4AIAAgACAAIAAgACAAIAAgACAAIAAgACAAkiEgAHsAMwAsADQALAAxACwAMgB9AFwAbgBcAG4AIAAgACAAIAAgACAAIAAgAD0AUwBoAGkAZgB0ALsDKAB7ADEALAAyACwAMwAsADQAfQAsACAALQAxACkAXABuACAAIAAgACAAIAAgACAAIAAgACAAIAAgAJIhIAB7ADQALAAxACwAMgAsADMAfQBcAG4AXABuACAAIAAgACAAIAAgACAAIAA9AFMAaABpAGYAdAC7AygAXAAiADEAMgAzADQAXAAiACkAXABuACAAIAAgACAAIAAgACAAIAAgACAAIAAgAJIhIAB7AFwAIgAyAFwAIgA7AFwAIgAzAFwAIgA7AFwAIgA0AFwAIgA7AFwAIgAxAFwAIgB9AFwAbgAgACAAIAAgACAAIAAgACAAXABuACAAIAAgACAAIAAgACAAIAA9AFMAaABpAGYAdAC7AygAewAxACwAMgAsADMALAA0AH0ALAB7ADEALAAyACwAMwB9ACkAXABuACAAIAAgACAAIAAgACAAIAAgACAAIAAgAJIhIAB7ADIALAAzACwANAAsADEAOwBcAG4AIAAgACAAIAAgACAAIAAgACAAIAAgACAAIAAgACAAMwAsADQALAAxACwAMgA7AFwAbgAgACAAIAAgACAAIAAgACAAIAAgACAAIAAgACAAIAA0ACwAMQAsADIALAAzAH0AXABuAFwAbgBQAGEAcgBhAG0AZQB0AGUAcgBzADoAXABuACAAIAAgACAAdAB1AHAAbABlACAAIAAgACAAIAAgACAALQAgAFMAYwBhAGwAYQByACwAIAAxAEQAIABhAHIAcgBhAHkALAAgAG8AcgAgADIARAAgAGEAcgByAGEAeQAuAFwAbgAgACAAIAAgACAAIAAgACAAIAAgACAAIAAgACAAIAAgACAAIAAiICAAUwBjAGEAbABhAHIAcwAgAGEAcgBlACAAZQB4AHAAbABvAGQAZQBkACAAaQBuAHQAbwAgAGMAaABhAHIAYQBjAHQAZQByACAAYQByAHIAYQB5AHMAIAB2AGkAYQAgAEUAeABwAGwAbwBkAGUAuwMuAFwAbgAgACAAIAAgACAAIAAgACAAIAAgACAAIAAgACAAIAAgACAAIAAiICAAMgBEACAAYQByAHIAYQB5AHMAIABhAHIAZQAgAGYAbABhAHQAdABlAG4AZQBkACAAdwBpAHQAaAAgAFQATwBDAE8ATAAuAFwAbgBcAG4AIAAgACAAIABbAHMAaABpAGYAdABfAGIAeQBdACAAIAAtACAAUwBoAGkAZgB0ACAAYwBvAHUAbgB0ACAAKABkAGUAZgBhAHUAbAB0ACAAPQAgADEAKQAuAFwAbgAgACAAIAAgACAAIAAgACAAIAAgACAAIAAgACAAIAAgACAAIAAiICAAUABvAHMAaQB0AGkAdgBlACAAkiEgAGwAZQBmAHQAIABzAGgAaQBmAHQAXABuACAAIAAgACAAIAAgACAAIAAgACAAIAAgACAAIAAgACAAIAAgACIgIABOAGUAZwBhAHQAaQB2AGUAIACSISAAcgBpAGcAaAB0ACAAcwBoAGkAZgB0AFwAbgAgACAAIAAgACAAIAAgACAAIAAgACAAIAAgACAAIAAgACAAIAAiICAATQB1AGwAdABpABEgcwBoAGkAZgB0ACAAYQByAHIAYQB5AHMAIABwAHIAbwBkAHUAYwBlACAAYQAgAGEAcgByAGEAeQBfADIARAAgAG8AZgAgAHMAaABpAGYAdABlAGQAIAB0AHUAcABsAGUAcwAuAFwAbgBcAG4ATgBvAHQAZQBzADoAXABuACAAIAAgACAAIiAgAE8AdQB0AHAAdQB0ACAAbwByAGkAZQBuAHQAYQB0AGkAbwBuACAAbQBhAHQAYwBoAGUAcwAgAGkAbgBwAHUAdAA6AFwAbgAgACAAIAAgACAAIAAgACAAIAAgAC0AIABTAGMAYQBsAGEAcgBzACAAkiEgAHYAZQByAHQAaQBjAGEAbABcAG4AIAAgACAAIAAgACAAIAAgACAAIAAtACAAVgBlAHIAdABpAGMAYQBsACAAYQByAHIAYQB5AHMAIACSISAAdgBlAHIAdABpAGMAYQBsAFwAbgAgACAAIAAgACAAIAAgACAAIAAgAC0AIABIAG8AcgBpAHoAbwBuAHQAYQBsACAAYQByAHIAYQB5AHMAIACSISAAaABvAHIAaQB6AG8AbgB0AGEAbABcAG4AIAAgACAAIAAiICAATQB1AGwAdABpABEgcwBoAGkAZgB0ACAAaQBuAHAAdQB0AHMAIAByAGUAdAB1AHIAbgAgAGEAIABzAHQAYQBjAGsAZQBkACAAYQByAHIAYQB5AF8AMgBEACAAbwBmACAAcwBoAGkAZgB0AGUAZAAgAHIAZQBzAHUAbAB0AHMALgBcAG4ALQAtAC0ALQAtAC0ALQAtAC0ALQAtAC0ALQAtAC0ALQAtAC0ALQAtAC0ALQAtAC0ALQAtAC0ALQAtAC0ALQAtAC0ALQAtAC0ALQAtAC0ALQAtAC0ALQAtAC0ALQAtAC0ALQAtAC0ALQAtAC0ALQAtAC0ALQAtAC0ALQAtAC0ALQAtAC0ALQAtAC0ALQAtAC0ALQAtAC0ALQAtAC0AKgAvAFwAbgBcAG4AUwBoAGkAZgB0ALsDIAA9AFwAbgBMAEEATQBCAEQAQQAoAFwAbgAgACAAIAAgAHQAdQBwAGwAZQAsAFwAbgAgACAAIAAgAFsAcwBoAGkAZgB0AF8AYgB5AF0ALABcAG4ATABFAFQAKABcAG4AIAAgACAAIAAvAC8AIABTAGgAYQBwAGUAIABjAGwAYQBzAHMAaQBmAGkAYwBhAHQAaQBvAG4AXABuACAAIAAgACAAaAAsACAAIAAgACAAIAAgACAAIAAgACAAIAAgACAAIAAgACAAIAAgAFIATwBXAFMAKAB0AHUAcABsAGUAKQAsAFwAbgAgACAAIAAgAHcALAAgACAAIAAgACAAIAAgACAAIAAgACAAIAAgACAAIAAgACAAIABDAE8ATABVAE0ATgBTACgAdAB1AHAAbABlACkALABcAG4AIAAgACAAIABJAHMAUwBjAGEAbABhAHIAPwAsACAAIAAgACAAIAAgACAAIAAgACAAQQBOAEQAKABoACAAPQAgADEALAAgAHcAIAA9ACAAMQApACwAXABuACAAIAAgACAASQBzAFYAZQByAHQAaQBjAGEAbAA/ACwAIAAgACAAIAAgACAAIAAgAEEATgBEACgAaAAgAD4AIAAxACwAIAB3ACAAPQAgADEAKQAsAFwAbgBcAG4AIAAgACAAIAAvAC8AIABOAG8AcgBtAGEAbABpAHoAZQAgAHQAdQBwAGwAZQAgAJIhIAB2AGUAcgB0AGkAYwBhAGwAIABhAHIAcgBhAHkAXABuACAAIAAgACAAdAB1AHAAbABlACwAIAAgACAAIAAgACAAIAAgACAAIAAgACAAIAAgAFQATwBDAE8ATAAoAEkARgAoAEkAcwBTAGMAYQBsAGEAcgA/ACwARQB4AHAAbABvAGQAZQC7AygAdAB1AHAAbABlACkALAB0AHUAcABsAGUAKQApACwAXABuAFwAbgAgACAAIAAgAC8ALwAgAE4AbwByAG0AYQBsAGkAegBlACAAcwBoAGkAZgB0AF8AYgB5ACAAkiEgAHYAZQByAHQAaQBjAGEAbAAgAGEAcgByAGEAeQBcAG4AIAAgACAAIABzAGgAaQBmAHQAXwBiAHkALAAgACAAIAAgACAAIAAgACAAIAAgACAAVABPAEMATwBMACgASQBGACgASQBTAE8ATQBJAFQAVABFAEQAKABzAGgAaQBmAHQAXwBiAHkAKQAsACAAMQAsACAAcwBoAGkAZgB0AF8AYgB5ACkAKQAsAFwAbgAgACAAIAAgAEkAcwBNAHUAbAB0AGkAUwBoAGkAZgB0AD8ALAAgACAAIAAgACAAIABDAE8AVQBOAFQAQQAoAHMAaABpAGYAdABfAGIAeQApACAAPgAgADEALABcAG4AXABuACAAIAAgACAALwAvACAAUwBjAGUAbgBhAHIAaQBvAHMAXABuACAAIAAgACAASQBzADEARQBsAGUAbQBlAG4AdAA/ACwAIAAgACAAIAAgACAAIAAgAEMATwBVAE4AVABBACgAdAB1AHAAbABlACkAIAA9ACAAMQAsAFwAbgAgACAAIAAgAEkAcwBUAGUAeAB0AFMAaABpAGYAdAA/ACwAIAAgACAAIAAgACAAIABPAFIAKABJAFMAVABFAFgAVAAoAHMAaABpAGYAdABfAGIAeQApACkALABcAG4AXABuAC8ALwAgAEwAbwBnAGkAYwAgAGcAYQB0AGUAXABuACAAIAAgACAASQBGACgASQBzADEARQBsAGUAbQBlAG4AdAA/ACwAIAB0AHUAcABsAGUALABcAG4AXABuACAAIAAgACAAIAAgACAAIABJAEYAKABJAHMAVABlAHgAdABTAGgAaQBmAHQAPwAsACAAXAAiACMAVABFAFgAVAAtAFMASABJAEYAVAAhAFwAIgAsAFwAbgBcAG4ATABFAFQAKABcAG4AIAAgACAAIAAvAC8AIABUAHUAcABsAGUAIABsAGUAbgBnAHQAaABcAG4AIAAgACAAIABuACwAIAAgACAAIAAgACAAIAAgACAAIABDAE8AVQBOAFQAQQAoAHQAdQBwAGwAZQApACwAXABuAFwAbgAgACAAIAAgAC8ALwAgADAAESBiAGEAcwBlAGQAIABpAG4AZABlAHgAIABzAGUAcQB1AGUAbgBjAGUAXABuACAAIAAgACAAaQAsACAAIAAgACAAIAAgACAAIAAgACAAUwBFAFEAVQBFAE4AQwBFACgALAAgAG4ALAAgADAALAAgADEAKQAsAFwAbgBcAG4AIAAgACAAIAAvAC8AIABDAGkAcgBjAHUAbABhAHIAIABpAG4AZABlAHgAIABzAGUAbABlAGMAdABpAG8AbgBcAG4AIAAgACAAIABpAGQAeAAsACAAIAAgACAAIAAgACAAIABNAE8ARAAoAGkAIAArACAAcwBoAGkAZgB0AF8AYgB5ACwAIABuACkAIAArACAAMQAsAFwAbgBcAG4AIAAgACAAIAAvAC8AIABBAHAAcABsAHkAIABzAGgAaQBmAHQAXABuACAAIAAgACAAcwBoAGkAZgB0AGUAZAAsACAAIAAgACAASQBOAEQARQBYACgAdAB1AHAAbABlACwAIABpAGQAeAApACwAXABuAFwAbgAgACAAIAAgAC8ALwAgAFIAZQBzAHQAbwByAGUAIABvAHIAaQBlAG4AdABhAHQAaQBvAG4AXABuACAAIAAgACAAcgBlAHMAdQBsAHQALAAgACAAIAAgACAASQBGACgASQBzAE0AdQBsAHQAaQBTAGgAaQBmAHQAPwAsACAAcwBoAGkAZgB0AGUAZAAsAFwAbgAgACAAIAAgACAAIAAgACAAIAAgACAAIAAgACAAIAAgACAAIAAgACAAIAAgACAAIAAgACAAIAAgAEkARgAoAE8AUgAoAEkAcwBTAGMAYQBsAGEAcgA/ACwAIABJAHMAVgBlAHIAdABpAGMAYQBsAD8AKQAsAFwAbgAgACAAIAAgACAAIAAgACAAIAAgACAAIAAgACAAIAAgACAAIAAgACAAIAAgACAAIAAgACAAIAAgACAAIAAgACAAVABPAEMATwBMACgAcwBoAGkAZgB0AGUAZAApACwAXABuACAAIAAgACAAIAAgACAAIAAgACAAIAAgACAAIAAgACAAIAAgACAAIAAgACAAIAAgACAAIAAgACAAIAAgACAAIABUAE8AUgBPAFcAKABzAGgAaQBmAHQAZQBkACkAKQApACwAXABuAFwAbgAgACAAIAAgAHIAZQBzAHUAbAB0AFwAbgApACkAKQApACkAOwBcAG4AXABuAFwAbgBcAG4ALwAqACAAWwBHAEEAMQAxAF0AIAAtAC0ALQAtAC0ALQAtAC0ALQAtAC0ALQAtAC0ALQAtAC0ALQAtAC0ALQAtAC0ALQAtAC0ALQAtAC0ALQAtAC0ALQAtAC0ALQAtAC0ALQAtAC0ALQAtAC0ALQAtAC0ALQAtAC0ALQAtAC0ALQAtAC0ALQAtAC0ALQAtAC0ALQAtAC0ALQAtAC0ALQAtAC0ALQAtAFwAbgBGAHUAbgBjAHQAaQBvAG4AOgAgACAAIAAgACAAUwBoAGkAZgB0AFIAbwB3AHMAuwNcAG4AQwBhAHQAZQBnAG8AcgB5ADoAIAAgACAAIAAgAEcAcgBpAGQAIABBAGwAZwBlAGIAcgBhACAAKABSAG8AbABsAGkAbgBnACkAXABuAEEAdQB0AGgAbwByADoAIAAgACAAIAAgACAAIABQAGEAdAByAGkAYwBrACAASAAuAFwAbgBWAGUAcgBzAGkAbwBuADoAIAAgACAAIAAgACAAMQAuADEAXABuAEQAZQBwAGUAbgBkAGUAbgBjAGkAZQBzADoAIABTAGgAaQBmAHQAuwMsACAATQBHAHIAaQBkALsDLAAgAFIAZQBzAGkAegBlALsDXABuAFwAbgBEAGUAcwBjAHIAaQBwAHQAaQBvAG4AOgBcAG4AIAAgACAAIABQAGUAcgBmAG8AcgBtAHMAIABhACAAYwBpAHIAYwB1AGwAYQByACAAaABvAHIAaQB6AG8AbgB0AGEAbAAgAHMAaABpAGYAdAAgAG8AbgAgAGUAYQBjAGgAIAByAG8AdwAgAG8AZgAgAGEAIAAyAEQAIABhAHIAcgBhAHkALgAgAFQAaABlACAAcwBoAGkAZgB0AF8AYgB5AFwAbgAgACAAIAAgAHYAYQBsAHUAZQAgAGQAZQB0AGUAcgBtAGkAbgBlAHMAIABoAG8AdwAgAG0AYQBuAHkAIABwAG8AcwBpAHQAaQBvAG4AcwAgAGUAYQBjAGgAIAByAG8AdwAgAGkAcwAgAHIAbwB0AGEAdABlAGQAOgBcAG4AIAAgACAAIAAgACAAIAAgACIgIABQAG8AcwBpAHQAaQB2AGUAIACSISAAcwBoAGkAZgB0ACAAbABlAGYAdABcAG4AIAAgACAAIAAgACAAIAAgACIgIABOAGUAZwBhAHQAaQB2AGUAIACSISAAcwBoAGkAZgB0ACAAcgBpAGcAaAB0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UgBvAHcAcwC7AygAYQByAHIAYQB5ACwAIAAxACkAXABuACAAIAAgACAAIAAgACAAIACSISAAewBcACIATQBhAHQAaABcACIALABcACIAQgBcACIALABcACIAQgBvAGIAXAAiADsAXABuACAAIAAgACAAIAAgACAAIAAgACAAIABcACIAUABoAHkAcwBpAGMAcwBcACIALABcACIAQQBcACIALABcACIARABlAGIAXAAiADsAXABuACAAIAAgACAAIAAgACAAIAAgACAAIABcACIASABpAHMAdABvAHIAeQBcACIALABcACIAQgBcACIALABcACIAUwB1AGUAXAAiADsAXABuACAAIAAgACAAIAAgACAAIAAgACAAIABcACIAQwBoAGUAbQBpAHMAdAByAHkAXAAiACwAXAAiAEMAXAAiACwAXAAiAEoAbwBlAFwAIgB9AFwAbgBcAG4AIAAgACAAIAA9AFMAaABpAGYAdABSAG8AdwBzALsDKABhAHIAcgBhAHkALAAgAC0AMQApAFwAbgAgACAAIAAgACAAIAAgACAAkiEgAHsAXAAiAEIAXAAiACwAXAAiAEIAbwBiAFwAIgAsAFwAIgBNAGEAdABoAFwAIgA7AFwAbgAgACAAIAAgACAAIAAgACAAIAAgACAAXAAiAEEAXAAiACwAXAAiAEQAZQBiAFwAIgAsAFwAIgBQAGgAeQBzAGkAYwBzAFwAIgA7AFwAbgAgACAAIAAgACAAIAAgACAAIAAgACAAXAAiAEIAXAAiACwAXAAiAFMAdQBlAFwAIgAsAFwAIgBIAGkAcwB0AG8AcgB5AFwAIgA7AFwAbgAgACAAIAAgACAAIAAgACAAIAAgACAAXAAiAEMAXAAiACwAXAAiAEoAbwBlAFwAIgAsAFwAIgBDAGgAZQBtAGkAcwB0AHIAeQBcACIAfQBcAG4ALQAtAC0ALQAtAC0ALQAtAC0ALQAtAC0ALQAtAC0ALQAtAC0ALQAtAC0ALQAtAC0ALQAtAC0ALQAtAC0ALQAtAC0ALQAtAC0ALQAtAC0ALQAtAC0ALQAtAC0ALQAtAC0ALQAtAC0ALQAtAC0ALQAtAC0ALQAtAC0ALQAtAC0ALQAtAC0ALQAtAC0ALQAtAC0ALQAtAC0ALQAtAC0AKgAvAFwAbgBcAG4AUwBoAGkAZgB0AFIAbwB3AHMAuwMgAD0AXABuAEwAQQBNAEIARABBACgAXABuACAAIAAgACAAYQByAHIAYQB5AF8AMgBEACwAXABuACAAIAAgACAAWwBzAGgAaQBmAHQAXwBiAHkAXQAsAFwAbgBMAEUAVAAoAFwAbgAgACAAIAAgAC8ALwAgAEQAaQBtAGUAbgBzAGkAbwBuAHMAXABuACAAIAAgACAAaAAsACAAIAAgACAAIAAgACAAIABSAE8AVwBTACgAYQByAHIAYQB5AF8AMgBEACkALABcAG4AIAAgACAAIAB3ACwAIAAgACAAIAAgACAAIAAgAEMATwBMAFUATQBOAFMAKABhAHIAcgBhAHkAXwAyAEQAKQAsAFwAbgBcAG4AIAAgACAAIAAvAC8AIAAxAEQAIABhAHIAcgBhAHkAcwAgAC8AIABzAGMAYQBsAGEAcgBzACAAaABhAG4AZABsAGUAZAAgAGIAeQAgAFMAaABpAGYAdAC7A1wAbgAgACAAIAAgAEkAcwAxAEQAPwAsACAAIAAgACAATwBSACgAaAAgAD0AIAAxACwAIAB3ACAAPQAgADEAKQAsAFwAbgBcAG4AIAAgACAAIABJAEYAKABJAHMAMQBEAD8ALABTAGgAaQBmAHQAuwMoAGEAcgByAGEAeQBfADIARAAsACAAcwBoAGkAZgB0AF8AYgB5ACkALABcAG4AXABuAEwARQBUACgAXABuACAAIAAgACAALwAvACAAUgBvAHcAIABpAG4AZABpAGMAZQBzACAAcgBlAG0AYQBpAG4AIABmAGkAeABlAGQAXABuACAAIAAgACAAaQAsACAAIAAgACAAIAAgACAAIABNAEcAcgBpAGQAuwMoAGEAcgByAGEAeQBfADIARAApACwAXABuAFwAbgAgACAAIAAgAC8ALwAgAEMAbwBsAHUAbQBuACAAaQBuAGQAaQBjAGUAcwAgAGEAcgBlACAAYwBpAHIAYwB1AGwAYQByAGwAeQAgAHMAaABpAGYAdABlAGQAXABuACAAIAAgACAAagAsACAAIAAgACAAIAAgACAAIABSAGUAcwBpAHoAZQC7AygAUwBoAGkAZgB0ALsDKABTAEUAUQBVAEUATgBDAEUAKAAsACAAdwApACwAIABzAGgAaQBmAHQAXwBiAHkAKQAsAGgAKQAsAFwAbgBcAG4AIAAgACAAIAByAGUAcwB1AGwAdAAsACAAIAAgAEkATgBEAEUAWAAoAGEAcgByAGEAeQBfADIARAAsACAAaQAsACAAagApACwAXABuAFwAbgAgACAAIAAgAHIAZQBzAHUAbAB0AFwAbgApACkAKQApADsAXABuAFwAbgBcAG4AXABuAC8AKgAgAFsARwBBADEAMgBdACAALQAtAC0ALQAtAC0ALQAtAC0ALQAtAC0ALQAtAC0ALQAtAC0ALQAtAC0ALQAtAC0ALQAtAC0ALQAtAC0ALQAtAC0ALQAtAC0ALQAtAC0ALQAtAC0ALQAtAC0ALQAtAC0ALQAtAC0ALQAtAC0ALQAtAC0ALQAtAC0ALQAtAC0ALQAtAC0ALQAtAC0ALQAtAC0ALQBcAG4ARgB1AG4AYwB0AGkAbwBuADoAIAAgACAAIAAgAFMAaABpAGYAdABDAG8AbABzALsDXABuAEMAYQB0AGUAZwBvAHIAeQA6ACAAIAAgACAAIABHAHIAaQBkACAAQQBsAGcAZQBiAHIAYQAgACgAUgBvAGwAbABpAG4AZwApAFwAbgBBAHUAdABoAG8AcgA6ACAAIAAgACAAIAAgACAAUABhAHQAcgBpAGMAawAgAEgALgBcAG4AVgBlAHIAcwBpAG8AbgA6ACAAIAAgACAAIAAgADEALgAxAFwAbgBEAGUAcABlAG4AZABlAG4AYwBpAGUAcwA6ACAAUwBoAGkAZgB0ALsDLAAgAE0ARwByAGkAZAC7AywAIABSAGUAcwBpAHoAZQC7A1wAbgBcAG4ARABlAHMAYwByAGkAcAB0AGkAbwBuADoAXABuACAAIAAgACAAUABlAHIAZgBvAHIAbQBzACAAYQAgAGMAaQByAGMAdQBsAGEAcgAgAHYAZQByAHQAaQBjAGEAbAAgAHMAaABpAGYAdAAgAG8AbgAgAGUAYQBjAGgAIABjAG8AbAB1AG0AbgAgAG8AZgAgAGEAIAAyAEQAIABhAHIAcgBhAHkALgAgAFQAaABlACAAcwBoAGkAZgB0AF8AYgB5AFwAbgAgACAAIAAgAHYAYQBsAHUAZQAgAGQAZQB0AGUAcgBtAGkAbgBlAHMAIABoAG8AdwAgAG0AYQBuAHkAIABwAG8AcwBpAHQAaQBvAG4AcwAgAGUAYQBjAGgAIABjAG8AbAB1AG0AbgAgAGkAcwAgAHIAbwB0AGEAdABlAGQAOgBcAG4AIAAgACAAIAAgACAAIAAgACIgIABQAG8AcwBpAHQAaQB2AGUAIACSISAAcwBoAGkAZgB0ACAAdQBwAFwAbgAgACAAIAAgACAAIAAgACAAIiAgAE4AZQBnAGEAdABpAHYAZQAgAJIhIABzAGgAaQBmAHQAIABkAG8AdwBuAFwAbgBcAG4AIAAgACAAIAAxAEQAIABhAHIAcgBhAHkAcwAgAGEAbgBkACAAcwBjAGEAbABhAHIAcwAgAGEAcgBlACAAZABlAGwAZQBnAGEAdABlAGQAIAB0AG8AIABTAGgAaQBmAHQAuwMuAFwAbgBcAG4ARQB4AGEAbQBwAGwAZQBzADoAXABuACAAIAAgACAAYQByAHIAYQB5ACAAPQAgAHsAXAAiAEIAbwBiAFwAIgAsAFwAIgBNAGEAdABoAFwAIgAsAFwAIgBCAFwAIgA7AFwAbgAgACAAIAAgACAAIAAgACAAIAAgACAAIAAgAFwAIgBEAGUAYgBcACIALABcACIAUABoAHkAcwBpAGMAcwBcACIALABcACIAQQBcACIAOwBcAG4AIAAgACAAIAAgACAAIAAgACAAIAAgACAAIABcACIAUwB1AGUAXAAiACwAXAAiAEgAaQBzAHQAbwByAHkAXAAiACwAXAAiAEIAXAAiADsAXABuACAAIAAgACAAIAAgACAAIAAgACAAIAAgACAAXAAiAEoAbwBlAFwAIgAsAFwAIgBDAGgAZQBtAGkAcwB0AHIAeQBcACIALABcACIAQwBcACIAfQBcAG4AXABuACAAIAAgACAAPQBTAGgAaQBmAHQAQwBvAGwAcwC7AygAYQByAHIAYQB5ACwAIAAxACkAXABuACAAIAAgACAAIAAgACAAIACSISAAewBcACIARABlAGIAXAAiACwAXAAiAFAAaAB5AHMAaQBjAHMAXAAiACwAXAAiAEEAXAAiADsAXABuACAAIAAgACAAIAAgACAAIAAgACAAIABcACIAUwB1AGUAXAAiACwAXAAiAEgAaQBzAHQAbwByAHkAXAAiACwAXAAiAEIAXAAiADsAXABuACAAIAAgACAAIAAgACAAIAAgACAAIABcACIASgBvAGUAXAAiACwAXAAiAEMAaABlAG0AaQBzAHQAcgB5AFwAIgAsAFwAIgBDAFwAIgA7AFwAbgAgACAAIAAgACAAIAAgACAAIAAgACAAXAAiAEIAbwBiAFwAIgAsAFwAIgBNAGEAdABoAFwAIgAsAFwAIgBCAFwAIgB9AFwAbgBcAG4AIAAgACAAIAA9AFMAaABpAGYAdABDAG8AbABzALsDKABhAHIAcgBhAHkALAAgAC0AMQApAFwAbgAgACAAIAAgACAAIAAgACAAkiEgAHsAXAAiAEoAbwBlAFwAIgAsAFwAIgBDAGgAZQBtAGkAcwB0AHIAeQBcACIALABcACIAQwBcACIAOwBcAG4AIAAgACAAIAAgACAAIAAgACAAIAAgAFwAIgBCAG8AYgBcACIALABcACIATQBhAHQAaABcACIALABcACIAQgBcACIAOwBcAG4AIAAgACAAIAAgACAAIAAgACAAIAAgAFwAIgBEAGUAYgBcACIALABcACIAUABoAHkAcwBpAGMAcwBcACIALABcACIAQQBcACIAOwBcAG4AIAAgACAAIAAgACAAIAAgACAAIAAgAFwAIgBTAHUAZQBcACIALABcACIASABpAHMAdABvAHIAeQBcACIALABcACIAQgBcACIAfQBcAG4ALQAtAC0ALQAtAC0ALQAtAC0ALQAtAC0ALQAtAC0ALQAtAC0ALQAtAC0ALQAtAC0ALQAtAC0ALQAtAC0ALQAtAC0ALQAtAC0ALQAtAC0ALQAtAC0ALQAtAC0ALQAtAC0ALQAtAC0ALQAtAC0ALQAtAC0ALQAtAC0ALQAtAC0ALQAtAC0ALQAtAC0ALQAtAC0ALQAtAC0ALQAtAC0AKgAvAFwAbgBcAG4AUwBoAGkAZgB0AEMAbwBsAHMAuwMgAD0AXABuAEwAQQBNAEIARABBACgAXABuACAAIAAgACAAYQByAHIAYQB5AF8AMgBEACwAXABuACAAIAAgACAAWwBzAGgAaQBmAHQAXwBiAHkAXQAsAFwAbgBMAEUAVAAoAFwAbgAgACAAIAAgAC8ALwAgAEQAaQBtAGUAbgBzAGkAbwBuAHMAXABuACAAIAAgACAAaAAsACAAIAAgACAAIAAgACAAIAAgACAAIABSAE8AVwBTACgAYQByAHIAYQB5AF8AMgBEACkALABcAG4AIAAgACAAIAB3ACwAIAAgACAAIAAgACAAIAAgACAAIAAgAEMATwBMAFUATQBOAFMAKABhAHIAcgBhAHkAXwAyAEQAKQAsAFwAbgBcAG4AIAAgACAAIAAvAC8AIAAxAEQAIABhAHIAcgBhAHkAcwAgAC8AIABzAGMAYQBsAGEAcgBzACAAaABhAG4AZABsAGUAZAAgAGIAeQAgAFMAaABpAGYAdAC7A1wAbgAgACAAIAAgAEkAcwAxAEQAPwAsACAAIAAgACAAIAAgACAATwBSACgAaAAgAD0AIAAxACwAIAB3ACAAPQAgADEAKQAsAFwAbgBcAG4AIAAgACAAIABJAEYAKABJAHMAMQBEAD8ALABTAGgAaQBmAHQAuwMoAGEAcgByAGEAeQBfADIARAAsACAAcwBoAGkAZgB0AF8AYgB5ACkALABcAG4AXABuAEwARQBUACgAXABuACAAIAAgACAALwAvACAAQwBvAGwAdQBtAG4AIABpAG4AZABpAGMAZQBzACAAYQByAGUAIABjAGkAcgBjAHUAbABhAHIAbAB5ACAAcwBoAGkAZgB0AGUAZABcAG4AIAAgACAAIABpACwAIAAgACAAIAAgACAAIAAgACAAIAAgAFIAZQBzAGkAegBlALsDKABTAGgAaQBmAHQAuwMoAFMARQBRAFUARQBOAEMARQAoAGgAKQAsACAAcwBoAGkAZgB0AF8AYgB5ACkALAAsAHcAKQAsAFwAbgBcAG4AIAAgACAAIAAvAC8AIABSAG8AdwAgAGkAbgBkAGkAYwBlAHMAIAByAGUAbQBhAGkAbgAgAGYAaQB4AGUAZABcAG4AIAAgACAAIABqACwAIAAgACAAIAAgACAAIAAgACAAIAAgAE0ARwByAGkAZAC7AygAYQByAHIAYQB5AF8AMgBEACwAIAAxACkALABcAG4AXABuACAAIAAgACAAcgBlAHMAdQBsAHQALAAgACAAIAAgACAAIABJAE4ARABFAFgAKABhAHIAcgBhAHkAXwAyAEQALAAgAGkALAAgAGoAKQAsAFwAbgBcAG4AIAAgACAAIAByAGUAcwB1AGwAdABcAG4AKQApACkAKQA7AFwAbgBcAG4AXABuAFwAbgAvACoAIABbAEcAQQAxADMAXQAgAC0ALQAtAC0ALQAtAC0ALQAtAC0ALQAtAC0ALQAtAC0ALQAtAC0ALQAtAC0ALQAtAC0ALQAtAC0ALQAtAC0ALQAtAC0ALQAtAC0ALQAtAC0ALQAtAC0ALQAtAC0ALQAtAC0ALQAtAC0ALQAtAC0ALQAtAC0ALQAtAC0ALQAtAC0ALQAtAC0ALQAtAC0ALQAtAC0AXABuAEYAdQBuAGMAdABpAG8AbgA6ACAAIAAgACAAIABFAG0AYgBlAGQAuwNcAG4AQwBhAHQAZQBnAG8AcgB5ADoAIAAgACAAIAAgAEcAcgBpAGQAIABBAGwAZwBlAGIAcgBhACAAKABTAGUAbABlAGMAdABpAG8AbgApAFwAbgBBAHUAdABoAG8AcgA6ACAAIAAgACAAIAAgACAAUABhAHQAcgBpAGMAawAgAEgALgBcAG4AVgBlAHIAcwBpAG8AbgA6ACAAIAAgACAAIAAgADEALgAxAFwAbgBcAG4ARABlAHMAYwByAGkAcAB0AGkAbwBuADoAXABuACAAIAAgACAARQBtAGIAZQBkAHMAIABhACAAcwB1AHAAcABsAGkAZQBkACAAYQByAHIAYQB5ACAAaQBuAHQAbwAgAGEAIAAyAEQAIABoAG8AcwB0ACAAYQByAHIAYQB5ACAAYQB0ACAAYQAgAHMAcABlAGMAaQBmAGkAZQBkACAAcgBvAHcAIABvAHIAIABjAG8AbAB1AG0AbgBcAG4AIAAgACAAIABpAG4AZABlAHgALgAgAEUAbQBiAGUAZAC7AyAAcwB1AHAAcABvAHIAdABzACAAcwBjAGEAbABhAHIAcwAsACAAMQBEACAAYQByAHIAYQB5AHMALAAgAGEAbgBkACAAMgBEACAAYQByAHIAYQB5AHMALgAgAFQAaABlACAAZQBtAGIAZQBkAGQAZQBkACAAYQByAHIAYQB5AFwAbgAgACAAIAAgAGkAcwAgAGEAdQB0AG8AbQBhAHQAaQBjAGEAbABsAHkAIABlAHgAcABhAG4AZABlAGQAIABhAHMAIABuAGUAZQBkAGUAZAAgAHQAbwAgAG0AYQBpAG4AdABhAGkAbgAgAHIAZQBjAHQAYQBuAGcAdQBsAGEAcgBpAHQAeQAgAGEAbgBkACAAYQB2AG8AaQBkAFwAbgAgACAAIAAgAGoAYQBnAGcAZQBkACAAcgBlAHMAdQBsAHQAcwAuAFwAbgBcAG4AUABhAHIAYQBtAGUAdABlAHIAcwA6AFwAbgAgACAAIAAgAGEAcgByAGEAeQAgACAAIAAgACAAIAAgACAAIAAtACAAUgBlAHEAdQBpAHIAZQBkACAAMQBEACAAbwByACAAMgBEACAAaABvAHMAdAAgAGEAcgByAGEAeQAuAFwAbgAgACAAIAAgAGUAbQBiAGUAZABfAGEAcgByAGEAeQAgACAAIAAtACAAQQByAHIAYQB5ACAAdABvACAAZQBtAGIAZQBkACAAdwBpAHQAaABpAG4AIAB0AGgAZQAgAGgAbwBzAHQAIABhAHIAcgBhAHkALgBcAG4AIAAgACAAIABbAHIAbwB3AF8AaQBuAGQAZQB4AF0AIAAgACAALQAgAE8AcAB0AGkAbwBuAGEAbAAgAHIAbwB3ACAAcABvAHMAaQB0AGkAbwBuACAAZgBvAHIAIABpAG4AcwBlAHIAdABpAG8AbgAuAFwAbgAgACAAIAAgAFsAYwBvAGwAXwBpAG4AZABlAHgAXQAgACAAIAAtACAATwBwAHQAaQBvAG4AYQBsACAAYwBvAGwAdQBtAG4AIABwAG8AcwBpAHQAaQBvAG4AIABmAG8AcgAgAGkAbgBzAGUAcgB0AGkAbwBuAC4AXABuACAAIAAgACAAIAAgACAAIAAgACAAIAAgACAAIAAgACAAIAAgACAAIAAiICAASQBmACAAYgBvAHQAaAAgAGEAcgBlACAAcwB1AHAAcABsAGkAZQBkACwAIAByAG8AdwBfAGkAbgBkAGUAeAAgAHQAYQBrAGUAcwAgAHAAcgBlAGMAZQBkAGUAbgBjAGUALgBcAG4AXABuAE4AdQBhAG4AYwBlAHMAOgBcAG4AIAAgACAAIAAiICAAUwBjAGEAbABhAHIAcwAgAGUAeABwAGEAbgBkACAAaABvAHIAaQB6AG8AbgB0AGEAbABsAHkAIAB3AGgAZQBuACAAaQBuAHMAZQByAHQAZQBkACAAYgB5ACAAcgBvAHcAXwBpAG4AZABlAHgALAAgAHYAZQByAHQAaQBjAGEAbABsAHkAIAB3AGgAZQBuAFwAbgAgACAAIAAgACAAIABpAG4AcwBlAHIAdABlAGQAIABiAHkAIABjAG8AbABfAGkAbgBkAGUAeAAuAFwAbgAgACAAIAAgACIgIAAxAEQALwAyAEQAIABlAG0AYgBlAGQAXwBhAHIAcgBhAHkAIABpAG4AcAB1AHQAcwAgAHQAaABhAHQAIABkAG8AIABuAG8AdAAgAG0AYQB0AGMAaAAgAGgAbwBzAHQAIAB3AGkAZAB0AGgALwBoAGUAaQBnAGgAdAAgAGEAcgBlACAAcABhAGQAZABlAGQAXABuACAAIAAgACAAIAAgAHcAaQB0AGgAIABcACIAXAAiACAAdABvACAAbQBhAGkAbgB0AGEAaQBuACAAcgBlAGMAdABhAG4AZwB1AGwAYQByAGkAdAB5AC4AXABuACAAIAAgACAAIiAgAFwAIgAjAFIATwBXAC8AQwBPAEwALQBJAE4ARABFAFgAXAAiACAAaQBzACAAcgBlAHQAdQByAG4AZQBkACAAZgBvAHIAIABuAG8AbgARIG4AdQBtAGUAcgBpAGMAIABvAHIAIABvAHUAdAARIG8AZgARIGIAbwB1AG4AZABzACAAaQBuAGQAaQBjAGUAcwAuAFwAbgAgACAAIAAgACIgIABTAGMAYQBsAGEAcgBzACAAYwBhAG4AbgBvAHQAIABzAGUAcgB2AGUAIABhAHMAIABoAG8AcwB0ACAAYQByAHIAYQB5AHMAOwAgAFwAIgAjAFMAQwBBAEwAQQBSACEAXAAiACAAaQBzACAAcgBlAHQAdQByAG4AZQBkAC4AXABuAC0ALQAtAC0ALQAtAC0ALQAtAC0ALQAtAC0ALQAtAC0ALQAtAC0ALQAtAC0ALQAtAC0ALQAtAC0ALQAtAC0ALQAtAC0ALQAtAC0ALQAtAC0ALQAtAC0ALQAtAC0ALQAtAC0ALQAtAC0ALQAtAC0ALQAtAC0ALQAtAC0ALQAtAC0ALQAtAC0ALQAtAC0ALQAtAC0ALQAtAC0ALQAtACoALwBcAG4AXABuAEUAbQBiAGUAZAC7AyAAPQBcAG4ATABBAE0AQgBEAEEAKABcAG4AIAAgACAAIABhAHIAcgBhAHkALABcAG4AIAAgACAAIABlAG0AYgBlAGQAXwBhAHIAcgBhAHkALABcAG4AIAAgACAAIABbAHIAbwB3AF8AaQBuAGQAZQB4AF0ALABcAG4AIAAgACAAIABbAGMAbwBsAF8AaQBuAGQAZQB4AF0ALABcAG4ATABFAFQAKABcAG4AIAAgACAAIAAvAC8AIABIAG8AcwB0ACAAZABpAG0AZQBuAHMAaQBvAG4AcwBcAG4AIAAgACAAIABoACwAIAAgACAAIAAgACAAIAAgACAAIAAgACAAIAAgACAAIAAgACAAUgBPAFcAUwAoAGEAcgByAGEAeQApACwAXABuACAAIAAgACAAdwAsACAAIAAgACAAIAAgACAAIAAgACAAIAAgACAAIAAgACAAIAAgAEMATwBMAFUATQBOAFMAKABhAHIAcgBhAHkAKQAsAFwAbgBcAG4AIAAgACAAIAAvAC8AIABFAG0AYgBlAGQAIABkAGkAbQBlAG4AcwBpAG8AbgBzAFwAbgAgACAAIAAgAGgAgiAsACAAIAAgACAAIAAgACAAIAAgACAAIAAgACAAIAAgACAAIABSAE8AVwBTACgAZQBtAGIAZQBkAF8AYQByAHIAYQB5ACkALABcAG4AIAAgACAAIAB3AIIgLAAgACAAIAAgACAAIAAgACAAIAAgACAAIAAgACAAIAAgACAAQwBPAEwAVQBNAE4AUwAoAGUAbQBiAGUAZABfAGEAcgByAGEAeQApACwAXABuAFwAbgAgACAAIAAgAC8ALwAgAFAAYQByAGEAbQBlAHQAZQByACAAcAByAGUAcwBlAG4AYwBlAFwAbgAgACAAIAAgAFIAbwB3AEUAbQBiAGUAZAA/ACwAIAAgACAAIAAgACAAIAAgACAAIABOAE8AVAAoAEkAUwBPAE0ASQBUAFQARQBEACgAcgBvAHcAXwBpAG4AZABlAHgAKQApACwAXABuACAAIAAgACAAQwBvAGwARQBtAGIAZQBkAD8ALAAgACAAIAAgACAAIAAgACAAIAAgAE4ATwBUACgASQBTAE8ATQBJAFQAVABFAEQAKABjAG8AbABfAGkAbgBkAGUAeAApACkALABcAG4AIAAgACAAIABSAEMARQBtAGIAZQBkAD8ALAAgACAAIAAgACAAIAAgACAAIAAgACAAQQBOAEQAKABSAG8AdwBFAG0AYgBlAGQAPwAsACAAQwBvAGwARQBtAGIAZQBkAD8AKQAsAFwAbgBcAG4AIAAgACAAIAAvAC8AIABJAG4AdgBhAGwAaQBkACAAZQBtAGIAZQBkACAAcwBpAHoAZQAgACgAZQBtAGIAZQBkACAAbABhAHIAZwBlAHIAIAB0AGgAYQBuACAAaABvAHMAdAApAFwAbgAgACAAIAAgAEkAbgB2AGEAbABpAGQARQBtAGIAZQBkAD8ALAAgACAAIAAgACAAIABJAEYAKABBAE4ARAAoAFIAbwB3AEUAbQBiAGUAZAA/ACwAIAB3AIIgIAA+ACAAdwApACwAIABUAFIAVQBFACwAXABuACAAIAAgACAAIAAgACAAIAAgACAAIAAgACAAIAAgACAAIAAgACAAIAAgACAAIAAgACAAIAAgACAASQBGACgAQQBOAEQAKABDAG8AbABFAG0AYgBlAGQAPwAsACAAaACCICAAPgAgAGgAKQAsACAAVABSAFUARQAsAFwAbgAgACAAIAAgACAAIAAgACAAIAAgACAAIAAgACAAIAAgACAAIAAgACAAIAAgACAAIAAgACAAIAAgACAAIAAgACAASQBGACgAQQBOAEQAKABSAEMARQBtAGIAZQBkAD8ALAAgAE8AUgAoAGgAgiAgAD4AIABoACwAIAB3AIIgIAA+ACAAdwApACkALABcAG4AIAAgACAAIAAgACAAIAAgACAAIAAgACAAIAAgACAAIAAgACAAIAAgACAAIAAgACAAIAAgACAAIAAgACAAIAAgACAAIAAgACAAVABSAFUARQAsAFwAbgAgACAAIAAgACAAIAAgACAAIAAgACAAIAAgACAAIAAgACAAIAAgACAAIAAgACAAIAAgACAAIAAgACAAIAAgACAAIAAgACAAIABGAEEATABTAEUAKQApACkALABcAG4AXABuACAAIAAgACAALwAvACAASQBuAGQAZQB4ACAAdgBhAGwAaQBkAGEAdABpAG8AbgBcAG4AIAAgACAAIABJAG4AdgBhAGwAaQBkAEkAZAB4AD8ALAAgACAAIAAgACAAIAAgACAATwBSACgASQBTAFQARQBYAFQAKAByAG8AdwBfAGkAbgBkAGUAeAApACwAXABuACAAIAAgACAAIAAgACAAIAAgACAAIAAgACAAIAAgACAAIAAgACAAIAAgACAAIAAgACAAIAAgAEkAUwBUAEUAWABUACgAYwBvAGwAXwBpAG4AZABlAHgAKQAsAFwAbgAgACAAIAAgACAAIAAgACAAIAAgACAAIAAgACAAIAAgACAAIAAgACAAIAAgACAAIAAgACAAIABBAE4ARAAoAE4ATwBUACgASQBTAE8ATQBJAFQAVABFAEQAKAByAG8AdwBfAGkAbgBkAGUAeAApACkALABcAG4AIAAgACAAIAAgACAAIAAgACAAIAAgACAAIAAgACAAIAAgACAAIAAgACAAIAAgACAAIAAgACAATwBSACgAcgBvAHcAXwBpAG4AZABlAHgAIAA8ACAAMQAsACAAcgBvAHcAXwBpAG4AZABlAHgAIAA+ACAAaAApACkALABcAG4AIAAgACAAIAAgACAAIAAgACAAIAAgACAAIAAgACAAIAAgACAAIAAgACAAIAAgACAAIAAgACAAQQBOAEQAKABOAE8AVAAoAEkAUwBPAE0ASQBUAFQARQBEACgAYwBvAGwAXwBpAG4AZABlAHgAKQApACwAXABuACAAIAAgACAAIAAgACAAIAAgACAAIAAgACAAIAAgACAAIAAgACAAIAAgACAAIAAgACAAIAAgAE8AUgAoAGMAbwBsAF8AaQBuAGQAZQB4ACAAPAAgADEALAAgAGMAbwBsAF8AaQBuAGQAZQB4ACAAPgAgAHcAKQApACkALABcAG4AXABuACAAIAAgACAALwAvACAASABvAHMAdAAgAGMAYQBuAG4AbwB0ACAAYgBlACAAcwBjAGEAbABhAHIAXABuACAAIAAgACAASQBzAFMAYwBhAGwAYQByAD8ALAAgACAAIAAgACAAIAAgACAAIAAgAEEATgBEACgAaAAgAD0AIAAxACwAIAB3ACAAPQAgADEAKQAsAFwAbgBcAG4ALwAvACAATABvAGcAaQBjACAAZwBhAHQAZQBcAG4AIAAgACAAIABJAEYAKABJAG4AdgBhAGwAaQBkAEkAZAB4AD8ALAAgAFwAIgAjAFIATwBXAC8AQwBPAEwALQBJAE4ARABFAFgAXAAiACwAXABuAFwAbgAgACAAIAAgACAAIAAgACAASQBGACgASQBuAHYAYQBsAGkAZABFAG0AYgBlAGQAPwAsACAAXAAiACMARQBNAEIARQBEACEAXAAiACwAXABuAFwAbgAgACAAIAAgACAAIAAgACAAIAAgACAAIABJAEYAKABJAHMAUwBjAGEAbABhAHIAPwAsACAAXAAiACMAUwBDAEEATABBAFIAIQBcACIALABcAG4AXABuAEwARQBUACgAXABuACAAIAAgACAALwAvACAARABpAHIAZQBjAHQAaQBvAG4AOgAgAHYAZQByAHQAaQBjAGEAbAAgAGkAbgBzAGUAcgB0AGkAbwBuACAAdQBuAGwAZQBzAHMAIABvAG4AbAB5ACAAYwBvAGwAXwBpAG4AZABlAHgAIABpAHMAIABwAHIAbwB2AGkAZABlAGQAXABuACAAIAAgACAASQBzAFYAZQByAHQAaQBjAGEAbAA/ACwAIAAgACAAIAAgACAAIAAgAE8AUgAoAE4ATwBUACgASQBTAE8ATQBJAFQAVABFAEQAKAByAG8AdwBfAGkAbgBkAGUAeAApACkALAAgAEkAUwBPAE0ASQBUAFQARQBEACgAYwBvAGwAXwBpAG4AZABlAHgAKQApACwAXABuAFwAbgAgACAAIAAgAC8ALwAgAFMAdABhAGMAawAgAGYAdQBuAGMAdABpAG8AbgBcAG4AIAAgACAAIABTAHQAYQBjAGsAuwMsACAAIAAgACAAIAAgACAAIAAgACAAIAAgACAASQBGACgASQBzAFYAZQByAHQAaQBjAGEAbAA/ACwAIABWAFMAVABBAEMASwAsACAASABTAFQAQQBDAEsAKQAsAFwAbgBcAG4AIAAgACAAIAAvAC8AIABTAGMAYQBsAGEAcgAgAGUAbQBiAGUAZAA/AFwAbgAgACAAIAAgAEkAcwBJAG4AYwBTAGMAYQBsAGEAcgA/ACwAIAAgACAAIAAgACAAIABBAE4ARAAoAGgAgiAgAD0AIAAxACwAIAB3AIIgIAA9ACAAMQApACwAXABuAFwAbgAgACAAIAAgAC8ALwAgAEkAbgBzAGUAcgB0AGkAbwBuACAAaQBuAGQAZQB4AFwAbgAgACAAIAAgAGkAZAB4ACwAIAAgACAAIAAgACAAIAAgACAAIAAgACAAIAAgACAAIABJAEYAKABJAHMAVgBlAHIAdABpAGMAYQBsAD8ALAAgAHIAbwB3AF8AaQBuAGQAZQB4ACwAIABjAG8AbABfAGkAbgBkAGUAeAApACwAXABuACAAIAAgACAAbQBhAHgAXwBkAGkAbQAsACAAIAAgACAAIAAgACAAIAAgACAAIAAgADEAIAArACAASQBGACgASQBzAFYAZQByAHQAaQBjAGEAbAA/ACwAIABoACwAIAB3ACkALABcAG4AXABuACAAIAAgACAALwAvACAAUwBwAGwAaQB0ACAAaABvAHMAdAAgAGEAcgByAGEAeQBcAG4AIAAgACAAIABiAGwAbwBjAGsAXwBhACwAIAAgACAAIAAgACAAIAAgACAAIAAgACAASQBGACgASQBzAFYAZQByAHQAaQBjAGEAbAA/ACwAXABuACAAIAAgACAAIAAgACAAIAAgACAAIAAgACAAIAAgACAAIAAgACAAIAAgACAAIAAgACAAIAAgACAAVABBAEsARQAoAGEAcgByAGEAeQAsACAAaQBkAHgAIAAtACAAMQApACwAXABuACAAIAAgACAAIAAgACAAIAAgACAAIAAgACAAIAAgACAAIAAgACAAIAAgACAAIAAgACAAIAAgACAAVABBAEsARQAoAGEAcgByAGEAeQAsACAALAAgAGkAZAB4ACAALQAgADEAKQApACwAXABuAFwAbgAgACAAIAAgAGIAbABvAGMAawBfAGIALAAgACAAIAAgACAAIAAgACAAIAAgACAAIABJAEYAKABJAHMAVgBlAHIAdABpAGMAYQBsAD8ALABcAG4AIAAgACAAIAAgACAAIAAgACAAIAAgACAAIAAgACAAIAAgACAAIAAgACAAIAAgACAAIAAgACAAIABUAEEASwBFACgAYQByAHIAYQB5ACwAIAAtACgAMQAgACsAIABoACAALQAgAGkAZAB4ACkAKQAsAFwAbgAgACAAIAAgACAAIAAgACAAIAAgACAAIAAgACAAIAAgACAAIAAgACAAIAAgACAAIAAgACAAIAAgAFQAQQBLAEUAKABhAHIAcgBhAHkALAAgACwAIAAtACgAMQAgACsAIAB3ACAALQAgAGkAZAB4ACkAKQApACwAXABuAFwAbgAgACAAIAAgAC8ALwAgAFMAdABhAG4AZABhAHIAZAAgAGkAbgBzAGUAcgB0AGkAbwBuACAAKAB0AG8AcAAgAG8AcgAgAGIAbwB0AHQAbwBtACkAXABuACAAIAAgACAASQBzAFMAdABhAG4AZABhAHIAZAA/ACwAIAAgACAAIAAgACAAIAAgAE8AUgAoAGkAZAB4ACAAPQAgADEALAAgAGkAZAB4ACAAPQAgAG0AYQB4AF8AZABpAG0AKQAsAFwAbgBcAG4AIAAgACAAIAAvAC8AIABFAHgAcABhAG4AcwBpAG8AbgAgAHIAdQBsAGUAcwBcAG4AIAAgACAAIABlAHgAcABfAHMAYwBhAGwAYQByAF8AdwBpAGQAdABoACwAIAAgACAARQBYAFAAQQBOAEQAKABlAG0AYgBlAGQAXwBhAHIAcgBhAHkALAAgACwAIAB3ACwAIABlAG0AYgBlAGQAXwBhAHIAcgBhAHkAKQAsAFwAbgAgACAAIAAgAGUAeABwAF8AdwBpAGQAdABoACwAIAAgACAAIAAgACAAIAAgACAAIABFAFgAUABBAE4ARAAoAGUAbQBiAGUAZABfAGEAcgByAGEAeQAsACAALAAgAHcALAAgAFwAIgBcACIAKQAsAFwAbgAgACAAIAAgAGUAeABwAF8AcwBjAGEAbABhAHIAXwBoAGUAaQBnAGgAdAAsACAAIABFAFgAUABBAE4ARAAoAGUAbQBiAGUAZABfAGEAcgByAGEAeQAsACAAaAAsACAALAAgAGUAbQBiAGUAZABfAGEAcgByAGEAeQApACwAXABuACAAIAAgACAAZQB4AHAAXwBoAGUAaQBnAGgAdAAsACAAIAAgACAAIAAgACAAIAAgAEUAWABQAEEATgBEACgAZQBtAGIAZQBkAF8AYQByAHIAYQB5ACwAIABoACwAIAAsACAAXAAiAFwAIgApACwAXABuAFwAbgAgACAAIAAgAC8ALwAgAFAAYQBkACAAZQBtAGIAZQBkAF8AYQByAHIAYQB5ACAAdABvACAAYQB2AG8AaQBkACAAZABpAG0AZQBuAHMAaQBvAG4AIABtAGkAcwBtAGEAdABjAGgAXABuACAAIAAgACAAZQBtAGIAZQBkAF8AYQByAHIAYQB5ACwAIAAgACAAIAAgACAAIAAgAEkARgAoAEkAcwBWAGUAcgB0AGkAYwBhAGwAPwAgACoAIABJAHMASQBuAGMAUwBjAGEAbABhAHIAPwAsACAAZQB4AHAAXwBzAGMAYQBsAGEAcgBfAHcAaQBkAHQAaAAsAFwAbgAgACAAIAAgACAAIAAgACAAIAAgACAAIAAgACAAIAAgACAAIAAgACAAIAAgACAAIAAgACAAIAAgAEkARgAoAEkAcwBWAGUAcgB0AGkAYwBhAGwAPwAsACAAZQB4AHAAXwB3AGkAZAB0AGgALABcAG4AIAAgACAAIAAgACAAIAAgACAAIAAgACAAIAAgACAAIAAgACAAIAAgACAAIAAgACAAIAAgACAAIAAgACAAIAAgAEkARgAoAEkAcwBJAG4AYwBTAGMAYQBsAGEAcgA/ACwAIABlAHgAcABfAHMAYwBhAGwAYQByAF8AaABlAGkAZwBoAHQALABcAG4AIAAgACAAIAAgACAAIAAgACAAIAAgACAAIAAgACAAIAAgACAAIAAgACAAIAAgACAAIAAgACAAIAAgACAAIAAgACAAIAAgACAAZQB4AHAAXwBoAGUAaQBnAGgAdAApACkAKQAsAFwAbgBcAG4AIAAgACAAIAAvAC8AIABTAHQAYQBuAGQAYQByAGQAIAB2AHMAIABtAGkAZAARIGEAcgByAGEAeQAgAGkAbgBzAGUAcgB0AGkAbwBuAFwAbgAgACAAIAAgAHMAdABhAG4AZABhAHIAZAAsACAAIAAgACAAIAAgACAAIAAgACAAIABJAEYAKABpAGQAeAAgAD0AIAAxACwAUwB0AGEAYwBrALsDKABlAG0AYgBlAGQAXwBhAHIAcgBhAHkALAAgAGEAcgByAGEAeQApACwAXABuACAAIAAgACAAIAAgACAAIAAgACAAIAAgACAAIAAgACAAIAAgACAAIAAgACAAIAAgACAAIAAgACAAUwB0AGEAYwBrALsDKABhAHIAcgBhAHkALAAgAGUAbQBiAGUAZABfAGEAcgByAGEAeQApACkALABcAG4AXABuACAAIAAgACAAcwB0AGEAYwBrACwAIAAgACAAIAAgACAAIAAgACAAIAAgACAAIAAgAFMAdABhAGMAawC7AygAYgBsAG8AYwBrAF8AYQAsACAAZQBtAGIAZQBkAF8AYQByAHIAYQB5ACwAIABiAGwAbwBjAGsAXwBiACkALABcAG4AXABuACAAIAAgACAAcgBlAHMAdQBsAHQALAAgACAAIAAgACAAIAAgACAAIAAgACAAIAAgAEkARgAoAEkAcwBTAHQAYQBuAGQAYQByAGQAPwAsACAAcwB0AGEAbgBkAGEAcgBkACwAIABzAHQAYQBjAGsAKQAsAFwAbgBcAG4AIAAgACAAIAByAGUAcwB1AGwAdABcAG4AKQApACkAKQApACkAOwBcAG4AXABuAFwAbgBcAG4ALwAqACAAWwBHAEEAMQA0AF0AIAAtAC0ALQAtAC0ALQAtAC0ALQAtAC0ALQAtAC0ALQAtAC0ALQAtAC0ALQAtAC0ALQAtAC0ALQAtAC0ALQAtAC0ALQAtAC0ALQAtAC0ALQAtAC0ALQAtAC0ALQAtAC0ALQAtAC0ALQAtAC0ALQAtAC0ALQAtAC0ALQAtAC0ALQAtAC0ALQAtAC0ALQAtAC0ALQAtAFwAbgBGAHUAbgBjAHQAaQBvAG4AOgAgACAAIAAgACAASwBlAGUAcABSAG8Adw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cgBvAHcAcwAgAGYAcgBvAG0AIABhACAAMgBEACAAYQByAHIAYQB5ACAAYgBhAHMAZQBkACAAbwBuACAAYwBvAG4AdABpAGcAdQBvAHUAcwAgAHMAdQBiAGcAcgBvAHUAcAAgAHIAdQBuAHMALgAgAEEAIABwAG8AcwBpAHQAaQB2AGUAXABuACAAIAAgACAAawBlAGUAcAAgAHYAYQBsAHUAZQAgAHIAZQB0AGEAaQBuAHMAIAByAG8AdwBzACAAZgByAG8AbQAgAHQAaABlACAAdABvAHAAIABvAGYAIABlAGEAYwBoACAAcwB1AGIAZwByAG8AdQBwACAAcgB1AG4AOwAgAGEAIABuAGUAZwBhAHQAaQB2AGUAIABrAGUAZQBwAFwAbgAgACAAIAAgAHYAYQBsAHUAZQAgAHIAZQB0AGEAaQBuAHMAIAByAG8AdwBzACAAZgByAG8AbQAgAHQAaABlACAAYgBvAHQAdABvAG0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dABvAHAAIABvAGYAIABlAGEAYwBoACAAcgB1AG4AXABuACAAIAAgACAAIAAgACAAIAAgACAAIAAgACAAIAAgACAAIAAgACAAIAAgACAAIAAgACAAIAA8ACAAMAAgAJIhIABrAGUAZQBwACAAZgByAG8AbQAgAGIAbwB0AHQAbwBtACAAbwBmACAAZQBhAGMAaAAgAHIAdQBuAFwAbgAgACAAIAAgAGEAdABfAGUAYQBjAGgAXwBjAGgAYQBuAGcAZQAgACAALQAgAFMAdQBiAGcAcgBvAHUAcAAgAGwAYQBiAGUAbABzACAAKABzAGEAbQBlACAAaABlAGkAZwBoAHQAIABhAHMAIABhAHIAcgBhAHkAKQAuAFwAbgBcAG4ATgBvAHQAZQBzADoAXABuACAAIAAgACAAIiAgAEkAZgAgAG8AbgBsAHkAIABvAG4AZQAgAHMAdQBiAGcAcgBvAHUAcAAgAGUAeABpAHMAdABzACwAIABEAFIATwBQACgAKQAgAGkAcwAgAHUAcwBlAGQAIABhAHMAIABhACAAZgBhAHMAdAAgAHAAYQB0AGgALgBcAG4AIAAgACAAIAAiICAAawBlAGUAcAAgAG0AdQBzAHQAIABiAGUAIABhACAAcwBjAGEAbABhAHIAOwAgAHQAZQB4AHQAIABvAHIAIAB2AGUAYwB0AG8AcgAgAGkAbgBwAHUAdABzACAAaABhAGwAdAAgAHcAaQB0AGgAIABhAG4AIABlAHIAcgBvAHIALgBcAG4ALQAtAC0ALQAtAC0ALQAtAC0ALQAtAC0ALQAtAC0ALQAtAC0ALQAtAC0ALQAtAC0ALQAtAC0ALQAtAC0ALQAtAC0ALQAtAC0ALQAtAC0ALQAtAC0ALQAtAC0ALQAtAC0ALQAtAC0ALQAtAC0ALQAtAC0ALQAtAC0ALQAtAC0ALQAtAC0ALQAtAC0ALQAtAC0ALQAtAC0ALQAtAC0AKgAvAFwAbgBcAG4ASwBlAGUAcABSAG8AdwBzALsDIAA9AFwAbgBMAEEATQBCAEQAQQAoAFwAbgAgACAAIAAgAGEAcgByAGEAeQAsAFwAbgAgACAAIAAgAGsAZQBlAHAALABcAG4AIAAgACAAIABhAHQAXwBlAGEAYwBoAF8AYwBoAGEAbgBnAGUALABcAG4ATABFAFQAKABcAG4AIAAgACAAIAAvAC8AIABTAHUAYgBnAHIAbwB1AHAAIABzAGMAZQBuAGEAcgBpAG8AcwBcAG4AIAAgACAAIABPAG4AZQBTAHUAYgBHAHIAbwB1AHAAPwAsACAAIAAgACAAIAAgACAAQwBPAFUATgBUAEEAKABVAE4ASQBRAFUARQAoAGEAdABfAGUAYQBjAGgAXwBjAGgAYQBuAGcAZQApACkAIAA9ACAAMQAsAFwAbgAgACAAIAAgAEQAaQBzAGMAYQByAGQALAAgACAAIAAgACAAIAAgACAAIAAgACAAIABEAFIATwBQACgAYQByAHIAYQB5ACwAIABrAGUAZQBwACkALABcAG4AXABuACAAIAAgACAALwAvACAAVgBhAGwAaQBkAGEAdABpAG8AbgBcAG4AIAAgACAAIABTAGgAYQBwAGUATQBpAHMAbQBhAHQAYwBoAD8ALAAgACAAIAAgACAAUgBPAFcAUwAoAGEAcgByAGEAeQApACAAPAA+ACAAUgBPAFcAUwAoAGEAdABfAGUAYQBjAGgAXwBjAGgAYQBuAGcAZQApACwAXABuACAAIAAgACAASQBzAFQAZQB4AHQAPwAsACAAIAAgACAAIAAgACAAIAAgACAAIAAgAEkAUwBUAEUAWABUACgAawBlAGUAcAApACwAXABuACAAIAAgACAATgBvAHQAUwBjAGEAbABhAHIAPwAsACAAIAAgACAAIAAgACAAIAAgAEEATgBEACgATgBPAFQAKABJAHMAVABlAHgAdAA/ACkALAAgAEMATwBVAE4AVABBACgAawBlAGUAcAApACAAPgAgADEAKQAsAFwAbgAgACAAIAAgAHMAYwBlAG4AYQByAGkAbwBzACwAIAAgACAAIAAgACAAIAAgACAAIABWAFMAVABBAEMASwAoAFMAaABhAHAAZQBNAGkAcwBtAGEAdABjAGgAPwAsACAASQBzAFQAZQB4AHQAPwAsACAATgBvAHQAUwBjAGEAbABhAHIAPwApACwAXABuAFwAbgAgACAAIAAgAC8ALwAgAEUAcgByAG8AcgAgAGgAYQBuAGQAbABpAG4AZwBcAG4AIAAgACAAIABoAGEAbAB0ACwAIAAgACAAIAAgACAAIAAgACAAIAAgACAAIAAgACAATwBSACgAcwBjAGUAbgBhAHIAaQBvAHMAKQAsAFwAbgAgACAAIAAgAGUAcgByAG8AcgBzACwAIAAgACAAIAAgACAAIAAgACAAIAAgACAAIAB7AFwAIgAjAEQASQBNAEUATgBTAEkATwBOAFMAIQBcACIAOwAgAFwAIgAjAFQARQBYAFQAIQBcACIAOwAgAFwAIgAjAFMAQwBBAEwAQQBSACEAXAAiAH0ALABcAG4AIAAgACAAIABhAGwAZQByAHQALAAgACAAIAAgACAAIAAgACAAIAAgACAAIAAgACAAQQBSAFIAQQBZAFQATwBUAEUAWABUACgARgBJAEwAVABFAFIAKABlAHIAcgBvAHIAcwAsACAAcwBjAGUAbgBhAHIAaQBvAHMALAAgADAAKQApACwAXABuAFwAbgAvAC8AIABMAG8AZwBpAGMAIABnAGEAdABlAFwAbgAgACAAIAAgAEkARgAoAE8AbgBlAFMAdQBiAEcAcgBvAHUAcAA/ACwAIABEAGkAcwBjAGEAcgBkACwAXABuAFwAbgAgACAAIAAgACAAIAAgACAASQBGACgAaABhAGwAdAAsACAAYQBsAGUAcgB0ACwAXABuAFwAbgBMAEUAVAAoAFwAbgAgACAAIAAgAC8ALwAgAEQAaQByAGUAYwB0AGkAbwBuADoAIAArAHQAbwBwACwAIAATIGIAbwB0AHQAbwBtAFwAbgAgACAAIAAgAHMALAAgACAAIAAgACAAIAAgACAAIAAgACAAIAAgACAAIAAgACAAIABTAEkARwBOACgAawBlAGUAcAApACwAXABuAFwAbgAgACAAIAAgAC8ALwAgAFIAdQBuACAAaQBuAGQAaQBjAGUAcwBcAG4AIAAgACAAIABhAHMAYwBlAG4AZAAsACAAIAAgACAAIAAgACAAIAAgACAAIAAgACAAUwB0AHIAZQBhAGsAuwMoAGEAdABfAGUAYQBjAGgAXwBjAGgAYQBuAGcAZQApACwAXABuACAAIAAgACAAZABlAHMAYwBlAG4AZAAsACAAIAAgACAAIAAgACAAIAAgACAAIAAgAEMAbwB1AG4AdABkAG8AdwBuALsDKABhAHQAXwBlAGEAYwBoAF8AYwBoAGEAbgBnAGUAKQAsAFwAbgAgACAAIAAgAGsAZQBlAHAALAAgACAAIAAgACAAIAAgACAAIAAgACAAIAAgACAAIABBAEIAUwAoAGsAZQBlAHAAKQAsAFwAbgBcAG4AIAAgACAAIAAvAC8AIABTAGUAbABlAGMAdAAgAGkAbgBkAGUAeAAgAGIAYQBzAGUAZAAgAG8AbgAgAHMAaQBnAG4AXABuACAAIAAgACAAaQBkAHgALAAgACAAIAAgACAAIAAgACAAIAAgACAAIAAgACAAIAAgAEkARgAoAHMAIAA9ACAALQAxACwAIABkAGUAcwBjAGUAbgBkACwAIABhAHMAYwBlAG4AZAApACwAXABuAFwAbgAgACAAIAAgAC8ALwAgAEsAZQBlAHAAIAByAG8AdwBzACAAdwBoAGUAcgBlACAAaQBuAGQAZQB4ACAAZCIgAGsAZQBlAHAAXABuACAAIAAgACAAawBlAGUAcAA/ACwAIAAgACAAIAAgACAAIAAgACAAIAAgACAAIAAgAGkAZAB4ACAAPAA9ACAAawBlAGUAcAAsAFwAbgBcAG4AIAAgACAAIAByAGUAcwB1AGwAdAAsACAAIAAgACAAIAAgACAAIAAgACAAIAAgACAARgBJAEwAVABFAFIAKABhAHIAcgBhAHkALAAgAGsAZQBlAHAAPwApACwAXABuAFwAbgAgACAAIAAgAHIAZQBzAHUAbAB0AFwAbgApACkAKQApACkAOwBcAG4AXABuAFwAbgBcAG4ALwAqACAAWwBHAEEAMQA1AF0AIAAtAC0ALQAtAC0ALQAtAC0ALQAtAC0ALQAtAC0ALQAtAC0ALQAtAC0ALQAtAC0ALQAtAC0ALQAtAC0ALQAtAC0ALQAtAC0ALQAtAC0ALQAtAC0ALQAtAC0ALQAtAC0ALQAtAC0ALQAtAC0ALQAtAC0ALQAtAC0ALQAtAC0ALQAtAC0ALQAtAC0ALQAtAC0ALQAtAFwAbgBGAHUAbgBjAHQAaQBvAG4AOgAgACAAIAAgACAASwBlAGUAcABDAG8AbABzALsDXABuAEMAYQB0AGUAZwBvAHIAeQA6ACAAIAAgACAAIABHAHIAaQBkACAAQQBsAGcAZQBiAHIAYQAgACgAUwBlAGwAZQBjAHQAaQBvAG4AKQBcAG4AQQB1AHQAaABvAHIAOgAgACAAIAAgACAAIAAgAFAAYQB0AHIAaQBjAGsAIABIAC4AXABuAFYAZQByAHMAaQBvAG4AOgAgACAAIAAgACAAIAAxAC4AMQBcAG4ARABlAHAAZQBuAGQAZQBuAGMAaQBlAHMAOgAgAFMAdAByAGUAYQBrALsDLAAgAEMAbwB1AG4AdABkAG8AdwBuALsDXABuAFwAbgBEAGUAcwBjAHIAaQBwAHQAaQBvAG4AOgBcAG4AIAAgACAAIABSAGUAdABhAGkAbgBzACAAYwBvAGwAdQBtAG4AcwAgAGYAcgBvAG0AIABhACAAMgBEACAAYQByAHIAYQB5ACAAYgBhAHMAZQBkACAAbwBuACAAYwBvAG4AdABpAGcAdQBvAHUAcwAgAHMAdQBiAGcAcgBvAHUAcAAgAHIAdQBuAHMALgAgAEEAIABwAG8AcwBpAHQAaQB2AGUAXABuACAAIAAgACAAawBlAGUAcAAgAHYAYQBsAHUAZQAgAHIAZQB0AGEAaQBuAHMAIABjAG8AbAB1AG0AbgBzACAAZgByAG8AbQAgAHQAaABlACAAbABlAGYAdAAgAG8AZgAgAGUAYQBjAGgAIABzAHUAYgBnAHIAbwB1AHAAIAByAHUAbgA7ACAAYQAgAG4AZQBnAGEAdABpAHYAZQBcAG4AIAAgACAAIABrAGUAZQBwACAAdgBhAGwAdQBlACAAcgBlAHQAYQBpAG4AcwAgAGMAbwBsAHUAbQBuAHMAIABmAHIAbwBtACAAdABoAGUAIAByAGkAZwBoAHQALgBcAG4AXABuAFAAYQByAGEAbQBlAHQAZQByAHMAOgBcAG4AIAAgACAAIABhAHIAcgBhAHkAIAAgACAAIAAgACAAIAAgACAAIAAgAC0AIAAyAEQAIABhAHIAcgBhAHkALgBcAG4AIAAgACAAIABrAGUAZQBwACAAIAAgACAAIAAgACAAIAAgACAAIAAgAC0AIABTAGMAYQBsAGEAcgAgAGkAbgB0AGUAZwBlAHIAOgBcAG4AIAAgACAAIAAgACAAIAAgACAAIAAgACAAIAAgACAAIAAgACAAIAAgACAAIAAgACAAIAAgAD4AIAAwACAAkiEgAGsAZQBlAHAAIABmAHIAbwBtACAAbABlAGYAdAAgAG8AZgAgAGUAYQBjAGgAIAByAHUAbgBcAG4AIAAgACAAIAAgACAAIAAgACAAIAAgACAAIAAgACAAIAAgACAAIAAgACAAIAAgACAAIAAgADwAIAAwACAAkiEgAGsAZQBlAHAAIABmAHIAbwBtACAAcgBpAGcAaAB0ACAAbwBmACAAZQBhAGMAaAAgAHIAdQBuAFwAbgAgACAAIAAgAGEAdABfAGUAYQBjAGgAXwBjAGgAYQBuAGcAZQAgACAALQAgAFMAdQBiAGcAcgBvAHUAcAAgAGwAYQBiAGUAbABzACAAKABzAGEAbQBlACAAdwBpAGQAdABoACAAYQBzACAAYQByAHIAYQB5ACkALgBcAG4AXABuAE4AbwB0AGUAcwA6AFwAbgAgACAAIAAgACIgIABJAGYAIABvAG4AbAB5ACAAbwBuAGUAIABzAHUAYgBnAHIAbwB1AHAAIABlAHgAaQBzAHQAcwAsACAARABSAE8AUAAoACkAIABpAHMAIAB1AHMAZQBkACAAYQBzACAAYQAgAGYAYQBzAHQAIABwAGEAdABoAC4AXABuACAAIAAgACAAIiAgAGsAZQBlAHAAIABtAHUAcwB0ACAAYgBlACAAYQAgAHMAYwBhAGwAYQByADsAIAB0AGUAeAB0ACAAbwByACAAdgBlAGMAdABvAHIAIABpAG4AcAB1AHQAcwAgAGgAYQBsAHQAIAB3AGkAdABoACAAYQBuACAAZQByAHIAbwByAC4AXABuAC0ALQAtAC0ALQAtAC0ALQAtAC0ALQAtAC0ALQAtAC0ALQAtAC0ALQAtAC0ALQAtAC0ALQAtAC0ALQAtAC0ALQAtAC0ALQAtAC0ALQAtAC0ALQAtAC0ALQAtAC0ALQAtAC0ALQAtAC0ALQAtAC0ALQAtAC0ALQAtAC0ALQAtAC0ALQAtAC0ALQAtAC0ALQAtAC0ALQAtAC0ALQAtACoALwBcAG4AXABuAEsAZQBlAHAAQwBvAGwAcwC7AyAAPQBcAG4ATABBAE0AQgBEAEEAKABcAG4AIAAgACAAIABhAHIAcgBhAHkALABcAG4AIAAgACAAIABrAGUAZQBwACwAXABuACAAIAAgACAAYQB0AF8AZQBhAGMAaABfAGMAaABhAG4AZwBlACwAXABuAEwARQBUACgAXABuACAAIAAgACAALwAvACAAUwB1AGIAZwByAG8AdQBwACAAcwBjAGUAbgBhAHIAaQBvAHMAXABuACAAIAAgACAATwBuAGUAUwB1AGIARwByAG8AdQBwAD8ALAAgACAAIAAgACAAIAAgAEMATwBVAE4AVABBACgAVQBOAEkAUQBVAEUAKABhAHQAXwBlAGEAYwBoAF8AYwBoAGEAbgBnAGUALAAgADEAKQApACAAPQAgADEALABcAG4AIAAgACAAIABEAGkAcwBjAGEAcgBkACwAIAAgACAAIAAgACAAIAAgACAAIAAgACAARABSAE8AUAAoAGEAcgByAGEAeQAsACAALAAgAGsAZQBlAHAAKQAsAFwAbgBcAG4AIAAgACAAIAAvAC8AIABWAGEAbABpAGQAYQB0AGkAbwBuAFwAbgAgACAAIAAgAFMAaABhAHAAZQBNAGkAcwBtAGEAdABjAGgAPwAsACAAIAAgACAAIABDAE8ATABVAE0ATgBTACgAYQByAHIAYQB5ACkAIAA8AD4AIABDAE8ATABVAE0ATgBTACgAYQB0AF8AZQBhAGMAaABfAGMAaABhAG4AZwBlACkALABcAG4AIAAgACAAIABJAHMAVABlAHgAdAA/ACwAIAAgACAAIAAgACAAIAAgACAAIAAgACAASQBTAFQARQBYAFQAKABrAGUAZQBwACkALABcAG4AIAAgACAAIABOAG8AdABTAGMAYQBsAGEAcgA/ACwAIAAgACAAIAAgACAAIAAgACAAQQBOAEQAKABOAE8AVAAoAEkAcwBUAGUAeAB0AD8AKQAsACAAQwBPAFUATgBUAEEAKABrAGUAZQBwACkAIAA+ACAAMQApACwAXABuACAAIAAgACAAcwBjAGUAbgBhAHIAaQBvAHMALAAgACAAIAAgACAAIAAgACAAIAAgAFYAUwBUAEEAQwBLACgAUwBoAGEAcABlAE0AaQBzAG0AYQB0AGMAaAA/ACwAIABJAHMAVABlAHgAdAA/ACwAIABOAG8AdABTAGMAYQBsAGEAcgA/ACkALABcAG4AXABuACAAIAAgACAALwAvACAARQByAHIAbwByACAAaABhAG4AZABsAGkAbgBnAFwAbgAgACAAIAAgAGgAYQBsAHQALAAgACAAIAAgACAAIAAgACAAIAAgACAAIAAgACAAIABPAFIAKABzAGMAZQBuAGEAcgBpAG8AcwApACwAXABuACAAIAAgACAAZQByAHIAbwByAHMALAAgACAAIAAgACAAIAAgACAAIAAgACAAIAAgAHsAXAAiACMARABJAE0ARQBOAFMASQBPAE4AUwAhAFwAIgA7ACAAXAAiACMAVABFAFgAVAAhAFwAIgA7ACAAXAAiACMAUwBDAEEATABBAFIAIQBcACIAfQAsAFwAbgAgACAAIAAgAGEAbABlAHIAdAAsACAAIAAgACAAIAAgACAAIAAgACAAIAAgACAAIABBAFIAUgBBAFkAVABPAFQARQBYAFQAKABGAEkATABUAEUAUgAoAGUAcgByAG8AcgBzACwAIABzAGMAZQBuAGEAcgBpAG8AcwAsACAAMAApACkALABcAG4AXABuAC8ALwAgAEwAbwBnAGkAYwAgAGcAYQB0AGUAXABuACAAIAAgACAASQBGACgATwBuAGUAUwB1AGIARwByAG8AdQBwAD8ALAAgAEQAaQBzAGMAYQByAGQALABcAG4AXABuACAAIAAgACAAIAAgACAAIABJAEYAKABoAGEAbAB0ACwAIABhAGwAZQByAHQALABcAG4AXABuAEwARQBUACgAXABuACAAIAAgACAALwAvACAARABpAHIAZQBjAHQAaQBvAG4AOgAgACsAbABlAGYAdAAsACAAEyByAGkAZwBoAHQAXABuACAAIAAgACAAcwAsACAAIAAgACAAIAAgACAAIAAgACAAIAAgACAAIAAgACAAIAAgAFMASQBHAE4AKABrAGUAZQBwACkALABcAG4AXABuACAAIAAgACAALwAvACAAUgB1AG4AIABpAG4AZABpAGMAZQBzACAAKABoAG8AcgBpAHoAbwBuAHQAYQBsACkAXABuACAAIAAgACAAYQBzAGMAZQBuAGQALAAgACAAIAAgACAAIAAgACAAIAAgACAAIAAgAFMAdAByAGUAYQBrALsDKABhAHQAXwBlAGEAYwBoAF8AYwBoAGEAbgBnAGUALAAgAFQAUgBVAEUAKQAsAFwAbgAgACAAIAAgAGQAZQBzAGMAZQBuAGQALAAgACAAIAAgACAAIAAgACAAIAAgACAAIABDAG8AdQBuAHQAZABvAHcAbgC7AygAYQB0AF8AZQBhAGMAaABfAGMAaABhAG4AZwBlACwAIABUAFIAVQBFACkALABcAG4AIAAgACAAIABrAGUAZQBwACwAIAAgACAAIAAgACAAIAAgACAAIAAgACAAIAAgACAAQQBCAFMAKABrAGUAZQBwACkALABcAG4AXABuACAAIAAgACAALwAvACAAUwBlAGwAZQBjAHQAIABpAG4AZABlAHgAIABiAGEAcwBlAGQAIABvAG4AIABzAGkAZwBuAFwAbgAgACAAIAAgAGkAZAB4ACwAIAAgACAAIAAgACAAIAAgACAAIAAgACAAIAAgACAAIABJAEYAKABzACAAPQAgAC0AMQAsACAAZABlAHMAYwBlAG4AZAAsACAAYQBzAGMAZQBuAGQAKQAsAFwAbgBcAG4AIAAgACAAIAAvAC8AIABLAGUAZQBwACAAYwBvAGwAdQBtAG4AcwAgAHcAaABlAHIAZQAgAGkAbgBkAGUAeAAgAGQiIABrAGUAZQBwAFwAbgAgACAAIAAgAGsAZQBlAHAAPwAsACAAIAAgACAAIAAgACAAIAAgACAAIAAgACAAIABpAGQAeAAgADwAPQAgAGsAZQBlAHAALABcAG4AXABuACAAIAAgACAALwAvACAAQwBvAGwAdQBtAG4AESB3AGkAcwBlACAAZgBpAGwAdABlAHIAXABuACAAIAAgACAAcgBlAHMAdQBsAHQALAAgACAAIAAgACAAIAAgACAAIAAgACAAIAAgAEYASQBMAFQARQBSACgAYQByAHIAYQB5ACwAIABrAGUAZQBwAD8AKQAsAFwAbgBcAG4AIAAgACAAIAByAGUAcwB1AGwAdABcAG4AKQApACkAKQApADsAXABuAFwAbgBcAG4AXABuAC8AKgAgAFsARwBBADEANgBdACAALQAtAC0ALQAtAC0ALQAtAC0ALQAtAC0ALQAtAC0ALQAtAC0ALQAtAC0ALQAtAC0ALQAtAC0ALQAtAC0ALQAtAC0ALQAtAC0ALQAtAC0ALQAtAC0ALQAtAC0ALQAtAC0ALQAtAC0ALQAtAC0ALQAtAC0ALQAtAC0ALQAtAC0ALQAtAC0ALQAtAC0ALQAtAC0ALQBcAG4ARgB1AG4AYwB0AGkAbwBuADoAIAAgACAAIAAgAEIAbABvAGMAawBNAGEAcAC7A1wAbgBDAGEAdABlAGcAbwByAHkAOgAgACAAIAAgACAARwByAGkAZAAgAEEAbABnAGUAYgByAGEAIAAoAFMAdAByAHUAYwB0AHUAcgBhAGwAIABNAGEAcABwAGkAbgBnACkAXABuAEEAdQB0AGgAbwByADoAIAAgACAAIAAgACAAIABQAGEAdAByAGkAYwBrACAASAAuAFwAbgBWAGUAcgBzAGkAbwBuADoAIAAgACAAIAAgACAAMQAuADEAXABuAEQAZQBwAGUAbgBkAGUAbgBjAGkAZQBzADoAIABWAGEAbABpAGQAYQB0AGUAQgBsAG8AYwBrAE0AYQBwALsDXABuAFwAbgBEAGUAcwBjAHIAaQBwAHQAaQBvAG4AOgBcAG4AIAAgACAAIABSAGUAcwBoAGEAcABlAHMAIABhACAAYQByAHIAYQB5AF8AMgBEACAAcgBvAHcAESB3AGkAcwBlACAAbwByACAAYwBvAGwAdQBtAG4AESB3AGkAcwBlACAAaQBuAHQAbwAgAGIAbABvAGMAawBzACAAbwBmACAAcwBpAHoAZQBcAG4AIAAgACAAIABkAGUAcAB0AGgAIADXACAAdwBpAGQAdABoAC4AIABPAHAAdABpAG8AbgBhAGwAIABwAGEAcgBhAG0AZQB0AGUAcgBzACAAYQBsAGwAbwB3ACAAcgBlAHMAaABhAHAAaQBuAGcAIABiAHkAIABjAG8AbAB1AG0AbgAgAGEAbgBkAFwAbgAgACAAIAAgAHQAcgBhAG4AcwBwAG8AcwBpAG4AZwAgAHQAaABlACAAYQBuAGMAaABvAHIAIABnAHIAaQBkAHMAIAB1AHMAZQBkACAAdABvACAAZwBlAG4AZQByAGEAdABlACAAYgBsAG8AYwBrACAAaQBuAGQAaQBjAGUAcwAuAFwAbgBcAG4AUABhAHIAYQBtAGUAdABlAHIAcwA6AFwAbgAgACAAIAAgAGEAcgByAGEAeQBfADIARAAgACAAIAAgACAAIAAgACAAIAAgACAAIAAgACAAIAAtACAASQBuAHAAdQB0ACAAYQByAHIAYQB5AF8AMgBEAC4AXABuACAAIAAgACAAZABlAHAAdABoACAAIAAgACAAIAAgACAAIAAgACAAIAAgACAAIAAgACAALQAgAEgAZQBpAGcAaAB0ACAAbwBmACAAZQBhAGMAaAAgAGIAbABvAGMAawAuAFwAbgAgACAAIAAgAHcAaQBkAHQAaAAgACAAIAAgACAAIAAgACAAIAAgACAAIAAgACAAIAAgAC0AIABXAGkAZAB0AGgAIABvAGYAIABlAGEAYwBoACAAYgBsAG8AYwBrAC4AXABuACAAIAAgACAAWwByAGUAXwBzAGgAYQBwAGUAXwBiAHkAXwBjAG8AbAB1AG0AbgA/AF0ALQAgAEkAZgAgAFQAUgBVAEUALAAgAHIAZQBzAGgAYQBwAGUAIABjAG8AbAB1AG0AbgARIHcAaQBzAGUAOwAgAGUAbABzAGUAIAByAG8AdwARIHcAaQBzAGUALgBcAG4AIAAgACAAIABbAHQAcgBhAG4AcwBwAG8AcwBlAF8AYQBuAGMAaABvAHIAcwA/AF0AIAAtACAASQBmACAAVABSAFUARQAsACAAdAByAGEAbgBzAHAAbwBzAGUAIAByAG8AdwAvAGMAbwBsAHUAbQBuACAAYQBuAGMAaABvAHIAIABnAHIAaQBkAHMALgBcAG4AXABuAE4AbwB0AGUAcwA6AFwAbgAgACAAIAAgACIgIABWAGEAbABpAGQAYQB0AGUAQgBsAG8AYwBrAE0AYQBwALsDIABlAG4AZgBvAHIAYwBlAHMAIABzAHQAcgBpAGMAdAAgAHMAaABhAHAAZQAgAGMAbwBtAHAAYQB0AGkAYgBpAGwAaQB0AHkALgBcAG4AIAAgACAAIAAiICAAQQBuAGMAaABvAHIAcwAgAGQAZQBmAGkAbgBlACAAdABoAGUAIAB0AG8AcAARIGwAZQBmAHQAIABjAG8AcgBuAGUAcgAgAG8AZgAgAGUAYQBjAGgAIABiAGwAbwBjAGsALgBcAG4AIAAgACAAIAAiICAATwB1AHQAcAB1AHQAIABpAHMAIABhAGwAdwBhAHkAcwAgAHIAZQBjAHQAYQBuAGcAdQBsAGEAcgAgAGEAbgBkACAAZgB1AGwAbAB5ACAAdABpAGwAZQBkAC4AXABuAC0ALQAtAC0ALQAtAC0ALQAtAC0ALQAtAC0ALQAtAC0ALQAtAC0ALQAtAC0ALQAtAC0ALQAtAC0ALQAtAC0ALQAtAC0ALQAtAC0ALQAtAC0ALQAtAC0ALQAtAC0ALQAtAC0ALQAtAC0ALQAtAC0ALQAtAC0ALQAtAC0ALQAtAC0ALQAtAC0ALQAtAC0ALQAtAC0ALQAtAC0ALQAtACoALwBcAG4AXABuAEIAbABvAGMAawBNAGEAcAC7AyAAPQBcAG4ATABBAE0AQgBEAEEAKABcAG4AIAAgACAAIABhAHIAcgBhAHkAXwAyAEQALABcAG4AIAAgACAAIABkAGUAcAB0AGgALABcAG4AIAAgACAAIAB3AGkAZAB0AGgALABcAG4AIAAgACAAIABbAHIAZQBfAHMAaABhAHAAZQBfAGIAeQBfAGMAbwBsAHUAbQBuAD8AXQAsAFwAbgAgACAAIAAgAFsAdAByAGEAbgBzAHAAbwBzAGUAXwBhAG4AYwBoAG8AcgBzAD8AXQAsAFwAbgBcAG4AIAAgACAAIAAvAC8AIABWAGEAbABpAGQAYQB0AGUAIABpAG4AcAB1AHQAcwAgAGIAZQBmAG8AcgBlACAAcgBlAHMAaABhAHAAaQBuAGcAXABuACAAIAAgACAAVgBhAGwAaQBkAGEAdABlAEIAbABvAGMAawBNAGEAcAC7AygAYQByAHIAYQB5AF8AMgBEACwAIABkAGUAcAB0AGgALAAgAHcAaQBkAHQAaAAsACAAcgBlAF8AcwBoAGEAcABlAF8AYgB5AF8AYwBvAGwAdQBtAG4APwAsAFwAbgBcAG4ATABFAFQAKABcAG4AIAAgACAAIAAvAC8AIABCAGwAbwBjAGsAIABnAHIAaQBkACAAZABpAG0AZQBuAHMAaQBvAG4AcwBcAG4AIAAgACAAIAB4ACwAIAAgACAAIAAgACAAIAAgACAAIAAgACAAIABSAE8AVQBOAEQAVQBQACgAUgBPAFcAUwAoAGEAcgByAGEAeQBfADIARAApACAALwAgAGQAZQBwAHQAaAAsACAAMAApACwAIAAgACAAIAAgAC8ALwAgAGIAbABvAGMAawAgAHIAbwB3AHMAXABuACAAIAAgACAAeQAsACAAIAAgACAAIAAgACAAIAAgACAAIAAgACAAUgBPAFUATgBEAFUAUAAoAEMATwBMAFUATQBOAFMAKABhAHIAcgBhAHkAXwAyAEQAKQAgAC8AIAB3AGkAZAB0AGgALAAgADAAKQAsACAAIAAvAC8AIABiAGwAbwBjAGsAIABjAG8AbAB1AG0AbgBzAFwAbgBcAG4AIAAgACAAIAAvAC8AIABBAG4AYwBoAG8AcgAgAGcAcgBpAGQAcwBcAG4AIAAgACAAIABpACwAIAAgACAAIAAgACAAIAAgACAAIAAgACAAIABTAEUAUQBVAEUATgBDAEUAKAB4ACwAIAAsACAAMQAsACAAZABlAHAAdABoACkAIAAqAFwAbgAgACAAIAAgACAAIAAgACAAIAAgACAAIAAgACAAIAAgACAAIAAgAFMARQBRAFUARQBOAEMARQAoACwAIAB5ACwAIAAxACwAIAAwACkALABcAG4AXABuACAAIAAgACAAagAsACAAIAAgACAAIAAgACAAIAAgACAAIAAgACAAUwBFAFEAVQBFAE4AQwBFACgALAAgAHkALAAgADEALAAgAHcAaQBkAHQAaAApACAAKgBcAG4AIAAgACAAIAAgACAAIAAgACAAIAAgACAAIAAgACAAIAAgACAAIABTAEUAUQBVAEUATgBDAEUAKAB4ACwAIAAsACAAMQAsACAAMAApACwAXABuAFwAbgAgACAAIAAgAHIAbwB3AF8AYQBuAGMAaABvAHIALAAgACAAIAAgAEkARgAoAEkAUwBPAE0ASQBUAFQARQBEACgAdAByAGEAbgBzAHAAbwBzAGUAXwBhAG4AYwBoAG8AcgBzAD8AKQAsACAAaQAsACAAVABSAEEATgBTAFAATwBTAEUAKABpACkAKQAsAFwAbgAgACAAIAAgAGMAbwBsAF8AYQBuAGMAaABvAHIALAAgACAAIAAgAEkARgAoAEkAUwBPAE0ASQBUAFQARQBEACgAdAByAGEAbgBzAHAAbwBzAGUAXwBhAG4AYwBoAG8AcgBzAD8AKQAsACAAagAsACAAVABSAEEATgBTAFAATwBTAEUAKABqACkAKQAsAFwAbgBcAG4AIAAgACAAIAAvAC8AIABSAG8AdwAgAGkAbgBkAGkAYwBlAHMAIABmAG8AcgAgAGUAYQBjAGgAIABiAGwAbwBjAGsAXABuACAAIAAgACAAcgBvAHcAXwBpAG4AZABpAGMAZQBzACwAIAAgACAAVABPAEMATwBMACgAcgBvAHcAXwBhAG4AYwBoAG8AcgApACAAKwBcAG4AIAAgACAAIAAgACAAIAAgACAAIAAgACAAIAAgACAAIAAgACAAIABJAE4AVAAoAFMARQBRAFUARQBOAEMARQAoACwAIABkAGUAcAB0AGgAIAAqACAAdwBpAGQAdABoACwAIAAwACwAIAAxACAALwAgAHcAaQBkAHQAaAApACkALABcAG4AXABuACAAIAAgACAALwAvACAAQwBvAGwAdQBtAG4AIABpAG4AZABpAGMAZQBzACAAZgBvAHIAIABlAGEAYwBoACAAYgBsAG8AYwBrAFwAbgAgACAAIAAgAGMAbwBsAF8AaQBuAGQAaQBjAGUAcwAsACAAIAAgAFQATwBDAE8ATAAoAGMAbwBsAF8AYQBuAGMAaABvAHIAKQAgACsAXABuACAAIAAgACAAIAAgACAAIAAgACAAIAAgACAAIAAgACAAIAAgACAAVABPAFIATwBXACgASQBGAFMAKABTAEUAUQBVAEUATgBDAEUAKABkAGUAcAB0AGgAKQAsACAAUwBFAFEAVQBFAE4AQwBFACgALAAgAHcAaQBkAHQAaAAsACAAMAAsACAAMQApACkAKQAsAFwAbgBcAG4AIAAgACAAIAAvAC8AIABFAHgAdAByAGEAYwB0ACAAYgBsAG8AYwBrAHMAXABuACAAIAAgACAAcgBlAHMAaABhAHAAZQBkACwAIAAgACAAIAAgACAASQBOAEQARQBYACgAYQByAHIAYQB5AF8AMgBEACwAIAByAG8AdwBfAGkAbgBkAGkAYwBlAHMALAAgAGMAbwBsAF8AaQBuAGQAaQBjAGUAcwApACwAXABuAFwAbgAgACAAIAAgAC8ALwAgAE8AcAB0AGkAbwBuAGEAbAAgAGMAbwBsAHUAbQBuABEgdwBpAHMAZQAgAHIAZQBzAGgAYQBwAGUAXABuACAAIAAgACAAcgBlAHMAdQBsAHQALAAgACAAIAAgACAAIAAgACAASQBGACgAcgBlAF8AcwBoAGEAcABlAF8AYgB5AF8AYwBvAGwAdQBtAG4APwAsACAAVABSAEEATgBTAFAATwBTAEUAKAByAGUAcwBoAGEAcABlAGQAKQAsACAAcgBlAHMAaABhAHAAZQBkACkALABcAG4AXABuACAAIAAgACAAcgBlAHMAdQBsAHQAXABuACkAKQApADsAXABuAFwAbgBcAG4AXABuAC8AKgAgAFsARwBBABEgQwBPAFIARQBdACAALQAtAC0ALQAtAC0ALQAtAC0ALQAtAC0ALQAtAC0ALQAtAC0ALQAtAC0ALQAtAC0ALQAtAC0ALQAtAC0ALQAtAC0ALQAtAC0ALQAtAC0ALQAtAC0ALQAtAC0ALQAtAC0ALQAtAC0ALQAtAC0ALQAtAC0ALQAtAC0ALQAtAC0ALQAtAC0ALQAtAC0ALQBcAG4ARgB1AG4AYwB0AGkAbwBuADoAIAAgACAAIAAgAFYAYQBsAGkAZABhAHQAZQBCAGwAbwBjAGsATQBhAHAAuwNcAG4AQwBhAHQAZQBnAG8AcgB5ADoAIAAgACAAIAAgAEcAcgBpAGQAIABBAGwAZwBlAGIAcgBh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QgBsAG8AYwBrAE0AYQBwALsDLgAgAEUAbgBzAHUAcgBlAHMAIAB0AGgAZQAgAGEAcgByAGEAeQBfADIARAAgAGkAcwAgAHYAYQBsAGkAZAAsACAAYgBsAG8AYwBrACAAZABpAG0AZQBuAHMAaQBvAG4AcwBcAG4AIAAgACAAIABhAHIAZQAgAGMAbwBtAHAAYQB0AGkAYgBsAGUALAAgAHIAZQBzAGgAYQBwAGkAbgBnACAAdwBpAGwAbAAgAG4AbwB0ACAAcwBwAGkAbABsACwAIABhAG4AZAAgAHQAaABlACAAYgBsAG8AYwBrACAAZwBlAG8AbQBlAHQAcgB5ACAAdABpAGwAZQBzACAAdABoAGUAXABuACAAIAAgACAAYQByAHIAYQB5AF8AMgBEACAAYwBsAGUAYQBuAGwAeQAuAFwAbgBcAG4AUABhAHIAYQBtAGUAdABlAHIAcwA6AFwAbgAgACAAIAAgAGEAcgByAGEAeQBfADIARAAgACAAIAAgACAAIAAgACAAIAAgACAAIAAgACAAIAAtACAASQBuAHAAdQB0ACAAYQByAHIAYQB5AF8AMgBEAC4AXABuACAAIAAgACAAZABlAHAAdABoACAAIAAgACAAIAAgACAAIAAgACAAIAAgACAAIAAgACAALQAgAEIAbABvAGMAawAgAGgAZQBpAGcAaAB0AC4AXABuACAAIAAgACAAdwBpAGQAdABoACAAIAAgACAAIAAgACAAIAAgACAAIAAgACAAIAAgACAALQAgAEIAbABvAGMAawAgAHcAaQBkAHQAaAAuAFwAbgAgACAAIAAgAHIAZQBfAHMAaABhAHAAZQBfAGIAeQBfAGMAbwBsAHUAbQBuAD8AIAAgAC0AIABPAHAAdABpAG8AbgBhAGwAIABmAGwAYQBnACAAZgBvAHIAIABjAG8AbAB1AG0AbgARIHcAaQBzAGUAIAByAGUAcwBoAGEAcABlAC4AXABuACAAIAAgACAAbwBuAF8AdgBhAGwAaQBkACAAIAAgACAAIAAgACAAIAAgACAAIAAgACAALQAgAEUAeABwAHIAZQBzAHMAaQBvAG4AIAB0AG8AIABlAHYAYQBsAHUAYQB0AGUAIAB3AGgAZQBuACAAdgBhAGwAaQBkAGEAdABpAG8AbgAgAHAAYQBzAHMAZQBzAC4AXABuAFwAbgBOAG8AdABlAHMAOgBcAG4AIAAgACAAIAAiICAARQBuAHMAdQByAGUAcwAgAGEAcgByAGEAeQBfADIARAAgAGkAcwAgAGEAIABwAHIAbwBwAGUAcgAgAGEAcgByAGEAeQAgACgAVABZAFAARQAgAD0AIAA2ADQAKQAuAFwAbgAgACAAIAAgACIgIABQAHIAZQB2AGUAbgB0AHMAIABzAHAAaQBsAGwAESByAGkAcwBrACAAdwBoAGUAbgAgAHIAZQBzAGgAYQBwAGkAbgBnACAAYgB5ACAAYwBvAGwAdQBtAG4ALgBcAG4AIAAgACAAIAAiICAARQBuAGYAbwByAGMAZQBzACAAZQB4AGEAYwB0ACAAZABpAHYAaQBzAGkAYgBpAGwAaQB0AHkAIABiAHkAIABiAGwAbwBjAGsAIABkAGkAbQBlAG4AcwBpAG8AbgBzAC4AXABuACAAIAAgACAAIiAgAFIAZQBqAGUAYwB0AHMAIABpAG4AdgBhAGwAaQBkACAAbwByACAAdABlAHgAdAAgAGIAbABvAGMAawAgAHMAaQB6AGUAcwAuAFwAbgAtAC0ALQAtAC0ALQAtAC0ALQAtAC0ALQAtAC0ALQAtAC0ALQAtAC0ALQAtAC0ALQAtAC0ALQAtAC0ALQAtAC0ALQAtAC0ALQAtAC0ALQAtAC0ALQAtAC0ALQAtAC0ALQAtAC0ALQAtAC0ALQAtAC0ALQAtAC0ALQAtAC0ALQAtAC0ALQAtAC0ALQAtAC0ALQAtAC0ALQAtAC0ALQAqAC8AXABuAFwAbgBWAGEAbABpAGQAYQB0AGUAQgBsAG8AYwBrAE0AYQBwALsDIAA9AFwAbgBMAEEATQBCAEQAQQAoAFwAbgAgACAAIAAgAGEAcgByAGEAeQBfADIARAAsAFwAbgAgACAAIAAgAGQAZQBwAHQAaAAsAFwAbgAgACAAIAAgAHcAaQBkAHQAaAAsAFwAbgAgACAAIAAgAHIAZQBfAHMAaABhAHAAZQBfAGIAeQBfAGMAbwBsAHUAbQBuAD8ALABcAG4AIAAgACAAIABvAG4AXwB2AGEAbABpAGQALABcAG4AXABuACAAIAAgACAALwAvACAATQB1AHMAdAAgAGIAZQAgAGEAbgAgAGEAcgByAGEAeQBcAG4AIAAgACAAIABJAEYAKABOAE8AVAAoAFQAWQBQAEUAKABhAHIAcgBhAHkAXwAyAEQAKQAgAD0AIAA2ADQAKQAsAFwAIgAjAGEAcgByAGEAeQBfADIARAAhAFwAIgAsAFwAbgBcAG4AIAAgACAAIAAvAC8AIABTAHAAaQBsAGwAESByAGkAcwBrACAAdwBoAGUAbgAgAHIAZQBzAGgAYQBwAGkAbgBnACAAYgB5ACAAYwBvAGwAdQBtAG4AXABuACAAIAAgACAASQBGACgAKAByAGUAXwBzAGgAYQBwAGUAXwBiAHkAXwBjAG8AbAB1AG0AbgA/ACkAIAAqACAAXABuACAAIAAgACAAIAAgACAAKABSAE8AVwBTACgAYQByAHIAYQB5AF8AMgBEACkAIAAqACAAQwBPAEwAVQBNAE4AUwAoAGEAcgByAGEAeQBfADIARAApACAALwAgACgAdwBpAGQAdABoACAAKgAgAGQAZQBwAHQAaAApAF4AMgAgAD4AIAAxADYAMwA4ADQAKQAsAFwAIgAjAFMAUABJAEwATAAtAFIASQBTAEsAIQBcACIALABcAG4AXABuACAAIAAgACAALwAvACAATQB1AHMAdAAgAHQAaQBsAGUAIABjAGwAZQBhAG4AbAB5AFwAbgAgACAAIAAgAEkARgAoACgATQBPAEQAKABSAE8AVwBTACgAYQByAHIAYQB5AF8AMgBEACkALAAgAGQAZQBwAHQAaAApACAAPAA+ACAAMAApACAAKwAoAE0ATwBEACgAQwBPAEwAVQBNAE4AUwAoAGEAcgByAGEAeQBfADIARAApACwAIAB3AGkAZAB0AGgAKQAgADwAPgAgADAAKQAsAFwAIgAjAEIATABPAEMASwAgAE0ASQBTAE0AQQBUAEMASAAhAFwAIgAsAFwAbgBcAG4AIAAgACAAIAAvAC8AIABCAGwAbwBjAGsAIABzAGkAegBlACAAbQB1AHMAdAAgAGIAZQAgAHYAYQBsAGkAZABcAG4AIAAgACAAIABJAEYAKABPAFIAKABBAE4ARAAoAHcAaQBkAHQAaAAgAD0AIAAxACwAIABkAGUAcAB0AGgAIAA9ACAAMQApACwAZABlAHAAdABoACAAPgAgAFIATwBXAFMAKABhAHIAcgBhAHkAXwAyAEQAKQAsAFwAbgAgACAAIAAgACAAIAAgACAAIAAgACAAIAAgACAAdwBpAGQAdABoACAAPgAgAEMATwBMAFUATQBOAFMAKABhAHIAcgBhAHkAXwAyAEQAKQAsAEkAUwBUAEUAWABUACgAdwBpAGQAdABoACkALABJAFMAVABFAFgAVAAoAGQAZQBwAHQAaAApACkALABcACIAIwBEAEkATQBFAE4AUwBJAE8ATgBTACEAXAAiACwAXABuAFwAbgAgACAAIAAgAC8ALwAgAEEAbABsACAAYwBoAGUAYwBrAHMAIABwAGEAcwBzAGUAZABcAG4AIAAgACAAIABvAG4AXwB2AGEAbABpAGQAXABuACAAIAAgACAAKQApACkAKQApADsAXABuAFwAbgBcAG4AXABuAC8AKgAgAFsARwBBADEANwBdACAALQAtAC0ALQAtAC0ALQAtAC0ALQAtAC0ALQAtAC0ALQAtAC0ALQAtAC0ALQAtAC0ALQAtAC0ALQAtAC0ALQAtAC0ALQAtAC0ALQAtAC0ALQAtAC0ALQAtAC0ALQAtAC0ALQAtAC0ALQAtAC0ALQAtAC0ALQAtAC0ALQAtAC0ALQAtAC0ALQAtAC0ALQAtAC0ALQBcAG4ARgB1AG4AYwB0AGkAbwBuADoAIAAgACAAIAAgAEMAbwBuAHYAbwBsAHYAZQC7A1wAbgBDAGEAdABlAGcAbwByAHkAOgAgACAAIAAgACAARwByAGkAZAAgAEEAbABnAGUAYgByAGEAIAAoAFMAdAByAHUAYwB0AHUAcgBhAGwAIABNAGEAcABwAGkAbgBnACkAXABuAEEAdQB0AGgAbwByADoAIAAgACAAIAAgACAAIABQAGEAdAByAGkAYwBrACAASAAuAFwAbgBWAGUAcgBzAGkAbwBuADoAIAAgACAAIAAgACAAMQAuADIAXABuAEQAZQBwAGUAbgBkAGUAbgBjAGkAZQBzADoAIABSAGUAcwBpAHoAZQC7A1wAbgBcAG4ARABlAHMAYwByAGkAcAB0AGkAbwBuADoAXABuACAAIAAgACAAUABlAHIAZgBvAHIAbQBzACAAYQAgAHMAbABpAGQAaQBuAGcAESB3AGkAbgBkAG8AdwAgAGMAbwBuAHYAbwBsAHUAdABpAG8AbgAgAG8AdgBlAHIAIABhACAAMgBEACAAYQByAHIAYQB5ACAAdQBzAGkAbgBnACAAYQAgADIARAAgAGsAZQByAG4AZQBsAC4AXABuACAAIAAgACAARQBhAGMAaAAgAHcAaQBuAGQAbwB3ACAAZQB4AHQAcgBhAGMAdABlAGQAIABmAHIAbwBtACAAdABoAGUAIABpAG4AcAB1AHQAIABhAHIAcgBhAHkAIABoAGEAcwAgAHQAaABlACAAcwBhAG0AZQAgAGQAaQBtAGUAbgBzAGkAbwBuAHMAIABhAHMAIAB0AGgAZQBcAG4AIAAgACAAIABrAGUAcgBuAGUAbAAuACAAQQAgAHIAZQBkAHUAYwBlAHIAIABmAHUAbgBjAHQAaQBvAG4AIABpAHMAIABhAHAAcABsAGkAZQBkACAAdABvACAAZQBhAGMAaAAgAHcAaQBuAGQAbwB3ACAAdABvACAAcAByAG8AZAB1AGMAZQAgAHQAaABlACAAbwB1AHQAcAB1AHQALgBcAG4AXABuACAAIAAgACAASQBmACAAbgBvACAAcgBlAGQAdQBjAGUAcgAgAGYAdQBuAGMAdABpAG8AbgAgAGkAcwAgAHMAdQBwAHAAbABpAGUAZAAsACAAQwBvAG4AdgBvAGwAdgBlALsDIABkAGUAZgBhAHUAbAB0AHMAIAB0AG8AIABhACAAZABvAHQAESBwAHIAbwBkAHUAYwB0AFwAbgAgACAAIAAgAHIAZQBkAHUAYwBlAHIAOgAgAFMAVQBNACgAdgAgACoAIABrAGUAcgBuAGUAbAApAC4AXABuAFwAbgBQAGEAcgBhAG0AZQB0AGUAcgBzADoAXABuACAAIAAgACAAYQByAHIAYQB5ACAAIAAgACAAIAAgACAALQAgADIARAAgAGEAcgByAGEAeQAgAHQAbwAgAHcAaABpAGMAaAAgAHQAaABlACAAawBlAHIAbgBlAGwAIABpAHMAIABhAHAAcABsAGkAZQBkAC4AXABuACAAIAAgACAAawBlAHIAbgBlAGwAIAAgACAAIAAgACAALQAgADIARAAgAGEAcgByAGEAeQAgAGQAZQBmAGkAbgBpAG4AZwAgAHQAaABlACAAcwBsAGkAZABpAG4AZwAgAHcAaQBuAGQAbwB3ACAAZABpAG0AZQBuAHMAaQBvAG4AcwAuAFwAbgAgACAAIAAgAFsAZgB1AG4AYwB0AGkAbwBuAF0AIAAgAC0AIABPAHAAdABpAG8AbgBhAGwAIAByAGUAZAB1AGMAZQByACAATABBAE0AQgBEAEEAIABhAGMAYwBlAHAAdABpAG4AZwAgAGEAIABzAGkAbgBnAGwAZQAgAGEAcgByAGEAeQAgAGEAcgBnAHUAbQBlAG4AdAAuAFwAbgAgACAAIAAgACAAIAAgACAAIAAgACAAIAAgACAAIAAgACAAIABEAGUAZgBhAHUAbAB0AHMAIAB0AG8AIABTAFUATQAoAHYAIAAqACAAawBlAHIAbgBlAGwAKQAuAFwAbgBcAG4ATgBvAHQAZQBzADoAXABuACAAIAAgACAAIiAgAFIAZQB0AHUAcgBuAHMAIABcACIAIwBLAEUAUgBOAEUATAAhAFwAIgAgAGkAZgAgAHQAaABlACAAawBlAHIAbgBlAGwAIABpAHMAIABsAGEAcgBnAGUAcgAgAHQAaABhAG4AIAB0AGgAZQAgAGkAbgBwAHUAdAAgAGEAcgByAGEAeQAuAFwAbgAgACAAIAAgACIgIABSAGUAdAB1AHIAbgBzACAAXAAiACMARgBVAE4AQwBUAEkATwBOACEAXAAiACAAaQBmACAAdABoAGUAIAByAGUAZAB1AGMAZQByACAAaQBzACAAbgBvAHQAIABhACAAdgBhAGwAaQBkACAATABBAE0AQgBEAEEALgBcAG4AIAAgACAAIAAiICAAUwBjAGEAbABhAHIAcwAgAGEAcgBlACAAdAByAGUAYQB0AGUAZAAgAGEAcwAgADEA1wAxACAAYQByAHIAYQB5AHMAIABhAG4AZAAgAG0AYQBwAHAAZQBkACAAdABoAHIAbwB1AGcAaAAgAHQAaABlACAAcgBlAGQAdQBjAGUAcgAuAFwAbgAgACAAIAAgACIgIABSAGUAZAB1AGMAZQByACAAYgBlAGgAYQB2AGkAbwByACAAaQBzACAAdQBzAGUAcgARIGQAZQBmAGkAbgBlAGQAOwAgAGEAcgByAGEAeQBzACAAbgBlAGUAZAAgAG4AbwB0ACAAYgBlACAAbgB1AG0AZQByAGkAYwAuAFwAbgAtAC0ALQAtAC0ALQAtAC0ALQAtAC0ALQAtAC0ALQAtAC0ALQAtAC0ALQAtAC0ALQAtAC0ALQAtAC0ALQAtAC0ALQAtAC0ALQAtAC0ALQAtAC0ALQAtAC0ALQAtAC0ALQAtAC0ALQAtAC0ALQAtAC0ALQAtAC0ALQAtAC0ALQAtAC0ALQAtAC0ALQAtAC0ALQAtAC0ALQAtAC0ALQAqAC8AXABuAFwAbgBDAG8AbgB2AG8AbAB2AGUAuwMgAD0AXABuAEwAQQBNAEIARABBACgAXABuACAAIAAgACAAYQByAHIAYQB5ACwAXABuACAAIAAgACAAawBlAHIAbgBlAGwALABcAG4AIAAgACAAIABbAGYAdQBuAGMAdABpAG8AbgBdACwAXABuAEwARQBUACgAXABuACAAIAAgACAALwAvACAAQQByAHIAYQB5ACAAZABpAG0AZQBuAHMAaQBvAG4AcwBcAG4AIAAgACAAIABoACwAIAAgACAAIAAgACAAIAAgACAAIAAgACAAIAAgACAAIAAgACAAUgBPAFcAUwAoAGEAcgByAGEAeQApACwAXABuACAAIAAgACAAdwAsACAAIAAgACAAIAAgACAAIAAgACAAIAAgACAAIAAgACAAIAAgAEMATwBMAFUATQBOAFMAKABhAHIAcgBhAHkAKQAsAFwAbgBcAG4AIAAgACAAIAAvAC8AIABLAGUAcgBuAGUAbAAgAGQAaQBtAGUAbgBzAGkAbwBuAHMAXABuACAAIAAgACAAaABfACwAIAAgACAAIAAgACAAIAAgACAAIAAgACAAIAAgACAAIAAgAFIATwBXAFMAKABrAGUAcgBuAGUAbAApACwAXABuACAAIAAgACAAdwBfACwAIAAgACAAIAAgACAAIAAgACAAIAAgACAAIAAgACAAIAAgAEMATwBMAFUATQBOAFMAKABrAGUAcgBuAGUAbAApACwAXABuAFwAbgAgACAAIAAgAC8ALwAgAEsAZQByAG4AZQBsACAAbQB1AHMAdAAgAGYAaQB0ACAAaQBuAHMAaQBkAGUAIABhAHIAcgBhAHkAXABuACAAIAAgACAASQBuAHYAYQBsAGkAZABLAGUAcgBuAGUAbAA/ACwAIAAgACAAIAAgAE8AUgAoAGgAXwAgAD4AIABoACwAIAB3AF8AIAA+ACAAdwApACwAXABuAFwAbgAgACAAIAAgAC8ALwAgAFMAYwBhAGwAYQByACAAaABhAG4AZABsAGkAbgBnAFwAbgAgACAAIAAgAEkAcwBTAGMAYQBsAGEAcgA/ACwAIAAgACAAIAAgACAAIAAgACAAIABBAE4ARAAoAGgAIAA9ACAAMQAsACAAdwAgAD0AIAAxACkALABcAG4AIAAgACAAIABJAHMAUwBjAGEAbABhAHIASwBlAHIAbgBlAGwAPwAsACAAIAAgACAAQQBOAEQAKABoAF8AIAA9ACAAMQAsACAAdwBfACAAPQAgADEAKQAsAFwAbgBcAG4AIAAgACAAIAAvAC8AIABEAGUAZgBhAHUAbAB0ACAAcgBlAGQAdQBjAGUAcgAgAD0AIABkAG8AdAAgAHAAcgBvAGQAdQBjAHQAXABuACAAIAAgACAAZgB1AG4AYwB0AGkAbwBuACwAIAAgACAAIAAgACAAIAAgACAAIAAgAEkARgAoAEkAUwBPAE0ASQBUAFQARQBEACgAZgB1AG4AYwB0AGkAbwBuACkALABMAEEATQBCAEQAQQAoAHYALAAgAFMAVQBNACgAdgAgACoAIABrAGUAcgBuAGUAbAApACkALABmAHUAbgBjAHQAaQBvAG4AKQAsAFwAbgBcAG4AIAAgACAAIAAvAC8AIABUAFkAUABFACgAZgB1AG4AYwB0AGkAbwBuACkAIAA9ACAAMQAyADgAIACSISAAdgBhAGwAaQBkACAATABBAE0AQgBEAEEAXABuACAAIAAgACAASQBuAHYAYQBsAGkAZABGAG4APwAsACAAIAAgACAAIAAgACAAIAAgAFQAWQBQAEUAKABmAHUAbgBjAHQAaQBvAG4AKQAgADwAPgAgADEAMgA4ACwAXABuAFwAbgAgACAAIAAgAC8ALwAgAFMAYwBhAGwAYQByACAAbwByACAAcwBjAGEAbABhAHIAESBrAGUAcgBuAGUAbAAgAGMAYQBzAGUAIACSISAAcwBpAG0AcABsAGUAIABNAEEAUABcAG4AIAAgACAAIABTAHQAYQBuAGQAYQByAGQATQBhAHAALAAgACAAIAAgACAAIAAgACAATABBAE0AQgBEAEEAKABNAEEAUAAoAGEAcgByAGEAeQAsACAAZgB1AG4AYwB0AGkAbwBuACkAKQAsAFwAbgBcAG4ALwAvACAATABvAGcAaQBjACAAZwBhAHQAZQBcAG4AIAAgACAAIABJAEYAKABJAG4AdgBhAGwAaQBkAEsAZQByAG4AZQBsAD8ALAAgAFwAIgAjAEsARQBSAE4ARQBMACEAXAAiACwAXABuAFwAbgAgACAAIAAgACAAIAAgACAASQBGACgASQBuAHYAYQBsAGkAZABGAG4APwAsACAAXAAiACMARgBVAE4AQwBUAEkATwBOACEAXAAiACwAXABuAFwAbgAgACAAIAAgACAAIAAgACAAIAAgACAAIABJAEYAKAAoAEkAcwBTAGMAYQBsAGEAcgA/ACkAIAArACAAKABJAHMAUwBjAGEAbABhAHIASwBlAHIAbgBlAGwAPwApACwAUwB0AGEAbgBkAGEAcgBkAE0AYQBwACgAKQAsAFwAbgBcAG4ATABFAFQAKABcAG4AIAAgACAAIAAvAC8AIABBAG4AYwBoAG8AcgAgAGMAbwB1AG4AdABzAFwAbgAgACAAIAAgAGEAbgBjAGgAXwByACwAIAAgACAAIAAgACAAIAAgACAAIAAgACAAIABoACAALQAgAGgAXwAgACsAIAAxACwAXABuACAAIAAgACAAYQBuAGMAaABfAGMALAAgACAAIAAgACAAIAAgACAAIAAgACAAIAAgAHcAIAAtACAAdwBfACAAKwAgADEALABcAG4AXABuACAAIAAgACAALwAvACAAQQBuAGMAaABvAHIAIABpAG4AZABlAHgAIABnAHIAaQBkAHMAXABuACAAIAAgACAAaQAsACAAIAAgACAAIAAgACAAIAAgACAAIAAgACAAIAAgACAAIAAgAEwAQQBNAEIARABBACgAUgBlAHMAaQB6AGUAuwMoAEkARgAoAGEAbgBjAGgAXwByACAAPQAgADEALAAgADEALABTAEUAUQBVAEUATgBDAEUAKABhAG4AYwBoAF8AcgApACkALAAgACwAIABhAG4AYwBoAF8AYwApACkALAAgACAAIAAgAFwAbgAgACAAIAAgAGoALAAgACAAIAAgACAAIAAgACAAIAAgACAAIAAgACAAIAAgACAAIABMAEEATQBCAEQAQQAoAFIAZQBzAGkAegBlALsDKABJAEYAKABhAG4AYwBoAF8AYwAgAD0AIAAxACwAIAAxACwAIABTAEUAUQBVAEUATgBDAEUAKAAsAGEAbgBjAGgAXwBjACkAKQAsACAAYQBuAGMAaABfAHIAKQApACwAXABuAFwAbgAgACAAIAAgAC8ALwAgAFcAaQBuAGQAbwB3ACAAcgBlAGQAdQBjAGUAcgBcAG4AIAAgACAAIABCAGwAbwBjAGsAQQBnAGcAuwMsACAAIAAgACAAIAAgACAAIAAgACAATABBAE0AQgBEAEEAKABpAF8ALAAgAGoAXwAsAFwAbgAgACAAIAAgACAAIAAgACAAIAAgACAAIAAgACAAIAAgACAAIAAgACAAIAAgACAAIAAgACAAIAAgAEwARQBUACgAXABuACAAIAAgACAAIAAgACAAIAAgACAAIAAgACAAIAAgACAAIAAgACAAIAAgACAAIAAgACAAIAAgACAAIAAgACAAIABiAGwAbwBjAGsALAAgACAAVABBAEsARQAoAEQAUgBPAFAAKABhAHIAcgBhAHkALAAgAGkAXwAgAC0AIAAxACwAIABqAF8AIAAtACAAMQApACwAIABoAF8ALAAgAHcAXwApACwAXABuACAAIAAgACAAIAAgACAAIAAgACAAIAAgACAAIAAgACAAIAAgACAAIAAgACAAIAAgACAAIAAgACAAIAAgACAAIAB0AG8AdABhAGwALAAgACAAZgB1AG4AYwB0AGkAbwBuACgAYgBsAG8AYwBrACkALABcAG4AIAAgACAAIAAgACAAIAAgACAAIAAgACAAIAAgACAAIAAgACAAIAAgACAAIAAgACAAIAAgACAAIAAgACAAIAAgAHQAbwB0AGEAbAApACkALABcAG4AXABuACAAIAAgACAALwAvACAAQQBwAHAAbAB5ACAAcgBlAGQAdQBjAGUAcgAgAHQAbwAgAGUAYQBjAGgAIAB3AGkAbgBkAG8AdwBcAG4AIAAgACAAIAByAGUAcwB1AGwAdAAsACAAIAAgACAAIAAgACAAIAAgACAAIAAgACAATQBBAFAAKABpACgAKQAsACAAagAoACkALAAgAEIAbABvAGMAawBBAGcAZwC7AykALABcAG4AXABuACAAIAAgACAAcgBlAHMAdQBsAHQAXABuACkAKQApACkAKQApADsAXABuAFwAbgBcAG4AXABuAC8AKgAgAFsARwBBADEAOABdACAALQAtAC0ALQAtAC0ALQAtAC0ALQAtAC0ALQAtAC0ALQAtAC0ALQAtAC0ALQAtAC0ALQAtAC0ALQAtAC0ALQAtAC0ALQAtAC0ALQAtAC0ALQAtAC0ALQAtAC0ALQAtAC0ALQAtAC0ALQAtAC0ALQAtAC0ALQAtAC0ALQAtAC0ALQAtAC0ALQAtAC0ALQAtAC0ALQBcAG4ARgB1AG4AYwB0AGkAbwBuADoAIAAgACAAIAAgAEYAbwBsAGQAuwNcAG4AQwBhAHQAZQBnAG8AcgB5ADoAIAAgACAAIAAgAEcAcgBpAGQAIABBAGwAZwBlAGIAcgBhACAAKABTAHQAcgB1AGMAdAB1AHIAYQBsACAATQBhAHAAcABpAG4AZwApAFwAbgBBAHUAdABoAG8AcgA6ACAAIAAgACAAIAAgACAAUABhAHQAcgBpAGMAawAgAEgALgBcAG4AVgBlAHIAcwBpAG8AbgA6ACAAIAAgACAAIAAgADEALgAxAFwAbgBEAGUAcABlAG4AZABlAG4AYwBpAGUAcwA6ACAAQQBsAGkAZwBuALsDXABuAFwAbgBEAGUAcwBjAHIAaQBwAHQAaQBvAG4AOgBcAG4AIAAgACAAIABSAGUAZAB1AGMAZQBzACAAcgBlAGMAbwByAGQAcwAgAGkAbgAgAGEAbgAgAGEAcgByAGEAeQAgAGIAeQAgAGcAcgBvAHUAcABpAG4AZwAgAGkAZABlAG4AdABpAGMAYQBsACAAcgBvAHcAcwAgAGEAbgBkACAAYQBwAHAAbAB5AGkAbgBnACAAYQBuAFwAbgAgACAAIAAgAGEAZwBnAHIAZQBnAGEAdABpAG8AbgAgAGYAdQBuAGMAdABpAG8AbgAgAHQAbwAgAHQAaABlACAAYwBvAHIAcgBlAHMAcABvAG4AZABpAG4AZwAgAGUAbgB0AHIAaQBlAHMAIABpAG4AIAB2AGEAbAB1AGUAcwBfAGEAcgByAGEAeQAuAFwAbgBcAG4AIAAgACAAIABJAGYAIAB2AGEAbAB1AGUAcwBfAGEAcgByAGEAeQAgAGkAcwAgAG8AbQBpAHQAdABlAGQALAAgAEYAbwBsAGQAuwMgAHUAcwBlAHMAIAB0AGgAZQAgAGYAaQByAHMAdAAgAGYAaQBlAGwAZAAgAG8AZgAgAGUAYQBjAGgAIAByAGUAYwBvAHIAZAAgAGEAcwBcAG4AIAAgACAAIAB0AGgAZQAgAGEAZwBnAHIAZQBnAGEAdABpAG8AbgAgAHYAZQBjAHQAbwByAC4AIABUAGgAaQBzACAAbQBvAGQAZQAgAGkAcwAgAGkAbgB0AGUAbgBkAGUAZAAgAGYAbwByACAAQwBPAFUATgBUAEEAOwAgAG8AdABoAGUAcgAgAHIAZQBkAHUAYwBlAHIAcwBcAG4AIAAgACAAIABtAGEAeQAgAHAAcgBvAGQAdQBjAGUAIAByAGUAcwB1AGwAdABzACAAYgB1AHQAIABhAHIAZQAgAG4AbwB0ACAAbQBlAGEAbgBpAG4AZwBmAHUAbAAuAFwAbgBcAG4AUABhAHIAYQBtAGUAdABlAHIAcwA6AFwAbgAgACAAIAAgAGEAcgByAGEAeQAgACAAIAAgACAAIAAgACAAIAAgACAALQAgADEARAAgAG8AcgAgADIARAAgAGEAcgByAGEAeQAgAHcAaABvAHMAZQAgAHIAbwB3AHMAIABkAGUAZgBpAG4AZQAgAGcAcgBvAHUAcABpAG4AZwAgAGsAZQB5AHMALgBcAG4AIAAgACAAIABbAHYAYQBsAHUAZQBzAF8AYQByAHIAYQB5AF0AIAAgAC0AIABPAHAAdABpAG8AbgBhAGwAIAAxAEQAIABvAHIAIAAyAEQAIABhAHIAcgBhAHkAIABvAGYAIAB2AGEAbAB1AGUAcwAgAHQAbwAgAGEAZwBnAHIAZQBnAGEAdABlAC4AXABuACAAIAAgACAAWwBmAHUAbgBjAHQAaQBvAG4AXQAgACAAIAAgACAAIAAtACAAUgBlAGQAdQBjAGUAcgAgAEwAQQBNAEIARABBACAAYQBjAGMAZQBwAHQAaQBuAGcAIABhACAAMQBEACAAdgBlAGMAdABvAHIAIAAoAGQAZQBmAGEAdQBsAHQAIAA9ACAAQwBPAFUATgBUAEEAKQAuAFwAbgBcAG4ATgBvAHQAZQBzADoAXABuACAAIAAgACAAIiAgAEYAbwBsAGQAuwMgAGgAYQBsAHQAcwAgAHcAaQB0AGgAIAAjAFYAQQBMAFUARQAhACAAaQBmACAAYQByAHIAYQB5ACAAYQBuAGQAIAB2AGEAbAB1AGUAcwBfAGEAcgByAGEAeQAgAGgAZQBpAGcAaAB0AHMAIABkAGkAZgBmAGUAcgAuAFwAbgAgACAAIAAgACIgIABGAG8AbABkALsDIABoAGEAbAB0AHMAIAB3AGkAdABoACAAIwBGAFUATgBDAFQASQBPAE4AIQAgAGkAZgAgAHIAZQBkAHUAYwBlAHIAIABpAHMAIABuAG8AdAAgAGEAIAB2AGEAbABpAGQAIABMAEEATQBCAEQAQQAuAFwAbgAgACAAIAAgACIgIABBAGwAaQBnAG4AuwMgAGMAYQBuAG8AbgBpAGMAYQBsAGkAegBlAHMAIAByAGUAYwBvAHIAZABzACAAcwBvACAAaQBkAGUAbgB0AGkAYwBhAGwAIAByAG8AdwBzACAAZwByAG8AdQBwACAAYwBsAGUAYQBuAGwAeQAuAFwAbgAtAC0ALQAtAC0ALQAtAC0ALQAtAC0ALQAtAC0ALQAtAC0ALQAtAC0ALQAtAC0ALQAtAC0ALQAtAC0ALQAtAC0ALQAtAC0ALQAtAC0ALQAtAC0ALQAtAC0ALQAtAC0ALQAtAC0ALQAtAC0ALQAtAC0ALQAtAC0ALQAtAC0ALQAtAC0ALQAtAC0ALQAtAC0ALQAtAC0ALQAtAC0ALQAqAC8AXABuAFwAbgBGAG8AbABkALsDIAA9AFwAbgBMAEEATQBCAEQAQQAoAFwAbgAgACAAIAAgAGEAcgByAGEAeQAsAFwAbgAgACAAIAAgAFsAdgBhAGwAdQBlAHMAXwBhAHIAcgBhAHkAXQAsAFwAbgAgACAAIAAgAFsAZgB1AG4AYwB0AGkAbwBuAF0ALABcAG4AXABuAEwARQBUACgAXABuACAAIAAgACAALwAvACAARABlAGYAYQB1AGwAdAAgAHYAYQBsAHUAZQBzACAAYQByAHIAYQB5AFwAbgAgACAAIAAgAHYAYQBsAHUAZQBzAF8AYQByAHIAYQB5ACwASQBGACgASQBTAE8ATQBJAFQAVABFAEQAKAB2AGEAbAB1AGUAcwBfAGEAcgByAGEAeQApACwAVABBAEsARQAoAGEAcgByAGEAeQAsACAALAAgADEAKQAsAFwAbgAgACAAIAAgACAAIAAgACAAIAAgACAAIAAgACAAIAAgACAAIAAgACAAIAAgACAAIAAgACAAIAAgACAAIAAgACAAIAAgACAAIAAgACAAIAAgACAAIAAgACAAIAAgACAAdgBhAGwAdQBlAHMAXwBhAHIAcgBhAHkAKQAsAFwAbgAgACAAIAAgAC8ALwAgAEQAZQBmAGEAdQBsAHQAIAByAGUAZAB1AGMAZQByAFwAbgAgACAAIAAgAGYAdQBuAGMAdABpAG8AbgAsACAAIAAgACAASQBGACgATwBSACgASQBTAE8ATQBJAFQAVABFAEQAKABmAHUAbgBjAHQAaQBvAG4AKQAsACAASQBTAE8ATQBJAFQAVABFAEQAKAB2AGEAbAB1AGUAcwBfAGEAcgByAGEAeQApACkALABDAE8AVQBOAFQAQQAsAFwAbgAgACAAIAAgACAAIAAgACAAIAAgACAAIAAgACAAIAAgACAAIAAgACAAIAAgACAAIAAgACAAIAAgACAAIAAgACAAIAAgACAAIAAgACAAIAAgACAAIAAgACAAIAAgACAAIAAgACAAIAAgACAAIAAgACAAIAAgACAAIAAgACAAIAAgACAAIABmAHUAbgBjAHQAaQBvAG4AKQAsAFwAbgBcAG4ALwAvACAATABvAGcAaQBjACAAZwBhAHQAZQBcAG4ASQBGACgAQQBOAEQAKABOAE8AVAAoAEkAUwBPAE0ASQBUAFQARQBEACgAdgBhAGwAdQBlAHMAXwBhAHIAcgBhAHkAKQApACwAXABuACAAIAAgACAAIAAgACAAIABSAE8AVwBTACgAYQByAHIAYQB5ACkAIAA8AD4AIABSAE8AVwBTACgAdgBhAGwAdQBlAHMAXwBhAHIAcgBhAHkAKQApACwAXAAiACMAVgBBAEwAVQBFACEAXAAiACwAXABuAFwAbgAgACAAIAAgAEkARgAoAFQAWQBQAEUAKABmAHUAbgBjAHQAaQBvAG4AKQAgADwAPgAgADEAMgA4ACwAXAAiACMARgBVAE4AQwBUAEkATwBOACEAXAAiACwAXABuAFwAbgBMAEUAVAAoAFwAbgAgACAAIAAgAC8ALwAgAEMAYQBuAG8AbgBpAGMAYQBsACAAZwByAG8AdQBwAGkAbgBnACAAawBlAHkAcwBcAG4AIAAgACAAIABhAGwAaQBnAG4AZQBkACwAIAAgACAAIAAgAEEAbABpAGcAbgC7AygAYQByAHIAYQB5ACkALABcAG4AXABuACAAIAAgACAALwAvACAAQQBnAGcAcgBlAGcAYQB0AGkAbwBuAFwAbgAgACAAIAAgAGEAZwBnACwAIAAgACAAIAAgACAAIAAgACAARwBSAE8AVQBQAEIAWQAoAGEAbABpAGcAbgBlAGQALAAgAHYAYQBsAHUAZQBzAF8AYQByAHIAYQB5ACwAIABmAHUAbgBjAHQAaQBvAG4ALAAgACwAIAAwACkALABcAG4AXABuACAAIAAgACAAYQBnAGcAXABuACkAKQApACkAKQA7AFwAbgBcAG4AXABuAFwAbgAvACoAIABbAEcAQQAxADkAXQAgAC0ALQAtAC0ALQAtAC0ALQAtAC0ALQAtAC0ALQAtAC0ALQAtAC0ALQAtAC0ALQAtAC0ALQAtAC0ALQAtAC0ALQAtAC0ALQAtAC0ALQAtAC0ALQAtAC0ALQAtAC0ALQAtAC0ALQAtAC0ALQAtAC0ALQAtAC0ALQAtAC0ALQAtAC0ALQAtAC0ALQAtAC0ALQAtAC0AXABuAEYAdQBuAGMAdABpAG8AbgA6ACAAIAAgACAAIABKAG8AaQBuADIARAC7A1wAbgBDAGEAdABlAGcAbwByAHkAOgAgACAAIAAgACAARwByAGkAZAAgAEEAbABnAGUAYgByAGEAIAAoAFMAdAByAHUAYwB0AHUAcgBhAGwAIABNAGEAcABwAGkAbgBnACkAXABuAEEAdQB0AGgAbwByADoAIAAgACAAIAAgACAAIABQAGEAdAByAGkAYwBrACAASAAuAFwAbgBWAGUAcgBzAGkAbwBuADoAIAAgACAAIAAgACAAMQAuADEAXABuAFwAbgBEAGUAcwBjAHIAaQBwAHQAaQBvAG4AOgBcAG4AIAAgACAAIABKAG8AaQBuAHMAIABhAGwAbAAgAG4AbwBuABEgZQBtAHAAdAB5ACAAdgBhAGwAdQBlAHMAIABhAGMAcgBvAHMAcwAgADIAIAB0AG8AIAA0ACAAaQBkAGUAbgB0AGkAYwBhAGwAbAB5ABEgcwBoAGEAcABlAGQAIAAyAEQAIABhAHIAcgBhAHkAcwAgAHUAcwBpAG4AZwBcAG4AIAAgACAAIABhACAAcwBwAGUAYwBpAGYAaQBlAGQAIABkAGUAbABpAG0AaQB0AGUAcgAuACAAVABoAGUAIABvAHUAdABwAHUAdAAgAHAAcgBlAHMAZQByAHYAZQBzACAAdABoAGUAIABzAGgAYQBwAGUAIABvAGYAIAB0AGgAZQAgAGkAbgBwAHUAdABzAC4AXABuAFwAbgAgACAAIAAgAEEAIABjAGUAbABsACAAaQBzACAAYwBvAG4AcwBpAGQAZQByAGUAZAAgABwgZQBtAHAAdAB5AB0gIABpAGYAIABpAHQAIABtAGEAdABjAGgAZQBzACAAQQBOAFkAIABvAGYAOgBcAG4AIAAgACAAIAAgACAAIAAgACIgIABMAEUATgAoAGMAZQBsAGwAKQAgAD0AIAAwAFwAbgAgACAAIAAgACAAIAAgACAAIiAgAGMAZQBsAGwAIAA9ACAARgBBAEwAUwBFAFwAbgAgACAAIAAgACAAIAAgACAAIiAgAGMAZQBsAGwAIAA9ACAAaQBnAG4AbwByAGUAIAAoAHUAcwBlAHIAESBzAHAAZQBjAGkAZgBpAGUAZAApAFwAbgBcAG4AIAAgACAAIABKAG8AaQBuADIARAC7AyAAaQBzACAAYQBuACAAYQBsAHQAZQByAG4AYQB0AGkAdgBlACAAdABvACAAbgBlAHMAdABlAGQAIABNAEEAUAAgAGwAbwBnAGkAYwAgAGYAbwByACAAZQBsAGUAbQBlAG4AdAARIHcAaQBzAGUAIABqAG8AaQBuAGkAbgBnAC4AXABuAFwAbgBQAGEAcgBhAG0AZQB0AGUAcgBzADoAXABuACAAIAAgACAAYQByAHIAYQB5AF8AMQAgACAAIAAgACAALQAgAFIAZQBxAHUAaQByAGUAZAAgADIARAAgAGEAcgByAGEAeQAuAFwAbgAgACAAIAAgAGEAcgByAGEAeQBfADIAIAAgACAAIAAgAC0AIABSAGUAcQB1AGkAcgBlAGQAIAAyAEQAIABhAHIAcgBhAHkALgBcAG4AIAAgACAAIABbAGEAcgByAGEAeQBfADMAXQAgACAAIAAtACAATwBwAHQAaQBvAG4AYQBsACAAMgBEACAAYQByAHIAYQB5AC4AXABuACAAIAAgACAAWwBhAHIAcgBhAHkAXwA0AF0AIAAgACAALQAgAE8AcAB0AGkAbwBuAGEAbAAgADIARAAgAGEAcgByAGEAeQAuAFwAbgAgACAAIAAgAFsAZABlAGwAaQBtAGkAdABlAHIAXQAgAC0AIABEAGUAbABpAG0AaQB0AGUAcgAgAGYAbwByACAAagBvAGkAbgBpAG4AZwAgACgAZABlAGYAYQB1AGwAdAAgAD0AIABcACIALAAgAFwAIgApAC4AXABuACAAIAAgACAAWwBpAGcAbgBvAHIAZQBdACAAIAAgACAALQAgAFYAYQBsAHUAZQAgAHQAcgBlAGEAdABlAGQAIABhAHMAIABlAG0AcAB0AHkAIAAoAGQAZQBmAGEAdQBsAHQAIAA9ACAAXAAiAFwAIgApAC4AXABuAFwAbgBOAG8AdABlAHMAOgBcAG4AIAAgACAAIAAiICAAQQBsAGwAIABzAHUAcABwAGwAaQBlAGQAIABhAHIAcgBhAHkAcwAgAG0AdQBzAHQAIABoAGEAdgBlACAAaQBkAGUAbgB0AGkAYwBhAGwAIABkAGkAbQBlAG4AcwBpAG8AbgBzAC4AXABuACAAIAAgACAAIiAgAEUAbQBwAHQAeQAgAGMAZQBsAGwAcwAgAGEAcgBlACAAcwBrAGkAcABwAGUAZAA7ACAAbgBvACAAdAByAGEAaQBsAGkAbgBnACAAZABlAGwAaQBtAGkAdABlAHIAIABpAHMAIABhAGQAZABlAGQALgBcAG4ALQAtAC0ALQAtAC0ALQAtAC0ALQAtAC0ALQAtAC0ALQAtAC0ALQAtAC0ALQAtAC0ALQAtAC0ALQAtAC0ALQAtAC0ALQAtAC0ALQAtAC0ALQAtAC0ALQAtAC0ALQAtAC0ALQAtAC0ALQAtAC0ALQAtAC0ALQAtAC0ALQAtAC0ALQAtAC0ALQAtAC0ALQAtAC0ALQAtAC0ALQAtAC0AKgAvAFwAbgBcAG4ASgBvAGkAbgAyAEQAuwMgAD0AXABuAEwAQQBNAEIARABBACgAXABuACAAIAAgACAAYQByAHIAYQB5AF8AMQAsAFwAbgAgACAAIAAgAGEAcgByAGEAeQBfADIALABcAG4AIAAgACAAIABbAGEAcgByAGEAeQBfADMAXQAsAFwAbgAgACAAIAAgAFsAYQByAHIAYQB5AF8ANABdACwAXABuACAAIAAgACAAWwBkAGUAbABpAG0AaQB0AGUAcgBdACwAXABuACAAIAAgACAAWwBpAGcAbgBvAHIAZQBdACwAXABuAEwARQBUACgAXABuACAAIAAgACAALwAvACAATwBwAHQAaQBvAG4AYQBsACAAYQByAHIAYQB5AHMAXABuACAAIAAgACAASQBuAGMAbAB1AGQAZQAzAD8ALAAgACAAIAAgACAAIAAgACAAIAAgAE4ATwBUACgASQBTAE8ATQBJAFQAVABFAEQAKABhAHIAcgBhAHkAXwAzACkAKQAsAFwAbgAgACAAIAAgAEkAbgBjAGwAdQBkAGUANAA/ACwAIAAgACAAIAAgACAAIAAgACAAIABOAE8AVAAoAEkAUwBPAE0ASQBUAFQARQBEACgAYQByAHIAYQB5AF8ANAApACkALABcAG4AIAAgACAAIABhAHIAcgBhAHkAXwAzACwAIAAgACAAIAAgACAAIAAgACAAIAAgACAASQBGACgASQBTAE8ATQBJAFQAVABFAEQAKABhAHIAcgBhAHkAXwAzACkALAAgAEYAQQBMAFMARQAsACAAYQByAHIAYQB5AF8AMwApACwAXABuACAAIAAgACAAYQByAHIAYQB5AF8ANAAsACAAIAAgACAAIAAgACAAIAAgACAAIAAgAEkARgAoAEkAUwBPAE0ASQBUAFQARQBEACgAYQByAHIAYQB5AF8ANAApACwAIABGAEEATABTAEUALAAgAGEAcgByAGEAeQBfADQAKQAsAFwAbgBcAG4AIAAgACAAIAAvAC8AIABEAGUAbABpAG0AaQB0AGUAcgAgACsAIABpAGcAbgBvAHIAZQBcAG4AIAAgACAAIABkAGUAbABpAG0AaQB0AGUAcgAsACAAIAAgACAAIAAgACAAIAAgACAASQBGACgASQBTAE8ATQBJAFQAVABFAEQAKABkAGUAbABpAG0AaQB0AGUAcgApACwAIABcACIALAAgAFwAIgAsACAAZABlAGwAaQBtAGkAdABlAHIAKQAsAFwAbgAgACAAIAAgAGkAZwBuAG8AcgBlACwAIAAgACAAIAAgACAAIAAgACAAIAAgACAAIABJAEYAKABJAFMATwBNAEkAVABUAEUARAAoAGkAZwBuAG8AcgBlACkALAAgAFwAIgBcACIALAAgAGkAZwBuAG8AcgBlACkALABcAG4AXABuACAAIAAgACAALwAvACAARABpAG0AZQBuAHMAaQBvAG4AcwBcAG4AIAAgACAAIABoACwAIAAgACAAIAAgACAAIAAgACAAIAAgACAAIAAgACAAIAAgACAAUgBPAFcAUwAoAGEAcgByAGEAeQBfADEAKQAsAFwAbgAgACAAIAAgAHcALAAgACAAIAAgACAAIAAgACAAIAAgACAAIAAgACAAIAAgACAAIABDAE8ATABVAE0ATgBTACgAYQByAHIAYQB5AF8AMQApACwAXABuAFwAbgAgACAAIAAgAGgAgiAsACAAIAAgACAAIAAgACAAIAAgACAAIAAgACAAIAAgACAAIABSAE8AVwBTACgAYQByAHIAYQB5AF8AMgApACwAXABuACAAIAAgACAAdwCCICwAIAAgACAAIAAgACAAIAAgACAAIAAgACAAIAAgACAAIAAgAEMATwBMAFUATQBOAFMAKABhAHIAcgBhAHkAXwAyACkALABcAG4AXABuACAAIAAgACAAaACDICwAIAAgACAAIAAgACAAIAAgACAAIAAgACAAIAAgACAAIAAgAFIATwBXAFMAKABhAHIAcgBhAHkAXwAzACkALABcAG4AIAAgACAAIAB3AIMgLAAgACAAIAAgACAAIAAgACAAIAAgACAAIAAgACAAIAAgACAAQwBPAEwAVQBNAE4AUwAoAGEAcgByAGEAeQBfADMAKQAsAFwAbgBcAG4AIAAgACAAIABoAIQgLAAgACAAIAAgACAAIAAgACAAIAAgACAAIAAgACAAIAAgACAAUgBPAFcAUwAoAGEAcgByAGEAeQBfADQAKQAsAFwAbgAgACAAIAAgAHcAhCAsACAAIAAgACAAIAAgACAAIAAgACAAIAAgACAAIAAgACAAIABDAE8ATABVAE0ATgBTACgAYQByAHIAYQB5AF8ANAApACwAXABuAFwAbgAgACAAIAAgAC8ALwAgAEQAaQBtAGUAbgBzAGkAbwBuACAAYwBoAGUAYwBrAHMAXABuACAAIAAgACAAUwBfADIALAAgACAAIAAgACAAIAAgACAAIAAgACAAIAAgACAAIAAgAE8AUgAoAGgAIAA8AD4AIABoAIIgLAAgAHcAIAA8AD4AIAB3AIIgKQAsAFwAbgAgACAAIAAgAFMAXwAzACwAIAAgACAAIAAgACAAIAAgACAAIAAgACAAIAAgACAAIABJAG4AYwBsAHUAZABlADMAPwAgACoAIABPAFIAKABoACAAPAA+ACAAaACDICwAIAB3ACAAPAA+ACAAdwCDICkALABcAG4AIAAgACAAIABTAF8ANAAsACAAIAAgACAAIAAgACAAIAAgACAAIAAgACAAIAAgACAASQBuAGMAbAB1AGQAZQA0AD8AIAAqACAATwBSACgAaAAgADwAPgAgAGgAhCAsACAAdwAgADwAPgAgAHcAhCApACwAXABuAFwAbgAgACAAIAAgAFMAaABhAHAAZQBNAGkAcwBtAGEAdABjAGgAPwAsACAAIAAgACAAIABPAFIAKABTAF8AMgAsACAAUwBfADMALAAgAFMAXwA0ACkALABcAG4AXABuACAAIAAgACAASQBGACgAUwBoAGEAcABlAE0AaQBzAG0AYQB0AGMAaAA/ACwAIABcACIAIwBEAEkATQBFAE4AUwBJAE8ATgBTACEAXAAiACwAXABuAFwAbgBMAEUAVAAoAFwAbgAgACAAIAAgAC8ALwAgAE8AYwBjAHUAcABhAG4AYwB5ACAAcAByAGUAZABpAGMAYQB0AGUAXABuACAAIAAgACAATwBjAGMAdQBwAGkAZQBkALsDLAAgACAATABBAE0AQgBEAEEAKABhACwAXABuACAAIAAgACAAIAAgACAAIAAgACAAIAAgACAAIAAgACAAIAAgACAAIAAgACAAKABhACAAPAA+ACAARgBBAEwAUwBFACkAIAAqACAAKABMAEUATgAoAGEAKQAgADwAPgAgADAAKQAgACoAIAAoAGEAIAA8AD4AIABpAGcAbgBvAHIAZ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SgBvAGkAbgAgAGkAbgAgAG8AcgBkAGUAcgAsACAAcwBrAGkAcABwAGkAbgBnACAAZQBtAHAAdABpAGUAcwBcAG4AIAAgACAAIABqAG8AaQBuAGUAZAAsACAAIAAgACAAIABJAEYAKABtAF8AMQAsACAAYQByAHIAYQB5AF8AMQAgACYAIABkAGUAbABpAG0AaQB0AGUAcgAsACAAXAAiAFwAIgApACAAJgBcAG4AXABuACAAIAAgACAAIAAgACAAIAAgACAAIAAgACAAIAAgACAAIAAgACAAIABJAEYAKABtAF8AMgAsACAAYQByAHIAYQB5AF8AMgAgACYAIABkAGUAbABpAG0AaQB0AGUAcgAsACAAXAAiAFwAIgApACAAJgBcAG4AXABuACAAIAAgACAAIAAgACAAIAAgACAAIAAgACAAIAAgACAAIAAgACAAIAAgACAAIAAgAEkARgAoAG0AXwAzACwAIABhAHIAcgBhAHkAXwAzACAAJgAgAGQAZQBsAGkAbQBpAHQAZQByACwAIABcACIAXAAiACkAIAAmAFwAbgBcAG4AIAAgACAAIAAgACAAIAAgACAAIAAgACAAIAAgACAAIAAgACAAIAAgACAAIAAgACAAIAAgACAAIABJAEYAKABtAF8ANAAsACAAYQByAHIAYQB5AF8ANAAgACYAIABkAGUAbABpAG0AaQB0AGUAcgAsACAAXAAiAFwAIgApACwAXABuAFwAbgAgACAAIAAgAGYAaQBuAGEAbAAsACAAIAAgACAAIAAgAFQARQBYAFQAQgBFAEYATwBSAEUAKABqAG8AaQBuAGUAZAAsAGQAZQBsAGkAbQBpAHQAZQByACwALQAxACwAMQAsACwAagBvAGkAbgBlAGQAKQAsAFwAbgBcAG4AIAAgACAAIABmAGkAbgBhAGwAXABuACkAKQApACkAOwBcAG4AXABuAFwAbgBcAG4ALwAqACAAWwBSAFAAXQAgAC0ALQAtAC0ALQAtAC0ALQAtAC0ALQAtAC0ALQAtAC0ALQAtAC0ALQAtAC0ALQAtAC0ALQAtAC0ALQAtAC0ALQAtAC0ALQAtAC0ALQAtAC0ALQAtAC0ALQAtAC0ALQAtAC0ALQAtAC0ALQAtAC0ALQAtAC0ALQAtAC0ALQAtAC0ALQAtAC0ALQAtAC0ALQAtAC0ALQAtAFwAbgAjACMAIAAwADUAIAAtACAAUgBlAHAAZQB0AGkAdABpAG8AbgBcAG4ALQAtAC0ALQAtAC0ALQAtAC0ALQAtAC0ALQAtAC0ALQAtAC0ALQAtAC0ALQAtAC0ALQAtAC0ALQAtAC0ALQAtAC0ALQAtAC0ALQAtAC0ALQAtAC0ALQAtAC0ALQAtAC0ALQAtAC0ALQAtAC0ALQAtAC0ALQAtAC0ALQAtAC0ALQAtAC0ALQAtAC0ALQAtAC0ALQAtAC0ALQAtAC0ALQAgACoALwBcAG4AXABuAC8AKgBcAG4ARABlAHMAYwByAGkAcAB0AGkAbwBuADoAXABuACAAIAAgACAAVABoAGkAcwAgAHMAZQBjAHQAaQBvAG4AIABjAG8AbgB0AGEAaQBuAHMAIABmAHUAbgBjAHQAaQBvAG4AcwAgAHQAaABhAHQAIAByAGUAcABsAGkAYwBhAHQAZQAgAGEAcgByAGEAeQBzACAAYQBsAG8AbgBnACAAcgBvAHcAcwAsACAAYwBvAGwAdQBtAG4AcwAsACAAbwByACAAYgBvAHQAaAAuAFwAbgBcAG4ARgB1AG4AYwB0AGkAbwBuAHMAOgBcAG4AIAAgACAAIAAiICAARQBjAGgAbwC7AyAAIAAgACAAIAAgACAAIAAgACAALQAgAFIAZQBwAGUAYQB0ACAAZQBhAGMAaAAgAGUAbABlAG0AZQBuAHQAIABpAG4AIABhACAAMQBEACAAYQByAHIAYQB5ACAAYgB5ACAAYwBvAHUAbgB0AC4AXABuACAAIAAgACAAIiAgAFIAZQBwAGUAYQB0AFIAbwB3AHMAuwMgACAAIAAgAC0AIABSAGUAcABlAGEAdAAgAGUAYQBjAGgAIAByAG8AdwAgAGIAeQAgAGEAIABjAG8AcgByAGUAcwBwAG8AbgBkAGkAbgBnACAAcgBlAHAAZQBhAHQAIABjAG8AdQBuAHQALgBcAG4AIAAgACAAIAAiICAAUgBlAHAAZQBhAHQAQwBvAGwAcwC7AyAAIAAgACAALQAgAFIAZQBwAGUAYQB0ACAAZQBhAGMAaAAgAGMAbwBsAHUAbQBuACAAYgB5ACAAYQAgAGMAbwByAHIAZQBzAHAAbwBuAGQAaQBuAGcAIAByAGUAcABlAGEAdAAgAGMAbwB1AG4AdAAuAFwAbgAgACAAIAAgACIgIABUAGUAcwBzAGUAbABsAGEAdABlALsDIAAgACAAIAAtACAAVABpAGwAZQAgAGEAIAAyAEQAIABhAHIAcgBhAHkAIABpAG4AIABtAG8AZAB1AGwAYQByACAAZgBhAHMAaABpAG8AbgAsACAAcwB1AHAAcABvAHIAdABpAG4AZwBcAG4AIAAgACAAIAAgACAAIAAgACAAIAAgACAAIAAgACAAIAAgACAAIAAgACAAIAAgACAAcABhAHIAdABpAGEAbAAgAHQAaQBsAGUAcwAgAHcAaABlAG4AIABvAHUAdABwAHUAdAAgAGQAaQBtAGUAbgBzAGkAbwBuAHMAIABkAG8AIABuAG8AdABcAG4AIAAgACAAIAAgACAAIAAgACAAIAAgACAAIAAgACAAIAAgACAAIAAgACAAIAAgACAAZABpAHYAaQBkAGUAIABlAHYAZQBuAGwAeQAuAFwAbgBcAG4AXABuAFwAbgBcACIAUAByAGUAcwBlAG4AdAAgAHMAdQBjAGMAZQBzAHMAIABpAHMAIABhAG4AIABlAGMAaABvACAAbwBmACAAYQAgAHAAYQBzAHQAIAB0AHIAaQB1AG0AcABoAC4AIABGAGEAaQBsAHUAcgBlACAAaQBzACAAcgBlAGQAdQBuAGQAYQBuAHQALgBcACIAIAAtACAAUgBlAHAAZQB0AHQAbwBcAG4AKgAvAFwAbgBcAG4AXABuAFwAbgAvACoAIABbAFIAUAAwADEAXQAgAC0ALQAtAC0ALQAtAC0ALQAtAC0ALQAtAC0ALQAtAC0ALQAtAC0ALQAtAC0ALQAtAC0ALQAtAC0ALQAtAC0ALQAtAC0ALQAtAC0ALQAtAC0ALQAtAC0ALQAtAC0ALQAtAC0ALQAtAC0ALQAtAC0ALQAtAC0ALQAtAC0ALQAtAC0ALQAtAC0ALQAtAC0ALQAtAC0AXABuAEYAdQBuAGMAdABpAG8AbgA6ACAAIAAgACAAIABFAGMAaABvALsDXABuAEMAYQB0AGUAZwBvAHIAeQA6ACAAIAAgACAAIABSAGUAcABlAHQAaQB0AGkAbwBuAFwAbgBBAHUAdABoAG8AcgA6ACAAIAAgACAAIAAgACAAUABhAHQAcgBpAGMAawAgAEgALgBcAG4AVgBlAHIAcwBpAG8AbgA6ACAAIAAgACAAIAAgADEALgAxAFwAbgBcAG4ARABlAHMAYwByAGkAcAB0AGkAbwBuADoAXABuACAAIAAgACAAUgBlAHAAZQBhAHQAcwAgAGUAYQBjAGgAIABlAGwAZQBtAGUAbgB0ACAAaQBuACAAYQAgAHMAdQBwAHAAbABpAGUAZAAgADEARAAgAGEAcgByAGEAeQAgAGEAYwBjAG8AcgBkAGkAbgBnACAAdABvACAAYQAgAHYAZQBjAHQAbwByACAAbwBmAFwAbgAgACAAIAAgAHIAZQBwAGUAYQB0ACAAYwBvAHUAbgB0AHMALgAgAFMAYwBhAGwAYQByAHMAIABhAG4AZAAgAGEAcgByAGEAeQBzACAAYQByAGUAIABzAHUAcABwAG8AcgB0AGUAZAAuACAAUgBlAHAAZQBhAHQAIABjAG8AdQBuAHQAcwAgAG0AdQBzAHQAIABiAGUAXABuACAAIAAgACAAbgB1AG0AZQByAGkAYwAgAGEAbgBkACAAZSIgADEALgBcAG4AXABuAFAAYQByAGEAbQBlAHQAZQByAHMAOgBcAG4AIAAgACAAIAB2AGUAYwB0AG8AcgAgACAAIAAtACAAMQBEACAAYQByAHIAYQB5ACAAbwByACAAcwBjAGEAbABhAHIAIAB0AG8AIABiAGUAIABlAGMAaABvAGUAZAAuAFwAbgAgACAAIAAgAHIAZQBwAGUAYQB0ACAAIAAgAC0AIAAxAEQAIABhAHIAcgBhAHkAIABvAGYAIAByAGUAcABlAGEAdAAgAGMAbwB1AG4AdABzACAAKABuAHUAbQBlAHIAaQBjACwAIABlIiAAMQApAC4AXABuAFwAbgBOAG8AdABlAHMAOgBcAG4AIAAgACAAIAAiICAAUwBjAGEAbABhAHIAcwAgAGEAcgBlACAAdAByAGUAYQB0AGUAZAAgAGEAcwAgADEA1wAxACAAYQByAHIAYQB5AHMALgBcAG4AIAAgACAAIAAiICAASQBmACAAcgBlAHAAZQBhAHQAIABoAGEAcwAgAGEAIABkAGkAZgBmAGUAcgBlAG4AdAAgAGwAZQBuAGcAdABoACAAdABoAGEAbgAgAHYAZQBjAHQAbwByACwAIAB0AGgAZQAgAGwAYQBzAHQAIAByAGUAcABlAGEAdAAgAHYAYQBsAHUAZQBcAG4AIAAgACAAIAAgACAAaQBzACAAZQB4AHQAZQBuAGQAZQBkACAAdABvACAAbQBhAHQAYwBoACAAdABoAGUAIAB2AGUAYwB0AG8AcgAgAGwAZQBuAGcAdABoAC4AXABuACAAIAAgACAAIiAgAE8AdQB0AHAAdQB0ACAAaQBzACAAYQBsAHcAYQB5AHMAIABhACAAdgBlAHIAdABpAGMAYQBsACAAYQByAHIAYQB5AC4AXABuAC0ALQAtAC0ALQAtAC0ALQAtAC0ALQAtAC0ALQAtAC0ALQAtAC0ALQAtAC0ALQAtAC0ALQAtAC0ALQAtAC0ALQAtAC0ALQAtAC0ALQAtAC0ALQAtAC0ALQAtAC0ALQAtAC0ALQAtAC0ALQAtAC0ALQAtAC0ALQAtAC0ALQAtAC0ALQAtAC0ALQAtAC0ALQAtAC0ALQAtAC0ALQAtACoALwBcAG4AXABuAEUAYwBoAG8AuwMgAD0AXABuAEwAQQBNAEIARABBACgAXABuACAAIAAgACAAdgBlAGMAdABvAHIALABcAG4AIAAgACAAIAByAGUAcABlAGEAdAAsAFwAbgBcAG4ASQBGACgATwBSACgASQBTAFQARQBYAFQAKAByAGUAcABlAGEAdAApACwAIAByAGUAcABlAGEAdAAgADwAPQAgADAAKQAsAFwAIgAjAFYAQQBMAFUARQAhAFwAIgAsAFwAbgBcAG4ATABFAFQAKABcAG4AIAAgACAAIAAvAC8AIABOAG8AcgBtAGEAbABpAHoAZQAgAGkAbgBwAHUAdABzAFwAbgAgACAAIAAgAHYAZQBjAHQAbwByACwAIAAgACAAIAAgACAAIAAgACAAVABPAEMATwBMACgAdgBlAGMAdABvAHIAKQAsAFwAbgAgACAAIAAgAHIAZQBwAGUAYQB0ACwAIAAgACAAIAAgACAAIAAgACAAVABPAEMATwBMACgAcgBlAHAAZQBhAHQAKQAsAFwAbgBcAG4AIAAgACAAIAAvAC8AIABEAGkAbQBlAG4AcwBpAG8AbgBzAFwAbgAgACAAIAAgAFYAaAAsACAAIAAgACAAIAAgACAAIAAgACAAIAAgACAAUgBPAFcAUwAoAHYAZQBjAHQAbwByACkALABcAG4AIAAgACAAIABSAGgALAAgACAAIAAgACAAIAAgACAAIAAgACAAIAAgAFIATwBXAFMAKAByAGUAcABlAGEAdAApACwAXABuAFwAbgAgACAAIAAgAC8ALwAgAFIAZQBwAGUAYQB0ACAAdgBlAGMAdABvAHIAIAAoAGUAeAB0AGUAbgBkACAAbABhAHMAdAAgAHYAYQBsAHUAZQAgAGkAZgAgAG4AZQBlAGQAZQBkACkAXABuACAAIAAgACAAcgAsACAAIAAgACAAIAAgACAAIAAgACAAIAAgACAAIABJAEYAKABWAGgAIAA8AD4AIABSAGgALABcAG4AIAAgACAAIAAgACAAIAAgACAAIAAgACAAIAAgACAAIAAgACAAIAAgACAAIAAgACAARQBYAFAAQQBOAEQAKAByAGUAcABlAGEAdAAsACAAVgBoACwAIAAsACAAQABUAEEASwBFACgAcgBlAHAAZQBhAHQALAAgAC0AMQApACkALABcAG4AIAAgACAAIAAgACAAIAAgACAAIAAgACAAIAAgACAAIAAgACAAIAAgACAAIAAgACAAcgBlAHAAZQBhAHQAKQAsAFwAbgBcAG4AIAAgACAAIAAvAC8AIABCAGEAcwBlACAAaQBuAGQAZQB4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sACAAKQApACAAPQAgADEALABpACwATgBBACgAKQApACwAMgApACkALABcAG4AXABuACAAIAAgACAAZABlAGwAaQB2AGUAcgAsACAAIAAgACAAIAAgACAAIABJAE4ARABFAFgAKAB2AGUAYwB0AG8AcgAsACAAaQBkAHgAKAApACkALABcAG4AXABuACAAIAAgACAAZABlAGwAaQB2AGUAcgBcAG4AKQApACkAOwBcAG4AXABuAFwAbgBcAG4ALwAqACAAWwBSAFAAMAAyAF0AIAAtAC0ALQAtAC0ALQAtAC0ALQAtAC0ALQAtAC0ALQAtAC0ALQAtAC0ALQAtAC0ALQAtAC0ALQAtAC0ALQAtAC0ALQAtAC0ALQAtAC0ALQAtAC0ALQAtAC0ALQAtAC0ALQAtAC0ALQAtAC0ALQAtAC0ALQAtAC0ALQAtAC0ALQAtAC0ALQAtAC0ALQAtAC0ALQAtAFwAbgBGAHUAbgBjAHQAaQBvAG4AOgAgACAAIAAgACAAUgBlAHAAZQBhAHQAUgBvAHcAcwC7A1wAbgBDAGEAdABlAGcAbwByAHkAOgAgACAAIAAgACAAUgBlAHAAZQB0AGkAdABpAG8AbgBcAG4AQQB1AHQAaABvAHIAOgAgACAAIAAgACAAIAAgAFAAYQB0AHIAaQBjAGsAIABIAC4AXABuAFYAZQByAHMAaQBvAG4AOgAgACAAIAAgACAAIAAxAC4AMQBcAG4AXABuAEQAZQBzAGMAcgBpAHAAdABpAG8AbgA6AFwAbgAgACAAIAAgAFIAZQBwAGUAYQB0AHMAIABlAGEAYwBoACAAcgBvAHcAIABvAGYAIABhACAAcwB1AHAAcABsAGkAZQBkACAAYQByAHIAYQB5ACAAYQBjAGMAbwByAGQAaQBuAGcAIAB0AG8AIABhACAAdgBlAGMAdABvAHIAIABvAGYAIAByAGUAcABlAGEAdABcAG4AIAAgACAAIABjAG8AdQBuAHQAcwAuACAAUwBjAGEAbABhAHIAcwAgAGEAbgBkACAAYQByAHIAYQB5AHMAIABhAHIAZQAgAHMAdQBwAHAAbwByAHQAZQBkAC4AIABSAGUAcABlAGEAdAAgAGMAbwB1AG4AdABzACAAbQB1AHMAdAAgAGIAZQAgAG4AdQBtAGUAcgBpAGMAXABuACAAIAAgACAAYQBuAGQAIABlIiAAMQAuAFwAbgBcAG4AUABhAHIAYQBtAGUAdABlAHIAcwA6AFwAbgAgACAAIAAgAGEAcgByAGEAeQAgACAAIAAgAC0AIAAyAEQAIABhAHIAcgBhAHkAIAB3AGgAbwBzAGUAIAByAG8AdwBzACAAdwBpAGwAbAAgAGIAZQAgAHIAZQBwAGUAYQB0AGUAZAAuAFwAbgAgACAAIAAgAHIAZQBwAGUAYQB0ACAAIAAgAC0AIAAxAEQAIABhAHIAcgBhAHkAIABvAGYAIAByAGUAcABlAGEAdAAgAGMAbwB1AG4AdABzACAAKABuAHUAbQBlAHIAaQBjACwAIABlIiAAMQApAC4AXABuAFwAbgBOAG8AdABlAHMAOgBcAG4AIAAgACAAIAAiICAASQBmACAAcgBlAHAAZQBhAHQAIABoAGEAcwAgAGYAZQB3AGUAcgAgAGUAbgB0AHIAaQBlAHMAIAB0AGgAYQBuACAAdABoAGUAIABuAHUAbQBiAGUAcgAgAG8AZgAgAHIAbwB3AHMALAAgAHQAaABlACAAbABhAHMAdAAgAHIAZQBwAGUAYQB0AFwAbgAgACAAIAAgACAAIAB2AGEAbAB1AGUAIABpAHMAIABlAHgAdABlAG4AZABlAGQAIAB0AG8AIABtAGEAdABjAGgAIAB0AGgAZQAgAGEAcgByAGEAeQAgAGgAZQBpAGcAaAB0AC4AXABuACAAIAAgACAAIiAgAE8AdQB0AHAAdQB0ACAAcAByAGUAcwBlAHIAdgBlAHMAIAB0AGgAZQAgAGMAbwBsAHUAbQBuACAAcwB0AHIAdQBjAHQAdQByAGUAIABvAGYAIAB0AGgAZQAgAGkAbgBwAHUAdAAgAGEAcgByAGEAeQAuAFwAbgAtAC0ALQAtAC0ALQAtAC0ALQAtAC0ALQAtAC0ALQAtAC0ALQAtAC0ALQAtAC0ALQAtAC0ALQAtAC0ALQAtAC0ALQAtAC0ALQAtAC0ALQAtAC0ALQAtAC0ALQAtAC0ALQAtAC0ALQAtAC0ALQAtAC0ALQAtAC0ALQAtAC0ALQAtAC0ALQAtAC0ALQAtAC0ALQAtAC0ALQAtAC0ALQAqAC8AXABuAFwAbgBSAGUAcABlAGEAdABSAG8AdwBzALsDIAA9AFwAbgBMAEEATQBCAEQAQQAoAFwAbgAgACAAIAAgAGEAcgByAGEAeQAsAFwAbgAgACAAIAAgAHIAZQBwAGUAYQB0ACwAXABuAFwAbgBJAEYAKABPAFIAKABJAFMAVABFAFgAVAAoAHIAZQBwAGUAYQB0ACkALAAgAHIAZQBwAGUAYQB0ACAAPAA9ACAAMAApACwAXAAiACMAVgBBAEwAVQBFACEAXAAiACwAXABuAFwAbgBMAEUAVAAoAFwAbgAgACAAIAAgAC8ALwAgAE4AbwByAG0AYQBsAGkAegBlACAAcgBlAHAAZQBhAHQAIAB2AGUAYwB0AG8AcgBcAG4AIAAgACAAIAByAGUAcABlAGEAdAAsACAAIAAgACAAIAAgACAAIAAgAFQATwBDAE8ATAAoAHIAZQBwAGUAYQB0ACkALABcAG4AXABuACAAIAAgACAALwAvACAARABpAG0AZQBuAHMAaQBvAG4AcwBcAG4AIAAgACAAIABBAGgALAAgACAAIAAgACAAIAAgACAAIAAgACAAIAAgAFIATwBXAFMAKABhAHIAcgBhAHkAKQAsAFwAbgAgACAAIAAgAFIAaAAsACAAIAAgACAAIAAgACAAIAAgACAAIAAgACAAUgBPAFcAUwAoAHIAZQBwAGUAYQB0ACkALABcAG4AXABuACAAIAAgACAALwAvACAARQB4AHQAZQBuAGQAIAByAGUAcABlAGEAdAAgAHYAZQBjAHQAbwByACAAaQBmACAAbgBlAGUAZABlAGQAXABuACAAIAAgACAAcgAsACAAIAAgACAAIAAgACAAIAAgACAAIAAgACAAIABJAEYAKABBAGgAIAA8AD4AIABSAGgALABcAG4AIAAgACAAIAAgACAAIAAgACAAIAAgACAAIAAgACAAIAAgACAAIAAgACAAIAAgACAARQBYAFAAQQBOAEQAKAByAGUAcABlAGEAdAAsACAAQQBoACwAIAAsACAAQABUAEEASwBFACgAcgBlAHAAZQBhAHQALAAgAC0AMQApACkALABcAG4AIAAgACAAIAAgACAAIAAgACAAIAAgACAAIAAgACAAIAAgACAAIAAgACAAIAAgACAAcgBlAHAAZQBhAHQAKQAsAFwAbgBcAG4AIAAgACAAIAAvAC8AIABCAGEAcwBlACAAcgBvAHcAIABpAG4AZABpAGMAZQBzAFwAbgAgACAAIAAgAGkALAAgACAAIAAgACAAIAAgACAAIAAgACAAIAAgACAAUwBFAFEAVQBFAE4AQwBFACgAUgBPAFcAUwAoAHIAKQApACwAXABuAFwAbgAgACAAIAAgAC8ALwAgAE0AYQB4AGkAbQB1AG0AIAByAGUAcABlAGEAdAAgAGMAbwB1AG4AdABcAG4AIAAgACAAIABtACwAIAAgACAAIAAgACAAIAAgACAAIAAgACAAIAAgAE0AQQBYACgAcgApACwAXABuAFwAbgAgACAAIAAgAC8ALwAgAEIAdQBpAGwAZAAgAGkAbgBkAGUAeAAgAHYAZQBjAHQAbwByAFwAbgAgACAAIAAgAGkAZAB4ACwAIAAgACAAIAAgACAAIAAgACAAIAAgACAATABBAE0AQgBEAEEAKABUAE8AQwBPAEwAKABJAEYAKABTAEkARwBOACgAcgAgAC0AIABTAEUAUQBVAEUATgBDAEUAKAAsACAAbQAsACAAMAApACkAIAA9ACAAMQAsAGkALABOAEEAKAApACkALAAyACkAKQAsAFwAbgBcAG4AIAAgACAAIABkAGUAbABpAHYAZQByACwAIAAgACAAIAAgACAAIAAgAEMASABPAE8AUwBFAFIATwBXAFMAKABhAHIAcgBhAHkALAAgAGkAZAB4ACgAKQApACwAXABuAFwAbgAgACAAIAAgAGQAZQBsAGkAdgBlAHIAXABuACkAKQApADsAXABuAFwAbgBcAG4AXABuAC8AKgAgAFsAUgBQADAAMwBdACAALQAtAC0ALQAtAC0ALQAtAC0ALQAtAC0ALQAtAC0ALQAtAC0ALQAtAC0ALQAtAC0ALQAtAC0ALQAtAC0ALQAtAC0ALQAtAC0ALQAtAC0ALQAtAC0ALQAtAC0ALQAtAC0ALQAtAC0ALQAtAC0ALQAtAC0ALQAtAC0ALQAtAC0ALQAtAC0ALQAtAC0ALQAtAC0ALQBcAG4ARgB1AG4AYwB0AGkAbwBuADoAIAAgACAAIAAgAFIAZQBwAGUAYQB0AEMAbwBsAHMAuwNcAG4AQwBhAHQAZQBnAG8AcgB5ADoAIAAgACAAIAAgAFIAZQBwAGUAdABpAHQAaQBvAG4AXABuAEEAdQB0AGgAbwByADoAIAAgACAAIAAgACAAIABQAGEAdAByAGkAYwBrACAASAAuAFwAbgBWAGUAcgBzAGkAbwBuADoAIAAgACAAIAAgACAAMQAuADEAXABuAFwAbgBEAGUAcwBjAHIAaQBwAHQAaQBvAG4AOgBcAG4AIAAgACAAIABSAGUAcABlAGEAdABzACAAZQBhAGMAaAAgAGMAbwBsAHUAbQBuACAAbwBmACAAYQAgAHMAdQBwAHAAbABpAGUAZAAgAGEAcgByAGEAeQAgAGEAYwBjAG8AcgBkAGkAbgBnACAAdABvACAAYQAgAHYAZQBjAHQAbwByACAAbwBmACAAcgBlAHAAZQBhAHQAXABuACAAIAAgACAAYwBvAHUAbgB0AHMALgAgAFMAYwBhAGwAYQByAHMAIABhAG4AZAAgAGEAcgByAGEAeQBzACAAYQByAGUAIABzAHUAcABwAG8AcgB0AGUAZAAuACAAUgBlAHAAZQBhAHQAIABjAG8AdQBuAHQAcwAgAG0AdQBzAHQAIABiAGUAIABuAHUAbQBlAHIAaQBjAFwAbgAgACAAIAAgAGEAbgBkACAAZSIgADEALgBcAG4AXABuAFAAYQByAGEAbQBlAHQAZQByAHMAOgBcAG4AIAAgACAAIABhAHIAcgBhAHkAIAAgACAAIAAtACAAMgBEACAAYQByAHIAYQB5ACAAdwBoAG8AcwBlACAAYwBvAGwAdQBtAG4AcwAgAHcAaQBsAGwAIABiAGUAIAByAGUAcABlAGEAdABlAGQALgBcAG4AIAAgACAAIAByAGUAcABlAGEAdAAgACAAIAAtACAAMQBEACAAYQByAHIAYQB5ACAAbwBmACAAcgBlAHAAZQBhAHQAIABjAG8AdQBuAHQAcwAgACgAbgB1AG0AZQByAGkAYwAsACAAZSIgADEAKQAuAFwAbgBcAG4ATgBvAHQAZQBzADoAXABuACAAIAAgACAAIiAgAEkAZgAgAHIAZQBwAGUAYQB0ACAAaABhAHMAIABmAGUAdwBlAHIAIABlAG4AdAByAGkAZQBzACAAdABoAGEAbgAgAHQAaABlACAAbgB1AG0AYgBlAHIAIABvAGYAIABjAG8AbAB1AG0AbgBzACwAIAB0AGgAZQAgAGwAYQBzAHQAIAByAGUAcABlAGEAdABcAG4AIAAgACAAIAAgACAAdgBhAGwAdQBlACAAaQBzACAAZQB4AHQAZQBuAGQAZQBkACAAdABvACAAbQBhAHQAYwBoACAAdABoAGUAIABhAHIAcgBhAHkAIAB3AGkAZAB0AGgALgBcAG4AIAAgACAAIAAiICAATwB1AHQAcAB1AHQAIABwAHIAZQBzAGUAcgB2AGUAcwAgAHQAaABlACAAcgBvAHcAIABzAHQAcgB1AGMAdAB1AHIAZQAgAG8AZgAgAHQAaABlACAAaQBuAHAAdQB0ACAAYQByAHIAYQB5AC4AXABuAC0ALQAtAC0ALQAtAC0ALQAtAC0ALQAtAC0ALQAtAC0ALQAtAC0ALQAtAC0ALQAtAC0ALQAtAC0ALQAtAC0ALQAtAC0ALQAtAC0ALQAtAC0ALQAtAC0ALQAtAC0ALQAtAC0ALQAtAC0ALQAtAC0ALQAtAC0ALQAtAC0ALQAtAC0ALQAtAC0ALQAtAC0ALQAtAC0ALQAtAC0ALQAtACoALwBcAG4AXABuAFIAZQBwAGUAYQB0AEMAbwBsAHMAuwMgAD0AXABuAEwAQQBNAEIARABBACgAXABuACAAIAAgACAAYQByAHIAYQB5ACwAXABuACAAIAAgACAAcgBlAHAAZQBhAHQALABcAG4AXABuAEkARgAoAE8AUgAoAEkAUwBUAEUAWABUACgAcgBlAHAAZQBhAHQAKQAsACAAcgBlAHAAZQBhAHQAIAA8AD0AIAAwACkALABcACIAIwBWAEEATABVAEUAIQBcACIALABcAG4AXABuAEwARQBUACgAXABuACAAIAAgACAALwAvACAATgBvAHIAbQBhAGwAaQB6AGUAIAByAGUAcABlAGEAdAAgAHYAZQBjAHQAbwByAFwAbgAgACAAIAAgAHIAZQBwAGUAYQB0ACwAIAAgACAAIAAgACAAIAAgACAAVABPAEMATwBMACgAcgBlAHAAZQBhAHQAKQAsAFwAbgBcAG4AIAAgACAAIAAvAC8AIABEAGkAbQBlAG4AcwBpAG8AbgBzAFwAbgAgACAAIAAgAEEAdwAsACAAIAAgACAAIAAgACAAIAAgACAAIAAgACAAQwBPAEwAVQBNAE4AUwAoAGEAcgByAGEAeQApACwAXABuACAAIAAgACAAUgBoACwAIAAgACAAIAAgACAAIAAgACAAIAAgACAAIABSAE8AVwBTACgAcgBlAHAAZQBhAHQAKQAsAFwAbgBcAG4AIAAgACAAIAAvAC8AIABFAHgAdABlAG4AZAAgAHIAZQBwAGUAYQB0ACAAdgBlAGMAdABvAHIAIABpAGYAIABuAGUAZQBkAGUAZABcAG4AIAAgACAAIABjACwAIAAgACAAIAAgACAAIAAgACAAIAAgACAAIAAgAEkARgAoAEEAdwAgADwAPgAgAFIAaAAsAFwAbgAgACAAIAAgACAAIAAgACAAIAAgACAAIAAgACAAIAAgACAAIAAgACAAIAAgACAAIABFAFgAUABBAE4ARAAoAHIAZQBwAGUAYQB0ACwAIABBAHcALAAgACwAIABAAFQAQQBLAEUAKAByAGUAcABlAGEAdAAsACAALQAxACkAKQAsAFwAbgAgACAAIAAgACAAIAAgACAAIAAgACAAIAAgACAAIAAgACAAIAAgACAAIAAgACAAIAByAGUAcABlAGEAdAApACwAXABuAFwAbgAgACAAIAAgAC8ALwAgAEIAYQBzAGUAIABjAG8AbAB1AG0AbgAgAGkAbgBkAGkAYwBlAHMAXABuACAAIAAgACAAaQAsACAAIAAgACAAIAAgACAAIAAgACAAIAAgACAAIABTAEUAUQBVAEUATgBDAEUAKABSAE8AVwBTACgAYwApACkALABcAG4AXABuACAAIAAgACAALwAvACAATQBhAHgAaQBtAHUAbQAgAHIAZQBwAGUAYQB0ACAAYwBvAHUAbgB0AFwAbgAgACAAIAAgAG0ALAAgACAAIAAgACAAIAAgACAAIAAgACAAIAAgACAATQBBAFgAKABjACkALABcAG4AXABuACAAIAAgACAALwAvACAAQgB1AGkAbABkACAAaQBuAGQAZQB4ACAAdgBlAGMAdABvAHIAXABuACAAIAAgACAAaQBkAHgALAAgACAAIAAgACAAIAAgACAAIAAgACAAIABMAEEATQBCAEQAQQAoAFQATwBDAE8ATAAoAEkARgAoAFMASQBHAE4AKABjACAALQAgAFMARQBRAFUARQBOAEMARQAoACwAIABtACwAIAAwACkAKQAgAD0AIAAxACwAaQAsAE4AQQAoACkAKQAsADIAKQApACwAXABuAFwAbgAgACAAIAAgAGQAZQBsAGkAdgBlAHIALAAgACAAIAAgACAAIAAgACAAQwBIAE8ATwBTAEUAQwBPAEwAUwAoAGEAcgByAGEAeQAsACAAaQBkAHgAKAApACkALABcAG4AXABuACAAIAAgACAAZABlAGwAaQB2AGUAcgBcAG4AKQApACkAOwBcAG4AXABuAFwAbgBcAG4ALwAqACAAWwBSAFAAMAA0AF0AIAAtAC0ALQAtAC0ALQAtAC0ALQAtAC0ALQAtAC0ALQAtAC0ALQAtAC0ALQAtAC0ALQAtAC0ALQAtAC0ALQAtAC0ALQAtAC0ALQAtAC0ALQAtAC0ALQAtAC0ALQAtAC0ALQAtAC0ALQAtAC0ALQAtAC0ALQAtAC0ALQAtAC0ALQAtAC0ALQAtAC0ALQAtAC0ALQAtAFwAbgBGAHUAbgBjAHQAaQBvAG4AOgAgACAAIAAgACAAVABlAHMAcwBlAGwAbABhAHQAZQC7A1wAbgBDAGEAdABlAGcAbwByAHkAOgAgACAAIAAgACAAUgBlAHAAZQB0AGkAdABpAG8AbgBcAG4AQQB1AHQAaABvAHIAOgAgACAAIAAgACAAIAAgAFAAYQB0AHIAaQBjAGsAIABIAC4AXABuAFYAZQByAHMAaQBvAG4AOgAgACAAIAAgACAAIAAxAC4AMQBcAG4ARABlAHAAZQBuAGQAZQBuAGMAaQBlAHMAOgAgAFQARwByAGkAZAC7A1wAbgBcAG4ARABlAHMAYwByAGkAcAB0AGkAbwBuADoAXABuACAAIAAgACAARwBlAG4AZQByAGEAdABlAHMAIABhACAAbQBvAGQAdQBsAGEAcgAgAHQAZQBzAHMAZQBsAGwAYQB0AGkAbwBuACAAbwBmACAAYQAgADIARAAgAHAAYQB0AHQAZQByAG4AIABkAGUAZgBpAG4AZQBkACAAYgB5ACAAbgBlAHcAXwBoAGUAaQBnAGgAdAAgANcAIABuAGUAdwBfAHcAaQBkAHQAaAAuAFwAbgAgACAAIAAgAFQAaABlACAAcABhAHQAdABlAHIAbgAgAGkAcwAgAHIAZQBwAGUAYQB0AGUAZAAgAHUAcwBpAG4AZwAgAG0AbwBkAHUAbABhAHIAIAByAG8AdwAgAGEAbgBkACAAYwBvAGwAdQBtAG4AIABjAHkAYwBsAGUAcwAgAGQAZQByAGkAdgBlAGQAIABmAHIAbwBtACAAdABoAGUAXABuACAAIAAgACAAcABhAHQAdABlAHIAbgAZIHMAIABvAHcAbgAgAGQAaQBtAGUAbgBzAGkAbwBuAHMALgBcAG4AXABuAFAAYQByAGEAbQBlAHQAZQByAHMAOgBcAG4AIAAgACAAIABwAGEAdAB0AGUAcgBuACAAIAAgACAAIAAgACAALQAgADIARAAgAGEAcgByAGEAeQAgACgAMQBEACAAYQByAHIAYQB5AHMAIABhAGMAYwBlAHAAdABlAGQALAAgAHMAYwBhAGwAYQByAHMAIABhAHIAZQAgAGYAbwByAGIAaQBkAGQAZQBuACkALgBcAG4AIAAgACAAIABuAGUAdwBfAGgAZQBpAGcAaAB0ACAAIAAgACAALQAgAE4AdQBtAGIAZQByACAAbwBmACAAcgBvAHcAcwAgAGkAbgAgAHQAaABlACAAbwB1AHQAcAB1AHQAIAB0AGUAcwBzAGUAbABsAGEAdABpAG8AbgAuAFwAbgAgACAAIAAgAG4AZQB3AF8AdwBpAGQAdABoACAAIAAgACAAIAAtACAATgB1AG0AYgBlAHIAIABvAGYAIABjAG8AbAB1AG0AbgBzACAAaQBuACAAdABoAGUAIABvAHUAdABwAHUAdAAgAHQAZQBzAHMAZQBsAGwAYQB0AGkAbwBuAC4AXABuAFwAbgBOAG8AdABlAHMAOgBcAG4AIAAgACAAIAAiICAAUABlAHIAZgBvAHIAbQBzACAAbQBvAGQAdQBsAGEAcgAgAHIAZQBwAGUAdABpAHQAaQBvAG4AIAB1AHMAaQBuAGcAIABUAEcAcgBpAGQAuwMgAGYAbwByACAAcgBvAHcALwBjAG8AbAB1AG0AbgAgAGMAeQBjAGwAaQBuAGcALgBcAG4AIAAgACAAIAAiICAAUwB1AHAAcABvAHIAdABzACAAcABhAHIAdABpAGEAbAAgAHQAaQBsAGUAcwAgAHcAaABlAG4AIABuAGUAdwAgAGQAaQBtAGUAbgBzAGkAbwBuAHMAIABhAHIAZQAgAG4AbwB0ACAAbQB1AGwAdABpAHAAbABlAHMAIABvAGYAXABuACAAIAAgACAAIAAgAHQAaABlACAAcABhAHQAdABlAHIAbgAgAHMAaQB6AGUALgBcAG4AIAAgACAAIAAiICAAUgBlAGoAZQBjAHQAcwAgAHMAYwBhAGwAYQByACAAaQBuAHAAdQB0AHMALgBcAG4ALQAtAC0ALQAtAC0ALQAtAC0ALQAtAC0ALQAtAC0ALQAtAC0ALQAtAC0ALQAtAC0ALQAtAC0ALQAtAC0ALQAtAC0ALQAtAC0ALQAtAC0ALQAtAC0ALQAtAC0ALQAtAC0ALQAtAC0ALQAtAC0ALQAtAC0ALQAtAC0ALQAtAC0ALQAtAC0ALQAtAC0ALQAtAC0ALQAtAC0ALQAtAC0AKgAvAFwAbgBcAG4AVABlAHMAcwBlAGwAbABhAHQAZQC7AyAAPQBcAG4ATABBAE0AQgBEAEEAKABcAG4AIAAgACAAIABwAGEAdAB0AGUAcgBuACwAXABuACAAIAAgACAAbgBlAHcAXwBoAGUAaQBnAGgAdAAsAFwAbgAgACAAIAAgAG4AZQB3AF8AdwBpAGQAdABoACwAXABuAEwARQBUACgAXABuACAAIAAgACAALwAvACAAUABhAHQAdABlAHIAbgAgAGQAaQBtAGUAbgBzAGkAbwBuAHMAXABuACAAIAAgACAAaAAsACAAIAAgACAAIAAgACAAIAAgACAAIAAgACAAIABSAE8AVwBTACgAcABhAHQAdABlAHIAbgApACwAXABuACAAIAAgACAAdwAsACAAIAAgACAAIAAgACAAIAAgACAAIAAgACAAIABDAE8ATABVAE0ATgBTACgAcABhAHQAdABlAHIAbgApACwAXABuAFwAbgAgACAAIAAgAC8ALwAgAFMAYwBhAGwAYQByACAAZABlAHQAZQBjAHQAaQBvAG4AXABuACAAIAAgACAASQBzAFMAYwBhAGwAYQByAD8ALAAgACAAIAAgACAAIABBAE4ARAAoAGgAIAA9ACAAMQAsACAAdwAgAD0AIAAxACkALABcAG4AXABuACAAIAAgACAALwAvACAATgBvAHIAbQBhAGwAaQB6AGUAIABuAGUAdwAgAGQAaQBtAGUAbgBzAGkAbwBuAHMAXABuACAAIAAgACAAbgBlAHcAXwBoAGUAaQBnAGgAdAAsACAAIAAgACAAIABJAE4ARABFAFgAKABuAGUAdwBfAGgAZQBpAGcAaAB0ACwAIAAxACwAIAAxACkALABcAG4AIAAgACAAIABuAGUAdwBfAHcAaQBkAHQAaAAsACAAIAAgACAAIAAgAEkATgBEAEUAWAAoAG4AZQB3AF8AdwBpAGQAdABoACwAIAAxACwAIAAxACkALABcAG4AXABuACAAIAAgACAALwAvACAAUwBjAGUAbgBhAHIAaQBvAHMAXABuACAAIAAgACAATgBvAEMAaABhAG4AZwBlAD8ALAAgACAAIAAgACAAIABBAE4ARAAoAGgAIAA9ACAAbgBlAHcAXwBoAGUAaQBnAGgAdAAsACAAdwAgAD0AIABuAGUAdwBfAHcAaQBkAHQAaAApACwAXABuAFwAbgAgACAAIAAgAEkAbgB2AGEAbABpAGQASABXAD8ALAAgACAAIAAgACAATwBSACgAbgBlAHcAXwBoAGUAaQBnAGgAdAAgADwAPQAgADAALABcAG4AIAAgACAAIAAgACAAIAAgACAAIAAgACAAIAAgACAAIAAgACAAIAAgACAAIAAgAG4AZQB3AF8AdwBpAGQAdABoACAAIAA8AD0AIAAwACwAXABuACAAIAAgACAAIAAgACAAIAAgACAAIAAgACAAIAAgACAAIAAgACAAIAAgACAAIABJAFMAVABFAFgAVAAoAG4AZQB3AF8AaABlAGkAZwBoAHQAKQAsAFwAbgAgACAAIAAgACAAIAAgACAAIAAgACAAIAAgACAAIAAgACAAIAAgACAAIAAgACAASQBTAFQARQBYAFQAKABuAGUAdwBfAHcAaQBkAHQAaAApACkALABcAG4AXABuAC8ALwAgAEwAbwBnAGkAYwAgAGcAYQB0AGUAXABuACAAIAAgACAASQBGACgASQBzAFMAYwBhAGwAYQByAD8ALAAgAFwAIgAjAFMAQwBBAEwAQQBSACEAXAAiACwAXABuAFwAbgAgACAAIAAgACAAIAAgACAAIAAgACAAIABJAEYAKABOAG8AQwBoAGEAbgBnAGUAPwAsACAAcABhAHQAdABlAHIAbgAsAFwAbgBcAG4AIAAgACAAIAAgACAAIAAgACAAIAAgACAAIAAgACAAIABJAEYAKABJAG4AdgBhAGwAaQBkAEgAVwA/ACwAIABcACIAIwBOAEUAVwAtAEgARQBJAEcASABUAC8AVwBJAEQAVABIACEAXAAiACwAXABuAFwAbgBMAEUAVAAoAFwAbgAgACAAIAAgAC8ALwAgAE8AdQB0AHAAdQB0ACAAZwBlAG8AbQBlAHQAcgB5ACAAcABsAGEAYwBlAGgAbwBsAGQAZQByAFwAbgAgACAAIAAgAGUAeABwAF8AcwBoAGEAcABlACwAIAAgACAAIABFAFgAUABBAE4ARAAoADAALAAgAG4AZQB3AF8AaABlAGkAZwBoAHQALAAgAG4AZQB3AF8AdwBpAGQAdABoACkALABcAG4AXABuACAAIAAgACAALwAvACAATQBvAGQAdQBsAGEAcgAgAHIAbwB3AC8AYwBvAGwAdQBtAG4AIABpAG4AZABpAGMAZQBzAFwAbgAgACAAIAAgAGkALAAgACAAIAAgACAAIAAgACAAIAAgACAAIABUAEcAcgBpAGQAuwMoAGUAeABwAF8AcwBoAGEAcABlACwAIABoACkALABcAG4AIAAgACAAIABqACwAIAAgACAAIAAgACAAIAAgACAAIAAgACAAVABHAHIAaQBkALsDKABlAHgAcABfAHMAaABhAHAAZQAsACAAdwAsACAAMQApACwAXABuAFwAbgAgACAAIAAgAC8ALwAgAFQAZQBzAHMAZQBsAGwAYQB0AGUAZAAgAG8AdQB0AHAAdQB0AFwAbgAgACAAIAAgAHQAZQBzAHMALAAgACAAIAAgACAAIAAgACAAIABJAE4ARABFAFgAKABwAGEAdAB0AGUAcgBuACwAIABpACwAIABqACkALABcAG4AXABuACAAIAAgACAAdABlAHMAcwBcAG4AKQApACkAKQApACkAOwBcAG4AXABuAFwAbgBcAG4ALwAqACAAWwBHAFIAXQAgAC0ALQAtAC0ALQAtAC0ALQAtAC0ALQAtAC0ALQAtAC0ALQAtAC0ALQAtAC0ALQAtAC0ALQAtAC0ALQAtAC0ALQAtAC0ALQAtAC0ALQAtAC0ALQAtAC0ALQAtAC0ALQAtAC0ALQAtAC0ALQAtAC0ALQAtAC0ALQAtAC0ALQAtAC0ALQAtAC0ALQAtAC0ALQAtAC0ALQAtAFwAbgAjACMAIAAwADYAIAAtACAARwByAGkAZAAgAEEAbgBhAGwAeQB0AGkAYwBzAFwAbgAtAC0ALQAtAC0ALQAtAC0ALQAtAC0ALQAtAC0ALQAtAC0ALQAtAC0ALQAtAC0ALQAtAC0ALQAtAC0ALQAtAC0ALQAtAC0ALQAtAC0ALQAtAC0ALQAtAC0ALQAtAC0ALQAtAC0ALQAtAC0ALQAtAC0ALQAtAC0ALQAtAC0ALQAtAC0ALQAtAC0ALQAtAC0ALQAtAC0ALQAtAC0ALQAtACAAKgAvAFwAbgBcAG4ALwAqAFwAbgBEAGUAcwBjAHIAaQBwAHQAaQBvAG4AOgBcAG4AIAAgACAAIABHAHIAaQBkACAAQQBuAGEAbAB5AHQAaQBjAHMAIABpAHMAIABhACAAYwBvAGwAbABlAGMAdABpAG8AbgAgAG8AZgAgAGYAdQBuAGMAdABpAG8AbgBzACAAZgBvAHIAIABlAGwAZQBnAGEAbgB0ACAAcwBlAHEAdQBlAG4AYwBpAG4AZwAsAFwAbgAgACAAIAAgAGMAYQB0AGUAZwBvAHIAaQBjAGEAbAAgAGEAbgBhAGwAeQBzAGkAcwAsACAAbgBlAGkAZwBoAGIAbwByAGgAbwBvAGQAESBiAGEAcwBlAGQAIABhAGcAZwByAGUAZwBhAHQAaQBvAG4ALAAgAGEAbgBkACAAcwB0AGEAdABpAHMAdABpAGMAcwAuAFwAbgAgACAAIAAgAFQAaABpAHMAIABtAG8AZAB1AGwAZQAgAGUAeAB0AGUAbgBkAHMAIAB0AGgAZQAgAGMAYQBwAGEAYgBpAGwAaQB0AGkAZQBzACAAbwBmACAAbgBhAHQAaQB2AGUAIABFAHgAYwBlAGwAIABmAHUAbgBjAHQAaQBvAG4AcwBcAG4AIAAgACAAIAAoAGUALgBnAC4ALAAgAE0AbwBkAGUAuwMgAGMAYQBuACAAcgBlAHQAdQByAG4AIAB0AGgAZQAgAG0AbwBzAHQAIABmAHIAZQBxAHUAZQBuAHQAIABuAHUAbQBlAHIAaQBjAGEAbAAgAG8AcgAgAHQAZQB4AHQAIAB2AGEAbAB1AGUAcwApAC4AXABuAFwAbgAgACAAIAAgAFMAdQBiABEgYwBhAHQAZQBnAG8AcgBpAGUAcwA6AFwAbgBcAG4AIAAgACAAIAAgACAAIAAgACIgIABTAGUAcQB1AGUAbgBjAGkAbgBnAFwAbgAgACAAIAAgACAAIAAgACAAIAAgACAAIAAgACAAUwB0AHIAZQBhAGsAuwMsACAAQwBvAHUAbgB0AGQAbwB3AG4AuwMsACAASQBuAHMAdABhAG4AYwBlALsDLAAgAFcAYQB2AGUAuwNcAG4AXABuACAAIAAgACAAIAAgACAAIAAiICAAQwBhAHQAZQBnAG8AcgBpAGMAYQBsACAAQQBuAGEAbAB5AHMAaQBzAFwAbgAgACAAIAAgACAAIAAgACAAIAAgACAAIAAgACAAQgB5AEQAaQBhAGcAuwMsACAARABpAGEAZwBNAGEAcAC7AywAIABEAGkAYQBnAEkAbgBkAGUAeAC7AywAXABuACAAIAAgACAAIAAgACAAIAAgACAAIAAgACAAIABQAGEAaQByAHcAaQBzAGUAuwMsACAAVAByAGkAcABsAGUAdwBpAHMAZQC7AywAIABRAHUAYQBkAHcAaQBzAGUAuwMsAFwAbgAgACAAIAAgACAAIAAgACAAIAAgACAAIAAgACAARwByAG8AdQBwAGIAeQBCAGkAbgC7AywAIABHAHIAbwB1AHAAYgB5AEQAYQB0AGUAuwMsACAAUABpAHYAbwB0AGIAeQBDAGEAdAC7AywAXABuAFwAdABcAHQAXAB0ACAAIABHAHIAbwB1AHAASQBuAGQAZQB4ALsDLAAgAE8AYwBjAHUAcgByAGUAbgBjAGUAuwMsACAATwBjAGMAdQByAHIAZQBuAGMAZQBSAGEAbgBnAGUAuwNcAG4AXABuACAAIAAgACAAIAAgACAAIAAiICAATgBlAGkAZwBoAGIAbwByAGgAbwBvAGQAcwBcAG4AIAAgACAAIAAgACAAIAAgACAAIAAgACAAIAAgAEcAcgBhAGkAbgC7AywAIABNAG8AbwByAGUAQQBnAGcAuwMsACAATQBvAG8AcgBlAFMAZQBsAGUAYwB0ALsDXABuAFwAbgAgACAAIAAgACAAIAAgACAAIiAgAFMAdABhAHQAaQBzAHQAaQBjAHMAXABuACAAIAAgACAAIAAgACAAIAAgACAAIAAgACAAIABIAGkAcwB0AG8AZwByAGEAbQC7AywAIABNAG8AZABlALsDLAAgAFoAbwBuAGUAUwB0AGEAdAC7A1wAbgAqAC8AXABuAFwAbgBcAG4AXABuAFwAbgAvACoAIABbAEcAUgAwADEAXQAgAC0ALQAtAC0ALQAtAC0ALQAtAC0ALQAtAC0ALQAtAC0ALQAtAC0ALQAtAC0ALQAtAC0ALQAtAC0ALQAtAC0ALQAtAC0ALQAtAC0ALQAtAC0ALQAtAC0ALQAtAC0ALQAtAC0ALQAtAC0ALQAtAC0ALQAtAC0ALQAtAC0ALQAtAC0ALQAtAC0ALQAtAC0ALQAtAC0AXABuAEYAdQBuAGMAdABpAG8AbgA6ACAAIAAgACAAIABTAHQAcgBlAGEAawC7A1wAbgBDAGEAdABlAGcAbwByAHkAOgAgACAAIAAgACAARwByAGkAZAAgAEEAbgBhAGwAeQB0AGkAYwBzACAAKABTAGUAcQB1AGUAbgBjAGkAbgBnACkAXABuAEEAdQB0AGgAbwByADoAIAAgACAAIAAgACAAIABQAGEAdAByAGkAYwBrACAASAAuAFwAbgBWAGUAcgBzAGkAbwBuADoAIAAgACAAIAAgACAAMQAuADEAXABuAFwAbgBEAGUAcwBjAHIAaQBwAHQAaQBvAG4AOgBcAG4AIAAgACAAIABDAG8AbQBwAHUAdABlAHMAIABzAHQAcgBlAGEAawAgAGMAbwB1AG4AdABzACAAbwBmACAAYwBvAG4AcwBlAGMAdQB0AGkAdgBlACAAaQBkAGUAbgB0AGkAYwBhAGwAIAB2AGEAbAB1AGUAcwAgAGkAbgAgAGEAIAAxAEQAIABvAHIAIAAyAEQAIABhAHIAcgBhAHkALgBcAG4AIAAgACAAIABTAHQAcgBlAGEAawBzACAAaQBuAGMAcgBlAG0AZQBuAHQAIABmAG8AcgB3AGEAcgBkACAAKAAxACwAIAAyACwAIAAzACwAIAAmICkAIAB3AGgAZQBuAGUAdgBlAHIAIAB0AGgAZQAgAGMAdQByAHIAZQBuAHQAIABlAGwAZQBtAGUAbgB0ACAAbQBhAHQAYwBoAGUAcwBcAG4AIAAgACAAIAB0AGgAZQAgAHAAcgBlAHYAaQBvAHUAcwAgAG8AbgBlAC4AIABGAG8AcgAgADIARAAgAGEAcgByAGEAeQBzACwAIABzAHQAcgBlAGEAawBzACAAYQByAGUAIABjAG8AbQBwAHUAdABlAGQAIAByAG8AdwARIG0AYQBqAG8AcgAgAGIAeQAgAGQAZQBmAGEAdQBsAHQALgBcAG4AXABuAFAAYQByAGEAbQBlAHQAZQByAHMAOgBcAG4AIAAgACAAIABhAHIAcgBhAHkAIAAgACAAIAAgACAAIAAgACAAIAAgACAAIAAgAC0AIAAxAEQAIABvAHIAIAAyAEQAIABhAHIAcgBhAHkALgBcAG4AXABuAE8AcAB0AGkAbwBuAGEAbAA6AFwAbgAgACAAIAAgAFsASABvAHIAaQB6AG8AbgB0AGEAbAA/AF0AIAAgACAAIAAgACAALQAgAEYAbwByACAAMQBEACAAYQByAHIAYQB5AHMALAAgAGMAbwBtAHAAdQB0AGUAIABzAHQAcgBlAGEAawBzACAAYwBvAGwAdQBtAG4AESB3AGkAcwBlACAAaQBuAHMAdABlAGEAZAAgAG8AZgBcAG4AIAAgACAAIAAgACAAIAAgACAAIAAgACAAIAAgACAAIAAgACAAIAAgACAAIAAgACAAIAAgAHIAbwB3ABEgdwBpAHMAZQAuACAASQBnAG4AbwByAGUAZAAgAGYAbwByACAAMgBEACAAYQByAHIAYQB5AHMALgBcAG4AIAAgACAAIABbAEkAbgBjAGwAdQBkAGUAXwBTAHkAbQBiAG8AbAA/AF0AIAAgAC0AIABJAGYAIABUAFIAVQBFACwAIABhAHAAcABlAG4AZAAgAHQAaABlACAAcwB5AG0AYgBvAGwAIAB0AG8AIAB0AGgAZQAgAHMAdAByAGUAYQBrACAAYwBvAHUAbgB0AFwAbgAgACAAIAAgACAAIAAgACAAIAAgACAAIAAgACAAIAAgACAAIAAgACAAIAAgACAAIAAgACAAKABlAC4AZwAuACwAIABXALcAMQAsACAAVwC3ADIALAAgAEwAtwAxACkALgBcAG4AXABuAE4AbwB0AGUAcwA6AFwAbgAgACAAIAAgACIgIABTAGMAYQBsAGEAcgBzACAAcgBlAHQAdQByAG4AIAB0AGgAZQBtAHMAZQBsAHYAZQBzAC4AXABuACAAIAAgACAAIiAgADIARAAgAGEAcgByAGEAeQBzACAAYQByAGUAIABmAGwAYQB0AHQAZQBuAGUAZAAgAHIAbwB3ABEgbQBhAGoAbwByACwAIABwAHIAbwBjAGUAcwBzAGUAZAAsACAAdABoAGUAbgAgAHIAZQBzAHQAbwByAGUAZAAuAFwAbgAgACAAIAAgACIgIABIAG8AcgBpAHoAbwBuAHQAYQBsAD8AIABvAG4AbAB5ACAAYQBwAHAAbABpAGUAcwAgAHQAbwAgADEARAAgAGEAcgByAGEAeQBzAC4AXABuACAAIAAgACAAIiAgAEkAbgBjAGwAdQBkAGUAXwBTAHkAbQBiAG8AbAA/ACAAdQBzAGUAcwAgAFUATgBJAEMASABBAFIAKAAxADgAMwApACAAKAC3ACkAIABhAHMAIAB0AGgAZQAgAHMAZQBwAGEAcgBhAHQAbwByAC4AXABuAC0ALQAtAC0ALQAtAC0ALQAtAC0ALQAtAC0ALQAtAC0ALQAtAC0ALQAtAC0ALQAtAC0ALQAtAC0ALQAtAC0ALQAtAC0ALQAtAC0ALQAtAC0ALQAtAC0ALQAtAC0ALQAtAC0ALQAtAC0ALQAtAC0ALQAtAC0ALQAtAC0ALQAtAC0ALQAtAC0ALQAtAC0ALQAtAC0ALQAtAC0ALQAtACoALwBcAG4AXABuAFMAdAByAGUAYQBrALsDIAA9AFwAbgBMAEEATQBCAEQAQQAoAFwAbgAgACAAIAAgAGEAcgByAGEAeQAsAFwAbgAgACAAIAAgAFsASABvAHIAaQB6AG8AbgB0AGEAbAA/AF0ALABcAG4AIAAgACAAIABbAEkAbgBjAGwAdQBkAGUAXwBTAHkAbQBiAG8AbAA/AF0ALABcAG4AXABuAEkARgAoAEEATgBEACgAUgBPAFcAUwAoAGEAcgByAGEAeQApACAAPQAgADEALAAgAEMATwBMAFUATQBOAFMAKABhAHIAcgBhAHkAKQAgAD0AIAAxACkALABhAHIAcgBhAHkALABcAG4AXABuAEwARQBUACgAXABuACAAIAAgACAALwAvACAARABpAG0AZQBuAHMAaQBvAG4AcwBcAG4AIAAgACAAIABoACwAIAAgACAAIAAgACAAIAAgACAAIAAgACAAIAAgAFIATwBXAFMAKABhAHIAcgBhAHkAKQAsAFwAbgAgACAAIAAgAHcALAAgACAAIAAgACAAIAAgACAAIAAgACAAIAAgACAAQwBPAEwAVQBNAE4AUwAoAGEAcgByAGEAeQApACwAXABuACAAIAAgACAASQBzADIARAA/ACwAIAAgACAAIAAgACAAIAAgACAAIABBAE4ARAAoAGgAIAA+ACAAMQAsACAAdwAgAD4AIAAxACkALABcAG4AXABuACAAIAAgACAALwAvACAARgBsAGEAdAB0AGUAbgAgADIARAAgAJIhIAAxAEQAXABuACAAIAAgACAAYQByAHIAYQB5ACwAIAAgACAAIAAgACAAIAAgACAAIABJAEYAKABJAHMAMgBEAD8ALAAgAFQATwBDAE8ATAAoAGEAcgByAGEAeQApACwAIABhAHIAcgBhAHkAKQAsAFwAbgBcAG4AIAAgACAAIAAvAC8AIABEAGkAcgBlAGMAdABpAG8AbgAgACgAbwBuAGwAeQAgAHIAZQBsAGUAdgBhAG4AdAAgAGYAbwByACAAMQBEACkAXABuACAAIAAgACAATgBvAEQAaQByAD8ALAAgACAAIAAgACAAIAAgACAAIABJAFMATwBNAEkAVABUAEUARAAoAEgAbwByAGkAegBvAG4AdABhAGwAPwApACwAXABuACAAIAAgACAAZgBuACwAIAAgACAAIAAgACAAIAAgACAAIAAgACAAIABJAEYAKABOAG8ARABpAHIAPwAsACAAVgBTAFQAQQBDAEsALAAgAEgAUwBUAEEAQwBLACkALABcAG4AXABuACAAIAAgACAALwAvACAAQwBvAG0AcABhAHIAZQAgAHcAaQB0AGgAIABwAHIAZQB2AGkAbwB1AHMAIABlAGwAZQBtAGUAbgB0AFwAbgAgACAAIAAgAGsAZQBwAHQALAAgACAAIAAgACAAIAAgACAAIAAgACAASQBGACgATgBvAEQAaQByAD8ALAAgAEQAUgBPAFAAKABhAHIAcgBhAHkALAAgAC0AMQApACwAIABEAFIATwBQACgAYQByAHIAYQB5ACwAIAAsACAALQAxACkAKQAsAFwAbgAgACAAIAAgAGIAbwBvAGwALAAgACAAIAAgACAAIAAgACAAIAAgACAAYQByAHIAYQB5ACAAPQAgAGYAbgAoAFwAIgBvAG0AaQB0AFwAIgAsACAAawBlAHAAdAApACwAXABuAFwAbgAgACAAIAAgAC8ALwAgAEEAYwBjAHUAbQB1AGwAYQB0AGUAIABzAHQAcgBlAGEAawAgAGMAbwB1AG4AdABzAFwAbgAgACAAIAAgAGEAYwBjACwAIAAgACAAIAAgACAAIAAgACAAIAAgACAAUwBDAEEATgAoADAALABiAG8AbwBsACwATABBAE0AQgBEAEEAKABhACwAIAB2ACwASQBGACgAYQAgAD0AIAAwACwAIAAxACwAIABJAEYAKAB2ACwAIABhACAAKwAgADEALAAgADEAKQApACkAKQAsAFwAbgBcAG4AIAAgACAAIAAvAC8AIABPAHAAdABpAG8AbgBhAGwAIABzAHkAbQBiAG8AbAAgAGkAbgBjAGwAdQBzAGkAbwBuAFwAbgAgACAAIAAgAHIAZQBzAHUAbAB0ACwAIAAgACAAIAAgACAAIAAgACAASQBGACgASQBTAE8ATQBJAFQAVABFAEQAKABJAG4AYwBsAHUAZABlAF8AUwB5AG0AYgBvAGwAPwApACwAYQBjAGMALABcAG4AIAAgACAAIAAgACAAIAAgACAAIAAgACAAIAAgACAAIAAgACAAIAAgACAAIAAgACAAYQByAHIAYQB5ACAAJgAgAFUATgBJAEMASABBAFIAKAAxADgAMwApACAAJgAgAGEAYwBjACkALABcAG4AXABuACAAIAAgACAALwAvACAAUgBlAHMAdABvAHIAZQAgADIARAAgAHMAaABhAHAAZQAgAGkAZgAgAG4AZQBlAGQAZQBkAFwAbgAgACAAIAAgAGQAZQBsAGkAdgBlAHIALAAgACAAIAAgACAAIAAgACAASQBGACgASQBzADIARAA/ACwAIABXAFIAQQBQAFIATwBXAFMAKAByAGUAcwB1AGwAdAAsACAAdwApACwAIAByAGUAcwB1AGwAdAApACwAXABuAFwAbgAgACAAIAAgAGQAZQBsAGkAdgBlAHIAXABuACkAKQApADsAXABuAFwAbgBcAG4AXABuAC8AKgAgAFsARwBSADAAMgBdACAALQAtAC0ALQAtAC0ALQAtAC0ALQAtAC0ALQAtAC0ALQAtAC0ALQAtAC0ALQAtAC0ALQAtAC0ALQAtAC0ALQAtAC0ALQAtAC0ALQAtAC0ALQAtAC0ALQAtAC0ALQAtAC0ALQAtAC0ALQAtAC0ALQAtAC0ALQAtAC0ALQAtAC0ALQAtAC0ALQAtAC0ALQAtAC0ALQBcAG4ARgB1AG4AYwB0AGkAbwBuADoAIAAgACAAIAAgAEMAbwB1AG4AdABkAG8AdwBuALsDXABuAEMAYQB0AGUAZwBvAHIAeQA6ACAAIAAgACAAIABHAHIAaQBkACAAQQBuAGEAbAB5AHQAaQBjAHMAIAAoAFMAZQBxAHUAZQBuAGMAaQBuAGcAKQBcAG4AQQB1AHQAaABvAHIAOgAgACAAIAAgACAAIAAgAFAAYQB0AHIAaQBjAGsAIABIAC4AXABuAFYAZQByAHMAaQBvAG4AOgAgACAAIAAgACAAIAAxAC4AMQBcAG4AXABuAEQAZQBzAGMAcgBpAHAAdABpAG8AbgA6AFwAbgAgACAAIAAgAEcAZQBuAGUAcgBhAHQAZQBzACAAYwBvAHUAbgB0AGQAbwB3AG4AIABpAG4AZABpAGMAZQBzACAAZgBvAHIAIABjAG8AbgB0AGkAZwB1AG8AdQBzACAAcgB1AG4AcwAgAGkAbgAgAGEAIAAxAEQAIABhAHIAcgBhAHkALgAgAEUAYQBjAGgAIAByAHUAbgBcAG4AIAAgACAAIABjAG8AdQBuAHQAcwAgAGQAbwB3AG4AIABmAHIAbwBtACAAaQB0AHMAIABsAGUAbgBnAHQAaAAgAHQAbwAgADEALgAgAEMAbwB1AG4AdABkAG8AdwBuALsDIABpAHMAIABtAG8AcwB0ACAAdQBzAGUAZgB1AGwAIAB3AGgAZQBuACAAdwBvAHIAawBpAG4AZwBcAG4AIAAgACAAIAB3AGkAdABoACAAcwBvAHIAdABlAGQAIAB2AGUAYwB0AG8AcgBzACAAYQBuAGQAIABpAHMAIAB0AGgAZQAgAG4AYQB0AHUAcgBhAGwAIAByAGUAdgBlAHIAcwBlACAAbwBmACAAUwB0AHIAZQBhAGsAuwMuAFwAbgBcAG4AUABhAHIAYQBtAGUAdABlAHIAcwA6AFwAbgAgACAAIAAgAHYAZQBjAHQAbwByACAAIAAgACAAIAAgACAAIAAgACAAIAAtACAAMQBEACAAYQByAHIAYQB5AC4AXABuAFwAbgBPAHAAdABpAG8AbgBhAGwAOgBcAG4AIAAgACAAIABbAEgAbwByAGkAegBvAG4AdABhAGwAPwBdACAAIAAgACAALQAgAEkAZgAgAG8AbQBpAHQAdABlAGQALAAgAG8AdQB0AHAAdQB0ACAAaQBzACAAdgBlAHIAdABpAGMAYQBsAC4AIABJAGYAIABUAFIAVQBFACwAIABvAHUAdABwAHUAdAAgAGkAcwBcAG4AIAAgACAAIAAgACAAIAAgACAAIAAgACAAIAAgACAAIAAgACAAIAAgACAAIAAgACAAcgBlAHQAdQByAG4AZQBkACAAaABvAHIAaQB6AG8AbgB0AGEAbABsAHkALgBcAG4AXABuAE4AbwB0AGUAcwA6AFwAbgAgACAAIAAgACIgIABBAGwAdwBhAHkAcwAgAGYAbABhAHQAdABlAG4AcwAgAGkAbgBwAHUAdAAgAHQAbwAgAGEAIABzAGkAbgBnAGwAZQAgAGMAbwBsAHUAbQBuACAAYgBlAGYAbwByAGUAIABwAHIAbwBjAGUAcwBzAGkAbgBnAC4AXABuAFwAbgAtAC0ALQAtAC0ALQAtAC0ALQAtAC0ALQAtAC0ALQAtAC0ALQAtAC0ALQAtAC0ALQAtAC0ALQAtAC0ALQAtAC0ALQAtAC0ALQAtAC0ALQAtAC0ALQAtAC0ALQAtAC0ALQAtAC0ALQAtAC0ALQAtAC0ALQAtAC0ALQAtAC0ALQAtAC0ALQAtAC0ALQAtAC0ALQAtAC0ALQAtAC0ALQAqAC8AXABuAFwAbgBDAG8AdQBuAHQAZABvAHcAbgC7AyAAPQBcAG4ATABBAE0AQgBEAEEAKABcAG4AIAAgACAAIABhAHIAcgBhAHkALABcAG4AIAAgACAAIABbAEgAbwByAGkAegBvAG4AdABhAGwAPwBdACwAXABuAFwAbgBJAEYAKABBAE4ARAAoAFIATwBXAFMAKABhAHIAcgBhAHkAKQAgAD0AIAAxACwAIABDAE8ATABVAE0ATgBTACgAYQByAHIAYQB5ACkAIAA9ACAAMQApACwAYQByAHIAYQB5ACwAXABuAFwAbgBMAEUAVAAoAFwAbgAgACAAIAAgAC8ALwAgAEQAaQBtAGUAbgBzAGkAbwBuAHMAXABuACAAIAAgACAAaAAsACAAIAAgACAAIAAgACAAIAAgACAAIAAgACAAIABSAE8AVwBTACgAYQByAHIAYQB5ACkALABcAG4AIAAgACAAIAB3ACwAIAAgACAAIAAgACAAIAAgACAAIAAgACAAIAAgAEMATwBMAFUATQBOAFMAKABhAHIAcgBhAHkAKQAsAFwAbgAgACAAIAAgAEkAcwAyAEQAPwAsACAAIAAgACAAIAAgACAAIAAgACAAQQBOAEQAKABoACAAPgAgADEALAAgAHcAIAA+ACAAMQApACwAXABuAFwAbgAgACAAIAAgAC8ALwAgAEYAbABhAHQAdABlAG4AIAAyAEQAIACSISAAMQBEAFwAbgAgACAAIAAgAGEAcgByAGEAeQAsACAAIAAgACAAIAAgACAAIAAgACAASQBGACgASQBzADIARAA/ACwAIABUAE8AQwBPAEwAKABhAHIAcgBhAHkAKQAsACAAYQByAHIAYQB5ACkALABcAG4AXABuACAAIAAgACAALwAvACAARABpAHIAZQBjAHQAaQBvAG4AIAAoAG8AbgBsAHkAIAByAGUAbABlAHYAYQBuAHQAIABmAG8AcgAgADEARAApAFwAbgAgACAAIAAgAE4AbwBEAGkAcgA/ACwAIAAgACAAIAAgACAAIAAgACAASQBTAE8ATQBJAFQAVABFAEQAKABIAG8AcgBpAHoAbwBuAHQAYQBsAD8AKQAsAFwAbgAgACAAIAAgAGYAbgAsACAAIAAgACAAIAAgACAAIAAgACAAIAAgACAASQBGACgATgBvAEQAaQByAD8ALAAgAFYAUwBUAEEAQwBLACwAIABIAFMAVABBAEMASwApACwAXABuAFwAbgAgACAAIAAgAC8ALwAgAEMAbwBtAHAAYQByAGUAIAB3AGkAdABoACAAcAByAGUAdgBpAG8AdQBzACAAZQBsAGUAbQBlAG4AdABcAG4AIAAgACAAIABrAGUAcAB0ACwAIAAgACAAIAAgACAAIAAgACAAIAAgAEkARgAoAE4AbwBEAGkAcgA/ACwAIABEAFIATwBQACgAYQByAHIAYQB5ACwAIAAtADEAKQAsACAARABSAE8AUAAoAGEAcgByAGEAeQAsACAALAAgAC0AMQApACkALABcAG4AIAAgACAAIABiAG8AbwBsACwAIAAgACAAIAAgACAAIAAgACAAIAAgAGEAcgByAGEAeQAgAD0AIABmAG4AKABcACIAbwBtAGkAdABcACIALAAgAGsAZQBwAHQAKQAsAFwAbgBcAG4AIAAgACAAIAAvAC8AIABBAGMAYwB1AG0AdQBsAGEAdABlACAAcwB0AHIAZQBhAGsAIABjAG8AdQBuAHQAcwBcAG4AIAAgACAAIABhAGMAYwAsACAAIAAgACAAIAAgACAAIAAgACAAIAAgAFMAQwBBAE4AKAAwACwAYgBvAG8AbAAsAEwAQQBNAEIARABBACgAYQAsACAAdgAsAEkARgAoAGEAIAA9ACAAMAAsACAAMQAsACAASQBGACgAdgAsACAAYQAgACsAIAAxACwAIAAxACkAKQApACkALABcAG4AXABuACAAIAAgACAALwAvACAAQwBoAGEAbgBnAGUAIABnAHIAbwB1AHAAcwBcAG4AIAAgACAAIABjAGcALAAgACAAIAAgACAAIAAgACAAIAAgACAAIAAgAFMAQwBBAE4AKAAwACwATgBPAFQAKABiAG8AbwBsACkALABTAFUATQApACwAXABuAFwAbgAgACAAIAAgAC8ALwAgAFMAbwByAHQAIABkAGUAcwBjAGUAbgBkAGkAbgBnAFwAbgAgACAAIAAgAHMAbwByAHQAZQBkACwAIAAgACAAIAAgACAAIAAgACAAUwBPAFIAVABCAFkAKABhAGMAYwAsAGMAZwAsADEALABhAGMAYwAsAC0AMQApACwAXABuAFwAbgAgACAAIAAgAC8ALwAgAFIAZQBzAHQAbwByAGUAIAAyAEQAIABzAGgAYQBwAGUAIABpAGYAIABuAGUAZQBkAGUAZABcAG4AIAAgACAAIABkAGUAbABpAHYAZQByACwAIAAgACAAIAAgACAAIAAgAEkARgAoAEkAcwAyAEQAPwAsACAAVwBSAEEAUABSAE8AVwBTACgAcwBvAHIAdABlAGQALAAgAHcAKQAsACAAcwBvAHIAdABlAGQAKQAsAFwAbgBcAG4AIAAgACAAIABkAGUAbABpAHYAZQByAFwAbgApACkAKQA7AFwAbgBcAG4AXABuAC8AKgAgAFsARwBSADEANgBdACAALQAtAC0ALQAtAC0ALQAtAC0ALQAtAC0ALQAtAC0ALQAtAC0ALQAtAC0ALQAtAC0ALQAtAC0ALQAtAC0ALQAtAC0ALQAtAC0ALQAtAC0ALQAtAC0ALQAtAC0ALQAtAC0ALQAtAC0ALQAtAC0ALQAtAC0ALQAtAC0ALQAtAC0ALQAtAC0ALQAtAC0ALQAtAC0ALQBcAG4ARgB1AG4AYwB0AGkAbwBuADoAIAAgACAAIAAgACAAIAAgAEkAbgBzAHQAYQBuAGMAZQC7A1wAbgBDAGEAdABlAGcAbwByAHkAOgAgACAAIAAgACAAIAAgACAARwByAGkAZAAgAEEAbgBhAGwAeQB0AGkAYwBzACAAKABTAGUAcQB1AGUAbgBjAGkAbgBnACkAXABuAEEAdQB0AGgAbwByADoAIAAgACAAIAAgACAAIAAgACAAIABQAGEAdAByAGkAYwBrACAASAAuAFwAbgBWAGUAcgBzAGkAbwBuADoAIAAgACAAIAAgACAAIAAgACAAMQAuADEAXABuAEQAZQBwAGUAbgBkAGUAbgBjAGkAZQBzADoAIAAgACAAIABDAG8AdQBuAHQAZABvAHcAbgC7AywAIABNAEcAcgBpAGQAuwMsACAAUwB0AHIAZQBhAGsAuwNcAG4AXABuAEQAZQBzAGMAcgBpAHAAdABpAG8AbgA6AFwAbgAgACAAIAAgAE8AYgB0AGEAaQBuACAAdABoAGUAIABpAG4AcwB0AGEAbgBjAGUAIABuAHUAbQBiAGUAcgBzACAAZgBvAHIAIAB1AG4AcwBvAHIAdABlAGQAIAB2AGEAbAB1AGUAcwAgAGkAbgAgAGEAIAAxAEQAIABhAHIAcgBhAHkAIAB3AGkAdABoACAAbwBwAHQAaQBvAG4AcwBcAG4AIAAgACAAIABmAG8AcgAgAHIAZQB0AHUAcgBuAGkAbgBnACAAaQBuAHMAdABhAG4AYwBlAHMAIABmAG8AcgAgAGgAbwByAGkAegBvAG4AdABhAGwAIAB2AGUAYwB0AG8AcgBzACwAIABhAG4AZAAgAGQAaQBzAHAAbABhAHkAaQBuAGcAIABpAG4AcwB0AGEAbgBjAGUAcwAgAGkAbgBcAG4AIAAgACAAIABkAGUAcwBjAGUAbgBkAGkAbgBnACAAbwByAGQAZQByAC4AXABuACAAIAAgACAAXABuAFwAbgBQAGEAcgBhAG0AZQB0AGUAcgBzADoAXABuACAAIAAgACAAdgBlAGMAdABvAHIAIAAgACAAIAAgACAAIAAgACAAIAAtACAAIAAgADEARAAgAGEAcgByAGEAeQAgAGkAbgBwAHUAdAAgACgAMgBEACAAYQByAHIAYQB5AHMAIABhAHIAZQAgAGYAbABhAHQAdABlAG4AZQBkACkAXABuACAAIAAgACAAWwBIAG8AcgBpAHoAbwBuAHQAYQBsAD8AXQAgACAAIAAtACAAIAAgAEkAZgAgAFQAUgBVAEUALAAgAG8AYgB0AGEAaQBuACAAaQBuAHMAdABhAG4AYwBlACAAbgB1AG0AYgBlAHIAcwAgAGYAbwByACAAaABvAHIAaQB6AG8AbgB0AGEAbAAgAHYAZQBjAHQAbwByAHMAXABuACAAIAAgACAAWwBEAGUAcwBjAGUAbgBkAD8AXQAgACAAIAAgACAAIAAtACAAIAAgAEkAZgAgAFQAUgBVAEUALAAgAGQAaQBzAHAAbABhAHkAIABpAG4AcwB0AGEAbgBjAGUAcwAgAGkAbgAgAGQAZQBzAGMAZQBuAGQAaQBuAGcAIABvAHIAZABlAHIAXABuACAAIAAgACAAXABuAC0ALQAtAC0ALQAtAC0ALQAtAC0ALQAtAC0ALQAtAC0ALQAtAC0ALQAtAC0ALQAtAC0ALQAtAC0ALQAtAC0ALQAtAC0ALQAtAC0ALQAtAC0ALQAtAC0ALQAtAC0ALQAtAC0ALQAtAC0ALQAtAC0ALQAtAC0ALQAtAC0ALQAtAC0ALQAtAC0ALQAtAC0ALQAtAC0ALQAtAC0ALQAtACoALwBcAG4AXABuAEkAbgBzAHQAYQBuAGMAZQC7Az0AXABuAEwAQQBNAEIARABBACgAXABuACAAIAAgACAAdgBlAGMAdABvAHIALABcAG4AIAAgACAAIABbAEgAbwByAGkAegBvAG4AdABhAGwAPwBdACwAXABuACAAIAAgACAAWwBEAGUAcwBjAGUAbgBkAD8AXQAsAFwAbgBMAEUAVAAoAFwAbgAgACAAIAAgAC8ALwAgAEYAbABhAHQAdABlAG4AIABpAG4AcAB1AHQAXABuACAAIAAgACAAdgBlAGMAdABvAHIALAAgACAAIAAgACAAIABUAE8AQwBPAEwAKAB2AGUAYwB0AG8AcgApACwAXABuAFwAbgAgACAAIAAgAC8ALwAgAFMAaABhAHAAZQAgAG8AZgAgADEARAAgAHYAZQBjAHQAbwByAFwAbgAgACAAIAAgAGgAZQBpAGcAaAB0ACwAIAAgACAAIAAgACAAUgBPAFcAUwAoAHYAZQBjAHQAbwByACkALABcAG4AIAAgACAAIAB3AGkAZAB0AGgALAAgACAAIAAgACAAIAAgAEMATwBMAFUATQBOAFMAKAB2AGUAYwB0AG8AcgApACwAXABuAFwAbgAgACAAIAAgAC8ALwAgAE8AcAB0AGkAbwBuAGEAbAAgAHAAYQByAGEAbQBlAHQAZQByAHMAXABuACAAIAAgACAASQBzAFYAZQByAHQAaQBjAGEAbAA/ACwAIABJAFMATwBNAEkAVABUAEUARAAoAEgAbwByAGkAegBvAG4AdABhAGwAPwApACwAXABuACAAIAAgACAASQBzAEQAZQBzAGMAZQBuAGQAPwAsACAAIABBAE4ARAAoAE4ATwBUACgASQBTAE8ATQBJAFQAVABFAEQAKABEAGUAcwBjAGUAbgBkAD8AKQApACwAIABEAGUAcwBjAGUAbgBkAD8AIAA9ACAAVABSAFUARQ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B2AGUAYwB0AG8AcgAsAFwAbgBcAG4AIAAgACAAIAAgACAAIAAgAEkARgAoAFMAcABpAGwAbABSAGkAcwBrAD8ALAAjAE4AVQBNACEALABcAG4AXABuAEwARQBUACgAXABuACAAIAAgACAALwAvACAAVAB5AHAAZQAgAG8AZgAgAGkAbgBkAGUAeABcAG4AIAAgACAAIABpAGQAeAC7AywAIAAgACAAIAAgACAAIAAgAEkARgAoAEkAcwBEAGUAcwBjAGUAbgBkAD8ALAAgAEMAbwB1AG4AdABkAG8AdwBuALsDLAAgAFMAdAByAGUAYQBrALsDKQAsAFwAbgBcAG4AIAAgACAAIAAvAC8AIABTAG8AcgB0ACAAawBlAHkAXABuACAAIAAgACAAaQAsACAAIAAgACAAIAAgACAAIAAgACAAIABNAEcAcgBpAGQAuwMoAHYAZQBjAHQAbwByACkALABcAG4AIAAgACAAIABcAG4AIAAgACAAIAAvAC8AIABTAG8AcgB0ACAAYQBzACAAMgBEACAAYQByAHIAYQB5ACwAIABvAGIAdABhAGkAbgAgAHMAdAByAGUAYQBrAFwAbgAgACAAIAAgAHMAbwByAHQAZQBkACwAIAAgACAAIAAgACAAUwBPAFIAVAAoAEgAUwBUAEEAQwBLACgAaQAsAHYAZQBjAHQAbwByACkALAAyACkALABcAG4AIAAgACAAIABpAGQAeAAsACAAIAAgACAAIAAgACAAIAAgAGkAZAB4ALsDKABUAEEASwBFACgAcwBvAHIAdABlAGQALAAsAC0AMQApACkALABcAG4AXABuACAAIAAgACAALwAvACAAQQByAHIAYQBuAGcAZQAgAG4AZQB3ACAAYQByAHIAYQB5AFwAbgAgACAAIAAgAG4AZQB3AF8AYQByAHIALAAgACAAIAAgACAASABTAFQAQQBDAEsAKABzAG8AcgB0AGUAZAAsAGkAZAB4ACkALABcAG4AXABuACAAIAAgACAALwAvACAAUwBvAHIAdAAgAGIAeQAgAGsAZQB5ACwAIABvAGIAdABhAGkAbgAgAGkAbgBzAHQAYQBuAGMAZQAgAG4AdQBtAGIAZQByAFwAbgAgACAAIAAgAGkAbgBzAHQALAAgACAAIAAgACAAIAAgACAAVABBAEsARQAoAFMATwBSAFQAKABuAGUAdwBfAGEAcgByACkALAAsAC0AMQApACwAXABuAFwAbgAgACAAIAAgAC8ALwAgAFIAZQAtAHMAaABhAHAAZQAsACAAaQBmACAAbgBlAGUAZABlAGQAIABhAG4AZAAgAHIAZQB0AHUAcgBuAFwAbgAgACAAIAAgAGYAaQBuAGEAbAAsACAAIAAgACAAIAAgACAASQBGACgASQBzAFYAZQByAHQAaQBjAGEAbAA/ACwAaQBuAHMAdAAsAFQATwBSAE8AVwAoAGkAbgBzAHQAKQApACwAXABuACAAIAAgACAAZgBpAG4AYQBsAFwAbgBcAG4AKQApACkAKQApADsAXABuAFwAbgBcAG4AXABuAC8AKgAgAFsARwBSADEANwBdACAALQAtAC0ALQAtAC0ALQAtAC0ALQAtAC0ALQAtAC0ALQAtAC0ALQAtAC0ALQAtAC0ALQAtAC0ALQAtAC0ALQAtAC0ALQAtAC0ALQAtAC0ALQAtAC0ALQAtAC0ALQAtAC0ALQAtAC0ALQAtAC0ALQAtAC0ALQAtAC0ALQAtAC0ALQAtAC0ALQAtAC0ALQAtAC0ALQBcAG4ARgB1AG4AYwB0AGkAbwBuADoAIAAgACAAIAAgACAAIABXAGEAdgBlALsDXABuAEMAYQB0AGUAZwBvAHIAeQA6ACAAIAAgACAAIAAgACAARwByAGkAZAAgAEEAbgBhAGwAeQB0AGkAYwBzACAAKABTAGUAcQB1AGUAbgBjAGkAbgBnACkAXABuAEEAdQB0AGgAbwByADoAIAAgACAAIAAgACAAIAAgACAAUABhAHQAcgBpAGMAawAgAEgALgBcAG4AVgBlAHIAcwBpAG8AbgA6ACAAIAAgACAAIAAgACAAIAAxAC4AMQBcAG4ARABlAHAAZQBuAGQAZQBuAGMAaQBlAHMAOgAgACAAIABFAGMAaABvALsDXABuAFwAbgBEAGUAcwBjAHIAaQBwAHQAaQBvAG4AOgBcAG4AIAAgACAAIABSAGUAdAB1AHIAbgBzACAAYQAgAHYAZQByAHQAaQBjAGEAbAAgADEARAAgAFwAIgB3AGEAdgBlACAAYQByAHIAYQB5AFwAIgAgAGIAeQAgAHMAdQBwAHAAbAB5AGkAbgBnACAAYQAgAGMAcgBlAHMAdAAgACgAbQBhAHgAIAB2AGEAbAB1AGUAKQAgAGEAbgBkACAAYQBuACAAbwBwAHQAaQBvAG4AYQBsACAAcgBlAHAAXwBjAG8AdQBuAHQALgBcAG4AXABuAFAAYQByAGEAbQBlAHQAZQByAHMAOgBcAG4AIAAgACAAIABjAHIAZQBzAHQAIAAgACAAIAAgACAAIAAgACAAIAAgACAALQAgACAAIABtAGEAeAAgAHYAYQBsAHUAZQAgAGkAbgAgADEARAAgAHcAYQB2AGUAIABhAHIAcgBhAHkAXABuAFwAbgBPAHAAdABpAG8AbgBhAGwAIABwAGEAcgBhAG0AZQB0AGUAcgBzADoAXABuACAAIAAgACAAWwByAGUAcABfAGMAbwB1AG4AdABdACAAIAAgACAAIAAgAC0AIAAgACAAbgB1AG0AYgBlAHIAIABvAGYAIAB0AGkAbQBlAHMAIAB0AG8AIAByAGUAcABlAGEAdAAgAGUAYQBjAGgAIABpAG4AdABlAGcAZQByACAAaQBuACAAdwBhAHYAZQAgAGEAcgByAGEAeQBcAG4AIAAgACAAIAAgACAAIAAgACAAIAAgACAAIAAgACAAIAAgACAAIAAgACAAIAAgACAAIABJAGYAIABvAG0AaQB0AHQAZQBkACwAIABkAGUAZgBhAHUAbAB0AHMAIAB0AG8AIABuAG8AIAByAGUAcABlAHQAaQB0AGkAbwBuAC4AXABuAFwAbgAtAC0ALQAtAC0ALQAtAC0ALQAtAC0ALQAtAC0ALQAtAC0ALQAtAC0ALQAtAC0ALQAtAC0ALQAtAC0ALQAtAC0ALQAtAC0ALQAtAC0ALQAtAC0ALQAtAC0ALQAtAC0ALQAtAC0ALQAtAC0ALQAtAC0ALQAtAC0ALQAtAC0ALQAtAC0ALQAtAC0ALQAtAC0ALQAtAC0ALQAtAC0ALQAqAC8AXABuAFcAYQB2AGUAuwMgAD0AXABuAEwAQQBNAEIARABBACgAXABuACAAIAAgACAAYwByAGUAcwB0ACwAXABuACAAIAAgACAAWwByAGUAcABfAGMAbwB1AG4AdABdACwAXABuAEwARQBUACgAXABuACAAIAAgACAALwAvACAAVwBhAHYAZQAgAG0AbwBkAGUAXABuACAAIAAgACAAUwB0AGEAbgBkAGEAcgBkAD8ALAAgACAASQBTAE8ATQBJAFQAVABFAEQAKAByAGUAcABfAGMAbwB1AG4AdAApACwAXABuAFwAbgAgACAAIAAgAC8ALwAgAE8AcAB0AGkAbwBuAGEAbAAgAHIAZQBwAGUAdABpAHQAaQBvAG4AXABuACAAIAAgACAAcgBlAHAAXwBjAG8AdQBuAHQALAAgACAASQBGACgAUwB0AGEAbgBkAGEAcgBkAD8ALAAxACwASQBOAEQARQBYACgAcgBlAHAAXwBjAG8AdQBuAHQALAAxACwAMQApACkALABcAG4AXABuACAAIAAgACAALwAvACAATgBvAHIAbQBhAGwAaQB6AGUAIABjAHIAZQBzAHQAXABuACAAIAAgACAAYwByAGUAcwB0ACwAIAAgACAAIAAgACAASQBOAEQARQBYACgAYwByAGUAcwB0ACwAMQAsADEAKQAsAFwAbgBcAG4AIAAgACAAIAAvAC8AIABIAGEAbAB0AGkAbgBnACAAcwBjAGUAbgBhAHIAaQBvAHMAXABuACAAIAAgACAASQBuAHYAYQBsAGkAZABOAD8ALAAgACAATwBSACgASQBTAFQARQBYAFQAKABjAHIAZQBzAHQAKQAsACAAYwByAGUAcwB0ACAAPAAgADAAKQAsAFwAbgAgACAAIAAgAFMAcABpAGwAbABSAGkAcwBrAD8ALAAgAHIAZQBwAF8AYwBvAHUAbgB0ACAAKgAgACgAYwByAGUAcwB0ACAAKgAgADIAIAAtACAAMQApACAAPgAgADEAMAA0ADgANQA3ADYALABcAG4AXABuACAAIAAgACAASQBGACgASQBuAHYAYQBsAGkAZABOAD8ALAAgACMAVgBBAEwAVQBFACEALABcAG4AXABuACAAIAAgACAAIAAgACAAIABJAEYAKABTAHAAaQBsAGwAUgBpAHMAawA/ACwAIAAjAE4AVQBNACEALABcAG4ATABFAFQAKABcAG4AIAAgACAAIAAvAC8AIABMAGUAbgBnAHQAaAAgAG8AZgAgAHMAZQBxAHUAZQBuAGMAZQAgACgAYgBlAGYAbwByAGUAIABhAG4AeQAgAHIAZQBwAGUAdABpAHQAaQBvAG4AIABpAHMAIABhAGQAZABlAGQAKQBcAG4AIAAgACAAIABrACwAIAAgACAAIABjAHIAZQBzAHQAIAAqACAAMgAgAC0AIAAxACwAXABuACAAIAAgACAAcwBlAHEALAAgACAAUwBFAFEAVQBFAE4AQwBFACgAawApACwAXABuAFwAbgAgACAAIAAgAC8ALwAgAE0AYQB4ACAAaQBuAHQAZQBnAGUAcgBcAG4AIAAgACAAIABtACwAIAAgACAAIABNAEEAWAAoAHMAZQBxACkALABcAG4AXABuACAAIAAgACAALwAvACAAUwBlAHEAdQBlAG4AYwBlACAAYQBkAGoAdQBzAHQAbQBlAG4AdABcAG4AIAAgACAAIAB3ACwAIAAgACAAIABJAEYAKABzAGUAcQAgAD4AIABjAHIAZQBzAHQALAAgAG0AIAAtACAAcwBlAHEAIAArACAAMQAsACAAcwBlAHEAKQAsAFwAbgBcAG4AIAAgACAAIAAvAC8AIABEAGkAcwBwAGwAYQB5ACAAdwBhAHYAZQAgAHMAZQBxAHUAZQBuAGMAZQAgAHcAaQB0AGgAIABvAHAAdABpAG8AbgBhAGwAIABlAGMAaABvAGkAbgBnAFwAbgAgACAAIAAgAGYAaQBuAGEAbAAsAEkARgAoAFMAdABhAG4AZABhAHIAZAA/ACwAdwAsAEUAYwBoAG8AuwMoAHcALAByAGUAcABfAGMAbwB1AG4AdAApACkALABcAG4AIAAgACAAIABmAGkAbgBhAGwAXABuACkAKQApACkAKQA7AFwAbgBcAG4AXABuAFwAbgAvACoAIABbAEcAUgAwADMAXQAgAC0ALQAtAC0ALQAtAC0ALQAtAC0ALQAtAC0ALQAtAC0ALQAtAC0ALQAtAC0ALQAtAC0ALQAtAC0ALQAtAC0ALQAtAC0ALQAtAC0ALQAtAC0ALQAtAC0ALQAtAC0ALQAtAC0ALQAtAC0ALQAtAC0ALQAtAC0ALQAtAC0ALQAtAC0ALQAtAC0ALQAtAC0ALQAtAC0AXABuAEYAdQBuAGMAdABpAG8AbgA6ACAAIAAgACAAIABCAHkARABpAGEAZw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FYAYQBsAGkAZABhAHQAZQBEAGkAYQBnALsDXABuAFwAbgBEAGUAcwBjAHIAaQBwAHQAaQBvAG4AOgBcAG4AIAAgACAAIABBAHAAcABsAGkAZQBzACAAYQBuACAARQBUAEEAIABmAHUAbgBjAHQAaQBvAG4AIABvAHIAIABMAGEAbQBiAGQAYQAgAHQAbwAgAGUAYQBjAGgAIABkAGkAYQBnAG8AbgBhAGwAIABvAGYAIABhACAAMgBEACAAYQByAHIAYQB5AC4AXABuACAAIAAgACAARABpAGEAZwBvAG4AYQBsAHMAIABhAHIAZQAgAGUAeAB0AHIAYQBjAHQAZQBkACAAZgByAG8AbQAgAHQAbwBwABEgbABlAGYAdAAgAHQAbwAgAGIAbwB0AHQAbwBtABEgcgBpAGcAaAB0ACwAIAB3AGkAdABoACAAZQBhAGMAaAAgAGQAaQBhAGcAbwBuAGEAbABcAG4AIAAgACAAIAByAGUAcAByAGUAcwBlAG4AdABlAGQAIABhAHMAIABhACAAcgBvAHcAIABpAG4AIAB0AGgAZQAgAG8AdQB0AHAAdQB0AC4AIABPAHAAdABpAG8AbgBhAGwAbAB5ACwAIAByAGUAcwB1AGwAdABzACAAbQBhAHkAIABiAGUAIABzAHQAYQBjAGsAZQBkAFwAbgAgACAAIAAgAHIAbwB3ABEgdwBpAHMAZQAgACgAdgBlAHIAdABpAGMAYQBsACkAIABvAHIAIABjAG8AbAB1AG0AbgARIHcAaQBzAGUAIAAoAGgAbwByAGkAegBvAG4AdABhAGwAKQAuAFwAbgBcAG4AUABhAHIAYQBtAGUAdABlAHIAcwA6AFwAbgAgACAAIAAgAGEAcgByAGEAeQAgACAAIAAgACAAIAAgACAAIAAgACAAIAAgACAAIAAtACAAMgBEACAAaQBuAHAAdQB0ACAAYQByAHIAYQB5ACAAKABzAGMAYQBsAGEAcgBzACAAbgBvAHQAIABhAGMAYwBlAHAAdABlAGQAKQAuAFwAbgAgACAAIAAgAFsAZgB1AG4AYwB0AGkAbwBuAF0AIAAgACAAIAAgACAAIAAgACAAIAAtACAARQBUAEEAIABmAHUAbgBjAHQAaQBvAG4AIABvAHIAIABMAGEAbQBiAGQAYQAgAGEAcABwAGwAaQBlAGQAIAB0AG8AIABlAGEAYwBoACAAZABpAGEAZwBvAG4AYQBsAC4AXABuACAAIAAgACAAWwByAG8AdwBfAHcAaQBzAGUAXwBzAHQAYQBjAGsAPwBdACAAIAAgAC0AIABJAGYAIABUAFIAVQBFACwAIAByAGUAcwB1AGwAdABzACAAYQByAGUAIABzAHQAYQBjAGsAZQBkACAAdgBlAHIAdABpAGMAYQBsAGwAeQA7ACAAbwB0AGgAZQByAHcAaQBzAGUAXABuACAAIAAgACAAIAAgACAAIAAgACAAIAAgACAAIAAgACAAIAAgACAAIAAgACAAIAAgACAAIAAgAGQAaQBhAGcAbwBuAGEAbABzACAAYQByAGUAIAByAGUAdAB1AHIAbgBlAGQAIABhAHMAIABjAG8AbAB1AG0AbgBzAC4AXABuAFwAbgBOAG8AdABlAHMAOgBcAG4AIAAgACAAIAAiICAAUwBjAGEAbABhAHIAcwAgAGEAbgBkACAAMQBEACAAYQByAHIAYQB5AHMAIABhAHIAZQAgAHIAZQBqAGUAYwB0AGUAZAAgAGIAeQAgAFYAYQBsAGkAZABhAHQAZQBEAGkAYQBnALsDLgBcAG4AIAAgACAAIAAiICAASQBmACAAZgB1AG4AYwB0AGkAbwBuACAAaQBzACAAbwBtAGkAdAB0AGUAZAAsACAAcgBhAHcAIABkAGkAYQBnAG8AbgBhAGwAcwAgAGEAcgBlACAAcgBlAHQAdQByAG4AZQBkAC4AXABuACAAIAAgACAAIiAgAE8AdQB0AHAAdQB0ACAAcwBoAGEAcABlACAAaQBzACAAawAgANcAIABqACAAdwBoAGUAcgBlACAAawAgAD0AIABNAEkATgAoAHIAbwB3AHMALAAgAGMAbwBsAHUAbQBuAHMAKQAuAFwAbgAtAC0ALQAtAC0ALQAtAC0ALQAtAC0ALQAtAC0ALQAtAC0ALQAtAC0ALQAtAC0ALQAtAC0ALQAtAC0ALQAtAC0ALQAtAC0ALQAtAC0ALQAtAC0ALQAtAC0ALQAtAC0ALQAtAC0ALQAtAC0ALQAtAC0ALQAtAC0ALQAtAC0ALQAtAC0ALQAtAC0ALQAtAC0ALQAtAC0ALQAtAC0ALQAqAC8AXABuAFwAbgBCAHkARABpAGEAZwC7AyAAPQBcAG4ATABBAE0AQgBEAEEAKABcAG4AIAAgACAAIABhAHIAcgBhAHkALABcAG4AIAAgACAAIABbAGYAdQBuAGMAdABpAG8AbgBdACwAXABuACAAIAAgACAAWwByAG8AdwBfAHcAaQBzAGUAXwBzAHQAYQBjAGsAPwBdACwAXABuAFwAbgBWAGEAbABpAGQAYQB0AGUARABpAGEAZwC7AygAYQByAHIAYQB5ACwAIAAsACAAZgB1AG4AYwB0AGkAbwBuACwAIAByAG8AdwBfAHcAaQBzAGUAXwBzAHQAYQBjAGsAPwAsAFwAbgBMAEUAVAAoAFwAbgAgACAAIAAgAC8ALwAgAE8AcAB0AGkAbwBuAGEAbAAgAHAAYQByAGEAbQBlAHQAZQByAHMAXABuACAAIAAgACAATgBvAF8ARgB1AG4AYwB0AGkAbwBuACwAIAAgACAAIAAgACAAIAAgAEkAUwBPAE0ASQBUAFQARQBEACgAZgB1AG4AYwB0AGkAbwBuACkALABcAG4AIAAgACAAIABOAG8AXwBSAG8AdwBTAHQAYQBjAGsALAAgACAAIAAgACAAIAAgACAASQBTAE8ATQBJAFQAVABFAEQAKAByAG8AdwBfAHcAaQBzAGUAXwBzAHQAYQBjAGsAPwApACwAXABuAFwAbgAgACAAIAAgAC8ALwAgAEQAaQBtAGUAbgBzAGkAbwBuAHMAXABuACAAIAAgACAAaAAsACAAIAAgACAAIAAgACAAIAAgACAAIAAgACAAIAAgACAAIAAgAFIATwBXAFMAKABhAHIAcgBhAHkAKQAsAFwAbgAgACAAIAAgAHcALAAgACAAIAAgACAAIAAgACAAIAAgACAAIAAgACAAIAAgACAAIABDAE8ATABVAE0ATgBTACgAYQByAHIAYQB5ACkALABcAG4AXABuACAAIAAgACAALwAvACAATgB1AG0AYgBlAHIAIABvAGYAIABkAGkAYQBnAG8AbgBhAGwAcwBcAG4AIAAgACAAIABrACwAIAAgACAAIAAgACAAIAAgACAAIAAgACAAIAAgACAAIAAgACAATQBJAE4AKABoACwAIAB3ACkALABcAG4AXABuACAAIAAgACAALwAvACAARABlAGYAZQByAHIAZQBkACAAaQBuAGQAZQB4ACAAZwBlAG4AZQByAGEAdABvAHIAcwBcAG4AIAAgACAAIAByACwAIAAgACAAIAAgACAAIAAgACAAIAAgACAAIAAgACAAIAAgACAATABBAE0AQgBEAEEAKABTAEUAUQBVAEUATgBDAEUAKABrACkAIAAqACAAUwBFAFEAVQBFAE4AQwBFACgALAAgAHcALAAgADEALAAgADAAKQApACwAXABuACAAIAAgACAAeQAsACAAIAAgACAAIAAgACAAIAAgACAAIAAgACAAIAAgACAAIAAgAEwAQQBNAEIARABBACgAUwBFAFEAVQBFAE4AQwBFACgAawApACAAKwAgAFMARQBRAFUARQBOAEMARQAoACwAIAB3ACwAIAAwACwAIAAxACkAKQAsAFwAbgAgACAAIAAgAGMALAAgACAAIAAgACAAIAAgACAAIAAgACAAIAAgACAAIAAgACAAIABMAEEATQBCAEQAQQAoAEkARgAoAHkAKAApACAAPgAgAHcALAAgAE4AQQAoACkALAAgAHkAKAApACkAKQAsAFwAbgBcAG4AIAAgACAAIAAvAC8AIABFAHgAdAByAGEAYwB0ACAAZABpAGEAZwBvAG4AYQBsAHMAXABuACAAIAAgACAAcgBlAHMAdQBsAHQALAAgACAAIAAgACAAIAAgACAAIAAgACAAIAAgAEkARgBOAEEAKABJAE4ARABFAFgAKABhAHIAcgBhAHkALAAgAHIAKAApACwAIABjACgAKQApACwAIABcACIAXAAiACkALABcAG4AXABuACAAIAAgACAALwAvACAATwByAGkAZQBuAHQAYQB0AGkAbwBuAFwAbgAgACAAIAAgAHMAaABhAHAAZQBkACwAIAAgACAAIAAgACAAIAAgACAAIAAgACAAIABJAEYAKABOAG8AXwBSAG8AdwBTAHQAYQBjAGsALAAgAHIAZQBzAHUAbAB0ACwAIABUAFIAQQBOAFMAUABPAFMARQAoAHIAZQBzAHUAbAB0ACkAKQAsAFwAbgBcAG4AIAAgACAAIAAvAC8AIABBAHAAcABsAHkAIABmAHUAbgBjAHQAaQBvAG4AIABpAGYAIABwAHIAbwB2AGkAZABlAGQAXABuACAAIAAgACAAZgBpAG4AYQBsACwAIAAgACAAIAAgACAAIAAgACAAIAAgACAAIAAgAEkARgAoAE4AbwBfAEYAdQBuAGMAdABpAG8AbgAsAHMAaABhAHAAZQBkACwAXABuACAAIAAgACAAIAAgACAAIAAgACAAIAAgACAAIAAgACAAIAAgACAAIAAgACAAIAAgACAAIAAgACAASQBGACgATgBvAF8AUgBvAHcAUwB0AGEAYwBrACwAQgBZAEMATwBMACgAcwBoAGEAcABlAGQALAAgAGYAdQBuAGMAdABpAG8AbgApACwAXABuACAAIAAgACAAIAAgACAAIAAgACAAIAAgACAAIAAgACAAIAAgACAAIAAgACAAIAAgACAAIAAgACAAIAAgACAAIAAgACAAIAAgACAAIAAgACAAIAAgACAAQgBZAFIATwBXACgAcwBoAGEAcABlAGQALAAgAGYAdQBuAGMAdABpAG8AbgApACkAKQAsAFwAbgBcAG4AIAAgACAAIABmAGkAbgBhAGwAXABuACkAKQApADsAXABuAFwAbgBcAG4AXABuAC8AKgAgAFsARwBSADAANABdACAALQAtAC0ALQAtAC0ALQAtAC0ALQAtAC0ALQAtAC0ALQAtAC0ALQAtAC0ALQAtAC0ALQAtAC0ALQAtAC0ALQAtAC0ALQAtAC0ALQAtAC0ALQAtAC0ALQAtAC0ALQAtAC0ALQAtAC0ALQAtAC0ALQAtAC0ALQAtAC0ALQAtAC0ALQAtAC0ALQAtAC0ALQAtAC0ALQBcAG4ARgB1AG4AYwB0AGkAbwBuADoAIAAgACAAIAAgAEQAaQBhAGcATQBhAHA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CAHkARABpAGEAZwC7AywAIABWAGEAbABpAGQAYQB0AGUARABpAGEAZwC7A1wAbgBcAG4ARABlAHMAYwByAGkAcAB0AGkAbwBuADoAXABuACAAIAAgACAAQwBvAG4AdgBlAG4AaQBlAG4AYwBlACAAdwByAGEAcABwAGUAcgAgAGYAbwByACAAQgB5AEQAaQBhAGcAuwMgAHQAaABhAHQAIABlAHgAdAByAGEAYwB0AHMAIABhAGwAbAAgAGQAaQBhAGcAbwBuAGEAbABzACAAZgByAG8AbQAgAGEAIAAyAEQAXABuACAAIAAgACAAYQByAHIAYQB5ACAAYQBuAGQAIAByAGUAdAB1AHIAbgBzACAAdABoAGUAbQAgAGEAcwAgAGEAIAAyAEQAIABhAHIAcgBhAHkAXwAyAEQALgAgAE8AcAB0AGkAbwBuAGEAbAAgAHIAbwB3ABEgdwBpAHMAZQAgAHMAdABhAGMAawBpAG4AZwAgAGkAcwBcAG4AIAAgACAAIABzAHUAcABwAG8AcgB0AGUAZAAuAFwAbgBcAG4AUABhAHIAYQBtAGUAdABlAHIAcwA6AFwAbgAgACAAIAAgAGEAcgByAGEAeQAgACAAIAAgACAAIAAgACAAIAAgACAAIAAgACAAIAAtACAAMgBEACAAaQBuAHAAdQB0ACAAYQByAHIAYQB5AC4AXABuACAAIAAgACAAWwByAG8AdwBfAHcAaQBzAGUAXwBzAHQAYQBjAGsAPwBdACAAIAAgAC0AIABJAGYAIABUAFIAVQBFACwAIABkAGkAYQBnAG8AbgBhAGwAcwAgAGEAcgBlACAAcwB0AGEAYwBrAGUAZAAgAHYAZQByAHQAaQBjAGEAbABsAHkALgBcAG4AXABuAE4AbwB0AGUAcwA6AFwAbgAgACAAIAAgACIgIABFAHEAdQBpAHYAYQBsAGUAbgB0ACAAdABvACAAYwBhAGwAbABpAG4AZwAgAEIAeQBEAGkAYQBnALsDKABhAHIAcgBhAHkALAAgACwAIAByAG8AdwBfAHcAaQBzAGUAXwBzAHQAYQBjAGsAPwApAC4AXABuAC0ALQAtAC0ALQAtAC0ALQAtAC0ALQAtAC0ALQAtAC0ALQAtAC0ALQAtAC0ALQAtAC0ALQAtAC0ALQAtAC0ALQAtAC0ALQAtAC0ALQAtAC0ALQAtAC0ALQAtAC0ALQAtAC0ALQAtAC0ALQAtAC0ALQAtAC0ALQAtAC0ALQAtAC0ALQAtAC0ALQAtAC0ALQAtAC0ALQAtAC0ALQAtACoALwBcAG4AXABuAEQAaQBhAGcATQBhAHAAuwMgAD0AXABuAEwAQQBNAEIARABBACgAXABuACAAIAAgACAAYQByAHIAYQB5ACwAXABuACAAIAAgACAAWwByAG8AdwBfAHcAaQBzAGUAXwBzAHQAYQBjAGsAPwBdACwAXABuACAAIAAgACAAQgB5AEQAaQBhAGcAuwMoAGEAcgByAGEAeQAsACAALAAgAHIAbwB3AF8AdwBpAHMAZQBfAHMAdABhAGMAawA/ACkAKQA7AFwAbgBcAG4AXABuAFwAbgAvACoAIABbAEcAUgAwADUAXQAgAC0ALQAtAC0ALQAtAC0ALQAtAC0ALQAtAC0ALQAtAC0ALQAtAC0ALQAtAC0ALQAtAC0ALQAtAC0ALQAtAC0ALQAtAC0ALQAtAC0ALQAtAC0ALQAtAC0ALQAtAC0ALQAtAC0ALQAtAC0ALQAtAC0ALQAtAC0ALQAtAC0ALQAtAC0ALQAtAC0ALQAtAC0ALQAtAC0AXABuAEYAdQBuAGMAdABpAG8AbgA6ACAAIAAgACAAIABEAGkAYQBnAEkAbgBkAGUAeA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IAeQBEAGkAYQBnALsDLAAgAFYAYQBsAGkAZABhAHQAZQBEAGkAYQBnALsDXABuAFwAbgBEAGUAcwBjAHIAaQBwAHQAaQBvAG4AOgBcAG4AIAAgACAAIABFAHgAdAByAGEAYwB0AHMAIABhACAAcwBpAG4AZwBsAGUAIABkAGkAYQBnAG8AbgBhAGwAIABvAHIAIABhAG4AdABpABEgZABpAGEAZwBvAG4AYQBsACAAdgBlAGMAdABvAHIAIABmAHIAbwBtACAAYQAgADIARAAgAGEAcgByAGEAeQAuAFwAbgAgACAAIAAgAFAAbwBzAGkAdABpAHYAZQAgAGMAbwBsAF8AaQBuAGQAZQB4ACAAcwBlAGwAZQBjAHQAcwAgAGEAIABzAHQAYQBuAGQAYQByAGQAIAAoAFMARQARIGQAaQByAGUAYwB0AGkAbwBuACkAIABkAGkAYQBnAG8AbgBhAGwALgBcAG4AIAAgACAAIABOAGUAZwBhAHQAaQB2AGUAIABjAG8AbABfAGkAbgBkAGUAeAAgAHMAZQBsAGUAYwB0AHMAIABhAG4AIABhAG4AdABpABEgZABpAGEAZwBvAG4AYQBsACAAKABTAFcAESBkAGkAcgBlAGMAdABpAG8AbgApAC4AXABuAFwAbgBQAGEAcgBhAG0AZQB0AGUAcgBzADoAXABuACAAIAAgACAAYQByAHIAYQB5ACAAIAAgACAAIAAgACAALQAgADIARAAgAGkAbgBwAHUAdAAgAGEAcgByAGEAeQAgACgAcwBjAGEAbABhAHIAcwAgAG4AbwB0ACAAYQBjAGMAZQBwAHQAZQBkACkALgBcAG4AIAAgACAAIABjAG8AbABfAGkAbgBkAGUAeAAgACAAIAAtACAAUwB0AGEAcgB0AGkAbgBnACAAYwBvAGwAdQBtAG4AIABpAG4AZABlAHgALgAgAE4AZQBnAGEAdABpAHYAZQAgAHYAYQBsAHUAZQBzACAAaQBuAGQAaQBjAGEAdABlAFwAbgAgACAAIAAgACAAIAAgACAAIAAgACAAIAAgACAAIAAgACAAIAAgAGEAbgB0AGkAESBkAGkAYQBnAG8AbgBhAGwAIABlAHgAdAByAGEAYwB0AGkAbwBuAC4AXABuAFwAbgBOAG8AdABlAHMAOgBcAG4AIAAgACAAIAAiICAATwB1AHQAcAB1AHQAIABpAHMAIABhAGwAdwBhAHkAcwAgAGEAIAAxAEQAIAB2AGUAYwB0AG8AcgAgAG8AZgAgAGwAZQBuAGcAdABoACAAawAgAD0AIABkAGkAYQBnAG8AbgBhAGwAIABsAGUAbgBnAHQAaAAuAFwAbgAtAC0ALQAtAC0ALQAtAC0ALQAtAC0ALQAtAC0ALQAtAC0ALQAtAC0ALQAtAC0ALQAtAC0ALQAtAC0ALQAtAC0ALQAtAC0ALQAtAC0ALQAtAC0ALQAtAC0ALQAtAC0ALQAtAC0ALQAtAC0ALQAtAC0ALQAtAC0ALQAtAC0ALQAtAC0ALQAtAC0ALQAtAC0ALQAtAC0ALQAtAC0ALQAqAC8AXABuAFwAbgBEAGkAYQBnAEkAbgBkAGUAeAC7AyAAPQBcAG4ATABBAE0AQgBEAEEAKABcAG4AIAAgACAAIABhAHIAcgBhAHkALABcAG4AIAAgACAAIABjAG8AbABfAGkAbgBkAGUAeAAsAFwAbgBcAG4AVgBhAGwAaQBkAGEAdABlAEQAaQBhAGcAuwMoAGEAcgByAGEAeQAsACAAYwBvAGwAXwBpAG4AZABlAHgALAAgACwAIAAsAFwAbgBcAG4ATABFAFQAKABcAG4AIAAgACAAIAAvAC8AIABEAGkAbQBlAG4AcwBpAG8AbgBzAFwAbgAgACAAIAAgAGgALAAgACAAIAAgACAAIAAgAFIATwBXAFMAKABhAHIAcgBhAHkAKQAsAFwAbgAgACAAIAAgAHcALAAgACAAIAAgACAAIAAgAEMATwBMAFUATQBOAFMAKABhAHIAcgBhAHkAKQAsAFwAbgBcAG4AIAAgACAAIAAvAC8AIABEAGkAcgBlAGMAdABpAG8AbgA6ACAAKwAxACAAPQAgAFMARQAsACAAEyAxACAAPQAgAFMAVwBcAG4AIAAgACAAIABzACwAIAAgACAAIAAgACAAIABTAEkARwBOACgAYwBvAGwAXwBpAG4AZABlAHgAKQAsAFwAbgBcAG4AIAAgACAAIAAvAC8AIABEAGkAYQBnAG8AbgBhAGwAIABsAGUAbgBnAHQAaABcAG4AIAAgACAAIABrACwAIAAgACAAIAAgACAAIABJAEYAKABzACAAPgAgADAALABNAEkATgAoAGgALAAgAHcAIAArACAAMQAgAC0AIABjAG8AbABfAGkAbgBkAGUAeAApACwAXABuACAAIAAgACAAIAAgACAAIAAgACAAIAAgACAAIAAgACAAIAAgACAAIAAgACAATQBJAE4AKABoACwAIABBAEIAUwAoAGMAbwBsAF8AaQBuAGQAZQB4ACkAKQApACwAXABuAFwAbgAgACAAIAAgAC8ALwAgAFMAdABhAHIAdABpAG4AZwAgAGMAbwBsAHUAbQBuAFwAbgAgACAAIAAgAHMAdABhAHIAdAAsACAAIAAgAEkARgAoAHMAIAA8ACAAMAAsACAAQQBCAFMAKABjAG8AbABfAGkAbgBkAGUAeAApACwAIABjAG8AbABfAGkAbgBkAGUAeAApACwAXABuAFwAbgAgACAAIAAgAC8ALwAgAEQAZQBmAGUAcgByAGUAZAAgAGkAbgBkAGUAeAAgAGcAZQBuAGUAcgBhAHQAbwByAHMAXABuACAAIAAgACAAeAAsACAAIAAgACAAIAAgACAATABBAE0AQgBEAEEAKABTAEUAUQBVAEUATgBDAEUAKABrACkAKQAsAFwAbgAgACAAIAAgAHkALAAgACAAIAAgACAAIAAgAEwAQQBNAEIARABBACgAUwBFAFEAVQBFAE4AQwBFACgAawAsACAALAAgAHMAdABhAHIAdAAsACAAcwApACkALABcAG4AXABuACAAIAAgACAALwAvACAARQB4AHQAcgBhAGMAdAAgAGQAaQBhAGcAbwBuAGEAbABcAG4AIAAgACAAIABkAGUAbABpAHYAZQByACwAIABJAE4ARABFAFgAKABhAHIAcgBhAHkALAAgAHgAKAApACwAIAB5ACgAKQApACwAXABuAFwAbgAgACAAIAAgAGQAZQBsAGkAdgBlAHIAXABuACkAKQApADsAXABuAFwAbgBcAG4AXABuAC8AKgAgAFsARwBSABEgQwBPAFIARQBdACAALQAtAC0ALQAtAC0ALQAtAC0ALQAtAC0ALQAtAC0ALQAtAC0ALQAtAC0ALQAtAC0ALQAtAC0ALQAtAC0ALQAtAC0ALQAtAC0ALQAtAC0ALQAtAC0ALQAtAC0ALQAtAC0ALQAtAC0ALQAtAC0ALQAtAC0ALQAtAC0ALQAtAC0ALQAtAC0ALQAtAC0ALQBcAG4ARgB1AG4AYwB0AGkAbwBuADoAIAAgACAAIAAgAFYAYQBsAGkAZABhAHQAZQBEAGkAYQBnALsDXABuAEMAYQB0AGUAZwBvAHIAeQA6ACAAIAAgACAAIABHAHIAaQBkACAAQQBuAGEAbAB5AHQAaQBjAHMAIAAoAEMAbwByAGUAIABWAGEAbABpAGQAYQB0AGkAbwBuACkAXABuAEEAdQB0AGgAbwByADoAIAAgACAAIAAgACAAIABQAGEAdAByAGkAYwBrACAASAAuAFwAbgBWAGUAcgBzAGkAbwBuADoAIAAgACAAIAAgACAAMQAuADEAXABuAFwAbgBEAGUAcwBjAHIAaQBwAHQAaQBvAG4AOgBcAG4AIAAgACAAIABWAGEAbABpAGQAYQB0AGUAcwAgAGkAbgBwAHUAdABzACAAZgBvAHIAIABCAHkARABpAGEAZwC7AywAIABEAGkAYQBnAE0AYQBwALsDLAAgAGEAbgBkACAARABpAGEAZwBJAG4AZABlAHgAuwMuACAARQBuAHMAdQByAGUAcwAgAHQAaABhAHQAIAB0AGgAZQBcAG4AIAAgACAAIABhAHIAcgBhAHkAIABpAHMAIABhACAAdgBhAGwAaQBkACAAMgBEACAAcwB0AHIAdQBjAHQAdQByAGUALAAgAHQAaABhAHQAIABjAG8AbAB1AG0AbgAgAGkAbgBkAGkAYwBlAHMAIAAoAHcAaABlAG4AIABzAHUAcABwAGwAaQBlAGQAKQAgAGEAcgBlAFwAbgAgACAAIAAgAHcAaQB0AGgAaQBuACAAYgBvAHUAbgBkAHMALAAgAGEAbgBkACAAdABoAGEAdAAgAGEAbgB5ACAAcwB1AHAAcABsAGkAZQBkACAAZgB1AG4AYwB0AGkAbwBuACAAaQBzACAAYQAgAHYAYQBsAGkAZAAgAEwAQQBNAEIARABBAC8ARQBUAEEAXABuACAAIAAgACAAZgB1AG4AYwB0AGkAbwBuAC4AXABuAFwAbgBQAGEAcgBhAG0AZQB0AGUAcgBzADoAXABuACAAIAAgACAAYQByAHIAYQB5ACAAIAAgACAAIAAgACAAIAAgACAAIAAgACAAIAAgAC0AIAAyAEQAIABpAG4AcAB1AHQAIABhAHIAcgBhAHkALgBcAG4AIAAgACAAIABbAGMAbwBsAF8AaQBuAGQAZQB4AF0AIAAgACAAIAAgACAAIAAgACAALQAgAFMAdABhAHIAdABpAG4AZwAgAGMAbwBsAHUAbQBuACAAaQBuAGQAZQB4ACAAKABEAGkAYQBnAEkAbgBkAGUAeAC7AyAAbwBuAGwAeQApAC4AXABuACAAIAAgACAAWwBmAHUAbgBjAHQAaQBvAG4AXQAgACAAIAAgACAAIAAgACAAIAAgAC0AIABFAFQAQQAgAG8AcgAgAEwAQQBNAEIARABBACAAKABCAHkARABpAGEAZwC7AyAAbwBuAGwAeQApAC4AXABuACAAIAAgACAAWwByAG8AdwBfAHcAaQBzAGUAXwBzAHQAYQBjAGsAPwBdACAAIAAgAC0AIABPAHIAaQBlAG4AdABhAHQAaQBvAG4AIABmAGwAYQBnACAAKABCAHkARABpAGEAZwC7AyAALwAgAEQAaQBhAGcATQBhAHAAuwMpAC4AXABuACAAIAAgACAAWwBvAG4AXwB2AGEAbABpAGQAXQAgACAAIAAgACAAIAAgACAAIAAgAC0AIABFAHgAcAByAGUAcwBzAGkAbwBuACAAdABvACAAZQB2AGEAbAB1AGEAdABlACAAdwBoAGUAbgAgAGkAbgBwAHUAdABzACAAYQByAGUAIAB2AGEAbABpAGQALgBcAG4AXABuAE4AbwB0AGUAcwA6AFwAbgAgACAAIAAgACIgIABTAGMAYQBsAGEAcgBzACAAYQBuAGQAIABuAG8AbgARIGEAcgByAGEAeQBzACAAYQByAGUAIAByAGUAagBlAGMAdABlAGQALgBcAG4AIAAgACAAIAAiICAAYwBvAGwAXwBpAG4AZABlAHgAIAA9ACAAMAAgAGkAcwAgAGkAbgB2AGEAbABpAGQAIABiAHkAIABkAGUAcwBpAGcAbgAuAFwAbgAgACAAIAAgACIgIABGAHUAbgBjAHQAaQBvAG4AIAB2AGEAbABpAGQAYQB0AGkAbwBuACAAdQBzAGUAcwAgAGEAIABzAGEAZgBlACAAVABZAFAARQARIGIAYQBzAGUAZAAgAGkAbgB2AG8AYwBhAHQAaQBvAG4AIAB0AGUAcwB0AC4AXABuACAAIAAgACAAIiAgAFIAbwB1AHQAaQBuAGcAIABsAG8AZwBpAGMAIABkAGUAdABlAHIAbQBpAG4AZQBzACAAdwBoAGkAYwBoACAAbwBwAGUAcgBhAHQAbwByACAAaQBzACAAYgBlAGkAbgBnACAAdgBhAGwAaQBkAGEAdABlAGQALgBcAG4ALQAtAC0ALQAtAC0ALQAtAC0ALQAtAC0ALQAtAC0ALQAtAC0ALQAtAC0ALQAtAC0ALQAtAC0ALQAtAC0ALQAtAC0ALQAtAC0ALQAtAC0ALQAtAC0ALQAtAC0ALQAtAC0ALQAtAC0ALQAtAC0ALQAtAC0ALQAtAC0ALQAtAC0ALQAtAC0ALQAtAC0ALQAtAC0ALQAtAC0ALQAtAC0AKgAvAFwAbgBcAG4AVgBhAGwAaQBkAGEAdABlAEQAaQBhAGcAuwMgAD0AXABuAEwAQQBNAEIARABBACgAXABuACAAIAAgACAAYQByAHIAYQB5ACwAXABuACAAIAAgACAAWwBjAG8AbABfAGkAbgBkAGUAeABdACwAXABuACAAIAAgACAAWwBmAHUAbgBjAHQAaQBvAG4AXQAsAFwAbgAgACAAIAAgAFsAcgBvAHcAXwB3AGkAcwBlAF8AcwB0AGEAYwBrAD8AXQAsAFwAbgAgACAAIAAgAFsAbwBuAF8AdgBhAGwAaQBkAF0ALABcAG4ATABFAFQAKABcAG4AIAAgACAAIAAvAC8AIAAtAC0ALQAgAEEAcgByAGEAeQAgAHYAYQBsAGkAZABhAHQAaQBvAG4AIAAtAC0ALQBcAG4AIAAgACAAIABJAHMAQQByAHIAYQB5AD8ALAAgACAAIAAgACAAIAAgACAAIAAgACAAIAAgACAAIABUAFkAUABFACgAYQByAHIAYQB5ACkAIAA9ACAANgA0ACwAXABuACAAIAAgACAATgBvAHQAXwBBAHIAcgBhAHkALAAgACAAIAAgACAAIAAgACAAIAAgACAAIAAgACAATgBPAFQAKABJAHMAQQByAHIAYQB5AD8AKQAsAFwAbgBcAG4AIAAgACAAIAAvAC8AIAAtAC0ALQAgAEMAbwBsAHUAbQBuACAAaQBuAGQAZQB4ACAAdgBhAGwAaQBkAGEAdABpAG8AbgAgACgARABpAGEAZwBJAG4AZABlAHgAuwMgAG8AbgBsAHkAKQAgAC0ALQAtAFwAbgAgACAAIAAgAE4AbwBfAEMAbwBsAF8ASQBuAGQAZQB4ACwAIAAgACAAIAAgACAAIAAgACAAIAAgAEkAUwBPAE0ASQBUAFQARQBEACgAYwBvAGwAXwBpAG4AZABlAHgAKQAsAFwAbgAgACAAIAAgAEMAbwBsAEkAbgBkAGUAeABfAEkAbgBjAGwAdQBkAGUAZAAsACAAIAAgACAAIAAgAE4ATwBUACgATgBvAF8AQwBvAGwAXwBJAG4AZABlAHgAKQAsAFwAbgAgACAAIAAgAE4AbwB0AF8AVgBhAGwAaQBkAF8AQwBvAGwASQBuAGQAZQB4AD8ALAAgACAAIAAgAE4ATwBUACgAQQBOAEQAKABjAG8AbABfAGkAbgBkAGUAeAAgADwAPgAgADAALABcAG4AIAAgACAAIAAgACAAIAAgACAAIAAgACAAIAAgACAAIAAgACAAIAAgACAAIAAgACAAIAAgACAAIAAgACAAIAAgACAAIAAgACAAQQBCAFMAKABjAG8AbABfAGkAbgBkAGUAeAApACAAPAA9ACAAQwBPAEwAVQBNAE4AUwAoAGEAcgByAGEAeQApACkAKQAsAFwAbgBcAG4AIAAgACAAIAAvAC8AIAAtAC0ALQAgAEYAdQBuAGMAdABpAG8AbgAgAHYAYQBsAGkAZABhAHQAaQBvAG4AIAAoAEIAeQBEAGkAYQBnALsDIABvAG4AbAB5ACkAIAAtAC0ALQBcAG4AIAAgACAAIABOAG8AXwBGAHUAbgBjAHQAaQBvAG4ALAAgACAAIAAgACAAIAAgACAAIAAgACAAIABJAFMATwBNAEkAVABUAEUARAAoAGYAdQBuAGMAdABpAG8AbgApACwAXABuACAAIAAgACAARgB1AG4AYwB0AGkAbwBuAF8ASQBuAGMAbAB1AGQAZQBkACwAIAAgACAAIAAgACAATgBPAFQAKABOAG8AXwBGAHUAbgBjAHQAaQBvAG4AKQAsAFwAbgBcAG4AIAAgACAAIAAvAC8AIABTAGEAZgBlACAAZgB1AG4AYwB0AGkAbwBuACAAdgBhAGwAaQBkAGEAdABpAG8AbgA6ACAAZQBuAHMAdQByAGUAIABmAHUAbgBjAHQAaQBvAG4AIABpAHMAIABjAGEAbABsAGEAYgBsAGUAXABuACAAIAAgACAASQBuAHYAYQBsAGkAZABfAEYAdQBuAGMAdABpAG8AbgA/ACwAIAAgACAAIAAgACAAQQBOAEQAKABGAHUAbgBjAHQAaQBvAG4AXwBJAG4AYwBsAHUAZABlAGQALABcAG4AIAAgACAAIAAgACAAIAAgACAAIAAgACAAIAAgACAAIAAgACAAIAAgACAAIAAgACAAIAAgACAAIAAgACAAIAAgAEkAUwBFAFIAUgBPAFIAKABCAFkAUgBPAFcAKAB7ADEALAAxAH0ALAAgAGYAdQBuAGMAdABpAG8AbgApACkAKQAsAFwAbgBcAG4AIAAgACAAIAAvAC8AIAAtAC0ALQAgAE8AcgBpAGUAbgB0AGEAdABpAG8AbgAgAGYAbABhAGcAIAAoAEQAaQBhAGcATQBhAHAAuwMgAC8AIABCAHkARABpAGEAZwC7AykAIAAtAC0ALQBcAG4AIAAgACAAIABSAG8AdwBXAGkAcwBlAFMAdABhAGMAawA/ACwAIAAgACAAIAAgACAAIAAgACAAIABOAE8AVAAoAEkAUwBPAE0ASQBUAFQARQBEACgAcgBvAHcAXwB3AGkAcwBlAF8AcwB0AGEAYwBrAD8AKQApACwAXABuAFwAbgAgACAAIAAgAC8ALwAgAC0ALQAtACAARABlAHQAZQByAG0AaQBuAGUAIAB3AGgAaQBjAGgAIABvAHAAZQByAGEAdABvAHIAIABpAHMAIABiAGUAaQBuAGcAIAB2AGEAbABpAGQAYQB0AGUAZAAgAC0ALQAtAFwAbgAgACAAIAAgAEkAcwBEAGkAYQBnAEkAbgBkAGUAeAA/ACwAIAAgACAAIAAgACAAIAAgACAAIAAgAEMAbwBsAEkAbgBkAGUAeABfAEkAbgBjAGwAdQBkAGUAZAAsAFwAbgAgACAAIAAgAEkAcwBCAHkARABpAGEAZwA/ACwAIAAgACAAIAAgACAAIAAgACAAIAAgACAAIAAgAEEATgBEACgATgBvAF8AQwBvAGwAXwBJAG4AZABlAHgALAAgAEYAdQBuAGMAdABpAG8AbgBfAEkAbgBjAGwAdQBkAGUAZAApACwAXABuACAAIAAgACAASQBzAEQAaQBhAGcATQBhAHAAPwAsACAAIAAgACAAIAAgACAAIAAgACAAIAAgACAAQQBOAEQAKABOAG8AXwBDAG8AbABfAEkAbgBkAGUAeAAsACAATgBvAF8ARgB1AG4AYwB0AGkAbwBuACkALABcAG4AXABuACAAIAAgACAALwAvACAALQAtAC0AIABMAG8AZwBpAGMAIABnAGEAdABlAHMAIAAtAC0ALQBcAG4AIAAgACAAIAAvAC8AIABEAGkAYQBnAEkAbgBkAGUAeAC7A1wAbgAgACAAIAAgAGcAYQB0AGUAXwBEAGkAYQBnAEkAbgBkAGUAeAAsACAAIAAgACAAIAAgACAAIAAgAEkARgAoAE4AbwB0AF8AQQByAHIAYQB5ACwAIAAgACAAIAAgACAAIAAgACAAIAAgAFwAIgAjAE4ATwBUAC0AQQBSAFIAQQBZACEAXAAiACwAXABuACAAIAAgACAAIAAgACAAIAAgACAAIAAgACAAIAAgACAAIAAgACAAIAAgACAAIAAgACAAIAAgACAAIAAgACAAIABJAEYAKABOAG8AdABfAFYAYQBsAGkAZABfAEMAbwBsAEkAbgBkAGUAeAA/ACwAIABcACIAIwBDAE8ATABVAE0ATgAtAEkATgBEAEUAWAAhAFwAIgAsAFwAbgAgACAAIAAgACAAIAAgACAAIAAgACAAIAAgACAAIAAgACAAIAAgACAAIAAgACAAIAAgACAAIAAgACAAIAAgACAAIAAgACAAIABvAG4AXwB2AGEAbABpAGQAKQApACwAXABuAFwAbgAgACAAIAAgAC8ALwAgAEIAeQBEAGkAYQBnALsDXABuACAAIAAgACAAZwBhAHQAZQBfAEIAeQBEAGkAYQBnACwAIAAgACAAIAAgACAAIAAgACAAIAAgACAASQBGACgATgBvAHQAXwBBAHIAcgBhAHkALAAgACAAIAAgACAAIAAgACAAIAAgACAAXAAiACMATgBPAFQALQBBAFIAUgBBAFkAIQBcACIALABcAG4AIAAgACAAIAAgACAAIAAgACAAIAAgACAAIAAgACAAIAAgACAAIAAgACAAIAAgACAAIAAgACAAIAAgACAAIAAgAEkARgAoAEkAbgB2AGEAbABpAGQAXwBGAHUAbgBjAHQAaQBvAG4APwAsACAAXAAiACMARgBVAE4AQwBUAEkATwBOACEAXAAiACwAXABuACAAIAAgACAAIAAgACAAIAAgACAAIAAgACAAIAAgACAAIAAgACAAIAAgACAAIAAgACAAIAAgACAAIAAgACAAIAAgACAAIAAgAG8AbgBfAHYAYQBsAGkAZAApACkALABcAG4AXABuACAAIAAgACAALwAvACAARABpAGEAZwBNAGEAcAC7A1wAbgAgACAAIAAgAGcAYQB0AGUAXwBEAGkAYQBnAE0AYQBwACwAIAAgACAAIAAgACAAIAAgACAAIAAgAEkARgAoAE4AbwB0AF8AQQByAHIAYQB5ACwAIAAgACAAIAAgACAAIAAgACAAIAAgAFwAIgAjAE4ATwBUAC0AQQBSAFIAQQBZACEAXAAiACwAXABuACAAIAAgACAAIAAgACAAIAAgACAAIAAgACAAIAAgACAAIAAgACAAIAAgACAAIAAgACAAIAAgACAAIAAgACAAIABvAG4AXwB2AGEAbABpAGQAKQAsAFwAbgBcAG4AIAAgACAAIAAvAC8AIAAtAC0ALQAgAFIAbwB1AHQAZQAgAHQAbwAgAGMAbwByAHIAZQBjAHQAIABnAGEAdABlACAALQAtAC0AXABuACAAIAAgACAAZABlAGMAaQBkAGUALAAgACAAIAAgACAAIAAgACAAIAAgACAAIAAgACAAIAAgACAASQBGACgASQBzAEQAaQBhAGcASQBuAGQAZQB4AD8ALAAgAGcAYQB0AGUAXwBEAGkAYQBnAEkAbgBkAGUAeAAsAFwAbgBcAG4AIAAgACAAIAAgACAAIAAgACAAIAAgACAAIAAgACAAIAAgACAAIAAgACAAIAAgACAAIAAgACAAIAAgACAAIAAgAEkARgAoAEkAcwBEAGkAYQBnAE0AYQBwAD8ALAAgAGcAYQB0AGUAXwBEAGkAYQBnAE0AYQBwACwAXABuAFwAbgAgACAAIAAgACAAIAAgACAAIAAgACAAIAAgACAAIAAgACAAIAAgACAAIAAgACAAIAAgACAAIAAgACAAIAAgACAAIAAgACAAIABJAEYAKABJAHMAQgB5AEQAaQBhAGcAPwAsACAAZwBhAHQAZQBfAEIAeQBEAGkAYQBnACwAXABuAFwAbgAgACAAIAAgACAAIAAgACAAIAAgACAAIAAgACAAIAAgACAAIAAgACAAIAAgACAAIAAgACAAIAAgACAAIAAgACAAIAAgACAAIAAgACAAIAAgAFwAIgAjAFUATgBSAE8AVQBUAEUARAAhAFwAIgApACkAKQAsAFwAbgBcAG4AIAAgACAAIABkAGUAYwBpAGQAZQBcAG4AKQApADsAXABuAFwAbgBcAG4AXABuAC8AKgAgAFsARwBSADAANgBdACAALQAtAC0ALQAtAC0ALQAtAC0ALQAtAC0ALQAtAC0ALQAtAC0ALQAtAC0ALQAtAC0ALQAtAC0ALQAtAC0ALQAtAC0ALQAtAC0ALQAtAC0ALQAtAC0ALQAtAC0ALQAtAC0ALQAtAC0ALQAtAC0ALQAtAC0ALQAtAC0ALQAtAC0ALQAtAC0ALQAtAC0ALQAtAC0ALQBcAG4ARgB1AG4AYwB0AGkAbwBuADoAIAAgACAAIAAgAFAAYQBpAHIAdwBpAHMAZQC7A1wAbgBDAGEAdABlAGcAbwByAHkAOgAgACAAIAAgACAARwByAGkAZAAgAEEAbgBhAGwAeQB0AGkAYwBzACAAKABDAGEAdABlAGcAbwByAGkAYwBhAGwAIABBAG4AYQBsAHkAcwBpAHMAKQBcAG4AQQB1AHQAaABvAHIAOgAgACAAIAAgACAAIAAgAFAAYQB0AHIAaQBjAGsAIABIAC4AXABuAFYAZQByAHMAaQBvAG4AOgAgACAAIAAgACAAIAAxAC4AMQBcAG4ARABlAHAAZQBuAGQAZQBuAGMAaQBlAHMAOgAgAEUAYwBoAG8AuwMsACAAUgBlAHMAaQB6AGUAuwNcAG4AXABuAEQAZQBzAGMAcgBpAHAAdABpAG8AbgA6AFwAbgAgACAAIAAgAEMAcgBlAGEAdABlAHMAIAB2AGUAcgB0AGkAYwBhAGwAIABwAGEAaQByAHMAIABmAHIAbwBtACAAMQBEACAAYQBuAGQAIABzAGMAYQBsAGEAcgAgAGkAbgBwAHUAdABzAC4AIABJAG4AcAB1AHQAcwAgAGEAcgBlACAAZgBsAGEAdAB0AGUAbgBlAGQAIAB3AGkAdABoAFwAbgAgACAAIAAgAFQATwBDAE8ATAAgAHQAbwAgAG4AbwByAG0AYQBsAGkAegBlACAAbwByAGkAZQBuAHQAYQB0AGkAbwBuAC4AIAAyAEQAIABhAHIAcgBhAHkAcwAgAGEAcgBlACAAcwB0AHIAaQBjAHQAbAB5ACAAcAByAG8AaABpAGIAaQB0AGUAZAAuAFwAbgBcAG4AUABhAHIAYQBtAGUAdABlAHIAcwA6AFwAbgAgACAAIAAgAHYAZQBjAHQAbwByAF8AMQAgACAAIAAgAC0AIAAxAEQAIAB2AGUAYwB0AG8AcgAgAG8AcgAgAHMAYwBhAGwAYQByAC4AXABuACAAIAAgACAAdgBlAGMAdABvAHIAXwAyACAAIAAgACAALQAgADEARAAgAHYAZQBjAHQAbwByACAAbwByACAAcwBjAGEAbABhAHIALgBcAG4ALQAtAC0ALQAtAC0ALQAtAC0ALQAtAC0ALQAtAC0ALQAtAC0ALQAtAC0ALQAtAC0ALQAtAC0ALQAtAC0ALQAtAC0ALQAtAC0ALQAtAC0ALQAtAC0ALQAtAC0ALQAtAC0ALQAtAC0ALQAtAC0ALQAtAC0ALQAtAC0ALQAtAC0ALQAtAC0ALQAtAC0ALQAtAC0ALQAtAC0ALQAtAC0AKgAvAFwAbgBcAG4AUABhAGkAcgB3AGkAcwBlALsDPQBcAG4ATABBAE0AQgBEAEEAKABcAG4AIAAgACAAIAB2AGUAYwB0AG8AcgBfADEALABcAG4AIAAgACAAIAB2AGUAYwB0AG8AcgBfADIALABcAG4AXABuAEwARQBUACgAXABuACAAIAAgACAALwAvACAARgBsAGEAdAB0AGUAbgAgAGkAbgBwAHUAdABzAFwAbgAgACAAIAAgAHYALAAgACAAIAAgACAAIAAgACAAIAAgAFQATwBDAE8ATAAoAHYAZQBjAHQAbwByAF8AMQApACwAXABuACAAIAAgACAAdgCCICwAIAAgACAAIAAgACAAIAAgACAAVABPAEMATwBMACgAdgBlAGMAdABvAHIAXwAyACkALABcAG4AXABuACAAIAAgACAALwAvACAARQBsAGUAbQBlAG4AdAAgAGMAbwB1AG4AdABzAFwAbgAgACAAIAAgAGsALAAgACAAIAAgACAAIAAgACAAIAAgAEMATwBVAE4AVABBACgAdgApACwAXABuACAAIAAgACAAawCCICwAIAAgACAAIAAgACAAIAAgACAAQwBPAFUATgBUAEEAKAB2AIIgKQAsAFwAbgBcAG4AIAAgACAAIAAvAC8AIABIAGEAbAB0AGkAbgBnACAAcwBjAGUAbgBhAHIAaQBvAHMAXABuACAAIAAgACAASQBzADIARABJAG4AcAB1AHQAPwAsACAATwBSACgAQQBOAEQAKABSAE8AVwBTACgAdgBlAGMAdABvAHIAXwAxACkAPgAxACwAIABDAE8ATABVAE0ATgBTACgAdgBlAGMAdABvAHIAXwAxACkAPgAxACkALABcAG4AIAAgACAAIAAgACAAIAAgACAAIAAgACAAIAAgACAAIAAgACAAIABBAE4ARAAoAFIATwBXAFMAKAB2AGUAYwB0AG8AcgBfADIAKQA+ADEALAAgAEMATwBMAFUATQBOAFMAKAB2AGUAYwB0AG8AcgBfADIAKQA+ADEAKQApACwAXABuAFwAbgAgACAAIAAgAEkAcwAyAEIAaQBnAD8ALAAgACAAIAAgAGsAIAAqACAAawCCICAAPgAgADEAMAAwADAAMAAwADAALABcAG4AXABuAEkARgAoAEkAcwAyAEQASQBuAHAAdQB0AD8ALAAgACAAIwBWAEEATABVAEUAIQAsAFwAbgBcAG4AIAAgACAAIABJAEYAKABJAHMAMgBCAGkAZwA/ACwAIAAgACAAIAAgACMATgBVAE0AIQAsAFwAbgBcAG4ATABFAFQAKABcAG4AIAAgACAAIAAvAC8AIABDAGEAcgB0AGUAcwBpAGEAbgAgAGUAeABwAGEAbgBzAGkAbwBuAFwAbgAgACAAIAAgAHgALAAgACAAIAAgACAAIABFAGMAaABvALsDKAB2ACwAIABrAIIgKQAsAFwAbgAgACAAIAAgAHkALAAgACAAIAAgACAAIABSAGUAcwBpAHoAZQC7AygAdgCCICwAIABrACkALABcAG4AIAAgACAAIABwAGEAaQByAHMALAAgACAASABTAFQAQQBDAEsAKAB4ACwAIAB5ACkALABcAG4AXABuACAAIAAgACAAcABhAGkAcgBzAFwAbgAgACAAIAAgAFwAbgApACkAKQApACkAOwBcAG4AXABuAFwAbgBcAG4ALwAqACAAWwBHAFIAMAA2AGEAXQAgAC0ALQAtAC0ALQAtAC0ALQAtAC0ALQAtAC0ALQAtAC0ALQAtAC0ALQAtAC0ALQAtAC0ALQAtAC0ALQAtAC0ALQAtAC0ALQAtAC0ALQAtAC0ALQAtAC0ALQAtAC0ALQAtAC0ALQAtAC0ALQAtAC0ALQAtAC0ALQAtAC0ALQAtAC0ALQAtAC0ALQAtAC0ALQAtAC0AXABuAEYAdQBuAGMAdABpAG8AbgA6ACAAIAAgACAAIAAgACAAIABUAHIAaQBwAGwAZQB3AGkAcwBl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EAGUAcABlAG4AZABlAG4AYwBpAGUAcwA6ACAAIAAgACAAUABhAGkAcgB3AGkAcwBlALsDXABuAFwAbgBEAGUAcwBjAHIAaQBwAHQAaQBvAG4AOgBcAG4AIAAgACAAIABHAGUAbgBlAHIAYQB0AGUAcwAgAHQAaABlACAAQwBhAHIAdABlAHMAaQBhAG4AIABwAHIAbwBkAHUAYwB0ACAAbwBmACAAMwAgAHMAZQB0AHMALgAgAEEAbABsACAAaQBuAHAAdQB0AHMAIABhAHIAZQAgAGYAbABhAHQAdABlAG4AZQBkACAAYQBuAGQAXABuACAAIAAgACAAdABoAGUAIAByAGUAcwB1AGwAdABpAG4AZwAgAHQAcgBpAHAAbABlAHMAIABwAHIAZQBzAGUAcgB2AGUAIAB0AGgAZQAgAG8AcgBkAGUAcgAgAG8AZgAgAHQAaABlACAAcwB1AHAAcABsAGkAZQBkACAAcwBlAHQAcwAuAFwAbgBcAG4AIAAgACAAIABUAHIAaQBwAGwAZQB3AGkAcwBlALsDIABlAHgAdABlAG4AZABzACAAUABhAGkAcgB3AGkAcwBlALsDIAB0AG8AIABhACAAMwARIGEAeABpAHMAIABmAGEAYgByAGkAYwA6AFwAbgAgACAAIAAgACAAIAAgACAAIiAgAHMAZQB0AF8AMQAgANcAIABzAGUAdABfADIAIADXACAAcwBlAHQAXwAzAFwAbgAgACAAIAAgAFQAaABlACAAbwB1AHQAcAB1AHQAIABpAHMAIABhACAAcwBwAGkAbABsACAAdwBoAGUAcgBlACAAZQBhAGMAaAAgAHIAbwB3ACAAcgBlAHAAcgBlAHMAZQBuAHQAcwAgAG8AbgBlACAAbwByAGQAZQByAGUAZAAgAHQAcgBpAHAAbABlAC4AXABuAFwAbgBGAG8AcgBtAHUAbABhADoAIAA9AFQAcgBpAHAAbABlAHcAaQBzAGUAuwMoAHsAXAAiAGQAbwBnAFwAIgA7AFwAIgBjAGEAdABcACIAOwBcACIAYgBpAHIAZABcACIAfQAsAHsAXAAiAGEAXAAiADsAXAAiAGIAXAAiADsAXAAiAGMAXAAiAH0ALAB7ADEAOwAyAH0AKQBcAG4AXABuAFIAZQBzAHUAbAB0ADoAXABuACAAIAAgACAAewBcACIAZABvAGcAXAAiACwAXAAiAGEAXAAiACwAMQA7AFwAbgAgACAAIAAgACAAXAAiAGQAbwBnAFwAIgAsAFwAIgBhAFwAIgAsADIAOwBcAG4AIAAgACAAIAAgAFwAIgBkAG8AZwBcACIALABcACIAYgBcACIALAAxADsAXABuACAAIAAgACAAIABcACIAZABvAGcAXAAiACwAXAAiAGIAXAAiACwAMgA7AFwAbgAgACAAIAAgACAAXAAiAGQAbwBnAFwAIgAsAFwAIgBjAFwAIgAsADEAOwBcAG4AIAAgACAAIAAgAFwAIgBkAG8AZwBcACIALABcACIAYwBcACIALAAyADsAXABuACAAIAAgACAAIABcACIAYwBhAHQAXAAiACwAXAAiAGEAXAAiACwAMQA7AFwAbgAgACAAIAAgACAAXAAiAGMAYQB0AFwAIgAsAFwAIgBhAFwAIgAsADIAOwBcAG4AIAAgACAAIAAgAFwAIgBjAGEAdABcACIALABcACIAYgBcACIALAAxADsAXABuACAAIAAgACAAIABcACIAYwBhAHQAXAAiACwAXAAiAGIAXAAiACwAMgA7AFwAbgAgACAAIAAgACAAXAAiAGMAYQB0AFwAIgAsAFwAIgBjAFwAIgAsADEAOwBcAG4AIAAgACAAIAAgAFwAIgBjAGEAdABcACIALABcACIAYwBcACIALAAyADsAXABuACAAIAAgACAAIABcACIAYgBpAHIAZABcACIALABcACIAYQBcACIALAAxADsAXABuACAAIAAgACAAIABcACIAYgBpAHIAZABcACIALABcACIAYQBcACIALAAyADsAXABuACAAIAAgACAAIABcACIAYgBpAHIAZABcACIALABcACIAYgBcACIALAAxADsAXABuACAAIAAgACAAIABcACIAYgBpAHIAZABcACIALABcACIAYgBcACIALAAyADsAXABuACAAIAAgACAAIABcACIAYgBpAHIAZABcACIALABcACIAYwBcACIALAAxADsAXABuACAAIAAgACAAIABcACIAYgBpAHIAZABcACIALABcACIAYwBcACIALAAyAH0AXABuAFwAbgBQAGEAcgBhAG0AZQB0AGUAcgBzADoAXABuACAAIAAgACAAcwBlAHQAXwAxACAAIAAgACAAUwBjAGEAbABhAHIAcwAgAGEAbgBkACAAYQByAHIAYQB5AHMAIAAoADEARAAgAG8AcgAgADIARAApACAAYQByAGUAIABhAGMAYwBlAHAAdABlAGQALgAgAEEAbABsACAAaQBuAHAAdQB0AHMAIABhAHIAZQAgAGYAbABhAHQAdABlAG4AZQBkAC4AXABuACAAIAAgACAAcwBlAHQAXwAyAFwAbgAgACAAIAAgAHMAZQB0AF8AMwBcAG4ALQAtAC0ALQAtAC0ALQAtAC0ALQAtAC0ALQAtAC0ALQAtAC0ALQAtAC0ALQAtAC0ALQAtAC0ALQAtAC0ALQAtAC0ALQAtAC0ALQAtAC0ALQAtAC0ALQAtAC0ALQAtAC0ALQAtAC0ALQAtAC0ALQAtAC0ALQAtAC0ALQAtAC0ALQAtAC0ALQAtAC0ALQAtAC0ALQAtAC0ALQAtAC0AKgAvAFwAbgBcAG4AVAByAGkAcABsAGUAdwBpAHMAZQC7Az0AXABuAEwAQQBNAEIARABBACgAXABuACAAIAAgACAAcwBlAHQAXwAxACwAXABuACAAIAAgACAAcwBlAHQAXwAyACwAXABuACAAIAAgACAAcwBlAHQAXwAzACwAXABuAEwARQBUACgAXABuACAAIAAgACAALwAvACAARgBsAGEAdAB0AGUAbgAgAGEAbABsACAAaQBuAHAAdQB0AHMAXABuACAAIAAgACAAcwBlAHQAXwAxACwAIAAgACAAVABPAEMATwBMACgAcwBlAHQAXwAxACkALABcAG4AIAAgACAAIABzAGUAdABfADIALAAgACAAIABUAE8AQwBPAEwAKABzAGUAdABfADIAKQAsAFwAbgAgACAAIAAgAHMAZQB0AF8AMwAsACAAIAAgAFQATwBDAE8ATAAoAHMAZQB0AF8AMwApACwAXABuAFwAbgAgACAAIAAgAC8ALwAgAFMAZQB0ACAAaQB0AGUAbQAgAGMAbwB1AG4AdABzAFwAbgAgACAAIAAgAGsAgSAsACAAIAAgACAAIAAgAFIATwBXAFMAKABzAGUAdABfADEAKQAsAFwAbgAgACAAIAAgAGsAgiAsACAAIAAgACAAIAAgAFIATwBXAFMAKABzAGUAdABfADIAKQAsAFwAbgAgACAAIAAgAGsAgyAsACAAIAAgACAAIAAgAFIATwBXAFMAKABzAGUAdABfADMAKQAsAFwAbgBcAG4AIAAgACAAIAAvAC8AIABEAGUAdABlAHIAbQBpAG4AZQAgAGkAZgAgAHMAZQB0AF8AMgAgAGkAcwAgAHMAYwBhAGwAYQByAFwAbgAgACAAIAAgAHMAdwBhAHAAPwAsACAAIAAgAGsAgiAgAD0AIAAxACwAXABuACAAIAAgACAAXABuACAAIAAgACAALwAvACAAQwByAGUAYQB0AGUAIABwAGEAaQByAHMAIABmAHIAbwBtACAAZgBpAHIAcwB0ACAAdAB3AG8AIABzAGUAdABzAFwAbgAgACAAIAAgAHAAYQBpAHIAcwAsACAAIAAgAEkARgAoAHMAdwBhAHAAPwAsACAAUABhAGkAcgB3AGkAcwBlALsDKABzAGUAdABfADIALABzAGUAdABfADEAKQAsAFwAbgAgACAAIAAgACAAIAAgACAAIAAgACAAIAAgACAAIAAgACAAIAAgACAAIAAgACAAUABhAGkAcgB3AGkAcwBlALsDKABzAGUAdABfADEALABzAGUAdABfADIAKQApACwAXABuACAAIAAgACAAXABuACAAIAAgACAALwAvACAAcwBlAHQAcwAgAGUAeABwAGEAbgBkAGUAZABcAG4AIAAgACAAIABhACwAIAAgACAAIAAgACAAIABJAEYAKABzAHcAYQBwAD8ALABUAEEASwBFACgAcABhAGkAcgBzACwALAAtADEAKQAsAFQAQQBLAEUAKABwAGEAaQByAHMALAAsADEAKQApACwAXABuACAAIAAgACAAYgAsACAAIAAgACAAIAAgACAASQBGACgAcwB3AGEAcAA/ACwAVABBAEsARQAoAHAAYQBpAHIAcwAsACwAMQApACwAVABBAEsARQAoAHAAYQBpAHIAcwAsACwALQAxACkAKQAsAFwAbgBcAG4AIAAgACAAIAAvAC8AIABQAGEAaQByAHMAIABmAHIAbwBtACAAcwBlAHQAXwAxACAAZQB4AHAAYQBuAGQAZQBkACAAKwAgAHMAZQB0AF8AMwBcAG4AIAAgACAAIAB0AGgAcgBpAGMAZQAsACAAIABJAEYAKABrAIMgIAA8AD4AIAAxACwAIABQAGEAaQByAHcAaQBzAGUAuwMoAGEALABzAGUAdABfADMAKQAsAFAAYQBpAHIAdwBpAHMAZQC7AygAcwBlAHQAXwAzACwAYQApACkALABcAG4AXABuACAAIAAgACAALwAvACAAUABhAGkAcgBzACAAZgByAG8AbQAgAHMAZQB0AF8AMgAgAGUAeABwAGEAbgBkAGUAZAAgACsAIABzAGUAdABfADMAXABuACAAIAAgACAAdABoAHIAaQBjAGUAXwAsACAASQBGACgAawCDICAAPAA+ACAAMQAsACAAUABhAGkAcgB3AGkAcwBlALsDKABiACwAcwBlAHQAXwAzACkALABQAGEAaQByAHcAaQBzAGUAuwMoAHMAZQB0AF8AMwAsAGIAKQApACwAXABuAFwAbgAgACAAIAAgAC8ALwAgAFMAZQBsAGUAYwB0AGkAbwBuAFwAbgAgACAAIAAgAGMAbwBsAHMALAAgACAAIAAgAEkARgAoAGsAgyAgAD0AIAAxACwAMQAsAC0AMQApACwAXABuACAAIAAgACAAYQBfACwAIAAgACAAIAAgACAARABSAE8AUAAoAHQAaAByAGkAYwBlACwALABjAG8AbABzACkALABcAG4AIAAgACAAIABiAF8ALAAgACAAIAAgACAAIABEAFIATwBQACgAdABoAHIAaQBjAGUAXwAsACwAYwBvAGwAcwApACwAXABuACAAIAAgACAAYwBfACwAIAAgACAAIAAgACAAVABBAEsARQAoAHQAaAByAGkAYwBlACwALABjAG8AbABzACkALABcAG4AIAAgACAAIABcAG4AIAAgACAAIAAvAC8AIABSAGUAcwB0AG8AcgBlACAAbwByAGQAZQByACAAdABvACAAbQBhAHQAYwBoACAAaQBuAHAAdQB0ACAAbwByAGQAZQByAFwAbgAgACAAIAAgAGYAaQBuAGEAbAAsACAAIAAgAEgAUwBUAEEAQwBLACgAYQBfACwAYgBfACwAYwBfACkALABcAG4AIAAgACAAIABmAGkAbgBhAGwAXABuACkAKQA7AFwAbgBcAG4AXABuAFwAbgAvACoAIABbAEcAUgAwADYAYgBdACAALQAtAC0ALQAtAC0ALQAtAC0ALQAtAC0ALQAtAC0ALQAtAC0ALQAtAC0ALQAtAC0ALQAtAC0ALQAtAC0ALQAtAC0ALQAtAC0ALQAtAC0ALQAtAC0ALQAtAC0ALQAtAC0ALQAtAC0ALQAtAC0ALQAtAC0ALQAtAC0ALQAtAC0ALQAtAC0ALQAtAC0ALQAtAC0ALQBcAG4ARgB1AG4AYwB0AGkAbwBuADoAIAAgACAAIAAgACAAIAAgAFEAdQBhAGQAdwBpAHMAZQC7A1wAbgBDAGEAdABlAGcAbwByAHkAOgAgACAAIAAgACAAIAAgACAARwByAGkAZAAgAEEAbgBhAGwAeQB0AGkAYwBzACAAKABDAGEAdABlAGcAbwByAGkAYwBhAGwAIABBAG4AYQBsAHkAcwBpAHMAKQBcAG4AQQB1AHQAaABvAHIAOgAgACAAIAAgACAAIAAgACAAIAAgAFAAYQB0AHIAaQBjAGsAIABIAC4AXABuAFYAZQByAHMAaQBvAG4AOgAgACAAIAAgACAAIAAgACAAIAAxAC4AMQBcAG4ARABlAHAAZQBuAGQAZQBuAGMAaQBlAHMAOgAgACAAIAAgAFIAZQBwAGUAYQB0AFIAbwB3AHMAuwMsACAAUgBlAHMAaQB6AGUAuwMsACAAVAByAGkAcABsAGUAdwBpAHMAZQC7A1wAbgBcAG4ARABlAHMAYwByAGkAcAB0AGkAbwBuADoAXABuACAAIAAgACAARwBlAG4AZQByAGEAdABlAHMAIAB0AGgAZQAgAEMAYQByAHQAZQBzAGkAYQBuACAAcAByAG8AZAB1AGMAdAAgAG8AZgAgADQAIABzAGUAdABzAC4AIABBAGwAbAAgAGkAbgBwAHUAdABzACAAYQByAGUAIABmAGwAYQB0AHQAZQBuAGUAZAAgAGEAbgBkAFwAbgAgACAAIAAgAHQAaABlACAAcgBlAHMAdQBsAHQAaQBuAGcAIABxAHUAYQBkAHIAdQBwAGwAZQBzACAAcAByAGUAcwBlAHIAdgBlACAAdABoAGUAIABvAHIAZABlAHIAIABvAGYAIAB0AGgAZQAgAHMAdQBwAHAAbABpAGUAZAAgAHMAZQB0AHMALgBcAG4AXABuACAAIAAgACAAUQB1AGEAZAB3AGkAcwBlALsDIABlAHgAdABlAG4AZABzACAAVAByAGkAcABsAGUAdwBpAHMAZQC7AyAAdABvACAAYQAgADQAESBhAHgAaQBzACAAZgBhAGIAcgBpAGMAOgBcAG4AIAAgACAAIAAgACAAIAAgACIgIABzAGUAdABfADEAIADXACAAcwBlAHQAXwAyACAA1wAgAHMAZQB0AF8AMwAgANcAIABzAGUAdABfADQAXABuACAAIAAgACAAVABoAGUAIABvAHUAdABwAHUAdAAgAGkAcwAgAGEAIABzAHAAaQBsAGwAIAByAGEAbgBnAGUAIAB3AGgAZQByAGUAIABlAGEAYwBoACAAcgBvAHcAIAByAGUAcAByAGUAcwBlAG4AdABzACAAbwBuAGUAIABvAHIAZABlAHIAZQBkACAAcQB1AGEAZAByAHUAcABsAGUALgBcAG4AXABuAFAAYQByAGEAbQBlAHQAZQByAHMAOgBcAG4AIAAgACAAIABzAGUAdABfADEAIAAgACAAIABTAGMAYQBsAGEAcgBzACAAYQBuAGQAIABhAHIAcgBhAHkAcwAgACgAMQBEACAAbwByACAAMgBEACkAIABhAHIAZQAgAGEAYwBjAGUAcAB0AGUAZAAuACAAQQBsAGwAIABpAG4AcAB1AHQAcwAgAGEAcgBlACAAZgBsAGEAdAB0AGUAbgBlAGQALgBcAG4AIAAgACAAIABzAGUAdABfADIAXABuACAAIAAgACAAcwBlAHQAXwAzAFwAbgAgACAAIAAgAHMAZQB0AF8ANABcAG4ALQAtAC0ALQAtAC0ALQAtAC0ALQAtAC0ALQAtAC0ALQAtAC0ALQAtAC0ALQAtAC0ALQAtAC0ALQAtAC0ALQAtAC0ALQAtAC0ALQAtAC0ALQAtAC0ALQAtAC0ALQAtAC0ALQAtAC0ALQAtAC0ALQAtAC0ALQAtAC0ALQAtAC0ALQAtAC0ALQAtAC0ALQAtAC0ALQAtAC0ALQAtAC0AKgAvAFwAbgBcAG4AUQB1AGEAZAB3AGkAcwBlALsDPQBcAG4ATABBAE0AQgBEAEEAKABcAG4AIAAgACAAIABzAGUAdABfADEALABcAG4AIAAgACAAIABzAGUAdABfADIALABcAG4AIAAgACAAIABzAGUAdABfADMALABcAG4AIAAgACAAIABzAGUAdABfADQALABcAG4ATABFAFQAKABcAG4AIAAgACAAIAAvAC8AIABGAGwAYQB0AHQAZQBuACAAYQBsAGwAIABpAG4AcAB1AHQAcwBcAG4AIAAgACAAIABzAGUAdABfADEALAAgACAAVABPAEMATwBMACgAcwBlAHQAXwAxACkALABcAG4AIAAgACAAIABzAGUAdABfADIALAAgACAAVABPAEMATwBMACgAcwBlAHQAXwAyACkALABcAG4AIAAgACAAIABzAGUAdABfADMALAAgACAAVABPAEMATwBMACgAcwBlAHQAXwAzACkALABcAG4AIAAgACAAIABzAGUAdABfADQALAAgACAAVABPAEMATwBMACgAcwBlAHQAXwA0ACkALABcAG4AXABuACAAIAAgACAALwAvACAARQB4AHAAYQBuAHMAaQBvAG4AIABjAG8AdQBuAHQAXABuACAAIAAgACAAawAsACAAIAAgACAAIAAgAFIATwBXAFMAKABzAGUAdABfADQAKQAsAFwAbgBcAG4AIAAgACAAIAAvAC8AIABOAG8AcgBtAGEAbABpAHoAZQAgAHMAZQB0ACAANAAgAGkAZgAgAHMAYwBhAGwAYQByACAAdABvACAAYQB2AG8AaQBkACAAVABPAEMATwBMACAAaABhAG4AZABvAGYAZgAgAHQAbwAgAFIAZQBzAGkAegBlALsDXABuACAAIAAgACAAZAAsACAAIAAgACAAIAAgAEkARgAoAGsAIAA8AD4AIAAxACwAcwBlAHQAXwA0ACwASQBOAEQARQBYACgAcwBlAHQAXwA0ACwAMQApACkALABcAG4AXABuACAAIAAgACAALwAvACAAVAByAGkAcABsAGUAcwBcAG4AIAAgACAAIAB0AGgAcgBpAGMAZQAsACAAVAByAGkAcABsAGUAdwBpAHMAZQC7AygAcwBlAHQAXwAxACwAcwBlAHQAXwAyACwAcwBlAHQAXwAzACkALABcAG4AIAAgACAAIABcAG4AIAAgACAAIAAvAC8AIABFAHgAcABhAG4AZAAgAHQAcgBpAHAAbABlACAAcgBvAHcAcwAgAGIAeQAgAHQAbwB0AGEAbAAgAGkAdABlAG0AcwAgAGkAbgAgAHMAZQB0ACAANABcAG4AIAAgACAAIAB0AGgAcgBpAGMAZQBfACwAUgBlAHAAZQBhAHQAUgBvAHcAcwC7AygAdABoAHIAaQBjAGUALABrACkALABcAG4AIAAgACAAIABrAIIgLAAgACAAIAAgACAAUgBPAFcAUwAoAHQAaAByAGkAYwBlAF8AKQAsAFwAbgBcAG4AIAAgACAAIAAvAC8AIABFAHgAcABhAG4AZAAgAHMAZQB0ACAANAAgAHQAbwAgAG0AYQB0AGMAaAAgAGwAZQBuAGcAdABoACAAbwBmACAAdAByAGkAcABsAGUAXABuACAAIAAgACAAZgBvAHUAcgAsACAAIAAgAFIAZQBzAGkAegBlALsDKABkACwAawCCICAALwAgAGsAKQAsAFwAbgBcAG4AIAAgACAAIAAvAC8AIABTAHQAYQBjAGsAIABhAG4AZAAgAGQAaQBzAHAAbABhAHkAXABuACAAIAAgACAAZgBpAG4AYQBsACwAIAAgAEgAUwBUAEEAQwBLACgAdABoAHIAaQBjAGUAXwAsAGYAbwB1AHIAKQAsAFwAbgAgACAAIAAgAGYAaQBuAGEAbABcAG4AXABuACkAKQA7AFwAbgBcAG4AXABuAFwAbgAvACoAIABbAEcAUgAwADcAXQAgAC0ALQAtAC0ALQAtAC0ALQAtAC0ALQAtAC0ALQAtAC0ALQAtAC0ALQAtAC0ALQAtAC0ALQAtAC0ALQAtAC0ALQAtAC0ALQAtAC0ALQAtAC0ALQAtAC0ALQAtAC0ALQAtAC0ALQAtAC0ALQAtAC0ALQAtAC0ALQAtAC0ALQAtAC0ALQAtAC0ALQAtAC0ALQAtAC0AXABuAEYAdQBuAGMAdABpAG8AbgA6ACAAIAAgACAAIABHAHIAbwB1AHAAYgB5AEIAaQBuALsDXABuAEMAYQB0AGUAZwBvAHIAeQA6ACAAIAAgACAAIABHAHIAaQBkACAAQQBuAGEAbAB5AHQAaQBjAHMAIAAoAEMAYQB0AGUAZwBvAHIAaQBjAGEAbAAgAEEAbgBhAGwAeQBzAGkAcwApAFwAbgBBAHUAdABoAG8AcgA6ACAAIAAgACAAIAAgACAAUABhAHQAcgBpAGMAawAgAEgALgBcAG4AVgBlAHIAcwBpAG8AbgA6ACAAIAAgACAAIAAgADEALgAxAFwAbgBcAG4ARABlAHMAYwByAGkAcAB0AGkAbwBuADoAXABuACAAIAAgACAAQQBnAGcAcgBlAGcAYQB0AGUAcwAgAG8AbgBlACAAbwByACAAbQBvAHIAZQAgAHYAYQBsAHUAZQAgAGEAcgByAGEAeQBzACAAaQBuAHQAbwAgAGYAaQB4AGUAZAARIHcAaQBkAHQAaAAgAGIAaQBuAHMAIABkAGUAcgBpAHYAZQBkACAAZgByAG8AbQAgAGEAXABuACAAIAAgACAAbgB1AG0AZQByAGkAYwAgAGYAaQBlAGwAZAAuACAAUwB1AHAAcABvAHIAdABzACAAbwBwAHQAaQBvAG4AYQBsACAAaABlAGEAZABlAHIAcwAgAGEAbgBkACAAYwBoAGEAcgB0ABEgcgBlAGEAZAB5ACAAbwB1AHQAcAB1AHQALgAgAEIAaQBuAHMAIABhAHIAZQBcAG4AIAAgACAAIABkAGUAZgBpAG4AZQBkACAAYgB5ACAAYQAgAG4AdQBtAGUAcgBpAGMAIABhAHIAcgBhAHkAIABhAG4AZAAgAGEAIABwAG8AcwBpAHQAaQB2AGUAIABpAG4AdABlAGcAZQByACAAYgBpAG4AXwB3AGkAZAB0AGgALgBcAG4AXABuAFAAYQByAGEAbQBlAHQAZQByAHMAOgBcAG4AIAAgACAAIABhAHIAcgBhAHkAIAAgACAAIAAgACAAIAAgACAAIAAgAC0AIABOAHUAbQBlAHIAaQBjACAAMQBEACAAYQByAHIAYQB5ACAAdQBzAGUAZAAgAHQAbwAgAGQAZQBmAGkAbgBlACAAYgBpAG4AIABiAG8AdQBuAGQAYQByAGkAZQBzAC4AXABuACAAIAAgACAAdgBhAGwAdQBlAHMAIAAgACAAIAAgACAAIAAgACAAIAAtACAAQQByAHIAYQB5ACgAcwApACAAdABvACAAYgBlACAAYQBnAGcAcgBlAGcAYQB0AGUAZAAgACgAMQBEACAAbwByACAAMgBEACkALgBcAG4AIAAgACAAIABiAGkAbgBfAHcAaQBkAHQAaAAgACAAIAAgACAAIAAgAC0AIABQAG8AcwBpAHQAaQB2AGUAIABpAG4AdABlAGcAZQByACAAcwBwAGUAYwBpAGYAeQBpAG4AZwAgAGIAaQBuACAAdwBpAGQAdABoACAAKABlIiAAMQApAC4AXABuACAAIAAgACAAZgB1AG4AYwB0AGkAbwBuACAAIAAgACAAIAAgACAAIAAtACAARQBUAEEAESBjAG8AbQBwAGEAdABpAGIAbABlACAAZgB1AG4AYwB0AGkAbwBuACAAbwByACAAcwBpAG4AZwBsAGUAESBwAGEAcgBhAG0AZQB0AGUAcgAgAEwAQQBNAEIARABBAC4AXABuAFwAbgBPAHAAdABpAG8AbgBhAGwAOgBcAG4AIAAgACAAIABbAGYAaQBlAGwAZABfAGgAZQBhAGQAZQByAF0AIAAgAC0AIABUAFIAVQBFACAAaQBmACAAaQBuAHAAdQB0ACAAYQByAHIAYQB5AHMAIABpAG4AYwBsAHUAZABlACAAaABlAGEAZABlAHIAcwAgAHQAbwAgAGIAZQAgAGMAYQByAHIAaQBlAGQAIABmAG8AcgB3AGEAcgBkAC4AXABuACAAIAAgACAAWwBjAGgAYQByAHQAXwBwAHIAZQBwAF0AIAAgACAAIAAtACAAVABSAFUARQAgAHQAbwAgAHIAZQB0AHUAcgBuACAAYQAgAGMAbwBuAGMAaQBzAGUAIABjAGgAYQByAHQAESByAGUAYQBkAHkAIABsAGEAeQBvAHUAdAAuAFwAbgBcAG4ATgBvAHQAZQBzADoAXABuACAAIAAgACAAIiAgAGIAaQBuAF8AdwBpAGQAdABoACAAPQAgADEAIACSISAAYgBlAGgAYQB2AGUAcwAgAGwAaQBrAGUAIABHAFIATwBVAFAAQgBZACAAKABuAG8AIABiAGkAbgBuAGkAbgBnACkALgBcAG4AIAAgACAAIAAiICAAYgBpAG4AXwB3AGkAZAB0AGgAIABlIiAAKABtAGEAeAAgABIiIABtAGkAbgApACAAkiEgAGMAbwBsAGwAYQBwAHMAZQBzACAAdABvACAAYQAgAHMAaQBuAGcAbABlACAAYgBpAG4ALgBcAG4AIAAgACAAIAAiICAAQwBoAGEAcgB0ACAAbQBvAGQAZQAgAHIAZQB0AHUAcgBuAHMAIAB7AFwAIgBCAGkAbgBcACIALABcACIAQQBnAGcAcgBlAGcAYQB0AGUAXAAiAH0AIABmAG8AcgAgAGUAYQBzAHkAIABwAGwAbwB0AHQAaQBuAGcALgBcAG4ALQAtAC0ALQAtAC0ALQAtAC0ALQAtAC0ALQAtAC0ALQAtAC0ALQAtAC0ALQAtAC0ALQAtAC0ALQAtAC0ALQAtAC0ALQAtAC0ALQAtAC0ALQAtAC0ALQAtAC0ALQAtAC0ALQAtAC0ALQAtAC0ALQAtAC0ALQAtAC0ALQAtAC0ALQAtAC0ALQAtAC0ALQAtAC0ALQAtAC0ALQAtAC0AKgAvAFwAbgBcAG4ARwByAG8AdQBwAGIAeQBCAGkAbgC7AyAAPQBcAG4ATABBAE0AQgBEAEEAKABcAG4AIAAgACAAIABhAHIAcgBhAHkALABcAG4AIAAgACAAIAB2AGEAbAB1AGUAcwAsAFwAbgAgACAAIAAgAGIAaQBuAF8AdwBpAGQAdABoACwAXABuACAAIAAgACAAZgB1AG4AYwB0AGkAbwBuACwAXABuACAAIAAgACAAWwBmAGkAZQBsAGQAXwBoAGUAYQBkAGUAcgBdACwAXABuACAAIAAgACAAWwBjAGgAYQByAHQAXwBwAHIAZQBwAF0ALABcAG4ATABFAFQAKABcAG4AIAAgACAAIAAvAC8AIABEAGkAbQBlAG4AcwBpAG8AbgBzAFwAbgAgACAAIAAgAGkALAAgACAAIAAgACAAIAAgACAAIAAgACAAIAAgACAAIAAgACAAIABSAE8AVwBTACgAYQByAHIAYQB5ACkALABcAG4AIAAgACAAIABqACwAIAAgACAAIAAgACAAIAAgACAAIAAgACAAIAAgACAAIAAgACAAQwBPAEwAVQBNAE4AUwAoAGEAcgByAGEAeQApACwAXABuACAAIAAgACAAaQBfACwAIAAgACAAIAAgACAAIAAgACAAIAAgACAAIAAgACAAIAAgAFIATwBXAFMAKAB2AGEAbAB1AGUAcwApACwAXABuACAAIAAgACAAagBfACwAIAAgACAAIAAgACAAIAAgACAAIAAgACAAIAAgACAAIAAgAEMATwBMAFUATQBOAFMAKAB2AGEAbAB1AGUAcwApACwAXABuAFwAbgAgACAAIAAgAC8ALwAgAEgAZQBhAGQAZQByACAAZgBsAGEAZwBcAG4AIAAgACAAIABIAGUAYQBkAGUAcgBzAD8ALAAgACAAIAAgACAAIAAgACAAIAAgACAATgBPAFQAKABJAFMATwBNAEkAVABUAEUARAAoAGYAaQBlAGwAZABfAGgAZQBhAGQAZQByACkAKQAsAFwAbgBcAG4AIAAgACAAIAAvAC8AIABIAGEAbAB0AGkAbgBnACAAYwBvAG4AZABpAHQAaQBvAG4AcwBcAG4AIAAgACAAIABJAHMAMgBEAD8ALAAgACAAIAAgACAAIAAgACAAIAAgACAAIAAgACAAQQBOAEQAKABpACAAPgAgADEALAAgAGoAIAA+ACAAMQApACwAXABuACAAIAAgACAAUwBoAGEAcABlAE0AaQBzAG0AYQB0AGMAaAA/ACwAIAAgACAAIAAgAGkAIAA8AD4AIABpAF8ALABcAG4AIAAgACAAIABJAG4AdgBhAGwAaQBkAEIAaQBuAD8ALAAgACAAIAAgACAAIAAgACAATwBSACgASQBTAFQARQBYAFQAKABiAGkAbgBfAHcAaQBkAHQAaAApACwAIABiAGkAbgBfAHcAaQBkAHQAaAAgADwAIAAxACkALABcAG4AIAAgACAAIABJAG4AdgBhAGwAaQBkAEYAbgA/ACwAIAAgACAAIAAgACAAIAAgACAAVABZAFAARQAoAGYAdQBuAGMAdABpAG8AbgApACAAPAA+ACAAMQAyADgALABcAG4AIAAgACAAIABOAG8AbgBOAHUAbQBlAHIAaQBjAD8ALAAgACAAIAAgACAAIAAgACAATgBPAFQAKABBAE4ARAAoAEkAUwBOAFUATQBCAEUAUgAoAEkARgAoAEgAZQBhAGQAZQByAHMAPwAsACAARABSAE8AUAAoAGEAcgByAGEAeQAsACAAMQApACwAIABhAHIAcgBhAHkAKQApACkAKQAsAFwAbgBcAG4AIAAgACAAIAAvAC8AIABMAG8AZwBpAGMAIABnAGEAdABlAFwAbgAgACAAIAAgAEkARgAoAEkAcwAyAEQAPwAsACAAIAAgACAAIAAgACAAIAAgACAAIAAgACAAXAAiACMAMQBEAC0AQQBSAFIAQQBZACEAXAAiACwAXABuAFwAbgAgACAAIAAgACAAIAAgACAASQBGACgAUwBoAGEAcABlAE0AaQBzAG0AYQB0AGMAaAA/ACwAIABcACIAIwBEAEkATQBFAE4AUwBJAE8ATgBTACEAXAAiACwAXABuAFwAbgAgACAAIAAgACAAIAAgACAAIAAgACAAIABJAEYAKABOAG8AbgBOAHUAbQBlAHIAaQBjAD8ALAAgAFwAIgAjAE4AVQBNACEAXAAiACwAXABuAFwAbgAgACAAIAAgACAAIAAgACAAIAAgACAAIAAgACAAIAAgAEkARgAoAEkAbgB2AGEAbABpAGQAQgBpAG4APwAsACAAXAAiACMAQgBJAE4ALQBXAEkARABUAEgAIQBcACIALABcAG4AXABuACAAIAAgACAAIAAgACAAIAAgACAAIAAgACAAIAAgACAAIAAgACAAIABJAEYAKABJAG4AdgBhAGwAaQBkAEYAbgA/ACwAIABcACIAIwBJAE4AVgBBAEwASQBEAC0ARgBVAE4AQwBUAEkATwBOACEAXAAiACwAXABuAFwAbgBMAEUAVAAoAFwAbgAgACAAIAAgAC8ALwAgAE8AcAB0AGkAbwBuAGEAbAAgAGYAbABhAGcAcwBcAG4AIAAgACAAIABOAG8AQwBoAGEAcgB0AD8ALAAgACAAIAAgACAAIAAgACAAIAAgACAASQBTAE8ATQBJAFQAVABFAEQAKABjAGgAYQByAHQAXwBwAHIAZQBwACkALABcAG4AXABuACAAIAAgACAALwAvACAAUwB0AHIAaQBwACAAaABlAGEAZABlAHIAcwAgAGkAZgAgAHAAcgBlAHMAZQBuAHQAXABuACAAIAAgACAAYQByAHIALAAgACAAIAAgACAAIAAgACAAIAAgACAAIAAgACAAIAAgAEkARgAoAEgAZQBhAGQAZQByAHMAPwAsACAARABSAE8AUAAoAGEAcgByAGEAeQAsACAAMQApACwAIABhAHIAcgBhAHkAKQAsAFwAbgAgACAAIAAgAHYAYQBsACwAIAAgACAAIAAgACAAIAAgACAAIAAgACAAIAAgACAAIABJAEYAKABIAGUAYQBkAGUAcgBzAD8ALAAgAEQAUgBPAFAAKAB2AGEAbAB1AGUAcwAsACAAMQApACwAIAB2AGEAbAB1AGUAcwApACwAXABuAFwAbgAgACAAIAAgAC8ALwAgAEgAZQBhAGQAZQByACAAYwBvAG4AcwB0AHIAdQBjAHQAaQBvAG4AXABuACAAIAAgACAAcgBvAHcAXwBoAGUAYQBkAGUAcgAsACAAIAAgACAAIAAgACAAIAAgAEgAUwBUAEEAQwBLACgAXAAiAEIAaQBuACAAUwB0AGEAcgB0ACAAXAAiACAAJgAgAEkARgAoAEgAZQBhAGQAZQByAHMAPwAsACAAVABBAEsARQAoAGEAcgByAGEAeQAsACAAMQApACwAIABcACIAXAAiACkAIAAmACAAXAAiACAAVgBhAGwAdQBlAFwAIgAsAFwAIgBCAGkAbgAgAEUAbgBkAFwAIgApACwAXABuACAAIAAgACAAdgBhAGwAXwBoAGUAYQBkAGUAcgAsACAAIAAgACAAIAAgACAAIAAgAEUAWABQAEEATgBEACgASQBGACgASABlAGEAZABlAHIAcwA/ACwAIABUAEEASwBFACgAdgBhAGwAdQBlAHMALAAgADEAKQAsACAAXAAiAFQAbwB0AGEAbABcACIAKQAsACwAagBfACwAXAAiAFwAIgApACwAXABuACAAIAAgACAAaABlAGEAZABlAHIALAAgACAAIAAgACAAIAAgACAAIAAgACAAIAAgAEgAUwBUAEEAQwBLACgAcgBvAHcAXwBoAGUAYQBkAGUAcgAsACAAdgBhAGwAXwBoAGUAYQBkAGUAcgApACwAXABuAFwAbgAgACAAIAAgAC8ALwAgAEIAaQBuACAAYgBvAHUAbgBkAGEAcgBpAGUAcwBcAG4AIAAgACAAIABtAGkAbgAsACAAIAAgACAAIAAgACAAIAAgACAAIAAgACAAIAAgACAATQBJAE4AKABhAHIAcgApACwAXABuACAAIAAgACAAcwB0AGEAcgB0ACwAIAAgACAAIAAgACAAIAAgACAAIAAgACAAIAAgAEYATABPAE8AUgAoAG0AaQBuACwAIABiAGkAbgBfAHcAaQBkAHQAaAApACwAXABuAFwAbgAgACAAIAAgAG0AYQB4ACwAIAAgACAAIAAgACAAIAAgACAAIAAgACAAIAAgACAAIABNAEEAWAAoAGEAcgByACkALABcAG4AIAAgACAAIABlAG4AZAAsACAAIAAgACAAIAAgACAAIAAgACAAIAAgACAAIAAgACAAQwBFAEkATABJAE4ARwAoAG0AYQB4ACwAIABiAGkAbgBfAHcAaQBkAHQAaAApACwAXABuAFwAbgAgACAAIAAgAGsALAAgACAAIAAgACAAIAAgACAAIAAgACAAIAAgACAAIAAgACAAIAAoAGUAbgBkACAALQAgAHMAdABhAHIAdAApACAALwAgAGIAaQBuAF8AdwBpAGQAdABoACwAXABuAFwAbgAgACAAIAAgAGIAaQBuACwAIAAgACAAIAAgACAAIAAgACAAIAAgACAAIAAgACAAIABTAEUAUQBVAEUATgBDAEUAKABrACAAKwAgADEALAAgACwAIABzAHQAYQByAHQALAAgAGIAaQBuAF8AdwBpAGQAdABoACkALABcAG4AIAAgACAAIABiAGkAbgBfAHMAdABhAHIAdAAsACAAIAAgACAAIAAgACAAIAAgACAARABSAE8AUAAoAGIAaQBuACwAIAAtADEAKQAsAFwAbgAgACAAIAAgAGIAaQBuAF8AZQBuAGQALAAgACAAIAAgACAAIAAgACAAIAAgACAAIABEAFIATwBQACgAYgBpAG4ALAAgADEAKQAsAFwAbgBcAG4AIAAgACAAIAAvAC8AIABCAGkAbgAgAGEAcwBzAGkAZwBuAG0AZQBuAHQAXABuACAAIAAgACAAaQBkAHgALAAgACAAIAAgACAAIAAgACAAIAAgACAAIAAgACAAIAAgAFgATQBBAFQAQwBIACgAYQByAHIALAAgAGIAaQBuAF8AcwB0AGEAcgB0ACwAIAAtADEAKQAsAFwAbgAgACAAIAAgAHIAbwB3AF8AcwB0AGEAcgB0ACwAIAAgACAAIAAgACAAIAAgACAAIABJAE4ARABFAFgAKABiAGkAbgBfAHMAdABhAHIAdAAsACAAaQBkAHgAKQAsAFwAbgAgACAAIAAgAHIAbwB3AF8AZQBuAGQALAAgACAAIAAgACAAIAAgACAAIAAgACAAIABJAE4ARABFAFgAKABiAGkAbgBfAGUAbgBkACwAIABpAGQAeAApACwAXABuACAAIAAgACAAcgBvAHcAXwBmAGkAZQBsAGQAcwAsACAAIAAgACAAIAAgACAAIAAgAEgAUwBUAEEAQwBLACgAcgBvAHcAXwBzAHQAYQByAHQALAAgAHIAbwB3AF8AZQBuAGQAKQAsAFwAbgBcAG4AIAAgACAAIAAvAC8AIABBAGcAZwByAGUAZwBhAHQAaQBvAG4AXABuACAAIAAgACAAYQBnAGcALAAgACAAIAAgACAAIAAgACAAIAAgACAAIAAgACAAIAAgAEcAUgBPAFUAUABCAFkAKAByAG8AdwBfAGYAaQBlAGwAZABzACwAIAB2AGEAbAAsACAAZgB1AG4AYwB0AGkAbwBuACwAIABIAGUAYQBkAGUAcgBzAD8ALAAgADAAKQAsAFwAbgBcAG4AIAAgACAAIAAvAC8AIABDAGgAYQByAHQAIABwAHIAZQBwAFwAbgAgACAAIAAgAGEALAAgACAAIAAgACAAIAAgACAAIAAgACAAIAAgACAAIAAgACAAIABDAEgATwBPAFMARQBDAE8ATABTACgAYQBnAGcALAAgADEAKQAgACYAIABcACIAIAAtACAAPABcACIAIAAmACAAQwBIAE8ATwBTAEUAQwBPAEwAUwAoAGEAZwBnACwAIAAyACkALABcAG4AIAAgACAAIABiACwAIAAgACAAIAAgACAAIAAgACAAIAAgACAAIAAgACAAIAAgACAARABSAE8AUAAoAGEAZwBnACwAIAAsACAAMgApACwAXABuACAAIAAgACAAYwBoAGEAcgB0AF8AbABhAGIAZQBsAHMALAAgACAAIAAgACAAIAAgAHsAXAAiAEIAaQBuAFwAIgAsACAAXAAiAEEAZwBnAHIAZQBnAGEAdABlAFwAIgB9ACwAXABuAFwAbgAgACAAIAAgAC8ALwAgAFIAZQB0AHUAcgBuACAAbQBvAGQAZQBzAFwAbgAgACAAIAAgAGQAYQB0AGEALAAgACAAIAAgACAAIAAgACAAIAAgACAAIAAgACAAIABWAFMAVABBAEMASwAoAGgAZQBhAGQAZQByACwAIABhAGcAZwApACwAXABuACAAIAAgACAAYwBoAGEAcgB0ACwAIAAgACAAIAAgACAAIAAgACAAIAAgACAAIAAgAFYAUwBUAEEAQwBLACgAYwBoAGEAcgB0AF8AbABhAGIAZQBsAHMALAAgAEgAUwBUAEEAQwBLACgAYQAsACAAYgApACkALABcAG4AXABuACAAIAAgACAAZABlAGwAaQB2AGUAcgB5ACwAIAAgACAAIAAgACAAIAAgACAAIAAgAEkARgAoAE4AbwBDAGgAYQByAHQAPwAsACAAZABhAHQAYQAsACAAYwBoAGEAcgB0ACkALABcAG4AIAAgACAAIABkAGUAbABpAHYAZQByAHkAXABuACkAKQApACkAKQApACkAKQA7AFwAbgBcAG4AXABuAFwAbgAvACoAIABbAEcAUgAwADgAXQAgAC0ALQAtAC0ALQAtAC0ALQAtAC0ALQAtAC0ALQAtAC0ALQAtAC0ALQAtAC0ALQAtAC0ALQAtAC0ALQAtAC0ALQAtAC0ALQAtAC0ALQAtAC0ALQAtAC0ALQAtAC0ALQAtAC0ALQAtAC0ALQAtAC0ALQAtAC0ALQAtAC0ALQAtAC0ALQAtAC0ALQAtAC0ALQAtAC0AXABuAEYAdQBuAGMAdABpAG8AbgA6ACAAIAAgACAAIABHAHIAbwB1AHAAYgB5AEQAYQB0AGUAuwNcAG4AQwBhAHQAZQBnAG8AcgB5ADoAIAAgACAAIAAgAEcAcgBpAGQAIABBAG4AYQBsAHkAdABpAGMAcwAgACgAQwBhAHQAZQBnAG8AcgBpAGMAYQBsACAAQQBuAGEAbAB5AHMAaQBzACkAXABuAEEAdQB0AGgAbwByADoAIAAgACAAIAAgACAAIABQAGEAdAByAGkAYwBrACAASAAuAFwAbgBWAGUAcgBzAGkAbwBuADoAIAAgACAAIAAgACAAMQAuADEAXABuAEQAZQBwAGUAbgBkAGUAbgBjAGkAZQBzADoAIABWAGEAbABpAGQAYQB0AGUARwBEALsDXABuAFwAbgBEAGUAcwBjAHIAaQBwAHQAaQBvAG4AOgBcAG4AIAAgACAAIABBAGcAZwByAGUAZwBhAHQAZQBzACAAdgBhAGwAdQBlAHMAIABiAHkAIAByAG8AdwAgAGYAaQBlAGwAZABzACAAYwBvAG4AdABhAGkAbgBpAG4AZwAgAGQAYQB0AGUAcwAsACAAdQBzAGkAbgBnACAAYQAgAHMAcABlAGMAaQBmAGkAZQBkAFwAbgAgACAAIAAgAGQAYQB0AGUALwB0AGkAbQBlACAAaQBuAHQAZQByAHYAYQBsACAAKABtAGkAbgB1AHQAZQAsACAAaABvAHUAcgAsACAAZABhAHkALAAgAHcAZQBlAGsALAAgAGYAbwByAHQAbgBpAGcAaAB0ACwAIABtAG8AbgB0AGgALAAgAHEAdQBhAHIAdABlAHIALABcAG4AIAAgACAAIAB5AGUAYQByACkALgAgAFMAdQBwAHAAbwByAHQAcwAgAG8AcAB0AGkAbwBuAGEAbAAgAGgAZQBhAGQAZQByAHMALAAgAGMAdQBzAHQAbwBtACAAZgBvAHIAbQBhAHQAdABpAG4AZwAsACAAYQBuAGQAIAByAG8AdwAgAGYAaQBsAHQAZQByAGkAbgBnAC4AXABuAFwAbgBQAGEAcgBhAG0AZQB0AGUAcgBzADoAXABuACAAIAAgACAAcgBvAHcAXwBmAGkAZQBsAGQAcwAgACAAIAAgACAAIAAtACAAQQByAHIAYQB5ACAAKAAxAEQAIABvAHIAIAAyAEQAKQAgAHcAaQB0AGgAIABkAGEAdABlAHMAIABpAG4AIAB0AGgAZQAgAGwAZQBmAHQAbQBvAHMAdAAgAGMAbwBsAHUAbQBuAC4AXABuACAAIAAgACAAdgBhAGwAdQBlAHMAIAAgACAAIAAgACAAIAAgACAAIAAtACAAQQByAHIAYQB5ACAAKAAxAEQAIABvAHIAIAAyAEQAKQAgAGMAbwBuAHQAYQBpAG4AaQBuAGcAIAB2AGEAbAB1AGUAcwAgAGYAbwByACAAYQBnAGcAcgBlAGcAYQB0AGkAbwBuAC4AXABuACAAIAAgACAAaQBuAHQAZQByAHYAYQBsACAAIAAgACAAIAAgACAAIAAtACAARABhAHQAZQAvAHQAaQBtAGUAIABhAGcAZwByAGUAZwBhAHQAaQBvAG4AIABpAG4AdABlAHIAdgBhAGwAIAAoAG4AdQBtAGIAZQByACAAbwByACAAdABlAHgAdAApAC4AXABuACAAIAAgACAAZgB1AG4AYwB0AGkAbwBuACAAIAAgACAAIAAgACAAIAAtACAARQBUAEEAESBjAG8AbQBwAGEAdABpAGIAbABlACAAZgB1AG4AYwB0AGkAbwBuACAAbwByACAAcwBpAG4AZwBsAGUAESBwAGEAcgBhAG0AZQB0AGUAcgAgAEwAQQBNAEIARABBAC4AXABuAFwAbgBPAHAAdABpAG8AbgBhAGwAOgBcAG4AIAAgACAAIABbAGYAbwByAG0AYQB0AF0AIAAgACAAIAAgACAAIAAgAC0AIABDAHUAcwB0AG8AbQAgAGQAYQB0AGUALwB0AGkAbQBlACAAZgBvAHIAbQBhAHQAIABzAHQAcgBpAG4AZwAuAFwAbgAgACAAIAAgAFsAZgBpAGUAbABkAF8AaABlAGEAZABlAHIAcwBdACAALQAgAFQAUgBVAEUAIABpAGYAIABpAG4AcAB1AHQAIABhAHIAcgBhAHkAcwAgAGkAbgBjAGwAdQBkAGUAIABoAGUAYQBkAGUAcgBzAC4AXABuACAAIAAgACAAWwBmAGkAbAB0AGUAcgBfAGEAcgByAGEAeQBdACAAIAAtACAAQgBvAG8AbABlAGEAbgAgAGEAcgByAGEAeQAgAHQAbwAgAGYAaQBsAHQAZQByACAAcgBvAHcAcwAgAGIAZQBmAG8AcgBlACAAYQBnAGcAcgBlAGcAYQB0AGkAbwBuAC4AXABuAC0ALQAtAC0ALQAtAC0ALQAtAC0ALQAtAC0ALQAtAC0ALQAtAC0ALQAtAC0ALQAtAC0ALQAtAC0ALQAtAC0ALQAtAC0ALQAtAC0ALQAtAC0ALQAtAC0ALQAtAC0ALQAtAC0ALQAtAC0ALQAtAC0ALQAtAC0ALQAtAC0ALQAtAC0ALQAtAC0ALQAtAC0ALQAtAC0ALQAtAC0ALQAtACoALwBcAG4AXABuAEcAcgBvAHUAcABiAHkARABhAHQAZQC7AyAAPQBcAG4ATABBAE0AQgBEAEEAKABcAG4AIAAgACAAIAByAG8AdwBfAGYAaQBlAGwAZABzACwAXABuACAAIAAgACAAdgBhAGwAdQBlAHMALABcAG4AIAAgACAAIABpAG4AdABlAHIAdgBhAGwALABcAG4AIAAgACAAIABmAHUAbgBjAHQAaQBvAG4ALABcAG4AIAAgACAAIABbAGYAbwByAG0AYQB0AF0ALABcAG4AIAAgACAAIABbAGYAaQBlAGwAZABfAGgAZQBhAGQAZQByAHMAXQAsAFwAbgAgACAAIAAgAFsAZgBpAGwAdABlAHIAXwBhAHIAcgBhAHkAXQAsAFwAbgBcAG4AVgBhAGwAaQBkAGEAdABlAEcARAC7AygAcgBvAHcAXwBmAGkAZQBsAGQAcwAsACAAdgBhAGwAdQBlAHMALAAgAGkAbgB0AGUAcgB2AGEAbAAsACAAZgB1AG4AYwB0AGkAbwBuACwAIABmAGkAZQBsAGQAXwBoAGUAYQBkAGUAcgBzACwAIABmAGkAbAB0AGUAcgBfAGEAcgByAGEAeQAsAFwAbgBcAG4ATABFAFQAKABcAG4AIAAgACAAIAAvAC8AIABJAG4AdABlAHIAdgBhAGwAIABuAG8AcgBtAGEAbABpAHoAYQB0AGkAbwBuAFwAbgAgACAAIAAgAE4AdQBtAEkAbgB0AGUAcgB2AGEAbAA/ACwAIAAgACAAIAAgACAAIABOAE8AVAAoAEkAUwBUAEUAWABUACgAaQBuAHQAZQByAHYAYQBsACkAKQAsAFwAbgBcAG4AIAAgACAAIABjAG8AbgBzAHQALAAgACAAIAAgACAAIAAgACAAIAAgACAAIAAgACAAewBcACIAbQBpAG4AdQB0AGUAXAAiADsAXAAiAGgAbwB1AHIAXAAiADsAXAAiAGQAYQB5AFwAIgA7AFwAIgB3AGUAZQBrAFwAIgA7AFwAbgAgACAAIAAgACAAIAAgACAAIAAgACAAIAAgACAAIAAgACAAIAAgACAAIAAgACAAIAAgAFwAIgBmAG8AcgB0AG4AaQBnAGgAdABcACIAOwBcACIAbQBvAG4AdABoAFwAIgA7AFwAIgBxAHUAYQByAHQAZQByAFwAIgA7AFwAIgB5AGUAYQByAFwAIgB9ACwAXABuAFwAbgAgACAAIAAgAGkAbgB0AGUAcgB2AGEAbAAsACAAIAAgACAAIAAgACAAIAAgACAAIABJAEYAKABOAHUAbQBJAG4AdABlAHIAdgBhAGwAPwAsAGkAbgB0AGUAcgB2AGEAbAAsAFwAbgAgACAAIAAgACAAIAAgACAAIAAgACAAIAAgACAAIAAgACAAIAAgACAAIAAgACAAIAAgACAAIAAgAFgATQBBAFQAQwBIACgATABPAFcARQBSACgAaQBuAHQAZQByAHYAYQBsACkAIAAmACAAXAAiACoAXAAiACwAIABjAG8AbgBzAHQALAAgADIAKQApACwAXABuAFwAbgAgACAAIAAgAEkAbgBjAGwAdQBkAGUAcwBfAGUAbgBkAD8ALAAgACAAIAAgACAAIAAoAGkAbgB0AGUAcgB2AGEAbAAgAD0AIAA0ACkAIAArACAAKABpAG4AdABlAHIAdgBhAGwAIAA9ACAANQApACwAXABuAFwAbgAgACAAIAAgAHUAbgBpAHQALAAgACAAIAAgACAAIAAgACAAIAAgACAAIAAgACAAIABDAEgATwBPAFMARQAoAGkAbgB0AGUAcgB2AGEAbAAsACAAMQA0ADQAMAAsACAAMgA0ACwAIAAxACwAIAAxACwAIAAxACwAIAAxACwAIAAxACwAIAAxACkALABcAG4AXABuACAAIAAgACAALwAvACAATwBwAHQAaQBvAG4AYQBsACAAcABhAHIAYQBtAGUAdABlAHIAcwBcAG4AIAAgACAAIABOAG8ARgBvAHIAbQBhAHQAPwAsACAAIAAgACAAIAAgACAAIAAgACAASQBTAE8ATQBJAFQAVABFAEQAKABmAG8AcgBtAGEAdAApACwAXABuACAAIAAgACAASABlAGEAZABlAHIAPwAsACAAIAAgACAAIAAgACAAIAAgACAAIAAgAE4ATwBUACgASQBTAE8ATQBJAFQAVABFAEQAKABmAGkAZQBsAGQAXwBoAGUAYQBkAGUAcgBzACkAKQAsAFwAbgAgACAAIAAgAEYAaQBsAHQAZQByAD8ALAAgACAAIAAgACAAIAAgACAAIAAgACAAIABOAE8AVAAoAEkAUwBPAE0ASQBUAFQARQBEACgAZgBpAGwAdABlAHIAXwBhAHIAcgBhAHkAKQApACwAXABuAFwAbgAgACAAIAAgAC8ALwAgAEQAYQB0AGUAIAB2AGUAYwB0AG8AcgAgAGYAcgBvAG0AIAByAG8AdwBfAGYAaQBlAGwAZABzAFwAbgAgACAAIAAgAGQAYQB0AGUAXwBjAG8AbAAsACAAIAAgACAAIAAgACAAIAAgACAAIABJAEYAKABIAGUAYQBkAGUAcgA/ACwAXABuACAAIAAgACAAIAAgACAAIAAgACAAIAAgACAAIAAgACAAIAAgACAAIAAgACAAIAAgACAAIAAgACAARABSAE8AUAAoAFQAQQBLAEUAKAByAG8AdwBfAGYAaQBlAGwAZABzACwAIAAsACAAMQApACwAIAAxACkALABcAG4AIAAgACAAIAAgACAAIAAgACAAIAAgACAAIAAgACAAIAAgACAAIAAgACAAIAAgACAAIAAgACAAIABUAEEASwBFACgAcgBvAHcAXwBmAGkAZQBsAGQAcwAsACAALAAgADEAKQApACwAXABuAFwAbgAgACAAIAAgAGQAYQB0AGUAcwAsACAAIAAgACAAIAAgACAAIAAgACAAIAAgACAAIABJAEYAKABpAG4AdABlAHIAdgBhAGwAIAA8ACAAMwAsAFwAbgAgACAAIAAgACAAIAAgACAAIAAgACAAIAAgACAAIAAgACAAIAAgACAAIAAgACAAIAAgACAAIAAgAFIATwBVAE4ARAAoAGQAYQB0AGUAXwBjAG8AbAAgACoAIAB1AG4AaQB0ACwAIAAwACkAIAAvACAAdQBuAGkAdAAsAFwAbgAgACAAIAAgACAAIAAgACAAIAAgACAAIAAgACAAIAAgACAAIAAgACAAIAAgACAAIAAgACAAIAAgAEkATgBUACgAZABhAHQAZQBfAGMAbwBsACkAKQAsAFwAbgBcAG4AIAAgACAAIAB2AGEAbAB1AGUAcwBfAGgAZQBhAGQAZQByACwAIAAgACAAIAAgACAAVABBAEsARQAoAHYAYQBsAHUAZQBzACwAIAAxACkALABcAG4AIAAgACAAIAB2AGEAbAB1AGUAcwAsACAAIAAgACAAIAAgACAAIAAgACAAIAAgACAASQBGACgASABlAGEAZABlAHIAPwAsACAARABSAE8AUAAoAHYAYQBsAHUAZQBzACwAIAAxACkALAAgAHYAYQBsAHUAZQBzACkALABcAG4AIAAgACAAIAByAG8AdwBfAGQAZQB0AGEAaQBsAHMALAAgACAAIAAgACAAIAAgACAARABSAE8AUAAoAEQAUgBPAFAAKAByAG8AdwBfAGYAaQBlAGwAZABzACwAIAAsACAAMQApACwAIABIAGUAYQBkAGUAcgA/ACkALABcAG4AIAAgACAAIABmAGkAbAB0AGUAcgBfAHUAcwBlAGQALAAgACAAIAAgACAAIAAgACAASQBGACgASABlAGEAZABlAHIAPwAgACoAIABGAGkAbAB0AGUAcgA/ACwAXABuACAAIAAgACAAIAAgACAAIAAgACAAIAAgACAAIAAgACAAIAAgACAAIAAgACAAIAAgACAAIAAgACAARABSAE8AUAAoAGYAaQBsAHQAZQByAF8AYQByAHIAYQB5ACwAIAAxACkALABcAG4AIAAgACAAIAAgACAAIAAgACAAIAAgACAAIAAgACAAIAAgACAAIAAgACAAIAAgACAAIAAgACAAIABmAGkAbAB0AGUAcgBfAGEAcgByAGEAeQApACwAXABuAFwAbgAgACAAIAAgAC8ALwAgAFcAaQBkAHQAaABzAFwAbgAgACAAIAAgAHcALAAgACAAIAAgACAAIAAgACAAIAAgACAAIAAgACAAIAAgACAAIABDAE8ATABVAE0ATgBTACgAcgBvAHcAXwBmAGkAZQBsAGQAcwApACwAXABuACAAIAAgACAAdwBfACwAIAAgACAAIAAgACAAIAAgACAAIAAgACAAIAAgACAAIAAgAEMATwBMAFUATQBOAFMAKAB2AGEAbAB1AGUAcwApACwAXABuACAAIAAgACAAagAsACAAIAAgACAAIAAgACAAIAAgACAAIAAgACAAIAAgACAAIAAgAHcAIAArACAAdwBfACwAXABuAFwAbgAgACAAIAAgAC8ALwAgAEQAYQB0AGUAIABiAG8AdQBuAGQAcwBcAG4AIAAgACAAIABtAGkAbgAsACAAIAAgACAAIAAgACAAIAAgACAAIAAgACAAIAAgACAASQBOAFQAKABNAEkATgAoAGQAYQB0AGUAcwApACkALABcAG4AIAAgACAAIABtAGEAeAAsACAAIAAgACAAIAAgACAAIAAgACAAIAAgACAAIAAgACAASQBOAFQAKABNAEEAWAAoAGQAYQB0AGUAcwApACkALABcAG4AIAAgACAAIABtACwAIAAgACAAIAAgACAAIAAgACAAIAAgACAAIAAgACAAIAAgACAATQBPAE4AVABIACgAbQBpAG4AKQAsAFwAbgAgACAAIAAgAGQALAAgACAAIAAgACAAIAAgACAAIAAgACAAIAAgACAAIAAgACAAIABEAEEAWQAoAG0AaQBuACkALABcAG4AIAAgACAAIAB5ACwAIAAgACAAIAAgACAAIAAgACAAIAAgACAAIAAgACAAIAAgACAAWQBFAEEAUgAoAG0AaQBuACkALABcAG4AXABuACAAIAAgACAALwAvACAAVABpAG0AZQAgAG8AZgAgAGYAaQByAHMAdAAgAGQAYQB0AGUAXABuACAAIAAgACAAZgBpAHIAcwB0ACwAIAAgACAAIAAgACAAIAAgACAAIAAgACAAIAAgAE0ASQBOACgAZABhAHQAZQBzACkALABcAG4AIAAgACAAIABsAGEAcwB0ACwAIAAgACAAIAAgACAAIAAgACAAIAAgACAAIAAgACAATQBBAFgAKABkAGEAdABlAHMAKQAsAFwAbgAgACAAIAAgAGgAcgAsACAAIAAgACAAIAAgACAAIAAgACAAIAAgACAAIAAgACAAIABIAE8AVQBSACgAZgBpAHIAcwB0ACkALABcAG4AIAAgACAAIABtAG0ALAAgACAAIAAgACAAIAAgACAAIAAgACAAIAAgACAAIAAgACAATQBJAE4AVQBUAEUAKABmAGkAcgBzAHQAKQAsAFwAbgBcAG4AIAAgACAAIAAvAC8AIABSAGEAbgBnAGUAcwBcAG4AIAAgACAAIABzAGUAYwBvAG4AZABzACwAIAAgACAAIAAgACAAIAAgACAAIAAgACAAKABsAGEAcwB0ACAALQAgAGYAaQByAHMAdAApACAAKgAgADgANgA0ADAAMAAsAFwAbgAgACAAIAAgAG0AaQBuAHUAdABlAHMALAAgACAAIAAgACAAIAAgACAAIAAgACAAIABDAEUASQBMAEkATgBHACgAcwBlAGMAbwBuAGQAcwAgAC8AIAA2ADAALAAgADEAKQAsAFwAbgAgACAAIAAgAGgAbwB1AHIAcwAsACAAIAAgACAAIAAgACAAIAAgACAAIAAgACAAIABtAGkAbgB1AHQAZQBzACAALwAgADYAMAAsAFwAbgAgACAAIAAgAGQAYQB5AHMALAAgACAAIAAgACAAIAAgACAAIAAgACAAIAAgACAAIABtAGEAeAAgAC0AIABtAGkAbgAsAFwAbgAgACAAIAAgAHcAZQBlAGsAcwAsACAAIAAgACAAIAAgACAAIAAgACAAIAAgACAAIABDAEUASQBMAEkATgBHACgAZABhAHkAcwAgAC8AIAA3ACwAIAAxACkALABcAG4AIAAgACAAIABmAG8AcgB0AG4AaQBnAGgAdAAsACAAIAAgACAAIAAgACAAIAAgACAAQwBFAEkATABJAE4ARwAoAGQAYQB5AHMAIAAvACAAMQA0ACwAIAAxACkALABcAG4AIAAgACAAIABtAG8AbgB0AGgAcwAsACAAIAAgACAAIAAgACAAIAAgACAAIAAgACAARABBAFQARQBEAEkARgAoAG0AaQBuACwAIABtAGEAeAAsACAAXAAiAG0AXAAiACkALABcAG4AIAAgACAAIABxAHUAYQByAHQAZQByAHMALAAgACAAIAAgACAAIAAgACAAIAAgACAAQwBFAEkATABJAE4ARwAoAG0AbwBuAHQAaABzACAALwAgADMALAAgADEAKQAsAFwAbgAgACAAIAAgAHkAZQBhAHIAcwAsACAAIAAgACAAIAAgACAAIAAgACAAIAAgACAAIABDAEUASQBMAEkATgBHACgAbQBvAG4AdABoAHMAIAAvACAAMQAyACwAIAAxACkALABcAG4AXABuACAAIAAgACAALwAvACAARABpAHMAcABsAGEAeQAgAGYAbwByAG0AYQB0AHMAXABuACAAIAAgACAAaABfAG0AbQAsACAAIAAgACAAIAAgACAAIAAgACAAIAAgACAAIAAgAEkARgAoAGQAYQB5AHMAIAA+ACAAMQAsACAAXAAiAG0ALwBkAC8AeQB5AHkAIABoADoAbQBtACAAQQBNAC8AUABNAFwAIgAsACAAXAAiAGgAOgBtAG0AIABBAE0ALwBQAE0AXAAiACkALABcAG4AIAAgACAAIABtAG0AbQBtACwAIAAgACAAIAAgACAAIAAgACAAIAAgACAAIAAgACAAXAAiAG0AbQBtAG0AIAB5AHkAeQBcACIALABcAG4AIAAgACAAIABkAGEAeQAsACAAIAAgACAAIAAgACAAIAAgACAAIAAgACAAIAAgACAAXAAiAG0ALwBkAC8AeQB5AHkAXAAiACwAXABuACAAIAAgACAAeQB5AHkALAAgACAAIAAgACAAIAAgACAAIAAgACAAIAAgACAAIAAgAFwAIgB5AHkAeQBcACIALABcAG4AXABuACAAIAAgACAAZgBtAHQALAAgACAAIAAgACAAIAAgACAAIAAgACAAIAAgACAAIAAgAEkARgAoAE4AbwBGAG8AcgBtAGEAdAA/ACwAXABuACAAIAAgACAAIAAgACAAIAAgACAAIAAgACAAIAAgACAAIAAgACAAIAAgACAAIAAgACAAIAAgACAAUwBXAEkAVABDAEgAKABpAG4AdABlAHIAdgBhAGwALABcAG4AIAAgACAAIAAgACAAIAAgACAAIAAgACAAIAAgACAAIAAgACAAIAAgACAAIAAgACAAIAAgACAAIAAgACAAIAAgACAAIAAgACAAMQAsACAAaABfAG0AbQAsAFwAbgAgACAAIAAgACAAIAAgACAAIAAgACAAIAAgACAAIAAgACAAIAAgACAAIAAgACAAIAAgACAAIAAgACAAIAAgACAAIAAgACAAIAAyACwAIABoAF8AbQBtACwAXABuACAAIAAgACAAIAAgACAAIAAgACAAIAAgACAAIAAgACAAIAAgACAAIAAgACAAIAAgACAAIAAgACAAIAAgACAAIAAgACAAIAAgADMALAAgAGQAYQB5ACwAXABuACAAIAAgACAAIAAgACAAIAAgACAAIAAgACAAIAAgACAAIAAgACAAIAAgACAAIAAgACAAIAAgACAAIAAgACAAIAAgACAAIAAgADQALAAgAGQAYQB5ACwAXABuACAAIAAgACAAIAAgACAAIAAgACAAIAAgACAAIAAgACAAIAAgACAAIAAgACAAIAAgACAAIAAgACAAIAAgACAAIAAgACAAIAAgADUALAAgAGQAYQB5ACwAXABuACAAIAAgACAAIAAgACAAIAAgACAAIAAgACAAIAAgACAAIAAgACAAIAAgACAAIAAgACAAIAAgACAAIAAgACAAIAAgACAAIAAgADYALAAgAG0AbQBtAG0ALABcAG4AIAAgACAAIAAgACAAIAAgACAAIAAgACAAIAAgACAAIAAgACAAIAAgACAAIAAgACAAIAAgACAAIAAgACAAIAAgACAAIAAgACAANwAsACAAbQBtAG0AbQAsAFwAbgAgACAAIAAgACAAIAAgACAAIAAgACAAIAAgACAAIAAgACAAIAAgACAAIAAgACAAIAAgACAAIAAgACAAIAAgACAAIAAgACAAIAA4ACwAIAB5AHkAeQAsAFwAbgAgACAAIAAgACAAIAAgACAAIAAgACAAIAAgACAAIAAgACAAIAAgACAAIAAgACAAIAAgACAAIAAgACAAIAAgACAAIAAgACAAIABtAG0AbQBtACkALABcAG4AIAAgACAAIAAgACAAIAAgACAAIAAgACAAIAAgACAAIAAgACAAIAAgACAAIAAgACAAIAAgACAAIABmAG8AcgBtAGEAdAApACwAXABuAFwAbgAgACAAIAAgAC8ALwAgAEQAYQB0AGUALwB0AGkAbQBlACAAYQByAHIAYQB5AHMAIAAoAGQAZQBmAGUAcgByAGUAZAApAFwAbgAgACAAIAAgAG0AaQBuAF8AYQByAHIALAAgACAAIAAgACAAIAAgACAAIAAgACAAIABMAEEATQBCAEQAQQAoAFMARQBRAFUARQBOAEMARQAoAEAAbQBpAG4AdQB0AGUAcwAgACsAIAAxACwAIAAsACAAZgBpAHIAcwB0ACwAIAAxACAALwAgADEANAA0ADAAKQApACwAXABuACAAIAAgACAAaAByAHMAXwBhAHIAcgAsACAAIAAgACAAIAAgACAAIAAgACAAIAAgAEwAQQBNAEIARABBACgAUwBFAFEAVQBFAE4AQwBFACgAQABoAG8AdQByAHMAIAArACAAMQAsACAALAAgAGYAaQByAHMAdAAsACAAMQAgAC8AIAAyADQAKQApACwAXABuACAAIAAgACAAZABhAHkAcwBfAGEAcgByACwAIAAgACAAIAAgACAAIAAgACAAIAAgAEwAQQBNAEIARABBACgAUwBFAFEAVQBFAE4AQwBFACgAZABhAHkAcwAgACsAIAAxACwAIAAsACAAbQBpAG4ALAAgADEAKQApACwAXABuACAAIAAgACAAdwBlAGUAawBzAF8AYQByAHIALAAgACAAIAAgACAAIAAgACAAIAAgAEwAQQBNAEIARABBACgARABBAFQARQAoAHkALAAgAG0ALAAgAFMARQBRAFUARQBOAEMARQAoAHcAZQBlAGsAcwAgACsAIAAxACwAIAAsACAAZAAsACAANwApACkAKQAsAFwAbgAgACAAIAAgAGYAbwByAHQAXwBhAHIAcgAsACAAIAAgACAAIAAgACAAIAAgACAAIABMAEEATQBCAEQAQQAoAEQAQQBUAEUAKAB5ACwAIABtACwAIABTAEUAUQBVAEUATgBDAEUAKABmAG8AcgB0AG4AaQBnAGgAdAAgACsAIAAxACwAIAAsACAAZAAsACAAMQA0ACkAKQApACwAXABuACAAIAAgACAAbQBvAG4AdABoAF8AYQByAHIALAAgACAAIAAgACAAIAAgACAAIAAgAEwAQQBNAEIARABBACgARABBAFQARQAoAHkALAAgAG0AIAArACAAUwBFAFEAVQBFAE4AQwBFACgAbQBvAG4AdABoAHMAIAArACAAMQAsACAALAAgADAAKQAsACAAZAApACkALABcAG4AIAAgACAAIABxAHQAcgBzAF8AYQByAHIALAAgACAAIAAgACAAIAAgACAAIAAgACAATABBAE0AQgBEAEEAKABEAEEAVABFACgAeQAsACAAbQAgACsAIABTAEUAUQBVAEUATgBDAEUAKABxAHUAYQByAHQAZQByAHMAIAArACAAMQAsACAALAAgADAALAAgADMAKQAsACAAZAApACkALABcAG4AIAAgACAAIAB5AHIAcwBfAGEAcgByACwAIAAgACAAIAAgACAAIAAgACAAIAAgACAATABBAE0AQgBEAEEAKABEAEEAVABFACgAeQAgACsAIABTAEUAUQBVAEUATgBDAEUAKABAAHkAZQBhAHIAcwAgACsAIAAxACwAIAAsACAAMAApACwAIABtACwAIAAxACkAKQAsAFwAbgBcAG4AIAAgACAAIAAvAC8AIABJAG4AdABlAHIAdgBhAGwAIABzAGUAbABlAGMAdABpAG8AbgBcAG4AIAAgACAAIABiAGkAbgAsACAAIAAgACAAIAAgACAAIAAgACAAIAAgACAAIAAgACAATABBAE0AQgBEAEEAKABJAEYAKABpAG4AdABlAHIAdgBhAGwAIAA8ACAAMwAsAFwAbgAgACAAIAAgACAAIAAgACAAIAAgACAAIAAgACAAIAAgACAAIAAgACAAIAAgACAAIAAgACAAIAAgACAAIAAgACAAUgBPAFUATgBEACgAQwBIAE8ATwBTAEUAKABpAG4AdABlAHIAdgBhAGwALAAgAG0AaQBuAF8AYQByAHIAKAApACwAIABoAHIAcwBfAGEAcgByACgAKQApACAAKgAgAHUAbgBpAHQALABcAG4AIAAgACAAIAAgACAAIAAgACAAIAAgACAAIAAgACAAIAAgACAAIAAgACAAIAAgACAAIAAgACAAIAAgACAAIAAgACAAIAAgACAAMAApACAALwAgAHUAbgBpAHQALABcAG4AIAAgACAAIAAgACAAIAAgACAAIAAgACAAIAAgACAAIAAgACAAIAAgACAAIAAgACAAIAAgACAAIAAgACAAIAAgAEMASABPAE8AUwBFACgAXABuACAAIAAgACAAIAAgACAAIAAgACAAIAAgACAAIAAgACAAIAAgACAAIAAgACAAIAAgACAAIAAgACAAIAAgACAAIAAgACAAIAAgAGkAbgB0AGUAcgB2AGEAbAAgAC0AIAAyACwAXABuACAAIAAgACAAIAAgACAAIAAgACAAIAAgACAAIAAgACAAIAAgACAAIAAgACAAIAAgACAAIAAgACAAIAAgACAAIAAgACAAIAAgAGQAYQB5AHMAXwBhAHIAcgAoACkALABcAG4AIAAgACAAIAAgACAAIAAgACAAIAAgACAAIAAgACAAIAAgACAAIAAgACAAIAAgACAAIAAgACAAIAAgACAAIAAgACAAIAAgACAAdwBlAGUAawBzAF8AYQByAHIAKAApACwAXABuACAAIAAgACAAIAAgACAAIAAgACAAIAAgACAAIAAgACAAIAAgACAAIAAgACAAIAAgACAAIAAgACAAIAAgACAAIAAgACAAIAAgAGYAbwByAHQAXwBhAHIAcgAoACkALABcAG4AIAAgACAAIAAgACAAIAAgACAAIAAgACAAIAAgACAAIAAgACAAIAAgACAAIAAgACAAIAAgACAAIAAgACAAIAAgACAAIAAgACAAbQBvAG4AdABoAF8AYQByAHIAKAApACwAXABuACAAIAAgACAAIAAgACAAIAAgACAAIAAgACAAIAAgACAAIAAgACAAIAAgACAAIAAgACAAIAAgACAAIAAgACAAIAAgACAAIAAgAHEAdAByAHMAXwBhAHIAcgAoACkALABcAG4AIAAgACAAIAAgACAAIAAgACAAIAAgACAAIAAgACAAIAAgACAAIAAgACAAIAAgACAAIAAgACAAIAAgACAAIAAgACAAIAAgACAAeQByAHMAXwBhAHIAcgAoACkAKQApACkALABcAG4AXABuACAAIAAgACAALwAvACAATABhAGIAZQBsACAAYQBzAHMAaQBnAG4AbQBlAG4AdABcAG4AIAAgACAAIABpACwAIAAgACAAIAAgACAAIAAgACAAIAAgACAAIAAgACAAIAAgACAATABBAE0AQgBEAEEAKABJAEYAKABpAG4AdABlAHIAdgBhAGwAIAA9ACAAOAAsAFgATQBBAFQAQwBIACgAWQBFAEEAUgAoAGQAYQB0AGUAcwApACwAIABZAEUAQQBSACgAYgBpAG4AKAApACkAKQAsAFwAbgAgACAAIAAgACAAIAAgACAAIAAgACAAIAAgACAAIAAgACAAIAAgACAAIAAgACAAIAAgACAAIAAgACAAIAAgACAAWABNAEEAVABDAEgAKABkAGEAdABlAHMALAAgAGIAaQBuACgAKQAsACAALQAxACkAKQApACwAXABuAFwAbgAgACAAIAAgAGQAYQB0AGUAXwBmAGkAZQBsAGQALAAgACAAIAAgACAAIAAgACAAIABMAEEATQBCAEQAQQAoAEkATgBEAEUAWAAoAGIAaQBuACgAKQAsACAAaQAoACkAKQApACwAXABuAFwAbgAgACAAIAAgAC8ALwAgAFIAbwB3ACAAbABhAGIAZQBsAHMAXABuACAAIAAgACAAcgBvAHcAXwBsAGEAYgBlAGwAcwAsACAAIAAgACAAIAAgACAAIAAgAEkARgAoAHcAIAA9ACAAMQAsAGQAYQB0AGUAXwBmAGkAZQBsAGQAKAApACwAXABuACAAIAAgACAAIAAgACAAIAAgACAAIAAgACAAIAAgACAAIAAgACAAIAAgACAAIAAgACAAIAAgACAASABTAFQAQQBDAEsAKABkAGEAdABlAF8AZgBpAGUAbABkACgAKQAsACAAcgBvAHcAXwBkAGUAdABhAGkAbABzACkAKQAsAFwAbgBcAG4AIAAgACAAIAAvAC8AIABIAGUAYQBkAGUAcgBzAFwAbgAgACAAIAAgAHQAbwB0AGEAbABfAGwAYQBiAGUAbAAsACAAIAAgACAAIAAgACAAIABTAFcASQBUAEMASAAoAGkAbgB0AGUAcgB2AGEAbAAsAFwAbgAgACAAIAAgACAAIAAgACAAIAAgACAAIAAgACAAIAAgACAAIAAgACAAIAAgACAAIAAgACAAIAAgACAAIAAgACAAIAAgACAAIAAgACAAIAAgADEALAAgAFwAIgBUAG8AdABhAGwAcwAgAGIAeQAgAG0AaQBuAHUAdABlAFwAIgAsAFwAbgAgACAAIAAgACAAIAAgACAAIAAgACAAIAAgACAAIAAgACAAIAAgACAAIAAgACAAIAAgACAAIAAgACAAIAAgACAAIAAgACAAIAAgACAAIAAgADIALAAgAFwAIgBUAG8AdABhAGwAcwAgAGIAeQAgAGgAbwB1AHIAXAAiACwAXABuACAAIAAgACAAIAAgACAAIAAgACAAIAAgACAAIAAgACAAIAAgACAAIAAgACAAIAAgACAAIAAgACAAIAAgACAAIAAgACAAIAAgACAAIAAgACAAMwAsACAAXAAiAFQAbwB0AGEAbABzACAAYgB5ACAARABhAHkAXAAiACwAXABuACAAIAAgACAAIAAgACAAIAAgACAAIAAgACAAIAAgACAAIAAgACAAIAAgACAAIAAgACAAIAAgACAAIAAgACAAIAAgACAAIAAgACAAIAAgACAANAAsACAAXAAiAFcAZQBlAGsAbAB5ACAAVABvAHQAYQBsAHMAXAAiACwAXABuACAAIAAgACAAIAAgACAAIAAgACAAIAAgACAAIAAgACAAIAAgACAAIAAgACAAIAAgACAAIAAgACAAIAAgACAAIAAgACAAIAAgACAAIAAgACAANQAsACAAXAAiAEIAaQB3AGUAZQBrAGwAeQAgAFQAbwB0AGEAbABzAFwAIgAsAFwAbgAgACAAIAAgACAAIAAgACAAIAAgACAAIAAgACAAIAAgACAAIAAgACAAIAAgACAAIAAgACAAIAAgACAAIAAgACAAIAAgACAAIAAgACAAIAAgADYALAAgAFwAIgBNAG8AbgB0AGgAbAB5ACAAVABvAHQAYQBsAHMAXAAiACwAXABuACAAIAAgACAAIAAgACAAIAAgACAAIAAgACAAIAAgACAAIAAgACAAIAAgACAAIAAgACAAIAAgACAAIAAgACAAIAAgACAAIAAgACAAIAAgACAANwAsACAAXAAiAFQAbwB0AGEAbABzACAAYgB5ACAAUQB1AGEAcgB0AGUAcgBcACIALABcAG4AIAAgACAAIAAgACAAIAAgACAAIAAgACAAIAAgACAAIAAgACAAIAAgACAAIAAgACAAIAAgACAAIAAgACAAIAAgACAAIAAgACAAIAAgACAAIAA4ACwAIABcACIAWQBlAGEAcgBsAHkAIABUAG8AdABhAGwAcwBcACIALABcAG4AIAAgACAAIAAgACAAIAAgACAAIAAgACAAIAAgACAAIAAgACAAIAAgACAAIAAgACAAIAAgACAAIAAgACAAIAAgACAAIAAgACAAIAAgACAAIABcACIAXAAiACkALABcAG4AXABuACAAIAAgACAAdABvAHQAYQBsAF8AaABlAGEAZABlAHIALAAgACAAIAAgACAAIAAgAEUAWABQAEEATgBEACgASQBGACgATwBSACgAaQBuAHQAZQByAHYAYQBsACAAPQAgADQALAAgAGkAbgB0AGUAcgB2AGEAbAAgAD0AIAA1ACkALABcAG4AIAAgACAAIAAgACAAIAAgACAAIAAgACAAIAAgACAAIAAgACAAIAAgACAAIAAgACAAIAAgACAAIAAgACAAIAAgAEgAUwBUAEEAQwBLACgAdABvAHQAYQBsAF8AbABhAGIAZQBsACwAIABcACIARQBuAGQAaQBuAGcAIABEAGEAdABlAFwAIgApACwAXABuACAAIAAgACAAIAAgACAAIAAgACAAIAAgACAAIAAgACAAIAAgACAAIAAgACAAIAAgACAAIAAgACAAIAAgACAAIAB0AG8AdABhAGwAXwBsAGEAYgBlAGwAKQAsACwAdwAgACsAIABJAG4AYwBsAHUAZABlAHMAXwBlAG4AZAA/ACwAXAAiAFwAIgApACwAXABuAFwAbgAgACAAIAAgAGEAZwBnAF8AaABlAGEAZABlAHIALAAgACAAIAAgACAAIAAgACAAIABJAEYAKABIAGUAYQBkAGUAcgA/ACwAdgBhAGwAdQBlAHMAXwBoAGUAYQBkAGUAcgAsAFwAbgAgACAAIAAgACAAIAAgACAAIAAgACAAIAAgACAAIAAgACAAIAAgACAAIAAgACAAIAAgACAAIAAgAEUAWABQAEEATgBEACgAXAAiAFwAIgAsACAALAAgAHcAXwAsACAAXAAiAFwAIgApACkALABcAG4AXABuACAAIAAgACAALwAvACAAQQBnAGcAcgBlAGcAYQB0AGkAbwBuAFwAbgAgACAAIAAgAG4AbwBfAGYAaQBsAHQAZQByACwAIAAgACAAIAAgACAAIAAgACAAIABHAFIATwBVAFAAQgBZACgAcgBvAHcAXwBsAGEAYgBlAGwAcwAsACAAdgBhAGwAdQBlAHMALAAgAGYAdQBuAGMAdABpAG8AbgAsACAASABlAGEAZABlAHIAPwApACwAXABuACAAIAAgACAAZgBpAGwAdABlAHIAXwBpAG4AYwAsACAAIAAgACAAIAAgACAAIAAgAEcAUgBPAFUAUABCAFkAKAByAG8AdwBfAGwAYQBiAGUAbABzACwAIAB2AGEAbAB1AGUAcwAsACAAZgB1AG4AYwB0AGkAbwBuACwAIABIAGUAYQBkAGUAcgA/ACwAIAAsACAALAAgAGYAaQBsAHQAZQByAF8AdQBzAGUAZAApACwAXABuACAAIAAgACAAYQBnAGcALAAgACAAIAAgACAAIAAgACAAIAAgACAAIAAgACAAIAAgAEkARgAoAEYAaQBsAHQAZQByAD8ALAAgAGYAaQBsAHQAZQByAF8AaQBuAGMALAAgAG4AbwBfAGYAaQBsAHQAZQByACkALABcAG4AXABuACAAIAAgACAALwAvACAAUgBvAHcAIABsAGEAYgBlAGwAIAAoAHUAbgBmAG8AcgBtAGEAdAB0AGUAZAApACAAYQBuAGQAIABmAG8AcgBtAGEAdAB0AGUAZABcAG4AIAAgACAAIAByAG8AdwBfAGwAYQBiAGUAbAAsACAAIAAgACAAIAAgACAAIAAgACAATABBAE0AQgBEAEEAKABUAEEASwBFACgAYQBnAGcALAAgACwAIAAxACkAKQAsAFwAbgAgACAAIAAgAGEALAAgACAAIAAgACAAIAAgACAAIAAgACAAIAAgACAAIAAgACAAIABMAEEATQBCAEQAQQAoAFQARQBYAFQAKAByAG8AdwBfAGwAYQBiAGUAbAAoACkALAAgAGYAbQB0ACkAKQAsAFwAbgBcAG4AIAAgACAAIAAvAC8AIABFAG4AZABpAG4AZwAgAGQAYQB0AGUAcwAgAGYAbwByACAAdwBlAGUAawBsAHkAIAAvACAAYgBpAHcAZQBlAGsAbAB5AFwAbgAgACAAIAAgAGIAaQBuAF8AZQBuAGQALAAgACAAIAAgACAAIAAgACAAIAAgACAAIABMAEEATQBCAEQAQQAoAEkARgAoAGkAbgB0AGUAcgB2AGEAbAAgAD0AIAA0ACwAVABFAFgAVAAoAGEAKAApACAAKwAgADYALAAgAGYAbQB0ACkALABcAG4AIAAgACAAIAAgACAAIAAgACAAIAAgACAAIAAgACAAIAAgACAAIAAgACAAIAAgACAAIAAgACAAIAAgACAAIAAgAEkARgAoAGkAbgB0AGUAcgB2AGEAbAAgAD0AIAA1ACwAIABUAEUAWABUACgAYQAoACkAIAArACAAMQAzACwAIABmAG0AdAApACwAIAAwACkAKQApACwAXABuAFwAbgAgACAAIAAgAC8ALwAgAFIAZQBtAGEAaQBuAGkAbgBnACAAYwBvAGwAdQBtAG4AcwBcAG4AIAAgACAAIABiACwAIAAgACAAIAAgACAAIAAgACAAIAAgACAAIAAgACAAIAAgACAATABBAE0AQgBEAEEAKABEAFIATwBQACgAYQBnAGcALAAgACwAIAAxACkAKQAsAFwAbgBcAG4AIAAgACAAIAAvAC8AIABTAHQAYQBjAGsAcwBcAG4AIAAgACAAIABzAHQAYQBjAGsALAAgACAAIAAgACAAIAAgACAAIAAgACAAIAAgACAAVgBTAFQAQQBDAEsAKABIAFMAVABBAEMASwAoAHQAbwB0AGEAbABfAGgAZQBhAGQAZQByACwAIABhAGcAZwBfAGgAZQBhAGQAZQByACkALABcAG4AIAAgACAAIAAgACAAIAAgACAAIAAgACAAIAAgACAAIAAgACAAIAAgACAAIAAgACAAIAAgACAAIAAgACAAIABIAFMAVABBAEMASwAoAGEAKAApACwAIABiACgAKQApACkALABcAG4AXABuACAAIAAgACAAcwB0AGEAYwBrAF8AZQBuAGQALAAgACAAIAAgACAAIAAgACAAIAAgAEkARgBFAFIAUgBPAFIAKABcAG4AIAAgACAAIAAgACAAIAAgACAAIAAgACAAIAAgACAAIAAgACAAIAAgACAAIAAgACAAIAAgACAAIABWAFMAVABBAEMASwAoAFwAbgAgACAAIAAgACAAIAAgACAAIAAgACAAIAAgACAAIAAgACAAIAAgACAAIAAgACAAIAAgACAAIAAgACAAIAAgACAASABTAFQAQQBDAEsAKAB0AG8AdABhAGwAXwBoAGUAYQBkAGUAcgAsACAAYQBnAGcAXwBoAGUAYQBkAGUAcgApACwAXABuACAAIAAgACAAIAAgACAAIAAgACAAIAAgACAAIAAgACAAIAAgACAAIAAgACAAIAAgACAAIAAgACAAIAAgACAAIABIAFMAVABBAEMASwAoAGEAKAApACwAIABiAGkAbgBfAGUAbgBkACgAKQAsACAAYgAoACkAKQBcAG4AIAAgACAAIAAgACAAIAAgACAAIAAgACAAIAAgACAAIAAgACAAIAAgACAAIAAgACAAIAAgACAAIAApACwAXAAiAFwAIgApACwAXABuAFwAbgAgACAAIAAgAGQAZQBsAGkAdgBlAHIAeQAsACAAIAAgACAAIAAgACAAIAAgACAAIABJAEYAKABPAFIAKABpAG4AdABlAHIAdgBhAGwAIAA9ACAANAAsACAAaQBuAHQAZQByAHYAYQBsACAAPQAgADUAKQAsACAAcwB0AGEAYwBrAF8AZQBuAGQALAAgAHMAdABhAGMAawApACwAXABuAFwAbgAgACAAIAAgAGQAZQBsAGkAdgBlAHIAeQBcAG4AKQApACkAOwBcAG4AXABuAFwAbgBcAG4ALwAqACAAWwBHAFIAESBDAE8AUgBFAF0AIAAtAC0ALQAtAC0ALQAtAC0ALQAtAC0ALQAtAC0ALQAtAC0ALQAtAC0ALQAtAC0ALQAtAC0ALQAtAC0ALQAtAC0ALQAtAC0ALQAtAC0ALQAtAC0ALQAtAC0ALQAtAC0ALQAtAC0ALQAtAC0ALQAtAC0ALQAtAC0ALQAtAC0ALQAtAC0ALQAtAC0ALQAtAFwAbgBGAHUAbgBjAHQAaQBvAG4AOgAgACAAIAAgACAAVgBhAGwAaQBkAGEAdABlAEcARAC7A1wAbgBDAGEAdABlAGcAbwByAHkAOgAgACAAIAAgACAARwByAGkAZAAgAEEAbgBhAGwAeQB0AGkAYwBzACAAKABDAG8AcgBlACAAVgBhAGwAaQBkAGEAdABpAG8AbgApAFwAbgBBAHUAdABoAG8AcgA6ACAAIAAgACAAIAAgACAAUABhAHQAcgBpAGMAawAgAEgALgBcAG4AVgBlAHIAcwBpAG8AbgA6ACAAIAAgACAAIAAgADEALgAxAFwAbgBcAG4ARABlAHMAYwByAGkAcAB0AGkAbwBuADoAXABuACAAIAAgACAAVgBhAGwAaQBkAGEAdABlAHMAIABpAG4AcAB1AHQAcwAgAGYAbwByACAARwByAG8AdQBwAGIAeQBEAGEAdABlALsDLgAgAEUAbgBzAHUAcgBlAHMAIAB0AGgAYQB0ACAAcgBvAHcAXwBmAGkAZQBsAGQAcwAgAGMAbwBuAHQAYQBpAG4AIAB2AGEAbABpAGQAXABuACAAIAAgACAAZABhAHQAZQBzACwAIAB0AGgAYQB0ACAAaQBuAHQAZQByAHYAYQBsAHMAIABhAHIAZQAgAHIAZQBjAG8AZwBuAGkAegBlAGQALAAgAHQAaABhAHQAIAB2AGEAbAB1AGUAcwAgAGEAbgBkACAAZgBpAGwAdABlAHIAcwAgAGEAbABpAGcAbgAgAGkAbgBcAG4AIAAgACAAIABzAGgAYQBwAGUALAAgAGEAbgBkACAAdABoAGEAdAAgAHQAaABlACAAYQBnAGcAcgBlAGcAYQB0AGkAbwBuACAAZgB1AG4AYwB0AGkAbwBuACAAaQBzACAAYwBhAGwAbABhAGIAbABlAC4AXABuAFwAbgBQAGEAcgBhAG0AZQB0AGUAcgBzADoAXABuACAAIAAgACAAcgBvAHcAXwBmAGkAZQBsAGQAcwAgACAAIAAgACAAIAAtACAAQQByAHIAYQB5ACAAdwBpAHQAaAAgAGQAYQB0AGUAcwAgAGkAbgAgAHQAaABlACAAbABlAGYAdABtAG8AcwB0ACAAYwBvAGwAdQBtAG4ALgBcAG4AIAAgACAAIAB2AGEAbAB1AGUAcwAgACAAIAAgACAAIAAgACAAIAAgAC0AIABBAHIAcgBhAHkAIABvAGYAIAB2AGEAbAB1AGUAcwAgAHQAbwAgAGEAZwBnAHIAZQBnAGEAdABlAC4AXABuACAAIAAgACAAaQBuAHQAZQByAHYAYQBsACAAIAAgACAAIAAgACAAIAAtACAARABhAHQAZQAvAHQAaQBtAGUAIABpAG4AdABlAHIAdgBhAGwAIAAoAG4AdQBtAGUAcgBpAGMAIABvAHIAIAB0AGUAeAB0ACkALgBcAG4AIAAgACAAIABmAHUAbgBjAHQAaQBvAG4AIAAgACAAIAAgACAAIAAgAC0AIABFAFQAQQAgAG8AcgAgAHMAaQBuAGcAbABlABEgcABhAHIAYQBtAGUAdABlAHIAIABMAEEATQBCAEQAQQAuAFwAbgAgACAAIAAgAFsAZgBpAGUAbABkAF8AaABlAGEAZABlAHIAcwBdACAALQAgAFQAUgBVAEUAIABpAGYAIAByAG8AdwBfAGYAaQBlAGwAZABzAC8AdgBhAGwAdQBlAHMAIABpAG4AYwBsAHUAZABlACAAaABlAGEAZABlAHIAcwAuAFwAbgAgACAAIAAgAFsAZgBpAGwAdABlAHIAXwBhAHIAcgBhAHkAXQAgACAALQAgAEIAbwBvAGwAZQBhAG4AIABmAGkAbAB0AGUAcgAgAGEAcgByAGEAeQAuAFwAbgAgACAAIAAgAFsATwBuAF8AVgBhAGwAaQBkAF0AIAAgACAAIAAgACAALQAgAEUAeABwAHIAZQBzAHMAaQBvAG4AIAB0AG8AIABlAHYAYQBsAHUAYQB0AGUAIAB3AGgAZQBuACAAaQBuAHAAdQB0AHMAIABhAHIAZQAgAHYAYQBsAGkAZAAuAFwAbgBcAG4ATgBvAHQAZQBzADoAXABuACAAIAAgACAAIiAgAEQAZQB0AGUAYwB0AHMAIABpAG4AdgBhAGwAaQBkACAAZABhAHQAZQBzACwAIABtAGkAcwBzAGkAbgBnACAAdABpAG0AZQAgAGMAbwBtAHAAbwBuAGUAbgB0AHMALAAgAGEAbgBkACAAbQBhAGwAZgBvAHIAbQBlAGQAIABpAG4AdABlAHIAdgBhAGwAcwAuAFwAbgAgACAAIAAgACIgIABFAG4AcwB1AHIAZQBzACAAcgBvAHcAXwBmAGkAZQBsAGQAcwAsACAAdgBhAGwAdQBlAHMALAAgAGEAbgBkACAAZgBpAGwAdABlAHIAXwBhAHIAcgBhAHkAIABoAGEAdgBlACAAbQBhAHQAYwBoAGkAbgBnACAAaABlAGkAZwBoAHQAcwAuAFwAbgAgACAAIAAgACIgIABFAG4AcwB1AHIAZQBzACAAZgB1AG4AYwB0AGkAbwBuACAAaQBzACAAYwBhAGwAbABhAGIAbABlACAAdgBpAGEAIABhACAAcwBhAGYAZQAgAEIAWQBSAE8AVwAgAHQAZQBzAHQALgBcAG4ALQAtAC0ALQAtAC0ALQAtAC0ALQAtAC0ALQAtAC0ALQAtAC0ALQAtAC0ALQAtAC0ALQAtAC0ALQAtAC0ALQAtAC0ALQAtAC0ALQAtAC0ALQAtAC0ALQAtAC0ALQAtAC0ALQAtAC0ALQAtAC0ALQAtAC0ALQAtAC0ALQAtAC0ALQAtAC0ALQAtAC0ALQAtAC0ALQAtAC0ALQAtAC0AKgAvAFwAbgBcAG4AVgBhAGwAaQBkAGEAdABlAEcARAC7AyAAPQBcAG4ATABBAE0AQgBEAEEAKABcAG4AIAAgACAAIAByAG8AdwBfAGYAaQBlAGwAZABzACwAXABuACAAIAAgACAAdgBhAGwAdQBlAHMALABcAG4AIAAgACAAIABpAG4AdABlAHIAdgBhAGwALABcAG4AIAAgACAAIABmAHUAbgBjAHQAaQBvAG4ALABcAG4AIAAgACAAIABbAGYAaQBlAGwAZABfAGgAZQBhAGQAZQByAHMAXQAsAFwAbgAgACAAIAAgAFsAZgBpAGwAdABlAHIAXwBhAHIAcgBhAHkAXQAsAFwAbgAgACAAIAAgAFsATwBuAF8AVgBhAGwAaQBkAF0ALABcAG4ATABFAFQAKABcAG4AIAAgACAAIAAvAC8AIAAtAC0ALQAgAE8AcAB0AGkAbwBuAGEAbAAgAGYAbABhAGcAcwAgAC0ALQAtAFwAbgAgACAAIAAgAE4AbwBfAEYAaQBlAGwAZABfAEgAZQBhAGQAZQByAHMAPwAsACAAIAAgACAAIAAgAEkAUwBPAE0ASQBUAFQARQBEACgAZgBpAGUAbABkAF8AaABlAGEAZABlAHIAcwApACwAXABuACAAIAAgACAARgBpAGwAdABlAHIASQBuAGMAbAB1AGQAZQBkAD8ALAAgACAAIAAgACAAIAAgACAATgBPAFQAKABJAFMATwBNAEkAVABUAEUARAAoAGYAaQBsAHQAZQByAF8AYQByAHIAYQB5ACkAKQAsAFwAbgBcAG4AIAAgACAAIAAvAC8AIAAtAC0ALQAgAEUAeAB0AHIAYQBjAHQAIABkAGEAdABlACAAYQBuAGQAIAB2AGEAbAB1AGUAIABjAG8AbAB1AG0AbgBzACAALQAtAC0AXABuACAAIAAgACAARABhAHQAZQBfAGMAbwBsACwAIAAgACAAIAAgACAAIAAgACAAIAAgACAAIAAgACAASQBGACgATgBvAF8ARgBpAGUAbABkAF8ASABlAGEAZABlAHIAcwA/ACwAVABBAEsARQAoAHIAbwB3AF8AZgBpAGUAbABkAHMALAAgACwAIAAxACkALABcAG4AIAAgACAAIAAgACAAIAAgACAAIAAgACAAIAAgACAAIAAgACAAIAAgACAAIAAgACAAIAAgACAAIAAgACAAIAAgAEQAUgBPAFAAKABUAEEASwBFACgAcgBvAHcAXwBmAGkAZQBsAGQAcwAsACAALAAgADEAKQAsACAAMQApACkALABcAG4AXABuACAAIAAgACAAVgBhAGwAdQBlAHMAXwBjAG8AbAAsACAAIAAgACAAIAAgACAAIAAgACAAIAAgACAASQBGACgATgBvAF8ARgBpAGUAbABkAF8ASABlAGEAZABlAHIAcwA/ACwAVABBAEsARQAoAHYAYQBsAHUAZQBzACwAIAAsACAAMQApACwAXABuACAAIAAgACAAIAAgACAAIAAgACAAIAAgACAAIAAgACAAIAAgACAAIAAgACAAIAAgACAAIAAgACAAIAAgACAAIABEAFIATwBQACgAVABBAEsARQAoAHYAYQBsAHUAZQBzACwAIAAsACAAMQApACwAIAAxACkAKQAsAFwAbgBcAG4AIAAgACAAIAAvAC8AIAAtAC0ALQAgAEYAaQBsAHQAZQByACAAYQByAHIAYQB5ACAAbgBvAHIAbQBhAGwAaQB6AGEAdABpAG8AbgAgAC0ALQAtAFwAbgAgACAAIAAgAEIAbwBvAGwALAAgACAAIAAgACAAIAAgACAAIAAgACAAIAAgACAAIAAgACAAIAAgAEkARgBFAFIAUgBPAFIAKABJAEYAKABOAG8AXwBGAGkAZQBsAGQAXwBIAGUAYQBkAGUAcgBzAD8ALABmAGkAbAB0AGUAcgBfAGEAcgByAGEAeQAsAFwAbgAgACAAIAAgACAAIAAgACAAIAAgACAAIAAgACAAIAAgACAAIAAgACAAIAAgACAAIAAgACAAIAAgACAAIAAgACAAIAAgACAAIABEAFIATwBQACgAZgBpAGwAdABlAHIAXwBhAHIAcgBhAHkALAAgADEAKQAgACkALAAwACkALABcAG4AXABuACAAIAAgACAALwAvACAALQAtAC0AIABEAGEAdABlACAAdgBhAGwAaQBkAGkAdAB5ACAAYwBoAGUAYwBrAHMAIAAtAC0ALQBcAG4AIAAgACAAIABOAG8AXwBEAGEAdABlAHMAPwAsACAAIAAgACAAIAAgACAAIAAgACAAIAAgACAAIABPAFIAKABEAGEAdABlAF8AYwBvAGwAIAA8ACAAMAAsAEQAYQB0AGUAXwBjAG8AbAAgAD4AIAAyADkANQA4ADQANgA1ACwATgBPAFQAKABBAE4ARAAoAEkAUwBOAFUATQBCAEUAUgAoAEQAYQB0AGUAXwBjAG8AbAApACkAKQApACwAXABuAFwAbgAgACAAIAAgAE4AbwBfAFQAaQBtAGUAcwA/ACwAIAAgACAAIAAgACAAIAAgACAAIAAgACAAIAAgAEEATgBEACgARABhAHQAZQBfAGMAbwBsACAALQAgAEkATgBUACgARABhAHQAZQBfAGMAbwBsACkAIAA9ACAAMAApACwAXABuAFwAbgAgACAAIAAgAC8ALwAgAC0ALQAtACAARABpAG0AZQBuAHMAaQBvAG4AIABjAGgAZQBjAGsAcwAgAC0ALQAtAFwAbgAgACAAIAAgAGkAXwBkACwAIAAgACAAIAAgACAAIAAgACAAIAAgACAAIAAgACAAIAAgACAAIAAgAFIATwBXAFMAKABEAGEAdABlAF8AYwBvAGwAKQAsAFwAbgAgACAAIAAgAGkAXwB2ACwAIAAgACAAIAAgACAAIAAgACAAIAAgACAAIAAgACAAIAAgACAAIAAgAFIATwBXAFMAKABWAGEAbAB1AGUAcwBfAGMAbwBsACkALABcAG4AIAAgACAAIABpAF8AZgAsACAAIAAgACAAIAAgACAAIAAgACAAIAAgACAAIAAgACAAIAAgACAAIABJAEYAKABGAGkAbAB0AGUAcgBJAG4AYwBsAHUAZABlAGQAPwAsACAAUgBPAFcAUwAoAEIAbwBvAGwAKQAsACAAMAApACwAXABuAFwAbgAgACAAIAAgAC8ALwAgAC0ALQAtACAASQBuAHQAZQByAHYAYQBsACAAdgBhAGwAaQBkAGEAdABpAG8AbgAgAC0ALQAtAFwAbgAgACAAIAAgAEMAbwBuAHMAdAAsACAAIAAgACAAIAAgACAAIAAgACAAIAAgACAAIAAgACAAIAAgAHsAXAAiAG0AaQBuAHUAdABlAFwAIgA7AFwAIgBoAG8AdQByAFwAIgA7AFwAIgBkAGEAeQBcACIAOwBcACIAdwBlAGUAawBcACIAOwBcAG4AIAAgACAAIAAgACAAIAAgACAAIAAgACAAIAAgACAAIAAgACAAIAAgACAAIAAgACAAIAAgACAAIAAgAFwAIgBmAG8AcgB0AG4AaQBnAGgAdABcACIAOwBcACIAbQBvAG4AdABoAFwAIgA7AFwAIgBxAHUAYQByAHQAZQByAFwAIgA7AFwAIgB5AGUAYQByAFwAIgB9ACwAXABuAFwAbgAgACAAIAAgAFQAZQB4AHQASQBuAHQAZQByAHYAYQBsAD8ALAAgACAAIAAgACAAIAAgACAAIAAgAEkAUwBUAEUAWABUACgAaQBuAHQAZQByAHYAYQBsACkALABcAG4AIAAgACAAIABOAHUAbQBlAHIAaQBjAEkAbgB0AGUAcgB2AGEAbAA/ACwAIAAgACAAIAAgACAAIABJAFMATgBVAE0AQgBFAFIAKABpAG4AdABlAHIAdgBhAGwAKQAsAFwAbgBcAG4AIAAgACAAIABJAG4AdgBhAGwAaQBkAEkAbgB0AGUAcgB2AGEAbAA/ACwAIAAgACAAIAAgACAAIABJAEYAKABBAE4ARAAoAE4AdQBtAGUAcgBpAGMASQBuAHQAZQByAHYAYQBsAD8ALAAgAE8AUgAoAGkAbgB0AGUAcgB2AGEAbAAgADwAIAAxACwAIABpAG4AdABlAHIAdgBhAGwAIAA+ACAAOAApACkALABUAFIAVQBFACwAXABuACAAIAAgACAAIAAgACAAIAAgACAAIAAgACAAIAAgACAAIAAgACAAIAAgACAAIAAgACAAIAAgACAAIAAgACAAIABJAEYAKABBAE4ARAAoAFQAZQB4AHQASQBuAHQAZQByAHYAYQBsAD8ALAAgAEkAUwBOAEEAKABYAE0AQQBUAEMASAAoAGkAbgB0AGUAcgB2AGEAbAAgACYAIABcACIAKgBcACIALAAgAEMAbwBuAHMAdAAsACAAMgApACkAKQAsAFQAUgBVAEUALABcAG4AIAAgACAAIAAgACAAIAAgACAAIAAgACAAIAAgACAAIAAgACAAIAAgACAAIAAgACAAIAAgACAAIAAgACAAIAAgACAAIAAgACAARgBBAEwAUwBFACkAKQAsAFwAbgBcAG4AIAAgACAAIABJAHMAVABpAG0AZQA/ACwAIAAgACAAIAAgACAAIAAgACAAIAAgACAAIAAgACAAIABpAG4AdABlAHIAdgBhAGwAIAA8ACAAMwAsAFwAbgBcAG4AIAAgACAAIAAvAC8AIAAtAC0ALQAgAEgAYQBsAHQAaQBuAGcAIABjAG8AbgBkAGkAdABpAG8AbgBzACAALQAtAC0AXABuACAAIAAgACAARQBtAHAAdAB5AEkAbgBwAHUAdABzAD8ALAAgACAAIAAgACAAIAAgACAAIAAgACAATwBSACgASQBTAE8ATQBJAFQAVABFAEQAKAByAG8AdwBfAGYAaQBlAGwAZABzACkALAAgAEkAUwBPAE0ASQBUAFQARQBEACgAdgBhAGwAdQBlAHMAKQApACwAXABuAFwAbgAgACAAIAAgAEgAYQBsAHQARABhAHQAZQBzAD8ALAAgACAAIAAgACAAIAAgACAAIAAgACAAIAAgAEEATgBEACgAaQBuAHQAZQByAHYAYQBsACAAPgAgADIALAAgAE4AbwBfAEQAYQB0AGUAcwA/ACkALABcAG4AIAAgACAAIABIAGEAbAB0AFQAaQBtAGUAPwAsACAAIAAgACAAIAAgACAAIAAgACAAIAAgACAAIABBAE4ARAAoAEkAcwBUAGkAbQBlAD8ALAAgAE4AbwBfAFQAaQBtAGUAcwA/ACkALABcAG4AXABuACAAIAAgACAAUwBoAGEAcABlAE0AaQBzAG0AYQB0AGMAaAA/ACwAIAAgACAAIAAgACAAIAAgACAATwBSACgAaQBfAGQAIAA8AD4AIABpAF8AdgAsAEEATgBEACgARgBpAGwAdABlAHIASQBuAGMAbAB1AGQAZQBkAD8ALAAgAGkAXwBkACAAPAA+ACAAaQBfAGYAKQApACwAXABuAFwAbgAgACAAIAAgAEkAbgB2AGEAbABpAGQARgBuAD8ALAAgACAAIAAgACAAIAAgACAAIAAgACAAIAAgAFQAWQBQAEUAKABmAHUAbgBjAHQAaQBvAG4AKQAgADwAPgAgADEAMgA4ACwAXABuAFwAbgAgACAAIAAgAEUAbQBwAHQAeQBGAGkAbAB0AGUAcgA/ACwAIAAgACAAIAAgACAAIAAgACAAIAAgAEEATgBEACgARgBpAGwAdABlAHIASQBuAGMAbAB1AGQAZQBkAD8ALAAgAE4ATwBUACgATwBSACgAQgBvAG8AbAApACkAKQAsAFwAbgBcAG4AIAAgACAAIAAvAC8AIABDAG8AbABsAGUAYwB0ACAAYQBsAGwAIABjAG8AbgBkAGkAdABpAG8AbgBzAFwAbgAgACAAIAAgAGMAbwBuAGQAaQB0AGkAbwBuAHMALAAgACAAIAAgACAAIAAgACAAIAAgACAAIAAgAFYAUwBUAEEAQwBLACgARQBtAHAAdAB5AEkAbgBwAHUAdABzAD8ALABIAGEAbAB0AEQAYQB0AGUAcwA/ACwASABhAGwAdABUAGkAbQBlAD8ALABcAG4AIAAgACAAIAAgACAAIAAgACAAIAAgACAAIAAgACAAIAAgACAAIAAgACAAIAAgACAAIAAgACAAIAAgACAAIAAgACAAIAAgAFMAaABhAHAAZQBNAGkAcwBtAGEAdABjAGgAPwAsAEkAbgB2AGEAbABpAGQASQBuAHQAZQByAHYAYQBsAD8ALABJAG4AdgBhAGwAaQBkAEYAbgA/ACwARQBtAHAAdAB5AEYAaQBsAHQAZQByAD8AKQAsAFwAbgBcAG4AIAAgACAAIABoAGEAbAB0ACwAIAAgACAAIAAgACAAIAAgACAAIAAgACAAIAAgACAAIAAgACAAIABPAFIAKABjAG8AbgBkAGkAdABpAG8AbgBzACkALABcAG4AXABuACAAIAAgACAALwAvACAARQByAHIAbwByACAAbQBlAHMAcwBhAGcAZQBzACAAKABhAGwAaQBnAG4AZQBkACAAdwBpAHQAaAAgAEcAcgBvAHUAcABiAHkARABhAHQAZQC7AykAXABuACAAIAAgACAAZQByAHIAbwByAHMALAAgACAAIAAgACAAIAAgACAAIAAgACAAIAAgACAAIAAgACAAewBcACIAIwBFAE0AUABUAFkALQBJAE4AUABVAFQAIQBcACIAOwBcAG4AIAAgACAAIAAgACAAIAAgACAAIAAgACAAIAAgACAAIAAgACAAIAAgACAAIAAgACAAIAAgACAAIAAgAFwAIgAjAE4ATwAtAEQAQQBUAEUAUwAhAFwAIgA7AFwAbgAgACAAIAAgACAAIAAgACAAIAAgACAAIAAgACAAIAAgACAAIAAgACAAIAAgACAAIAAgACAAIAAgACAAXAAiACMATgBPAC0AVABJAE0ARQBTACEAXAAiADsAXABuACAAIAAgACAAIAAgACAAIAAgACAAIAAgACAAIAAgACAAIAAgACAAIAAgACAAIAAgACAAIAAgACAAIABcACIAIwBEAEkATQBFAE4AUwBJAE8ATgBTACEAXAAiADsAXABuACAAIAAgACAAIAAgACAAIAAgACAAIAAgACAAIAAgACAAIAAgACAAIAAgACAAIAAgACAAIAAgACAAIABcACIAIwBJAE4AVABFAFIAVgBBAEwAIQBcACIAOwBcAG4AIAAgACAAIAAgACAAIAAgACAAIAAgACAAIAAgACAAIAAgACAAIAAgACAAIAAgACAAIAAgACAAIAAgAFwAIgAjAEkATgBWAEEATABJAEQALQBGAFUATgBDAFQASQBPAE4AIQBcACIAOwBcAG4AIAAgACAAIAAgACAAIAAgACAAIAAgACAAIAAgACAAIAAgACAAIAAgACAAIAAgACAAIAAgACAAIAAgAFwAIgAjAEUATQBQAFQAWQAtAEYASQBMAFQARQBSACEAXAAiAH0ALABcAG4AXABuACAAIAAgACAAYQBsAGUAcgB0ACwAIAAgACAAIAAgACAAIAAgACAAIAAgACAAIAAgACAAIAAgACAARgBJAEwAVABFAFIAKABlAHIAcgBvAHIAcwAsACAAYwBvAG4AZABpAHQAaQBvAG4AcwAsACAAXAAiAFwAIgApACwAXABuAFwAbgAgACAAIAAgAC8ALwAgAC0ALQAtACAATABvAGcAaQBjACAAZwBhAHQAZQAgAC0ALQAtAFwAbgAgACAAIAAgAEkARgAoAGgAYQBsAHQALAAgAGEAbABlAHIAdAAsACAATwBuAF8AVgBhAGwAaQBkACkAXABuACkAKQA7AFwAbgBcAG4AXABuAFwAbgAvACoAIABbAEcAUgAwADkAXQAgAC0ALQAtAC0ALQAtAC0ALQAtAC0ALQAtAC0ALQAtAC0ALQAtAC0ALQAtAC0ALQAtAC0ALQAtAC0ALQAtAC0ALQAtAC0ALQAtAC0ALQAtAC0ALQAtAC0ALQAtAC0ALQAtAC0ALQAtAC0ALQAtAC0ALQAtAC0ALQAtAC0ALQAtAC0ALQAtAC0ALQAtAC0ALQAtAC0AXABuAEYAdQBuAGMAdABpAG8AbgA6ACAAIAAgACAAIABQAGkAdgBvAHQAYgB5AEMAYQB0ALsDXABuAEMAYQB0AGUAZwBvAHIAeQA6ACAAIAAgACAAIABHAHIAaQBkACAAQQBuAGEAbAB5AHQAaQBjAHMAIAAoAEMAYQB0AGUAZwBvAHIAaQBjAGEAbAAgAEEAbgBhAGwAeQBzAGkAcwApAFwAbgBBAHUAdABoAG8AcgA6ACAAIAAgACAAIAAgACAAUABhAHQAcgBpAGMAawAgAEgALgBcAG4AVgBlAHIAcwBpAG8AbgA6ACAAIAAgACAAIAAgADEALgAxAFwAbgBEAGUAcABlAG4AZABlAG4AYwBpAGUAcwA6ACAAUwB0AHIAZQBhAGsAuwMsACAAUgBlAHAAZQBhAHQAUgBvAHcAcwC7A1wAbgBcAG4ARABlAHMAYwByAGkAcAB0AGkAbwBuADoAXABuACAAIAAgACAAUABpAHYAbwB0AHMAIABkAGEAdABhACAAYgB5ACAAcgBvAHcAIABmAGkAZQBsAGQAcwAgACgAZABlAHQAYQBpAGwAIAArACAAZABhAHQAZQApACwAIABjAGEAdABlAGcAbwByAGkAZQBzACwAIABhAG4AZAAgAHYAYQBsAHUAZQBzAC4AXABuACAAIAAgACAAQwBhAHQAZQBnAG8AcgBpAGUAcwAgAGEAcgBlACAAYQBzAHMAdQBtAGUAZAAgAHQAbwAgAGIAZQAgAHAAcgBlABEgYwBvAG4AYwBhAHQAZQBuAGEAdABlAGQAIAB1AHMAaQBuAGcAIABhACAAZABlAGwAaQBtAGkAdABlAHIALgBcAG4AIAAgACAAIABTAHUAcABwAG8AcgB0AHMAIABvAHAAdABpAG8AbgBhAGwAIABhAGcAZwByAGUAZwBhAHQAaQBvAG4AIABmAHUAbgBjAHQAaQBvAG4AIABhAG4AZAAgAGQAYQB0AGUAIABmAG8AcgBtAGEAdAB0AGkAbgBnAC4AXABuAFwAbgBQAGEAcgBhAG0AZQB0AGUAcgBzADoAXABuACAAIAAgACAAcgBvAHcAXwBkAGUAdABhAGkAbAAgACAAIAAgACAAIAAtACAAMQBEACAAYQByAHIAYQB5ACAAbwBmACAAbgBvAG4AESBkAGEAdABlACAAcgBvAHcAIABmAGkAZQBsAGQAcwAuAFwAbgAgACAAIAAgAHIAbwB3AF8AZABhAHQAZQBzACAAIAAgACAAIAAgACAALQAgADEARAAgAGEAcgByAGEAeQAgAG8AZgAgAGQAYQB0AGUAcwAuAFwAbgAgACAAIAAgAGMAYQB0AGUAZwBvAHIAaQBlAHMAIAAgACAAIAAgACAALQAgADEARAAgAGEAcgByAGEAeQAgAG8AZgAgAGQAZQBsAGkAbQBpAHQAZQBkACAAYwBhAHQAZQBnAG8AcgB5ACAAcwB0AHIAaQBuAGcAcwAuAFwAbgAgACAAIAAgAHYAYQBsAHUAZQBzACAAIAAgACAAIAAgACAAIAAgACAALQAgADEARAAgAGEAcgByAGEAeQAgAG8AZgAgAG4AdQBtAGUAcgBpAGMAIAB2AGEAbAB1AGUAcwAuAFwAbgAgACAAIAAgAGQAZQBsAGkAbQBpAHQAZQByACAAIAAgACAAIAAgACAALQAgAEQAZQBsAGkAbQBpAHQAZQByACAAdQBzAGUAZAAgAGkAbgAgAHQAaABlACAAYwBhAHQAZQBnAG8AcgBpAGUAcwAgAGEAcgByAGEAeQAuAFwAbgBcAG4ATwBwAHQAaQBvAG4AYQBsADoAXABuACAAIAAgACAAWwBkAGEAdABlAF8AZgBvAHIAbQBhAHQAXQAgACAAIAAtACAARgBvAHIAbQBhAHQAIABjAG8AZABlACAAZgBvAHIAIABkAGEAdABlAHMAIAAoAGQAZQBmAGEAdQBsAHQAIABcACIAeQB5AHkAXAAiACkALgBcAG4AIAAgACAAIABbAGYAdQBuAGMAdABpAG8AbgBdACAAIAAgACAAIAAgAC0AIABFAFQAQQAgAG8AcgAgAEwAQQBNAEIARABBACAAYQBnAGcAcgBlAGcAYQB0AGkAbwBuACAAZgB1AG4AYwB0AGkAbwBuACAAKABkAGUAZgBhAHUAbAB0ACAAUwBVAE0AKQAuAFwAbgBcAG4ATgBvAHQAZQBzADoAXABuACAAIAAgACAAIiAgAEMAYQB0AGUAZwBvAHIAaQBlAHMAIABhAHIAZQAgAHMAcABsAGkAdAAgAGkAbgB0AG8AIABtAHUAbAB0AGkAcABsAGUAIAByAG8AdwBzACAAdQBzAGkAbgBnACAAUgBlAHAAZQBhAHQAUgBvAHcAcwC7Ay4AXABuACAAIAAgACAAIiAgAEQAYQB0AGUAcwAgAGEAcgBlACAAZgBvAHIAbQBhAHQAdABlAGQAIABhAG4AZAAgAHMAbwByAHQAZQBkACAAdQBzAGkAbgBnACAAYQAgAG4AdQBtAGUAcgBpAGMAIABzAG8AcgB0ACAAawBlAHkALgBcAG4AIAAgACAAIAAiICAAVgBhAGwAdQBlAHMAIABhAHIAZQAgAGEAcABwAG8AcgB0AGkAbwBuAGUAZAAgAGEAYwByAG8AcwBzACAAcgBlAHAAZQBhAHQAZQBkACAAYwBhAHQAZQBnAG8AcgB5ACAAcgBvAHcAcwAuAFwAbgAtAC0ALQAtAC0ALQAtAC0ALQAtAC0ALQAtAC0ALQAtAC0ALQAtAC0ALQAtAC0ALQAtAC0ALQAtAC0ALQAtAC0ALQAtAC0ALQAtAC0ALQAtAC0ALQAtAC0ALQAtAC0ALQAtAC0ALQAtAC0ALQAtAC0ALQAtAC0ALQAtAC0ALQAtAC0ALQAtAC0ALQAtAC0ALQAtAC0ALQAtAC0ALQAqAC8AXABuAFwAbgBQAGkAdgBvAHQAYgB5AEMAYQB0ALsDIAA9AFwAbgBMAEEATQBCAEQAQQAoAFwAbgAgACAAIAAgAHIAbwB3AF8AZABlAHQAYQBpAGwALABcAG4AIAAgACAAIAByAG8AdwBfAGQAYQB0AGUAcwAsAFwAbgAgACAAIAAgAGMAYQB0AGUAZwBvAHIAaQBlAHMALABcAG4AIAAgACAAIAB2AGEAbAB1AGUAcwAsAFwAbgAgACAAIAAgAGQAZQBsAGkAbQBpAHQAZQByACwAXABuACAAIAAgACAAWwBkAGEAdABlAF8AZgBvAHIAbQBhAHQAXQAsAFwAbgAgACAAIAAgAFsAZgB1AG4AYwB0AGkAbwBuAF0ALABcAG4AXABuAEwARQBUACgAXABuACAAIAAgACAALwAvACAALQAtAC0AIABEAGkAbQBlAG4AcwBpAG8AbgBzACAALQAtAC0AXABuACAAIAAgACAAcgCBICwAIAAgACAAIAAgACAAIAAgACAAIAAgACAAIAAgACAAIAAgAFIATwBXAFMAKAByAG8AdwBfAGQAZQB0AGEAaQBsACkALABcAG4AIAAgACAAIAByAIIgLAAgACAAIAAgACAAIAAgACAAIAAgACAAIAAgACAAIAAgACAAUgBPAFcAUwAoAHIAbwB3AF8AZABhAHQAZQBzACkALABcAG4AIAAgACAAIAByAIMgLAAgACAAIAAgACAAIAAgACAAIAAgACAAIAAgACAAIAAgACAAUgBPAFcAUwAoAGMAYQB0AGUAZwBvAHIAaQBlAHMAKQAsAFwAbgAgACAAIAAgAHIAhCAsACAAIAAgACAAIAAgACAAIAAgACAAIAAgACAAIAAgACAAIABSAE8AVwBTACgAdgBhAGwAdQBlAHMAKQAsAFwAbgBcAG4AIAAgACAAIAAvAC8AIAAtAC0ALQAgAEgAYQBsAHQAaQBuAGcAIABjAG8AbgBkAGkAdABpAG8AbgBzACAALQAtAC0AXABuACAAIAAgACAAUwBoAGEAcABlAE0AaQBzAG0AYQB0AGMAaAAsACAAIAAgACAAIAAgAE8AUgAoAHIAgSAgADwAPgAgAHIAgiAsACAAcgCBICAAPAA+ACAAcgCDICwAIAByAIEgIAA8AD4AIAByAIQgKQAsAFwAbgBcAG4AIAAgACAAIABkAGEAdABlAF8AZgBvAHIAbQBhAHQALAAgACAAIAAgACAAIAAgACAASQBGACgASQBTAE8ATQBJAFQAVABFAEQAKABkAGEAdABlAF8AZgBvAHIAbQBhAHQAKQAsACAAXAAiAHkAeQB5AFwAIgAsACAAZABhAHQAZQBfAGYAbwByAG0AYQB0ACkALABcAG4AXABuACAAIAAgACAASQBuAHYAYQBsAGkAZABEAGEAdABlAHMALAAgACAAIAAgACAAIAAgAE8AUgAoAEEATgBEACgASQBTAEUAUgBSAE8AUgAoAEQAQQBUAEUAVgBBAEwAVQBFACgAVABFAFgAVAAoAHIAbwB3AF8AZABhAHQAZQBzACwAIABkAGEAdABlAF8AZgBvAHIAbQBhAHQAKQApACkALABcAG4AIAAgACAAIAAgACAAIAAgACAAIAAgACAAIAAgACAAIAAgACAAIAAgACAAIAAgACAAIAAgACAAIAAgACAAIABJAFMARQBSAFIATwBSACgAVgBBAEwAVQBFACgAVABFAFgAVAAoAHIAbwB3AF8AZABhAHQAZQBzACwAIABkAGEAdABlAF8AZgBvAHIAbQBhAHQAKQApACkAKQAsAFwAbgAgACAAIAAgACAAIAAgACAAIAAgACAAIAAgACAAIAAgACAAIAAgACAAIAAgACAAIAAgACAAIABOAE8AVAAoAEEATgBEACgASQBTAE4AVQBNAEIARQBSACgAcgBvAHcAXwBkAGEAdABlAHMAKQApACkAKQAsAFwAbgBcAG4AIAAgACAAIABJAG4AdgBhAGwAaQBkAEYAbgAsACAAIAAgACAAIAAgACAAIAAgACAAVABZAFAARQAoAGYAdQBuAGMAdABpAG8AbgApACAAPAA+ACAAMQAyADgALABcAG4AXABuACAAIAAgACAAcwBjAGUAbgBhAHIAaQBvAHMALAAgACAAIAAgACAAIAAgACAAIAAgAFYAUwBUAEEAQwBLACgAUwBoAGEAcABlAE0AaQBzAG0AYQB0AGMAaAAsACAASQBuAHYAYQBsAGkAZABEAGEAdABlAHMALAAgAEkAbgB2AGEAbABpAGQARgBuACkALABcAG4AXABuACAAIAAgACAAZQByAHIAbwByAHMALAAgACAAIAAgACAAIAAgACAAIAAgACAAIAAgAHsAXAAiACMARABJAE0ARQBOAFMASQBPAE4AUwAhAFwAIgA7AFwAbgAgACAAIAAgACAAIAAgACAAIAAgACAAIAAgACAAIAAgACAAIAAgACAAIAAgACAAIAAgAFwAIgAjAEQAQQBUAEUAUwAhAFwAIgA7AFwAbgAgACAAIAAgACAAIAAgACAAIAAgACAAIAAgACAAIAAgACAAIAAgACAAIAAgACAAIAAgAFwAIgAjAEkATgBWAEEATABJAEQALQBGAFUATgBDAFQASQBPAE4AIQBcACIAfQAsAFwAbgBcAG4AIAAgACAAIAAvAC8AIAAtAC0ALQAgAEwAbwBnAGkAYwAgAGcAYQB0AGUAIAAtAC0ALQBcAG4AIAAgACAAIABGAEkATABUAEUAUgAoAGUAcgByAG8AcgBzACwAIABzAGMAZQBuAGEAcgBpAG8AcwAsAFwAbgBcAG4ATABFAFQAKABcAG4AIAAgACAAIAAvAC8AIAAtAC0ALQAgAE8AcAB0AGkAbwBuAGEAbAAgAHAAYQByAGEAbQBlAHQAZQByACAALQAtAC0AXABuACAAIAAgACAAZgBuALsDLAAgACAAIAAgACAAIAAgACAAIAAgACAAIAAgACAAIAAgAEkARgAoAEkAUwBPAE0ASQBUAFQARQBEACgAZgB1AG4AYwB0AGkAbwBuACkALAAgAFMAVQBNACwAIABmAHUAbgBjAHQAaQBvAG4AKQAsAFwAbgBcAG4AXABuACAAIAAgACAALwAvACAALQAtAC0AIABMAG8AYwBhAGwAIABoAGUAbABwAGUAcgBzACAALQAtAC0AXABuACAAIAAgACAAQwBvAHUAbgB0AEMAYQB0ALsDLAAgACAAIAAgACAAIAAgACAAIAAgAEwAQQBNAEIARABBACgAcgBvAHcALABcAG4AIAAgACAAIAAgACAAIAAgACAAIAAgACAAIAAgACAAIAAgACAAIAAgACAAIAAgACAAIAAgACAAIABDAE8AVQBOAFQAQQAoAFQARQBYAFQAUwBQAEwASQBUACgAcgBvAHcALAAgAGQAZQBsAGkAbQBpAHQAZQByACkAKQApACwAXABuAFwAbgAgACAAIAAgAFAAYQByAHMAZQC7AywAIAAgACAAIAAgACAAIAAgACAAIAAgACAAIABMAEEATQBCAEQAQQAoAGEAcgByAGEAeQAsACAAaQBuAHMAdABhAG4AYwBlACwAXABuACAAIAAgACAAIAAgACAAIAAgACAAIAAgACAAIAAgACAAIAAgACAAIAAgACAAIAAgACAAIAAgACAAVABFAFgAVABCAEUARgBPAFIARQAoAFQARQBYAFQAQQBGAFQARQBSACgAZABlAGwAaQBtAGkAdABlAHIAIAAmACAAYQByAHIAYQB5ACAAJgAgAGQAZQBsAGkAbQBpAHQAZQByACwAXABuACAAIAAgACAAIAAgACAAIAAgACAAIAAgACAAIAAgACAAIAAgACAAIAAgACAAIAAgACAAIAAgACAAIAAgACAAIAAgACAAIAAgACAAIAAgACAAIAAgACAAIAAgACAAIAAgACAAZABlAGwAaQBtAGkAdABlAHIALABpAG4AcwB0AGEAbgBjAGUALAAsACwAYQByAHIAYQB5ACkALABcAG4AIAAgACAAIAAgACAAIAAgACAAIAAgACAAIAAgACAAIAAgACAAIAAgACAAIAAgACAAIAAgACAAIAAgACAAIAAgACAAIAAgACAAIAAgAGQAZQBsAGkAbQBpAHQAZQByACwALAAsACwAXABuACAAIAAgACAAIAAgACAAIAAgACAAIAAgACAAIAAgACAAIAAgACAAIAAgACAAIAAgACAAIAAgACAAIAAgACAAIAAgACAAIAAgACAAIABjAGEAdABlAGcAbwByAGkAZQBzACkAKQAsAFwAbgBcAG4AIAAgACAAIAAvAC8AIAAtAC0ALQAgAEMAYQB0AGUAZwBvAHIAeQAgAGUAeABwAGEAbgBzAGkAbwBuACAALQAtAC0AXABuACAAIAAgACAAawAsACAAIAAgACAAIAAgACAAIAAgACAAIAAgACAAIAAgACAAIAAgAEIAWQBSAE8AVwAoAGMAYQB0AGUAZwBvAHIAaQBlAHMALAAgAEMAbwB1AG4AdABDAGEAdAC7AykALABcAG4AXABuACAAIAAgACAAaQAsACAAIAAgACAAIAAgACAAIAAgACAAIAAgACAAIAAgACAAIAAgAFIAZQBwAGUAYQB0AFIAbwB3AHMAuwMoAFMARQBRAFUARQBOAEMARQAoAHIAgSApACwAIABrACkALABcAG4AIAAgACAAIABqACwAIAAgACAAIAAgACAAIAAgACAAIAAgACAAIAAgACAAIAAgACAAUwB0AHIAZQBhAGsAuwMoAGkAKQAsAFwAbgBcAG4AIAAgACAAIAAvAC8AIAAtAC0ALQAgAFIAbwB3ACAAZgBpAGUAbABkAHMAIAAtAC0ALQBcAG4AIAAgACAAIABhACwAIAAgACAAIAAgACAAIAAgACAAIAAgACAAIAAgACAAIAAgACAAUgBlAHAAZQBhAHQAUgBvAHcAcwC7AygAcgBvAHcAXwBkAGUAdABhAGkAbAAsACAAawApACwAXABuACAAIAAgACAAZABlAHQAYQBpAGwALAAgACAAIAAgACAAIAAgACAAIAAgACAAIAAgAEkARgAoAGEAIAA9ACAAMAAsACAAXAAiAFUAbgBrAG4AbwB3AG4AXAAiACwAIABhACkALABcAG4AXABuACAAIAAgACAAZABhAHQAZQBzACwAIAAgACAAIAAgACAAIAAgACAAIAAgACAAIAAgAFIAZQBwAGUAYQB0AFIAbwB3AHMAuwMoAFQARQBYAFQAKAByAG8AdwBfAGQAYQB0AGUAcwAsACAAZABhAHQAZQBfAGYAbwByAG0AYQB0ACkALAAgAGsAKQAsAFwAbgAgACAAIAAgAHMAbwByAHQAXwBrAGUAeQAsACAAIAAgACAAIAAgACAAIAAgACAAIABJAEYARQBSAFIATwBSACgARABBAFQARQBWAEEATABVAEUAKABkAGEAdABlAHMAKQAsACAAVgBBAEwAVQBFACgAZABhAHQAZQBzACkAKQAsAFwAbgBcAG4AIAAgACAAIAByAG8AdwBfAGYAaQBlAGwAZABzACwAIAAgACAAIAAgACAAIAAgACAASABTAFQAQQBDAEsAKABzAG8AcgB0AF8AawBlAHkALAAgAGQAZQB0AGEAaQBsACwAIABkAGEAdABlAHMAKQAsAFwAbgBcAG4AIAAgACAAIAAvAC8AIAAtAC0ALQAgAEMAbwBsAHUAbQBuACAAZgBpAGUAbABkAHMAIAAtAC0ALQBcAG4AIAAgACAAIAB1AG4AcABhAGMAawAsACAAIAAgACAAIAAgACAAIAAgACAAIAAgACAAUgBlAHAAZQBhAHQAUgBvAHcAcwC7AygAYwBhAHQAZQBnAG8AcgBpAGUAcwAsACAAawApACwAXABuACAAIAAgACAAYwBhAHQAZQBnAG8AcgBpAGUAcwAsACAAIAAgACAAIAAgACAAIAAgAFAAYQByAHMAZQC7AygAdQBuAHAAYQBjAGsALAAgAGoAKQAsAFwAbgBcAG4AIAAgACAAIAAvAC8AIAAtAC0ALQAgAFYAYQBsAHUAZQBzACAAKABhAHAAcABvAHIAdABpAG8AbgBlAGQAKQAgAC0ALQAtAFwAbgAgACAAIAAgAHYAYQBsAHUAZQBzACwAIAAgACAAIAAgACAAIAAgACAAIAAgACAAIABSAGUAcABlAGEAdABSAG8AdwBzALsDKAB2AGEAbAB1AGUAcwAgAC8AIABrACwAIABrACkALABcAG4AXABuACAAIAAgACAALwAvACAALQAtAC0AIABBAGcAZwByAGUAZwBhAHQAaQBvAG4AIAAtAC0ALQBcAG4AIAAgACAAIABhAGcAZwAsACAAIAAgACAAIAAgACAAIAAgACAAIAAgACAAIAAgACAARABSAE8AUAAoAFAASQBWAE8AVABCAFkAKAByAG8AdwBfAGYAaQBlAGwAZABzACwAYwBhAHQAZQBnAG8AcgBpAGUAcwAsAHYAYQBsAHUAZQBzACwAZgBuALsDLAAsADAALAAsADAAKQAsACwAMQApACwAXABuAFwAbgAgACAAIAAgAGEAZwBnAFwAbgApACkAKQApADsAXABuAFwAbgBcAG4ALwAqACAAIABbAEcAUgAxADgAXQAgAC0ALQAtAC0ALQAtAC0ALQAtAC0ALQAtAC0ALQAtAC0ALQAtAC0ALQAtAC0ALQAtAC0ALQAtAC0ALQAtAC0ALQAtAC0ALQAtAC0ALQAtAC0ALQAtAC0ALQAtAC0ALQAtAC0ALQAtAC0ALQAtAC0ALQAtAC0ALQAtAC0ALQAtAC0ALQAtAC0ALQAtAC0ALQAtAC0AXABuAEYAdQBuAGMAdABpAG8AbgA6ACAAIAAgACAAIAAgACAAIABHAHIAbwB1AHAASQBuAGQAZQB4ALsDXABuAEMAYQB0AGUAZwBvAHIAeQA6ACAAIAAgACAAIAAgACAAIABHAHIAaQBkACAAQQBuAGEAbAB5AHQAaQBjAHMAIAAoAEMAYQB0AGUAZwBvAHIAaQBjAGEAbAAgAEEAbgBhAGwAeQBzAGkAcwApAFwAbgBBAHUAdABoAG8AcgA6ACAAIAAgACAAIAAgACAAIAAgACAAUABhAHQAcgBpAGMAawAgAEgALgBcAG4AVgBlAHIAcwBpAG8AbgA6ACAAIAAgACAAIAAgACAAIAAgADEALgAxAFwAbgBcAG4ARABlAHMAYwByAGkAcAB0AGkAbwBuADoAXABuACAAIAAgACAAQQBzAHMAaQBnAG4AIABuAHUAbQBlAHIAaQBjAGEAbAAgAGcAcgBvAHUAcAAgAGkAbgBkAGkAYwBlAHMAIAB0AG8AIABhACAAMQBEACAAYQByAHIAYQB5ACAAKABoAG8AcgBpAHoAbwBuAHQAYQBsACAAbwByACAAdgBlAHIAdABpAGMAYQBsACkALgBcAG4AIAAgACAAIAAyAEQAIABhAHIAcgBhAHkAcwAgAGEAcgBlACAAZgBsAGEAdAB0AGUAbgBlAGQAIAB2AGUAcgB0AGkAYwBhAGwAbAB5ACAAYgBlAGYAbwByAGUAIABpAG4AZABpAGMAZQBzACAAYQByAGUAIABhAHMAcwBpAGcAbgBlAGQALgBcAG4AXABuAFAAYQByAGEAbQBlAHQAZQByAHMAOgBcAG4AIAAgACAAIAB2AGUAYwB0AG8AcgAgACAAIAAgACAAIAAgACAAIAAtACAAIAAgADEARAAgAGEAcgByAGEAeQAgAGMAbwBuAHQAYQBpAG4AaQBuAGcAIAB2AGEAbAB1AGUAcwAgAHQAbwAgAGIAZQAgAHAAbABhAGMAZQBkACAAaQBuACAAbgB1AG0AZQByAGkAYwBhAGwAIABnAHIAbwB1AHAAcwBcAG4AIAAgACAAIABbAEgAbwByAGkAegBvAG4AdABhAGwAPwBdACAAIAAtACAAIAAgAFQAUgBVAEUAIAA9ACAAaABvAHIAaQB6AG8AbgB0AGEAbAAgAG8AdQB0AHAAdQB0ADsAIABvAG0AaQB0AHQAZQBkACAAPQAgAHYAZQByAHQAaQBjAGEAbABcAG4ALQAtAC0ALQAtAC0ALQAtAC0ALQAtAC0ALQAtAC0ALQAtAC0ALQAtAC0ALQAtAC0ALQAtAC0ALQAtAC0ALQAtAC0ALQAtAC0ALQAtAC0ALQAtAC0ALQAtAC0ALQAtAC0ALQAtAC0ALQAtAC0ALQAtAC0ALQAtAC0ALQAtAC0ALQAtAC0ALQAtAC0ALQAtAC0ALQAgACoALwBcAG4ARwByAG8AdQBwAEkAbgBkAGUAeAC7AyAAPQBcAG4ATABBAE0AQgBEAEEAKABcAG4AIAAgACAAIAB2AGUAYwB0AG8AcgAsAFwAbgAgACAAIAAgAFsASABvAHIAaQB6AG8AbgB0AGEAbAA/AF0ALABcAG4ATABFAFQAKABcAG4AIAAgACAAIAAvAC8AIABGAGwAYQB0AHQAZQBuACAAaQBuAHAAdQB0AFwAbgAgACAAIAAgAHYAZQBjAHQAbwByACwAIAAgACAAIAAgACAAVABPAEMATwBMACgAdgBlAGMAdABvAHIAKQAsAFwAbgBcAG4AIAAgACAAIAAvAC8AIABTAGgAYQBwAGUAXABuACAAIAAgACAAaABlAGkAZwBoAHQALAAgACAAIAAgACAAIABSAE8AVwBTACgAdgBlAGMAdABvAHIAKQAsAFwAbgAgACAAIAAgAHcAaQBkAHQAaAAsACAAIAAgACAAIAAgACAAQwBPAEwAVQBNAE4AUwAoAHYAZQBjAHQAbwByACkALABcAG4AXABuACAAIAAgACAALwAvACAATwBwAHQAaQBvAG4AYQBsACAAcABhAHIAYQBtAGUAdABlAHIAXABuACAAIAAgACAASQBzAFYAZQByAHQAaQBjAGEAbAA/ACwAIABJAFMATwBNAEkAVABUAEUARAAoAEgAbwByAGkAegBvAG4AdABhAGwAPwApACwAXABuAFwAbgAgACAAIAAgAC8ALwAgAFMAYwBlAG4AYQByAGkAbwBzAFwAbgAgACAAIAAgAEkAcwBTAGMAYQBsAGEAcgA/ACwAIAAgACAAQQBOAEQAKABoAGUAaQBnAGgAdAAgAD0AIAAxACwAIAB3AGkAZAB0AGgAIAA9ACAAMQApACwAXABuACAAIAAgACAAUwBwAGkAbABsAFIAaQBzAGsAPwAsACAAIABJAEYAKABJAHMAVgBlAHIAdABpAGMAYQBsAD8ALABoAGUAaQBnAGgAdAAgAD4AIAAxADAANAA4ADUANwA2ACwAaABlAGkAZwBoAHQAIAA+ACAAMQA2ADMAOAA0ACkALABcAG4AXABuACAAIAAgACAASQBGACgASQBzAFMAYwBhAGwAYQByAD8ALAAgAHYAZQBjAHQAbwByACwAXABuACAAIAAgACAAIAAgACAAIABJAEYAKABTAHAAaQBsAGwAUgBpAHMAawA/ACwAIAAjAE4AVQBNACEALABcAG4AXABuAEwARQBUACgAXABuACAAIAAgACAALwAvACAARwByAG8AdQBwACAAaQBuAGQAZQB4ACAAPQAgAHAAbwBzAGkAdABpAG8AbgAgAG8AZgAgAGYAaQByAHMAdAAgAG8AYwBjAHUAcgByAGUAbgBjAGUAXABuACAAIAAgACAAaQBkAHgALAAgACAAIAAgACAAIAAgACAAIABYAE0AQQBUAEMASAAoAHYAZQBjAHQAbwByACwAIABVAE4ASQBRAFUARQAoAHYAZQBjAHQAbwByACkAKQAsAFwAbgBcAG4AIAAgACAAIAAvAC8AIABSAGUAcwBoAGEAcABlAFwAbgAgACAAIAAgAGYAaQBuAGEAbAAsACAAIAAgACAAIAAgACAASQBGACgASQBzAFYAZQByAHQAaQBjAGEAbAA/ACwAIABpAGQAeAAsACAAVABPAFIATwBXACgAaQBkAHgAKQApACwAXABuACAAIAAgACAAZgBpAG4AYQBsAFwAbgBcAG4AKQApACkAKQApADsAXABuAFwAbgBcAG4AXABuAC8AKgAgAFsARwBSADEAOQBdACAALQAtAC0ALQAtAC0ALQAtAC0ALQAtAC0ALQAtAC0ALQAtAC0ALQAtAC0ALQAtAC0ALQAtAC0ALQAtAC0ALQAtAC0ALQAtAC0ALQAtAC0ALQAtAC0ALQAtAC0ALQAtAC0ALQAtAC0ALQAtAC0ALQAtAC0ALQAtAC0ALQAtAC0ALQAtAC0ALQAtAC0ALQAtAC0ALQBcAG4ARgB1AG4AYwB0AGkAbwBuADoAIAAgACAAIAAgACAAIAAgAE8AYwBjAHUAcgByAGUAbgBj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0AGgAZQAgAE4AQB00HV8AbwBjAGMAdQByAHIAZQBuAGMAZQBzACAAbwBmACAAcgBvAHcAcwAgAGYAcgBvAG0AIABhACAAcwBwAGUAYwBpAGYAaQBlAGQAIAAyAEQAIABhAHIAcgBhAHkAIABiAHkAIABsAG8AYwBhAHQAaQBuAGcAIAB0AGgAZQAgAE4AQB00HSAAaQBuAHMAdABhAG4AYwBlAFwAbgAgACAAIAAgAGYAcgBvAG0AIABhACAAYwByAGkAdABfAHYAZQBjAHQAbwByAC4AIAAgAFIAZQBzAHUAbAB0AHMAIABhAHIAZQAgAHIAZQB0AHUAcgBuAGUAZAAgAGkAbgAgAG8AcgBkAGUAcgAgAG8AZgAgAGEAcABwAGUAYQByAGEAbgBjAGUAIABhAG4AZAAgAG4AbwB0ACAAcwBvAHIAdABlAGQALgBcAG4AXABuAFAAYQByAGEAbQBlAHQAZQByAHMAOgBcAG4AIAAgACAAIABhAHIAcgBhAHkAIAAgACAAIAAgACAAIAAgACAAIAAgAC0AIAAgACAAMgBEACAAYQByAHIAYQB5AFwAbgAgACAAIAAgAGMAcgBpAHQAXwB2AGUAYwB0AG8AcgAgACAAIAAgACAALQAgACAAIAAxAEQAIABhAHIAcgBhAHkAIABkAGUAZgBpAG4AaQBuAGcAIAB0AGgAZQAgAHMAdAByAHUAYwB0AHUAcgBlAFwAbgAgACAAIAAgAE4AQB00HV8AbwBjAGMAdQByAHIAZQBuAGMAZQAsACAALQAgACAAIABJAG4AdABlAGcAZQByACAAbwBmACAAcwBlAGwAZQBjAHQAZQBkACAAbwBjAGMAdQByAHIAZQBuAGMAZQBzACAAKABlAC4AZwAuACAAMQAtAG4AKQBcAG4AXABuAC0ALQAtAC0ALQAtAC0ALQAtAC0ALQAtAC0ALQAtAC0ALQAtAC0ALQAtAC0ALQAtAC0ALQAtAC0ALQAtAC0ALQAtAC0ALQAtAC0ALQAtAC0ALQAtAC0ALQAtAC0ALQAtAC0ALQAtAC0ALQAtAC0ALQAtAC0ALQAtAC0ALQAtAC0ALQAtAC0ALQAtAC0ALQAtAC0ALQAtAC0ALQAtACoALwBcAG4ATwBjAGMAdQByAHIAZQBuAGMAZQC7Az0AXABuAEwAQQBNAEIARABBACgAXABuACAAIAAgACAAYQByAHIAYQB5ACwAXABuACAAIAAgACAAYwByAGkAdABfAHYAZQBjAHQAbwByACwAXABuACAAIAAgACAATgBAHTQdXwBvAGMAYwB1AHIAcgBlAG4AYwBlACwAXABuAEwARQBUACgAXABuACAAIAAgACAALwAvACAAUwBoAGEAcABlAFwAbgAgACAAIAAgAGgAZQBpAGcAaAB0ACwAIABSAE8AVwBTACgAYQByAHIAYQB5ACkALABcAG4AIAAgACAAIABoAGUAaQBnAGgAdABfACwAUgBPAFcAUwAoAGMAcgBpAHQAXwB2AGUAYwB0AG8AcgApACwAXABuAFwAbgAgACAAIAAgAC8ALwAgAEgAYQBsAHQAaQBuAGcAIABzAGMAZQBuAGEAcgBpAG8AcwBcAG4AIAAgACAAIABoAGUAaQBnAGgAdABfAG0AaQBzAG0AYQB0AGMAaAA/ACwAIAAgACAAaABlAGkAZwBoAHQAIAA8AD4AIABoAGUAaQBnAGgAdABfACwAXABuACAAIAAgACAASQBuAHYAYQBsAGkAZABPAGMAYwB1AHIAcgBlAG4AYwBlAD8ALAAgAE8AUgAoAEkAUwBUAEUAWABUACgATgBAHTQdXwBvAGMAYwB1AHIAcgBlAG4AYwBlACkALABOAEAdNB1fAG8AYwBjAHUAcgByAGUAbgBjAGUAIAA9ACAAMAApACwAXABuAFwAbgAgACAAIAAgAEkARgAoAGgAZQBpAGcAaAB0AF8AbQBpAHMAbQBhAHQAYwBoAD8ALAAjAFYAQQBMAFUARQAhACwAXABuACAAIAAgACAAIAAgACAAIABJAEYAKABJAG4AdgBhAGwAaQBkAE8AYwBjAHUAcgByAGUAbgBjAGUAPwAsACMAVgBBAEwAVQBFACEALABcAG4AXABuAEwARQBUACgAXABuACAAIAAgACAALwAvACAAUwBlAGwAZQBjAHQAaQBvAG4AIABtAG8AZABlAFwAbgAgACAAIAAgAEQAZQBzAGMAZQBuAGQAPwAsACAAIAAgAFMASQBHAE4AKABOAEAdNB1fAG8AYwBjAHUAcgByAGUAbgBjAGUAKQAgAD0AIAAtADEALABcAG4AXABuACAAIAAgACAALwAvACAASQBkAGUAbgB0AGkAZgB5ACAATgB0AGgAIABvAGMAYwB1AHIAcgBlAG4AYwBlAHMAXABuACAAIAAgACAAYgBvAG8AbAAsACAAIAAgACAAIAAgACAASQBuAHMAdABhAG4AYwBlALsDKABjAHIAaQB0AF8AdgBlAGMAdABvAHIALAAsAEQAZQBzAGMAZQBuAGQAPwApACAAPQAgAEEAQgBTACgATgBAHTQdXwBvAGMAYwB1AHIAcgBlAG4AYwBlACkALABcAG4AXABuACAAIAAgACAALwAvACAAUwBlAGwAZQBjAHQAIABkAGEAdABhAFwAbgAgACAAIAAgAGYAaQBuAGEAbAAsACAAIAAgACAAIAAgAEYASQBMAFQARQBSACgAYQByAHIAYQB5ACwAYgBvAG8AbAAsADAAKQAsAFwAbgAgACAAIAAgAGYAaQBuAGEAbABcAG4AIAAgACAAIAApACkAKQApACkAOwBcAG4AXABuAFwAbgBcAG4ALwAqACAAWwBHAFIAMgAwAF0AIAAtAC0ALQAtAC0ALQAtAC0ALQAtAC0ALQAtAC0ALQAtAC0ALQAtAC0ALQAtAC0ALQAtAC0ALQAtAC0ALQAtAC0ALQAtAC0ALQAtAC0ALQAtAC0ALQAtAC0ALQAtAC0ALQAtAC0ALQAtAC0ALQAtAC0ALQAtAC0ALQAtAC0ALQAtAC0ALQAtAC0ALQAtAC0ALQAtAFwAbgBGAHUAbgBjAHQAaQBvAG4AOgAgACAAIAAgACAAIAAgACAATwBjAGMAdQByAHIAZQBuAGMAZQBSAGEAbgBnAGUAuwNcAG4AQwBhAHQAZQBnAG8AcgB5ADoAIAAgACAAIAAgACAAIAAgAEcAcgBpAGQAIABBAG4AYQBsAHkAdABpAGMAcwAgACgAQwBhAHQAZQBnAG8AcgBpAGMAYQBsACAAQQBuAGEAbAB5AHMAaQBzACkAXABuAEEAdQB0AGgAbwByADoAIAAgACAAIAAgACAAIAAgACAAIABQAGEAdAByAGkAYwBrACAASAAuAFwAbgBWAGUAcgBzAGkAbwBuADoAIAAgACAAIAAgACAAIAAgACAAMQAuADEAXABuAEQAZQBwAGUAbgBkAGUAbgBjAGkAZQBzADoAIAAgACAAIABJAG4AcwB0AGEAbgBjAGUAuwNcAG4AXABuAEQAZQBzAGMAcgBpAHAAdABpAG8AbgA6AFwAbgAgACAAIAAgAFMAZQBsAGUAYwB0AHMAIABhACAAcgBhAG4AZwBlACAAbwBmACAAbwBjAGMAdQByAHIAZQBuAGMAZQBzACAAbwBmACAAcgBvAHcAcwAgAGYAcgBvAG0AIABhACAAcwBwAGUAYwBpAGYAaQBlAGQAIAAyAEQAIABhAHIAcgBhAHkAIABiAHkAIABsAG8AYwBhAHQAaQBuAGcAIAB0AGgAZQAgAE4AQB00HSAAaQBuAHMAdABhAG4AYwBlAHMAXABuACAAIAAgACAAZgByAG8AbQAgAGEAIABjAHIAaQB0AF8AdgBlAGMAdABvAHIALgAgAE4AZQBnAGEAdABpAHYAZQAgAGkAbgB0AGUAZwBlAHIAcwAgAGEAcgBlACAAcgBlAGoAZQBjAHQAZQBkACAAZgBvAHIAIABzAHQAYQByAHQAIABhAG4AZAAgAGUAbgBkACAAbwBjAGMAdQByAHIAZQBuAGMAZQBzAC4AXABuACAAIAAgACAAUgBlAHMAdQBsAHQAcwAgAGEAcgBlACAAcgBlAHQAdQByAG4AZQBkACAAaQBuACAAbwByAGQAZQByACAAbwBmACAAYQBwAHAAZQBhAHIAYQBuAGMAZQAgAGEAbgBkACAAbgBvAHQAIABzAG8AcgB0AGUAZAAuAFwAbgBcAG4AUABhAHIAYQBtAGUAdABlAHIAcwA6AFwAbgAgACAAIAAgAGEAcgByAGEAeQAgACAAIAAgACAAIAAgACAAIAAgACAAIAAgAC0AIAAgACAAMgBEACAAYQByAHIAYQB5AFwAbgAgACAAIAAgAGMAcgBpAHQAXwB2AGUAYwB0AG8AcgAgACAAIAAgACAAIAAgAC0AIAAgACAAMQBEACAAYQByAHIAYQB5ACAAZABlAGYAaQBuAGkAbgBnACAAdABoAGUAIABzAHQAcgB1AGMAdAB1AHIAZQBcAG4AIAAgACAAIABzAHQAYQByAHQAXwBvAGMAYwB1AHIAcgBlAG4AYwBlACwAIAAtACAAIAAgAFMAdABhAHIAdABpAG4AZwAgAGkAbgB0AGUAZwBlAHIAIABvAGYAIABvAGMAYwB1AHIAcgBlAG4AYwBlAHMAXABuACAAIAAgACAAWwBlAG4AZABfAG8AYwBjAHUAcgByAGUAbgBjAGUAXQAgACAALQAgACAAIABFAG4AZABpAG4AZwAgAGkAbgB0AGUAZwBlAHIAIABvAGYAIABvAGMAYwB1AHIAcgBlAG4AYwBlAHMALgAgAEkAZgAgAG8AbQBpAHQAdABlAGQALAAgAHQAaABlACAAcwBlAGwAZQBjAHQAaQBvAG4AIABvAGYAXABuACAAIAAgACAAIAAgACAAIAAgACAAIAAgACAAIAAgACAAIAAgACAAIAAgACAAIAAgACAAIABvAGYAIABvAGMAYwB1AHIAcgBlAG4AYwBlAHMAIAA9ACAAcwB0AGEAcgB0AF8AbwBjAGMAdQByAHIAZQBuAGMAZQAgAH4AIABlAG4AZAAgAG8AZgAgAGEAcgByAGEAeQAuAFwAbgAgACAAIAAgAFsASABvAHIAaQB6AG8AbgB0AGEAbAA/AF0AIAAgACAAIAAgAC0AIAAgACAAVABSAFUARQAgAD0AIABzAGUAbABlAGMAdAAgAG8AYwBjAHUAcgByAGUAbgBjAGUAIAByAGEAbgBnAGUAIABmAHIAbwBtACAAaABvAHIAaQB6AG8AbgB0AGEAbABsAHkAIABhAHIAcgBhAG4AZwBlAGQAIABkAGEAdABhAFwAbgBcAG4ALQAtAC0ALQAtAC0ALQAtAC0ALQAtAC0ALQAtAC0ALQAtAC0ALQAtAC0ALQAtAC0ALQAtAC0ALQAtAC0ALQAtAC0ALQAtAC0ALQAtAC0ALQAtAC0ALQAtAC0ALQAtAC0ALQAtAC0ALQAtAC0ALQAtAC0ALQAtAC0ALQAtAC0ALQAtAC0ALQAtAC0ALQAtAC0ALQAtAC0ALQAtAC0AKgAvAFwAbgBPAGMAYwB1AHIAcgBlAG4AYwBlAFIAYQBuAGcAZQC7Az0AXABuAEwAQQBNAEIARABBACgAXABuACAAIAAgACAAYQByAHIAYQB5ACwAXABuACAAIAAgACAAYwByAGkAdABfAHYAZQBjAHQAbwByACwAXABuACAAIAAgACAAcwB0AGEAcgB0AF8AbwBjAGMAdQByAHIAZQBuAGMAZQAsAFwAbgAgACAAIAAgAFsAZQBuAGQAXwBvAGMAYwB1AHIAcgBlAG4AYwBlAF0ALABcAG4AIAAgACAAIABbAEgAbwByAGkAegBvAG4AdABhAGwAPwBdACwAXABuAEwARQBUACgAXABuACAAIAAgACAALwAvACAATgBvAHIAbQBhAGwAaQB6AGUAIABpAG4AcAB1AHQAcwBcAG4AIAAgACAAIABJAHMAVgBlAHIAdABpAGMAYQBsAD8ALAAgACAAIAAgACAAIABOAE8AVAAoAEEATgBEACgATgBPAFQAKABJAFMATwBNAEkAVABUAEUARAAoAEgAbwByAGkAegBvAG4AdABhAGwAPwApACkALAAgAEgAbwByAGkAegBvAG4AdABhAGwAPwAgAD0AIABUAFIAVQBFACkAKQAsAFwAbgAgACAAIAAgAGEAcgByAGEAeQAsACAAIAAgACAAIAAgACAAIAAgACAAIAAgAEkARgAoAEkAcwBWAGUAcgB0AGkAYwBhAGwAPwAsAGEAcgByAGEAeQAsAFQAUgBBAE4AUwBQAE8AUwBFACgAYQByAHIAYQB5ACkAKQAsAFwAbgAgACAAIAAgAGMAcgBpAHQAXwB2AGUAYwB0AG8AcgAsACAAIAAgACAAIAAgAEkARgAoAEkAcwBWAGUAcgB0AGkAYwBhAGwAPwAsAGMAcgBpAHQAXwB2AGUAYwB0AG8AcgAsAFQAUgBBAE4AUwBQAE8AUwBFACgAYwByAGkAdABfAHYAZQBjAHQAbwByACkAKQAsAFwAbgBcAG4AIAAgACAAIAAvAC8AIABPAHAAdABpAG8AbgBhAGwAXABuACAAIAAgACAASQBuAGMAbAB1AGQAZQBFAG4AZAA/ACwAIAAgACAAIAAgACAATgBPAFQAKABJAFMATwBNAEkAVABUAEUARAAoAGUAbgBkAF8AbwBjAGMAdQByAHIAZQBuAGMAZQApACkALABcAG4AXABuACAAIAAgACAALwAvACAATgBvAHIAbQBhAGwAaQB6AGUAIABzAHQAYQByAHQALwBzAHQAbwBwAFwAbgAgACAAIAAgAHMAdABhAHIAdABfAG8AYwBjAHUAcgByAGUAbgBjAGUALAAgAEkATgBEAEUAWAAoAHMAdABhAHIAdABfAG8AYwBjAHUAcgByAGUAbgBjAGUALAAxACwAMQApACwAXABuACAAIAAgACAAZQBuAGQAXwBvAGMAYwB1AHIAcgBlAG4AYwBlACwAIAAgACAASQBGACgASQBuAGMAbAB1AGQAZQBFAG4AZAA/ACwASQBOAEQARQBYACgAZQBuAGQAXwBvAGMAYwB1AHIAcgBlAG4AYwBlACwAMQAsADEAKQAsAEYAQQBMAFMARQApACwAXABuAFwAbgAgACAAIAAgAC8ALwAgAFMAaABhAHAAZQBcAG4AIAAgACAAIABoAGUAaQBnAGgAdAAsACAAIAAgACAAIAAgACAAIAAgACAAIABSAE8AVwBTACgAYQByAHIAYQB5ACkALABcAG4AIAAgACAAIABoAGUAaQBnAGgAdABfACwAIAAgACAAIAAgACAAIAAgACAAIABSAE8AVwBTACgAYwByAGkAdABfAHYAZQBjAHQAbwByACkALABcAG4AXABuACAAIAAgACAALwAvACAASABhAGwAdABpAG4AZwAgAHMAYwBlAG4AYQByAGkAbwBzAFwAbgAgACAAIAAgAGgAZQBpAGcAaAB0AF8AbQBpAHMAbQBhAHQAYwBoAD8ALAAgACAAIABoAGUAaQBnAGgAdAAgADwAPgAgAGgAZQBpAGcAaAB0AF8ALABcAG4AXABuACAAIAAgACAASQBuAHYAYQBsAGkAZABPAGMAYwB1AHIAcgBlAG4AYwBlAD8ALAAgAE8AUgAoAEkAUwBUAEUAWABUACgAcwB0AGEAcgB0AF8AbwBjAGMAdQByAHIAZQBuAGMAZQApACwAXABuACAAIAAgACAAIAAgACAAIAAgACAAIAAgACAAIAAgACAAIAAgACAAIAAgACAAIAAgACAAIAAgAHMAdABhAHIAdABfAG8AYwBjAHUAcgByAGUAbgBjAGUAIAA8ACAAMQAsAFwAbgAgACAAIAAgACAAIAAgACAAIAAgACAAIAAgACAAIAAgACAAIAAgACAAIAAgACAAIAAgACAAIABBAE4ARAAoAEkAbgBjAGwAdQBkAGUARQBuAGQAPwAsAEkAUwBUAEUAWABUACgAZQBuAGQAXwBvAGMAYwB1AHIAcgBlAG4AYwBlACkAKQAsAFwAbgAgACAAIAAgACAAIAAgACAAIAAgACAAIAAgACAAIAAgACAAIAAgACAAIAAgACAAIAAgACAAIABBAE4ARAAoAEkAbgBjAGwAdQBkAGUARQBuAGQAPwAsAGUAbgBkAF8AbwBjAGMAdQByAHIAZQBuAGMAZQAgADwAIABzAHQAYQByAHQAXwBvAGMAYwB1AHIAcgBlAG4AYwBlACkAKQAsAFwAbgBcAG4AIAAgACAAIABJAEYAKABoAGUAaQBnAGgAdABfAG0AaQBzAG0AYQB0AGMAaAA/ACwAIwBWAEEATABVAEUAIQAsAFwAbgAgACAAIAAgACAAIAAgACAASQBGACgASQBuAHYAYQBsAGkAZABPAGMAYwB1AHIAcgBlAG4AYwBlAD8ALAAjAFYAQQBMAFUARQAhACwAXABuAFwAbgBMAEUAVAAoAFwAbgAgACAAIAAgAC8ALwAgAEkAZABlAG4AdABpAGYAeQAgAE4AdABoACAAbwBjAGMAdQByAHIAZQBuAGMAZQBzAFwAbgAgACAAIAAgAGkAbgBzAHQALAAgACAAIABJAG4AcwB0AGEAbgBjAGUAuwMoAGMAcgBpAHQAXwB2AGUAYwB0AG8AcgApACwAXABuAFwAbgAgACAAIAAgAGIAbwBvAGwALAAgACAAIABJAEYAKABJAG4AYwBsAHUAZABlAEUAbgBkAD8ALAAoAGkAbgBzAHQAIAA+AD0AIABzAHQAYQByAHQAXwBvAGMAYwB1AHIAcgBlAG4AYwBlACkAIAAqACAAKABpAG4AcwB0ACAAPAA9ACAAZQBuAGQAXwBvAGMAYwB1AHIAcgBlAG4AYwBlACkALABcAG4AIAAgACAAIAAgACAAIAAgACAAIAAgACAAIAAgACAAIAAgACAAIAAgACAAIAAgACAAIAAgACAAKABpAG4AcwB0ACAAPgA9ACAAcwB0AGEAcgB0AF8AbwBjAGMAdQByAHIAZQBuAGMAZQApACkALABcAG4AXABuACAAIAAgACAALwAvACAAUwBlAGwAZQBjAHQAIABkAGEAdABhACAAYQBuAGQAIAB0AHIAYQBuAHAAbwBzAGUAIABpAGYAIABoAG8AcgBpAHoAbwBuAHQAYQBsAFwAbgAgACAAIAAgAHIAZQBzAHUAbAB0ACwAIAAgAEYASQBMAFQARQBSACgAYQByAHIAYQB5ACwAYgBvAG8AbAAsADAAKQAsAFwAbgAgACAAIAAgAGYAaQBuAGEAbAAsACAAIAAgAEkARgAoAEkAcwBWAGUAcgB0AGkAYwBhAGwAPwAsAHIAZQBzAHUAbAB0ACwAVABSAEEATgBTAFAATwBTAEUAKAByAGUAcwB1AGwAdAApACkALABcAG4AIAAgACAAIABmAGkAbgBhAGwAXABuACAAIAAgACAAKQApACkAKQApADsAXABuAFwAbgBcAG4AIAAgACAAIABcAG4ALwAqACAAWwBHAFIAMQAwAF0AIAAtAC0ALQAtAC0ALQAtAC0ALQAtAC0ALQAtAC0ALQAtAC0ALQAtAC0ALQAtAC0ALQAtAC0ALQAtAC0ALQAtAC0ALQAtAC0ALQAtAC0ALQAtAC0ALQAtAC0ALQAtAC0ALQAtAC0ALQAtAC0ALQAtAC0ALQAtAC0ALQAtAC0ALQAtAC0ALQAtAC0ALQAtAC0ALQAtAFwAbgBGAHUAbgBjAHQAaQBvAG4AOgAgACAAIAAgACAARwByAGEAaQBu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EQAbwB3AG4AcwBhAG0AcABsAGUAcwAgAGEAIABhAHIAcgBhAHkAXwAyAEQAIABiAHkAIABhAGcAZwByAGUAZwBhAHQAaQBuAGcAIABvAHYAZQByACAAbgBvAG4AESBvAHYAZQByAGwAYQBwAHAAaQBuAGcAIABzAHAAYQB0AGkAYQBsACAAYgBsAG8AYwBrAHMAXABuACAAIAAgACAAbwBmACAAcwBpAHoAZQAgAGQAZQBwAHQAaAAgANcAIAB3AGkAZAB0AGgALgAgAFAAYQByAHQAaQBhAGwAIABiAGwAbwBjAGsAcwAgAGEAdAAgAHQAaABlACAAZQBkAGcAZQBzACAAYQByAGUAIABpAG4AYwBsAHUAZABlAGQALgAgAFQAaABlAFwAbgAgACAAIAAgAGEAZwBnAHIAZQBnAGEAdABpAG8AbgAgAGkAcwAgAHAAZQByAGYAbwByAG0AZQBkACAAdQBzAGkAbgBnACAAYQBuACAARQBUAEEAESBjAG8AbQBwAGEAdABpAGIAbABlACAAZgB1AG4AYwB0AGkAbwBuACAAKABlAC4AZwAuACwAIABTAFUATQAsAFwAbgAgACAAIAAgAEEAVgBFAFIAQQBHAEUALAAgAE0AQQBYACwAIABNAEkATgAsACAATQBFAEQASQBBAE4ALAAgAG8AcgAgAGEAIABjAHUAcwB0AG8AbQAgAEwAQQBNAEIARABBACkALgBcAG4AXABuAFAAYQByAGEAbQBlAHQAZQByAHMAOgBcAG4AIAAgACAAIABhAHIAcgBhAHkAXwAyAEQAIAAgACAAIAAgACAALQAgADIARAAgAGkAbgBwAHUAdAAgAGEAcgByAGEAeQBfADIARAAuAFwAbgAgACAAIAAgAGQAZQBwAHQAaAAgACAAIAAgACAAIAAgAC0AIABOAHUAbQBiAGUAcgAgAG8AZgAgAHIAbwB3AHMAIABwAGUAcgAgAGIAbABvAGMAawAuAFwAbgAgACAAIAAgAHcAaQBkAHQAaAAgACAAIAAgACAAIAAgAC0AIABOAHUAbQBiAGUAcgAgAG8AZgAgAGMAbwBsAHUAbQBuAHMAIABwAGUAcgAgAGIAbABvAGMAawAuAFwAbgAgACAAIAAgAGYAdQBuAGMAdABpAG8AbgAgACAAIAAgAC0AIABFAFQAQQAgAG8AcgAgAEwAQQBNAEIARABBACAAYQBwAHAAbABpAGUAZAAgAHQAbwAgAGUAYQBjAGgAIABiAGwAbwBjAGsALgBcAG4AXABuAE4AbwB0AGUAcwA6AFwAbgAgACAAIAAgACIgIABSAGUAagBlAGMAdABzACAAbgBvAG4AESBhAHIAcgBhAHkAXwAyAEQAIABpAG4AcAB1AHQAcwAuAFwAbgAgACAAIAAgACIgIABSAGUAagBlAGMAdABzACAAaQBuAHYAYQBsAGkAZAAgAGIAbABvAGMAawAgAHMAaQB6AGUAcwAgAG8AcgAgAHQAZQB4AHQAIABkAGkAbQBlAG4AcwBpAG8AbgBzAC4AXABuACAAIAAgACAAIiAgAFAAYQByAHQAaQBhAGwAIABiAGwAbwBjAGsAcwAgAGEAcgBlACAAaABhAG4AZABsAGUAZAAgAGEAdQB0AG8AbQBhAHQAaQBjAGEAbABsAHkAIAB2AGkAYQAgAEkATgBEAEUAWAAgACsAIABUAE8AQwBPAEwALgBcAG4ALQAtAC0ALQAtAC0ALQAtAC0ALQAtAC0ALQAtAC0ALQAtAC0ALQAtAC0ALQAtAC0ALQAtAC0ALQAtAC0ALQAtAC0ALQAtAC0ALQAtAC0ALQAtAC0ALQAtAC0ALQAtAC0ALQAtAC0ALQAtAC0ALQAtAC0ALQAtAC0ALQAtAC0ALQAtAC0ALQAtAC0ALQAtAC0ALQAtAC0ALQAtAC0AKgAvAFwAbgBcAG4ARwByAGEAaQBuALsDIAA9AFwAbgBMAEEATQBCAEQAQQAoAFwAbgAgACAAIAAgAGEAcgByAGEAeQBfADIARAAsAFwAbgAgACAAIAAgAGQAZQBwAHQAaAAsAFwAbgAgACAAIAAgAHcAaQBkAHQAaAAsAFwAbgAgACAAIAAgAGYAdQBuAGMAdABpAG8AbgAsAFwAbgBcAG4ASQBGACgATgBPAFQAKABUAFkAUABFACgAYQByAHIAYQB5AF8AMgBEACkAIAA9ACAANgA0ACkALABcACIAIwBhAHIAcgBhAHkAXwAyAEQAIQBcACIALABcAG4AXABuACAAIAAgACAASQBGACgATwBSACgAZABlAHAAdABoACAAPgAgAFIATwBXAFMAKABhAHIAcgBhAHkAXwAyAEQAKQAsACAAdwBpAGQAdABoACAAIAA+ACAAQwBPAEwAVQBNAE4AUwAoAGEAcgByAGEAeQBfADIARAApACwASQBTAFQARQBYAFQAKABkAGUAcAB0AGgAKQAsAEkAUwBUAEUAWABUACgAdwBpAGQAdABoACkAKQAsAFwAIgAjAEQASQBNAEUATgBTAEkATwBOAFMAIQBcACIALABcAG4AXABuACAAIAAgACAAIAAgACAAIABJAEYAKABUAFkAUABFACgAZgB1AG4AYwB0AGkAbwBuACkAIAA8AD4AIAAxADIAOAAsAFwAIgAjAEUAVABBACAARgBVAE4AQwBUAEkATwBOACEAXAAiACwAXABuAFwAbgBMAEUAVAAoAFwAbgAgACAAIAAgAC8ALwAgAEQAaQBtAGUAbgBzAGkAbwBuAHMAXABuACAAIAAgACAAaAAsACAAIAAgACAAIAAgACAAIAAgACAAIAAgACAAIABSAE8AVwBTACgAYQByAHIAYQB5AF8AMgBEACkALABcAG4AIAAgACAAIAB3ACwAIAAgACAAIAAgACAAIAAgACAAIAAgACAAIAAgAEMATwBMAFUATQBOAFMAKABhAHIAcgBhAHkAXwAyAEQAKQAsAFwAbgBcAG4AIAAgACAAIAAvAC8AIABOAHUAbQBiAGUAcgAgAG8AZgAgAGIAbABvAGMAawBzACAAKAByAG8AdQBuAGQAZQBkACAAdQBwACkAXABuACAAIAAgACAAeAAsACAAIAAgACAAIAAgACAAIAAgACAAIAAgACAAIABSAE8AVQBOAEQAVQBQACgAaAAgAC8AIABkAGUAcAB0AGgALAAgADAAKQAsAFwAbgAgACAAIAAgAHkALAAgACAAIAAgACAAIAAgACAAIAAgACAAIAAgACAAUgBPAFUATgBEAFUAUAAoAHcAIAAvACAAdwBpAGQAdABoACwAIAAwACkALABcAG4AXABuACAAIAAgACAALwAvACAAQgBsAG8AYwBrACAAYQBuAGMAaABvAHIAIABnAHIAaQBkAHMAIAAoAGQAZQBmAGUAcgByAGUAZAApAFwAbgAgACAAIAAgAGQAbwB3AG4ALAAgACAAIAAgACAAIAAgACAAIAAgACAATABBAE0AQgBEAEEAKABTAEUAUQBVAEUATgBDAEUAKAB4ACwAIAAsACAAMQAsACAAZABlAHAAdABoACkAIAAqACAAUwBFAFEAVQBFAE4AQwBFACgALAAgAHkALAAgADEALAAgADAAKQApACwAXABuACAAIAAgACAAYQBjAHIAbwBzAHMALAAgACAAIAAgACAAIAAgACAAIABMAEEATQBCAEQAQQAoAFMARQBRAFUARQBOAEMARQAoACwAIAB5ACwAIAAxACwAIAB3AGkAZAB0AGgAKQAgACoAIABTAEUAUQBVAEUATgBDAEUAKAB4ACwAIAAsACAAMQAsACAAMAApACkALABcAG4AXABuACAAIAAgACAALwAvACAAQgBsAG8AYwBrACAAYQBnAGcAcgBlAGcAYQB0AG8AcgBcAG4AIAAgACAAIABCAGwAbwBjAGsAcwC7AywAIAAgACAAIAAgACAAIAAgAEwAQQBNAEIARABBACgAcgAsACAAYwAsAFwAbgAgACAAIAAgACAAIAAgACAAIAAgACAAIAAgACAAIAAgACAAIAAgACAAIAAgACAAIABMAEUAVAAoAFwAbgAgACAAIAAgACAAIAAgACAAIAAgACAAIAAgACAAIAAgACAAIAAgACAAIAAgACAAIAAgACAAIAAgAGkALAAgACAAIAAgACAAIABMAEEATQBCAEQAQQAoAFMARQBRAFUARQBOAEMARQAoAGQAZQBwAHQAaAAsACAALAAgAHIAKQAgACoAIABTAEUAUQBVAEUATgBDAEUAKAAsACAAdwBpAGQAdABoACwAIAAxACwAIAAwACkAKQAsAFwAbgAgACAAIAAgACAAIAAgACAAIAAgACAAIAAgACAAIAAgACAAIAAgACAAIAAgACAAIAAgACAAIAAgAGoALAAgACAAIAAgACAAIABMAEEATQBCAEQAQQAoAFMARQBRAFUARQBOAEMARQAoACwAIAB3AGkAZAB0AGgALAAgAGMAKQAgACoAIABTAEUAUQBVAEUATgBDAEUAKABkAGUAcAB0AGgALAAgACwAIAAxACwAIAAwACkAKQAsAFwAbgAgACAAIAAgACAAIAAgACAAIAAgACAAIAAgACAAIAAgACAAIAAgACAAIAAgACAAIAAgACAAIAAgAGIAbABvAGMAawAsACAAIABUAE8AQwBPAEwAKABJAE4ARABFAFgAKABhAHIAcgBhAHkAXwAyAEQALAAgAGkAKAApACwAIABqACgAKQApACwAIAAyACkALABcAG4AIAAgACAAIAAgACAAIAAgACAAIAAgACAAIAAgACAAIAAgACAAIAAgACAAIAAgACAAIAAgACAAIAByAGUAcwB1AGwAdAAsACAAZgB1AG4AYwB0AGkAbwBuACgAYgBsAG8AYwBrACkALABcAG4AIAAgACAAIAAgACAAIAAgACAAIAAgACAAIAAgACAAIAAgACAAIAAgACAAIAAgACAAIAAgACAAIAByAGUAcwB1AGwAdAApACkALABcAG4AXABuACAAIAAgACAALwAvACAAQQBwAHAAbAB5ACAAYQBnAGcAcgBlAGcAYQB0AGkAbwBuACAAdABvACAAZQBhAGMAaAAgAGIAbABvAGMAawBcAG4AIAAgACAAIABkAGUAbABpAHYAZQByACwAIAAgACAAIAAgACAAIAAgAE0AQQBQACgAZABvAHcAbgAoACkALAAgAGEAYwByAG8AcwBzACgAKQAsACAAQgBsAG8AYwBrAHMAuwMpACwAXABuAFwAbgAgACAAIAAgAGQAZQBsAGkAdgBlAHIAXABuACkAKQApACkAKQA7AFwAbgBcAG4AXABuAFwAbgAvACoAIABbAEcAUgAxADEAXQAgAC0ALQAtAC0ALQAtAC0ALQAtAC0ALQAtAC0ALQAtAC0ALQAtAC0ALQAtAC0ALQAtAC0ALQAtAC0ALQAtAC0ALQAtAC0ALQAtAC0ALQAtAC0ALQAtAC0ALQAtAC0ALQAtAC0ALQAtAC0ALQAtAC0ALQAtAC0ALQAtAC0ALQAtAC0ALQAtAC0ALQAtAC0ALQAtAC0AXABuAEYAdQBuAGMAdABpAG8AbgA6ACAAIAAgACAAIABNAG8AbwByAGUAQQBnAGcAuwNcAG4AQwBhAHQAZQBnAG8AcgB5ADoAIAAgACAAIAAgAEcAcgBpAGQAIABBAG4AYQBsAHkAdABpAGMAcwAgACgATgBlAGkAZwBoAGIAbwByAGgAbwBvAGQAcwApAFwAbgBBAHUAdABoAG8AcgA6ACAAIAAgACAAIAAgACAAUABhAHQAcgBpAGMAawAgAEgALgBcAG4AVgBlAHIAcwBpAG8AbgA6ACAAIAAgACAAIAAgADEALgAxAFwAbgBcAG4ARABlAHMAYwByAGkAcAB0AGkAbwBuADoAXABuACAAIAAgACAAUABlAHIAZgBvAHIAbQBzACAAYQBnAGcAcgBlAGcAYQB0AGkAbwBuACAAbwB2AGUAcgAgAE0AbwBvAHIAZQAgAG8AcgAgAHYAbwBuACAATgBlAHUAbQBhAG4AbgAgAG4AZQBpAGcAaABiAG8AcgBoAG8AbwBkAHMAIAB1AHMAaQBuAGcAIABhAG4AXABuACAAIAAgACAARQBUAEEAESBjAG8AbQBwAGEAdABpAGIAbABlACAAZgB1AG4AYwB0AGkAbwBuACAAKABTAFUATQAsACAAQQBWAEUAUgBBAEcARQAsACAATQBBAFgALAAgAE0ASQBOACwAIABNAEUARABJAEEATgAsACAAbwByACAAYQAgAGMAdQBzAHQAbwBtAFwAbgAgACAAIAAgAEwAQQBNAEIARABBACkALgAgAE8AcAB0AGkAbwBuAGEAbAAgAHAAYQByAGEAbQBlAHQAZQByAHMAIABjAG8AbgB0AHIAbwBsACAAbgBlAGkAZwBoAGIAbwByAGgAbwBvAGQAIAB0AHkAcABlACAAYQBuAGQAIABpAGYAIAB0AGgAZQBcAG4AIAAgACAAIABjAGUAbgB0AGUAcgAgAGMAZQBsAGwAIABpAHMAIAB0AG8AIABiAGUAIABpAG4AYwBsAHUAZABlAGQALgBcAG4AXABuAE4AZQBpAGcAaABiAG8AcgBoAG8AbwBkAHMAOgBcAG4AIAAgACAAIABNAG8AbwByAGUAIAAoADgAESBjAG8AbgBuAGUAYwB0AGUAZAApADoAIAAgACAAIAAgACAAIAAgAHYAbwBuACAATgBlAHUAbQBhAG4AbgAgACgANAARIGMAbwBuAG4AZQBjAHQAZQBkACkAOgBcAG4AIAAgACAAIAAgACAAIAAgADEAIAAgADIAIAAgADMAIAAgACAAIAAgACAAIAAgACAAIAAgACAAIAAgACAAIAAgACAAIAAgACAAMQBcAG4AIAAgACAAIAAgACAAIAAgADQAIAAgAEMAIAAgADYAIAAgACAAIAAgACAAIAAgACAAIAAgACAAIAAgACAAIAAgACAAMgAgACAAQwAgACAAMwBcAG4AIAAgACAAIAAgACAAIAAgADcAIAAgADgAIAAgADkAIAAgACAAIAAgACAAIAAgACAAIAAgACAAIAAgACAAIAAgACAAIAAgACAANABcAG4AXABuAFAAYQByAGEAbQBlAHQAZQByAHMAOgBcAG4AIAAgACAAIABhAHIAcgBhAHkAXwAyAEQAIAAgACAAIAAgACAAIAAgACAAIAAtACAAMgBEACAAaQBuAHAAdQB0ACAAYQByAHIAYQB5AF8AMgBEAC4AXABuACAAIAAgACAAZgB1AG4AYwB0AGkAbwBuACAAIAAgACAAIAAgACAAIAAtACAARQBUAEEAIABvAHIAIABMAEEATQBCAEQAQQAgAGEAZwBnAHIAZQBnAGEAdABpAG8AbgAgAGYAdQBuAGMAdABpAG8AbgAuAFwAbgAgACAAIAAgAFsASQBzAHYAbwBuAE4AZQB1AG0AYQBuAG4APwBdACAALQAgAFQAUgBVAEUAIACSISAAdQBzAGUAIAB2AG8AbgAgAE4AZQB1AG0AYQBuAG4AIABuAGUAaQBnAGgAYgBvAHIAaABvAG8AZAAuAFwAbgAgACAAIAAgAFsAbwBtAGkAdABfAGMAZQBuAHQAZQByAF0AIAAgACAALQAgAFQAUgBVAEUAIACSISAAZQB4AGMAbAB1AGQAZQAgAGMAZQBuAHQAZQByACAAYwBlAGwAbAAgAGYAcgBvAG0AIABhAGcAZwByAGUAZwBhAHQAaQBvAG4ALgBcAG4ALQAtAC0ALQAtAC0ALQAtAC0ALQAtAC0ALQAtAC0ALQAtAC0ALQAtAC0ALQAtAC0ALQAtAC0ALQAtAC0ALQAtAC0ALQAtAC0ALQAtAC0ALQAtAC0ALQAtAC0ALQAtAC0ALQAtAC0ALQAtAC0ALQAtAC0ALQAtAC0ALQAtAC0ALQAtAC0ALQAtAC0ALQAtAC0ALQAtAC0ALQAtAC0AKgAvAFwAbgBcAG4ATQBvAG8AcgBlAEEAZwBnALsDIAA9AFwAbgBMAEEATQBCAEQAQQAoAFwAbgAgACAAIAAgAGEAcgByAGEAeQBfADIARAAsAFwAbgAgACAAIAAgAGYAdQBuAGMAdABpAG8AbgAsAFwAbgAgACAAIAAgAFsASQBzAHYAbwBuAE4AZQB1AG0AYQBuAG4APwBdACwAXABuACAAIAAgACAAWwBvAG0AaQB0AF8AYwBlAG4AdABlAHIAXQAsAFwAbgBcAG4ASQBGACgAVABZAFAARQAoAGEAcgByAGEAeQBfADIARAApACAAPAA+ACAANgA0ACwAXAAiACMAYQByAHIAYQB5AF8AMgBEACEAXAAiACwAXABuAFwAbgAgACAAIAAgAEkARgAoAFQAWQBQAEUAKABmAHUAbgBjAHQAaQBvAG4AKQAgADwAPgAgADEAMgA4ACAALABcACIAIwBFAFQAQQAgAEYAVQBOAEMAVABJAE8ATgAhAFwAIgAsAFwAbgBcAG4ATABFAFQAKABcAG4AIAAgACAAIAAvAC8AIABPAHAAdABpAG8AbgBhAGwAIABwAGEAcgBhAG0AZQB0AGUAcgBzAFwAbgAgACAAIAAgAEkAcwB2AG8AbgBOAGUAdQBtAGEAbgBuAD8ALAAgACAAIAAgACAAIABOAE8AVAAoAEkAUwBPAE0ASQBUAFQARQBEACgASQBzAHYAbwBuAE4AZQB1AG0AYQBuAG4APwApACkALABcAG4AIAAgACAAIABvAG0AaQB0AF8AYwBlAG4AdABlAHIALAAgACAAIAAgACAAIAAgACAATgBPAFQAKABJAFMATwBNAEkAVABUAEUARAAoAG8AbQBpAHQAXwBjAGUAbgB0AGUAcgApACkALABcAG4AXABuACAAIAAgACAALwAvACAARABpAG0AZQBuAHMAaQBvAG4AcwBcAG4AIAAgACAAIABoAGUAaQBnAGgAdAAsACAAIAAgACAAIAAgACAAIAAgACAAIAAgACAAUgBPAFcAUwAoAGEAcgByAGEAeQBfADIARAApACwAXABuACAAIAAgACAAdwBpAGQAdABoACwAIAAgACAAIAAgACAAIAAgACAAIAAgACAAIAAgAEMATwBMAFUATQBOAFMAKABhAHIAcgBhAHkAXwAyAEQAKQAsAFwAbgBcAG4AIAAgACAAIAAvAC8AIABQAGEAZAAgAGEAcgByAGEAeQBfADIARAAgAHcAaQB0AGgAIABcACIAbwBtAGkAdABcACIAIAB0AG8AIABzAGEAZgBlAGwAeQAgAGQAcgBvAHAAIABlAGQAZwBlAHMAXABuACAAIAAgACAATQAsACAAIAAgACAAIAAgACAAIAAgACAAIAAgACAAIAAgACAAIAAgAFYAUwBUAEEAQwBLACgAXAAiAG8AbQBpAHQAXAAiACwAXABuACAAIAAgACAAIAAgACAAIAAgACAAIAAgACAAIAAgACAAIAAgACAAIAAgACAAIAAgACAAIAAgACAAIAAgACAASABTAFQAQQBDAEsAKABcACIAbwBtAGkAdABcACIALAAgAGEAcgByAGEAeQBfADIARAAsACAAXAAiAG8AbQBpAHQAXAAiACkALABcAG4AIAAgACAAIAAgACAAIAAgACAAIAAgACAAIAAgACAAIAAgACAAIAAgACAAIAAgACAAIAAgACAAIAAgACAAIABcACIAbwBtAGkAdABcACIAKQAsAFwAbgBcAG4AIAAgACAAIAAvAC8AIABEAGkAcgBlAGMAdABpAG8AbgBhAGwAIAB2AGUAYwB0AG8AcgBzACAAKABmAGwAYQB0AHQAZQBuAGUAZAApAFwAbgAgACAAIAAgAGEALAAgACAAIAAgACAAIABUAE8AQwBPAEwAKABEAFIATwBQACgATQAsACAALQAyACwAIAAtADIAKQApACwAIAAgACAAIAAgACAAIAAgACAAIAAgACAAIAAgACAAIAAgACAAIAAgACAAIAAgACAAIAAvAC8AIABOAFcAXABuACAAIAAgACAAYgAsACAAIAAgACAAIAAgAFQATwBDAE8ATAAoAFQAQQBLAEUAKABEAFIATwBQACgATQAsACAALAAgADEAKQAsACAAaABlAGkAZwBoAHQALAAgAHcAaQBkAHQAaAApACkALAAgACAAIAAgACAAIAAgAC8ALwAgAE4AXABuACAAIAAgACAAYwAsACAAIAAgACAAIAAgAFQATwBDAE8ATAAoAFQAQQBLAEUAKABEAFIATwBQACgATQAsACAALAAgADIAKQAsACAAaABlAGkAZwBoAHQAKQApACwAIAAgACAAIAAgACAAIAAgACAAIAAgACAAIAAgAC8ALwAgAE4ARQBcAG4AIAAgACAAIABkACwAIAAgACAAIAAgACAAVABPAEMATwBMACgAVABBAEsARQAoAEQAUgBPAFAAKABNACwAIAAxACwAIAAtADEAKQAsACAAaABlAGkAZwBoAHQALAAgAHcAaQBkAHQAaAApACkALAAgACAAIAAgACAALwAvACAAVwBcAG4AIAAgACAAIABjAGUAbgB0AGUAcgAsACAAVABPAEMATwBMACgAVABBAEsARQAoAEQAUgBPAFAAKABNACwAIAAxACwAIAAxACkALAAgAGgAZQBpAGcAaAB0ACwAIAB3AGkAZAB0AGgAKQApACwAIAAgACAAIAAgACAALwAvACAAQwBcAG4AIAAgACAAIABmACwAIAAgACAAIAAgACAAVABPAEMATwBMACgAVABBAEsARQAoAEQAUgBPAFAAKABNACwAIAAxACwAIAAxACkALAAgAGgAZQBpAGcAaAB0ACwAIAAtAHcAaQBkAHQAaAApACkALAAgACAAIAAgACAALwAvACAARQBcAG4AIAAgACAAIABnACwAIAAgACAAIAAgACAAVABPAEMATwBMACgAVABBAEsARQAoAEQAUgBPAFAAKABNACwAIAAxACwAIAAtADEAKQAsACAALQBoAGUAaQBnAGgAdAAsACAAdwBpAGQAdABoACkAKQAsACAAIAAgACAALwAvACAAUwBXAFwAbgAgACAAIAAgAGgALAAgACAAIAAgACAAIABUAE8AQwBPAEwAKABUAEEASwBFACgARABSAE8AUAAoAE0ALAAgADEALAAgAC0AMQApACwAIAAtAGgAZQBpAGcAaAB0ACwAIAAtAHcAaQBkAHQAaAApACkALAAgACAAIAAvAC8AIABTAFwAbgAgACAAIAAgAGkALAAgACAAIAAgACAAIABUAE8AQwBPAEwAKABUAEEASwBFACgARABSAE8AUAAoAE0ALAAgADEALAAgADEAKQAsACAALQBoAGUAaQBnAGgAdAAsACAALQB3AGkAZAB0AGgAKQApACwAIAAgACAAIAAvAC8AIABTAEUAXABuAFwAbgAgACAAIAAgAC8ALwAgAE4AZQBpAGcAaABiAG8AcgBoAG8AbwBkACAAYQBzAHMAZQBtAGIAbABpAGUAcwBcAG4AIAAgACAAIABNAG8AbwByAGUAXwBuAG8AXwBjAGUAbgB0AGUAcgAsACAAIAAgACAAIAAgACAASABTAFQAQQBDAEsAKABhACwAYgAsAGMALABkACwAZgAsAGcALABoACwAaQApACwAXABuACAAIAAgACAATQBvAG8AcgBlAF8AdwBpAHQAaABfAGMAZQBuAHQAZQByACwAIAAgACAAIAAgAEgAUwBUAEEAQwBLACgAYQAsAGIALABjACwAZAAsAGMAZQBuAHQAZQByACwAZgAsAGcALABoACwAaQApACwAXABuAFwAbgAgACAAIAAgAHYAbwBuAF8AbgBvAF8AYwBlAG4AdABlAHIALAAgACAAIAAgACAAIAAgACAAIABIAFMAVABBAEMASwAoAGIALABkACwAZgAsAGgAKQAsAFwAbgAgACAAIAAgAHYAbwBuAF8AdwBpAHQAaABfAGMAZQBuAHQAZQByACwAIAAgACAAIAAgACAAIABIAFMAVABBAEMASwAoAGIALABkACwAZgAsAGgALABjAGUAbgB0AGUAcgApACwAXABuAFwAbgAgACAAIAAgAC8ALwAgAEEAZwBnAHIAZQBnAGEAdABvAHIAXABuACAAIAAgACAAQQBnAGcAcgBlAGcAYQB0AGUAuwMsACAAIAAgACAAIAAgACAAIAAgACAAIAAgAEwAQQBNAEIARABBACgAdgAsAFwAbgAgACAAIAAgACAAIAAgACAAIAAgACAAIAAgACAAIAAgACAAIAAgACAAIAAgACAAIAAgACAAIAAgAGYAdQBuAGMAdABpAG8AbgAoAFQATwBDAE8ATAAoAEkARgBTACgAdgAsACAAdgApACwAMgApACkAKQAsAFwAbgBcAG4AIAAgACAAIAAvAC8AIABBAHAAcABsAHkAIABhAGcAZwByAGUAZwBhAHQAaQBvAG4AXABuACAAIAAgACAAYQBnAGcALAAgACAAIAAgACAAIAAgACAAIAAgACAAIAAgACAAIAAgACAAIAAgAEkARgAoAEkAcwB2AG8AbgBOAGUAdQBtAGEAbgBuAD8ALABcAG4AXABuACAAIAAgACAAIAAgACAAIAAgACAAIAAgACAAIAAgACAAIAAgACAAIAAgACAAIAAgACAAIAAgACAAIAAgACAAIABJAEYAKABvAG0AaQB0AF8AYwBlAG4AdABlAHIALABCAFkAUgBPAFcAKAB2AG8AbgBfAG4AbwBfAGMAZQBuAHQAZQByACwAIABBAGcAZwByAGUAZwBhAHQAZQC7AykALABcAG4AIAAgACAAIAAgACAAIAAgACAAIAAgACAAIAAgACAAIAAgACAAIAAgACAAIAAgACAAIAAgACAAIAAgACAAIAAgACAAIAAgACAAIAAgACAAIAAgACAAIAAgACAAIAAgAEIAWQBSAE8AVwAoAHYAbwBuAF8AdwBpAHQAaABfAGMAZQBuAHQAZQByACwAIABBAGcAZwByAGUAZwBhAHQAZQC7AykAKQAsAFwAbgBcAG4AIAAgACAAIAAgACAAIAAgACAAIAAgACAAIAAgACAAIAAgACAAIAAgACAAIAAgACAAIAAgACAAIAAgACAAIAAgAEkARgAoAG8AbQBpAHQAXwBjAGUAbgB0AGUAcgAsAEIAWQBSAE8AVwAoAE0AbwBvAHIAZQBfAG4AbwBfAGMAZQBuAHQAZQByACwAIABBAGcAZwByAGUAZwBhAHQAZQC7AykALABcAG4AIAAgACAAIAAgACAAIAAgACAAIAAgACAAIAAgACAAIAAgACAAIAAgACAAIAAgACAAIAAgACAAIAAgACAAIAAgACAAIAAgACAAIAAgACAAIAAgACAAIAAgACAAIAAgAEIAWQBSAE8AVwAoAE0AbwBvAHIAZQBfAHcAaQB0AGgAXwBjAGUAbgB0AGUAcgAsACAAQQBnAGcAcgBlAGcAYQB0AGUAuwMpACkAKQAsAFwAbgBcAG4AIAAgACAAIAAvAC8AIABSAGUAcwBoAGEAcABlACAAYgBhAGMAawAgAHQAbwAgAGEAcgByAGEAeQBfADIARABcAG4AIAAgACAAIABkAGUAbABpAHYAZQByACwAIAAgACAAIAAgACAAIAAgACAAIAAgACAAIAAgACAASQBGAEUAUgBSAE8AUgAoAFcAUgBBAFAAUgBPAFcAUwAoAGEAZwBnACwAIAB3AGkAZAB0AGgAKQAsACAAMAApACwAXABuAFwAbgAgACAAIAAgAGQAZQBsAGkAdgBlAHIAXABuACkAKQApACkAOwBcAG4AXABuAFwAbgBcAG4ALwAqACAAWwBHAFIAMQAyAF0AIAAtAC0ALQAtAC0ALQAtAC0ALQAtAC0ALQAtAC0ALQAtAC0ALQAtAC0ALQAtAC0ALQAtAC0ALQAtAC0ALQAtAC0ALQAtAC0ALQAtAC0ALQAtAC0ALQAtAC0ALQAtAC0ALQAtAC0ALQAtAC0ALQAtAC0ALQAtAC0ALQAtAC0ALQAtAC0ALQAtAC0ALQAtAC0ALQAtAFwAbgBGAHUAbgBjAHQAaQBvAG4AOgAgACAAIAAgACAATQBvAG8AcgBlAFMAZQBsAGUAYwB0ALsDXABuAEMAYQB0AGUAZwBvAHIAeQA6ACAAIAAgACAAIABHAHIAaQBkACAAQQBuAGEAbAB5AHQAaQBjAHMAIAAoAE4AZQBpAGcAaABiAG8AcgBoAG8AbwBkAHMAKQBcAG4AQQB1AHQAaABvAHIAOgAgACAAIAAgACAAIAAgAFAAYQB0AHIAaQBjAGsAIABIAC4AXABuAFYAZQByAHMAaQBvAG4AOgAgACAAIAAgACAAIAAxAC4AMQBcAG4AXABuAEQAZQBzAGMAcgBpAHAAdABpAG8AbgA6AFwAbgAgACAAIAAgAFMAZQBsAGUAYwB0AHMAIABhACAAcwBwAGUAYwBpAGYAaQBjACAAbgBlAGkAZwBoAGIAbwByACAAKAAxABMgOQApACAAZgByAG8AbQAgAHQAaABlACAATQBvAG8AcgBlACAAbgBlAGkAZwBoAGIAbwByAGgAbwBvAGQAIABmAG8AcgAgAGUAYQBjAGgAXABuACAAIAAgACAAZQBsAGUAbQBlAG4AdAAgAGkAbgAgAGEAIABhAHIAcgBhAHkAXwAyAEQALgAgAE4AZQBpAGcAaABiAG8AcgAgAGkAbgBkAGUAeAAgADUAIAByAGUAdAB1AHIAbgBzACAAdABoAGUAIABjAGUAbgB0AGUAcgAgAGMAZQBsAGwALgBcAG4AXABuAE0AbwBvAHIAZQAgAE4AZQBpAGcAaABiAG8AcgBoAG8AbwBkADoAXABuACAAIAAgACAAIAAgACAAIAAxACAAIAAgADIAIAAgACAAMwBcAG4AIAAgACAAIAAgACAAIAAgADQAIAAgACAAQwAgACAAIAA2AFwAbgAgACAAIAAgACAAIAAgACAANwAgACAAIAA4ACAAIAAgADkAXABuAFwAbgBQAGEAcgBhAG0AZQB0AGUAcgBzADoAXABuACAAIAAgACAAYQByAHIAYQB5AF8AMgBEACAAIAAgACAAIAAgAC0AIAAyAEQAIABpAG4AcAB1AHQAIABhAHIAcgBhAHkAXwAyAEQALgBcAG4AIAAgACAAIABuAGUAaQBnAGgAYgBvAHIAIAAgACAAIAAtACAASQBuAHQAZQBnAGUAcgAgADEAEyA5ACAAaQBuAGQAaQBjAGEAdABpAG4AZwAgAHcAaABpAGMAaAAgAG4AZQBpAGcAaABiAG8AcgAgAHQAbwAgAHIAZQB0AHUAcgBuAC4AXABuAC0ALQAtAC0ALQAtAC0ALQAtAC0ALQAtAC0ALQAtAC0ALQAtAC0ALQAtAC0ALQAtAC0ALQAtAC0ALQAtAC0ALQAtAC0ALQAtAC0ALQAtAC0ALQAtAC0ALQAtAC0ALQAtAC0ALQAtAC0ALQAtAC0ALQAtAC0ALQAtAC0ALQAtAC0ALQAtAC0ALQAtAC0ALQAtAC0ALQAtAC0ALQAtACoALwBcAG4AXABuAE0AbwBvAHIAZQBTAGUAbABlAGMAdAC7AyAAPQBcAG4ATABBAE0AQgBEAEEAKABcAG4AIAAgACAAIABhAHIAcgBhAHkAXwAyAEQALABcAG4AIAAgACAAIABuAGUAaQBnAGgAYgBvAHIALABcAG4AXABuAEkARgAoAFQAWQBQAEUAKABhAHIAcgBhAHkAXwAyAEQAKQAgADwAPgAgADYANAAsAFwAIgAjAGEAcgByAGEAeQBfADIARAAhAFwAIgAsAFwAbgBcAG4AIAAgACAAIABJAEYAKABOAE8AVAAoAEEATgBEACgAbgBlAGkAZwBoAGIAbwByACAAPgA9ACAAMQAsACAAbgBlAGkAZwBoAGIAbwByACAAPAA9ACAAOQAsACAATgBPAFQAKABJAFMAVABFAFgAVAAoAG4AZQBpAGcAaABiAG8AcgApACkAKQApACwAXAAiACMATgBFAEkARwBIAEIATwBSACEAXAAiACwAXABuAFwAbgBMAEUAVAAoAFwAbgAgACAAIAAgAC8ALwAgAEQAaQBtAGUAbgBzAGkAbwBuAHMAXABuACAAIAAgACAAaABlAGkAZwBoAHQALAAgACAAIAAgACAAIAAgACAAIAAgACAAIAAgAFIATwBXAFMAKABhAHIAcgBhAHkAXwAyAEQAKQAsAFwAbgAgACAAIAAgAHcAaQBkAHQAaAAsACAAIAAgACAAIAAgACAAIAAgACAAIAAgACAAIABDAE8ATABVAE0ATgBTACgAYQByAHIAYQB5AF8AMgBEACkALABcAG4AXABuACAAIAAgACAALwAvACAAUABhAGQAIABhAHIAcgBhAHkAXwAyAEQAIAB3AGkAdABoACAAegBlAHIAbwBzACAAKABuAG8AIABhAGcAZwByAGUAZwBhAHQAaQBvAG4AIABuAGUAZQBkAGUAZAApAFwAbgAgACAAIAAgAGgAcABhAGQALAAgACAAIAAgACAAIAAgACAAIAAgACAAIAAgACAAIABFAFgAUABBAE4ARAAoADAALAAgACwAIAB3AGkAZAB0AGgAIAArACAAMgAsACAAMAApACwAXABuACAAIAAgACAAdgBwAGEAZAAsACAAIAAgACAAIAAgACAAIAAgACAAIAAgACAAIAAgAEUAWABQAEEATgBEACgAMAAsACAAaABlAGkAZwBoAHQALAAgACwAIAAwACkALABcAG4AIAAgACAAIABNACwAIAAgACAAIAAgACAAIAAgACAAIAAgACAAIAAgACAAIAAgACAAVgBTAFQAQQBDAEsAKABoAHAAYQBkACwAIABIAFMAVABBAEMASwAoAHYAcABhAGQALAAgAGEAcgByAGEAeQBfADIARAAsACAAdgBwAGEAZAApACwAIABoAHAAYQBkACkALABcAG4AXABuACAAIAAgACAALwAvACAATQBvAG8AcgBlACAAbgBlAGkAZwBoAGIAbwByAGgAbwBvAGQAIABlAHgAdAByAGEAYwB0AGkAbwBuAFwAbgAgACAAIAAgAGEALAAgACAAIAAgACAAIAAgACAAIAAgACAAIAAgACAAIAAgACAAIABEAFIATwBQACgATQAsACAALQAyACwAIAAtADIAKQAsACAAIAAgACAAIAAgACAAIAAgACAAIAAgACAAIAAgACAAIAAgACAAIAAgACAAIAAgACAALwAvACAATgBXAFwAbgAgACAAIAAgAGIALAAgACAAIAAgACAAIAAgACAAIAAgACAAIAAgACAAIAAgACAAIABUAEEASwBFACgARABSAE8AUAAoAE0ALAAgACwAIAAxACkALAAgAGgAZQBpAGcAaAB0ACwAIAB3AGkAZAB0AGgAKQAsACAAIAAgACAAIAAgACAALwAvACAATgBcAG4AIAAgACAAIABjACwAIAAgACAAIAAgACAAIAAgACAAIAAgACAAIAAgACAAIAAgACAAVABBAEsARQAoAEQAUgBPAFAAKABNACwAIAAsACAAMgApACwAIABoAGUAaQBnAGgAdAApACwAIAAgACAAIAAgACAAIAAgACAAIAAgACAAIAAgAC8ALwAgAE4ARQBcAG4AIAAgACAAIABkACwAIAAgACAAIAAgACAAIAAgACAAIAAgACAAIAAgACAAIAAgACAAVABBAEsARQAoAEQAUgBPAFAAKABNACwAIAAxACwAIAAtADEAKQAsACAAaABlAGkAZwBoAHQALAAgAHcAaQBkAHQAaAApACwAIAAgACAAIAAgAC8ALwAgAFcAXABuACAAIAAgACAAYwBlAG4AdABlAHIALAAgACAAIAAgACAAIAAgACAAIAAgACAAIAAgAFQAQQBLAEUAKABEAFIATwBQACgATQAsACAAMQAsACAAMQApACwAIABoAGUAaQBnAGgAdAAsACAAdwBpAGQAdABoACkALAAgACAAIAAgACAAIAAvAC8AIABDAFwAbgAgACAAIAAgAGYALAAgACAAIAAgACAAIAAgACAAIAAgACAAIAAgACAAIAAgACAAIABUAEEASwBFACgARABSAE8AUAAoAE0ALAAgADEALAAgADEAKQAsACAAaABlAGkAZwBoAHQALAAgAC0AdwBpAGQAdABoACkALAAgACAAIAAgACAALwAvACAARQBcAG4AIAAgACAAIABnACwAIAAgACAAIAAgACAAIAAgACAAIAAgACAAIAAgACAAIAAgACAAVABBAEsARQAoAEQAUgBPAFAAKABNACwAIAAxACwAIAAtADEAKQAsACAALQBoAGUAaQBnAGgAdAAsACAAdwBpAGQAdABoACkALAAgACAAIAAgAC8ALwAgAFMAVwBcAG4AIAAgACAAIABoACwAIAAgACAAIAAgACAAIAAgACAAIAAgACAAIAAgACAAIAAgACAAVABBAEsARQAoAEQAUgBPAFAAKABNACwAIAAxACwAIAAtADEAKQAsACAALQBoAGUAaQBnAGgAdAAsACAALQB3AGkAZAB0AGgAKQAsACAAIAAgAC8ALwAgAFMAXABuACAAIAAgACAAaQAsACAAIAAgACAAIAAgACAAIAAgACAAIAAgACAAIAAgACAAIAAgAFQAQQBLAEUAKABEAFIATwBQACgATQAsACAAMQAsACAAMQApACwAIAAtAGgAZQBpAGcAaAB0ACwAIAAtAHcAaQBkAHQAaAApACwAIAAgACAAIAAvAC8AIABTAEUAXABuAFwAbgAgACAAIAAgAC8ALwAgAFMAZQBsAGUAYwB0ACAAdABoAGUAIABuAGUAaQBnAGgAYgBvAHIAIABiAGwAbwBjAGsAXABuACAAIAAgACAAcwBlAGwAZQBjAHQAXwBuAGUAaQBnAGgAYgBvAHIALAAgACAAIAAgAEMASABPAE8AUwBFACgAbgBlAGkAZwBoAGIAbwByACwAYQAsAGIALABjACwAZAAsAGMAZQBuAHQAZQByACwAZgAsAGcALABoACwAaQApACwAXABuAFwAbgAgACAAIAAgAHMAZQBsAGUAYwB0AF8AbgBlAGkAZwBoAGIAbwByAFwAbgApACkAKQApADsAXABuAFwAbgBcAG4AXABuAC8AKgAgAFsARwBSADEAMwBdACAALQAtAC0ALQAtAC0ALQAtAC0ALQAtAC0ALQAtAC0ALQAtAC0ALQAtAC0ALQAtAC0ALQAtAC0ALQAtAC0ALQAtAC0ALQAtAC0ALQAtAC0ALQAtAC0ALQAtAC0ALQAtAC0ALQAtAC0ALQAtAC0ALQAtAC0ALQAtAC0ALQAtAC0ALQAtAC0ALQAtAC0ALQAtAC0ALQBcAG4ARgB1AG4AYwB0AGkAbwBuADoAIAAgACAAIAAgAEgAaQBzAHQAbwBnAHIAYQBt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EcAZQBuAGUAcgBhAHQAZQBzACAAYQAgAGgAaQBzAHQAbwBnAHIAYQBtACAAdQBzAGkAbgBnACAAYQB1AHQAbwBtAGEAdABpAGMAIABiAGkAbgBuAGkAbgBnACAAcgB1AGwAZQBzACAAKABTAHQAdQByAGcAZQBzACwAIABSAGkAYwBlACwAXABuACAAIAAgACAAUwBjAG8AdAB0ACwAIABGAHIAZQBlAGQAbQBhAG4AKQAgAGQAZQBwAGUAbgBkAGkAbgBnACAAbwBuACAAcwBhAG0AcABsAGUAIABzAGkAegBlACAAYQBuAGQAIABzAGsAZQB3AG4AZQBzAHMALgAgAFMAdQBwAHAAbwByAHQAcwAgAGEAbgBcAG4AIAAgACAAIABvAHAAdABpAG8AbgBhAGwAIABmAGkAeABlAGQAIABiAGkAbgAgAHcAaQBkAHQAaAAgAGEAbgBkACAAYQBuACAAbwBwAHQAaQBvAG4AYQBsACAAUABhAHIAZQB0AG8AIAAoAGMAdQBtAHUAbABhAHQAaQB2AGUAIAAlACkAIABjAG8AbAB1AG0AbgAuAFwAbgBcAG4AUABhAHIAYQBtAGUAdABlAHIAcwA6AFwAbgAgACAAIAAgAGEAcgByAGEAeQAgACAAIAAgACAAIAAgACAAIAAgACAAIAAtACAATgB1AG0AZQByAGkAYwAgAGEAcgByAGEAeQAgACgAMQBEACAAbwByACAAMgBEACkALgBcAG4AIAAgACAAIABbAGIAaQBuAF8AdwBpAGQAdABoAF0AIAAgACAAIAAgACAALQAgAE8AcAB0AGkAbwBuAGEAbAAgAGYAaQB4AGUAZAAgAGIAaQBuACAAdwBpAGQAdABoACAAKAAwACAAPAAgAHcAaQBkAHQAaAAgAGQiIAAxADAAMAAwACkALgBcAG4AIAAgACAAIABbAGkAbgBjAGwAdQBkAGUAXwBQAGEAcgBlAHQAbwBdACAALQAgAFQAUgBVAEUAIACSISAAaQBuAGMAbAB1AGQAZQAgAGMAdQBtAHUAbABhAHQAaQB2AGUAIAAlACAAYwBvAGwAdQBtAG4ALgBcAG4AXABuAE4AbwB0AGUAcwA6AFwAbgAgACAAIAAgACIgIABSAGUAdAB1AHIAbgBzACAAIwBWAEEATABVAEUAIQAgAGkAZgAgAGYAZQB3AGUAcgAgAHQAaABhAG4AIAAyACAAdgBhAGwAdQBlAHMAIABhAHIAZQAgAHMAdQBwAHAAbABpAGUAZAAuAFwAbgAgACAAIAAgACIgIABDAGEAcABzACAAdABvAHQAYQBsACAAYgBpAG4AcwAgAGEAdAAgADEAMAAwAC4AXABuACAAIAAgACAAIiAgAEkAZgAgAGIAaQBuAF8AdwBpAGQAdABoACAAaQBzACAAcwB1AHAAcABsAGkAZQBkACwAIABhAHUAdABvAG0AYQB0AGkAYwAgAHIAdQBsAGUAcwAgAGEAcgBlACAAYgB5AHAAYQBzAHMAZQBkAC4AXABuAC0ALQAtAC0ALQAtAC0ALQAtAC0ALQAtAC0ALQAtAC0ALQAtAC0ALQAtAC0ALQAtAC0ALQAtAC0ALQAtAC0ALQAtAC0ALQAtAC0ALQAtAC0ALQAtAC0ALQAtAC0ALQAtAC0ALQAtAC0ALQAtAC0ALQAtAC0ALQAtAC0ALQAtAC0ALQAtAC0ALQAtAC0ALQAtAC0ALQAtAC0ALQAtACoALwBcAG4AXABuAEgAaQBzAHQAbwBnAHIAYQBtALsDIAA9AFwAbgBMAEEATQBCAEQAQQAoAFwAbgAgACAAIAAgAGEAcgByAGEAeQAsAFwAbgAgACAAIAAgAFsAYgBpAG4AXwB3AGkAZAB0AGgAXQAsAFwAbgAgACAAIAAgAFsAaQBuAGMAbAB1AGQAZQBfAFAAYQByAGUAdABvAF0ALABcAG4AXABuAFwAbgBJAEYAKABDAE8AVQBOAFQAKABhAHIAcgBhAHkAKQAgADwAPQAgADEALAAjAFYAQQBMAFUARQAhACwAXABuAFwAbgAgACAAIAAgAEkARgAoAEEATgBEACgATgBPAFQAKABJAFMATwBNAEkAVABUAEUARAAoAGIAaQBuAF8AdwBpAGQAdABoACkAKQAsAE8AUgAoAGIAaQBuAF8AdwBpAGQAdABoACAAPAAgADAALAAgAGIAaQBuAF8AdwBpAGQAdABoACAAPgAgADEAMAAwADAAKQApACwAXAAiACMAQgBJAE4ALQBXAEkARABUAEgAIQBcACIALABcAG4AXABuAEwARQBUACgAXABuACAAIAAgACAALwAvACAAUwBhAG0AcABsAGUAIABjAGgAYQByAGEAYwB0AGUAcgBpAHMAdABpAGMAcwBcAG4AIAAgACAAIABuACwAIAAgACAAIAAgACAAIAAgACAAIAAgACAAIAAgAEMATwBVAE4AVAAoAGEAcgByAGEAeQApACwAXABuACAAIAAgACAAUwBtAGEAbABsAEQAYQB0AGEAPwAsACAAIAAgACAAIABuACAAPAAgADIAMAAwACwAXABuACAAIAAgACAAQQBkAGQAXwBQAGEAcgBlAHQAbwA/ACwAIAAgACAAIABOAE8AVAAoAEkAUwBPAE0ASQBUAFQARQBEACgAaQBuAGMAbAB1AGQAZQBfAFAAYQByAGUAdABvACkAKQAsAFwAbgBcAG4AIAAgACAAIABtAGkAbgAsACAAIAAgACAAIAAgACAAIAAgACAAIAAgAE0ASQBOACgAYQByAHIAYQB5ACkALABcAG4AIAAgACAAIABtAGEAeAAsACAAIAAgACAAIAAgACAAIAAgACAAIAAgAE0AQQBYACgAYQByAHIAYQB5ACkALABcAG4AIAAgACAAIAByAGEAbgBnAGUALAAgACAAIAAgACAAIAAgACAAIAAgAG0AYQB4ACAALQAgAG0AaQBuACwAXABuACAAIAAgACAAaQBxAHIALAAgACAAIAAgACAAIAAgACAAIAAgACAAIABRAFUAQQBSAFQASQBMAEUAKABhAHIAcgBhAHkALAAgADMAKQAgAC0AIABRAFUAQQBSAFQASQBMAEUAKABhAHIAcgBhAHkALAAgADEAKQAsAFwAbgBcAG4AIAAgACAAIABzACwAIAAgACAAIAAgACAAIAAgACAAIAAgACAAIAAgAFMASwBFAFcAKABhAHIAcgBhAHkAKQAsAFwAbgAgACAAIAAgAEkAcwBTAGsAZQB3AGUAZAA/ACwAIAAgACAAIAAgACAASQBGACgAUwBtAGEAbABsAEQAYQB0AGEAPwAsACAARgBBAEwAUwBFACwAIABBAEIAUwAoAHMAKQAgAD4AIAAwAC4AMgApACwAXABuAFwAbgAgACAAIAAgAC8ALwAgAE8AcAB0AGkAbwBuAGEAbAAgAGYAaQB4AGUAZAAgAGIAaQBuACAAdwBpAGQAdABoAFwAbgAgACAAIAAgAEkAcwBGAGkAeABlAGQAPwAsACAAIAAgACAAIAAgACAATgBPAFQAKABJAFMATwBNAEkAVABUAEUARAAoAGIAaQBuAF8AdwBpAGQAdABoACkAKQAsAFwAbgBcAG4AIAAgACAAIAAvAC8AIABBAHUAdABvAG0AYQB0AGkAYwAgAGIAaQBuAG4AaQBuAGcAIAByAHUAbABlAHMAXABuACAAIAAgACAAUwB0AHUAcgBnAGUALAAgACAAIAAgACAAIAAgACAAIABDAEUASQBMAEkATgBHACgATABPAEcAKABuACwAIAAyACkAIAArACAAMQAsACAAMQApACwAXABuACAAIAAgACAAUwBSAFIALAAgACAAIAAgACAAIAAgACAAIAAgACAAIABDAEUASQBMAEkATgBHACgAUwBRAFIAVAAoAG4AKQAsACAAMQApACwAXABuACAAIAAgACAAUgBpAGMAZQAsACAAIAAgACAAIAAgACAAIAAgACAAIABDAEUASQBMAEkATgBHACgAMgAgACoAIABuAF4AKAAxAC8AMwApACwAIAAxACkALABcAG4AIAAgACAAIABTAGMAbwB0AHQALAAgACAAIAAgACAAIAAgACAAIAAgAEMARQBJAEwASQBOAEcAKAAzAC4ANQAgACoAIABTAFQARABFAFYALgBQACgAYQByAHIAYQB5ACkAIAAvACAAbgBeACgAMQAvADMAKQAsACAAMQApACwAXABuACAAIAAgACAARgByAGUAZQBkAG0AYQBuACwAIAAgACAAIAAgACAAIABDAEUASQBMAEkATgBHACgAMgAgACoAIABpAHEAcgAgAC8AIABuAF4AKAAxAC8AMwApACwAIAAxACkALABcAG4AXABuACAAIAAgACAAZgBpAHgAZQBkACwAIAAgACAAIAAgACAAIAAgACAAIABDAEUASQBMAEkATgBHACgAcgBhAG4AZwBlACAALwAgAGIAaQBuAF8AdwBpAGQAdABoACwAIAAxACAALwAgAGIAaQBuAF8AdwBpAGQAdABoACkALABcAG4AXABuACAAIAAgACAALwAvACAAQgBpAG4AIABjAG8AdQBuAHQAIABzAGUAbABlAGMAdABpAG8AbgBcAG4AIAAgACAAIABrACwAIAAgACAAIAAgACAAIAAgACAAIAAgACAAIAAgAEkARgAoAEkAcwBGAGkAeABlAGQAPwAsAGYAaQB4AGUAZAAsAFwAbgAgACAAIAAgACAAIAAgACAAIAAgACAAIAAgACAAIAAgACAAIAAgACAAIAAgACAAIABJAEYAKABuACAAPAA9ACAAMwAwACwATQBBAFgAKABTAHQAdQByAGcAZQAsACAAUgBpAGMAZQApACwAXABuACAAIAAgACAAIAAgACAAIAAgACAAIAAgACAAIAAgACAAIAAgACAAIAAgACAAIAAgACAAIAAgACAASQBGACgASQBzAFMAawBlAHcAZQBkAD8ALABNAEkATgAoAEYAcgBlAGUAZABtAGEAbgAsACAAMQA1ACkALABcAG4AIAAgACAAIAAgACAAIAAgACAAIAAgACAAIAAgACAAIAAgACAAIAAgACAAIAAgACAAIAAgACAAIAAgACAAIAAgAE0ASQBOACgAUwBjAG8AdAB0ACwAIAAxADUAKQApACkAKQAsAFwAbgBcAG4AIAAgACAAIAAvAC8AIABBAHYAbwBpAGQAIABzAGkAbgBnAGwAZQAtAGIAaQBuACAAbwB1AHQAcAB1AHQAOwAgAGMAYQBwACAAYQB0ACAAMQAwADAAXABuACAAIAAgACAAawBfACwAIAAgACAAIAAgACAAIAAgACAAIAAgACAAIABNAEkATgAoAEkARgAoAGsAIAA9ACAAMQAsACAANQAsACAAawApACwAIAAxADAAMAApACwAXABuAFwAbgAgACAAIAAgAC8ALwAgAEIAaQBuACAAaQBuAHQAZQByAHYAYQBsAFwAbgAgACAAIAAgAGkAbgB0AGUAcgB2AGEAbAAsACAAIAAgACAAIAAgACAASQBGACgAcgBhAG4AZwBlACAAPQAgADAALAAgADEALAAgAE0AQQBYACgAcgBhAG4AZwBlACAALwAgAGsAXwAsACAAMAAuADEAKQApACwAXABuACAAIAAgACAAYgBpAG4AXwB1AHAAcABlAHIALAAgACAAIAAgACAAIABDAEUASQBMAEkATgBHACgAbQBhAHgALAAgAGkAbgB0AGUAcgB2AGEAbAApACwAXABuACAAIAAgACAAYgBpAG4AXwBsAG8AdwBlAHIALAAgACAAIAAgACAAIABGAEwATwBPAFIAKABtAGkAbgAsACAAaQBuAHQAZQByAHYAYQBsACkALABcAG4AXABuACAAIAAgACAAYgBpAG4AXwBhAHIAcgAsACAAIAAgACAAIAAgACAAIABTAEUAUQBVAEUATgBDAEUAKAAxACAAKwAgACgAYgBpAG4AXwB1AHAAcABlAHIAIAAtACAAYgBpAG4AXwBsAG8AdwBlAHIAKQAgAC8AIABpAG4AdABlAHIAdgBhAGwALAAsAGIAaQBuAF8AbABvAHcAZQByACwAaQBuAHQAZQByAHYAYQBsACkALABcAG4AXABuACAAIAAgACAALwAvACAAQgBpAG4AIABsAGEAYgBlAGwAcwBcAG4AIAAgACAAIABiAGkAbgBfAHMAdABhAHIAdAAsACAAIAAgACAAIAAgAEQAUgBPAFAAKABiAGkAbgBfAGEAcgByACwAIAAtADEAKQAsAFwAbgAgACAAIAAgAGIAaQBuAF8AZQBuAGQALAAgACAAIAAgACAAIAAgACAARABSAE8AUAAoAGIAaQBuAF8AYQByAHIALAAgADEAKQAsAFwAbgBcAG4AIAAgACAAIABiAGkAbgBfAGgAZQBhAGQAZQByACwAIAAgACAAIAAgAHsAXAAiAFMAdABhAHIAdABcACIALAAgAFwAIgBFAG4AZABcACIALAAgAFwAIgBUAG8AdABhAGwAXAAiAH0ALABcAG4AIAAgACAAIABiAGkAbgBfAGwAYQBiAGUAbABzACwAIAAgACAAIAAgAEgAUwBUAEEAQwBLACgAVgBTAFQAQQBDAEsAKABcACIAPABcACIALAAgAGIAaQBuAF8AcwB0AGEAcgB0ACkALABcAG4AIAAgACAAIAAgACAAIAAgACAAIAAgACAAIAAgACAAIAAgACAAIAAgACAAIAAgACAAIAAgACAAVgBTAFQAQQBDAEsAKABUAEEASwBFACgAYgBpAG4AXwBzAHQAYQByAHQALAAgADEAKQAsACAAYgBpAG4AXwBlAG4AZAApACkALABcAG4AXABuACAAIAAgACAALwAvACAARgByAGUAcQB1AGUAbgBjAGkAZQBzACAAYQBuAGQAIABQAGEAcgBlAHQAbwBcAG4AIAAgACAAIABmAHIAZQBxACwAIAAgACAAIAAgACAAIAAgACAAIAAgAEQAUgBPAFAAKABGAFIARQBRAFUARQBOAEMAWQAoAGEAcgByAGEAeQAsACAAYgBpAG4AXwBhAHIAcgApACwAIAAtADEAKQAsAFwAbgAgACAAIAAgAFAAYQByAGUAdABvACwAIAAgACAAIAAgACAAIAAgACAAQgBZAFIATwBXACgAZgByAGUAcQAsACAATABBAE0AQgBEAEEAKAB2ACwAIABQAEUAUgBDAEUATgBUAE8ARgAoAHYALAAgAGYAcgBlAHEAKQApACkALABcAG4AXABuACAAIAAgACAALwAvACAARgBpAG4AYQBsACAAYQBzAHMAZQBtAGIAbAB5AFwAbgAgACAAIAAgAHMAdABhAGMAawAsACAAIAAgACAAIAAgACAAIAAgACAAVgBTAFQAQQBDAEsAKABiAGkAbgBfAGgAZQBhAGQAZQByACwAIABIAFMAVABBAEMASwAoAGIAaQBuAF8AbABhAGIAZQBsAHMALAAgAGYAcgBlAHEAKQApACwAXABuAFwAbgAgACAAIAAgAGQAZQBsAGkAdgBlAHIALAAgACAAIAAgACAAIAAgACAASQBGACgAQQBkAGQAXwBQAGEAcgBlAHQAbwA/ACwAUwBPAFIAVAAoAEgAUwBUAEEAQwBLACgAcwB0AGEAYwBrACwAVgBTAFQAQQBDAEsAKABcACIAQwB1AG0AdQBsAGEAdABpAHYAZQAgACUAXAAiACwAIABQAGEAcgBlAHQAbwApACkALAAzACwALQAxACkALABcAG4AIAAgACAAIAAgACAAIAAgACAAIAAgACAAIAAgACAAIAAgACAAIAAgACAAIAAgACAAcwB0AGEAYwBrACkALABcAG4AXABuACAAIAAgACAAZABlAGwAaQB2AGUAcgBcAG4AKQApACkAKQA7AFwAbgBcAG4AXABuAFwAbgAvACoAIABbAEcAUgAxADQAXQAgAC0ALQAtAC0ALQAtAC0ALQAtAC0ALQAtAC0ALQAtAC0ALQAtAC0ALQAtAC0ALQAtAC0ALQAtAC0ALQAtAC0ALQAtAC0ALQAtAC0ALQAtAC0ALQAtAC0ALQAtAC0ALQAtAC0ALQAtAC0ALQAtAC0ALQAtAC0ALQAtAC0ALQAtAC0ALQAtAC0ALQAtAC0ALQAtAC0AXABuAEYAdQBuAGMAdABpAG8AbgA6ACAAIAAgACAAIABNAG8AZABlALsDXABuAEMAYQB0AGUAZwBvAHIAeQA6ACAAIAAgACAAIABHAHIAaQBkACAAQQBuAGEAbAB5AHQAaQBjAHMAIAAoAFMAdABhAHQAaQBzAHQAaQBjAHMAKQBcAG4AQQB1AHQAaABvAHIAOgAgACAAIAAgACAAIAAgAFAAYQB0AHIAaQBjAGsAIABIAC4AXABuAFYAZQByAHMAaQBvAG4AOgAgACAAIAAgACAAIAAxAC4AMQBcAG4AXABuAEQAZQBzAGMAcgBpAHAAdABpAG8AbgA6AFwAbgAgACAAIAAgAFIAZQB0AHUAcgBuAHMAIABhACAAdgBlAHIAdABpAGMAYQBsACAAYQByAHIAYQB5ACAAbwBmACAAdABoAGUAIABtAG8AcwB0ACAAZgByAGUAcQB1AGUAbgB0AGwAeQAgAG8AYwBjAHUAcgByAGkAbgBnACAAdgBhAGwAdQBlAHMAIABvAHIAXABuACAAIAAgACAAdABlAHgAdAAgAGUAbgB0AHIAaQBlAHMAIABpAG4AIABhAG4AIABhAHIAcgBhAHkALgAgAFMAdQBwAHAAbwByAHQAcwAgAGEAbgAgAG8AcAB0AGkAbwBuAGEAbAAgAHQAbwB0AGEAbABzACAAYwBvAGwAdQBtAG4AIABzAGgAbwB3AGkAbgBnAFwAbgAgACAAIAAgAHQAaABlACAAYwBvAHUAbgB0ACAAbwBmACAAZQBhAGMAaAAgAG0AbwBkAGUALgBcAG4AXABuAFAAYQByAGEAbQBlAHQAZQByAHMAOgBcAG4AIAAgACAAIABhAHIAcgBhAHkAIAAgACAAIAAgACAAIAAgACAAIAAgAC0AIABBAHIAcgBhAHkAIAAoADEARAAgAG8AcgAgADIARAApAC4AXABuACAAIAAgACAAWwBpAG4AYwBsAHUAZABlAF8AdABvAHQAYQBsAHMAXQAtACAAVABSAFUARQAgAJIhIABpAG4AYwBsAHUAZABlACAAYwBvAHUAbgB0AHMAIABvAGYAIABmAHIAZQBxAHUAZQBuAHQAIAB2AGEAbAB1AGUAcwAuAFwAbgBcAG4ATgBvAHQAZQBzADoAXABuACAAIAAgACAAIiAgAEkAZgAgAHQAaABlACAAYQByAHIAYQB5ACAAYwBvAG4AdABhAGkAbgBzACAAbgBvACAAdABlAHgAdAAsACAATQBPAEQARQAuAE0AVQBMAFQAIABpAHMAIAB1AHMAZQBkACAAZgBvAHIAIABuAHUAbQBlAHIAaQBjACAAbQBvAGQAZQAuAFwAbgAgACAAIAAgACIgIABJAGYAIABuAG8AIAByAGUAcABlAGEAdABzACAAZQB4AGkAcwB0ACwAIAByAGUAdAB1AHIAbgBzACAAXAAiACMATgBPAC0AUgBFAFAARQBBAFQAUwAhAFwAIgAuAFwAbgAtAC0ALQAtAC0ALQAtAC0ALQAtAC0ALQAtAC0ALQAtAC0ALQAtAC0ALQAtAC0ALQAtAC0ALQAtAC0ALQAtAC0ALQAtAC0ALQAtAC0ALQAtAC0ALQAtAC0ALQAtAC0ALQAtAC0ALQAtAC0ALQAtAC0ALQAtAC0ALQAtAC0ALQAtAC0ALQAtAC0ALQAtAC0ALQAtAC0ALQAtAC0ALQAqAC8AXABuAFwAbgBNAG8AZABlALsDIAA9AFwAbgBMAEEATQBCAEQAQQAoAFwAbgAgACAAIAAgAGEAcgByAGEAeQAsAFwAbgAgACAAIAAgAFsAaQBuAGMAbAB1AGQAZQBfAHQAbwB0AGEAbABzAF0ALABcAG4AXABuAEkARgAoAEMATwBVAE4AVAAoAC0ALQBJAFMAVABFAFgAVAAoAGEAcgByAGEAeQApACkAIAA9ACAAMAAsAE0ATwBEAEUALgBNAFUATABUACgAYQByAHIAYQB5ACkALABcAG4AXABuAEwARQBUACgAXABuACAAIAAgACAALwAvACAATQBlAHMAcwBhAGcAZQAgAGYAbwByACAAbgBvACAAcgBlAHAAZQBhAHQAcwBcAG4AIAAgACAAIABtAHMAZwAsACAAIAAgACAAIAAgACAAIAAgACAAIAAgAFwAIgAjAE4ATwAtAFIARQBQAEUAQQBUAFMAIQBcACIALABcAG4AXABuACAAIAAgACAALwAvACAARgBsAGEAdAB0AGUAbgAgAGkAbgBwAHUAdAAgAGEAbgBkACAAYwBvAG0AcAB1AHQAZQAgAG0AbwBkAGUAIABpAG4AZABpAGMAZQBzAFwAbgAgACAAIAAgAFYALAAgACAAIAAgACAAIAAgACAAIAAgACAAIAAgACAAVABPAEMATwBMACgAYQByAHIAYQB5ACkALABcAG4AIAAgACAAIABpACwAIAAgACAAIAAgACAAIAAgACAAIAAgACAAIAAgAE0ATwBEAEUALgBNAFUATABUACgAWABNAEEAVABDAEgAKABWACwAIABWACkAKQAsAFwAbgAgACAAIAAgAHIAZQBzAHUAbAB0ACwAIAAgACAAIAAgACAAIAAgACAAUwBPAFIAVAAoAEkARgBFAFIAUgBPAFIAKABJAE4ARABFAFgAKABWACwAIABpACkALAAgAG0AcwBnACkAKQAsAFwAbgBcAG4AIAAgACAAIAAvAC8AIABUAG8AdABhAGwAcwAgAGYAbwByACAAcgBlAHAAZQBhAHQAZQBkACAAdgBhAGwAdQBlAHMAXABuACAAIAAgACAAawBlAGUAcAAsACAAIAAgACAAIAAgACAAIAAgACAAIABJAFMATgBVAE0AQgBFAFIAKABYAE0AQQBUAEMASAAoAFYALAAgAHIAZQBzAHUAbAB0ACkAKQAsAFwAbgAgACAAIAAgAHQAbwB0AGEAbABzACwAIAAgACAAIAAgACAAIAAgACAARwBSAE8AVQBQAEIAWQAoAFYALAAgAFYALAAgAEMATwBVAE4AVABBACwAIAAwACwAIAAwACwAIAAsACAAawBlAGUAcAApACwAXABuAFwAbgAgACAAIAAgAC8ALwAgAEQAZQBsAGkAdgBlAHIAIAB0AG8AdABhAGwAcwAgAGkAZgAgAHIAZQBxAHUAZQBzAHQAZQBkAFwAbgAgACAAIAAgAGQAZQBsAGkAdgBlAHIALAAgACAAIAAgACAAIAAgACAASQBGACgAQQBOAEQAKABpAG4AYwBsAHUAZABlAF8AdABvAHQAYQBsAHMALAAgAHIAZQBzAHUAbAB0ACAAPAA+ACAAbQBzAGcAKQAsAHQAbwB0AGEAbABzACwAXABuACAAIAAgACAAIAAgACAAIAAgACAAIAAgACAAIAAgACAAIAAgACAAIAAgACAAIAAgAHIAZQBzAHUAbAB0ACkALABcAG4AXABuACAAIAAgACAAZABlAGwAaQB2AGUAcgBcAG4AKQApACkAOwBcAG4AXABuAFwAbgBcAG4ALwAqACAAWwBHAFIAMQA1AF0AIAAtAC0ALQAtAC0ALQAtAC0ALQAtAC0ALQAtAC0ALQAtAC0ALQAtAC0ALQAtAC0ALQAtAC0ALQAtAC0ALQAtAC0ALQAtAC0ALQAtAC0ALQAtAC0ALQAtAC0ALQAtAC0ALQAtAC0ALQAtAC0ALQAtAC0ALQAtAC0ALQAtAC0ALQAtAC0ALQAtAC0ALQAtAC0ALQAtAFwAbgBGAHUAbgBjAHQAaQBvAG4AOgAgACAAIAAgACAAWgBvAG4AZQBTAHQAYQB0ALsDXABuAEMAYQB0AGUAZwBvAHIAeQA6ACAAIAAgACAAIABHAHIAaQBkACAAQQBuAGEAbAB5AHQAaQBjAHMAIAAoAFMAdABhAHQAaQBzAHQAaQBjAHMAKQBcAG4AQQB1AHQAaABvAHIAOgAgACAAIAAgACAAIAAgAFAAYQB0AHIAaQBjAGsAIABIAC4AXABuAFYAZQByAHMAaQBvAG4AOgAgACAAIAAgACAAIAAxAC4AMQBcAG4ARABlAHAAZQBuAGQAZQBuAGMAaQBlAHMAOgAgAEgAaQBzAHQAbwBnAHIAYQBtALsDXABuAFwAbgBEAGUAcwBjAHIAaQBwAHQAaQBvAG4AOgBcAG4AIAAgACAAIABBAGcAZwByAGUAZwBhAHQAZQBzACAAdgBhAGwAdQBlAHMAIABiAHkAIABcACIAegBvAG4AZQBzAFwAIgAgAGQAZQB0AGUAcgBtAGkAbgBlAGQAIABiAHkAIABIAGkAcwB0AG8AZwByAGEAbQC7Ay4AIABUAGgAZQAgAGIAaQBuACAAdwBpAGQAdABoACAAaQBzAFwAbgAgACAAIAAgAGMAbwBtAHAAdQB0AGUAZAAgAGEAcwAgADEAMABeAG0AIAB3AGgAZQByAGUAIABtACAAaQBzACAAdABoAGUAIABtAG8AcwB0ACAAZgByAGUAcQB1AGUAbgB0ACAAaQBuAHQAZQBnAGUAcgAgAEwATwBHACAAbQBhAGcAbgBpAHQAdQBkAGUAIABvAGYAXABuACAAIAAgACAAdABoAGUAIAB2AGEAbAB1AGUAcwAuACAAUwB1AHAAcABvAHIAdABzACAARQBUAEEAIABmAHUAbgBjAHQAaQBvAG4AcwAgAGEAbgBkACAAYwB1AHMAdABvAG0AIABMAEEATQBCAEQAQQBzAC4AXABuAFwAbgBQAGEAcgBhAG0AZQB0AGUAcgBzADoAXABuACAAIAAgACAAZwByAGkAZAAgACAAIAAgACAAIAAgACAALQAgAE4AdQBtAGUAcgBpAGMAIABhAHIAcgBhAHkAIAAoADEARAAgAG8AcgAgADIARAApAC4AXABuACAAIAAgACAAWwBmAHUAbgBjAHQAaQBvAG4AXQAgACAALQAgAEUAVABBACAAbwByACAATABBAE0AQgBEAEEAIABhAGcAZwByAGUAZwBhAHQAaQBvAG4AIABmAHUAbgBjAHQAaQBvAG4AIAAoAGQAZQBmAGEAdQBsAHQAIABTAFUATQApAC4AXABuAFwAbgBOAG8AdABlAHMAOgBcAG4AIAAgACAAIAAiICAAUwBjAGEAbABhAHIAcwAgAHIAZQB0AHUAcgBuACAAZgB1AG4AYwB0AGkAbwBuACgAZwByAGkAZAApAC4AXABuACAAIAAgACAAIiAgAE4AbwBuABEgbgB1AG0AZQByAGkAYwAgAGcAcgBpAGQAcwAgAHIAZQB0AHUAcgBuACAAIwBWAEEATABVAEUAIQAuAFwAbgAgACAAIAAgACIgIABaAG8AbgBlAHMAIABhAHIAZQAgAGEAcwBzAGkAZwBuAGUAZAAgAHYAaQBhACAASABpAHMAdABvAGcAcgBhAG0AuwMgAHUAcwBpAG4AZwAgAGEAdQB0AG8AbQBhAHQAaQBjACAAYgBpAG4AbgBpAG4AZwAuAFwAbgAtAC0ALQAtAC0ALQAtAC0ALQAtAC0ALQAtAC0ALQAtAC0ALQAtAC0ALQAtAC0ALQAtAC0ALQAtAC0ALQAtAC0ALQAtAC0ALQAtAC0ALQAtAC0ALQAtAC0ALQAtAC0ALQAtAC0ALQAtAC0ALQAtAC0ALQAtAC0ALQAtAC0ALQAtAC0ALQAtAC0ALQAtAC0ALQAtAC0ALQAtAC0ALQAqAC8AXABuAFwAbgBaAG8AbgBlAFMAdABhAHQAuwMgAD0AXABuAEwAQQBNAEIARABBACgAXABuACAAIAAgACAAZwByAGkAZAAsAFwAbgAgACAAIAAgAFsAZgB1AG4AYwB0AGkAbwBuAF0ALABcAG4AXABuAEwARQBUACgAXABuACAAIAAgACAALwAvACAARABlAGYAYQB1AGwAdAAgAGEAZwBnAHIAZQBnAGEAdABpAG8AbgAgAGYAdQBuAGMAdABpAG8AbgBcAG4AIAAgACAAIABmAHUAbgBjAHQAaQBvAG4ALAAgACAAIAAgACAAIAAgACAAIAAgACAASQBGACgASQBTAE8ATQBJAFQAVABFAEQAKABmAHUAbgBjAHQAaQBvAG4AKQAsACAAUwBVAE0ALAAgAGYAdQBuAGMAdABpAG8AbgApACwAXABuAFwAbgAgACAAIAAgAC8ALwAgAC0ALQAtACAAVgBhAGwAaQBkAGEAdABpAG8AbgAgAC0ALQAtAFwAbgAgACAAIAAgAEkAcwBOAG8AbgBOAHUAbQA/ACwAIAAgACAAIAAgACAAIAAgACAAIABBAE4ARAAoAEkAUwBUAEUAWABUACgAZwByAGkAZAApACkALABcAG4AIAAgACAAIABJAG4AdgBhAGwAaQBkAEYAbgA/ACwAIAAgACAAIAAgACAAIAAgACAAVABZAFAARQAoAGYAdQBuAGMAdABpAG8AbgApACAAPAA+ACAAMQAyADgALABcAG4AIAAgACAAIABJAHMAUwBjAGEAbABhAHIAPwAsACAAIAAgACAAIAAgACAAIAAgACAAQQBOAEQAKABSAE8AVwBTACgAZwByAGkAZAApAD0AMQAsACAAQwBPAEwAVQBNAE4AUwAoAGcAcgBpAGQAKQA9ADEAKQAsAFwAbgBcAG4AIAAgACAAIAAvAC8AIABMAG8AZwBpAGMAIABnAGEAdABlAFwAbgAgACAAIAAgAEkARgAoAEkAcwBOAG8AbgBOAHUAbQA/ACwAIAAgACAAIAAgACAAIAAgACAAIAAjAFYAQQBMAFUARQAhACwAXABuAFwAbgAgACAAIAAgACAAIAAgACAASQBGACgASQBuAHYAYQBsAGkAZABGAG4APwAsACAAIAAgACAAIABcACIAIwBGAFUATgBDAFQASQBPAE4AIQBcACIALABcAG4AXABuACAAIAAgACAAIAAgACAAIAAgACAAIAAgAEkARgAoAEkAcwBTAGMAYQBsAGEAcgA/ACwAIAAgAGYAdQBuAGMAdABpAG8AbgAoAGcAcgBpAGQAKQAsAFwAbgBcAG4ATABFAFQAKABcAG4AIAAgACAAIAAvAC8AIABEAGUAdABlAHIAbQBpAG4AZQAgAGIAaQBuACAAdwBpAGQAdABoACAAZgByAG8AbQAgAG0AYQBnAG4AaQB0AHUAZABlAFwAbgAgACAAIAAgAG0AYQBnACwAIAAgACAAIAAgACAAIAAgACAAIAAgACAAIAAgACAAIABJAEYARQBSAFIATwBSACgATQBPAEQARQAoAEkATgBUACgATABPAEcAKABnAHIAaQBkACkAKQApACwAIAAxACkALABcAG4AIAAgACAAIABiAGkAbgBfAHcAaQBkAHQAaAAsACAAIAAgACAAIAAgACAAIAAgACAAMQAwACAAXgAgAG0AYQBnACwAXABuAFwAbgAgACAAIAAgAC8ALwAgAEgAaQBzAHQAbwBnAHIAYQBtACAAYgBpAG4AcwAgACgAZgBpAHIAcwB0ACAAYwBvAGwAdQBtAG4AIABvAG4AbAB5ACkAXABuACAAIAAgACAAaABpAHMAdAAsACAAIAAgACAAIAAgACAAIAAgACAAIAAgACAAIAAgAFQAQQBLAEUAKABEAFIATwBQACgASABpAHMAdABvAGcAcgBhAG0AuwMoAGcAcgBpAGQALAAgAGIAaQBuAF8AdwBpAGQAdABoACkALAAgADIAKQAsACAALAAgADEAKQAsAFwAbgBcAG4AIAAgACAAIAAvAC8AIABBAHMAcwBpAGcAbgAgAHoAbwBuAGUAcwBcAG4AIAAgACAAIAB6AG8AbgBlAHMALAAgACAAIAAgACAAIAAgACAAIAAgACAAIAAgACAASQBGAE4AQQAoAFgATQBBAFQAQwBIACgAZwByAGkAZAAsACAAaABpAHMAdAAsACAALQAxACkALAAgADAAKQAsAFwAbgBcAG4AIAAgACAAIAAvAC8AIABGAGwAYQB0AHQAZQBuACAAYQByAHIAYQB5AHMAXABuACAAIAAgACAAZwAsACAAIAAgACAAIAAgACAAIAAgACAAIAAgACAAIAAgACAAIAAgAFQATwBDAE8ATAAoAGcAcgBpAGQAKQAsAFwAbgAgACAAIAAgAHoALAAgACAAIAAgACAAIAAgACAAIAAgACAAIAAgACAAIAAgACAAIABUAE8AQwBPAEwAKAB6AG8AbgBlAHMAKQAsAFwAbgBcAG4AIAAgACAAIAAvAC8AIABBAGcAZwByAGUAZwBhAHQAZQAgAGIAeQAgAHoAbwBuAGUAXABuACAAIAAgACAAYQBnAGcALAAgACAAIAAgACAAIAAgACAAIAAgACAAIAAgACAAIAAgAEcAUgBPAFUAUABCAFkAKAB6ACwAIABnACwAIABmAHUAbgBjAHQAaQBvAG4ALAAgACwAIAAwACkALABcAG4AIAAgACAAIAB6AG8AbgBlAF8ASQBEAHMALAAgACAAIAAgACAAIAAgACAAIAAgACAAVABBAEsARQAoAGEAZwBnACwAIAAsACAAMQApACwAXABuACAAIAAgACAAZwByAGkAZABfAHYAYQBsAHUAZQBzACwAIAAgACAAIAAgACAAIAAgAFQAQQBLAEUAKABhAGcAZwAsACAALAAgAC0AMQApACwAXABuAFwAbgAgACAAIAAgAC8ALwAgAEIAcgBvAGEAZABjAGEAcwB0ACAAYQBnAGcAcgBlAGcAYQB0AGUAZAAgAHYAYQBsAHUAZQBzACAAYgBhAGMAawAgAHQAbwAgAGcAcgBpAGQAIABzAGgAYQBwAGUAXABuACAAIAAgACAAZgBpAG4AYQBsACwAIAAgACAAIAAgACAAIAAgACAAIAAgACAAIAAgAFgATABPAE8ASwBVAFAAKAB6AG8AbgBlAHMALAAgAHoAbwBuAGUAXwBJAEQAcwAsACAAZwByAGkAZABfAHYAYQBsAHUAZQBzACwAIAAwACkALABcAG4AXABuACAAIAAgACAAZgBpAG4AYQBsAFwAbgApACkAKQApACkAKQA7AFwAbgBcAG4AXABuAFwAbgAvAC8AIABbAFQAWABdACAALQAtAC0ALQAtAC0ALQAtAC0ALQAtAC0ALQAtAC0ALQAtAC0ALQAtAC0ALQAtAC0ALQAtAC0ALQAtAC0ALQAtAC0ALQAtAC0ALQAtAC0ALQAtAC0ALQAtAC0ALQAtAC0ALQAtAC0ALQAtAC0ALQAtAC0ALQAtAC0ALQAtAC0ALQAtAC0ALQAtAC0ALQAtAC0ALQAtAC0ALQAtAFwAbgAvAC8AIAAtAC0ALQAjACMAIAAwADcAIAAUICAAVABlAHgAdA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aQBzACAAYwBhAHQAZQBnAG8AcgB5ACAAcAByAG8AdgBpAGQAZQBzACAAbwBwAGUAcgBhAHQAbwByAHMAIAB0AGgAYQB0ACAAbwB2AGUAcgBjAG8AbQBlACAAYwBvAG0AbQBvAG4AIABsAGkAbQBpAHQAYQB0AGkAbwBuAHMAIABpAG4AXABuACAAIAAgACAARQB4AGMAZQBsACcAcwAgAG4AYQB0AGkAdgBlACAAdABlAHgAdAAgAGUAbgBnAGkAbgBlACAAKABlAC4AZwAuACwAIABUAEUAWABUAFMAUABMAEkAVAAgAGMAYQBuAG4AbwB0ACAAcwBwAGkAbABsACAAMgBEACAAcgBlAHMAdQBsAHQAcwA7ACAAQgBZAFIATwBXAFwAbgAgACAAIAAgAGMAYQBuAG4AbwB0ACAAZABlAHAAbABvAHkAIABTAE8AUgBUACAAdABvACAAYQBsAGkAZwBuACAAYwBvAGwAdQBtAG4AcwApAC4AIABUAGgAZQBzAGUAIABmAHUAbgBjAHQAaQBvAG4AcwAgAGUAbgBhAGIAbABlACAAcwB0AHIAdQBjAHQAdQByAGEAbABcAG4AIAAgACAAIABhAGwAaQBnAG4AbQBlAG4AdAAsACAAZQB4AHQAcgBhAGMAdABpAG8AbgAsACAAYQBuAGQAIAB0AHIAYQBuAHMAZgBvAHIAbQBhAHQAaQBvAG4AIABvAGYAIAB0AGUAeAB0ACAAYQByAHIAYQB5AHMALAAgAGUAeAB0AGUAbgBkAGkAbgBnACAARQB4AGMAZQBsACcAcwBcAG4AIAAgACAAIABjAGEAcABhAGIAaQBsAGkAdABpAGUAcwAgAGYAbwByACAAYgBvAHQAaAAgADEARAAgAGEAbgBkACAAMgBEACAAaQBuAHAAdQB0AHMALgBcAG4AXABuAEYAdQBuAGMAdABpAG8AbgBzADoAXABuACAAIAAgACAAIiAgAEEAbABpAGcAbgC7A1wAbgAgACAAIAAgACAAIAAgACAAUwBvAHIAdABzACAAZQBhAGMAaAAgAHIAbwB3ACAAbwByACAAYwBvAGwAdQBtAG4AIABhAGwAcABoAGEAYgBlAHQAaQBjAGEAbABsAHkALgBcAG4AXABuACAAIAAgACAAIiAgAEEAbABpAGcAbgBEAGkAcwB0AGkAbgBjAHQAuwNcAG4AIAAgACAAIAAgACAAIAAgAEMAYQBsAGwAcwAgAEEAbABpAGcAbgC7AyAAdABvACAAcwBvAHIAdAAgAGEAIAAyAEQAIABhAHIAcgBhAHkALAAgAHQAaABlAG4AIAByAGUAdAB1AHIAbgBzACAAZABpAHMAdABpAG4AYwB0ACAAdgBhAGwAdQBlAHMALgBcAG4AXABuACAAIAAgACAAIiAgAEEAbABpAGcAbgBVAG4AaQBxAHUAZQC7A1wAbgAgACAAIAAgACAAIAAgACAAQwBhAGwAbABzACAAQQBsAGkAZwBuALsDIAB0AG8AIABzAG8AcgB0ACAAYQAgADIARAAgAGEAcgByAGEAeQAsACAAdABoAGUAbgAgAHIAZQB0AHUAcgBuAHMAIAB1AG4AaQBxAHUAZQAgAHYAYQBsAHUAZQBzAC4AXABuAFwAbgAgACAAIAAgACIgIABDAG8AYQBsAGUAcwBjAGUAuwNcAG4AIAAgACAAIAAgACAAIAAgAFIAZQB0AHUAcgBuAHMAIAB0AGgAZQAgAGYAaQByAHMAdAAgAG4AbwBuABEgZQBtAHAAdAB5ACAAdgBhAGwAdQBlACAAYQBjAHIAbwBzAHMAIABtAHUAbAB0AGkAcABsAGUAIAAyAEQAIABhAHIAcgBhAHkAcwAgACgAMgAgAHQAbwAgADQAIABpAG4AcAB1AHQAcwApAC4AXABuAFwAbgAgACAAIAAgACIgIABFAHgAcABsAG8AZABlALsDXABuACAAIAAgACAAIAAgACAAIABDAG8AbgB2AGUAcgB0AHMAIABhACAAcwBjAGEAbABhAHIALAAgADEARAAgAGEAcgByAGEAeQAsACAAbwByACAAMgBEACAAYQByAHIAYQB5ACAAaQBuAHQAbwAgAGEAbgAgAGUAeABwAGwAbwBkAGUAZAAgAGMAaABhAHIAYQBjAHQAZQByACAAYQByAHIAYQB5AC4AXABuAFwAbgAgACAAIAAgACIgIABOAHUAbQBiAGUAcgBzAE8AbgBsAHkAuwNcAG4AIAAgACAAIAAgACAAIAAgAEUAeAB0AHIAYQBjAHQAcwAgAG4AdQBtAGUAcgBpAGMAIAB2AGEAbAB1AGUAcwAgAGYAcgBvAG0AIABhACAAcwBjAGEAbABhAHIALAAgADEARAAgAGEAcgByAGEAeQAsACAAbwByACAAMgBEACAAYQByAHIAYQB5AC4AXABuAFwAbgAgACAAIAAgACIgIABUAGUAeAB0AE8AbgBsAHkAuwNcAG4AIAAgACAAIAAgACAAIAAgAEUAeAB0AHIAYQBjAHQAcwAgAHQAZQB4AHQAIAB2AGEAbAB1AGUAcwAgAGYAcgBvAG0AIABhACAAcwBjAGEAbABhAHIALAAgADEARAAgAGEAcgByAGEAeQAsACAAbwByACAAMgBEACAAYQByAHIAYQB5AC4AXABuAFwAbgAgACAAIAAgACIgIABTAHAAbABpAHQAuwNcAG4AIAAgACAAIAAgACAAIAAgAFMAcABsAGkAdABzACAAMQBEACAAdABlAHgAdAAgAGEAcgByAGEAeQBzACAAdQBzAGkAbgBnACAAYQAgAHMAcABlAGMAaQBmAGkAZQBkACAAZABlAGwAaQBtAGkAdABlAHIALAAgAHcAaQB0AGgAIABmAHUAbABsACAAMgBEACAAcwBwAGkAbABsACAAcwB1AHAAcABvAHIAdAAuAFwAbgAqAC8AXABuAFwAbgBcAG4AXABuAC8AKgAgAFsAVABYADAAMQBdACAALQAtAC0ALQAtAC0ALQAtAC0ALQAtAC0ALQAtAC0ALQAtAC0ALQAtAC0ALQAtAC0ALQAtAC0ALQAtAC0ALQAtAC0ALQAtAC0ALQAtAC0ALQAtAC0ALQAtAC0ALQAtAC0ALQAtAC0ALQAtAC0ALQAtAC0ALQAtAC0ALQAtAC0ALQAtAC0ALQAtAC0ALQAtAC0ALQBcAG4ARgB1AG4AYwB0AGkAbwBuADoAIAAgACAAIAAgACAAIAAgAEEAbABpAGcAbgC7A1wAbgBDAGEAdABlAGcAbwByAHkAOgAgACAAIAAgACAAIAAgACAAVABlAHgAdABcAG4AQQB1AHQAaABvAHIAOgAgACAAIAAgACAAIAAgACAAIAAgAFAAYQB0AHIAaQBjAGsAIABIAC4AXABuAFYAZQByAHMAaQBvAG4AOgAgACAAIAAgACAAIAAgACAAIAAxAC4AMQBcAG4ARABlAHAAZQBuAGQAZQBuAGMAaQBlAHMAOgAgACAAIAAgAFMAcABsAGkAdAC7A1wAbgBcAG4ARABlAHMAYwByAGkAcAB0AGkAbwBuADoAXABuACAAIAAgACAAUwBvAHIAdABzACAAZQBhAGMAaAAgAHIAbwB3ACAAYQBsAHAAaABhAGIAZQB0AGkAYwBhAGwAbAB5ACAAKABkAGUAZgBhAHUAbAB0ACkAIABvAHIAIABlAGEAYwBoACAAYwBvAGwAdQBtAG4AIAB3AGgAZQBuAFwAbgAgACAAIAAgAGIAeQBfAGMAbwBsACAAPQAgAFQAUgBVAEUALgAgAE8AcgBpAGUAbgB0AGEAdABpAG8AbgAgAGkAcwAgAG4AbwByAG0AYQBsAGkAegBlAGQAIABpAG4AdABlAHIAbgBhAGwAbAB5ACAAcwBvACAAdABoAGUAXABuACAAIAAgACAAcwBhAG0AZQAgAHAAaQBwAGUAbABpAG4AZQAgAGgAYQBuAGQAbABlAHMAIABiAG8AdABoACAAbQBvAGQAZQBzAC4AIABTAG8AcgB0AGkAbgBnACAAaQBzACAAbABlAHgAaQBjAG8AZwByAGEAcABoAGkAYwBcAG4AIAAgACAAIABhAG4AZAAgAGMAYQBzAGUAESBzAGUAbgBzAGkAdABpAHYAZQAuAFwAbgBcAG4AUABhAHIAYQBtAGUAdABlAHIAcwA6AFwAbgAgACAAIAAgAGEAcgByAGEAeQAgACAAIAAgACAAIAAgAC0AIAAyAEQAIABhAHIAcgBhAHkAIAB0AG8AIABiAGUAIABhAGwAaQBnAG4AZQBkAC4AXABuACAAIAAgACAAWwBiAHkAXwBjAG8AbABdACAAIAAgACAALQAgAE8AcAB0AGkAbwBuAGEAbAAuACAAVABSAFUARQAgAJIhIABzAG8AcgB0ACAAZQBhAGMAaAAgAGMAbwBsAHUAbQBuACAAdABvAHAAESB0AG8AESBiAG8AdAB0AG8AbQAuAFwAbgAgACAAIAAgACAAIAAgACAAIAAgACAAIAAgACAAIAAgACAAIABPAG0AaQB0AHQAZQBkACAAkiEgAHMAbwByAHQAIABlAGEAYwBoACAAcgBvAHcAIABsAGUAZgB0ABEgdABvABEgcgBpAGcAaAB0AC4AXABuAFwAbgBOAG8AdABlAHMAOgBcAG4AIAAgACAAIAAiICAAVQBzAGUAcwAgAFQARQBYAFQASgBPAEkATgAgACsAIABTAHAAbABpAHQAuwMgAGYAbwByACAAZgBhAHMAdAAgAHIAbwB3ABEgdwBpAHMAZQAgAGMAYQBuAG8AbgBpAGMAYQBsAGkAegBhAHQAaQBvAG4ALgBcAG4ALQAtAC0ALQAtAC0ALQAtAC0ALQAtAC0ALQAtAC0ALQAtAC0ALQAtAC0ALQAtAC0ALQAtAC0ALQAtAC0ALQAtAC0ALQAtAC0ALQAtAC0ALQAtAC0ALQAtAC0ALQAtAC0ALQAtAC0ALQAtAC0ALQAtAC0ALQAtAC0ALQAtAC0ALQAtAC0ALQAtAC0ALQAtAC0ALQAtAC0ALQAtAC0AKgAvAFwAbgBcAG4AQQBsAGkAZwBuALsDIAA9AFwAbgBMAEEATQBCAEQAQQAoAFwAbgAgACAAIAAgAGEAcgByAGEAeQAsAFwAbgAgACAAIAAgAFsAYgB5AF8AYwBvAGwAXQAsAFwAbgBcAG4ATABFAFQAKABcAG4AIAAgACAAIAAvAC8AIABEAGUAdABlAHIAbQBpAG4AZQAgAHMAbwByAHQAIABvAHIAaQBlAG4AdABhAHQAaQBvAG4AXABuACAAIAAgACAASQBzAFIAbwB3AFMAbwByAHQAPwAsACAASQBTAE8ATQBJAFQAVABFAEQAKABiAHkAXwBjAG8AbAApACwAXABuAFwAbgAgACAAIAAgAC8ALwAgAE4AbwByAG0AYQBsAGkAegBlACAAbwByAGkAZQBuAHQAYQB0AGkAbwBuACAAKABhAGwAdwBhAHkAcwAgAHMAbwByAHQAIAByAG8AdwBzACkAXABuACAAIAAgACAAYQByAHIAYQB5ACwAIAAgACAAIAAgACAASQBGACgASQBzAFIAbwB3AFMAbwByAHQAPwAsACAAYQByAHIAYQB5ACwAIABUAFIAQQBOAFMAUABPAFMARQAoAGEAcgByAGEAeQApACkALABcAG4AXABuACAAIAAgACAALwAvACAAUgBvAHcAESB3AGkAcwBlACAAcwBvAHIAdAAgAJIhIABzAGMAYQBsAGEAcgAgAGoAbwBpAG4AIAB3AGkAdABoACAAaQBuAHYAaQBzAGkAYgBsAGUAIABzAGUAcABhAHIAYQB0AG8AcgBcAG4AIAAgACAAIABpAG4AdgBpAHMALAAgACAAIAAgACAAIABVAE4ASQBDAEgAQQBSACgAOAAyADkAMQApACwAXABuACAAIAAgACAAUgBvAHcAUwBvAHIAdAC7AywAIAAgACAATABBAE0AQgBEAEEAKAB2ACwAIABUAEUAWABUAEoATwBJAE4AKABpAG4AdgBpAHMALAAgACwAIABTAE8AUgBUACgAdgAsACAALAAgACwAIAAxACkAKQApACwAXABuAFwAbgAgACAAIAAgAC8ALwAgAEMAbwBuAHYAZQByAHQAIABlAGEAYwBoACAAcgBvAHcAIAB0AG8AIABhACAAagBvAGkAbgBlAGQAIABzAHQAcgBpAG4AZwBcAG4AIAAgACAAIABqAG8AaQBuAGUAZAAsACAAIAAgACAAIABCAFkAUgBPAFcAKABhAHIAcgBhAHkALAAgAFIAbwB3AFMAbwByAHQAuwMpACwAXABuAFwAbgAgACAAIAAgAC8ALwAgAFMAcABsAGkAdAAgAGIAYQBjAGsAIABpAG4AdABvACAAYwBvAGwAdQBtAG4AcwBcAG4AIAAgACAAIABlAHgALAAgACAAIAAgACAAIAAgACAAIABTAHAAbABpAHQAuwMoAGoAbwBpAG4AZQBkACwAIABpAG4AdgBpAHMAKQAsAFwAbgBcAG4AIAAgACAAIAAvAC8AIABSAGUAcwB0AG8AcgBlACAAbwByAGkAZwBpAG4AYQBsACAAbwByAGkAZQBuAHQAYQB0AGkAbwBuAFwAbgAgACAAIAAgAGYAaQBuAGEAbAAsACAAIAAgACAAIAAgAEkARgAoAEkAcwBSAG8AdwBTAG8AcgB0AD8ALAAgAGUAeAAsACAAVABSAEEATgBTAFAATwBTAEUAKABlAHgAKQApACwAXABuAFwAbgAgACAAIAAgAGYAaQBuAGEAbABcAG4AKQApADsAXABuAFwAbgBcAG4AXABuAC8AKgAgAFsAVABYADAAMgBdACAALQAtAC0ALQAtAC0ALQAtAC0ALQAtAC0ALQAtAC0ALQAtAC0ALQAtAC0ALQAtAC0ALQAtAC0ALQAtAC0ALQAtAC0ALQAtAC0ALQAtAC0ALQAtAC0ALQAtAC0ALQAtAC0ALQAtAC0ALQAtAC0ALQAtAC0ALQAtAC0ALQAtAC0ALQAtAC0ALQAtAC0ALQAtAC0ALQBcAG4ARgB1AG4AYwB0AGkAbwBuADoAIAAgACAAIAAgACAAIAAgAEEAbABpAGcAbgBEAGkAcwB0AGkAbgBjAHQAuwNcAG4AQwBhAHQAZQBnAG8AcgB5ADoAIAAgACAAIAAgACAAIAAgAFQAZQB4AHQAXABuAEEAdQB0AGgAbwByADoAIAAgACAAIAAgACAAIAAgACAAIABQAGEAdAByAGkAYwBrACAASAAuAFwAbgBWAGUAcgBzAGkAbwBuADoAIAAgACAAIAAgACAAIAAgACAAMQAuADEAXABuAEQAZQBwAGUAbgBkAGUAbgBjAGkAZQBzADoAIAAgACAAIABBAGwAaQBnAG4AuwNcAG4AXABuAEQAZQBzAGMAcgBpAHAAdABpAG8AbgA6AFwAbgAgACAAIAAgAEMAYQBsAGwAcwAgAEEAbABpAGcAbgC7AyAAdABvACAAYQBsAHAAaABhAGIAZQB0AGkAYwBhAGwAbAB5ACAAcwBvAHIAdAAgAGUAYQBjAGgAIAByAG8AdwAgAG8AcgAgAGMAbwBsAHUAbQBuACwAIAB0AGgAZQBuACAAcgBlAHQAdQByAG4AcwBcAG4AIAAgACAAIABkAGkAcwB0AGkAbgBjAHQ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EAEkAUwBUAEkATgBDAFQAIAByAGUAbQBvAHYAZQBzACAAZQB4AGEAYwB0ACAAZAB1AHAAbABpAGMAYQB0AGUAcwAuAFwAbgAgACAAIAAgACIgIABPAHIAaQBlAG4AdABhAHQAaQBvAG4AIABpAHMAIABwAHIAZQBzAGUAcgB2AGUAZAAuAFwAbgAtAC0ALQAtAC0ALQAtAC0ALQAtAC0ALQAtAC0ALQAtAC0ALQAtAC0ALQAtAC0ALQAtAC0ALQAtAC0ALQAtAC0ALQAtAC0ALQAtAC0ALQAtAC0ALQAtAC0ALQAtAC0ALQAtAC0ALQAtAC0ALQAtAC0ALQAtAC0ALQAtAC0ALQAtAC0ALQAtAC0ALQAtAC0ALQAtAC0ALQAtAC0ALQAqAC8AXABuAFwAbgBBAGwAaQBnAG4ARABpAHMAdABpAG4AYwB0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RABpAHMAdABpAG4AYwB0ACAAcgBlAG0AbwB2AGEAbABcAG4AIAAgACAAIAB1ACwAIAAgACAAIAAgACAAIAAgACAAIABVAE4ASQBRAFUARQAoAGEAbABpAGcAbgBlAGQALAAgAFMAbwByAHQAQgB5AEMAbwBsAD8ALAAgAFQAUgBVAEUAKQAsAFwAbgBcAG4AIAAgACAAIAB1AFwAbgApACkAOwBcAG4AXABuAFwAbgBcAG4ALwAqACAAWwBUAFgAMAAzAF0AIAAtAC0ALQAtAC0ALQAtAC0ALQAtAC0ALQAtAC0ALQAtAC0ALQAtAC0ALQAtAC0ALQAtAC0ALQAtAC0ALQAtAC0ALQAtAC0ALQAtAC0ALQAtAC0ALQAtAC0ALQAtAC0ALQAtAC0ALQAtAC0ALQAtAC0ALQAtAC0ALQAtAC0ALQAtAC0ALQAtAC0ALQAtAC0ALQAtAFwAbgBGAHUAbgBjAHQAaQBvAG4AOgAgACAAIAAgACAAIAAgACAAQQBsAGkAZwBuAFUAbgBpAHEAdQBlALsDXABuAEMAYQB0AGUAZwBvAHIAeQA6ACAAIAAgACAAIAAgACAAIABUAGUAeAB0AFwAbgBBAHUAdABoAG8AcgA6ACAAIAAgACAAIAAgACAAIAAgACAAUABhAHQAcgBpAGMAawAgAEgALgBcAG4AVgBlAHIAcwBpAG8AbgA6ACAAIAAgACAAIAAgACAAIAAgADEALgAxAFwAbgBEAGUAcABlAG4AZABlAG4AYwBpAGUAcwA6ACAAIAAgACAAQQBsAGkAZwBuALsDXABuAFwAbgBEAGUAcwBjAHIAaQBwAHQAaQBvAG4AOgBcAG4AIAAgACAAIABDAGEAbABsAHMAIABBAGwAaQBnAG4AuwMgAHQAbwAgAGEAbABwAGgAYQBiAGUAdABpAGMAYQBsAGwAeQAgAHMAbwByAHQAIABlAGEAYwBoACAAcgBvAHcAIABvAHIAIABjAG8AbAB1AG0AbgAsACAAdABoAGUAbgAgAHIAZQB0AHUAcgBuAHMAXABuACAAIAAgACAAdQBuAGkAcQB1AGUAIAB2AGEAbAB1AGUAcwAgAGEAbABvAG4AZwAgAHQAaABlACAAcwBhAG0AZQAgAG8AcgBpAGUAbgB0AGEAdABpAG8AbgAuAFwAbgBcAG4AUABhAHIAYQBtAGUAdABlAHIAcwA6AFwAbgAgACAAIAAgAGEAcgByAGEAeQAgACAAIAAgACAAIAAgAC0AIAAyAEQAIABhAHIAcgBhAHkAIAB0AG8AIABiAGUAIABhAGwAaQBnAG4AZQBkACAAYQBuAGQAIABkAGUAZAB1AHAAbABpAGMAYQB0AGUAZAAuAFwAbgAgACAAIAAgAFsAYgB5AF8AYwBvAGwAXQAgACAAIAAgAC0AIABPAHAAdABpAG8AbgBhAGwALgAgAFQAUgBVAEUAIACSISAAbwBwAGUAcgBhAHQAZQAgAGMAbwBsAHUAbQBuABEgdwBpAHMAZQAuACAATwBtAGkAdAB0AGUAZAAgAJIhIAByAG8AdwARIHcAaQBzAGUALgBcAG4AXABuAE4AbwB0AGUAcwA6AFwAbgAgACAAIAAgACIgIABVAE4ASQBRAFUARQAgAHIAZQBtAG8AdgBlAHMAIAByAGUAcABlAGEAdABlAGQAIAByAG8AdwBzAC8AYwBvAGwAdQBtAG4AcwAgAGIAdQB0ACAAcAByAGUAcwBlAHIAdgBlAHMAIABmAGkAcgBzAHQAIABvAGMAYwB1AHIAcgBlAG4AYwBlAHMALgBcAG4AIAAgACAAIAAiICAATwByAGkAZQBuAHQAYQB0AGkAbwBuACAAaQBzACAAcAByAGUAcwBlAHIAdgBlAGQALgBcAG4ALQAtAC0ALQAtAC0ALQAtAC0ALQAtAC0ALQAtAC0ALQAtAC0ALQAtAC0ALQAtAC0ALQAtAC0ALQAtAC0ALQAtAC0ALQAtAC0ALQAtAC0ALQAtAC0ALQAtAC0ALQAtAC0ALQAtAC0ALQAtAC0ALQAtAC0ALQAtAC0ALQAtAC0ALQAtAC0ALQAtAC0ALQAtAC0ALQAtAC0ALQAtAC0AKgAvAFwAbgBcAG4AQQBsAGkAZwBuAFUAbgBpAHEAdQBlALsDIAA9AFwAbgBMAEEATQBCAEQAQQAoAFwAbgAgACAAIAAgAGEAcgByAGEAeQAsAFwAbgAgACAAIAAgAFsAYgB5AF8AYwBvAGwAXQAsAFwAbgBcAG4ATABFAFQAKABcAG4AIAAgACAAIAAvAC8AIABPAHIAaQBlAG4AdABhAHQAaQBvAG4AIABmAGwAYQBnAFwAbgAgACAAIAAgAFMAbwByAHQAQgB5AEMAbwBsAD8ALAAgAE4ATwBUACgASQBTAE8ATQBJAFQAVABFAEQAKABiAHkAXwBjAG8AbAApACkALABcAG4AXABuACAAIAAgACAALwAvACAAQQBsAGkAZwBuAG0AZQBuAHQAXABuACAAIAAgACAAYQBsAGkAZwBuAGUAZAAsACAAIAAgACAAQQBsAGkAZwBuALsDKABhAHIAcgBhAHkALAAgAGIAeQBfAGMAbwBsACkALABcAG4AXABuACAAIAAgACAALwAvACAAVQBuAGkAcQB1AGUAIAByAGUAbQBvAHYAYQBsAFwAbgAgACAAIAAgAHUALAAgACAAIAAgACAAIAAgACAAIAAgAFUATgBJAFEAVQBFACgAYQBsAGkAZwBuAGUAZAAsACAAUwBvAHIAdABCAHkAQwBvAGwAPwApACwAXABuAFwAbgAgACAAIAAgAHUAXABuACkAKQA7AFwAbgBcAG4AXABuAFwAbgAvACoAIABbAFQAWAAwADQAXQAgAC0ALQAtAC0ALQAtAC0ALQAtAC0ALQAtAC0ALQAtAC0ALQAtAC0ALQAtAC0ALQAtAC0ALQAtAC0ALQAtAC0ALQAtAC0ALQAtAC0ALQAtAC0ALQAtAC0ALQAtAC0ALQAtAC0ALQAtAC0ALQAtAC0ALQAtAC0ALQAtAC0ALQAtAC0ALQAtAC0ALQAtAC0ALQAtAC0AXABuAEYAdQBuAGMAdABpAG8AbgA6ACAAIAAgACAAIAAgACAAIABDAG8AYQBsAGUAcwBjAGUAuwNcAG4AQwBhAHQAZQBnAG8AcgB5ADoAIAAgACAAIAAgACAAIAAgAFQAZQB4AHQAXABuAEEAdQB0AGgAbwByADoAIAAgACAAIAAgACAAIAAgACAAIABQAGEAdAByAGkAYwBrACAASAAuAFwAbgBWAGUAcgBzAGkAbwBuADoAIAAgACAAIAAgACAAIAAgACAAMQAuADEAXABuAFwAbgBEAGUAcwBjAHIAaQBwAHQAaQBvAG4AOgBcAG4AIAAgACAAIABSAGUAdAB1AHIAbgBzACAAdABoAGUAIABmAGkAcgBzAHQAIABuAG8AbgARIGUAbQBwAHQAeQAgAHYAYQBsAHUAZQAgAGEAYwByAG8AcwBzACAAbQB1AGwAdABpAHAAbABlACAAMgBEACAAYQByAHIAYQB5AHMAIAAoADIAIAB0AG8AIAA0ACAAaQBuAHAAdQB0AHMAKQAsAFwAbgAgACAAIAAgAGUAdgBhAGwAdQBhAHQAZQBkACAAaQBuACAAcAByAGkAbwByAGkAdAB5ACAAbwByAGQAZQByADoAXABuAFwAbgAgACAAIAAgACAAIAAgACAAYQByAHIAYQB5AF8AMQAgAJIhIABhAHIAcgBhAHkAXwAyACAAkiEgAGEAcgByAGEAeQBfADMAIACSISAAYQByAHIAYQB5AF8ANAAgAJIhIABmAGkAbABsAF8AdgBhAGwAdQBlAFwAbgBcAG4AIAAgACAAIABBACAAYwBlAGwAbAAgAGkAcwAgAGMAbwBuAHMAaQBkAGUAcgBlAGQAIABcACIAZQBtAHAAdAB5AFwAIgAgAGkAZgAgAGkAdAAgAG0AYQB0AGMAaABlAHMAIABhAG4AeQAgAG8AZgAgAHQAaABlACAAZgBvAGwAbABvAHcAaQBuAGcAOgBcAG4AIAAgACAAIAAgACAAIAAgACIgIABMAEUATgAoAGMAZQBsAGwAKQAgAD0AIAAwAFwAbgAgACAAIAAgACAAIAAgACAAIiAgAGMAZQBsAGwAIAA9ACAARgBBAEwAUwBFAFwAbgAgACAAIAAgACAAIAAgACAAIiAgAGMAZQBsAGwAIAA9ACAAaQBnAG4AbwByAGUAIAAgACAAKAB1AHMAZQByABEgcwBwAGUAYwBpAGYAaQBlAGQAKQBcAG4AXABuACAAIAAgACAARQBtAHAAdAB5ACAAYwBlAGwAbABzACAAYQByAGUAIABzAGsAaQBwAHAAZQBkACAAdwBoAGUAbgAgAGQAZQB0AGUAcgBtAGkAbgBpAG4AZwAgAHQAaABlACAAbwB1AHQAcAB1AHQAIAB2AGEAbAB1AGUALgAgAFQAaABpAHMAIABmAHUAbgBjAHQAaQBvAG4AIABpAHMAXABuACAAIAAgACAAdQBzAGUAZgB1AGwAIABmAG8AcgAgAHIAZQBjAG8AbQBwAG8AcwBpAG4AZwAgAG0AYQBzAGsAZQBkACAAbwByACAAbABhAHkAZQByAGUAZAAgAGEAcgByAGEAeQBzACAAKABlAC4AZwAuACwAIAByAGkAbgBnAHMAKQAgAGkAbgB0AG8AIABhACAAcwBpAG4AZwBsAGUAXABuACAAIAAgACAAYwBvAGgAZQByAGUAbgB0ACAAZwByAGkAZAAgAGEAZgB0AGUAcgAgAHQAcgBhAG4AcwBmAG8AcgBtAGEAdABpAG8AbgBzAC4AXABuAFwAbgBQAGEAcgBhAG0AZQB0AGUAcgBzADoAXABuACAAIAAgACAAYQByAHIAYQB5AF8AMQAgACAAIAAgACAAIAAgAC0AIABSAGUAcQB1AGkAcgBlAGQAIAAyAEQAIABhAHIAcgBhAHkALgBcAG4AIAAgACAAIABhAHIAcgBhAHkAXwAyACAAIAAgACAAIAAgACAALQAgAFIAZQBxAHUAaQByAGUAZAAgADIARAAgAGEAcgByAGEAeQAuAFwAbgBcAG4ATwBwAHQAaQBvAG4AYQBsADoAXABuACAAIAAgACAAWwBhAHIAcgBhAHkAXwAzAF0AIAAgACAAIAAgAC0AIABPAHAAdABpAG8AbgBhAGwAIAAyAEQAIABhAHIAcgBhAHkALgBcAG4AIAAgACAAIABbAGEAcgByAGEAeQBfADQAXQAgACAAIAAgACAALQAgAE8AcAB0AGkAbwBuAGEAbAAgADIARAAgAGEAcgByAGEAeQAuAFwAbgAgACAAIAAgAFsAaQBnAG4AbwByAGUAXQAgACAAIAAgACAAIAAtACAAVgBhAGwAdQBlACAAdAByAGUAYQB0AGUAZAAgAGEAcwAgAGUAbQBwAHQAeQAgAGQAdQByAGkAbgBnACAAbwBjAGMAdQBwAGEAbgBjAHkAIABlAHYAYQBsAHUAYQB0AGkAbwBuAC4AXABuACAAIAAgACAAWwBmAGkAbABsAF8AdgBhAGwAdQBlAF0AIAAgAC0AIABTAGMAYQBsAGEAcgAgAHUAcwBlAGQAIAB3AGgAZQBuACAAYQBsAGwAIABhAHIAcgBhAHkAcwAgAHMAdQBwAHAAbAB5ACAAYQBuACAAZQBtAHAAdAB5ACAAdgBhAGwAdQBlAC4AXABuAC0ALQAtAC0ALQAtAC0ALQAtAC0ALQAtAC0ALQAtAC0ALQAtAC0ALQAtAC0ALQAtAC0ALQAtAC0ALQAtAC0ALQAtAC0ALQAtAC0ALQAtAC0ALQAtAC0ALQAtAC0ALQAtAC0ALQAtAC0ALQAtAC0ALQAtAC0ALQAtAC0ALQAtAC0ALQAtAC0ALQAtAC0ALQAtAC0ALQAtAC0ALQAtACoALwBcAG4AXABuAEMAbwBhAGwAZQBzAGMAZQC7AyAAPQBcAG4ATABBAE0AQgBEAEEAKABcAG4AIAAgACAAIABhAHIAcgBhAHkAXwAxACwAIABhAHIAcgBhAHkAXwAyACwAIABbAGEAcgByAGEAeQBfADMAXQAsACAAWwBhAHIAcgBhAHkAXwA0AF0ALABcAG4AIAAgACAAIABbAGkAZwBuAG8AcgBlAF0ALABcAG4AIAAgACAAIABbAGYAaQBsAGwAXwB2AGEAbAB1AGUAXQAsAFwAbgBcAG4ATABFAFQAKABcAG4AIAAgACAAIAAvAC8AIABPAHAAdABpAG8AbgBhAGwAIABhAHIAcgBhAHkAIABwAHIAZQBzAGUAbgBjAGUAXABuACAAIAAgACAASQBuAGMAbAB1AGQAZQAzACwAIAAgACAAIAAgACAAIABOAE8AVAAoAEkAUwBPAE0ASQBUAFQARQBEACgAYQByAHIAYQB5AF8AMwApACkALABcAG4AIAAgACAAIABJAG4AYwBsAHUAZABlADQALAAgACAAIAAgACAAIAAgAE4ATwBUACgASQBTAE8ATQBJAFQAVABFAEQAKABhAHIAcgBhAHkAXwA0ACkAKQAsAFwAbgAgACAAIAAgAGEAcgByAGEAeQBfADMALAAgACAAIAAgACAAIAAgACAASQBGACgASQBTAE8ATQBJAFQAVABFAEQAKABhAHIAcgBhAHkAXwAzACkALAAgAEYAQQBMAFMARQAsACAAYQByAHIAYQB5AF8AMwApACwAXABuACAAIAAgACAAYQByAHIAYQB5AF8ANAAsACAAIAAgACAAIAAgACAAIABJAEYAKABJAFMATwBNAEkAVABUAEUARAAoAGEAcgByAGEAeQBfADQAKQAsACAARgBBAEwAUwBFACwAIABhAHIAcgBhAHkAXwA0ACkALABcAG4AXABuACAAIAAgACAALwAvACAARQBtAHAAdAB5ABEgdgBhAGwAdQBlACAAcgB1AGwAZQBzAFwAbgAgACAAIAAgAGkAZwBuAG8AcgBlACwAIAAgACAAIAAgACAAIAAgACAASQBGACgASQBTAE8ATQBJAFQAVABFAEQAKABpAGcAbgBvAHIAZQApACwAIABcACIAXAAiACwAIABpAGcAbgBvAHIAZQApACwAXABuACAAIAAgACAAZgBpAGwAbABfAHYAYQBsAHUAZQAsACAAIAAgACAAIABJAEYAKABJAFMATwBNAEkAVABUAEUARAAoAGYAaQBsAGwAXwB2AGEAbAB1AGUAKQAsACAAXAAiAFwAIgAsACAAZgBpAGwAbABfAHYAYQBsAHUAZQApACwAXABuAFwAbgAgACAAIAAgAC8ALwAgAEQAaQBtAGUAbgBzAGkAbwBuAHMAXABuACAAIAAgACAAaAAsACAAIAAgACAAIAAgACAAIAAgACAAIAAgACAAIABSAE8AVwBTACgAYQByAHIAYQB5AF8AMQApACwAIAAgACAAIAAgACAAdwAsACAAIAAgAEMATwBMAFUATQBOAFMAKABhAHIAcgBhAHkAXwAxACkALABcAG4AIAAgACAAIABoAIIgLAAgACAAIAAgACAAIAAgACAAIAAgACAAIAAgAFIATwBXAFMAKABhAHIAcgBhAHkAXwAyACkALAAgACAAIAAgACAAIAB3AIIgLAAgACAAQwBPAEwAVQBNAE4AUwAoAGEAcgByAGEAeQBfADIAKQAsAFwAbgAgACAAIAAgAGgAgyAsACAAIAAgACAAIAAgACAAIAAgACAAIAAgACAAUgBPAFcAUwAoAGEAcgByAGEAeQBfADMAKQAsACAAIAAgACAAIAAgAHcAgyAsACAAIABDAE8ATABVAE0ATgBTACgAYQByAHIAYQB5AF8AMwApACwAXABuACAAIAAgACAAaACEICwAIAAgACAAIAAgACAAIAAgACAAIAAgACAAIABSAE8AVwBTACgAYQByAHIAYQB5AF8ANAApACwAIAAgACAAIAAgACAAdwCEICwAIAAgAEMATwBMAFUATQBOAFMAKABhAHIAcgBhAHkAXwA0ACkALABcAG4AXABuACAAIAAgACAALwAvACAARABpAG0AZQBuAHMAaQBvAG4AIABtAGkAcwBtAGEAdABjAGgAZQBzAFwAbgAgACAAIAAgAFMAXwAyACwAIAAgACAAIAAgACAAIAAgACAAIAAgACAATwBSACgAaAAgADwAPgAgAGgAgiAsACAAdwAgADwAPgAgAHcAgiApACwAXABuACAAIAAgACAAUwBfADMALAAgACAAIAAgACAAIAAgACAAIAAgACAAIABJAG4AYwBsAHUAZABlADMAIAAqACAATwBSACgAaAAgADwAPgAgAGgAgyAsACAAdwAgADwAPgAgAHcAgyApACwAXABuACAAIAAgACAAUwBfADQALAAgACAAIAAgACAAIAAgACAAIAAgACAAIABJAG4AYwBsAHUAZABlADQAIAAqACAATwBSACgAaAAgADwAPgAgAGgAhCAsACAAdwAgADwAPgAgAHcAhCApACwAXABuAFwAbgAgACAAIAAgAFMAaABhAHAAZQBNAGkAcwBtAGEAdABjAGgAPwAsACAATwBSACgAUwBfADIALAAgAFMAXwAzACwAIABTAF8ANAApACwAXABuAFwAbgAgACAAIAAgAEkARgAoAFMAaABhAHAAZQBNAGkAcwBtAGEAdABjAGgAPwAsAFwAIgAjAEQASQBNAEUATgBTAEkATwBOAFMAIQBcACIALABcAG4AXABuAEwARQBUACgAXABuACAAIAAgACAALwAvACAATwBjAGMAdQBwAGEAbgBjAHkAIAB0AGUAcwB0AFwAbgAgACAAIAAgAE8AYwBjAHUAcABpAGUAZAC7AywAIAAgAEwAQQBNAEIARABBACgAYQByAHIALABcAG4AIAAgACAAIAAgACAAIAAgACAAIAAgACAAIAAgACAAIAAgACAAIAAgAEwAQQBNAEIARABBACgAKABhAHIAcgAgADwAPgAgAEYAQQBMAFMARQApACAAKgAoAEwARQBOACgAYQByAHIAKQAgADwAPgAgADAAKQAgACoAIAAoAGEAcgByACAAPAA+ACAAaQBnAG4AbwByAGUAKQApACkALABcAG4AXABuACAAIAAgACAAbQBfADEALAAgACAAIAAgACAAIAAgACAATwBjAGMAdQBwAGkAZQBkALsDKABhAHIAcgBhAHkAXwAxACkALABcAG4AIAAgACAAIABtAF8AMgAsACAAIAAgACAAIAAgACAAIABPAGMAYwB1AHAAaQBlAGQAuwMoAGEAcgByAGEAeQBfADIAKQAsAFwAbgAgACAAIAAgAG0AXwAzACwAIAAgACAAIAAgACAAIAAgAE8AYwBjAHUAcABpAGUAZAC7AygAYQByAHIAYQB5AF8AMwApACwAXABuACAAIAAgACAAbQBfADQALAAgACAAIAAgACAAIAAgACAATwBjAGMAdQBwAGkAZQBkALsDKABhAHIAcgBhAHkAXwA0ACkALABcAG4AXABuACAAIAAgACAALwAvACAAUAByAGkAbwByAGkAdAB5ACAAYwBoAGEAaQBuAFwAbgAgACAAIAAgAGYAaQBuAGEAbAAsACAAIAAgACAAIAAgAEkARgAoAG0AXwAxACgAKQAsACAAYQByAHIAYQB5AF8AMQAsAFwAbgAgACAAIAAgACAAIAAgACAAIAAgACAAIAAgACAAIAAgACAAIAAgACAASQBGACgAbQBfADIAKAApACwAIABhAHIAcgBhAHkAXwAyACwAXABuACAAIAAgACAAIAAgACAAIAAgACAAIAAgACAAIAAgACAAIAAgACAAIAAgACAAIAAgAEkARgAoAG0AXwAzACgAKQAsACAAYQByAHIAYQB5AF8AMwAsAFwAbgAgACAAIAAgACAAIAAgACAAIAAgACAAIAAgACAAIAAgACAAIAAgACAAIAAgACAAIAAgACAAIAAgAEkARgAoAG0AXwA0ACgAKQAsACAAYQByAHIAYQB5AF8ANAAsACAAZgBpAGwAbABfAHYAYQBsAHUAZQApACkAKQApACwAXABuAFwAbgAgACAAIAAgAGYAaQBuAGEAbABcAG4AKQApACkAKQA7AFwAbgBcAG4AXABuAFwAbgAvACoAIABbAFQAWAAwADUAXQAgAC0ALQAtAC0ALQAtAC0ALQAtAC0ALQAtAC0ALQAtAC0ALQAtAC0ALQAtAC0ALQAtAC0ALQAtAC0ALQAtAC0ALQAtAC0ALQAtAC0ALQAtAC0ALQAtAC0ALQAtAC0ALQAtAC0ALQAtAC0ALQAtAC0ALQAtAC0ALQAtAC0ALQAtAC0ALQAtAC0ALQAtAC0ALQAtAC0AXABuAEYAdQBuAGMAdABpAG8AbgA6ACAAIAAgACAAIAAgACAAIABFAHgAcABsAG8AZABlALsDXABuAEMAYQB0AGUAZwBvAHIAeQA6ACAAIAAgACAAIAAgACAAIABUAGUAeAB0AFwAbgBBAHUAdABoAG8AcgA6ACAAIAAgACAAIAAgACAAIAAgACAAUABhAHQAcgBpAGMAawAgAEgALgBcAG4AVgBlAHIAcwBpAG8AbgA6ACAAIAAgACAAIAAgACAAIAAgADEALgAxAFwAbgBEAGUAcABlAG4AZABlAG4AYwBpAGUAcwA6ACAAIAAgACAATQBHAHIAaQBkALsDLAAgAFIAZQBzAGkAegBlALsDXABuAFwAbgBEAGUAcwBjAHIAaQBwAHQAaQBvAG4AOgBcAG4AIAAgACAAIABDAG8AbgB2AGUAcgB0AHMAIABhACAAcwBjAGEAbABhAHIALAAgADEARAAgAGEAcgByAGEAeQAsACAAbwByACAAMgBEACAAYQByAHIAYQB5ACAAaQBuAHQAbwAgAGEAbgAgAGUAeABwAGwAbwBkAGUAZAAgAGMAaABhAHIAYQBjAHQAZQByACAAYQByAHIAYQB5AC4AXABuACAAIAAgACAARQB4AHAAbABvAHMAaQBvAG4AIABiAGUAaABhAHYAaQBvAHIAIABkAGUAcABlAG4AZABzACAAbwBuACAAdABoAGUAIABpAG4AcAB1AHQAIABzAGgAYQBwAGUAOgBcAG4AXABuACAAIAAgACAAIAAgACAAIAAiICAAUwBjAGEAbABhAHIAcwAgAGUAeABwAGwAbwBkAGUAIABjAG8AbAB1AG0AbgARIHcAaQBzAGUALgBcAG4AIAAgACAAIAAgACAAIAAgACIgIABWAGUAcgB0AGkAYwBhAGwAIAAxAEQAIABhAHIAcgBhAHkAcwAgAGUAeABwAGwAbwBkAGUAIABjAG8AbAB1AG0AbgARIHcAaQBzAGUALgBcAG4AIAAgACAAIAAgACAAIAAgACIgIABIAG8AcgBpAHoAbwBuAHQAYQBsACAAMQBEACAAYQByAHIAYQB5AHMAIABlAHgAcABsAG8AZABlACAAcgBvAHcAESB3AGkAcwBlAC4AXABuACAAIAAgACAAIAAgACAAIAAiICAAMgBEACAAYQByAHIAYQB5AHMAIABlAHgAcABsAG8AZABlACAAcgBvAHcAESB3AGkAcwBlACAAYgB5ACAAZABlAGYAYQB1AGwAdAAsACAAbwByACAAdwBpAGQAdABoABEgdwBpAHMAZQAgAHcAaABlAG4AXABuACAAIAAgACAAIAAgACAAIAAgACAAZQB4AHAAbABvAGQAZQBfADIARABfAGIAeQBjAG8AbAAgAD0AIABUAFIAVQBFAC4AXABuAFwAbgBQAGEAcgBhAG0AZQB0AGUAcgBzADoAXABuACAAIAAgACAAYQByAHIAYQB5ACAAIAAgACAAIAAgACAAIAAgACAAIAAgACAAIAAgAC0AIABJAG4AcAB1AHQAIABjAGEAbgAgAGIAZQAgAHMAYwBhAGwAYQByACwAIAAxAEQALAAgAG8AcgAgADIARAAuAFwAbgAgACAAIAAgAFsAZQB4AHAAbABvAGQAZQBfADIARABfAGIAeQBjAG8AbABdACAAIAAtACAATwBwAHQAaQBvAG4AYQBsAC4AIABUAFIAVQBFACAAkiEgAGUAeABwAGwAbwBkAGUAIAAyAEQAIABhAHIAcgBhAHkAcwAgAHcAaQBkAHQAaAARIHcAaQBzAGUALgBcAG4AIAAgACAAIAAgACAAIAAgACAAIAAgACAAIAAgACAAIAAgACAAIAAgACAAIAAgACAAIAAgAE8AbQBpAHQAdABlAGQAIACSISAAZQB4AHAAbABvAGQAZQAgAHIAbwB3ABEgdwBpAHMAZQAuAFwAbgBcAG4ATgBvAHQAZQBzADoAXABuACAAIAAgACAAIiAgAEwARQBOACgAYQByAHIAYQB5ACkAIABkAGUAdABlAHIAbQBpAG4AZQBzACAAdABoAGUAIABtAGEAeABpAG0AdQBtACAAYwBoAGEAcgBhAGMAdABlAHIAIABjAG8AdQBuAHQAIABwAGUAcgAgAGMAZQBsAGwALgBcAG4ALQAtAC0ALQAtAC0ALQAtAC0ALQAtAC0ALQAtAC0ALQAtAC0ALQAtAC0ALQAtAC0ALQAtAC0ALQAtAC0ALQAtAC0ALQAtAC0ALQAtAC0ALQAtAC0ALQAtAC0ALQAtAC0ALQAtAC0ALQAtAC0ALQAtAC0ALQAtAC0ALQAtAC0ALQAtAC0ALQAtAC0ALQAtAC0ALQAtAC0ALQAtAC0AKgAvAFwAbgBcAG4ARQB4AHAAbABvAGQAZQC7AyAAPQBcAG4ATABBAE0AQgBEAEEAKABcAG4AIAAgACAAIABhAHIAcgBhAHkALABcAG4AIAAgACAAIABbAGUAeABwAGwAbwBkAGUAXwAyAEQAXwBiAHkAYwBvAGwAXQAsAFwAbgBcAG4ATABFAFQAKABcAG4AIAAgACAAIAAvAC8AIABEAGkAbQBlAG4AcwBpAG8AbgBzAFwAbgAgACAAIAAgAGgALAAgACAAIAAgACAAIAAgACAAIAAgACAAIAAgACAAUgBPAFcAUwAoAGEAcgByAGEAeQApACwAXABuACAAIAAgACAAdwAsACAAIAAgACAAIAAgACAAIAAgACAAIAAgACAAIABDAE8ATABVAE0ATgBTACgAYQByAHIAYQB5ACkALABcAG4AXABuACAAIAAgACAALwAvACAARwBlAG8AbQBlAHQAcgB5ACAAYwBsAGEAcwBzAGkAZgBpAGMAYQB0AGkAbwBuAFwAbgAgACAAIAAgAEkAcwBWAGUAcgB0AGkAYwBhAGwAPwAsACAAIAAgACAAaAAgAD4AIAB3ACwAXABuACAAIAAgACAASQBzAEgAbwByAGkAegBvAG4AdABhAGwAPwAsACAAIAB3ACAAPgAgAGgALABcAG4AIAAgACAAIABJAHMAUwBjAGEAbABhAHIAPwAsACAAIAAgACAAIAAgAEEATgBEACgAaAAgAD0AIAAxACwAIAB3ACAAPQAgADEAKQAsAFwAbgAgACAAIAAgAEkAcwAxAEQAPwAsACAAIAAgACAAIAAgACAAIAAgACAAWABPAFIAKABoACAAPgAgADEALAAgAHcAIAA+ACAAMQApACwAXABuACAAIAAgACAASQBzADIARAA/ACwAIAAgACAAIAAgACAAIAAgACAAIABBAE4ARAAoAGgAIAA+ACAAMQAsACAAdwAgAD4AIAAxACkALABcAG4AIAAgACAAIABEAGkAcgBPAG0AaQB0AHQAZQBkAD8ALAAgACAAIAAgAEkAUwBPAE0ASQBUAFQARQBEACgAZQB4AHAAbABvAGQAZQBfADIARABfAGIAeQBjAG8AbAApACwAXABuAFwAbgAgACAAIAAgAC8ALwAgAFMAYwBhAGwAYQByACAAZQB4AHAAbABvAHMAaQBvAG4AXABuACAAIAAgACAARQB4AHAAbABvAGQAZQBTAGMAYQBsAGEAcgAsACAAIABSAEUARwBFAFgARQBYAFQAUgBBAEMAVAAoAGEAcgByAGEAeQAsACAAXAAiAC4AXAAiACwAIAAxACkALABcAG4AXABuACAAIAAgACAASQBGACgASQBzAFMAYwBhAGwAYQByAD8ALABFAHgAcABsAG8AZABlAFMAYwBhAGwAYQByACwAXABuAFwAbgBMAEUAVAAoAFwAbgAgACAAIAAgAC8ALwAgAE0AYQB4AGkAbQB1AG0AIABjAGgAYQByAGEAYwB0AGUAcgBzACAAYQBjAHIAbwBzAHMAIABhAGwAbAAgAGMAZQBsAGwAcwBcAG4AIAAgACAAIABtACwAIAAgACAAIAAgACAAIAAgACAAIABNAEEAWAAoAEwARQBOACgAYQByAHIAYQB5ACkAKQAsAFwAbgBcAG4AIAAgACAAIAAvAC8AIAAtAC0ALQAgADEARAAgAGkAbgBkAGUAeABpAG4AZwAgAC0ALQAtAFwAbgAgACAAIAAgAGkAZAB4ACwAIAAgACAAIAAgACAAIAAgAEwAQQBNAEIARABBACgASQBGACgASQBzAFYAZQByAHQAaQBjAGEAbAA/ACwAUwBFAFEAVQBFAE4AQwBFACgALAAgAG0AKQAsAFwAbgAgACAAIAAgACAAIAAgACAAIAAgACAAIAAgACAAIAAgACAAIAAgACAAIAAgACAAIAAgACAAIAAgACAAIAAgACAAIAAgACAAIAAgACAAUwBFAFEAVQBFAE4AQwBFACgAbQApACkAKQAsAFwAbgBcAG4AIAAgACAAIAAvAC8AIAAtAC0ALQAgADIARAAgAGkAbgBkAGUAeABpAG4AZwAgACgAdgBlAHIAdABpAGMAYQBsACAAZQB4AHAAbABvAHMAaQBvAG4AKQAgAC0ALQAtAFwAbgAgACAAIAAgAGkAXwAsACAAIAAgACAAIAAgACAAIAAgAEwAQQBNAEIARABBACgAIABSAGUAcwBpAHoAZQC7AygAIABJAE4AVAAoAFMARQBRAFUARQBOAEMARQAoAG0AIAAqACAAaAAsACAALAAgACwAIAAxACAALwAgAG0AKQApACwAIAAsACAAdwAgACkAIAApACwAXABuACAAIAAgACAAagBfACwAIAAgACAAIAAgACAAIAAgACAATABBAE0AQgBEAEEAKAAgAFIAZQBzAGkAegBlALsDKAAgAE0ARwByAGkAZAC7AygAYQByAHIAYQB5ACwAIAAxACkALAAgAG0AIAApACAAKQAsAFwAbgAgACAAIAAgAHMAdABhAHIAdABfAGEAdABfACwAIAAgAEwAQQBNAEIARABBACgAIABSAGUAcwBpAHoAZQC7AygAIABTAEUAUQBVAEUATgBDAEUAKABtACkALAAgAGgALAAgAHcAIAApACAAKQAsAFwAbgBcAG4AIAAgACAAIAAvAC8AIAAtAC0ALQAgADIARAAgAGkAbgBkAGUAeABpAG4AZwAgACgAaABvAHIAaQB6AG8AbgB0AGEAbAAgAGUAeABwAGwAbwBzAGkAbwBuACkAIAAtAC0ALQBcAG4AIAAgACAAIABpACwAIAAgACAAIAAgACAAIAAgACAAIABMAEEATQBCAEQAQQAoACAAUgBlAHMAaQB6AGUAuwMoACAATQBHAHIAaQBkALsDKABhAHIAcgBhAHkAKQAsACAALAAgAG0AIAApACAAKQAsAFwAbgAgACAAIAAgAGoALAAgACAAIAAgACAAIAAgACAAIAAgAEwAQQBNAEIARABBACgAIABSAGUAcwBpAHoAZQC7AygAIABJAE4AVAAoAFMARQBRAFUARQBOAEMARQAoACwAIABtACAAKgAgAHcALAAgACwAIAAxACAALwAgAG0AKQApACwAIABoACAAKQAgACkALABcAG4AIAAgACAAIABzAHQAYQByAHQAXwBhAHQALAAgACAAIABMAEEATQBCAEQAQQAoACAAUgBlAHMAaQB6AGUAuwMoACAAUwBFAFEAVQBFAE4AQwBFACgALAAgAG0AKQAsACAAaAAsACAAdwAgACkAIAApACwAXABuAFwAbgAgACAAIAAgAC8ALwAgADEARAAgAGUAeABwAGwAbwBzAGkAbwBuAFwAbgAgACAAIAAgAGUAeAAxAEQALAAgACAAIAAgACAAIAAgAEwAQQBNAEIARABBACgAIABNAEkARAAoAGEAcgByAGEAeQAsACAAaQBkAHgAKAApACwAIAAxACkAIAApACwAXABuAFwAbgAgACAAIAAgAC8ALwAgADIARAAgAGUAeABwAGwAbwBzAGkAbwBuACAAdgBhAHIAaQBhAG4AdABzAFwAbgAgACAAIAAgAGUAeAAyAEQAXwBWACwAIAAgACAAIAAgAEwAQQBNAEIARABBACgAIABNAEkARAAoAEkATgBEAEUAWAAoAGEAcgByAGEAeQAsACAAaQBfACgAKQAsACAAagBfACgAKQApACwAIABzAHQAYQByAHQAXwBhAHQAXwAoACkALAAgADEAKQAgACkALABcAG4AIAAgACAAIABlAHgAMgBEAF8ASAAsACAAIAAgACAAIABMAEEATQBCAEQAQQAoACAATQBJAEQAKABJAE4ARABFAFgAKABhAHIAcgBhAHkALAAgAGkAKAApACwAIAAgAGoAKAApACkALAAgAHMAdABhAHIAdABfAGEAdAAoACkALAAgACAAMQApACAAKQAsAFwAbgBcAG4AIAAgACAAIAAvAC8AIAAyAEQAIABzAGUAbABlAGMAdABpAG8AbgBcAG4AIAAgACAAIABlAHgAMgBEACwAIAAgACAAIAAgACAAIABMAEEATQBCAEQAQQAoAEkARgAoAEQAaQByAE8AbQBpAHQAdABlAGQAPwAsAGUAeAAyAEQAXwBWACgAKQAsAGUAeAAyAEQAXwBIACgAKQApACkALABcAG4AXABuACAAIAAgACAALwAvACAARgBpAG4AYQBsACAAcwBlAGwAZQBjAHQAaQBvAG4AXABuACAAIAAgACAAZgBpAG4AYQBsACwAIAAgACAAIAAgACAASQBGACgASQBzADEARAA/ACwAIABlAHgAMQBEACgAKQAsACAAZQB4ADIARAAoACkAKQAsAFwAbgBcAG4AIAAgACAAIABmAGkAbgBhAGwAXABuACkAKQApACkAOwBcAG4AXABuAFwAbgBcAG4ALwAqACAAWwBUAFgAMAA2AF0AIAAtAC0ALQAtAC0ALQAtAC0ALQAtAC0ALQAtAC0ALQAtAC0ALQAtAC0ALQAtAC0ALQAtAC0ALQAtAC0ALQAtAC0ALQAtAC0ALQAtAC0ALQAtAC0ALQAtAC0ALQAtAC0ALQAtAC0ALQAtAC0ALQAtAC0ALQAtAC0ALQAtAC0ALQAtAC0ALQAtAC0ALQAtAC0ALQAtAFwAbgBGAHUAbgBjAHQAaQBvAG4AOgAgACAAIAAgACAAIAAgACAATgB1AG0AYgBlAHIAcw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1AG0AZQByAGkAYwAgAGMAaABhAHIAYQBjAHQAZQByAHMAIAAoADAAEyA5ACkAIABmAHIAbwBtACAAYQAgAHMAYwBhAGwAYQByACwAIAAxAEQAIABhAHIAcgBhAHkALAAgAG8AcgAgADIARAAgAGEAcgByAGEAeQAuAFwAbgBcAG4AUABhAHIAYQBtAGUAdABlAHIAcwA6AFwAbgAgACAAIAAgAGEAcgByAGEAeQAgACAAIAAgACAAIAAgAC0AIABJAG4AcAB1AHQAIABzAGMAYQBsAGEAcgAsACAAMQBEACAAYQByAHIAYQB5ACwAIABvAHIAIAAyAEQAIABhAHIAcgBhAHkALgBcAG4AXABuAE4AbwB0AGUAcwA6AFwAbgAgACAAIAAgACIgIABVAHMAZQBzACAARQB4AHAAbABvAGQAZQC7AyAAZgBvAHIAIABjAGgAYQByAGEAYwB0AGUAcgARIGwAZQB2AGUAbAAgAGUAeABwAGEAbgBzAGkAbwBuAC4AXABuACAAIAAgACAAIiAgAEMATwBEAEUAKAApACAAZgBpAGwAdABlAHIAaQBuAGcAIABlAG4AcwB1AHIAZQBzACAAcwB0AHIAaQBjAHQAIABkAGkAZwBpAHQAIABlAHgAdAByAGEAYwB0AGkAbwBuAC4AXABuAC0ALQAtAC0ALQAtAC0ALQAtAC0ALQAtAC0ALQAtAC0ALQAtAC0ALQAtAC0ALQAtAC0ALQAtAC0ALQAtAC0ALQAtAC0ALQAtAC0ALQAtAC0ALQAtAC0ALQAtAC0ALQAtAC0ALQAtAC0ALQAtAC0ALQAtAC0ALQAtAC0ALQAtAC0ALQAtAC0ALQAtAC0ALQAtAC0ALQAtAC0ALQAtACoALwBcAG4AXABuAE4AdQBtAGIAZQByAHM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RABpAGcAaQB0ACAAbQBhAHMAawBcAG4AIAAgACAAIABLAGUAZQBwACwAIAAgACAAIAAgACAAIAAgACAAIABJAEYARQBSAFIATwBSACgAKABDAE8ARABFACgAZQB4ACkAIAA+AD0AIAA0ADgAKQAgACoAIAAoAEMATwBEAEUAKABlAHgAKQAgADwAPQAgADUANwApACwAIABGAEEATABTAEUAKQAsAFwAbgBcAG4AIAAgACAAIAAvAC8AIABNAGEAcwBrAGUAZAAgAHIAZQBzAHUAbAB0AFwAbgAgACAAIAAgAFIAZQBzAHUAbAB0ACwAIAAgACAAIAAgACAAIAAgAEkARgAoAEsAZQBlAHAALAAgAGUAeAAsACAAXAAiAFwAIgApACwAXABuAFwAbgAgACAAIAAgAC8ALwAgADEARAAgAGMAbwBuAGMAYQB0AGUAbgBhAHQAZQBkACAAbwB1AHQAcAB1AHQAXABuACAAIAAgACAAZgBpAG4AYQBsACwAIAAgACAAIAAgACAAIAAgACAASQBGAEUAUgBSAE8AUgAoAEIAWQBSAE8AVwAoAFIAZQBzAHUAbAB0ACwAIABDAE8ATgBDAEEAVAApACAAKwAgADAALABcACIAXAAiACkALABcAG4AXABuACAAIAAgACAAZgBpAG4AYQBsAFwAbgApACkAOwBcAG4AXABuAFwAbgBcAG4ALwAqACAAWwBUAFgAMAA3AF0AIAAtAC0ALQAtAC0ALQAtAC0ALQAtAC0ALQAtAC0ALQAtAC0ALQAtAC0ALQAtAC0ALQAtAC0ALQAtAC0ALQAtAC0ALQAtAC0ALQAtAC0ALQAtAC0ALQAtAC0ALQAtAC0ALQAtAC0ALQAtAC0ALQAtAC0ALQAtAC0ALQAtAC0ALQAtAC0ALQAtAC0ALQAtAC0ALQAtAFwAbgBGAHUAbgBjAHQAaQBvAG4AOgAgACAAIAAgACAAIAAgACAAVABlAHgAdABPAG4AbAB5ALsDXABuAEMAYQB0AGUAZwBvAHIAeQA6ACAAIAAgACAAIAAgACAAIABUAGUAeAB0AFwAbgBBAHUAdABoAG8AcgA6ACAAIAAgACAAIAAgACAAIAAgACAAUABhAHQAcgBpAGMAawAgAEgALgBcAG4AVgBlAHIAcwBpAG8AbgA6ACAAIAAgACAAIAAgACAAIAAgADEALgAxAFwAbgBEAGUAcABlAG4AZABlAG4AYwBpAGUAcwA6ACAAIAAgACAARQB4AHAAbABvAGQAZQC7A1wAbgBcAG4ARABlAHMAYwByAGkAcAB0AGkAbwBuADoAXABuACAAIAAgACAARQB4AHQAcgBhAGMAdABzACAAbgBvAG4AESBuAHUAbQBlAHIAaQBjACAAYwBoAGEAcgBhAGMAdABlAHIAcwAgAGYAcgBvAG0AIABhACAAcwBjAGEAbABhAHIALAAgADEARAAgAGEAcgByAGEAeQAsACAAbwByACAAMgBEACAAYQByAHIAYQB5AC4AXABuAFwAbgBQAGEAcgBhAG0AZQB0AGUAcgBzADoAXABuACAAIAAgACAAYQByAHIAYQB5ACAAIAAgACAAIAAgACAALQAgAEkAbgBwAHUAdAAgAHMAYwBhAGwAYQByACwAIAAxAEQAIABhAHIAcgBhAHkALAAgAG8AcgAgADIARAAgAGEAcgByAGEAeQAuAFwAbgBcAG4ATgBvAHQAZQBzADoAXABuACAAIAAgACAAIiAgAFUAcwBlAHMAIABFAHgAcABsAG8AZABlALsDIABmAG8AcgAgAGMAaABhAHIAYQBjAHQAZQByABEgbABlAHYAZQBsACAAZQB4AHAAYQBuAHMAaQBvAG4ALgBcAG4AIAAgACAAIAAiICAAQwBvAG0AcABsAGUAbQBlAG4AdABzACAATgB1AG0AYgBlAHIAcwBPAG4AbAB5ALsDIABiAHkAIABzAGUAbABlAGMAdABpAG4AZwAgAGEAbABsACAAbgBvAG4AESBkAGkAZwBpAHQAIABjAGgAYQByAGEAYwB0AGUAcgBzAC4AXABuAC0ALQAtAC0ALQAtAC0ALQAtAC0ALQAtAC0ALQAtAC0ALQAtAC0ALQAtAC0ALQAtAC0ALQAtAC0ALQAtAC0ALQAtAC0ALQAtAC0ALQAtAC0ALQAtAC0ALQAtAC0ALQAtAC0ALQAtAC0ALQAtAC0ALQAtAC0ALQAtAC0ALQAtAC0ALQAtAC0ALQAtAC0ALQAtAC0ALQAtAC0ALQAtACoALwBcAG4AXABuAFQAZQB4AHQATwBuAGwAeQC7AyAAPQBcAG4ATABBAE0AQgBEAEEAKABcAG4AIAAgACAAIABhAHIAcgBhAHkALABcAG4AXABuAEwARQBUACgAXABuACAAIAAgACAALwAvACAARgBsAGEAdAB0AGUAbgAgAGkAbgBwAHUAdAAgAGkAZgAgAGEAcgByAGEAeQBcAG4AIAAgACAAIABhAHIAcgBhAHkALAAgACAAIAAgACAAIAAgACAAIABJAEYAKABUAFkAUABFACgAYQByAHIAYQB5ACkAIAA8AD4AIAA2ADQALAAgAGEAcgByAGEAeQAsAFQATwBDAE8ATAAoAGEAcgByAGEAeQApACkALABcAG4AXABuACAAIAAgACAALwAvACAARQB4AHAAbABvAGQAZQAgAHQAbwAgAGMAaABhAHIAYQBjAHQAZQByAHMAXABuACAAIAAgACAAZQB4ACwAIAAgACAAIAAgACAAIAAgACAAIAAgACAARQB4AHAAbABvAGQAZQC7AygAYQByAHIAYQB5ACkALABcAG4AXABuACAAIAAgACAALwAvACAATgBvAG4AESBkAGkAZwBpAHQAIABtAGEAcwBrAFwAbgAgACAAIAAgAEsAZQBlAHAALAAgACAAIAAgACAAIAAgACAAIAAgAEkARgBFAFIAUgBPAFIAKAAoAEMATwBEAEUAKABlAHgAKQAgADwAIAA0ADgAKQAgACsAIAAoAEMATwBEAEUAKABlAHgAKQAgAD4AIAA1ADcAKQAsACAARgBBAEwAUwBFACkALABcAG4AXABuACAAIAAgACAALwAvACAATQBhAHMAawBlAGQAIAByAGUAcwB1AGwAdABcAG4AIAAgACAAIABSAGUAcwB1AGwAdAAsACAAIAAgACAAIAAgACAAIABJAEYAKABLAGUAZQBwACwAIABlAHgALAAgAFwAIgBcACIAKQAsAFwAbgBcAG4AIAAgACAAIAAvAC8AIAAxAEQAIABjAG8AbgBjAGEAdABlAG4AYQB0AGUAZAAgAG8AdQB0AHAAdQB0AFwAbgAgACAAIAAgAGYAaQBuAGEAbAAsACAAIAAgACAAIAAgACAAIAAgAEkARgBFAFIAUgBPAFIAKABCAFkAUgBPAFcAKABSAGUAcwB1AGwAdAAsACAAQwBPAE4AQwBBAFQAKQAsAFwAIgBcACIAKQAsAFwAbgBcAG4AIAAgACAAIABmAGkAbgBhAGwAXABuACkAKQA7AFwAbgBcAG4AXABuAFwAbgAvACoAIABbAFQAWAAwADgAXQAgAC0ALQAtAC0ALQAtAC0ALQAtAC0ALQAtAC0ALQAtAC0ALQAtAC0ALQAtAC0ALQAtAC0ALQAtAC0ALQAtAC0ALQAtAC0ALQAtAC0ALQAtAC0ALQAtAC0ALQAtAC0ALQAtAC0ALQAtAC0ALQAtAC0ALQAtAC0ALQAtAC0ALQAtAC0ALQAtAC0ALQAtAC0ALQAtAC0AXABuAEYAdQBuAGMAdABpAG8AbgA6ACAAIAAgACAAIAAgACAAIABTAHAAbABpAHQAuwNcAG4AQwBhAHQAZQBnAG8AcgB5ADoAIAAgACAAIAAgACAAIAAgAFQAZQB4AHQAXABuAEEAdQB0AGgAbwByADoAIAAgACAAIAAgACAAIAAgACAAIABQAGEAdAByAGkAYwBrACAASAAuAFwAbgBWAGUAcgBzAGkAbwBuADoAIAAgACAAIAAgACAAIAAgACAAMQAuADEAXABuAEQAZQBwAGUAbgBkAGUAbgBjAGkAZQBzADoAIAAgACAAIABSAGUAZwBlAHgAUwBhAGYAZQC7A1wAbgBcAG4ARABlAHMAYwByAGkAcAB0AGkAbwBuADoAXABuACAAIAAgACAAUwBwAGwAaQB0AHMAIAAxAEQAIAB0AGUAeAB0ACAAYQByAHIAYQB5AHMAIABpAG4AdABvACAAdABvAGsAZQBuAHMAIAB1AHMAaQBuAGcAIABhACAAcwBwAGUAYwBpAGYAaQBlAGQAIABkAGUAbABpAG0AaQB0AGUAcgAuACAAVABoAGUAIABmAHUAbgBjAHQAaQBvAG4AXABuACAAIAAgACAAaQBzACAAcwBoAGEAcABlABEgYQB3AGEAcgBlACAAYQBuAGQAIAByAGUAdAB1AHIAbgBzACAAYQAgADIARAAgAHMAcABpAGwAbAAgAGEAbABpAGcAbgBlAGQAIAB0AG8AIAB0AGgAZQAgAG8AcgBpAGUAbgB0AGEAdABpAG8AbgAgAG8AZgAgAHQAaABlAFwAbgAgACAAIAAgAGkAbgBwAHUAdAAgAGEAcgByAGEAeQAuACAAUwB1AHAAcABvAHIAdABzACAAbQB1AGwAdABpABEgYwBoAGEAcgBhAGMAdABlAHIAIABkAGUAbABpAG0AaQB0AGUAcgBzACAAYQBuAGQAIABmAHUAbABsACAAcgBlAGcAZQB4ABEgcwBhAGYAZQBcAG4AIAAgACAAIABlAHMAYwBhAHAAaQBuAGcALgBcAG4AXABuAFAAYQByAGEAbQBlAHQAZQByAHMAOgBcAG4AIAAgACAAIABhAHIAcgBhAHkAIAAgACAAIAAgACAAIAAtACAAQQAgADEARAAgAGEAcgByAGEAeQAgACgAdgBlAHIAdABpAGMAYQBsACAAbwByACAAaABvAHIAaQB6AG8AbgB0AGEAbAApAC4AIAAyAEQAIABhAHIAcgBhAHkAcwAgAGEAcgBlACAAbgBvAHQAIABzAHUAcABwAG8AcgB0AGUAZAAuAFwAbgAgACAAIAAgAGQAZQBsAGkAbQBpAHQAZQByACAAIAAgAC0AIABEAGUAbABpAG0AaQB0AGUAcgAgAHUAcwBlAGQAIAB0AG8AIABzAHAAbABpAHQAIABlAGEAYwBoACAAdABlAHgAdAAgAGUAbABlAG0AZQBuAHQALgAgAFMAcABpAGwAbAAgAG8AcgBpAGUAbgB0AGEAdABpAG8AbgBcAG4AIAAgACAAIAAgACAAIAAgACAAIAAgACAAIAAgACAAIAAgACAAaQBzACAAaQBuAGYAZQByAHIAZQBkACAAZgByAG8AbQAgAHQAaABlACAAcwBoAGEAcABlACAAbwBmACAAYQByAHIAYQB5AC4AXABuAFwAbgBPAHAAdABpAG8AbgBhAGwAOgBcAG4AIAAgACAAIABbAGkAZgBfAG4AbwB0AF8AZgBvAHUAbgBkAF0AXABuACAAIAAgACAAIAAgACAAIABWAGEAbAB1AGUAIAByAGUAdAB1AHIAbgBlAGQAIAB3AGgAZQBuACAAYQAgAHQAZQB4AHQAIABlAGwAZQBtAGUAbgB0ACAAYwBvAG4AdABhAGkAbgBzACAAbgBvACAAZABlAGwAaQBtAGkAdABlAHIALgBcAG4AIAAgACAAIAAgACAAIAAgAEQAZQBmAGEAdQBsAHQAcwAgAHQAbwAgAFwAIgBcACIALgBcAG4AXABuACAAIAAgACAAWwB0AHIAZQBhAHQAXwBjAG8AbgBzAGUAYwB1AHQAaQB2AGUAXwBkAGUAbABpAG0AaQB0AGUAcgBzAF8AYQBzAF8AbwBuAGUAXQBcAG4AIAAgACAAIAAgACAAIAAgAFQAUgBVAEUAIACSISAAYwBvAGwAbABhAHAAcwBlACAAcgB1AG4AcwAgAG8AZgAgAGMAbwBuAHMAZQBjAHUAdABpAHYAZQAgAGQAZQBsAGkAbQBpAHQAZQByAHMAIABiAGUAZgBvAHIAZQAgAHMAcABsAGkAdAB0AGkAbgBnAC4AXABuACAAIAAgACAAIAAgACAAIABVAHMAZQBmAHUAbAAgAGYAbwByACAAQwBTAFYAESBzAHQAeQBsAGUAIABuAG8AcgBtAGEAbABpAHoAYQB0AGkAbwBuAC4AXABuAFwAbgBOAG8AdABlAHMAOgBcAG4AIAAgACAAIAAiICAAQwBvAGwAbABhAHAAcwBlACAAbQBvAGQAZQAgAHAAZQByAGYAbwByAG0AcwAgAGEAIABSAEUARwBFAFgAUgBFAFAATABBAEMARQAgAHAAYQBzAHMAIAB3AGgAZQBuACAAYwBvAG4AcwBlAGMAdQB0AGkAdgBlACAAZABlAGwAaQBtAGkAdABlAHIAcwAgAGUAeABpAHMAdAAuAFwAbgAgACAAIAAgACAAIABGAG8AcgAgAHYAZQByAHkAIABsAGEAcgBnAGUAIABhAHIAcgBhAHkAcwAgAG8AcgAgAGgAaQBnAGgAIAB0AG8AawBlAG4AIABjAG8AdQBuAHQAcwAsACAAdABoAGkAcwAgAG0AYQB5ACAAaQBuAGMAcgBlAGEAcwBlACAAYwBhAGwAYwB1AGwAYQB0AGkAbwBuACAAdABpAG0AZQAuAFwAbgAgACAAIAAgACIgIABEAGUAbABpAG0AaQB0AGUAcgBzACAAYQByAGUAIABmAHUAbABsAHkAIAByAGUAZwBlAHgAESBlAHMAYwBhAHAAZQBkACAAdgBpAGEAIABSAGUAZwBlAHgAUwBhAGYAZQC7AywAIABhAGwAbABvAHcAaQBuAGcAIABsAGkAdABlAHIAYQBsACAAdQBzAGUAIABvAGYAXABuACAAIAAgACAAIAAgAG0AZQB0AGEAYwBoAGEAcgBhAGMAdABlAHIAcwAgACgAKgAsACAAPwAsACAAKwAsACAAfAAsACAAKAAsACAAKQAsACAAWwAsACAAXQAsACAAXgAsACAAJAAsACAAZQB0AGMALgApAC4AXABuAC0ALQAtAC0ALQAtAC0ALQAtAC0ALQAtAC0ALQAtAC0ALQAtAC0ALQAtAC0ALQAtAC0ALQAtAC0ALQAtAC0ALQAtAC0ALQAtAC0ALQAtAC0ALQAtAC0ALQAtAC0ALQAtAC0ALQAtAC0ALQAtAC0ALQAtAC0ALQAtAC0ALQAtAC0ALQAtAC0ALQAtAC0ALQAtAC0ALQAtAC0ALQAtACoALwBcAG4AXABuAFMAcABsAGkAdAC7AyAAPQBcAG4ATABBAE0AQgBEAEEAKABcAG4AIAAgACAAIABhAHIAcgBhAHkALABcAG4AIAAgACAAIABkAGUAbABpAG0AaQB0AGUAcgAsAFwAbgAgACAAIAAgAFsAaQBmAF8AbgBvAHQAXwBmAG8AdQBuAGQAXQAsAFwAbgAgACAAIAAgAFsAdAByAGUAYQB0AF8AYwBvAG4AcwBlAGMAdQB0AGkAdgBlAF8AZABlAGwAaQBtAGkAdABlAHIAcwBfAGEAcwBfAG8AbgBlAF0ALABcAG4AXABuAEwARQBUACgAXABuACAAIAAgACAALwAvACAARABpAG0AZQBuAHMAaQBvAG4AcwAgAG8AZgAgAGkAbgBwAHUAdAAgAGEAcgByAGEAeQBcAG4AIAAgACAAIABoACwAIAAgAFIATwBXAFMAKABhAHIAcgBhAHkAKQAsAFwAbgAgACAAIAAgAHcALAAgACAAQwBPAEwAVQBNAE4AUwAoAGEAcgByAGEAeQApACwAXABuAFwAbgAgACAAIAAgAC8ALwAgAEQAaQBtAGUAbgBzAGkAbwBuAHMAIABvAGYAIABkAGUAbABpAG0AaQB0AGUAcgBcAG4AIAAgACAAIABoAIIgLAAgAFIATwBXAFMAKABkAGUAbABpAG0AaQB0AGUAcgApACwAXABuACAAIAAgACAAdwCCICwAIABDAE8ATABVAE0ATgBTACgAZABlAGwAaQBtAGkAdABlAHIAKQAsAFwAbgBcAG4AIAAgACAAIAAvAC8AIABPAHIAaQBlAG4AdABhAHQAaQBvAG4AIABjAGgAZQBjAGsAcwBcAG4AIAAgACAAIABJAHMAVgBlAHIAdABpAGMAYQBsAD8ALAAgACAAIAAgAGgAIAA+ACAAdwAsAFwAbgAgACAAIAAgAEkAcwAyAEQAPwAsACAAIAAgACAAIAAgACAAIAAgACAAQQBOAEQAKABoACAAPgAgADEALAAgAHcAIAA+ACAAMQApACwAXABuACAAIAAgACAASQBzAFMAYwBhAGwAYQByAD8ALAAgACAAIAAgACAAIABBAE4ARAAoAGgAIAA9ACAAMQAsACAAdwAgAD0AIAAxACkALABcAG4AXABuACAAIAAgACAALwAvACAATwBwAHQAaQBvAG4AYQBsACAAcABhAHIAYQBtAGUAdABlAHIAcwBcAG4AIAAgACAAIABpAGYAXwBuAG8AdABfAGYAbwB1AG4AZAAsACAAIAAgAEkARgAoAEkAUwBPAE0ASQBUAFQARQBEACgAaQBmAF8AbgBvAHQAXwBmAG8AdQBuAGQAKQAsACAAXAAiAFwAIgAsACAAaQBmAF8AbgBvAHQAXwBmAG8AdQBuAGQAKQAsAFwAbgAgACAAIAAgAEMAbwBsAGwAYQBwAHMAZQBEAGUAbABpAG0APwAsACAATgBPAFQAKABJAFMATwBNAEkAVABUAEUARAAoAHQAcgBlAGEAdABfAGMAbwBuAHMAZQBjAHUAdABpAHYAZQBfAGQAZQBsAGkAbQBpAHQAZQByAHMAXwBhAHMAXwBvAG4AZQApACkALABcAG4AIAAgACAAIABNAHUAbAB0AGkAcABsAGUARABlAGwAaQBtAD8ALAAgAE8AUgAoAGgAgiAgAD4AIAAxACwAIAB3AIIgIAA+ACAAMQApACwAXABuAFwAbgAgACAAIAAgAC8ALwAgAFYAYQBsAGkAZABhAHQAaQBvAG4AXABuACAAIAAgACAASQBGACgASQBzADIARAA/ACwAIAAgACAAIAAgACAAIAAgACAAIAAgACAAIAAgAFwAIgAjADIARAAtAEkATgBQAFUAVAAhAFwAIgAsAFwAbgBcAG4AIAAgACAAIAAgACAAIAAgAEkARgAoAE0AdQBsAHQAaQBwAGwAZQBEAGUAbABpAG0APwAsACAAXAAiACMARABFAEwASQBNAEkAVABFAFIALQBBAFIAUgBBAFkAIQBcACIALABcAG4AXABuAEwARQBUACgAXABuACAAIAAgACAALwAvACAAVwByAGEAcAAgAGUAYQBjAGgAIABlAGwAZQBtAGUAbgB0ACAAdwBpAHQAaAAgAGQAZQBsAGkAbQBpAHQAZQByACAAbwBuACAAYgBvAHQAaAAgAHMAaQBkAGUAcwBcAG4AIAAgACAAIABqAG8AaQBuAGUAZAAsACAAIAAgACAAIAAgACAAIAAgAGQAZQBsAGkAbQBpAHQAZQByACAAJgAgAGEAcgByAGEAeQAgACYAIABkAGUAbABpAG0AaQB0AGUAcgAsAFwAbgBcAG4AIAAgACAAIAAvAC8AIABSAGUAZwBlAHgAESBzAGEAZgBlACAAZABlAGwAaQBtAGkAdABlAHIAXABuACAAIAAgACAAZABlAGwAaQBtAF8AYgAsACAAIAAgACAAIAAgACAAIABSAGUAZwBlAHgAUwBhAGYAZQC7AygAZABlAGwAaQBtAGkAdABlAHIAKQAsAFwAbgBcAG4AIAAgACAAIAAvAC8AIABEAGUAdABlAGMAdAAgAGMAbwBuAHMAZQBjAHUAdABpAHYAZQAgAGQAZQBsAGkAbQBpAHQAZQByAHMAXABuACAAIAAgACAASQBzAEMAbwBuAHMAZQBjAEQAZQBsAGkAbQA/ACwAIABPAFIAKABSAEUARwBFAFgAVABFAFMAVAAoAGoAbwBpAG4AZQBkACwAIABcACIAKABcACIAIAAmACAAZABlAGwAaQBtAF8AYgAgACYAIABcACIAKQB7ADIALAB9AFwAIgApACkALABcAG4AXABuACAAIAAgACAALwAvACAAQwBvAGwAbABhAHAAcwBlACAAYwBvAG4AcwBlAGMAdQB0AGkAdgBlACAAZABlAGwAaQBtAGkAdABlAHIAcwAgAGkAZgAgAHIAZQBxAHUAZQBzAHQAZQBkAFwAbgAgACAAIAAgAHQAZQB4AHQAcwAsACAAIAAgACAAIAAgACAAIAAgACAASQBGACgAQQBOAEQAKABDAG8AbABsAGEAcABzAGUARABlAGwAaQBtAD8ALAAgAEkAcwBDAG8AbgBzAGUAYwBEAGUAbABpAG0APwApACwAXABuACAAIAAgACAAIAAgACAAIAAgACAAIAAgACAAIAAgACAAIAAgACAAIAAgACAAIAAgAFIARQBHAEUAWABSAEUAUABMAEEAQwBFACgAagBvAGkAbgBlAGQALAAgAFwAIgAoAFwAIgAgACYAIABkAGUAbABpAG0AXwBiACAAJgAgAFwAIgApACsAXAAiACwAIABkAGUAbABpAG0AXwBiACkALABcAG4AIAAgACAAIAAgACAAIAAgACAAIAAgACAAIAAgACAAIAAgACAAIAAgACAAIAAgACAAagBvAGkAbgBlAGQAKQAsAFwAbgBcAG4AIAAgACAAIAAvAC8AIABUAG8AawBlAG4AIABjAG8AdQBuAHQAXABuACAAIAAgACAATAAsACAAIAAgACAAIAAgACAAIAAgACAAIAAgACAAIABMAEUATgAoAGQAZQBsAGkAbQBpAHQAZQByACkALABcAG4AIAAgACAAIAB0AG8AawBlAG4ALAAgACAAIAAgACAAIAAgACAAIAAgAE0AQQBYACgATABFAE4AKAB0AGUAeAB0AHMAKQAgAC0AIABMAEUATgAoAFMAVQBCAFMAVABJAFQAVQBUAEUAKAB0AGUAeAB0AHMALAAgAGQAZQBsAGkAbQBpAHQAZQByACwAIABcACIAXAAiACkAKQApACAALwAgAEwAIAAtACAAMQAsAFwAbgBcAG4AIAAgACAAIAAvAC8AIABJAG4AZABlAHgAaQBuAGcAIABmAG8AcgAgAFQARQBYAFQAQQBGAFQARQBSAC8AVABFAFgAVABCAEUARgBPAFIARQBcAG4AIAAgACAAIABpAGQAeAAsACAAIAAgACAAIAAgACAAIAAgACAAIAAgAEwAQQBNAEIARABBACgASQBGACgAKABJAHMAVgBlAHIAdABpAGMAYQBsAD8AKQAgACsAIAAoAEkAcwBTAGMAYQBsAGEAcgA/ACkALABTAEUAUQBVAEUATgBDAEUAKAAsACAAdABvAGsAZQBuACkALABcAG4AIAAgACAAIAAgACAAIAAgACAAIAAgACAAIAAgACAAIAAgACAAIAAgACAAIAAgACAAIAAgACAAIAAgACAAIAAgACAAIAAgACAAIAAgACAAIAAgACAAIAAgACAAIAAgACAAIAAgACAAIAAgACAAIAAgACAAIABTAEUAUQBVAEUATgBDAEUAKAB0AG8AawBlAG4AKQApACkALABcAG4AXABuACAAIAAgACAALwAvACAAUABhAHIAcwBlACAAdABvAGsAZQBuAHMAXABuACAAIAAgACAAZgBpAG4AYQBsACwAIAAgACAAIAAgACAAIAAgACAAIABJAEYARQBSAFIATwBSACgAXABuACAAIAAgACAAIAAgACAAIAAgACAAIAAgACAAIAAgACAAIAAgACAAIAAgACAAIAAgACAAIAAgACAAVABFAFgAVABCAEUARgBPAFIARQAoAFQARQBYAFQAQQBGAFQARQBSACgAdABlAHgAdABzACwAIABkAGUAbABpAG0AaQB0AGUAcgAsACAAaQBkAHgAKAApACwAIAAsACAALAAgAGkAZgBfAG4AbwB0AF8AZgBvAHUAbgBkACkALABcAG4AIAAgACAAIAAgACAAIAAgACAAIAAgACAAIAAgACAAIAAgACAAIAAgACAAIAAgACAAIAAgACAAIABkAGUAbABpAG0AaQB0AGUAcgAsACwAIAAsACAALAAgAGkAZgBfAG4AbwB0AF8AZgBvAHUAbgBkACkALABcAG4AIAAgACAAIAAgACAAIAAgACAAIAAgACAAIAAgACAAIAAgACAAIAAgACAAIAAgACAAIAAgACAAIABpAGYAXwBuAG8AdABfAGYAbwB1AG4AZAApACwAXABuAFwAbgAgACAAIAAgAGYAaQBuAGEAbABcAG4AKQApACkAKQApADsAXABuAFwAbgBcAG4AXABuAC8AKgAgAFsAVABYAC0AQwBPAFIARQBdACAALQAtAC0ALQAtAC0ALQAtAC0ALQAtAC0ALQAtAC0ALQAtAC0ALQAtAC0ALQAtAC0ALQAtAC0ALQAtAC0ALQAtAC0ALQAtAC0ALQAtAC0ALQAtAC0ALQAtAC0ALQAtAC0ALQAtAC0ALQAtAC0ALQAtAC0ALQAtAC0ALQAtAC0ALQAtAC0ALQAtAC0ALQBcAG4ARgB1AG4AYwB0AGkAbwBuADoAIAAgACAAIAAgACAAIAAgAFIAZQBnAGUAeABTAGEAZgBlALsDXABuAEMAYQB0AGUAZwBvAHIAeQA6ACAAIAAgACAAIAAgACAAIABUAGUAeAB0ACAAKABDAG8AcgBlACkAXABuAEEAdQB0AGgAbwByADoAIAAgACAAIAAgACAAIAAgACAAIABQAGEAdAByAGkAYwBrACAASAAuAFwAbgBWAGUAcgBzAGkAbwBuADoAIAAgACAAIAAgACAAIAAgACAAMQAuADEAXABuAFwAbgBEAGUAcwBjAHIAaQBwAHQAaQBvAG4AOgBcAG4AIAAgACAAIABFAHMAYwBhAHAAZQBzACAAcgBlAGcAZQB4ACAAbQBlAHQAYQBjAGgAYQByAGEAYwB0AGUAcgBzACAAaQBuACAAYQAgAHMAdQBwAHAAbABpAGUAZAAgAGQAZQBsAGkAbQBpAHQAZQByACAAcwBvACAAaQB0ACAAYwBhAG4AIABiAGUAIAB1AHMAZQBkAFwAbgAgACAAIAAgAHMAYQBmAGUAbAB5ACAAaQBuACAAUgBFAEcARQBYAFQARQBTAFQALAAgAFIARQBHAEUAWABSAEUAUABMAEEAQwBFACwAIABhAG4AZAAgAFIARQBHAEUAWABFAFgAVABSAEEAQwBUACAAcABhAHQAdABlAHIAbgBzAC4AIABNAHUAbAB0AGkAESBcAG4AIAAgACAAIABjAGgAYQByAGEAYwB0AGUAcgAgAGQAZQBsAGkAbQBpAHQAZQByAHMAIABhAHIAZQAgAHAAcgBvAGMAZQBzAHMAZQBkACAAYwBoAGEAcgBhAGMAdABlAHIAESBiAHkAESBjAGgAYQByAGEAYwB0AGUAcgAsACAAYQBuAGQAIABvAG4AbAB5AFwAbgAgACAAIAAgAGMAaABhAHIAYQBjAHQAZQByAHMAIAB0AGgAYQB0ACAAcgBlAHEAdQBpAHIAZQAgAGUAcwBjAGEAcABpAG4AZwAgAGEAcgBlACAAcAByAGUAZgBpAHgAZQBkACAAdwBpAHQAaAAgAFwAIgBcAFwAXAAiAC4AXABuAFwAbgBFAHgAYQBtAHAAbABlADoAXABuACAAIAAgACAAPQBSAGUAZwBlAHgAUwBhAGYAZQC7AygAXAAiAHwAXAAiACkAXABuACAAIAAgACAAcgBlAHQAdQByAG4AcwA6ACAAXAAiAFwAXAB8AFwAIgBcAG4ALQAtAC0ALQAtAC0ALQAtAC0ALQAtAC0ALQAtAC0ALQAtAC0ALQAtAC0ALQAtAC0ALQAtAC0ALQAtAC0ALQAtAC0ALQAtAC0ALQAtAC0ALQAtAC0ALQAtAC0ALQAtAC0ALQAtAC0ALQAtAC0ALQAtAC0ALQAtAC0ALQAtAC0ALQAtAC0ALQAtAC0ALQAtAC0ALQAtAC0ALQAtAC0AKgAvAFwAbgBcAG4AUgBlAGcAZQB4AFMAYQBmAGUAuwMgAD0AXABuAEwAQQBNAEIARABBACgAXABuACAAIAAgACAAZABlAGwAaQBtAGkAdABlAHIAcwAsAFwAbgBMAEUAVAAoAFwAbgAgACAAIAAgAC8ALwAgAEMAaABhAHIAYQBjAHQAZQByAHMAIAByAGUAcQB1AGkAcgBpAG4AZwAgAGUAcwBjAGEAcABpAG4AZwAgAGkAbgAgAEUAeABjAGUAbAAnAHMAIABQAEMAUgBFADIAIABlAG4AZwBpAG4AZQBcAG4AIAAgACAAIABtAGUAdABhACwAIAAgACAAIAAgACAAIAB7AFwAIgBcAFwAXAAiACwAIABcACIAKwBcACIALAAgAFwAIgAqAFwAIgAsACAAXAAiAD8AXAAiACwAIABcACIAXgBcACIALABcAG4AIAAgACAAIAAgACAAIAAgACAAIAAgACAAIAAgACAAIAAgAFwAIgAkAFwAIgAsACAAXAAiACgAXAAiACwAIABcACIAKQBcACIALAAgAFwAIgBbAFwAIgAsACAAXAAiAHwAXAAiAH0ALABcAG4AXABuACAAIAAgACAALwAvACAARQBuAHUAbQBlAHIAYQB0AGUAIABlAGEAYwBoACAAYwBoAGEAcgBhAGMAdABlAHIAIABvAGYAIAB0AGgAZQAgAGQAZQBsAGkAbQBpAHQAZQByAFwAbgAgACAAIAAgAGMAaABhAHIAcwAsACAAIAAgACAAIAAgAFIARQBHAEUAWABFAFgAVABSAEEAQwBUACgAZABlAGwAaQBtAGkAdABlAHIAcwAsAFwAIgAuAFwAIgAsADEAKQAsAFwAbgBcAG4AIAAgACAAIAAvAC8AIABJAGQAZQBuAHQAaQBmAHkAIABtAGUAdABhAGMAaABhAHIAYQBjAHQAZQByAHMAXABuACAAIAAgACAASQBzAE0AZQB0AGEAPwAsACAAIAAgACAASQBTAE4AVQBNAEIARQBSACgAWABNAEEAVABDAEgAKABjAGgAYQByAHMALAAgAG0AZQB0AGEAKQApACwAXABuAFwAbgAgACAAIAAgAC8ALwAgAEUAcwBjAGEAcABlACAAbwBuAGwAeQAgAHQAaABvAHMAZQAgAHQAaABhAHQAIAByAGUAcQB1AGkAcgBlACAAaQB0AFwAbgAgACAAIAAgAHAAYQB0AHQAZQByAG4ALAAgACAAIAAgAEMATwBOAEMAQQBUACgASQBGACgASQBzAE0AZQB0AGEAPwAsACAAXAAiAFwAXABcACIAIAAmACAAYwBoAGEAcgBzACwAIABjAGgAYQByAHMAKQApACwAXABuAFwAbgAgACAAIAAgAHAAYQB0AHQAZQByAG4AXABuACkAKQA7AFwAbgBcAG4AXABuAFwAbgAvAC8AIABbAEUATgBdACAALQAtAC0ALQAtAC0ALQAtAC0ALQAtAC0ALQAtAC0ALQAtAC0ALQAtAC0ALQAtAC0ALQAtAC0ALQAtAC0ALQAtAC0ALQAtAC0ALQAtAC0ALQAtAC0ALQAtAC0ALQAtAC0ALQAtAC0ALQAtAC0ALQAtAC0ALQAtAC0ALQAtAC0ALQAtAC0ALQAtAC0ALQAtAC0ALQAtAC0ALQAtAFwAbgAvAC8AIAAtAC0ALQAjACMAIAAwADgAIAAUICAARQBuAGcAaQBuAGUAZQByAGkAbgBnAFwAbgAvAC8AIAAtAC0ALQAtAC0ALQAtAC0ALQAtAC0ALQAtAC0ALQAtAC0ALQAtAC0ALQAtAC0ALQAtAC0ALQAtAC0ALQAtAC0ALQAtAC0ALQAtAC0ALQAtAC0ALQAtAC0ALQAtAC0ALQAtAC0ALQAtAC0ALQAtAC0ALQAtAC0ALQAtAC0ALQAtAC0ALQAtAC0ALQAtAC0ALQAtAC0ALQAtAC0AXABuAFwAbgAvACoAXABuAEQAZQBzAGMAcgBpAHAAdABpAG8AbgA6AFwAbgAgACAAIAAgAFQAaABlACAARQBuAGcAaQBuAGUAZQByAGkAbgBnACAAYwBhAHQAZQBnAG8AcgB5ACAAcAByAG8AdgBpAGQAZQBzACAAYgBpAG4AYQByAHkALAAgAEcAcgBhAHkAESBjAG8AZABlACwAIABhAG4AZAAgAGIAaQB0ABEgbABlAHYAZQBsACAAdQB0AGkAbABpAHQAaQBlAHMAXABuACAAIAAgACAAZABlAHMAaQBnAG4AZQBkACAAdABvACAAbwBwAGUAcgBhAHQAZQAgAHcAZQBsAGwAIABiAGUAeQBvAG4AZAAgAEUAeABjAGUAbAAnAHMAIABuAGEAdABpAHYAZQAgAEQARQBDADIAQgBJAE4AIABsAGkAbQBpAHQAIABvAGYAIAA1ADEAMQAuACAAQQBsAGwAXABuACAAIAAgACAAZgB1AG4AYwB0AGkAbwBuAHMAIABzAHUAcABwAG8AcgB0ACAAYwBvAG4AYwBpAHMAZQAgAGIAaQBuAGEAcgB5ACAAcwB0AHIAaQBuAGcAcwAgAGEAbgBkACAAcwBoAGEAcABlABEgcAByAGUAcwBlAHIAdgBpAG4AZwAgAGEAcgByAGEAeQAgAGIAZQBoAGEAdgBpAG8AcgAsAFwAbgAgACAAIAAgAHcAaQB0AGgAIABvAHAAdABpAG8AbgBhAGwAIAAyAEQAIABlAHgAcABsAG8AZABlAGQAIABiAGkAdAARIG0AYQB0AHIAaQBjAGUAcwAgAHcAaABlAHIAZQAgAGEAcABwAGwAaQBjAGEAYgBsAGUALgBcAG4AXABuAEYAdQBuAGMAdABpAG8AbgBzADoAXABuACAAIAAgACAAIiAgAEIAaQBuADIARABlAGMAuwNcAG4AIAAgACAAIAAgACAAIAAgAEMAbwBuAHYAZQByAHQAcwAgAGMAbwBuAGMAaQBzAGUAIABiAGkAbgBhAHIAeQAgAGkAbgB0AG8AIABkAGUAYwBpAG0AYQBsACAAdgBhAGwAdQBlAHMALgBcAG4AXABuACAAIAAgACAAIiAgAEIAaQBuADIARwByAGEAeQC7A1wAbgAgACAAIAAgACAAIAAgACAAQwBvAG4AdgBlAHIAdABzACAAYwBvAG4AYwBpAHMAZQAgAGIAaQBuAGEAcgB5ACAAaQBuAHQAbwAgAEcAcgBhAHkAESBjAG8AZABlACAAdgBhAGwAdQBlAHMALAAgAHcAaQB0AGgAIABvAHAAdABpAG8AbgBhAGwAIABlAHgAcABsAG8AZABlAGQAIABmAG8AcgBtAC4AXABuAFwAbgAgACAAIAAgACIgIABCAGkAdABDAG8AdQBuAHQAuwNcAG4AIAAgACAAIAAgACAAIAAgAEMAbwBuAHYAZQByAHQAcwAgAGkAbgB0AGUAZwBlAHIAcwAgAHQAbwAgAGIAaQBuAGEAcgB5ACAAYQBuAGQAIAByAGUAdAB1AHIAbgBzACAAYgBpAHQAIABjAG8AdQBuAHQAcwAsACAAcAByAGUAcwBlAHIAdgBpAG4AZwAgAGkAbgBwAHUAdAAgAHMAaABhAHAAZQAuAFwAbgBcAG4AIAAgACAAIAAiICAARABlAGMAMgBCAGkAbgC7A1wAbgAgACAAIAAgACAAIAAgACAAQwBvAG4AdgBlAHIAdABzACAAaQBuAHQAZQBnAGUAcgBzACAAaQBuAHQAbwAgAGIAaQBuAGEAcgB5ACAAdgBhAGwAdQBlAHMALAAgAHIAZQB0AHUAcgBuAGUAZAAgAGEAcwAgAGMAbwBuAGMAaQBzAGUAIABzAHQAcgBpAG4AZwBzACAAbwByAFwAbgAgACAAIAAgACAAIAAgACAAZQB4AHAAbABvAGQAZQBkACAAMgBEACAAYgBpAHQAESBhAHIAcgBhAHkAcwAuAFwAbgBcAG4AIAAgACAAIAAiICAARABlAGMAMgBHAHIAYQB5ALsDXABuACAAIAAgACAAIAAgACAAIABDAG8AbgB2AGUAcgB0AHMAIABpAG4AdABlAGcAZQByAHMAIABpAG4AdABvACAARwByAGEAeQARIGMAbwBkAGUAIAB2AGEAbAB1AGUAcwAgACgAdwByAGEAcABwAGUAcgA6ACAARABlAGMAMgBCAGkAbgC7AyAAkiEgAEIAaQBuADIARwByAGEAeQC7AykALgBcAG4AXABuAE4AbwB0AGUAcwA6AFwAbgAgACAAIAAgACIgIABOAGUAZwBhAHQAaQB2AGUAIABuAHUAbQBiAGUAcgBzACAAYQByAGUAIABuAG8AdAAgAHMAdQBwAHAAbwByAHQAZQBkACAAZgBvAHIAIABEAGUAYwAyAEIAaQBuALsDIABvAHIAIABEAGUAYwAyAEcAcgBhAHkAuwMuAFwAbgAqAC8AXABuAFwAbgBcAG4AXABuAC8AKgAgAFsARQBOADAAMQBdACAALQAtAC0ALQAtAC0ALQAtAC0ALQAtAC0ALQAtAC0ALQAtAC0ALQAtAC0ALQAtAC0ALQAtAC0ALQAtAC0ALQAtAC0ALQAtAC0ALQAtAC0ALQAtAC0ALQAtAC0ALQAtAC0ALQAtAC0ALQAtAC0ALQAtAC0ALQAtAC0ALQAtAC0ALQAtAC0ALQAtAC0ALQAtAC0ALQBcAG4ARgB1AG4AYwB0AGkAbwBuADoAIAAgACAAIAAgACAAIAAgAEIAaQBuADIARABlAGM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MAbwBuAGMAaQBzAGUAIABiAGkAbgBhAHIAeQAgAGkAbgB0AG8AIABkAGUAYwBpAG0AYQBsACAAdgBhAGwAdQBlAHMALgAgAFMAdQBwAHAAbwByAHQAcwAgAHMAYwBhAGwAYQByACwAIAAxAEQALAAgAGEAbgBkACAAMgBEAFwAbgAgACAAIAAgAGkAbgBwAHUAdABzACAAdwBpAHQAaAAgAGYAdQBsAGwAIABzAGgAYQBwAGUAIABwAHIAZQBzAGUAcgB2AGEAdABpAG8AbgAuACAAQgBpAHQAESB3AGkAZAB0AGgAIABpAHMAIABpAG4AZgBlAHIAcgBlAGQAIABhAHUAdABvAG0AYQB0AGkAYwBhAGwAbAB5AFwAbgAgACAAIAAgAGEAbgBkACAAYQBsAGwAIAB2AGEAbAB1AGUAcwAgAGEAcgBlACAAbgBvAHIAbQBhAGwAaQB6AGUAZAAgAGIAZQBmAG8AcgBlACAAZQB4AHAAbABvAHMAaQBvAG4ALgBcAG4AXABuAFAAYQByAGEAbQBlAHQAZQByAHMAOgBcAG4AIAAgACAAIABiAGkAbgBhAHIAeQBcAG4AIAAgACAAIAAgACAAIAAgAFMAYwBhAGwAYQByACwAIAAxAEQAIABhAHIAcgBhAHkALAAgAG8AcgAgADIARAAgAGEAcgByAGEAeQAgAGMAbwBuAHQAYQBpAG4AaQBuAGcAIABjAG8AbgBjAGkAcwBlACAAYgBpAG4AYQByAHkAIABzAHQAcgBpAG4AZwBzAC4AXABuAFwAbgAgACAAIAAgACAAIAAgACAAIiAgAEMAbwBuAGMAaQBzAGUAIABmAG8AcgBtADoAXABuACAAIAAgACAAIAAgACAAIAAgACAAIAAgACAAIABcACIAMQAwADEAMQBcACIALAAgAFwAIgAwADAAMAAxADEAMAAxADAAXAAiACwAIABlAHQAYwAuACAAIAAoAGEAbgB5ACAAcwBoAGEAcABlACkAXABuAFwAbgBOAG8AdABlAHMAOgBcAG4AIAAgACAAIAAiICAATwB1AHQAcAB1AHQAIABzAGgAYQBwAGUAIABtAGEAdABjAGgAZQBzACAAaQBuAHAAdQB0ACAAcwBoAGEAcABlACAAKABzAGMAYQBsAGEAcgAsACAAdgBlAHIAdABpAGMAYQBsACwAIABoAG8AcgBpAHoAbwBuAHQAYQBsACwAIABvAHIAIAAyAEQAKQAuAFwAbgAgACAAIAAgACIgIABTAHUAcABwAG8AcgB0AHMAIABiAGkAbgBhAHIAeQAgAHYAYQBsAHUAZQBzACAAZgBhAHIAIABiAGUAeQBvAG4AZAAgAEUAeABjAGUAbAAZIHMAIABuAGEAdABpAHYAZQAgADEANgARIGQAaQBnAGkAdAAgAG4AdQBtAGUAcgBpAGMAIABsAGkAbQBpAHQALgBcAG4ALQAtAC0ALQAtAC0ALQAtAC0ALQAtAC0ALQAtAC0ALQAtAC0ALQAtAC0ALQAtAC0ALQAtAC0ALQAtAC0ALQAtAC0ALQAtAC0ALQAtAC0ALQAtAC0ALQAtAC0ALQAtAC0ALQAtAC0ALQAtAC0ALQAtAC0ALQAtAC0ALQAtAC0ALQAtAC0ALQAtAC0ALQAtAC0ALQAtAC0ALQAtAC0AKgAvAFwAbgBcAG4AQgBpAG4AMgBEAGUAYwC7AyAAPQBcAG4ATABBAE0AQgBEAEEAKABcAG4AIAAgACAAIABiAGkAbgBhAHIAeQAsAFwAbgBMAEUAVAAo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BcAG4AIAAgACAAIAAvAC8AIABOAG8AcgBtAGEAbABpAHoAZQAgAGIAaQB0ABEgdwBpAGQAdABoACAAYQBuAGQAIABlAHgAcABsAG8AZABlAFwAbgAgACAAIAAgAGIAaQB0AHMALAAgACAAIAAgACAAIAAgACAAIAAgACAATQBBAFgAKABMAEUATgAoAGIAaQBuAGEAcgB5ACkAKQAsAFwAbgAgACAAIAAgAGEAcgByACwAIAAgACAAIAAgACAAIAAgACAAIAAgACAAVABFAFgAVAAoAGIAaQBuAGEAcgB5ACwAIABSAEUAUABUACgAXAAiADAAXAAiACwAIABiAGkAdABzACkAKQAsAFwAbgAgACAAIAAgAGIAaQBuAGEAcgB5ACwAIAAgACAAIAAgACAAIAAgACAASQBGACgASQBzAFMAYwBhAGwAYQByAD8ALABFAHgAcABsAG8AZABlALsDKABiAGkAbgBhAHIAeQApACwAXABuACAAIAAgACAAIAAgACAAIAAgACAAIAAgACAAIAAgACAAIAAgACAAIAAgACAAIAAgACAAIAAgACAAIAAgACAAIAAgAEUAeABwAGwAbwBkAGUAuwMoAFQATwBDAE8ATAAoAGEAcgByACkAKQApACwAXABuAFwAbgAgACAAIAAgAC8ALwAgAE0AYQB0AGgAXABuACAAIAAgACAAcABvAHcAZQByAHMALAAgAFMARQBRAFUARQBOAEMARQAoACwAIABiAGkAdABzACwAIABiAGkAdABzACAALQAgADEALAAgAC0AMQApACwAXABuACAAIAAgACAAcAAsACAAIAAgACAAIAAgAFAATwBXAEUAUgAoADIALAAgAHAAbwB3AGUAcgBzACkALABcAG4AXABuACAAIAAgACAALwAvACAAQQBnAGcAcgBlAGcAYQB0AGkAbwBuACAAJgAgAGQAZQBsAGkAdgBlAHIAeQBcAG4AIAAgACAAIAByAGUAcwB1AGwAdAAsACAAQgBZAFIATwBXACgAYgBpAG4AYQByAHkAIAAqACAAcAAsACAAUwBVAE0AKQAsAFwAbgAgACAAIAAgAGYAaQBuAGEAbAAsACAAIABJAEYAKABPAFIAKABJAHMAUwBjAGEAbABhAHIAPwAsACAASQBzAFYAZQByAHQAaQBjAGEAbAA/ACkALAAgAHIAZQBzAHUAbAB0ACwAXABuACAAIAAgACAAIAAgACAAIAAgACAAIAAgACAAIAAgACAASQBGACgASQBzAEgAbwByAGkAegBvAG4AdABhAGwAPwAsACAAVABSAEEATgBTAFAATwBTAEUAKAByAGUAcwB1AGwAdAApACwAXABuACAAIAAgACAAIAAgACAAIAAgACAAIAAgACAAIAAgACAAIAAgACAAIABXAFIAQQBQAFIATwBXAFMAKAByAGUAcwB1AGwAdAAsACAAdwApACkAKQAsAFwAbgBcAG4AIAAgACAAIABmAGkAbgBhAGwAXABuACkAKQA7AFwAbgBcAG4AXABuAFwAbgAvACoAIABbAEUATgAwADIAXQAgAC0ALQAtAC0ALQAtAC0ALQAtAC0ALQAtAC0ALQAtAC0ALQAtAC0ALQAtAC0ALQAtAC0ALQAtAC0ALQAtAC0ALQAtAC0ALQAtAC0ALQAtAC0ALQAtAC0ALQAtAC0ALQAtAC0ALQAtAC0ALQAtAC0ALQAtAC0ALQAtAC0ALQAtAC0ALQAtAC0ALQAtAC0ALQAtAC0AXABuAEYAdQBuAGMAdABpAG8AbgA6ACAAIAAgACAAIAAgACAAIABCAGkAbgAyAEcAcgBhAHkAuwNcAG4AQwBhAHQAZQBnAG8AcgB5ADoAIAAgACAAIAAgACAAIAAgAEUAbgBnAGkAbgBlAGUAcgBpAG4AZwBcAG4AQQB1AHQAaABvAHIAOgAgACAAIAAgACAAIAAgACAAIAAgAFAAYQB0AHIAaQBjAGsAIABIAC4AXABuAFYAZQByAHMAaQBvAG4AOgAgACAAIAAgACAAIAAgACAAIAAxAC4AMQBcAG4ARABlAHAAZQBuAGQAZQBuAGMAaQBlAHMAOgAgACAAIAAgAEUAeABwAGwAbwBkAGUAuwNcAG4AXABuAEQAZQBzAGMAcgBpAHAAdABpAG8AbgA6AFwAbgAgACAAIAAgAEMAbwBuAHYAZQByAHQAcwAgAGIAaQBuAGEAcgB5ACAAaQBuAHQAbwAgAEcAcgBhAHkAESBjAG8AZABlACAAdgBhAGwAdQBlAHMALgAgAFMAdQBwAHAAbwByAHQAcwAgAHMAYwBhAGwAYQByACwAXABuACAAIAAgACAAMQBEACwAIABhAG4AZAAgADIARAAgAGkAbgBwAHUAdABzAC4AIABPAHUAdABwAHUAdAAgAGMAYQBuACAAYgBlACAAcgBlAHQAdQByAG4AZQBkACAAZQBpAHQAaABlAHIAIABhAHMAIABhACAAMgBEACAAYQByAHIAYQB5ACAAbwByACAAYQBzAFwAbgAgACAAIAAgAGMAbwBuAGMAaQBzAGUAIAByAG8AdwARIHcAaQBzAGUAIABzAHQAcgBpAG4AZwBzAC4AXABuAFwAbgBQAGEAcgBhAG0AZQB0AGUAcgBzADoAXABuACAAIAAgACAAYgBpAG4AYQByAHkAXABuACAAIAAgACAAIAAgACAAIABTAGMAYQBsAGEAcgAsACAAMQBEACAAYQByAHIAYQB5ACwAIABvAHIAIAAyAEQAIABhAHIAcgBhAHkAIABjAG8AbgB0AGEAaQBuAGkAbgBnACAAYgBpAG4AYQByAHkAIABkAGEAdABhAC4AXABuAFwAbgAgACAAIAAgAFsAYwBvAG4AYwBpAHMAZQBdAFwAbgAgACAAIAAgACAAIAAgACAATwBwAHQAaQBvAG4AYQBsAC4AIABUAFIAVQBFACAAkiEgAHIAZQB0AHUAcgBuACAARwByAGEAeQAgAGMAbwBkAGUAIABhAHMAIABjAG8AbgBjAGEAdABlAG4AYQB0AGUAZAAgAHMAdAByAGkAbgBnAHMALgBcAG4AIAAgACAAIAAgACAAIAAgAE8AbQBpAHQAdABlAGQAIACSISAAcgBlAHQAdQByAG4AIAAyAEQAIABlAHgAcABsAG8AZABlAGQAIABHAHIAYQB5ABEgYwBvAGQAZQAgAGIAaQB0ACAAYQByAHIAYQB5AHMALgBcAG4AXABuAE4AbwB0AGUAcwA6AFwAbgAgACAAIAAgACIgIAAyAEQAIABhAHIAcgBhAHkAcwAgAGEAcgBlACAAZABlAGwAaQB2AGUAcgBlAGQAIABpAG4AIABjAG8AbgBjAGkAcwBlACAAZgBvAHIAbQBhAHQALgBcAG4AIAAgACAAIAAiICAARwByAGEAeQAgAGMAbwBkAGUAIABpAHMAIABjAG8AbQBwAHUAdABlAGQAIABhAHMAOgAgACAAZwCAICAAPQAgAGIAgCAsACAAIABnAGIdIAA9ACAAYgBiHSAAWABPAFIAIABiAGIdiyCBIC4AXABuAC0ALQAtAC0ALQAtAC0ALQAtAC0ALQAtAC0ALQAtAC0ALQAtAC0ALQAtAC0ALQAtAC0ALQAtAC0ALQAtAC0ALQAtAC0ALQAtAC0ALQAtAC0ALQAtAC0ALQAtAC0ALQAtAC0ALQAtAC0ALQAtAC0ALQAtAC0ALQAtAC0ALQAtAC0ALQAtAC0ALQAtAC0ALQAtAC0ALQAtAC0ALQAtACoALwBcAG4AXABuAEIAaQBuADIARwByAGEAeQC7AyAAPQBcAG4ATABBAE0AQgBEAEEAKABcAG4AIAAgACAAIABiAGkAbgBhAHIAeQAsAFwAbgAgACAAIAAgAFsAYwBvAG4AYwBpAHMAZQBdACwAXABuAFwAbgBMAEUAVAAoAFwAbgAgACAAIAAgAC8ALwAgAE8AdQB0AHAAdQB0ACAAbQBvAGQAZQBcAG4AIAAgACAAIABJAHMAMgBEAEcAcgBhAHkAPwAsACAAIAAgACAAIAAgAEkAUwBPAE0ASQBUAFQARQBEACgAYwBvAG4AYwBpAHMAZQApACwAXABuAFwAbgAgACAAIAAgAC8ALwAgAFMAaABhAHAAZQAgAG8AZgAgAGkAbgBwAHUAdABcAG4AIAAgACAAIABoACwAIAAgACAAIAAgACAAIAAgACAAIAAgACAAIAAgAFIATwBXAFMAKABiAGkAbgBhAHIAeQApACwAXABuACAAIAAgACAAdwAsACAAIAAgACAAIAAgACAAIAAgACAAIAAgACAAIABDAE8ATABVAE0ATgBTACgAYgBpAG4AYQByAHkAKQAsAFwAbgAgACAAIAAgAEkAcwBTAGMAYQBsAGEAcgA/ACwAIAAgACAAIAAgACAAQQBOAEQAKABoACAAPQAgADEALAAgAHcAIAA9ACAAMQApACwAXABuACAAIAAgACAASQBzAFYAZQByAHQAaQBjAGEAbAA/ACwAIAAgACAAIABBAE4ARAAoAGgAIAA+ACAAMQAsACAAdwAgAD0AIAAxACkALABcAG4AIAAgACAAIABJAHMASABvAHIAaQB6AG8AbgB0AGEAbAA/ACwAIAAgAEEATgBEACgAdwAgAD4AIAAxACwAIABoACAAPQAgADEAKQAsAFwAbgAgACAAIAAgAEkAcwAxAEQAPwAsACAAIAAgACAAIAAgACAAIAAgACAAWABPAFIAKABoACAAPQAgADEALAAgAHcAIAA9ACAAMQApACwAXABuAFwAbgAgACAAIAAgAC8ALwAgAE4AbwByAG0AYQBsAGkAegBlACAAYgBpAHQALQB3AGkAZAB0AGgAIABhAG4AZAAgAGUAeABwAGwAbwBkAGUAXABuACAAIAAgACAAYgBpAHQAcwAsACAAIAAgACAAIAAgACAAIAAgACAAIABNAEEAWAAoAEwARQBOACgAYgBpAG4AYQByAHkAKQApACwAXABuACAAIAAgACAAYQByAHIALAAgACAAIAAgACAAIAAgACAAIAAgACAAIABUAEUAWABUACgAYgBpAG4AYQByAHkALAAgAFIARQBQAFQAKABcACIAMABcACIALAAgAGIAaQB0AHMAKQApACwAXABuACAAIAAgACAAYgBpAG4AYQByAHkALAAgACAAIAAgACAAIAAgACAAIABJAEYAKABJAHMAUwBjAGEAbABhAHIAPwAsAEUAeABwAGwAbwBkAGUAuwMoAGIAaQBuAGEAcgB5ACkALABcAG4AIAAgACAAIAAgACAAIAAgACAAIAAgACAAIAAgACAAIAAgACAAIAAgACAAIAAgACAAIAAgACAAIAAgACAAIAAgACAARQB4AHAAbABvAGQAZQC7AygAVABPAEMATwBMACgAYQByAHIAKQApACkALABcAG4AXABuACAAIAAgACAALwAvACAATQBvAHMAdAAgAHMAaQBnAG4AaQBmAGkAYwBhAG4AdAAgAGIAaQB0AFwAbgAgACAAIAAgAG0AcwBiACwAIAAgACAAIAAgACAAIAAgACAAIAAgACAAVABBAEsARQAoAGIAaQBuAGEAcgB5ACwAIAAsACAAMQApACwAXABuAFwAbgAgACAAIAAgAC8ALwAgAFgATwBSACAAbgBlAGkAZwBoAGIAbwByAHMAXABuACAAIAAgACAAeAAsACAAIAAgACAAIAAgACAAIAAgACAAIAAgACAAIABCAEkAVABYAE8AUgAoAEQAUgBPAFAAKABiAGkAbgBhAHIAeQAsACAALAAgADEAKQAsACAARABSAE8AUAAoAGIAaQBuAGEAcgB5ACwAIAAsACAALQAxACkAKQAsAFwAbgBcAG4AIAAgACAAIAAvAC8AIABHAHIAYQB5ACAAYwBvAGQAZQAgAGEAcgByAGEAeQBfADIARABcAG4AIAAgACAAIABnAHIAYQB5ACwAIAAgACAAIAAgACAAIAAgACAAIAAgAEgAUwBUAEEAQwBLACgAbQBzAGIALAAgAHgAKQAsAFwAbgBcAG4AIAAgACAAIAAvAC8AIABPAHUAdABwAHUAdAAgAGEAbgBkACAAZABlAGwAaQB2AGUAcgB5AFwAbgAgACAAIAAgAHIAZQBzAHUAbAB0ACwAIAAgACAAIAAgACAAIAAgACAASQBGACgAQQBOAEQAKABJAHMAMgBEAEcAcgBhAHkAPwAsAEkAcwAxAEQAPwApACwAIABnAHIAYQB5ACwAIABCAFkAUgBPAFcAKABnAHIAYQB5ACwAIABDAE8ATgBDAEEAVAApACkALABcAG4AIAAgACAAIABmAGkAbgBhAGwALAAgACAAIAAgACAAIAAgACAAIAAgAEkARgAoAE8AUgAoAEkAcwBTAGMAYQBsAGEAcgA/ACwASQBzAFYAZQByAHQAaQBjAGEAbAA/ACkALAByAGUAcwB1AGwAdAAsAFwAbgAgACAAIAAgACAAIAAgACAAIAAgACAAIAAgACAAIAAgACAAIAAgACAAIAAgACAAIABJAEYAKABJAHMASABvAHIAaQB6AG8AbgB0AGEAbAA/ACwAVABSAEEATgBTAFAATwBTAEUAKAByAGUAcwB1AGwAdAApACwAXABuACAAIAAgACAAIAAgACAAIAAgACAAIAAgACAAIAAgACAAIAAgACAAIAAgACAAIAAgACAAIAAgACAAIAAgACAAIAAgACAAIAAgACAAIAAgACAAIABXAFIAQQBQAFIATwBXAFMAKAByAGUAcwB1AGwAdAAsAHcAKQApACkALABcAG4AXABuACAAIAAgACAAZgBpAG4AYQBsAFwAbgApACkAOwBcAG4AXABuAFwAbgBcAG4ALwAqACAAWwBFAE4AMAAzAF0AIAAtAC0ALQAtAC0ALQAtAC0ALQAtAC0ALQAtAC0ALQAtAC0ALQAtAC0ALQAtAC0ALQAtAC0ALQAtAC0ALQAtAC0ALQAtAC0ALQAtAC0ALQAtAC0ALQAtAC0ALQAtAC0ALQAtAC0ALQAtAC0ALQAtAC0ALQAtAC0ALQAtAC0ALQAtAC0ALQAtAC0ALQAtAC0ALQAtAFwAbgBGAHUAbgBjAHQAaQBvAG4AOgAgACAAIAAgACAAIAAgACAAQgBpAHQAQwBvAHUAbgB0ALsDXABuAEMAYQB0AGUAZwBvAHIAeQA6ACAAIAAgACAAIAAgACAAIABFAG4AZwBpAG4AZQBlAHIAaQBuAGcAXABuAEEAdQB0AGgAbwByADoAIAAgACAAIAAgACAAIAAgACAAIABQAGEAdAByAGkAYwBrACAASAAuAFwAbgBWAGUAcgBzAGkAbwBuADoAIAAgACAAIAAgACAAIAAgACAAMQAuADEAXABuAEQAZQBwAGUAbgBkAGUAbgBjAGkAZQBzADoAIAAgACAAIABEAGUAYwAyAEIAaQBuALsDXABuAFwAbgBEAGUAcwBjAHIAaQBwAHQAaQBvAG4AOgBcAG4AIAAgACAAIABDAG8AdQBuAHQAcwAgAHQAaABlACAAbgB1AG0AYgBlAHIAIABvAGYAIAAxABEgYgBpAHQAcwAgAGkAbgAgAHQAaABlACAAYgBpAG4AYQByAHkAIAByAGUAcAByAGUAcwBlAG4AdABhAHQAaQBvAG4AIABvAGYAIABlAGEAYwBoACAAaQBuAHQAZQBnAGUAcgAuAFwAbgAgACAAIAAgAFMAdQBwAHAAbwByAHQAcwAgAHMAYwBhAGwAYQByACwAIAAxAEQALAAgAGEAbgBkACAAMgBEACAAaQBuAHAAdQB0AHMAIAB3AGkAdABoACAAZgB1AGwAbAAgAHMAaABhAHAAZQAgAHAAcgBlAHMAZQByAHYAYQB0AGkAbwBuAC4AXABuAFwAbgBQAGEAcgBhAG0AZQB0AGUAcgBzADoAXABuACAAIAAgACAAbgAgACAAIAAtACAAIAAgAFMAYwBhAGwAYQByACwAIAAxAEQAIABhAHIAcgBhAHkALAAgAG8AcgAgADIARAAgAGEAcgByAGEAeQAgAG8AZgAgAG4AbwBuABEgbgBlAGcAYQB0AGkAdgBlACAAaQBuAHQAZQBnAGUAcgBzAC4AXABuAFwAbgBOAG8AdABlAHMAOgBcAG4AIAAgACAAIAAiICAAVQBzAGUAcwAgAEQAZQBjADIAQgBpAG4AuwMoAG4ALAAxACkAIAB0AG8AIABvAGIAdABhAGkAbgAgAGUAeABwAGwAbwBkAGUAZAAgAGIAaQB0ABEgbQBhAHQAcgBpAGMAZQBzAC4AXABuACAAIAAgACAAIiAgAE8AdQB0AHAAdQB0ACAAcwBoAGEAcABlACAAbQBhAHQAYwBoAGUAcwAgAGkAbgBwAHUAdAAgAHMAaABhAHAAZQAuAFwAbgAtAC0ALQAtAC0ALQAtAC0ALQAtAC0ALQAtAC0ALQAtAC0ALQAtAC0ALQAtAC0ALQAtAC0ALQAtAC0ALQAtAC0ALQAtAC0ALQAtAC0ALQAtAC0ALQAtAC0ALQAtAC0ALQAtAC0ALQAtAC0ALQAtAC0ALQAtAC0ALQAtAC0ALQAtAC0ALQAtAC0ALQAtAC0ALQAtAC0ALQAtAC0ALQAqAC8AXABuAFwAbgBCAGkAdABDAG8AdQBuAHQAuwMgAD0AXABuAEwAQQBNAEIARABBACgAXABuACAAIAAgACAAbgAsAFwAbgBMAEUAVAAoAFwAbgAgACAAIAAgAC8ALwAgAFMAaABhAHAAZQBcAG4AIAAgACAAIABoACwAIAAgACAAIAAgACAAIAAgACAAIAAgACAAUgBPAFcAUwAoAG4AKQAsAFwAbgAgACAAIAAgAHcALAAgACAAIAAgACAAIAAgACAAIAAgACAAIABDAE8ATABVAE0ATgBTACgAbgApACwAXABuAFwAbgAgACAAIAAgAEkAcwBTAGMAYQBsAGEAcgA/ACwAIAAgACAAIABBAE4ARAAoAGgAIAA9ACAAMQAsACAAdwAgAD0AIAAxACkALABcAG4AIAAgACAAIABJAHMAVgBlAHIAdABpAGMAYQBsAD8ALAAgACAAQQBOAEQAKABoACAAPgAgADEALAAgAHcAIAA9ACAAMQApACwAXABuAFwAbgAgACAAIAAgAEkAcwAxAEQAPwAsACAAIAAgACAAIAAgACAAIABYAE8AUgAoAGgAIAA9ACAAMQAsACAAdwAgAD0AIAAxACkALABcAG4AIAAgACAAIABJAHMAMgBEAD8ALAAgACAAIAAgACAAIAAgACAAQQBOAEQAKABoACAAPgAgADEALAAgAHcAIAA+ACAAMQApACwAXABuAFwAbgAgACAAIAAgAC8ALwAgAEYAbABhAHQAdABlAG4AIABpAG4AcAB1AHQAIABpAGYAIAAyAEQAXABuACAAIAAgACAAbgAsACAAIAAgACAAIAAgACAAIAAgACAAIAAgAEkARgAoAEkAcwAxAEQAPwAsAG4ALABUAE8AQwBPAEwAKABuACkAKQAsAFwAbgBcAG4AIAAgACAAIAAvAC8AIABGAHUAbgBjAHQAaQBvAG4AIAAoAGYAbwByACAAbgBvAG4ALQBzAGMAYQBsAGEAcgBzACkAXABuACAAIAAgACAAZgBuALsDLAAgACAAIAAgACAAIAAgACAAIAAgAEkARgAoAE8AUgAoAEkAcwBWAGUAcgB0AGkAYwBhAGwAPwAsAEkAcwAyAEQAPwApACwAQgBZAFIATwBXACwAQgBZAEMATwBMACkALABcAG4AXABuACAAIAAgACAALwAvACAARQB4AHAAbABvAGQAZQBkACAAYgBpAG4AYQByAHkAIABhAHIAcgBhAHkAXwAyAEQAXABuACAAIAAgACAAYgBpAHQAcwAsACAAIAAgACAAIAAgACAAIAAgAEQAZQBjADIAQgBpAG4AuwMoAG4ALAAgADEAKQAsAFwAbgBcAG4AIAAgACAAIAAvAC8AIABDAG8AdQBuAHQAIABiAGkAdABzAFwAbgAgACAAIAAgAGMAbwB1AG4AdABzACwAIAAgACAAIAAgACAAIABJAEYAKABJAHMAUwBjAGEAbABhAHIAPwAsACAAUwBVAE0AKABiAGkAdABzACkALABmAG4AuwMoAGIAaQB0AHMALABTAFUATQApACkALABcAG4AXABuACAAIAAgACAAZgBpAG4AYQBsACwAIAAgACAAIAAgACAAIAAgAEkARgAoAEkAcwAxAEQAPwAsAGMAbwB1AG4AdABzACwAVwBSAEEAUABSAE8AVwBTACgAYwBvAHUAbgB0AHMALAB3ACkAKQAsAFwAbgBcAG4AIAAgACAAIABmAGkAbgBhAGwAXABuACkAKQA7AFwAbgBcAG4AXABuAFwAbgAvACoAIABbAEUATgAwADQAXQAgAC0ALQAtAC0ALQAtAC0ALQAtAC0ALQAtAC0ALQAtAC0ALQAtAC0ALQAtAC0ALQAtAC0ALQAtAC0ALQAtAC0ALQAtAC0ALQAtAC0ALQAtAC0ALQAtAC0ALQAtAC0ALQAtAC0ALQAtAC0ALQAtAC0ALQAtAC0ALQAtAC0ALQAtAC0ALQAtAC0ALQAtAC0ALQAtAC0AXABuAEYAdQBuAGMAdABpAG8AbgA6ACAAIAAgACAAIAAgACAAIABEAGUAYwAyAEIAaQBuALsDXABuAEMAYQB0AGUAZwBvAHIAeQA6ACAAIAAgACAAIAAgACAAIABFAG4AZwBpAG4AZQBlAHIAaQBuAGcAXABuAEEAdQB0AGgAbwByADoAIAAgACAAIAAgACAAIAAgACAAIABQAGEAdAByAGkAYwBrACAASAAuAFwAbgBWAGUAcgBzAGkAbwBuADoAIAAgACAAIAAgACAAIAAgACAAMQAuADEAXABuAFwAbgBEAGUAcwBjAHIAaQBwAHQAaQBvAG4AOgBcAG4AIAAgACAAIABDAG8AbgB2AGUAcgB0AHMAIABuAG8AbgARIG4AZQBnAGEAdABpAHYAZQAgAGkAbgB0AGUAZwBlAHIAcwAgAGkAbgB0AG8AIABiAGkAbgBhAHIAeQAuACAAUwB1AHAAcABvAHIAdABzACAAcwBjAGEAbABhAHIALAAgADEARAAsACAAYQBuAGQAIAAyAEQAXABuACAAIAAgACAAaQBuAHAAdQB0AHMAIAB3AGkAdABoACAAZgB1AGwAbAAgAHMAaABhAHAAZQAgAHAAcgBlAHMAZQByAHYAYQB0AGkAbwBuAC4AIABSAGUAdAB1AHIAbgBzACAAZQBpAHQAaABlAHIAIABjAG8AbgBjAGkAcwBlACAAYgBpAG4AYQByAHkAIABzAHQAcgBpAG4AZwBzAFwAbgAgACAAIAAgAG8AcgAgAGUAeABwAGwAbwBkAGUAZAAgADIARAAgAGIAaQB0ABEgYQByAHIAYQB5AHMALgBcAG4AXABuAFAAYQByAGEAbQBlAHQAZQByAHMAOgBcAG4AIAAgACAAIABuAHUAbQBiAGUAcgBzAFwAbgAgACAAIAAgACAAIAAgACAAUwBjAGEAbABhAHIALAAgADEARAAgAGEAcgByAGEAeQAsACAAbwByACAAMgBEACAAYQByAHIAYQB5ACAAbwBmACAAbgBvAG4AESBuAGUAZwBhAHQAaQB2AGUAIABpAG4AdABlAGcAZQByAHMALgBcAG4AXABuACAAIAAgACAAWwBBAHIAcgBhAHkAXwBGAG8AcgBtAF8AMgBEAF0AXABuACAAIAAgACAAIAAgACAAIABPAHAAdABpAG8AbgBhAGwALgAgAFQAUgBVAEUAIACSISAAcgBlAHQAdQByAG4AIABlAHgAcABsAG8AZABlAGQAIAAyAEQAIABiAGkAdAARIGEAcgByAGEAeQBzAC4AXABuACAAIAAgACAAIAAgACAAIABPAG0AaQB0AHQAZQBkACAAkiEgAHIAZQB0AHUAcgBuACAAYwBvAG4AYwBpAHMAZQAgAGIAaQBuAGEAcgB5ACAAcwB0AHIAaQBuAGcAcwAuAFwAbgBcAG4ATgBvAHQAZQBzADoAXABuACAAIAAgACAAIiAgAFMAdQBwAHAAbwByAHQAcwAgAGEAcgBiAGkAdAByAGEAcgBpAGwAeQAgAGwAYQByAGcAZQAgAGkAbgB0AGUAZwBlAHIAcwAgACgAYgBlAHkAbwBuAGQAIABFAHgAYwBlAGwAGSBzACAAbgBhAHQAaQB2AGUAIABCAEkATgAyAEQARQBDACAAbABpAG0AaQB0AHMAKQAuAFwAbgAgACAAIAAgACIgIABDAG8AbgBjAGkAcwBlACAAbwB1AHQAcAB1AHQAIABhAHYAbwBpAGQAcwAgAHMAYwBpAGUAbgB0AGkAZgBpAGMAIABuAG8AdABhAHQAaQBvAG4AIABhAG4AZAAgADEANgARIGQAaQBnAGkAdAAgAHAAcgBlAGMAaQBzAGkAbwBuACAAaQBzAHMAdQBlAHMALgBcAG4AIAAgACAAIAAiICAAMgBEACAAaQBuAHAAdQB0AHMAIABwAHIAZQBzAGUAcgB2AGUAIAB0AGgAZQBpAHIAIABvAHIAaQBnAGkAbgBhAGwAIABzAGgAYQBwAGUAIAB3AGgAZQBuACAAYwBvAG4AYwBpAHMAZQAgAG8AdQB0AHAAdQB0ACAAaQBzACAAcwBlAGwAZQBjAHQAZQBkAC4AXABuAC0ALQAtAC0ALQAtAC0ALQAtAC0ALQAtAC0ALQAtAC0ALQAtAC0ALQAtAC0ALQAtAC0ALQAtAC0ALQAtAC0ALQAtAC0ALQAtAC0ALQAtAC0ALQAtAC0ALQAtAC0ALQAtAC0ALQAtAC0ALQAtAC0ALQAtAC0ALQAtAC0ALQAtAC0ALQAtAC0ALQAtAC0ALQAtAC0ALQAtAC0ALQAtACoALwBcAG4AXABuAEQAZQBjADIAQgBpAG4AuwM9AFwAbgBMAEEATQBCAEQAQQAoAFwAbgAgACAAIAAgAG4AdQBtAGIAZQByAHMALABcAG4AIAAgACAAIABbAEEAcgByAGEAeQBfAEYAbwByAG0AXwAyAEQAXQAsAFwAbgBcAG4ALwAvAEMAaABlAGMAawAgAG4AdQBtAGIAZQByAHMAXABuAEkARgAoAE8AUgAoAEkAUwBUAEUAWABUACgAbgB1AG0AYgBlAHIAcwApACwAIABJAFMARQBSAFIATwBSACgALQAtAG4AdQBtAGIAZQByAHMAKQAsAG4AdQBtAGIAZQByAHMAIAA8ACAAMAApACwAIAAjAFYAQQBMAFUARQAhACwAXABuAFwAbgBMAEUAVAAoAFwAbgAgACAAIAAgAC8ALwAgAEkAbgBwAHUAdAAgAHMAaABhAHAAZQBcAG4AIAAgACAAIABoACwAIAAgACAAIAAgACAAIAAgACAAIAAgACAAIABSAE8AVwBTACgAbgB1AG0AYgBlAHIAcwApACwAXABuACAAIAAgACAAdwAsACAAIAAgACAAIAAgACAAIAAgACAAIAAgACAAQwBPAEwAVQBNAE4AUwAoAG4AdQBtAGIAZQByAHMAKQAsAFwAbgBcAG4AIAAgACAAIABJAHMAUwBjAGEAbABhAHIAPwAsACAAIAAgACAAIABBAE4ARAAoAGgAIAA9ACAAMQAsACAAdwAgAD0AIAAxACkALABcAG4AIAAgACAAIABJAHMAVgBlAHIAdABpAGMAYQBsAD8ALAAgACAAIABoACAAPgAgAHcALABcAG4AIAAgACAAIABJAHMAMgBEAD8ALAAgACAAIAAgACAAIAAgACAAIABBAE4ARAAoAGgAIAA+ACAAMQAsAHcAIAA+ACAAMQApACwAXABuAFwAbgAgACAAIAAgAC8ALwAgAEYAbABhAHQAdABlAG4AIABpAG4AcAB1AHQAXABuACAAIAAgACAAbgB1AG0AYgBlAHIAcwAsACAAIAAgACAAIAAgACAAVABPAEMATwBMACgAbgB1AG0AYgBlAHIAcwApACwAXABuAFwAbgAgACAAIAAgAC8ALwAgAEYAbwByAG0AXABuACAAIAAgACAASQBzAFYAZQBjAHQAbwByAD8ALAAgACAAIAAgACAASQBTAE8ATQBJAFQAVABFAEQAKABBAHIAcgBhAHkAXwBGAG8AcgBtAF8AMgBEACkALABcAG4AXABuACAAIAAgACAALwAvACAATQBhAHgAIABiAGkAdABzACAAbgBlAGUAZABlAGQAIAB0AG8AIABlAHgAcAByAGUAcwBzACAAcgBlAHMAdQBsAHQAcwAgAGEAcwAgAGEAcgByAGEAeQBcAG4AIAAgACAAIABiAGkAdABzACwAIAAgACAAIAAgACAAIAAgACAAIABNAEEAWAAoAEkARgBFAFIAUgBPAFIAKABJAE4AVAAoAEwATwBHACgAbgB1AG0AYgBlAHIAcwAsADIAKQApACAAKwAgADEALAAxACkAKQAsAFwAbgBcAG4AIAAgACAAIAAvAC8AIABGAG8AcgBtAHMAIAAtACAAMgBEACAAYQByAHIAYQB5ACwAIABiAGkAbgAgAHYAZQBjAHQAbwByACAALQAgAGUAYQBnAGUAcgAgAGUAdgBhAGwAdQBhAHQAaQBvAG4AIABkAGUAZgBlAHIAcgBlAGQAXABuACAAIAAgACAAYgBpAG4AXwBhAHIAcgAsACAAIAAgACAAIAAgACAATABBAE0AQgBEAEEAKABNAE8ARAAoAEIASQBUAFIAUwBIAEkARgBUACgAbgB1AG0AYgBlAHIAcwAsAFMARQBRAFUARQBOAEMARQAoACwAYgBpAHQAcwAsAGIAaQB0AHMAIAAtACAAMQAsAC0AMQApACkALAAyACkAKQAsAFwAbgAgACAAIAAgAGIAaQBuAF8AdgBlAGMAdABvAHIALAAgACAAIAAgAEwAQQBNAEIARABBACgAQgBZAFIATwBXACgAYgBpAG4AXwBhAHIAcgAoACkALABDAE8ATgBDAEEAVAApACkALABcAG4AIAAgACAAIABiAGkAbgBfAHIAZQBzAHUAbAB0ACwAIAAgACAAIABMAEEATQBCAEQAQQAoAEkARgAoAEkAcwBWAGUAYwB0AG8AcgA/ACwAYgBpAG4AXwB2AGUAYwB0AG8AcgAoACkALABiAGkAbgBfAGEAcgByACgAKQApACkALABcAG4AXABuACAAIAAgACAALwAvACAAUgBlAC0AcwBoAGEAcABpAG4AZwAgACYAIABkAGUAbABpAHYAZQByAHkAXABuACAAIAAgACAAZABlAGwAaQB2AGUAcgAsACAAIAAgACAAIAAgACAASQBGACgASQBzADIARAA/ACwAVwBSAEEAUABSAE8AVwBTACgAYgBpAG4AXwB2AGUAYwB0AG8AcgAoACkALAB3ACkALABcAG4AIAAgACAAIAAgACAAIAAgACAAIAAgACAAIAAgACAAIAAgACAAIAAgACAAIAAgACAASQBGACgATwBSACgASQBzAFMAYwBhAGwAYQByAD8ALABJAHMAVgBlAHIAdABpAGMAYQBsAD8AKQAsAGIAaQBuAF8AcgBlAHMAdQBsAHQAKAApACwAXABuACAAIAAgACAAIAAgACAAIAAgACAAIAAgACAAIAAgACAAIAAgACAAIAAgACAAIAAgACAAIAAgACAAVABSAEEATgBTAFAATwBTAEUAKABiAGkAbgBfAHIAZQBzAHUAbAB0ACgAKQApACkAKQAsAFwAbgAgACAAIAAgAGQAZQBsAGkAdgBlAHIAXABuACkAKQApADsAXABuAFwAbgBcAG4AXABuAC8AKgAgAFsARQBOADAANQBdACAALQAtAC0ALQAtAC0ALQAtAC0ALQAtAC0ALQAtAC0ALQAtAC0ALQAtAC0ALQAtAC0ALQAtAC0ALQAtAC0ALQAtAC0ALQAtAC0ALQAtAC0ALQAtAC0ALQAtAC0ALQAtAC0ALQAtAC0ALQAtAC0ALQAtAC0ALQAtAC0ALQAtAC0ALQAtAC0ALQAtAC0ALQAtAC0ALQBcAG4ARgB1AG4AYwB0AGkAbwBuADoAIAAgACAAIAAgACAAIAAgAEQAZQBjADIARwByAGEAeQC7A1wAbgBDAGEAdABlAGcAbwByAHkAOgAgACAAIAAgACAAIAAgACAARQBuAGcAaQBuAGUAZQByAGkAbgBnAFwAbgBBAHUAdABoAG8AcgA6ACAAIAAgACAAIAAgACAAIAAgACAAUABhAHQAcgBpAGMAawAgAEgALgBcAG4AVgBlAHIAcwBpAG8AbgA6ACAAIAAgACAAIAAgACAAIAAgADEALgAxAFwAbgBEAGUAcABlAG4AZABlAG4AYwBpAGUAcwA6ACAAIAAgACAARABlAGMAMgBCAGkAbgC7AywAIABCAGkAbgAyAEcAcgBhAHkAuwNcAG4AXABuAEQAZQBzAGMAcgBpAHAAdABpAG8AbgA6AFwAbgAgACAAIAAgAEMAbwBuAHYAZQByAHQAcwAgAG4AbwBuABEgbgBlAGcAYQB0AGkAdgBlACAAaQBuAHQAZQBnAGUAcgBzACAAaQBuAHQAbwAgAEcAcgBhAHkAESBjAG8AZABlACAAdgBhAGwAdQBlAHMALgAgAFMAdQBwAHAAbwByAHQAcwAgAHMAYwBhAGwAYQByACwAIAAxAEQALABcAG4AIAAgACAAIABhAG4AZAAgADIARAAgAGkAbgBwAHUAdABzACAAdwBpAHQAaAAgAGYAdQBsAGwAIABzAGgAYQBwAGUAIABwAHIAZQBzAGUAcgB2AGEAdABpAG8AbgAuACAATwB1AHQAcAB1AHQAIABjAGEAbgAgAGIAZQAgAHIAZQB0AHUAcgBuAGUAZAAgAGUAaQB0AGgAZQByAFwAbgAgACAAIAAgAGEAcwAgAGMAbwBuAGMAaQBzAGUAIABHAHIAYQB5ABEgYwBvAGQAZQAgAHMAdAByAGkAbgBnAHMAIABvAHIAIABhAHMAIABlAHgAcABsAG8AZABlAGQAIAAyAEQAIABiAGkAdAARIGEAcgByAGEAeQBzAC4AXABuAFwAbgBQAGEAcgBhAG0AZQB0AGUAcgBzADoAXABuACAAIAAgACAAbgB1AG0AYgBlAHIAXABuACAAIAAgACAAIAAgACAAIABTAGMAYQBsAGEAcgAsACAAMQBEACAAYQByAHIAYQB5ACwAIABvAHIAIAAyAEQAIABhAHIAcgBhAHkAIABvAGYAIABuAG8AbgARIG4AZQBnAGEAdABpAHYAZQAgAGkAbgB0AGUAZwBlAHIAcwAuAFwAbgBcAG4AIAAgACAAIABbAGMAbwBuAGMAaQBzAGUAXQBcAG4AIAAgACAAIAAgACAAIAAgAE8AcAB0AGkAbwBuAGEAbAAuACAAVABSAFUARQAgAJIhIAByAGUAdAB1AHIAbgAgAEcAcgBhAHkAIABjAG8AZABlACAAYQBzACAAYwBvAG4AYwBhAHQAZQBuAGEAdABlAGQAIABzAHQAcgBpAG4AZwBzAC4AXABuACAAIAAgACAAIAAgACAAIABPAG0AaQB0AHQAZQBkACAAkiEgAHIAZQB0AHUAcgBuACAAZQB4AHAAbABvAGQAZQBkACAAMgBEACAARwByAGEAeQARIGMAbwBkAGUAIABiAGkAdAAgAGEAcgByAGEAeQBzAC4AXABuAFwAbgBOAG8AdABlAHMAOgBcAG4AIAAgACAAIAAiICAAVQBzAGUAcwAgAEQAZQBjADIAQgBpAG4AuwMgAHQAbwAgAG8AYgB0AGEAaQBuACAAYgBpAG4AYQByAHkALAAgAHQAaABlAG4AIABCAGkAbgAyAEcAcgBhAHkAuwMgAHQAbwAgAGMAbwBuAHYAZQByAHQAIAB0AG8AIABHAHIAYQB5ACAAYwBvAGQAZQAuAFwAbgAgACAAIAAgACIgIABPAHUAdABwAHUAdAAgAHMAaABhAHAAZQAgAG0AYQB0AGMAaABlAHMAIABpAG4AcAB1AHQAIABzAGgAYQBwAGUALgBcAG4ALQAtAC0ALQAtAC0ALQAtAC0ALQAtAC0ALQAtAC0ALQAtAC0ALQAtAC0ALQAtAC0ALQAtAC0ALQAtAC0ALQAtAC0ALQAtAC0ALQAtAC0ALQAtAC0ALQAtAC0ALQAtAC0ALQAtAC0ALQAtAC0ALQAtAC0ALQAtAC0ALQAtAC0ALQAtAC0ALQAtAC0ALQAtAC0ALQAtAC0ALQAtAC0AKgAvAFwAbgBcAG4ARABlAGMAMgBHAHIAYQB5ALsDIAA9AFwAbgBMAEEATQBCAEQAQQAoAFwAbgAgACAAIAAgAG4AdQBtAGIAZQByACwAXABuACAAIAAgACAAWwBjAG8AbgBjAGkAcwBlAF0ALABcAG4AIAAgACAAIABCAGkAbgAyAEcAcgBhAHkAuwMoAEQAZQBjADIAQgBpAG4AuwMoAG4AdQBtAGIAZQByACkALAAgAGMAbwBuAGMAaQBzAGUAKQBcAG4AKQA7AFwAbgBcAG4AXABuAFwAbgAvAC8AIABbAEMAQgBdACAALQAtAC0ALQAtAC0ALQAtAC0ALQAtAC0ALQAtAC0ALQAtAC0ALQAtAC0ALQAtAC0ALQAtAC0ALQAtAC0ALQAtAC0ALQAtAC0ALQAtAC0ALQAtAC0ALQAtAC0ALQAtAC0ALQAtAC0ALQAtAC0ALQAtAC0ALQAtAC0ALQAtAC0ALQAtAC0ALQAtAC0ALQAtAC0ALQAtAC0ALQAtAFwAbgAvAC8AIAAtAC0ALQAjACMAIAAwADkAIAAUICAAQwBvAG0AYgBpAG4AYQB0AG8Acg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UAGgAZQAgAEMAbwBtAGIAaQBuAGEAdABvAHIAaQBjAHMAIABjAGEAdABlAGcAbwByAHkAIABwAHIAbwB2AGkAZABlAHMAIABoAGkAZwBoABEgcABlAHIAZgBvAHIAbQBhAG4AYwBlACAAZwBlAG4AZQByAGEAdABvAHIAcwAgAGYAbwByAFwAbgAgACAAIAAgAHAAZQByAG0AdQB0AGEAdABpAG8AbgBzACwAIABjAG8AbQBiAGkAbgBhAHQAaQBvAG4AcwAsACAAcwB1AGIAcwBlAHQAcwAsACAAYQBuAGQAIAByAGUAbABhAHQAZQBkACAAcwB0AHIAdQBjAHQAdQByAGUAcwAuAFwAbgBcAG4ARgB1AG4AYwB0AGkAbwBuAHMAOgBcAG4AIAAgACAAIAAiICAAUABlAHIAbQBSALsDXABuACAAIAAgACAAIAAgACAAIABHAGUAbgBlAHIAYQB0AGUAcwAgAHAAZQByAG0AdQB0AGEAdABpAG8AbgBzACAAdwBpAHQAaAAgAHIAZQBwAGwAYQBjAGUAbQBlAG4AdAAgACgAawARIHQAdQBwAGwAZQBzACAAZAByAGEAdwBuACAAZgByAG8AbQAgAG4AIABpAHQAZQBtAHMAKQAuAFwAbgBcAG4AIAAgACAAIAAiICAAUABlAHIAbQC7A1wAbgAgACAAIAAgACAAIAAgACAARwBlAG4AZQByAGEAdABlAHMAIABwAGUAcgBtAHUAdABhAHQAaQBvAG4AcwAgAHcAaQB0AGgAbwB1AHQAIAByAGUAcABsAGEAYwBlAG0AZQBuAHQALgBcAG4AXABuACAAIAAgACAAIiAgAEMAbwBtAGIAaQBuAGEAdABpAG8AbgBzAFIAuwNcAG4AIAAgACAAIAAgACAAIAAgAEcAZQBuAGUAcgBhAHQAZQBzACAAYwBvAG0AYgBpAG4AYQB0AGkAbwBuAHMAIAB3AGkAdABoACAAcgBlAHAAbABhAGMAZQBtAGUAbgB0AC4AXABuAFwAbgAgACAAIAAgACIgIABDAG8AbQBiAGkAbgBhAHQAaQBvAG4AcwC7A1wAbgAgACAAIAAgACAAIAAgACAARwBlAG4AZQByAGEAdABlAHMAIABjAG8AbQBiAGkAbgBhAHQAaQBvAG4AcwAgAHcAaQB0AGgAbwB1AHQAIAByAGUAcABsAGEAYwBlAG0AZQBuAHQALgBcAG4AXABuACAAIAAgACAAIiAgAEQAZQByAGEAbgBnAGUAbQBlAG4AdABzALsDXABuACAAIAAgACAAIAAgACAAIABHAGUAbgBlAHIAYQB0AGUAcwAgAHAAZQByAG0AdQB0AGEAdABpAG8AbgBzACAAdwBoAGUAcgBlACAAbgBvACAAZQBsAGUAbQBlAG4AdAAgAHIAZQBtAGEAaQBuAHMAIABpAG4AIABpAHQAcwAgAG8AcgBpAGcAaQBuAGEAbAAgAHAAbwBzAGkAdABpAG8AbgAuAFwAbgBcAG4AIAAgACAAIAAiICAASwBuAGEAcABTAGEAYwBrALsDXABuACAAIAAgACAAIAAgACAAIABTAG8AbAB2AGUAcwAgAHQAaABlACAAcwB1AGIAcwBlAHQAESBzAHUAbQAgAC8AIABrAG4AYQBwAHMAYQBjAGsAIABmAGUAYQBzAGkAYgBpAGwAaQB0AHkAIABwAHIAbwBiAGwAZQBtACAAdQBzAGkAbgBnACAAdgBlAGMAdABvAHIAaQB6AGUAZABcAG4AIAAgACAAIAAgACAAIAAgAGUAbgB1AG0AZQByAGEAdABpAG8AbgAgAGEAbgBkACAAZgBpAGwAdABlAHIAaQBuAGcALgBcAG4AXABuACAAIAAgACAAIiAgAFMAdQBiAHMAZQB0AEcAZQBuALsDXABuACAAIAAgACAAIAAgACAAIABHAGUAbgBlAHIAYQB0AGUAcwAgAGEAbABsACAAcwB1AGIAcwBlAHQAcwAgAG8AZgAgAGEAIABzAGUAdAAgACgAdABoAGUAIABwAG8AdwBlAHIAIABzAGUAdAApACwAIAByAGUAdAB1AHIAbgBlAGQAIABpAG4AIABiAGkAbgBhAHIAeQARIG0AYQBzAGsAXABuACAAIAAgACAAIAAgACAAIABvAHIAZABlAHIALgBcAG4AXABuACAAIAAgACAAIiAgAFMAdQBiAHMAZQB0AFMAdQBtALsDXABuACAAIAAgACAAIAAgACAAIABSAGUAdAB1AHIAbgBzACAAYQBsAGwAIABzAHUAYgBzAGUAdABzACAAdwBoAG8AcwBlACAAZQBsAGUAbQBlAG4AdABzACAAcwB1AG0AIAB0AG8AIABhACAAdABhAHIAZwBlAHQAIAB2AGEAbAB1AGUALgBcAG4AXABuAE4AbwB0AGUAcwA6AFwAbgAgACAAIAAgACIgIABBAGwAbAAgAGcAZQBuAGUAcgBhAHQAbwByAHMAIABhAHIAZQAgAHMAaABhAHAAZQARIHAAcgBlAHMAZQByAHYAaQBuAGcAIABhAG4AZAAgAHIAZQB0AHUAcgBuACAAMgBEACAAYQByAHIAYQB5AHMAIAB3AGgAZQByAGUAIABlAGEAYwBoACAAcgBvAHcAXABuACAAIAAgACAAIAAgAHIAZQBwAHIAZQBzAGUAbgB0AHMAIABvAG4AZQAgAGMAbwBtAGIAaQBuAGEAdABvAHIAaQBhAGwAIABvAGIAagBlAGMAdAAuAFwAbgAgACAAIAAgACIgIABBAGwAbAAgAGYAdQBuAGMAdABpAG8AbgBzACAAbwBwAGUAcgBhAHQAZQAgAG8AbgAgAGEAcgByAGEAeQBzACAAbwBmACAAaQB0AGUAbQBzACwAIABuAG8AdAAgAGoAdQBzAHQAIABpAG4AdABlAGcAZQByAHMALgBcAG4AIAAgACAAIAAiICAAVABoAGUAIAB1AG4AZABlAHIAbAB5AGkAbgBnACAAYQByAGMAaABpAHQAZQBjAHQAdQByAGUAIAB1AHMAZQBzACAAYQAgAGYAdQBuAG4AZQBsACAAbQBvAGQAZQBsADoAIABsAGEAcgBnAGUAIABlAG4AdQBtAGUAcgBhAHQAaQBvAG4AcwAgAGEAcgBlAFwAbgAgACAAIAAgACAAIABnAGUAbgBlAHIAYQB0AGUAZAAgAG8AbgBjAGUAIABhAG4AZAAgAGYAaQBsAHQAZQByAGUAZAAgAGIAeQAgAG8AcgBkAGUAcgAsACAAdQBuAGkAcQB1AGUAbgBlAHMAcwAsACAAbwByACAAcABvAHMAaQB0AGkAbwBuAGEAbAAgAHAAcgBlAGQAaQBjAGEAdABlAHMALgBcAG4AXABuAEUAbgB1AG0AZQByAGEAdABlALsDXABuACAAIAAgACAAIAAgACAAIAAgACAAIAAgACAAIAAgACAAIAAgACAAIAAgACAAIAAgACAAIAAgACAAIAAgACAAIAAoAEcAZQBuAGUAcgBhAHQAaQBuAGcAIABmAHUAbgBjAHQAaQBvAG4AKQBcAG4AIAAgACAAIAAgACAAIAAgACAAIAAgACAAIAAgACAAIAAgACAAIAAgACAAIAAgACAAIAAgACAAIAAgACAAIAAgACAAIAAgACAAIAAgACAAIAB8AFwAbgAgACAAIAAgACAAIAAgACAAIAAgACAAIAAgACAAIAAgACAAIAAgACAAIAAgACAAIAAgACAAIAAgACAAIAAgACAAIAAgACAAIAAgACAAUABlAHIAbQBSALsDXABuACAAIAAgACAAIAAgACAAIAAgACAAIAAgACAAIAAgACAAIAAgACAAIAAoAGYAdQBsAGwAIABwAGUAcgBtAHUAdABhAHQAaQBvAG4AcwAgAHcAaQB0AGgAIAByAGUAcABsAGEAYwBlAG0AZQBuAHQAKQBcAG4AIAAgACAAIAAgACAAIAAgACAAIAAgACAAIAAgACAAIAAgACAAIAAgACAAIAAgACAAIAAgACAAIAAgACAAIAAgACAAIAAgACAAIAAgACAAIAB8AFwAbgAgACAAIAAgACAAIAAgACAAIAAgACAAIAAgACAAIAAgAC0ALQAtAC0ALQAtAC0ALQAtAC0ALQAtAC0ALQAtAC0ALQAtAC0ALQAtAC0ALQAtAC0ALQAtAC0ALQAtAC0ALQAtAC0ALQAtAC0ALQAtAC0ALQAtAC0ALQAtAC0ALQAtAC0AXABuACAAIAAgACAAIAAgACAAIAAgACAAIAAgACAAIAAgACAAfAAgACAAIAAgACAAIAAgACAAIAAgACAAIAAgACAAIAAgACAAIAAgACAAIAAgACAAfAAgACAAIAAgACAAIAAgACAAIAAgACAAIAAgACAAIAAgACAAIAAgACAAIAAgACAAfABcAG4AIAAgACAAIAAgACAAIAAgAEMAbwBtAGIAaQBuAGEAdABpAG8AbgBzAFIAuwMgACAAIAAgACAAIAAgACAAIAAgACAAIAAgACAAIAAgAFAAZQByAG0AuwMgACAAIAAgACAAIAAgACAAIAAgACAAIAAgACAARABlAHIAYQBuAGcAZQBtAGUAbgB0AHMAuwNcAG4AIAAgACAAIAAgACAAIAAgACgAZgBpAGwAdABlAHIAIAByAGUAcABlAGEAdABzACkAIAAgACAAIAAgACAAIAAgACgAZgBpAGwAdABlAHIAIABiAHkAIABvAHIAZABlAHIAKQAgACAAIAAgACAAKABmAGkAbAB0AGUAcgAgAGIAeQAgAHAAbwBzAGkAdABpAG8AbgApAFwAbgAgACAAIAAgACAAIAAgACAAIAAgACAAIAAgACAAIAAgAHwAXABuACAAIAAgACAAIAAgACAAIAAgACAAQwBvAG0AYgBpAG4AYQB0AGkAbwBuAHMAuwNcAG4AIAAgACAAIAAgACgAZgBpAGwAdABlAHIAIAByAGUAcABlAGEAdABzACAAKwAgAG8AcgBkAGUAcgApAFwAbgBcAG4AXABuACoALwBcAG4AXABuAFwAbgBcAG4ALwAqACAAWwBDAEIAESBDAE8AUgBFAF0AIAAtAC0ALQAtAC0ALQAtAC0ALQAtAC0ALQAtAC0ALQAtAC0ALQAtAC0ALQAtAC0ALQAtAC0ALQAtAC0ALQAtAC0ALQAtAC0ALQAtAC0ALQAtAC0ALQAtAC0ALQAtAC0ALQAtAC0ALQAtAC0ALQAtAC0ALQAtAC0ALQAtAC0ALQAtAC0ALQAtAC0ALQAtAC0AXABuAEYAdQBuAGMAdABpAG8AbgA6ACAAIAAgACAAIAAgACAAIABFAG4AdQBtAGUAcgBhAHQAZQC7A1wAbgBDAGEAdABlAGcAbwByAHkAOgAgACAAIAAgACAAIAAgACAAQwBvAG0AYgBpAG4AYQB0AG8AcgBpAGMAcwBcAG4AQQB1AHQAaABvAHIAOgAgACAAIAAgACAAIAAgACAAIAAgAFAAYQB0AHIAaQBjAGsAIABIAC4AXABuAFYAZQByAHMAaQBvAG4AOgAgACAAIAAgACAAIAAgACAAIAAxAC4AMQBcAG4AXABuAEQAZQBzAGMAcgBpAHAAdABpAG8AbgA6AFwAbgAgACAAIAAgAEMAbwByAGUAIABnAGUAbgBlAHIAYQB0AGkAbgBnACAAZgB1AG4AYwB0AGkAbwBuACAAZgBvAHIAIABhAGwAbAAgAGMAbwBtAGIAaQBuAGEAdABvAHIAaQBhAGwAIABvAHAAZQByAGEAdABvAHIAcwAgAGkAbgAgAHQAaABlACAAQwBvAG0AYgBpAG4AYQB0AG8AcgBpAGMAcwBcAG4AIAAgACAAIABjAGEAdABlAGcAbwByAHkALgAgAFAAcgBvAGQAdQBjAGUAcwAgAGkAbgBkAGUAeAAgAG0AYQB0AHIAaQBjAGUAcwAgAGYAbwByACAAcABlAHIAbQB1AHQAYQB0AGkAbwBuAHMALAAgAGMAbwBtAGIAaQBuAGEAdABpAG8AbgBzACwAIABtAHUAbAB0AGkAcwBlAHQAcwAsAFwAbgAgACAAIAAgAGEAbgBkACAAZABlAHIAYQBuAGcAZQBtAGUAbgB0AHMAIAB1AHMAaQBuAGcAIABhACAAdgBlAGMAdABvAHIAaQB6AGUAZAAgAGYAdQBuAG4AZQBsACAAYQByAGMAaABpAHQAZQBjAHQAdQByAGUALgAgAEgAaQBnAGgAZQByABEgbABlAHYAZQBsAFwAbgAgACAAIAAgAGYAdQBuAGMAdABpAG8AbgBzACAAKABQAGUAcgBtAFIAuwMsACAAUABlAHIAbQC7AywAIABDAG8AbQBiAGkAbgBhAHQAaQBvAG4AcwBSALsDLAAgAEMAbwBtAGIAaQBuAGEAdABpAG8AbgBzALsDLAAgAEQAZQByAGEAbgBnAGUAbQBlAG4AdABzALsDKQBcAG4AIAAgACAAIABhAHIAZQAgAHQAaABpAG4AIAB3AHIAYQBwAHAAZQByAHMAIABhAHIAbwB1AG4AZAAgAHQAaABpAHMAIABnAGUAbgBlAHIAYQB0AG8AcgAuAFwAbgBcAG4AUABhAHIAYQBtAGUAdABlAHIAcwA6AFwAbgAgACAAIAAgAGkAdABlAG0AcwBcAG4AIAAgACAAIAAgACAAIAAgAFMAYwBhAGwAYQByACwAIAAxAEQAIABhAHIAcgBhAHkALAAgAG8AcgAgADIARAAgAGEAcgByAGEAeQAgAG8AZgAgAGkAdABlAG0AcwAuACAASQB0AGUAbQBzACAAbQBhAHkAIABiAGUAIABuAHUAbQBiAGUAcgBzACAAbwByACAAdABlAHgAdAAuAFwAbgBcAG4AIAAgACAAIABrAFwAbgAgACAAIAAgACAAIAAgACAATABlAG4AZwB0AGgAIABvAGYAIABlAGEAYwBoACAAdAB1AHAAbABlACAAKABrACAAZSIgADAAKQAuACAATQB1AHMAdAAgAGIAZQAgAGEAIABzAGMAYQBsAGEAcgAuAFwAbgBcAG4AIAAgACAAIAB0AHkAcABlAFwAbgAgACAAIAAgACAAIAAgACAAUwBlAGwAZQBjAHQAbwByACAAZgBvAHIAIAB0AGgAZQAgAGMAbwBtAGIAaQBuAGEAdABvAHIAaQBhAGwAIABtAG8AZABlADoAXABuACAAIAAgACAAIAAgACAAIAAgACAAIAAgADEAIACSISAAUABlAHIAbQB1AHQAYQB0AGkAbwBuAHMAIAB3AGkAdABoACAAcgBlAHAAbABhAGMAZQBtAGUAbgB0AFwAbgAgACAAIAAgACAAIAAgACAAIAAgACAAIAAyACAAkiEgAFAAZQByAG0AdQB0AGEAdABpAG8AbgBzACAAdwBpAHQAaABvAHUAdAAgAHIAZQBwAGwAYQBjAGUAbQBlAG4AdABcAG4AIAAgACAAIAAgACAAIAAgACAAIAAgACAAMwAgAJIhIABDAG8AbQBiAGkAbgBhAHQAaQBvAG4AcwAgAHcAaQB0AGgAIAByAGUAcABsAGEAYwBlAG0AZQBuAHQAXABuACAAIAAgACAAIAAgACAAIAAgACAAIAAgADQAIACSISAAQwBvAG0AYgBpAG4AYQB0AGkAbwBuAHMAIAB3AGkAdABoAG8AdQB0ACAAcgBlAHAAbABhAGMAZQBtAGUAbgB0AFwAbgAgACAAIAAgACAAIAAgACAAIAAgACAAIAA1ACAAkiEgAEQAZQByAGEAbgBnAGUAbQBlAG4AdABzAFwAbgBcAG4ATgBvAHQAZQBzADoAXABuACAAIAAgACAAIiAgAEEAbABsACAAcgBlAHMAdQBsAHQAcwAgAGEAcgBlACAAcgBlAHQAdQByAG4AZQBkACAAYQBzACAAMgBEACAAYQByAHIAYQB5AHMAIAB3AGgAZQByAGUAIABlAGEAYwBoACAAcgBvAHcAIABpAHMAIABvAG4AZQAgAHQAdQBwAGwAZQAuAFwAbgAgACAAIAAgACIgIABJAGYAIABpAHQAZQBtAHMAIABhAHIAZQAgAG4AdQBtAGUAcgBpAGMAIABhAG4AZAAgAGUAcQB1AGEAbAAgAHQAbwAgAFMARQBRAFUARQBOAEMARQAoAG4AKQAsACAAcgBhAHcAIABpAG4AZABpAGMAZQBzACAAYQByAGUAIAByAGUAdAB1AHIAbgBlAGQALgBcAG4AIAAgACAAIAAgACAATwB0AGgAZQByAHcAaQBzAGUALAAgAGkAdABlAG0AcwAgAGEAcgBlACAAcwB1AGIAcwB0AGkAdAB1AHQAZQBkACAAaQBuAHQAbwAgAHQAaABlACAAaQBuAGQAZQB4ACAAYQByAHIAYQB5AF8AMgBEAC4AXABuACAAIAAgACAAIiAgAE0AYQB4AGkAbQB1AG0AIABlAG4AdQBtAGUAcgBhAHQAaQBvAG4AIABzAGkAegBlACAAaQBzACAAYwBhAHAAcABlAGQAIABhAHQAIAAxACwAMAA0ADgALAA1ADcANgAgAHIAbwB3AHMALgBcAG4ALQAtAC0ALQAtAC0ALQAtAC0ALQAtAC0ALQAtAC0ALQAtAC0ALQAtAC0ALQAtAC0ALQAtAC0ALQAtAC0ALQAtAC0ALQAtAC0ALQAtAC0ALQAtAC0ALQAtAC0ALQAtAC0ALQAtAC0ALQAtAC0ALQAtAC0ALQAtAC0ALQAtAC0ALQAtAC0ALQAtAC0ALQAtAC0ALQAtAC0ALQAtAC0AKgAvAFwAbgBcAG4ARQBuAHUAbQBlAHIAYQB0AGUAuwMgAD0AXABuAEwAQQBNAEIARABBACgAXABuACAAIAAgACAAaQB0AGUAbQBzACwAXABuACAAIAAgACAAawAsAFwAbgAgACAAIAAgAHQAeQBwAGUALABcAG4AXABuAEkARgAoAE8AUgAoAEkAUwBUAEUAWABUACgAawApACwAIABrACAAPAAgADAALAAgAGsAIAA+ACAAQwBPAFUATgBUAEEAKABpAHQAZQBtAHMAKQApACwAIwBWAEEATABVAEUAIQAsAFwAbgBcAG4AIAAgACAAIABJAEYAKABDAE8AVQBOAFQAQQAoAGsAKQAgADwAPgAgADEALAAjAFYAQQBMAFUARQAhACwAXABuAFwAbgAgACAAIAAgACAAIAAgACAASQBGACgAQwBPAFUATgBUAEEAKABpAHQAZQBtAHMAKQAgAF4AIABrACAAPgAgADEAMAA0ADgANQA3ADYALAAjAE4AVQBNACEALABcAG4AXABuAEwARQBUACgAXABuACAAIAAgACAALwAvACAARgBsAGEAdAB0AGUAbgAgAGkAdABlAG0AcwBcAG4AIAAgACAAIABsAGkAcwB0ACwAIAAgACAAIABUAE8AQwBPAEwAKABpAHQAZQBtAHMAKQAsAFwAbgAgACAAIAAgAG4ALAAgACAAIAAgACAAIAAgAEMATwBVAE4AVABBACgAbABpAHMAdAApACwAXABuAFwAbgAgACAAIAAgAC8ALwAgAFQAbwB0AGEAbAAgAHIAbwB3AHMAXABuACAAIAAgACAAaQAsACAAIAAgACAAIAAgACAAbgAgAF4AIABrACwAXABuAFwAbgAgACAAIAAgAC8ALwAgAEIAYQBzAGUAIABnAGUAbgBlAHIAYQB0AG8AcgA6ACAAcABlAHIAbQB1AHQAYQB0AGkAbwBuAHMAIAB3AGkAdABoACAAcgBlAHAAbABhAGMAZQBtAGUAbgB0AFwAbgAgACAAIAAgAFAAXwByACwAIAAgACAAIAAgAEwAQQBNAEIARABBACgAMQAgACsAIABNAE8ARAAoAFEAVQBPAFQASQBFAE4AVAAoAFMARQBRAFUARQBOAEMARQAoAGkAKQAsAG4AIABeACAAUwBFAFEAVQBFAE4AQwBFACgALAAgAGsALAAgAGsAIAAtACAAMQAsACAALQAxACkAKQAsAG4AKQApACwAXABuAFwAbgAgACAAIAAgAC8ALwAgAFAAZQByAG0AdQB0AGEAdABpAG8AbgBzACAAKABuAG8AIAByAGUAcABsAGEAYwBlAG0AZQBuAHQAKQBcAG4AIAAgACAAIABQACwAIAAgACAAIAAgACAAIABMAEEATQBCAEQAQQAoAEYASQBMAFQARQBSACgAUABfAHIAKAApACwASQBTAE4AQQAoAEIAWQBSAE8AVwAoAFAAXwByACgAKQAsACAATQBPAEQARQApACkAKQApACwAXABuAFwAbgAgACAAIAAgAC8ALwAgAEMAbwBtAGIAaQBuAGEAdABpAG8AbgBzACAAdwBpAHQAaAAgAHIAZQBwAGwAYQBjAGUAbQBlAG4AdABcAG4AIAAgACAAIABDAF8AcgAsACAAIAAgACAAIABMAEEATQBCAEQAQQAoAEYASQBMAFQARQBSACgAUABfAHIAKAApACwAQgBZAFIATwBXACgAUABfAHIAKAApACwATABBAE0AQgBEAEEAKAByAG8AdwAsACAAQQBOAEQAKAByAG8AdwAgAD0AIABTAE8AUgBUACgAcgBvAHcALAAsACwAMQApACkAKQApACkAKQAsAFwAbgBcAG4AIAAgACAAIAAvAC8AIABDAG8AbQBiAGkAbgBhAHQAaQBvAG4AcwAgACgAbgBvACAAcgBlAHAAbABhAGMAZQBtAGUAbgB0ACkAXABuACAAIAAgACAAQwAsACAAIAAgACAAIAAgACAATABBAE0AQgBEAEEAKABGAEkATABUAEUAUgAoAEMAXwByACgAKQAsAEkAUwBOAEEAKABCAFkAUgBPAFcAKABDAF8AcgAoACkALAAgAE0ATwBEAEUAKQApACkAKQAsAFwAbgBcAG4AIAAgACAAIAAvAC8AIABEAGUAcgBhAG4AZwBlAG0AZQBuAHQAcwBcAG4AIAAgACAAIABEACwAIAAgACAAIAAgACAAIABMAEEATQBCAEQAQQAoAEYASQBMAFQARQBSACgAUABfAHIAKAApACwAQgBZAFIATwBXACgAUABfAHIAKAApACwATABBAE0AQgBEAEEAKAByAG8AdwAsACAATgBPAFQAKABPAFIAKABTAEUAUQBVAEUATgBDAEUAKAAsACAAawApACAAPQAgAHIAbwB3ACkAKQApACkAKQApACwAXABuAFwAbgAgACAAIAAgAC8ALwAgAFMAZQBsAGUAYwB0ACAAZwBlAG4AZQByAGEAdABvAHIAXABuACAAIAAgACAAaQBkAHgALAAgACAAIAAgACAATABBAE0AQgBEAEEAKABDAEgATwBPAFMARQAoAHQAeQBwAGUALAAgAFAAXwByACgAKQAsACAAUAAoACkALAAgAEMAXwByACgAKQAsACAAQwAoACkALAAgAEQAKAApACkAKQAsAFwAbgBcAG4AIAAgACAAIAAvAC8AIABTAHUAYgBzAHQAaQB0AHUAdABlACAAaQB0AGUAbQBzACAAdQBuAGwAZQBzAHMAIAB0AGgAZQB5ACAAYQByAGUAIABlAHgAYQBjAHQAbAB5ACAAMQAuAC4AbgBcAG4AIAAgACAAIABOAG8AdABJAG4AdAA/ACwAIABOAE8AVAAoAEEATgBEACgAUwBFAFEAVQBFAE4AQwBFACgAbgApACAAPQAgAGwAaQBzAHQAKQApACwAXABuACAAIAAgACAAZABlAGwAaQB2AGUAcgAsACAASQBGACgATgBvAHQASQBuAHQAPwAsACAASQBOAEQARQBYACgAbABpAHMAdAAsACAAaQBkAHgAKAApACkALAAgAGkAZAB4ACgAKQApACwAXABuAFwAbgAgACAAIAAgAGQAZQBsAGkAdgBlAHIAXABuACkAKQApACkAKQA7AFwAbgBcAG4AXABuAFwAbgAvACoAIABbAEMAQgAwADEAXQAgAC0ALQAtAC0ALQAtAC0ALQAtAC0ALQAtAC0ALQAtAC0ALQAtAC0ALQAtAC0ALQAtAC0ALQAtAC0ALQAtAC0ALQAtAC0ALQAtAC0ALQAtAC0ALQAtAC0ALQAtAC0ALQAtAC0ALQAtAC0ALQAtAC0ALQAtAC0ALQAtAC0ALQAtAC0ALQAtAC0ALQAtAC0ALQAtAC0AXABuAEYAdQBuAGMAdABpAG8AbgA6ACAAIAAgACAAIAAgACAAIABQAGUAcgBtAFI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IAByAGUAcABsAGEAYwBlAG0AZQBuAHQAIAAoAGsAESB0AHUAcABsAGUAcwAgAGQAcgBhAHcAbgAgAGYAcgBvAG0AIABuACAAaQB0AGUAbQBzACkALgBcAG4AIAAgACAAIABFAGEAYwBoACAAcgBvAHcAIABvAGYAIAB0AGgAZQAgAHIAZQBzAHUAbAB0ACAAcgBlAHAAcgBlAHMAZQBuAHQAcwAgAG8AbgBlACAAcABlAHIAbQB1AHQAYQB0AGkAbwBuACAAbwBmACAAbABlAG4AZwB0AGgAIABr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EAKQAuAFwAbgAtAC0ALQAtAC0ALQAtAC0ALQAtAC0ALQAtAC0ALQAtAC0ALQAtAC0ALQAtAC0ALQAtAC0ALQAtAC0ALQAtAC0ALQAtAC0ALQAtAC0ALQAtAC0ALQAtAC0ALQAtAC0ALQAtAC0ALQAtAC0ALQAtAC0ALQAtAC0ALQAtAC0ALQAtAC0ALQAtAC0ALQAtAC0ALQAtAC0ALQAtAC0ALQAqAC8AXABuAFwAbgBQAGUAcgBtAFIAuwMgAD0AXABuAEwAQQBNAEIARABBACgAXABuACAAIAAgACAAaQB0AGUAbQBzACwAXABuACAAIAAgACAAaQB0AGUAbQBzAF8AYwBoAG8AcwBlAG4ALABcAG4AIAAgACAAIABFAG4AdQBtAGUAcgBhAHQAZQC7AygAaQB0AGUAbQBzACwAIABpAHQAZQBtAHMAXwBjAGgAbwBzAGUAbgAsACAAMQApAFwAbgApADsAXABuAFwAbgBcAG4AXABuAC8AKgAgAFsAQwBCADAAMgBdACAALQAtAC0ALQAtAC0ALQAtAC0ALQAtAC0ALQAtAC0ALQAtAC0ALQAtAC0ALQAtAC0ALQAtAC0ALQAtAC0ALQAtAC0ALQAtAC0ALQAtAC0ALQAtAC0ALQAtAC0ALQAtAC0ALQAtAC0ALQAtAC0ALQAtAC0ALQAtAC0ALQAtAC0ALQAtAC0ALQAtAC0ALQAtAC0ALQBcAG4ARgB1AG4AYwB0AGkAbwBuADoAIAAgACAAIAAgACAAIAAgAFAAZQByAG0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wAGUAcgBtAHUAdABhAHQAaQBvAG4AcwAgAHcAaQB0AGgAbwB1AHQAIAByAGUAcABsAGEAYwBlAG0AZQBuAHQALgAgAEUAYQBjAGgAIAByAG8AdwAgAG8AZgAgAHQAaABlACAAcgBlAHMAdQBsAHQAIAByAGUAcAByAGUAcwBlAG4AdABzAFwAbgAgACAAIAAgAG8AbgBlACAAawARIHQAdQBwAGwAZQAgAGQAcgBhAHcAbgAgAGYAcgBvAG0AIAB0AGgAZQAgAGkAbgBwAHUAdAAgAGkAdABlAG0AcwAsACAAdwBpAHQAaAAgAG4AbwAgAHIAZQBwAGUAYQB0AGUAZAAgAHAAbwBzAGkAdABpAG8AbgBzAC4AIABTAHUAcABwAG8AcgB0AHMAXABuACAAIAAgACAAcwBjAGEAbABhAHIALAAgADEARAAsACAAYQBuAGQAIAAyAEQAIABpAHQAZQBtACAAYQByAHIAYQB5AHM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MAGUAbgBnAHQAaAAgAG8AZgAgAGUAYQBjAGgAIAB0AHUAcABsAGUAIAAoAGsAIABlIiAAMAApAC4AIABNAHUAcwB0ACAAYgBlACAAYQAgAHMAYwBhAGwAYQByAC4AXABuAFwAbgBOAG8AdABlAHMAOgBcAG4AIAAgACAAIAAiICAARQBxAHUAaQB2AGEAbABlAG4AdAAgAHQAbwAgAEUAbgB1AG0AZQByAGEAdABlALsDKABpAHQAZQBtAHMALAAgAGsALAAgADIAKQAuAFwAbgAtAC0ALQAtAC0ALQAtAC0ALQAtAC0ALQAtAC0ALQAtAC0ALQAtAC0ALQAtAC0ALQAtAC0ALQAtAC0ALQAtAC0ALQAtAC0ALQAtAC0ALQAtAC0ALQAtAC0ALQAtAC0ALQAtAC0ALQAtAC0ALQAtAC0ALQAtAC0ALQAtAC0ALQAtAC0ALQAtAC0ALQAtAC0ALQAtAC0ALQAtAC0ALQAqAC8AXABuAFwAbgBQAGUAcgBtALsDIAA9AFwAbgBMAEEATQBCAEQAQQAoAFwAbgAgACAAIAAgAGkAdABlAG0AcwAsAFwAbgAgACAAIAAgAGkAdABlAG0AcwBfAGMAaABvAHMAZQBuACwAXABuACAAIAAgACAARQBuAHUAbQBlAHIAYQB0AGUAuwMoAGkAdABlAG0AcwAsACAAaQB0AGUAbQBzAF8AYwBoAG8AcwBlAG4ALAAgADIAKQBcAG4AKQA7AFwAbgBcAG4AXABuAFwAbgAvACoAIABbAEMAQgAwADMAXQAgAC0ALQAtAC0ALQAtAC0ALQAtAC0ALQAtAC0ALQAtAC0ALQAtAC0ALQAtAC0ALQAtAC0ALQAtAC0ALQAtAC0ALQAtAC0ALQAtAC0ALQAtAC0ALQAtAC0ALQAtAC0ALQAtAC0ALQAtAC0ALQAtAC0ALQAtAC0ALQAtAC0ALQAtAC0ALQAtAC0ALQAtAC0ALQAtAC0AXABuAEYAdQBuAGMAdABpAG8AbgA6ACAAIAAgACAAIAAgACAAIABDAG8AbQBiAGkAbgBhAHQAaQBvAG4AcwBS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CAAcgBlAHAAbABhAGMAZQBtAGUAbgB0ACAAKABtAHUAbAB0AGkAcwBlAHQAcwApAC4AIABFAGEAYwBoACAAcgBvAHcAIABvAGYAIAB0AGgAZQAgAHIAZQBzAHUAbAB0AFwAbgAgACAAIAAgAHIAZQBwAHIAZQBzAGUAbgB0AHMAIABvAG4AZQAgAGsAESBlAGwAZQBtAGUAbgB0ACAAbQB1AGwAdABpAHMAZQB0ACAAZAByAGEAdwBuACAAZgByAG8AbQAgAHQAaABlACAAaQBuAHAAdQB0ACAAaQB0AGUAbQBzACwAIAB3AGgAZQByAGUAIABvAHIAZABlAHIAXABuACAAIAAgACAAZABvAGUAcwAgAG4AbwB0ACAAbQBhAHQAdABlAHIAIABhAG4AZAAgAHIAZQBwAGUAYQB0AGUAZAAgAHMAZQBsAGUAYwB0AGkAbwBuAHMAIABhAHIAZQAgAGEAbABsAG8AdwBlAGQALgBcAG4AXABuAFAAYQByAGEAbQBlAHQAZQByAHMAOgBcAG4AIAAgACAAIABpAHQAZQBtAHMAXABuACAAIAAgACAAIAAgACAAIABTAGMAYQBsAGEAcgAsACAAMQBEACAAYQByAHIAYQB5ACwAIABvAHIAIAAyAEQAIABhAHIAcgBhAHkAIABvAGYAIABpAHQAZQBtAHMALgAgAEkAdABlAG0AcwAgAG0AYQB5ACAAYgBlACAAbgB1AG0AYgBlAHIAcwAgAG8AcgAgAHQAZQB4AHQALgBcAG4AXABuACAAIAAgACAAaQB0AGUAbQBzAF8AYwBoAG8AcwBlAG4AXABuACAAIAAgACAAIAAgACAAIABTAGkAegBlACAAbwBmACAAZQBhAGMAaAAgAGMAbwBtAGIAaQBuAGEAdABpAG8AbgAgACgAawAgAGUiIAAwACkALgAgAE0AdQBzAHQAIABiAGUAIABhACAAcwBjAGEAbABhAHIALgBcAG4AXABuAE4AbwB0AGUAcwA6AFwAbgAgACAAIAAgACIgIABFAHEAdQBpAHYAYQBsAGUAbgB0ACAAdABvACAARQBuAHUAbQBlAHIAYQB0AGUAuwMoAGkAdABlAG0AcwAsACAAawAsACAAMwApAC4AXABuAC0ALQAtAC0ALQAtAC0ALQAtAC0ALQAtAC0ALQAtAC0ALQAtAC0ALQAtAC0ALQAtAC0ALQAtAC0ALQAtAC0ALQAtAC0ALQAtAC0ALQAtAC0ALQAtAC0ALQAtAC0ALQAtAC0ALQAtAC0ALQAtAC0ALQAtAC0ALQAtAC0ALQAtAC0ALQAtAC0ALQAtAC0ALQAtAC0ALQAtAC0ALQAtACoALwBcAG4AXABuAEMAbwBtAGIAaQBuAGEAdABpAG8AbgBzAFIAuwMgAD0AXABuAEwAQQBNAEIARABBACgAXABuACAAIAAgACAAaQB0AGUAbQBzACwAXABuACAAIAAgACAAaQB0AGUAbQBzAF8AYwBoAG8AcwBlAG4ALABcAG4AIAAgACAAIABFAG4AdQBtAGUAcgBhAHQAZQC7AygAaQB0AGUAbQBzACwAIABpAHQAZQBtAHMAXwBjAGgAbwBzAGUAbgAsACAAMwApAFwAbgApADsAXABuAFwAbgBcAG4AXABuAC8AKgAgAFsAQwBCADAANABdACAALQAtAC0ALQAtAC0ALQAtAC0ALQAtAC0ALQAtAC0ALQAtAC0ALQAtAC0ALQAtAC0ALQAtAC0ALQAtAC0ALQAtAC0ALQAtAC0ALQAtAC0ALQAtAC0ALQAtAC0ALQAtAC0ALQAtAC0ALQAtAC0ALQAtAC0ALQAtAC0ALQAtAC0ALQAtAC0ALQAtAC0ALQAtAC0ALQBcAG4ARgB1AG4AYwB0AGkAbwBuADoAIAAgACAAIAAgACAAIAAgAEMAbwBtAGIAaQBuAGEAdABpAG8AbgBzALsDXABuAEMAYQB0AGUAZwBvAHIAeQA6ACAAIAAgACAAIAAgACAAIABDAG8AbQBiAGkAbgBhAHQAbwByAGkAYwBzAFwAbgBBAHUAdABoAG8AcgA6ACAAIAAgACAAIAAgACAAIAAgACAAUABhAHQAcgBpAGMAawAgAEgALgBcAG4AVgBlAHIAcwBpAG8AbgA6ACAAIAAgACAAIAAgACAAIAAgADEALgAxAFwAbgBEAGUAcABlAG4AZABlAG4AYwBpAGUAcwA6ACAAIAAgACAARQBuAHUAbQBlAHIAYQB0AGUAuwNcAG4AXABuAEQAZQBzAGMAcgBpAHAAdABpAG8AbgA6AFwAbgAgACAAIAAgAEcAZQBuAGUAcgBhAHQAZQBzACAAYwBvAG0AYgBpAG4AYQB0AGkAbwBuAHMAIAB3AGkAdABoAG8AdQB0ACAAcgBlAHAAbABhAGMAZQBtAGUAbgB0AC4AIABFAGEAYwBoACAAcgBvAHcAIABvAGYAIAB0AGgAZQAgAHIAZQBzAHUAbAB0ACAAcgBlAHAAcgBlAHMAZQBuAHQAcwBcAG4AIAAgACAAIABvAG4AZQAgAGsAESBlAGwAZQBtAGUAbgB0ACAAcwB1AGIAcwBlAHQAIABkAHIAYQB3AG4AIABmAHIAbwBtACAAdABoAGUAIABpAG4AcAB1AHQAIABpAHQAZQBtAHMALAAgAHcAaABlAHIAZQAgAG8AcgBkAGUAcgAgAGQAbwBlAHMAIABuAG8AdAAgAG0AYQB0AHQAZQByAFwAbgAgACAAIAAgAGEAbgBkACAAcgBlAHAAZQBhAHQAZQBkACAAcwBlAGwAZQBjAHQAaQBvAG4AcwAgAGEAcgBlACAAbgBvAHQAIABhAGwAbABvAHcAZQBk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UwBpAHoAZQAgAG8AZgAgAGUAYQBjAGgAIABjAG8AbQBiAGkAbgBhAHQAaQBvAG4AIAAoAGsAIABlIiAAMAApAC4AIABNAHUAcwB0ACAAYgBlACAAYQAgAHMAYwBhAGwAYQByAC4AXABuAFwAbgBOAG8AdABlAHMAOgBcAG4AIAAgACAAIAAiICAARQBxAHUAaQB2AGEAbABlAG4AdAAgAHQAbwAgAEUAbgB1AG0AZQByAGEAdABlALsDKABpAHQAZQBtAHMALAAgAGsALAAgADQAKQAuAFwAbgAtAC0ALQAtAC0ALQAtAC0ALQAtAC0ALQAtAC0ALQAtAC0ALQAtAC0ALQAtAC0ALQAtAC0ALQAtAC0ALQAtAC0ALQAtAC0ALQAtAC0ALQAtAC0ALQAtAC0ALQAtAC0ALQAtAC0ALQAtAC0ALQAtAC0ALQAtAC0ALQAtAC0ALQAtAC0ALQAtAC0ALQAtAC0ALQAtAC0ALQAtAC0ALQAqAC8AXABuAFwAbgBDAG8AbQBiAGkAbgBhAHQAaQBvAG4AcwC7AyAAPQBcAG4ATABBAE0AQgBEAEEAKABcAG4AIAAgACAAIABpAHQAZQBtAHMALABcAG4AIAAgACAAIABpAHQAZQBtAHMAXwBjAGgAbwBzAGUAbgAsAFwAbgAgACAAIAAgAEUAbgB1AG0AZQByAGEAdABlALsDKABpAHQAZQBtAHMALAAgAGkAdABlAG0AcwBfAGMAaABvAHMAZQBuACwAIAA0ACkAXABuACkAOwBcAG4AXABuAFwAbgBcAG4ALwAqACAAWwBDAEIAMAA1AF0AIAAtAC0ALQAtAC0ALQAtAC0ALQAtAC0ALQAtAC0ALQAtAC0ALQAtAC0ALQAtAC0ALQAtAC0ALQAtAC0ALQAtAC0ALQAtAC0ALQAtAC0ALQAtAC0ALQAtAC0ALQAtAC0ALQAtAC0ALQAtAC0ALQAtAC0ALQAtAC0ALQAtAC0ALQAtAC0ALQAtAC0ALQAtAC0ALQAtAFwAbgBGAHUAbgBjAHQAaQBvAG4AOgAgACAAIAAgACAAIAAgACAARABlAHIAYQBuAGcAZQBtAGUAbgB0AHMAuwNcAG4AQwBhAHQAZQBnAG8AcgB5ADoAIAAgACAAIAAgACAAIAAgAEMAbwBtAGIAaQBuAGEAdABvAHIAaQBjAHMAXABuAEEAdQB0AGgAbwByADoAIAAgACAAIAAgACAAIAAgACAAIABQAGEAdAByAGkAYwBrACAASAAuAFwAbgBWAGUAcgBzAGkAbwBuADoAIAAgACAAIAAgACAAIAAgACAAMQAuADEAXABuAEQAZQBwAGUAbgBkAGUAbgBjAGkAZQBzADoAIAAgACAAIABFAG4AdQBtAGUAcgBhAHQAZQC7A1wAbgBcAG4ARABlAHMAYwByAGkAcAB0AGkAbwBuADoAXABuACAAIAAgACAARwBlAG4AZQByAGEAdABlAHMAIABkAGUAcgBhAG4AZwBlAG0AZQBuAHQAcwAgAG8AZgAgAGwAZQBuAGcAdABoACAAawAuACAAQQAgAGQAZQByAGEAbgBnAGUAbQBlAG4AdAAgAGkAcwAgAGEAIABwAGUAcgBtAHUAdABhAHQAaQBvAG4AIABpAG4AIAB3AGgAaQBjAGgAXABuACAAIAAgACAAbgBvACAAZQBsAGUAbQBlAG4AdAAgAGEAcABwAGUAYQByAHMAIABpAG4AIABpAHQAcwAgAG8AcgBpAGcAaQBuAGEAbAAgAHAAbwBzAGkAdABpAG8AbgAuACAARQBhAGMAaAAgAHIAbwB3ACAAbwBmACAAdABoAGUAIAByAGUAcwB1AGwAdABcAG4AIAAgACAAIAByAGUAcAByAGUAcwBlAG4AdABzACAAbwBuAGUAIABkAGUAcgBhAG4AZwBlAGQAIABrABEgdAB1AHAAbABlACAAZAByAGEAdwBuACAAZgByAG8AbQAgAHQAaABlACAAaQBuAHAAdQB0ACAAaQB0AGUAbQBzAC4AXABuAFwAbgBQAGEAcgBhAG0AZQB0AGUAcgBzADoAXABuACAAIAAgACAAaQB0AGUAbQBzAFwAbgAgACAAIAAgACAAIAAgACAAUwBjAGEAbABhAHIALAAgADEARAAgAGEAcgByAGEAeQAsACAAbwByACAAMgBEACAAYQByAHIAYQB5ACAAbwBmACAAaQB0AGUAbQBzAC4AIABJAHQAZQBtAHMAIABtAGEAeQAgAGIAZQAgAG4AdQBtAGIAZQByAHMAIABvAHIAIAB0AGUAeAB0AC4AXABuAFwAbgAgACAAIAAgAGkAdABlAG0AcwBfAGMAaABvAHMAZQBuAFwAbgAgACAAIAAgACAAIAAgACAATABlAG4AZwB0AGgAIABvAGYAIABlAGEAYwBoACAAdAB1AHAAbABlACAAKABrACAAZSIgADAAKQAuACAATQB1AHMAdAAgAGIAZQAgAGEAIABzAGMAYQBsAGEAcgAuAFwAbgBcAG4ATgBvAHQAZQBzADoAXABuACAAIAAgACAAIiAgAEUAcQB1AGkAdgBhAGwAZQBuAHQAIAB0AG8AIABFAG4AdQBtAGUAcgBhAHQAZQC7AygAaQB0AGUAbQBzACwAIABrACwAIAA1ACkALgBcAG4ALQAtAC0ALQAtAC0ALQAtAC0ALQAtAC0ALQAtAC0ALQAtAC0ALQAtAC0ALQAtAC0ALQAtAC0ALQAtAC0ALQAtAC0ALQAtAC0ALQAtAC0ALQAtAC0ALQAtAC0ALQAtAC0ALQAtAC0ALQAtAC0ALQAtAC0ALQAtAC0ALQAtAC0ALQAtAC0ALQAtAC0ALQAtAC0ALQAtAC0ALQAtAC0AKgAvAFwAbgBcAG4ARABlAHIAYQBuAGcAZQBtAGUAbgB0AHMAuwMgAD0AXABuAEwAQQBNAEIARABBACgAXABuACAAIAAgACAAaQB0AGUAbQBzACwAXABuACAAIAAgACAAaQB0AGUAbQBzAF8AYwBoAG8AcwBlAG4ALABcAG4AIAAgACAAIABFAG4AdQBtAGUAcgBhAHQAZQC7AygAaQB0AGUAbQBzACwAIABpAHQAZQBtAHMAXwBjAGgAbwBzAGUAbgAsACAANQApAFwAbgApADsAXABuAFwAbgBcAG4AXABuAC8AKgAgAFsAQwBCADAANgBdACAALQAtAC0ALQAtAC0ALQAtAC0ALQAtAC0ALQAtAC0ALQAtAC0ALQAtAC0ALQAtAC0ALQAtAC0ALQAtAC0ALQAtAC0ALQAtAC0ALQAtAC0ALQAtAC0ALQAtAC0ALQAtAC0ALQAtAC0ALQAtAC0ALQAtAC0ALQAtAC0ALQAtAC0ALQAtAC0ALQAtAC0ALQAtAC0ALQBcAG4ARgB1AG4AYwB0AGkAbwBuADoAIAAgACAAIAAgACAAIAAgAEsAbgBhAHAAUwBhAGMAawC7A1wAbgBDAGEAdABlAGcAbwByAHkAOgAgACAAIAAgACAAIAAgACAAQwBvAG0AYgBpAG4AYQB0AG8AcgBpAGMAcwBcAG4AQQB1AHQAaABvAHIAOgAgACAAIAAgACAAIAAgACAAIAAgAFAAYQB0AHIAaQBjAGsAIABIAC4AXABuAFYAZQByAHMAaQBvAG4AOgAgACAAIAAgACAAIAAgACAAIAAxAC4AMQBcAG4ARABlAHAAZQBuAGQAZQBuAGMAaQBlAHMAOgAgACAAIAAgAEQAZQBjADIAQgBpAG4AuwNcAG4AXABuAEQAZQBzAGMAcgBpAHAAdABpAG8AbgA6AFwAbgAgACAAIAAgAFMAbwBsAHYAZQBzACAAdABoAGUAIAAwABEgMQAgAGsAbgBhAHAAcwBhAGMAawAgAHAAcgBvAGIAbABlAG0AIABiAHkAIABlAG4AdQBtAGUAcgBhAHQAaQBuAGcAIABhAGwAbAAgAHMAdQBiAHMAZQB0AHMAIABvAGYAIABpAHQAZQBtAHMAIABhAG4AZABcAG4AIAAgACAAIABzAGUAbABlAGMAdABpAG4AZwAgAHQAaABlACAAZgBlAGEAcwBpAGIAbABlACAAcABhAGMAawAoAHMAKQAgAHcAaQB0AGgAIABtAGEAeABpAG0AdQBtACAAdABvAHQAYQBsACAAdgBhAGwAdQBlAC4AIABVAHMAZQBzACAAYQAgAGIAcgB1AHQAZQARIGYAbwByAGMAZQAsAFwAbgAgACAAIAAgAHYAZQBjAHQAbwByAGkAegBlAGQAIABiAGkAdAARIG0AYQBzAGsAIABnAGUAbgBlAHIAYQB0AG8AcgAgAGEAbgBkACAAcwB1AHAAcABvAHIAdABzACAAYgBvAHQAaAAgAG4AdQBtAGUAcgBpAGMAIABhAG4AZAAgAHQAZQB4AHQAIABpAHQAZQBtACAAbABhAGIAZQBsAHMALgBcAG4AXABuAFAAYQByAGEAbQBlAHQAZQByAHMAOgBcAG4AIAAgACAAIABpAHQAZQBtAHMAXABuACAAIAAgACAAIAAgACAAIABBAHIAcgBhAHkAIABvAGYAIABpAHQAZQBtACAAbABhAGIAZQBsAHMAIAAoAG4AdQBtAGIAZQByAHMAIABvAHIAIAB0AGUAeAB0ACkALgBcAG4AXABuACAAIAAgACAAdgBhAGwAdQBlAF8AbwBmAF8AaQB0AGUAbQBzAFwAbgAgACAAIAAgACAAIAAgACAAQQByAHIAYQB5ACAAbwBmACAAbgB1AG0AZQByAGkAYwAgAHYAYQBsAHUAZQBzACAAYwBvAHIAcgBlAHMAcABvAG4AZABpAG4AZwAgAHQAbwAgAGUAYQBjAGgAIABpAHQAZQBtAC4AXABuAFwAbgAgACAAIAAgAHcAZQBpAGcAaAB0AHMAXABuACAAIAAgACAAIAAgACAAIABBAHIAcgBhAHkAIABvAGYAIABuAHUAbQBlAHIAaQBjACAAdwBlAGkAZwBoAHQAcwAgAGMAbwByAHIAZQBzAHAAbwBuAGQAaQBuAGcAIAB0AG8AIABlAGEAYwBoACAAaQB0AGUAbQAuAFwAbgBcAG4AIAAgACAAIABjAGEAcABhAGMAaQB0AHkAXABuACAAIAAgACAAIAAgACAAIABTAGMAYQBsAGEAcgAgAG4AdQBtAGUAcgBpAGMAIAB3AGUAaQBnAGgAdAAgAGwAaQBtAGkAdAAuAFwAbgBcAG4ATgBvAHQAZQBzADoAXABuACAAIAAgACAAIiAgAGkAdABlAG0AcwAsACAAdgBhAGwAdQBlAF8AbwBmAF8AaQB0AGUAbQBzACwAIABhAG4AZAAgAHcAZQBpAGcAaAB0AHMAIABhAHIAZQAgAGYAbABhAHQAdABlAG4AZQBkACAAdwBpAHQAaAAgAFQATwBSAE8AVwAuAFwAbgAgACAAIAAgACIgIABjAGEAcABhAGMAaQB0AHkAIABpAHMAIABuAG8AcgBtAGEAbABpAHoAZQBkACAAdABvACAAYQAgAHMAYwBhAGwAYQByACAAdwBpAHQAaAAgAEkATgBEAEUAWAAoAGMAYQBwAGEAYwBpAHQAeQAsADEALAAxACkALgBcAG4AIAAgACAAIAAiICAATQBhAHgAaQBtAHUAbQAgAGkAdABlAG0AIABjAG8AdQBuAHQAIABpAHMAIABjAGEAcABwAGUAZAAgAGEAdAAgADIAMAAgAHQAbwAgAGEAdgBvAGkAZAAgAGMAbwBtAGIAaQBuAGEAdABvAHIAaQBhAGwAIABlAHgAcABsAG8AcwBpAG8AbgAuAFwAbgAtAC0ALQAtAC0ALQAtAC0ALQAtAC0ALQAtAC0ALQAtAC0ALQAtAC0ALQAtAC0ALQAtAC0ALQAtAC0ALQAtAC0ALQAtAC0ALQAtAC0ALQAtAC0ALQAtAC0ALQAtAC0ALQAtAC0ALQAtAC0ALQAtAC0ALQAtAC0ALQAtAC0ALQAtAC0ALQAtAC0ALQAtAC0ALQAtAC0ALQAtAC0ALQAqAC8AXABuAFwAbgBLAG4AYQBwAFMAYQBjAGsAuwMgAD0AXABuAEwAQQBNAEIARABBACgAXABuACAAIAAgACAAaQB0AGUAbQBzACwAXABuACAAIAAgACAAdgBhAGwAdQBlAF8AbwBmAF8AaQB0AGUAbQBzACwAXABuACAAIAAgACAAdwBlAGkAZwBoAHQAcwAsAFwAbgAgACAAIAAgAGMAYQBwAGEAYwBpAHQAeQAsAFwAbgBcAG4ATABFAFQAKABcAG4AIAAgACAAIAAvAC8AIABIAGEAbAB0AGkAbgBnACAAcwBjAGUAbgBhAHIAaQBvAHMAXABuACAAIAAgACAAVABvAG8ATQBhAG4AeQBJAHQAZQBtAHMAPwAsACAAIAAgAFIATwBXAFMAKABpAHQAZQBtAHMAKQAgACoAIABDAE8ATABVAE0ATgBTACgAaQB0AGUAbQBzACkAIAA+ACAAMgAwACwAXABuACAAIAAgACAAVABlAHgAdABJAHQAZQBtAFYAYQBsAD8ALAAgACAAIAAgAE8AUgAoAEkAUwBUAEUAWABUACgAdgBhAGwAdQBlAF8AbwBmAF8AaQB0AGUAbQBzACkAKQAsAFwAbgAgACAAIAAgAFQAZQB4AHQAVwBlAGkAZwBoAHQAcwA/ACwAIAAgACAAIABPAFIAKABJAFMAVABFAFgAVAAoAHcAZQBpAGcAaAB0AHMAKQApACwAXABuACAAIAAgACAAVABlAHgAdABDAGEAcABhAGMAaQB0AHkAPwAsACAAIAAgAE8AUgAoAEkAUwBUAEUAWABUACgAYwBhAHAAYQBjAGkAdAB5ACkAKQAsAFwAbgAgACAAIAAgAFMAaABhAHAAZQBNAGkAcwBNAGEAdABjAGgAPwAsACAAIABPAFIAKABDAE8AVQBOAFQAQQAoAGkAdABlAG0AcwApACAAPAA+ACAAQwBPAFUATgBUAEEAKAB2AGEAbAB1AGUAXwBvAGYAXwBpAHQAZQBtAHMAKQAsAFwAbgAgACAAIAAgACAAIAAgACAAIAAgACAAIAAgACAAIAAgACAAIAAgACAAIAAgACAAIABDAE8AVQBOAFQAQQAoAGkAdABlAG0AcwApACAAPAA+ACAAQwBPAFUATgBUAEEAKAB3AGUAaQBnAGgAdABzACkAKQAsAFwAbgBcAG4AIAAgACAAIABzAGMAZQBuAGEAcgBpAG8AcwAsACAAIAAgACAAIAAgACAAVgBTAFQAQQBDAEsAKABUAGUAeAB0AEkAdABlAG0AVgBhAGwAPwAsAFQAZQB4AHQAVwBlAGkAZwBoAHQAcwA/ACwAVABlAHgAdABDAGEAcABhAGMAaQB0AHkAPwAsAFMAaABhAHAAZQBNAGkAcwBNAGEAdABjAGgAPwApACwAXABuAFwAbgAgACAAIAAgAGUAeABpAHQALAAgACAAIAAgACAAIAAgACAAIAAgACAAIABPAFIAKABzAGMAZQBuAGEAcgBpAG8AcwApACwAXABuACAAIAAgACAAZQByAHIAbwByAHMALAAgACAAIAAgACAAIAAgACAAIAAgAHsAXAAiACMAVgBBAEwAVQBFAC0ASQBUAEUATQAhAFwAIgA7AFwAIgAjAFYAQQBMAFUARQAtAFcARQBJAEcASABUAFMAIQBcACIAOwBcACIAIwBWAEEATABVAEUALQBDAEEAUABBAEMASQBUAFkAIQBcACIAOwBcACIAIwBJAE4AUABVAFQALQBNAEkAUwBNAEEAVABDAEgAIQBcACIAfQAsAFwAbgBcAG4AIAAgACAAIABhAGwAZQByAHQALAAgACAAIAAgACAAIAAgACAAIAAgACAAQQBSAFIAQQBZAFQATwBUAEUAWABUACgARgBJAEwAVABFAFIAKABlAHIAcgBvAHIAcwAsACAAcwBjAGUAbgBhAHIAaQBvAHMAKQApACwAXABuAFwAbgBJAEYAKABUAG8AbwBNAGEAbgB5AEkAdABlAG0AcwA/ACwAXAAiACMAVABPAE8ALQBNAEEATgBZAC0ASQBUAEUATQBTACEAXAAiACwAXABuAFwAbgAgACAAIAAgAEkARgAoAGUAeABpAHQALABhAGwAZQByAHQALABcAG4AXABuAEwARQBUACgAXABuACAAIAAgACAALwAvACAARgBsAGEAdAB0AGUAbgAgAGkAbgBwAHUAdABzAFwAbgAgACAAIAAgAGkAdABlAG0AcwAsACAAIAAgACAAIAAgACAAIAAgACAAVABPAFIATwBXACgAaQB0AGUAbQBzACkALABcAG4AIAAgACAAIAB2AGEAbAB1AGUAXwBvAGYAXwBpAHQAZQBtAHMALAAgAFQATwBSAE8AVwAoAHYAYQBsAHUAZQBfAG8AZgBfAGkAdABlAG0AcwApACwAXABuACAAIAAgACAAdwBlAGkAZwBoAHQAcwAsACAAIAAgACAAIAAgACAAIABUAE8AUgBPAFcAKAB3AGUAaQBnAGgAdABzACkALABcAG4AIAAgACAAIABjAGEAcABhAGMAaQB0AHkALAAgACAAIAAgACAAIAAgAEkATgBEAEUAWAAoAGMAYQBwAGEAYwBpAHQAeQAsACAAMQAsACAAMQApACwAXABuAFwAbgAgACAAIAAgAC8ALwAgAEwAYQBiAGUAbABzAFwAbgAgACAAIAAgAGwAYQBiAGUAbABzACwAIAAgACAAIAAgACAAIAAgACAAewBcACIASQB0AGUAbQBzAFwAIgA7ACAAXAAiAFYAYQBsAHUAZQBcACIAOwAgAFwAIgBXAGUAaQBnAGgAdABcACIAOwAgAFwAIgBQAGEAYwBrAFwAIgB9ACwAXABuAFwAbgAgACAAIAAgAC8ALwAgAEUAbgB1AG0AZQByAGEAdABpAG8AbgBcAG4AIAAgACAAIABuACwAIAAgACAAIAAgACAAIAAgACAAIAAgACAAIAAgAEMATwBVAE4AVABBACgAaQB0AGUAbQBzACkALABcAG4AIAAgACAAIABDACwAIAAgACAAIAAgACAAIAAgACAAIAAgACAAIAAgAFMARQBRAFUARQBOAEMARQAoADIAIABeACAAbgAgAC0AIAAxACkALABcAG4AIAAgACAAIABiAGkAbgAsACAAIAAgACAAIAAgACAAIAAgACAAIAAgAEQAZQBjADIAQgBpAG4AuwMoAEMALAAgADEAKQAsAFwAbgBcAG4AIAAgACAAIAAvAC8AIABXAGUAaQBnAGgAdAAgAGYAZQBhAHMAaQBiAGkAbABpAHQAeQBcAG4AIAAgACAAIAB3AF8AYQByAHIALAAgACAAIAAgACAAIAAgACAAIAAgAGIAaQBuACAAKgAgAHcAZQBpAGcAaAB0AHMALABcAG4AIAAgACAAIABmAGUAYQBzAGkAYgBsAGUAPwAsACAAIAAgACAAIAAgAEIAWQBSAE8AVwAoAHcAXwBhAHIAcgAsACAAUwBVAE0AKQAgADwAPQAgAGMAYQBwAGEAYwBpAHQAeQAsAFwAbgBcAG4AIAAgACAAIAAvAC8AIABWAGEAbAB1AGUAIABjAG8AbQBwAHUAdABhAHQAaQBvAG4AXABuACAAIAAgACAAdgBhAGwAXwBhAHIAcgAsACAAIAAgACAAIAAgACAAIABGAEkATABUAEUAUgAoAGIAaQBuACAAKgAgAHYAYQBsAHUAZQBfAG8AZgBfAGkAdABlAG0AcwAsACAAZgBlAGEAcwBpAGIAbABlAD8ALAAgADAAKQAsAFwAbgAgACAAIAAgAHQAbwB0AGEAbABzACwAIAAgACAAIAAgACAAIAAgACAAQgBZAFIATwBXACgAdgBhAGwAXwBhAHIAcgAsACAAUwBVAE0AKQAsAFwAbgBcAG4AIAAgACAAIAAvAC8AIABTAGUAbABlAGMAdAAgAG8AcAB0AGkAbQBhAGwAIABwAGEAYwBrACgAcwApAFwAbgAgACAAIAAgAHAAYQBjAGsALAAgACAAIAAgACAAIAAgACAAIAAgACAAUwBJAEcATgAoAEYASQBMAFQARQBSACgAdgBhAGwAXwBhAHIAcgAsACAATQBBAFgAKAB0AG8AdABhAGwAcwApACAAPQAgAHQAbwB0AGEAbABzACwAIAAwACkAKQAsAFwAbgBcAG4AIAAgACAAIAAvAC8AIABGAGkAbgBhAGwAIAB0AGEAYgBsAGUAXABuACAAIAAgACAAZgBpAG4AYQBsACwAIAAgACAAIAAgACAAIAAgACAAIABJAEYATgBBACgASABTAFQAQQBDAEsAKABsAGEAYgBlAGwAcwAsACAAVgBTAFQAQQBDAEsAKABpAHQAZQBtAHMALAAgAHYAYQBsAHUAZQBfAG8AZgBfAGkAdABlAG0AcwAsACAAdwBlAGkAZwBoAHQAcwAsACAAcABhAGMAawApACkALABcACIAXAAiACkALABcAG4AXABuACAAIAAgACAAZgBpAG4AYQBsAFwAbgApACkAKQApACkAOwBcAG4AXABuAFwAbgBcAG4ALwAqACAAWwBDAEIAMAA3AF0AIAAtAC0ALQAtAC0ALQAtAC0ALQAtAC0ALQAtAC0ALQAtAC0ALQAtAC0ALQAtAC0ALQAtAC0ALQAtAC0ALQAtAC0ALQAtAC0ALQAtAC0ALQAtAC0ALQAtAC0ALQAtAC0ALQAtAC0ALQAtAC0ALQAtAC0ALQAtAC0ALQAtAC0ALQAtAC0ALQAtAC0ALQAtAC0ALQAtAFwAbgBGAHUAbgBjAHQAaQBvAG4AOgAgACAAIAAgACAAIAAgACAAUwB1AGIAcwBlAHQARwBlAG4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HAGUAbgBlAHIAYQB0AGUAcwAgAGEAbABsACAAbgBvAG4AESBlAG0AcAB0AHkAIABzAHUAYgBzAGUAdABzACAAbwBmACAAYQAgAHMAdQBwAHAAbABpAGUAZAAgAGwAaQBzAHQAIAB1AHMAaQBuAGcAIABiAHIAdQB0AGUAESBmAG8AcgBjAGUAXABuACAAIAAgACAAYgBpAHQAbQBhAHMAawBpAG4AZwAuACAARQBhAGMAaAAgAHIAbwB3ACAAbwBmACAAdABoAGUAIAByAGUAcwB1AGwAdAAgAHIAZQBwAHIAZQBzAGUAbgB0AHMAIABvAG4AZQAgAHMAdQBiAHMAZQB0ACwAIABlAHgAcAByAGUAcwBzAGUAZAAgAGEAcwAgAGEAXABuACAAIAAgACAAYwBvAG0AbQBhABEgcwBlAHAAYQByAGEAdABlAGQAIABzAHQAcgBpAG4AZwAuACAAUwB1AHAAcABvAHIAdABzACAAbgB1AG0AYgBlAHIAcwAgAG8AcgAgAHQAZQB4AHQAIABpAHQAZQBtAHMALgBcAG4AXABuAFAAYQByAGEAbQBlAHQAZQByAHMAOgBcAG4AIAAgACAAIABzAGUAdABcAG4AIAAgACAAIAAgACAAIAAgAEEAcgByAGEAeQAgAG8AZgAgAGkAdABlAG0AcwAgACgAbgB1AG0AYgBlAHIAcwAgAG8AcgAgAHQAZQB4AHQAKQAuACAARgBsAGEAdAB0AGUAbgBlAGQAIAB3AGkAdABoACAAVABPAFIATwBXAC4AXABuAFwAbgBOAG8AdABlAHMAOgBcAG4AIAAgACAAIAAiICAATQBhAHgAaQBtAHUAbQAgAGkAdABlAG0AIABjAG8AdQBuAHQAIABpAHMAIABjAGEAcABwAGUAZAAgAGEAdAAgADIAMAAuAFwAbgAtAC0ALQAtAC0ALQAtAC0ALQAtAC0ALQAtAC0ALQAtAC0ALQAtAC0ALQAtAC0ALQAtAC0ALQAtAC0ALQAtAC0ALQAtAC0ALQAtAC0ALQAtAC0ALQAtAC0ALQAtAC0ALQAtAC0ALQAtAC0ALQAtAC0ALQAtAC0ALQAtAC0ALQAtAC0ALQAtAC0ALQAtAC0ALQAtAC0ALQAtAC0ALQAqAC8AXABuAFwAbgBTAHUAYgBzAGUAdABHAGUAbgC7AyAAPQBcAG4ATABBAE0AQgBEAEEAKABcAG4AIAAgACAAIABzAGUAdAAsAFwAbgBcAG4ASQBGACgAUgBPAFcAUwAoAHMAZQB0ACkAIAAqACAAQwBPAEwAVQBNAE4AUwAoAHMAZQB0ACkAIAA+ACAAMgAwACwAXAAiACMAVABPAE8ALQBNAEEATgBZAC0ASQBUAEUATQBTACEAXAAiACwAXABuAFwAbgBMAEUAVAAoAFwAbgAgACAAIAAgAC8ALwAgAEYAbABhAHQAdABlAG4AIABpAG4AcAB1AHQAXABuACAAIAAgACAAcwBlAHQALAAgACAAIAAgAFQATwBSAE8AVwAoAHMAZQB0ACkALABcAG4AXABuACAAIAAgACAALwAvACAAVABvAHQAYQBsACAAaQB0AGUAbQBzAFwAbgAgACAAIAAgAG4ALAAgACAAIAAgACAAIABDAE8AVQBOAFQAQQAoAHMAZQB0ACkALABcAG4AXABuACAAIAAgACAALwAvACAAQgBpAHQAIABtAGEAcwBrAHMAIAAoAGUAeABjAGwAdQBkAGUAIAAwACkAXABuACAAIAAgACAAQwAsACAAIAAgACAAIAAgAFMARQBRAFUARQBOAEMARQAoADIAIABeACAAbgAgAC0AIAAxACkALABcAG4AIAAgACAAIABiAGkAbgAsACAAIAAgACAARABlAGMAMgBCAGkAbgC7AygAQwAsACAAMQApACwAXABuAFwAbgAgACAAIAAgAC8ALwAgAEEAcABwAGwAeQAgAG0AYQBzAGsAXABuACAAIAAgACAAbQBhAHMAawBlAGQALAAgAEkARgAoAGIAaQBuACwAIABzAGUAdAAsACAAXAAiAFwAIgApACwAXABuAFwAbgAgACAAIAAgAC8ALwAgAEMAbwBuAHYAZQByAHQAIABlAGEAYwBoACAAbQBhAHMAawBlAGQAIAByAG8AdwAgAGkAbgB0AG8AIABhACAAYwBvAG0AcABhAGMAdAAgAHMAdQBiAHMAZQB0ACAAcwB0AHIAaQBuAGcAXABuACAAIAAgACAAZgBpAG4AYQBsACwAIAAgAEIAWQBSAE8AVwAoAG0AYQBzAGsAZQBkACwAIABMAEEATQBCAEQAQQAoAHYALAAgAFQARQBYAFQASgBPAEkATgAoAFwAIgAsACAAXAAiACwAIAAxACwAIAB2ACkAKQApACwAXABuAFwAbgAgACAAIAAgAGYAaQBuAGEAbABcAG4AKQApACkAOwBcAG4AXABuAFwAbgBcAG4ALwAqACAAWwBDAEIAMAA4AF0AIAAtAC0ALQAtAC0ALQAtAC0ALQAtAC0ALQAtAC0ALQAtAC0ALQAtAC0ALQAtAC0ALQAtAC0ALQAtAC0ALQAtAC0ALQAtAC0ALQAtAC0ALQAtAC0ALQAtAC0ALQAtAC0ALQAtAC0ALQAtAC0ALQAtAC0ALQAtAC0ALQAtAC0ALQAtAC0ALQAtAC0ALQAtAC0ALQAtAFwAbgBGAHUAbgBjAHQAaQBvAG4AOgAgACAAIAAgACAAIAAgACAAUwB1AGIAcwBlAHQAUwB1AG0AuwNcAG4AQwBhAHQAZQBnAG8AcgB5ADoAIAAgACAAIAAgACAAIAAgAEMAbwBtAGIAaQBuAGEAdABvAHIAaQBjAHMAXABuAEEAdQB0AGgAbwByADoAIAAgACAAIAAgACAAIAAgACAAIABQAGEAdAByAGkAYwBrACAASAAuAFwAbgBWAGUAcgBzAGkAbwBuADoAIAAgACAAIAAgACAAIAAgACAAMQAuADEAXABuAEQAZQBwAGUAbgBkAGUAbgBjAGkAZQBzADoAIAAgACAAIABEAGUAYwAyAEIAaQBuALsDXABuAFwAbgBEAGUAcwBjAHIAaQBwAHQAaQBvAG4AOgBcAG4AIAAgACAAIABSAGUAdAB1AHIAbgBzACAAYQBsAGwAIABzAHUAYgBzAGUAdABzACAAbwBmACAAYQAgAG4AdQBtAGUAcgBpAGMAIABzAGUAdAAgAHcAaABvAHMAZQAgAGUAbABlAG0AZQBuAHQAcwAgAHMAdQBtACAAZQB4AGEAYwB0AGwAeQAgAHQAbwAgAGEAIAB0AGEAcgBnAGUAdAAuAFwAbgAgACAAIAAgAFUAcwBlAHMAIABiAHIAdQB0AGUAESBmAG8AcgBjAGUAIABiAGkAdABtAGEAcwBrAGkAbgBnACAAKABuACAAZCIgADIAMAApAC4AIABFAGEAYwBoACAAcwB1AGIAcwBlAHQAIABpAHMAIAByAGUAdAB1AHIAbgBlAGQAIABhAHMAIABhACAAYwBvAG0AcABhAGMAdABcAG4AIAAgACAAIABjAG8AbQBtAGEAESBzAGUAcABhAHIAYQB0AGUAZAAgAHMAdAByAGkAbgBnAC4AXABuAFwAbgBQAGEAcgBhAG0AZQB0AGUAcgBzADoAXABuACAAIAAgACAAcwBlAHQAXABuACAAIAAgACAAIAAgACAAIABBAHIAcgBhAHkAIABvAGYAIABuAHUAbQBlAHIAaQBjACAAaQB0AGUAbQBzAC4AIABGAGwAYQB0AHQAZQBuAGUAZAAgAHcAaQB0AGgAIABUAE8AUgBPAFcALgAgAFQAZQB4AHQAIABpAHMAIABuAG8AdAAgAGEAbABsAG8AdwBlAGQALgBcAG4AXABuACAAIAAgACAAdABhAHIAZwBlAHQAXABuACAAIAAgACAAIAAgACAAIABTAGMAYQBsAGEAcgAgAG4AdQBtAGUAcgBpAGMAIAB0AGEAcgBnAGUAdAAgAHMAdQBtAC4AXABuAFwAbgBOAG8AdABlAHMAOgBcAG4AIAAgACAAIAAiICAARQBtAHAAdAB5ACAAcwB1AGIAcwBlAHQAIABpAHMAIABlAHgAYwBsAHUAZABlAGQAIABiAHkAIABjAG8AbgBzAHQAcgB1AGMAdABpAG8AbgAgACgAYgBpAHQAbQBhAHMAawAgADAAIABvAG0AaQB0AHQAZQBkACkALgBcAG4AIAAgACAAIAAiICAAUgBlAHQAdQByAG4AcwAgAFwAIgAjAE4ATwAtAFMATwBMAFUAVABJAE8ATgAhAFwAIgAgAGkAZgAgAG4AbwAgAHMAdQBiAHMAZQB0AHMAIABtAGEAdABjAGgAIAB0AGgAZQAgAHQAYQByAGcAZQB0AC4AXABuAC0ALQAtAC0ALQAtAC0ALQAtAC0ALQAtAC0ALQAtAC0ALQAtAC0ALQAtAC0ALQAtAC0ALQAtAC0ALQAtAC0ALQAtAC0ALQAtAC0ALQAtAC0ALQAtAC0ALQAtAC0ALQAtAC0ALQAtAC0ALQAtAC0ALQAtAC0ALQAtAC0ALQAtAC0ALQAtAC0ALQAtAC0ALQAtAC0ALQAtAC0ALQAtACoALwBcAG4AXABuAFMAdQBiAHMAZQB0AFMAdQBtALsDIAA9AFwAbgBMAEEATQBCAEQAQQAoAFwAbgAgACAAIAAgAHMAZQB0ACwAXABuACAAIAAgACAAdABhAHIAZwBlAHQALABcAG4AXABuAEwARQBUACgAXABuACAAIAAgACAALwAvACAATgBvAHIAbQBhAGwAaQB6AGUAIABzAGMAYQBsAGEAcgBcAG4AIAAgACAAIAB0AGEAcgBnAGUAdAAsACAASQBOAEQARQBYACgAdABhAHIAZwBlAHQALAAgADEALAAgADEAKQAsAFwAbgBcAG4AIAAgACAAIAAvAC8AIABIAGEAbAB0AGkAbgBnACAAcwBjAGUAbgBhAHIAaQBvAHMAXABuACAAIAAgACAAVABvAG8ATQBhAG4AeQBJAHQAZQBtAHMAPwAsACAAUgBPAFcAUwAoAHMAZQB0ACkAIAAqACAAQwBPAEwAVQBNAE4AUwAoAHMAZQB0ACkAIAA+ACAAMgAwACwAXABuACAAIAAgACAAVABlAHgAdABTAGUAdAA/ACwAIAAgACAAIAAgACAATwBSACgASQBTAEUAUgBSAE8AUgAoAC0ALQBzAGUAdAApACkALABcAG4AIAAgACAAIABUAGUAeAB0AFQAYQByAGcAZQB0AD8ALAAgACAAIABJAFMARQBSAFIATwBSACgALQAtAHQAYQByAGcAZQB0ACkALABcAG4AXABuAEkARgAoAFQAbwBvAE0AYQBuAHkASQB0AGUAbQBzAD8ALAAgAFwAIgAjAFQATwBPAC0ATQBBAE4AWQAtAEkAVABFAE0AUwAhAFwAIgAsAFwAbgBcAG4AIAAgACAAIABJAEYAKABUAGUAeAB0AFMAZQB0AD8ALAAgAFwAIgAjAFQARQBYAFQALQBTAEUAVAAhAFwAIgAsAFwAbgBcAG4AIAAgACAAIAAgACAAIAAgAEkARgAoAFQAZQB4AHQAVABhAHIAZwBlAHQAPwAsACAAXAAiACMAVABFAFgAVAAtAFQAQQBSAEcARQBUACEAXAAiACwAXABuAFwAbgBMAEUAVAAoAFwAbgAgACAAIAAgAC8ALwAgAEYAbABhAHQAdABlAG4AIABpAG4AcAB1AHQAXABuACAAIAAgACAAcwBlAHQALAAgACAAIAAgACAAIABUAE8AUgBPAFcAKAAtAC0AcwBlAHQAKQAsAFwAbgBcAG4AIAAgACAAIAAvAC8AIABUAG8AdABhAGwAIABpAHQAZQBtAHMAXABuACAAIAAgACAAbgAsACAAIAAgACAAIAAgACAAIABDAE8AVQBOAFQAQQAoAHMAZQB0ACkALABcAG4AXABuACAAIAAgACAALwAvACAAQgBpAHQAIABtAGEAcwBrAHMAIAAoAGUAeABjAGwAdQBkAGUAIAAwACkAXABuACAAIAAgACAAQwAsACAAIAAgACAAIAAgACAAIABTAEUAUQBVAEUATgBDAEUAKAAyACAAXgAgAG4AIAAtACAAMQApACwAXABuACAAIAAgACAAYgBpAG4ALAAgACAAIAAgACAAIABEAGUAYwAyAEIAaQBuALsDKABDACwAIAAxACkALABcAG4AXABuACAAIAAgACAALwAvACAAQQBwAHAAbAB5ACAAbQBhAHMAawBcAG4AIAAgACAAIAB2AGEAbABfAGEAcgByACwAIAAgAEkARgAoAGIAaQBuACwAIABzAGUAdAAsACAAMAApACwAXABuAFwAbgAgACAAIAAgAC8ALwAgAEwAbwBjAGEAdABlACAAdABhAHIAZwBlAHQAIABzAHUAbQBcAG4AIAAgACAAIABiAG8AbwBsACwAIAAgACAAIAAgAEIAWQBSAE8AVwAoAHYAYQBsAF8AYQByAHIALAAgAFMAVQBNACkAIAA9ACAAdABhAHIAZwBlAHQALABcAG4AIAAgACAAIABmAG8AdQBuAGQALAAgACAAIAAgAEYASQBMAFQARQBSACgAdgBhAGwAXwBhAHIAcgAsACAAYgBvAG8AbAAsACAAMAApACwAXABuAFwAbgAgACAAIAAgAC8ALwAgAEMAbwBuAHYAZQByAHQAIABlAGEAYwBoACAAcwB1AGIAcwBlAHQAIAB0AG8AIABhACAAYwBvAG0AcABhAGMAdAAgAHMAdAByAGkAbgBnAFwAbgAgACAAIAAgAEMAbwBuAGMAaQBzAGUAuwMsACAATABBAE0AQgBEAEEAKAB2ACwAIABUAEUAWABUAEoATwBJAE4AKABcACIALAAgAFwAIgAsACAAMQAsACAAVABFAFgAVAAoAHYALAAgAFwAIgAwADsALQAwADsAOwBcACIAKQApACkALABcAG4AIAAgACAAIAByAGUAcwB1AGwAdAAsACAAIAAgAEIAWQBSAE8AVwAoAGYAbwB1AG4AZAAsACAAQwBvAG4AYwBpAHMAZQC7AykALABcAG4AXABuACAAIAAgACAALwAvACAASABhAG4AZABsAGUAIABuAG8AIABtAGEAdABjAGgAZQBzAFwAbgAgACAAIAAgAGYAaQBuAGEAbAAsACAAIAAgACAASQBGACgAUwBVAE0AKABMAEUATgAoAHIAZQBzAHUAbAB0ACkAKQAgAD0AIAAwACwAIABcACIAIwBOAE8ALQBTAE8ATABVAFQASQBPAE4AIQBcACIALAAgAHIAZQBzAHUAbAB0ACkALABcAG4AXABuACAAIAAgACAAZgBpAG4AYQBsAFwAbgApACkAKQApACkAKQA7AFwAbgBcAG4AXABuAFwAbgAvAC8AIABbAEcARABdACAALQAtAC0ALQAtAC0ALQAtAC0ALQAtAC0ALQAtAC0ALQAtAC0ALQAtAC0ALQAtAC0ALQAtAC0ALQAtAC0ALQAtAC0ALQAtAC0ALQAtAC0ALQAtAC0ALQAtAC0ALQAtAC0ALQAtAC0ALQAtAC0ALQAtAC0ALQAtAC0ALQAtAC0ALQAtAC0ALQAtAC0ALQAtAC0ALQAtAC0ALQAtAFwAbgAvAC8AIAAtAC0ALQAjACMAIAAxADAAIAAUICAARwByAGkAZAAgAEQAaQBhAGcAbgBvAHMAdABpAGMAcwBcAG4ALwAvACAALQAtAC0ALQAtAC0ALQAtAC0ALQAtAC0ALQAtAC0ALQAtAC0ALQAtAC0ALQAtAC0ALQAtAC0ALQAtAC0ALQAtAC0ALQAtAC0ALQAtAC0ALQAtAC0ALQAtAC0ALQAtAC0ALQAtAC0ALQAtAC0ALQAtAC0ALQAtAC0ALQAtAC0ALQAtAC0ALQAtAC0ALQAtAC0ALQAtAC0ALQAtAFwAbgBcAG4ALwAqAFwAbgBEAGUAcwBjAHIAaQBwAHQAaQBvAG4AOgBcAG4AIAAgACAAIABHAHIAaQBkACAARABpAGEAZwBuAG8AcwB0AGkAYwBzACAAYwBvAG4AdABhAGkAbgBzACAAZgB1AG4AYwB0AGkAbwBuAHMAIAB3AGgAbwBzAGUAIABwAHUAcgBwAG8AcwBlACAAaQBzACAAdABvACAAZQB4AHAAbwBzAGUALAAgAGEAbgBuAG8AdABhAHQAZQAsAFwAbgAgACAAIAAgAG8AcgAgAGUAeABwAGwAYQBpAG4AIAB0AGgAZQAgAGkAbgB0AGUAcgBuAGEAbAAgAHMAdAByAHUAYwB0AHUAcgBlACAAbwBmACAAYQAgAGcAcgBpAGQALgAgAEQAaQBhAGcAbgBvAHMAdABpAGMAcwAgAGYAdQBuAGMAdABpAG8AbgBzACAAYQByAGUAXABuACAAIAAgACAAdQBzAGUAZAAgAGYAbwByACAAZABlAGIAdQBnAGcAaQBuAGcALAAgAGkAbgB0AHIAbwBzAHAAZQBjAHQAaQBvAG4ALAAgAHYAaQBzAHUAYQBsAGkAegBhAHQAaQBvAG4ALAAgAGEAbgBkACAAcwB0AHIAdQBjAHQAdQByAGEAbAAgAGEAbgBhAGwAeQBzAGkAcwAuAFwAbgBcAG4ARgB1AG4AYwB0AGkAbwBuAHMAOgBcAG4AIAAgACAAIAAiICAAUgBlAHYAZQBhAGwAuwNcAG4AIAAgACAAIAAgACAAIAAgAGkAbgBzAHAAZQBjAHQAcwAgAGEAIABhAHIAcgBhAHkAXwAyAEQAIABvAGYAIABkAGEAdABhACAAYQBuAGQAIAByAGUAdAB1AHIAbgBzACAAZQBpAHQAaABlAHIAOgBcAG4AIAAgACAAIAAgACAAIAAgACAAIAAgACAAIiAgAEEAIAB0AG8AcAAtAGwAZQB2AGUAbAAgAHMAdQBtAG0AYQByAHkAIABvAGYAIABzAGUAbQBhAG4AdABpAGMAIABtAGUAdAByAGkAYwBzACAAKABOAHUAbQBiAGUAcgBzACwAIABUAGUAeAB0AHMALAAgAEUAcgByAG8AcgBzACwAIABlAHQAYwAuACkAXABuACAAIAAgACAAIAAgACAAIAAgACAAIAAgACIgIABBACAAdgBlAHIAYgBvAHMAZQAsACAAYwBlAGwAbAAtAGIAeQAtAGMAZQBsAGwAIABuAGEAcgByAGEAdABpAG8AbgAgAG8AZgAgAHQAYQBnAHMAIABwAGUAcgAgAGMAZQBsAGwAXABuACoALwBcAG4AXABuAFwAbgBcAG4ALwAqACAAWwBHAEQAMAAxAF0AIAAtAC0ALQAtAC0ALQAtAC0ALQAtAC0ALQAtAC0ALQAtAC0ALQAtAC0ALQAtAC0ALQAtAC0ALQAtAC0ALQAtAC0ALQAtAC0ALQAtAC0ALQAtAC0ALQAtAC0ALQAtAC0ALQAtAC0ALQAtAC0ALQAtAC0ALQAtAC0ALQAtAC0ALQAtAC0ALQAtAC0ALQAtAC0ALQAtAFwAbgBGAHUAbgBjAHQAaQBvAG4AOgAgACAAIAAgACAAIAAgACAAUgBlAHYAZQBhAGwAuwNcAG4AQwBhAHQAZQBnAG8AcgB5ADoAIAAgACAAIAAgACAAIAAgAEcAcgBpAGQAIABEAGkAYQBnAG4AbwBzAHQAaQBjAHMAXABuAEEAdQB0AGgAbwByADoAIAAgACAAIAAgACAAIAAgACAAIABQAGEAdAByAGkAYwBrACAASAAuAFwAbgBWAGUAcgBzAGkAbwBuADoAIAAgACAAIAAgACAAIAAgACAAMQAuADEAXABuAFwAbgBEAGUAcwBjAHIAaQBwAHQAaQBvAG4AOgBcAG4AIAAgACAAIABSAGUAdgBlAGEAbAC7AyAAaQBuAHMAcABlAGMAdABzACAAYQAgAGEAcgByAGEAeQBfADIARAAgAG8AZgAgAGQAYQB0AGEAIABhAG4AZAAgAHIAZQB0AHUAcgBuAHMAIABlAGkAdABoAGUAcgA6AFwAbgAgACAAIAAgACAAIAAgACAAIiAgAEEAIAB0AG8AcAAtAGwAZQB2AGUAbAAgAHMAdQBtAG0AYQByAHkAIABvAGYAIABzAGUAbQBhAG4AdABpAGMAIABtAGUAdAByAGkAYwBzACAAKABOAHUAbQBiAGUAcgBzACwAIABUAGUAeAB0AHMALAAgAEUAcgByAG8AcgBzACwAIABlAHQAYwAuACkAXABuACAAIAAgACAAIAAgACAAIAAiICAAQQAgAHYAZQByAGIAbwBzAGUALAAgAGMAZQBsAGwALQBiAHkALQBjAGUAbABsACAAbgBhAHIAcgBhAHQAaQBvAG4AIABvAGYAIAB0AGEAZwBzACAAcABlAHIAIABjAGUAbABsAFwAbgAgACAAIAAgAFMAdQBwAHAAbwByAHQAcwAgAG8AcAB0AGkAbwBuAGEAbAAgAGQAZQBsAGkAbQBpAHQAZQByACAAYwBvAG4AdAByAG8AbAAgAGEAbgBkACAAYgBsAGEAbgBrAC0AYQB3AGEAcgBlACAAbwBwAHQAaQBtAGkAegBhAHQAaQBvAG4ALgBcAG4AXABuAFAAYQByAGEAbQBlAHQAZQByAHMAOgBcAG4AIAAgACAAIABkAGEAdABhAFwAbgAgACAAIAAgACAAIAAgACAARABhAHQAYQAgAHQAbwAgAGIAZQAgAGkAbgBzAHAAZQBjAHQAZQBkACAAKABhAG4AeQAgAHMAYwBhAGwAYQByACwAIAB2AGUAYwB0AG8AcgAsACAAbwByACAAMgBEACAAYQByAHIAYQB5ACkALgBcAG4AXABuACAAIAAgACAASQBzAFYAZQByAGIAbwBzAGUAPwAgACAAWwBvAHAAdABpAG8AbgBhAGwAXQBcAG4AIAAgACAAIAAgACAAIAAgAEkAZgAgAFQAUgBVAEUALAAgAHIAZQB0AHUAcgBuAHMAIABhACAAYQByAHIAYQB5AF8AMgBEACAAbwBmACAAbgBhAHIAcgBhAHQAYQBiAGwAZQAgAHQAYQBnAHMAIABwAGUAcgAgAGMAZQBsAGwALgBcAG4AIAAgACAAIAAgACAAIAAgAEkAZgAgAG8AbQBpAHQAdABlAGQALAAgAHIAZQB0AHUAcgBuAHMAIABhACAAOQDXADIAIABzAHUAbQBtAGEAcgB5ACAAdABhAGIAbABlAC4AXABuAFwAbgAgACAAIAAgAGQAZQBsAGkAbQBpAHQAZQByACAAIAAgAFsAbwBwAHQAaQBvAG4AYQBsAF0AXABuACAAIAAgACAAIAAgACAAIABEAGUAbABpAG0AaQB0AGUAcgAgAHUAcwBlAGQAIABpAG4AIAB2AGUAcgBiAG8AcwBlACAAbQBvAGQAZQAuACAARABlAGYAYQB1AGwAdABzACAAdABvACAAXAAiACwAIABcACIALgBcAG4AXABuAC0ALQAtAC0ALQAtAC0ALQAtAC0ALQAtAC0ALQAtAC0ALQAtAC0ALQAtAC0ALQAtAC0ALQAtAC0ALQAtAC0ALQAtAC0ALQAtAC0ALQAtAC0ALQAtAC0ALQAtAC0ALQAtAC0ALQAtAC0ALQAtAC0ALQAtAC0ALQAtAC0ALQAtAC0ALQAtAC0ALQAtAC0ALQAtAC0ALQAtAC0ALQAtACoALwBcAG4AXABuAFIAZQB2AGUAYQBsALsDIAA9AFwAbgBMAEEATQBCAEQAQQAoAFwAbgAgACAAIAAgAGQAYQB0AGEALAAgACAAIAAgACAAIAAgACAAXABuACAAIAAgACAAWwBJAHMAVgBlAHIAYgBvAHMAZQA/AF0ALABcAG4AIAAgACAAIABbAGQAZQBsAGkAbQBpAHQAZQByAF0ALABcAG4AXABuAEwARQBUACgAXABuACAAIAAgACAALwAvACAARABpAG0AZQBuAHMAaQBvAG4AXABuACAAIAAgACAAdwBpAGQAdABoACwAIAAgACAAIAAgACAAIAAgACAAIAAgACAAIAAgACAAIAAgACAAQwBPAEwAVQBNAE4AUwAoAGQAYQB0AGEAKQAsAFwAbgBcAG4AIAAgACAAIAAvAC8AIABDAGUAbABsACAAbQBlAHQAcgBpAGMAIABsAGEAYgBlAGwAcwBcAG4AIAAgACAAIABtAGUAdAByAGkAYwBzACwAIAAgACAAIAAgACAAIAAgACAAIAAgACAAIAAgACAAIAB7AFwAIgBOAHUAbQBiAGUAcgBcACIAOwBcAG4AIAAgACAAIAAgACAAIAAgACAAIAAgACAAIAAgACAAIAAgACAAIAAgACAAIAAgACAAIAAgACAAIABcACIAVABlAHgAdABcACIAOwBcAG4AIAAgACAAIAAgACAAIAAgACAAIAAgACAAIAAgACAAIAAgACAAIAAgACAAIAAgACAAIAAgACAAIABcACIATgB1AG0AYgBlAHIALQBzAHQAbwByAGUAZAAtAGEAcwAtAHQAZQB4AHQAXAAiADsAXABuACAAIAAgACAAIAAgACAAIAAgACAAIAAgACAAIAAgACAAIAAgACAAIAAgACAAIAAgACAAIAAgACAAXAAiAEUAcgByAG8AcgBcACIAOwBcAG4AIAAgACAAIAAgACAAIAAgACAAIAAgACAAIAAgACAAIAAgACAAIAAgACAAIAAgACAAIAAgACAAIABcACIAQwBvAG4AdABhAGkAbgBzACAAcwBwAGEAYwBlAHMAXAAiADsAXABuACAAIAAgACAAIAAgACAAIAAgACAAIAAgACAAIAAgACAAIAAgACAAIAAgACAAIAAgACAAIAAgACAAXAAiAEMAbwBuAHQAYQBpAG4AcwAgAHMAcABlAGMAaQBhAGwAIABjAGgAYQByAGEAYwB0AGUAcgBzAFwAIgA7AFwAbgAgACAAIAAgACAAIAAgACAAIAAgACAAIAAgACAAIAAgACAAIAAgACAAIAAgACAAIAAgACAAIAAgAFwAIgBGAG8AcgBtAHUAbABhAFwAIgA7AFwAbgAgACAAIAAgACAAIAAgACAAIAAgACAAIAAgACAAIAAgACAAIAAgACAAIAAgACAAIAAgACAAIAAgAFwAIgBCAGwAYQBuAGsAXAAiADsAXABuACAAIAAgACAAIAAgACAAIAAgACAAIAAgACAAIAAgACAAIAAgACAAIAAgACAAIAAgACAAIAAgACAAXAAiAEwAbwBnAGkAYwBhAGwAXAAiAH0ALABcAG4AXABuACAAIAAgACAALwAvAC0ALQAgAEwAbwBjAGEAbAAgAGYAdQBuAGMAdABpAG8AbgBzACAALQAtAFwAbgBcAG4AIAAgACAAIAAvAC8AIABGAGwAYQB0AHQAZQBuACAAbQBhAHQAcgBpAGMAZQBzACAAYQBuAGQAIABlAG4AcwB1AHIAZQAgAGIAaQBuAGEAcgB5ACAAYQByAHIAYQB5AC4AXABuACAAIAAgACAAQgBpAG4AuwMsACAAIAAgACAAIAAgACAAIAAgACAAIAAgACAAIAAgACAAIAAgACAATABBAE0AQgBEAEEAKAB2ACwAIABUAE8AQwBPAEwAKABJAEYARQBSAFIATwBSACgAdgAsACAAMAApACkAKQAsAFwAbgBcAG4AIAAgACAAIAAvAC8AIABSAGUAbQBvAHYAZQAgAGUAcgByAG8AcgBzACAAZgByAG8AbQAgAHMAYwBhAGwAYQByAHMALgBcAG4AIAAgACAAIABSAGUAbQBvAHYAZQBOAEEAuwMsACAAIAAgACAAIAAgACAAIAAgACAAIAAgACAAIABMAEEATQBCAEQAQQAoAHYALAAgAEkARgBOAEEAKAB2ACwAIAAwACkAKQAsAFwAbgBcAG4AIAAgACAAIAAvAC8AIABPAHAAdABpAG8AbgBhAGwAIABkAGUAbABpAG0AaQB0AGUAcgAgAGYAbwByACAAdgBlAHIAYgBvAHMAZQAgAHIAZQBwAG8AcgB0AC4AXABuACAAIAAgACAAZABlAGwAaQBtAGkAdABlAHIALAAgACAAIAAgACAAIAAgACAAIAAgACAAIAAgACAASQBGACgASQBTAE8ATQBJAFQAVABFAEQAKABkAGUAbABpAG0AaQB0AGUAcgApACwAIABcACIALAAgAFwAIgAsACAAZABlAGwAaQBtAGkAdABlAHIAKQAsAFwAbgBcAG4AIAAgACAAIAAvAC8AIABWAGUAcgBiAG8AcwBlACAAcgBlAHAAbwByAHQAIAAtACAAcgBlAHQAdQByAG4AcwAgAG4AYQByAHIAYQB0AGEAYgBsAGUAIAB0AGEAZwBzACAAYgB5ACAAYwBlAGwAbAAuACAAVABlAHIAbQBpAG4AYQB0AGUAcwAgAGUAYQByAGwAeQAgAGkAZgAgAGIAbABhAG4AawAuAFwAbgAgACAAIAAgAEcAZQB0AEQAZQB0AGEAaQBsAHMAuwMsACAAIAAgACAAIAAgACAAIAAgACAAIAAgAEwAQQBNAEIARABBACgAYQAsACAAYgAsACAAYwAsACAAZAAsACAAZQAsACAAZgAsACAAZwAsACAAaAAsACAAaQAsAFwAbgAgACAAIAAgACAAIAAgACAAIAAgACAAIAAgACAAIAAgACAAIAAgACAAIAAgACAAIAAgACAAIAAgAEwARQBUACgAXABuACAAIAAgACAAIAAgACAAIAAgACAAIAAgACAAIAAgACAAIAAgACAAIAAgACAAIAAgACAAIAAgACAAIAAgACAAIABtACwAIAAgACAAIAAgACAAVgBTAFQAQQBDAEsAKABhACwAIABiACwAIABjACwAIABkACwAIABSAGUAbQBvAHYAZQBOAEEAuwMoAGUAKQAsACAAUgBlAG0AbwB2AGUATgBBALsDKABmACkALAAgAGcALAAgAGgALAAgAGkAKQAsAFwAbgAgACAAIAAgACAAIAAgACAAIAAgACAAIAAgACAAIAAgACAAIAAgACAAIAAgACAAIAAgACAAIAAgACAAIAAgACAAZABlAHQAYQBpAGwALAAgAEkARgAoAGgALAAgAFwAIgBCAGwAYQBuAGsAXAAiACwAIABUAE8AQwBPAEwAKABJAEYAUwAoAG0ALAAgAG0AZQB0AHIAaQBjAHMAKQAsACAAMgApACkALABcAG4AIAAgACAAIAAgACAAIAAgACAAIAAgACAAIAAgACAAIAAgACAAIAAgACAAIAAgACAAIAAgACAAIAAgACAAIAAgAGoAbwBpAG4AZQBkACwAIABUAEUAWABUAEoATwBJAE4AKABkAGUAbABpAG0AaQB0AGUAcgAsACAAMQAsACAAZABlAHQAYQBpAGwAKQAsAFwAbgAgACAAIAAgACAAIAAgACAAIAAgACAAIAAgACAAIAAgACAAIAAgACAAIAAgACAAIAAgACAAIAAgACAAIAAgACAAagBvAGkAbgBlAGQAKQApACwAXABuAFwAbgAgACAAIAAgAC8ALwAgAEMAZQBsAGwAcwAgAHcAaQB0AGgAOgBcAG4AIAAgACAAIABOAHUAbQBiAGUAcgBzACwAIAAgACAAIAAgACAAIAAgACAAIAAgACAAIAAgACAALQAtAFQATwBDAE8ATAAoAEkAUwBOAFUATQBCAEUAUgAoAGQAYQB0AGEAKQApACwAXABuACAAIAAgACAAVABlAHgAdABzACwAIAAgACAAIAAgACAAIAAgACAAIAAgACAAIAAgACAAIAAgAC0ALQBUAE8AQwBPAEwAKABJAFMAVABFAFgAVAAoAGQAYQB0AGEAKQApACwAXABuACAAIAAgACAATgB1AG0AYgBlAHIAcwBfAHMAdABvAHIAZQBkAF8AYQBzAF8AdABlAHgAdAAsACAAVABPAEMATwBMACgASQBTAE4AVQBNAEIARQBSACgASQBGAEUAUgBSAE8AUgAoAGQAYQB0AGEAIAArACAAMAAsACAAXAAiAFwAIgApACkAIAAqACAASQBTAFQARQBYAFQAKABkAGEAdABhACkAKQAsAFwAbgAgACAAIAAgAEMAZQBsAGwAcwBfAHcAaQB0AGgAXwBlAHIAcgBvAHIAcwAsACAAIAAgACAAIAAtAC0AVABPAEMATwBMACgASQBTAEUAUgBSAE8AUgAoAGQAYQB0AGEAKQApACwAXABuACAAIAAgACAAUwBwAGEAYwBlAHMALAAgACAAIAAgACAAIAAgACAAIAAgACAAIAAgACAAIAAgAC0ALQBCAGkAbgC7AygATABFAE4AKABUAFIASQBNACgAZABhAHQAYQApACkAIAA8AD4AIABMAEUATgAoAGQAYQB0AGEAKQApACwAXABuAFwAbgAgACAAIAAgAC8ALwAgAFAAYQB0AHQAZQByAG4AIABtAGEAdABjAGgAZQBzACAAZgBvAHIAIABzAHAAZQBjAGkAYQBsACAAYwBoAGEAcgBhAGMAdABlAHIAcwBcAG4AIAAgACAAIABwAGEAdAB0AGUAcgBuACwAIAAgACAAIAAgACAAIAAgACAAIAAgACAAIAAgACAAXAAiAFsAXgBBAC0AWgBhAC0AegAwAC0AOQAgAC4AXQB8AFsAXABcAHgAewAwADAAQQAwAH0AXABcAHgAewAyADAAMABCAH0ALQBcAFwAeAB7ADIAMAAwAEQAfQBdAHwAWwBcAFwAdABcAFwAbgBcAFwAcgBdAHwAWwBcAFwAeAB7ADEARgA2ADAAMAB9AC0AXABcAHgAewAxAEYANgA0AEYAfQBdAFwAIgAsAFwAbgAgACAAIAAgAFMAcABlAGMAaQBhAGwAXwBjAGgAYQByAGEAYwB0AGUAcgBzACwAIAAgACAAIAAtAC0AQgBpAG4AuwMoAFIARQBHAEUAWABUAEUAUwBUACgAZABhAHQAYQAsACAAcABhAHQAdABlAHIAbgApACkALABcAG4AXABuACAAIAAgACAARgBvAHIAbQB1AGwAYQBzACwAIAAgACAAIAAgACAAIAAgACAAIAAgACAAIAAgAC0ALQBUAE8AQwBPAEwAKABJAFMARgBPAFIATQBVAEwAQQAoAGQAYQB0AGEAKQApACwAXABuACAAIAAgACAAQgBsAGEAbgBrAHMALAAgACAAIAAgACAAIAAgACAAIAAgACAAIAAgACAAIAAgAC0ALQBUAE8AQwBPAEwAKABJAFMAQgBMAEEATgBLACgAZABhAHQAYQApACkALABcAG4AIAAgACAAIABMAG8AZwBpAGMAYQBsACwAIAAgACAAIAAgACAAIAAgACAAIAAgACAAIAAgACAALQAtAFQATwBDAE8ATAAoAEkAUwBMAE8ARwBJAEMAQQBMACgAZABhAHQAYQApACkALABcAG4AXABuACAAIAAgACAALwAvACAATQBlAHQAcgBpAGMAcwAgAGYAbABhAHQAdABlAG4AZQBkACAAcgBvAHcALQB3AGkAcwBlACAAYQBuAGQAIABzAHQAYQBjAGsAZQBkACAAaABvAHIAaQB6AG8AbgB0AGEAbABsAHkALgBcAG4AIAAgACAAIABtAGUAdAByAGkAYwBfAHMAdABhAGMAawAsACAAIAAgACAAIAAgACAAIAAgACAASABTAFQAQQBDAEsAKABcAG4AIAAgACAAIAAgACAAIAAgACAAIAAgACAAIAAgACAAIAAgACAAIAAgACAAIAAgACAAIAAgACAAIAAgACAAIAAgAE4AdQBtAGIAZQByAHMALABcAG4AIAAgACAAIAAgACAAIAAgACAAIAAgACAAIAAgACAAIAAgACAAIAAgACAAIAAgACAAIAAgACAAIAAgACAAIAAgAFQAZQB4AHQAcwAsAFwAbgAgACAAIAAgACAAIAAgACAAIAAgACAAIAAgACAAIAAgACAAIAAgACAAIAAgACAAIAAgACAAIAAgACAAIAAgACAATgB1AG0AYgBlAHIAcwBfAHMAdABvAHIAZQBkAF8AYQBzAF8AdABlAHgAdAAsAFwAbgAgACAAIAAgACAAIAAgACAAIAAgACAAIAAgACAAIAAgACAAIAAgACAAIAAgACAAIAAgACAAIAAgACAAIAAgACAAQwBlAGwAbABzAF8AdwBpAHQAaABfAGUAcgByAG8AcgBzACwAXABuACAAIAAgACAAIAAgACAAIAAgACAAIAAgACAAIAAgACAAIAAgACAAIAAgACAAIAAgACAAIAAgACAAIAAgACAAIABTAHAAYQBjAGUAcwAsAFwAbgAgACAAIAAgACAAIAAgACAAIAAgACAAIAAgACAAIAAgACAAIAAgACAAIAAgACAAIAAgACAAIAAgACAAIAAgACAAUwBwAGUAYwBpAGEAbABfAGMAaABhAHIAYQBjAHQAZQByAHMALABcAG4AIAAgACAAIAAgACAAIAAgACAAIAAgACAAIAAgACAAIAAgACAAIAAgACAAIAAgACAAIAAgACAAIAAgACAAIAAgAEYAbwByAG0AdQBsAGEAcwAsAFwAbgAgACAAIAAgACAAIAAgACAAIAAgACAAIAAgACAAIAAgACAAIAAgACAAIAAgACAAIAAgACAAIAAgACAAIAAgACAAQgBsAGEAbgBrAHMALABcAG4AIAAgACAAIAAgACAAIAAgACAAIAAgACAAIAAgACAAIAAgACAAIAAgACAAIAAgACAAIAAgACAAIAAgACAAIAAgAEwAbwBnAGkAYwBhAGwAKQAsAFwAbgBcAG4AIAAgACAAIAAvAC8AIABNAGUAdAByAGkAYwBzACAAcwB1AG0AbQBhAHIAaQB6AGUAZAAgAGEAbgBkACAAYwBvAG4AdgBlAHIAdABlAGQAIAB0AG8AIAB2AGUAcgB0AGkAYwBhAGwAIABhAHIAcgBhAHkALgBcAG4AIAAgACAAIAB0AG8AdABhAGwAcwAsACAAIAAgACAAIAAgACAAIAAgACAAIAAgACAAIAAgACAAIABUAE8AQwBPAEwAKABCAFkAQwBPAEwAKABtAGUAdAByAGkAYwBfAHMAdABhAGMAawAsACAAUwBVAE0AKQApACwAXABuAFwAbgAgACAAIAAgAC8ALwAtAC0AIABSAGUAcABvAHIAdABpAG4AZwAgAC0ALQBcAG4AXABuACAAIAAgACAALwAvACAAVABvAHAALQBsAGUAdgBlAGwAIAA5ANcAMgAgAHMAdQBtAG0AYQByAHkAIABvAGYAIABkAGEAdABhAC4AXABuACAAIAAgACAAUwB1AG0AbQBhAHIAeQAsACAAIAAgACAAIAAgACAAIAAgACAAIAAgACAAIAAgACAATABBAE0AQgBEAEEAKABTAE8AUgBUACgASABTAFQAQQBDAEsAKABtAGUAdAByAGkAYwBzACwAIAB0AG8AdABhAGwAcwApACwAIAAyACwAIAAtADEAKQApACwAXABuAFwAbgAgACAAIAAgAC8ALwAgAEMAZQBsAGwALQBiAHkALQBjAGUAbABsACAAcgBlAHAAbwByAHQAIABvAGYAIABkAGEAdABhAC4AXABuACAAIAAgACAAVgBlAHIAYgBvAHMAZQAsACAAIAAgACAAIAAgACAAIAAgACAAIAAgACAAIAAgACAAVwBSAEEAUABSAE8AVwBTACgAXABuACAAIAAgACAAIAAgACAAIAAgACAAIAAgACAAIAAgACAAIAAgACAAIAAgACAAIAAgACAAIAAgACAAIAAgACAAIABNAEEAUAAoAFwAbgAgACAAIAAgACAAIAAgACAAIAAgACAAIAAgACAAIAAgACAAIAAgACAAIAAgACAAIAAgACAAIAAgACAAIAAgACAAIAAgACAAIABOAHUAbQBiAGUAcgBzACwAXABuACAAIAAgACAAIAAgACAAIAAgACAAIAAgACAAIAAgACAAIAAgACAAIAAgACAAIAAgACAAIAAgACAAIAAgACAAIAAgACAAIAAgAFQAZQB4AHQAcwAsAFwAbgAgACAAIAAgACAAIAAgACAAIAAgACAAIAAgACAAIAAgACAAIAAgACAAIAAgACAAIAAgACAAIAAgACAAIAAgACAAIAAgACAAIABOAHUAbQBiAGUAcgBzAF8AcwB0AG8AcgBlAGQAXwBhAHMAXwB0AGUAeAB0ACwAXABuACAAIAAgACAAIAAgACAAIAAgACAAIAAgACAAIAAgACAAIAAgACAAIAAgACAAIAAgACAAIAAgACAAIAAgACAAIAAgACAAIAAgAEMAZQBsAGwAcwBfAHcAaQB0AGgAXwBlAHIAcgBvAHIAcwAsAFwAbgAgACAAIAAgACAAIAAgACAAIAAgACAAIAAgACAAIAAgACAAIAAgACAAIAAgACAAIAAgACAAIAAgACAAIAAgACAAIAAgACAAIABTAHAAYQBjAGUAcwAsAFwAbgAgACAAIAAgACAAIAAgACAAIAAgACAAIAAgACAAIAAgACAAIAAgACAAIAAgACAAIAAgACAAIAAgACAAIAAgACAAIAAgACAAIABTAHAAZQBjAGkAYQBsAF8AYwBoAGEAcgBhAGMAdABlAHIAcwAsAFwAbgAgACAAIAAgACAAIAAgACAAIAAgACAAIAAgACAAIAAgACAAIAAgACAAIAAgACAAIAAgACAAIAAgACAAIAAgACAAIAAgACAAIABGAG8AcgBtAHUAbABhAHMALABcAG4AIAAgACAAIAAgACAAIAAgACAAIAAgACAAIAAgACAAIAAgACAAIAAgACAAIAAgACAAIAAgACAAIAAgACAAIAAgACAAIAAgACAAQgBsAGEAbgBrAHMALABcAG4AIAAgACAAIAAgACAAIAAgACAAIAAgACAAIAAgACAAIAAgACAAIAAgACAAIAAgACAAIAAgACAAIAAgACAAIAAgACAAIAAgACAATABvAGcAaQBjAGEAbAAsAFwAbgAgACAAIAAgACAAIAAgACAAIAAgACAAIAAgACAAIAAgACAAIAAgACAAIAAgACAAIAAgACAAIAAgACAAIAAgACAAIAAgACAAIABHAGUAdABEAGUAdABhAGkAbABzALsDKQAsAFwAbgAgACAAIAAgACAAIAAgACAAIAAgACAAIAAgACAAIAAgACAAIAAgACAAIAAgACAAIAAgACAAIAAgACAAIAAgACAAdwBpAGQAdABoACkALABcAG4AXABuACAAIAAgACAAUgBlAHAAbwByAHQALAAgACAAIAAgACAAIAAgACAAIAAgACAAIAAgACAAIAAgACAASQBGACgASQBTAE8ATQBJAFQAVABFAEQAKABJAHMAVgBlAHIAYgBvAHMAZQA/ACkALAAgAFMAdQBtAG0AYQByAHkAKAApACwAIABWAGUAcgBiAG8AcwBlACkALABcAG4AIAAgACAAIABSAGUAcABvAHIAdABcAG4AKQApADsAXABuAFwAbgBcAG4AXABuAC8ALwAgAC0ALQBFAG4AZAAgAG8AZgAgAEIAaQBnAFMAcABpAGwAbAAgAE0AbwBkAHUAbABlAC0ALQAiAH0AXQAsACIAcAByAG8AagBlAGMAdABOAGEAbQBlAHMAIgA6AFsAIgBEAEcAcgBpAGQAuwMiACwAIgBDAEcAcgBpAGQAuwMiACwAIgBNAEcAcgBpAGQAuwMiACwAIgBUAEcAcgBpAGQAuwMiACwAIgBQAG8AbABhAHIARwByAGkAZAC7AyIALAAiAEMAaQByAGMAbABlALsDIgAsACIARABpAGEAbQBvAG4AZAC7AyIALAAiAFAAbAB1AHMAuwMiACwAIgBQAHkAcgBhAG0AaQBkALsDIgAsACIAUgBpAG4AZwC7AyIALAAiAFMAcQB1AGEAcgBlALsDIgAsACIAVAByAGkAYQBuAGcAbABlALsDIgAsACIAUgBlAFMAaABhAHAAZQAyAEQAuwMiACwAIgBSAGUAcwBpAHoAZQC7AyIALAAiAFMAYwBhAG4AMgBEALsDIgAsACIAVAByAGEAdgBlAHIAcwBlALsDIgAsACIAVABhAGsAZQBCAGwAbwBjAGsAuwMiACwAIgBEAFMAdABhAGMAawC7AyIALAAiAFcAcgBhAHAAUgBvAHcAcwAyAEQAuwMiACwAIgBXAHIAYQBwAEMAbwBsAHMAMgBEALsDIgAsACIAUwB0AGEAaQByAGMAYQBzAGUAuwMiACwAIgBWAGEAbABpAGQAYQB0AGUAUwB0AGEAaQByAGMAYQBzAGUAuwMiACwAIgBVAG4AUABpAHYAbwB0ALsDIgAsACIAWgBpAHAAuwMiACwAIgBTAGwAaQBjAGUAQgB5AEQAZQBnALsDIgAsACIAUABhAGQAuwMiACwAIgBJAG4AcwB1AGwAYQB0AGUAUgBvAHcAcwC7AyIALAAiAEkAbgBzAHUAbABhAHQAZQBDAG8AbABzALsDIgAsACIATQBhAGcAbgBpAGYAeQC7AyIALAAiAFoAbwBvAG0AuwMiACwAIgBEAGUAbABlAHQAZQBSAG8AdwBzALsDIgAsACIARABlAGwAZQB0AGUAQwBvAGwAcwC7AyIALAAiAEQAZQBsAGUAdABlAFcAaABlAHIAZQC7AyIALAAiAFAAaQBuAGMAaAC7AyIALAAiAFIAZQBtAG8AdgBlALsDIgAsACIAUwBxAHUAZQBlAHoAZQC7AyIALAAiAEsAcgBvAG4AZQBjAGsAZQByAFAAcgBvAGQAuwMiACwAIgBFAHgAYwBsAHUAZABlALsDIgAsACIAUwBuAGEAcAC7AyIALAAiAFMAaABpAGYAdAC7AyIALAAiAFMAaABpAGYAdABSAG8AdwBzALsDIgAsACIAUwBoAGkAZgB0AEMAbwBsAHMAuwMiACwAIgBFAG0AYgBlAGQAuwMiACwAIgBLAGUAZQBwAFIAbwB3AHMAuwMiACwAIgBLAGUAZQBwAEMAbwBsAHMAuwMiACwAIgBCAGwAbwBjAGsATQBhAHAAuwMiACwAIgBWAGEAbABpAGQAYQB0AGUAQgBsAG8AYwBrAE0AYQBwALsDIgAsACIAQwBvAG4AdgBvAGwAdgBlALsDIgAsACIARgBvAGwAZAC7AyIALAAiAEoAbwBpAG4AMgBEALsDIgAsACIARQBjAGgAbwC7AyIALAAiAFIAZQBwAGUAYQB0AFIAbwB3AHMAuwMiACwAIgBSAGUAcABlAGEAdABDAG8AbABzALsDIgAsACIAVABlAHMAcwBlAGwAbABhAHQAZQC7AyIALAAiAFMAdAByAGUAYQBrALsDIgAsACIAQwBvAHUAbgB0AGQAbwB3AG4AuwMiACwAIgBJAG4AcwB0AGEAbgBjAGUAuwMiACwAIgBXAGEAdgBlALsDIgAsACIAQgB5AEQAaQBhAGcAuwMiACwAIgBEAGkAYQBnAE0AYQBwALsDIgAsACIARABpAGEAZwBJAG4AZABlAHgAuwMiACwAIgBWAGEAbABpAGQAYQB0AGUARABpAGEAZwC7AyIALAAiAFAAYQBpAHIAdwBpAHMAZQC7AyIALAAiAFQAcgBpAHAAbABlAHcAaQBzAGUAuwMiACwAIgBRAHUAYQBkAHcAaQBzAGUAuwMiACwAIgBHAHIAbwB1AHAAYgB5AEIAaQBuALsDIgAsACIARwByAG8AdQBwAGIAeQBEAGEAdABlALsDIgAsACIAVgBhAGwAaQBkAGEAdABlAEcARAC7AyIALAAiAFAAaQB2AG8AdABiAHkAQwBhAHQAuwMiACwAIgBHAHIAbwB1AHAASQBuAGQAZQB4ALsDIgAsACIATwBjAGMAdQByAHIAZQBuAGMAZQC7AyIALAAiAE8AYwBjAHUAcgByAGUAbgBjAGUAUgBhAG4AZwBlALsDIgAsACIARwByAGEAaQBuALsDIgAsACIATQBvAG8AcgBlAEEAZwBnALsDIgAsACIATQBvAG8AcgBlAFMAZQBsAGUAYwB0ALsDIgAsACIASABpAHMAdABvAGcAcgBhAG0AuwMiACwAIgBNAG8AZABlALsDIgAsACIAWgBvAG4AZQBTAHQAYQB0ALsDIgAsACIAQQBsAGkAZwBuALsDIgAsACIAQQBsAGkAZwBuAEQAaQBzAHQAaQBuAGMAdAC7AyIALAAiAEEAbABpAGcAbgBVAG4AaQBxAHUAZQC7AyIALAAiAEMAbwBhAGwAZQBzAGMAZQC7AyIALAAiAEUAeABwAGwAbwBkAGUAuwMiACwAIgBOAHUAbQBiAGUAcgBzAE8AbgBsAHkAuwMiACwAIgBUAGUAeAB0AE8AbgBsAHkAuwMiACwAIgBTAHAAbABpAHQAuwMiACwAIgBSAGUAZwBlAHgAUwBhAGYAZQC7AyIALAAiAEIAaQBuADIARABlAGMAuwMiACwAIgBCAGkAbgAyAEcAcgBhAHkAuwMiACwAIgBCAGkAdABDAG8AdQBuAHQAuwMiACwAIgBEAGUAYwAyAEIAaQBuALsDIgAsACIARABlAGMAMgBHAHIAYQB5ALsDIgAsACIARQBuAHUAbQBlAHIAYQB0AGUAuwMiACwAIgBQAGUAcgBtAFIAuwMiACwAIgBQAGUAcgBtALsDIgAsACIAQwBvAG0AYgBpAG4AYQB0AGkAbwBuAHMAUgC7AyIALAAiAEMAbwBtAGIAaQBuAGEAdABpAG8AbgBzALsDIgAsACIARABlAHIAYQBuAGcAZQBtAGUAbgB0AHMAuwMiACwAIgBLAG4AYQBwAFMAYQBjAGsAuwMiACwAIgBTAHUAYgBzAGUAdABHAGUAbgC7AyIALAAiAFMAdQBiAHMAZQB0AFMAdQBtALsDIgAsACIAUgBlAHYAZQBhAGwAuwM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0ARA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8ED985DE-20B0-41CD-95B5-436DC514212B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Introduction</vt:lpstr>
      <vt:lpstr>Gridwork</vt:lpstr>
      <vt:lpstr>GridGeometry</vt:lpstr>
      <vt:lpstr>Extras</vt:lpstr>
      <vt:lpstr>GeoGrid</vt:lpstr>
      <vt:lpstr>InputGrid</vt:lpstr>
      <vt:lpstr>SeqGrid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BigSpill - Gridwork and Grid Geometry</dc:title>
  <dc:creator>BigSpill Project</dc:creator>
  <dc:description>Demonstration workbook for Gridwork and Grid Geometry.</dc:description>
  <dcterms:created xsi:type="dcterms:W3CDTF">2026-07-07T12:45:44Z</dcterms:created>
  <dcterms:modified xsi:type="dcterms:W3CDTF">2026-10-14T22:39:42Z</dcterms:modified>
</cp:coreProperties>
</file>